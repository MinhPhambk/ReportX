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2.VEGA\#VƯỜN RAU ĐÀ LẠT\_BÁO CÁO CHUNG\03. GIÁ TRỊ HÀNG TỒN KHO\2024\"/>
    </mc:Choice>
  </mc:AlternateContent>
  <xr:revisionPtr revIDLastSave="0" documentId="13_ncr:1_{D2CA6C45-13DB-47A3-ADCE-973F62A3C258}" xr6:coauthVersionLast="47" xr6:coauthVersionMax="47" xr10:uidLastSave="{00000000-0000-0000-0000-000000000000}"/>
  <bookViews>
    <workbookView xWindow="-108" yWindow="-108" windowWidth="23256" windowHeight="12456" tabRatio="788" firstSheet="11" activeTab="28" xr2:uid="{00000000-000D-0000-FFFF-FFFF00000000}"/>
  </bookViews>
  <sheets>
    <sheet name="1.9" sheetId="1" r:id="rId1"/>
    <sheet name="2.9" sheetId="2" r:id="rId2"/>
    <sheet name="3.9" sheetId="3" r:id="rId3"/>
    <sheet name="4.9" sheetId="4" r:id="rId4"/>
    <sheet name="5.9" sheetId="5" r:id="rId5"/>
    <sheet name="6.9" sheetId="6" r:id="rId6"/>
    <sheet name="7.9" sheetId="7" r:id="rId7"/>
    <sheet name="8.9" sheetId="8" r:id="rId8"/>
    <sheet name="9.9" sheetId="9" r:id="rId9"/>
    <sheet name="10.9" sheetId="10" r:id="rId10"/>
    <sheet name="11.9" sheetId="11" r:id="rId11"/>
    <sheet name="12.9" sheetId="12" r:id="rId12"/>
    <sheet name="13.9" sheetId="13" r:id="rId13"/>
    <sheet name="14.9" sheetId="14" r:id="rId14"/>
    <sheet name="15.9" sheetId="15" r:id="rId15"/>
    <sheet name="16.9" sheetId="16" r:id="rId16"/>
    <sheet name="17.9" sheetId="17" r:id="rId17"/>
    <sheet name="18.9" sheetId="18" r:id="rId18"/>
    <sheet name="19.9" sheetId="19" r:id="rId19"/>
    <sheet name="20.9" sheetId="20" r:id="rId20"/>
    <sheet name="21.9" sheetId="21" r:id="rId21"/>
    <sheet name="22.9" sheetId="22" r:id="rId22"/>
    <sheet name="23.9" sheetId="23" r:id="rId23"/>
    <sheet name="24.9" sheetId="24" r:id="rId24"/>
    <sheet name="25.9" sheetId="25" r:id="rId25"/>
    <sheet name="26.9" sheetId="26" r:id="rId26"/>
    <sheet name="27.9" sheetId="27" r:id="rId27"/>
    <sheet name="28.9" sheetId="28" r:id="rId28"/>
    <sheet name="29.9" sheetId="29" r:id="rId29"/>
    <sheet name="30.9" sheetId="30" r:id="rId30"/>
  </sheets>
  <externalReferences>
    <externalReference r:id="rId31"/>
  </externalReferences>
  <definedNames>
    <definedName name="_xlnm._FilterDatabase" localSheetId="0" hidden="1">'1.9'!$A$1:$D$204</definedName>
    <definedName name="_xlnm._FilterDatabase" localSheetId="9" hidden="1">'10.9'!$A$2:$E$119</definedName>
    <definedName name="_xlnm._FilterDatabase" localSheetId="10" hidden="1">'11.9'!$A$2:$E$219</definedName>
    <definedName name="_xlnm._FilterDatabase" localSheetId="11" hidden="1">'12.9'!$A$3:$I$158</definedName>
    <definedName name="_xlnm._FilterDatabase" localSheetId="12" hidden="1">'13.9'!$A$2:$D$157</definedName>
    <definedName name="_xlnm._FilterDatabase" localSheetId="13" hidden="1">'14.9'!$A$2:$D$173</definedName>
    <definedName name="_xlnm._FilterDatabase" localSheetId="14" hidden="1">'15.9'!$A$2:$D$197</definedName>
    <definedName name="_xlnm._FilterDatabase" localSheetId="15" hidden="1">'16.9'!$A$2:$E$159</definedName>
    <definedName name="_xlnm._FilterDatabase" localSheetId="16" hidden="1">'17.9'!$A$2:$D$218</definedName>
    <definedName name="_xlnm._FilterDatabase" localSheetId="17" hidden="1">'18.9'!$A$3:$D$203</definedName>
    <definedName name="_xlnm._FilterDatabase" localSheetId="18" hidden="1">'19.9'!$A$2:$D$198</definedName>
    <definedName name="_xlnm._FilterDatabase" localSheetId="1" hidden="1">'2.9'!$A$2:$D$683</definedName>
    <definedName name="_xlnm._FilterDatabase" localSheetId="19" hidden="1">'20.9'!$A$2:$E$210</definedName>
    <definedName name="_xlnm._FilterDatabase" localSheetId="20" hidden="1">'21.9'!$A$2:$E$181</definedName>
    <definedName name="_xlnm._FilterDatabase" localSheetId="21" hidden="1">'22.9'!$A$3:$E$263</definedName>
    <definedName name="_xlnm._FilterDatabase" localSheetId="22" hidden="1">'23.9'!$A$3:$E$145</definedName>
    <definedName name="_xlnm._FilterDatabase" localSheetId="23" hidden="1">'24.9'!$A$3:$E$226</definedName>
    <definedName name="_xlnm._FilterDatabase" localSheetId="24" hidden="1">'25.9'!$A$3:$E$213</definedName>
    <definedName name="_xlnm._FilterDatabase" localSheetId="25" hidden="1">'26.9'!$A$3:$F$197</definedName>
    <definedName name="_xlnm._FilterDatabase" localSheetId="26" hidden="1">'27.9'!$A$3:$E$219</definedName>
    <definedName name="_xlnm._FilterDatabase" localSheetId="27" hidden="1">'28.9'!$A$3:$CQ$213</definedName>
    <definedName name="_xlnm._FilterDatabase" localSheetId="28" hidden="1">'29.9'!$A$3:$CS$181</definedName>
    <definedName name="_xlnm._FilterDatabase" localSheetId="2" hidden="1">'3.9'!$A$3:$L$178</definedName>
    <definedName name="_xlnm._FilterDatabase" localSheetId="29" hidden="1">'30.9'!$A$3:$K$158</definedName>
    <definedName name="_xlnm._FilterDatabase" localSheetId="3" hidden="1">'4.9'!$A$2:$D$205</definedName>
    <definedName name="_xlnm._FilterDatabase" localSheetId="4" hidden="1">'5.9'!$A$2:$D$201</definedName>
    <definedName name="_xlnm._FilterDatabase" localSheetId="5" hidden="1">'6.9'!$A$2:$D$175</definedName>
    <definedName name="_xlnm._FilterDatabase" localSheetId="6" hidden="1">'7.9'!$A$2:$D$182</definedName>
    <definedName name="_xlnm._FilterDatabase" localSheetId="7" hidden="1">'8.9'!$A$2:$E$184</definedName>
    <definedName name="_xlnm._FilterDatabase" localSheetId="8" hidden="1">'9.9'!$A$4:$D$203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2" i="27" l="1"/>
  <c r="E171" i="27"/>
  <c r="E170" i="27"/>
  <c r="G163" i="30"/>
  <c r="E158" i="30"/>
  <c r="E134" i="30"/>
  <c r="C118" i="30"/>
  <c r="C109" i="29"/>
  <c r="K208" i="30" l="1"/>
  <c r="F75" i="29" l="1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E106" i="30"/>
  <c r="E107" i="30"/>
  <c r="E108" i="30"/>
  <c r="E109" i="30"/>
  <c r="E110" i="30"/>
  <c r="E111" i="30"/>
  <c r="E112" i="30"/>
  <c r="E113" i="30"/>
  <c r="E114" i="30"/>
  <c r="E115" i="30"/>
  <c r="E116" i="30"/>
  <c r="E117" i="30"/>
  <c r="E118" i="30"/>
  <c r="E119" i="30"/>
  <c r="E120" i="30"/>
  <c r="E121" i="30"/>
  <c r="E122" i="30"/>
  <c r="E123" i="30"/>
  <c r="E124" i="30"/>
  <c r="E125" i="30"/>
  <c r="E126" i="30"/>
  <c r="E127" i="30"/>
  <c r="E128" i="30"/>
  <c r="E129" i="30"/>
  <c r="E130" i="30"/>
  <c r="E131" i="30"/>
  <c r="E132" i="30"/>
  <c r="E133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53" i="30"/>
  <c r="E154" i="30"/>
  <c r="E155" i="30"/>
  <c r="E156" i="30"/>
  <c r="E157" i="30"/>
  <c r="E161" i="30"/>
  <c r="E162" i="30"/>
  <c r="E163" i="30"/>
  <c r="E164" i="30"/>
  <c r="E165" i="30"/>
  <c r="E166" i="30"/>
  <c r="E167" i="30"/>
  <c r="E168" i="30"/>
  <c r="E169" i="30"/>
  <c r="E170" i="30"/>
  <c r="E171" i="30"/>
  <c r="E172" i="30"/>
  <c r="E173" i="30"/>
  <c r="E174" i="30"/>
  <c r="E175" i="30"/>
  <c r="E176" i="30"/>
  <c r="E177" i="30"/>
  <c r="E178" i="30"/>
  <c r="E179" i="30"/>
  <c r="E180" i="30"/>
  <c r="E181" i="30"/>
  <c r="E182" i="30"/>
  <c r="E183" i="30"/>
  <c r="E184" i="30"/>
  <c r="E185" i="30"/>
  <c r="E186" i="30"/>
  <c r="E187" i="30"/>
  <c r="E188" i="30"/>
  <c r="E189" i="30"/>
  <c r="E190" i="30"/>
  <c r="E191" i="30"/>
  <c r="E192" i="30"/>
  <c r="E193" i="30"/>
  <c r="E194" i="30"/>
  <c r="E195" i="30"/>
  <c r="E196" i="30"/>
  <c r="E197" i="30"/>
  <c r="E198" i="30"/>
  <c r="E199" i="30"/>
  <c r="E200" i="30"/>
  <c r="E201" i="30"/>
  <c r="E202" i="30"/>
  <c r="E203" i="30"/>
  <c r="E204" i="30"/>
  <c r="E4" i="30"/>
  <c r="E205" i="30" l="1"/>
  <c r="E175" i="29"/>
  <c r="E176" i="29"/>
  <c r="E178" i="29"/>
  <c r="E179" i="29"/>
  <c r="E172" i="29"/>
  <c r="E131" i="29"/>
  <c r="E113" i="29"/>
  <c r="E85" i="29"/>
  <c r="E83" i="29"/>
  <c r="E75" i="29"/>
  <c r="E68" i="29"/>
  <c r="E39" i="29"/>
  <c r="E33" i="29"/>
  <c r="E29" i="29"/>
  <c r="E23" i="29"/>
  <c r="E16" i="29"/>
  <c r="E14" i="29"/>
  <c r="E12" i="29"/>
  <c r="E9" i="29"/>
  <c r="E8" i="29"/>
  <c r="E5" i="29"/>
  <c r="E4" i="29"/>
  <c r="E173" i="29"/>
  <c r="E174" i="29"/>
  <c r="E177" i="29"/>
  <c r="E6" i="29"/>
  <c r="E7" i="29"/>
  <c r="E10" i="29"/>
  <c r="E11" i="29"/>
  <c r="E13" i="29"/>
  <c r="E15" i="29"/>
  <c r="E17" i="29"/>
  <c r="E18" i="29"/>
  <c r="E19" i="29"/>
  <c r="E20" i="29"/>
  <c r="E21" i="29"/>
  <c r="E22" i="29"/>
  <c r="E24" i="29"/>
  <c r="E25" i="29"/>
  <c r="E26" i="29"/>
  <c r="E27" i="29"/>
  <c r="E28" i="29"/>
  <c r="E30" i="29"/>
  <c r="E31" i="29"/>
  <c r="E32" i="29"/>
  <c r="E34" i="29"/>
  <c r="E35" i="29"/>
  <c r="E36" i="29"/>
  <c r="E37" i="29"/>
  <c r="E38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9" i="29"/>
  <c r="E70" i="29"/>
  <c r="E71" i="29"/>
  <c r="E72" i="29"/>
  <c r="E73" i="29"/>
  <c r="E74" i="29"/>
  <c r="E76" i="29"/>
  <c r="E77" i="29"/>
  <c r="E78" i="29"/>
  <c r="E79" i="29"/>
  <c r="E80" i="29"/>
  <c r="E81" i="29"/>
  <c r="E82" i="29"/>
  <c r="E84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E149" i="29"/>
  <c r="E150" i="29"/>
  <c r="E151" i="29"/>
  <c r="E152" i="29"/>
  <c r="E153" i="29"/>
  <c r="E154" i="29"/>
  <c r="E155" i="29"/>
  <c r="E156" i="29"/>
  <c r="E157" i="29"/>
  <c r="E158" i="29"/>
  <c r="E159" i="29"/>
  <c r="E160" i="29"/>
  <c r="E161" i="29"/>
  <c r="E162" i="29"/>
  <c r="E163" i="29"/>
  <c r="E164" i="29"/>
  <c r="E165" i="29"/>
  <c r="E166" i="29"/>
  <c r="E167" i="29"/>
  <c r="E168" i="29"/>
  <c r="E169" i="29"/>
  <c r="E170" i="29" l="1"/>
  <c r="J209" i="30"/>
  <c r="E206" i="30"/>
  <c r="K209" i="30"/>
  <c r="K211" i="30" s="1"/>
  <c r="G158" i="30"/>
  <c r="E180" i="29"/>
  <c r="E203" i="28"/>
  <c r="E185" i="28"/>
  <c r="E179" i="28"/>
  <c r="E169" i="28"/>
  <c r="E164" i="28"/>
  <c r="E162" i="28"/>
  <c r="E160" i="28"/>
  <c r="E142" i="28"/>
  <c r="E139" i="28"/>
  <c r="E135" i="28"/>
  <c r="E90" i="28"/>
  <c r="E84" i="28"/>
  <c r="E76" i="28"/>
  <c r="E49" i="28"/>
  <c r="E38" i="28"/>
  <c r="E35" i="28"/>
  <c r="E30" i="28"/>
  <c r="E25" i="28"/>
  <c r="E12" i="28"/>
  <c r="E6" i="28"/>
  <c r="E4" i="28"/>
  <c r="E211" i="28"/>
  <c r="E210" i="28"/>
  <c r="E209" i="28"/>
  <c r="E208" i="28"/>
  <c r="E207" i="28"/>
  <c r="E206" i="28"/>
  <c r="E205" i="28"/>
  <c r="E204" i="28"/>
  <c r="E202" i="28"/>
  <c r="E201" i="28"/>
  <c r="E200" i="28"/>
  <c r="E199" i="28"/>
  <c r="E198" i="28"/>
  <c r="E197" i="28"/>
  <c r="E196" i="28"/>
  <c r="E195" i="28"/>
  <c r="E194" i="28"/>
  <c r="E193" i="28"/>
  <c r="E192" i="28"/>
  <c r="E191" i="28"/>
  <c r="E190" i="28"/>
  <c r="E189" i="28"/>
  <c r="E188" i="28"/>
  <c r="E187" i="28"/>
  <c r="E186" i="28"/>
  <c r="E184" i="28"/>
  <c r="E183" i="28"/>
  <c r="E182" i="28"/>
  <c r="E181" i="28"/>
  <c r="E180" i="28"/>
  <c r="E178" i="28"/>
  <c r="E177" i="28"/>
  <c r="E176" i="28"/>
  <c r="E175" i="28"/>
  <c r="E174" i="28"/>
  <c r="E173" i="28"/>
  <c r="E172" i="28"/>
  <c r="E171" i="28"/>
  <c r="E170" i="28"/>
  <c r="E168" i="28"/>
  <c r="E167" i="28"/>
  <c r="E166" i="28"/>
  <c r="E165" i="28"/>
  <c r="E163" i="28"/>
  <c r="E161" i="28"/>
  <c r="E159" i="28"/>
  <c r="E5" i="28"/>
  <c r="E115" i="28"/>
  <c r="E43" i="28"/>
  <c r="E44" i="28"/>
  <c r="E45" i="28"/>
  <c r="E68" i="28"/>
  <c r="E69" i="28"/>
  <c r="E71" i="28"/>
  <c r="E72" i="28"/>
  <c r="E73" i="28"/>
  <c r="E74" i="28"/>
  <c r="E77" i="28"/>
  <c r="E78" i="28"/>
  <c r="E79" i="28"/>
  <c r="E80" i="28"/>
  <c r="E82" i="28"/>
  <c r="E83" i="28"/>
  <c r="E85" i="28"/>
  <c r="E86" i="28"/>
  <c r="E88" i="28"/>
  <c r="E89" i="28"/>
  <c r="E93" i="28"/>
  <c r="E22" i="28"/>
  <c r="E23" i="28"/>
  <c r="E24" i="28"/>
  <c r="E113" i="28"/>
  <c r="E50" i="28"/>
  <c r="E51" i="28"/>
  <c r="E52" i="28"/>
  <c r="E53" i="28"/>
  <c r="E54" i="28"/>
  <c r="E55" i="28"/>
  <c r="E56" i="28"/>
  <c r="E59" i="28"/>
  <c r="E62" i="28"/>
  <c r="E63" i="28"/>
  <c r="E64" i="28"/>
  <c r="E110" i="28"/>
  <c r="E111" i="28"/>
  <c r="E119" i="28"/>
  <c r="E120" i="28"/>
  <c r="E121" i="28"/>
  <c r="E122" i="28"/>
  <c r="E118" i="28"/>
  <c r="E123" i="28"/>
  <c r="E124" i="28"/>
  <c r="E146" i="28"/>
  <c r="E147" i="28"/>
  <c r="E7" i="28"/>
  <c r="E8" i="28"/>
  <c r="E9" i="28"/>
  <c r="E13" i="28"/>
  <c r="E14" i="28"/>
  <c r="E15" i="28"/>
  <c r="E26" i="28"/>
  <c r="E27" i="28"/>
  <c r="E28" i="28"/>
  <c r="E29" i="28"/>
  <c r="E33" i="28"/>
  <c r="E34" i="28"/>
  <c r="E36" i="28"/>
  <c r="E39" i="28"/>
  <c r="E40" i="28"/>
  <c r="E41" i="28"/>
  <c r="E46" i="28"/>
  <c r="E47" i="28"/>
  <c r="E65" i="28"/>
  <c r="E66" i="28"/>
  <c r="E97" i="28"/>
  <c r="E98" i="28"/>
  <c r="E99" i="28"/>
  <c r="E96" i="28"/>
  <c r="E100" i="28"/>
  <c r="E101" i="28"/>
  <c r="E102" i="28"/>
  <c r="E105" i="28"/>
  <c r="E106" i="28"/>
  <c r="E107" i="28"/>
  <c r="E108" i="28"/>
  <c r="E109" i="28"/>
  <c r="E129" i="28"/>
  <c r="E130" i="28"/>
  <c r="E131" i="28"/>
  <c r="E132" i="28"/>
  <c r="E133" i="28"/>
  <c r="E134" i="28"/>
  <c r="E136" i="28"/>
  <c r="E137" i="28"/>
  <c r="E138" i="28"/>
  <c r="E141" i="28"/>
  <c r="E151" i="28"/>
  <c r="E152" i="28"/>
  <c r="E156" i="28"/>
  <c r="E103" i="28"/>
  <c r="E10" i="28"/>
  <c r="E153" i="28"/>
  <c r="E37" i="28"/>
  <c r="E67" i="28"/>
  <c r="E154" i="28"/>
  <c r="E155" i="28"/>
  <c r="E16" i="28"/>
  <c r="E18" i="28"/>
  <c r="E17" i="28"/>
  <c r="E112" i="28"/>
  <c r="E128" i="28"/>
  <c r="E104" i="28"/>
  <c r="E126" i="28"/>
  <c r="E149" i="28"/>
  <c r="E11" i="28"/>
  <c r="E127" i="28"/>
  <c r="E81" i="28"/>
  <c r="E32" i="28"/>
  <c r="E94" i="28"/>
  <c r="E57" i="28"/>
  <c r="E58" i="28"/>
  <c r="E60" i="28"/>
  <c r="E61" i="28"/>
  <c r="E145" i="28"/>
  <c r="E148" i="28"/>
  <c r="E31" i="28"/>
  <c r="E91" i="28"/>
  <c r="E92" i="28"/>
  <c r="E95" i="28"/>
  <c r="E116" i="28"/>
  <c r="E117" i="28"/>
  <c r="E140" i="28"/>
  <c r="E143" i="28"/>
  <c r="E144" i="28"/>
  <c r="E125" i="28"/>
  <c r="E150" i="28"/>
  <c r="E48" i="28"/>
  <c r="E87" i="28"/>
  <c r="E21" i="28"/>
  <c r="E75" i="28"/>
  <c r="E19" i="28"/>
  <c r="E70" i="28"/>
  <c r="E20" i="28"/>
  <c r="E114" i="28"/>
  <c r="E42" i="28"/>
  <c r="E181" i="29" l="1"/>
  <c r="E212" i="28"/>
  <c r="E157" i="28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4" i="27"/>
  <c r="E213" i="28" l="1"/>
  <c r="E220" i="27"/>
  <c r="E175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4" i="26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149" i="25"/>
  <c r="E150" i="25"/>
  <c r="E151" i="25"/>
  <c r="E152" i="25"/>
  <c r="E153" i="25"/>
  <c r="E154" i="25"/>
  <c r="E155" i="25"/>
  <c r="E156" i="25"/>
  <c r="E157" i="25"/>
  <c r="E158" i="25"/>
  <c r="E159" i="25"/>
  <c r="E160" i="25"/>
  <c r="E161" i="25"/>
  <c r="E162" i="25"/>
  <c r="E163" i="25"/>
  <c r="E164" i="25"/>
  <c r="E168" i="25"/>
  <c r="E169" i="25"/>
  <c r="E170" i="25"/>
  <c r="E171" i="25"/>
  <c r="E172" i="25"/>
  <c r="E173" i="25"/>
  <c r="E174" i="25"/>
  <c r="E175" i="25"/>
  <c r="E176" i="25"/>
  <c r="E177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214" i="25" s="1"/>
  <c r="E191" i="25"/>
  <c r="E192" i="25"/>
  <c r="E193" i="25"/>
  <c r="E194" i="25"/>
  <c r="E195" i="25"/>
  <c r="E196" i="25"/>
  <c r="E197" i="25"/>
  <c r="E198" i="25"/>
  <c r="E199" i="25"/>
  <c r="E200" i="25"/>
  <c r="E201" i="25"/>
  <c r="E202" i="25"/>
  <c r="E203" i="25"/>
  <c r="E204" i="25"/>
  <c r="E205" i="25"/>
  <c r="E206" i="25"/>
  <c r="E207" i="25"/>
  <c r="E208" i="25"/>
  <c r="E209" i="25"/>
  <c r="E210" i="25"/>
  <c r="E211" i="25"/>
  <c r="E212" i="25"/>
  <c r="E213" i="25"/>
  <c r="E165" i="25" l="1"/>
  <c r="E216" i="25" s="1"/>
  <c r="E144" i="26"/>
  <c r="E198" i="26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226" i="24"/>
  <c r="E4" i="24"/>
  <c r="E227" i="24" l="1"/>
  <c r="E171" i="24"/>
  <c r="E200" i="26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4" i="23"/>
  <c r="E229" i="24" l="1"/>
  <c r="E146" i="23"/>
  <c r="E102" i="23"/>
  <c r="E137" i="22"/>
  <c r="E138" i="22"/>
  <c r="E139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148" i="23" l="1"/>
  <c r="E26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257" i="22"/>
  <c r="E258" i="22"/>
  <c r="E259" i="22"/>
  <c r="E260" i="22"/>
  <c r="E261" i="22"/>
  <c r="E262" i="22"/>
  <c r="E263" i="22"/>
  <c r="E4" i="22"/>
  <c r="E181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3" i="21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3" i="20"/>
  <c r="E162" i="20" l="1"/>
  <c r="E211" i="20"/>
  <c r="E127" i="21"/>
  <c r="E182" i="21"/>
  <c r="E140" i="22"/>
  <c r="E266" i="22" s="1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3" i="19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4" i="18"/>
  <c r="E186" i="21" l="1"/>
  <c r="E214" i="20"/>
  <c r="D158" i="18"/>
  <c r="D144" i="19"/>
  <c r="D204" i="18"/>
  <c r="D199" i="19"/>
  <c r="D201" i="19" s="1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3" i="17"/>
  <c r="D219" i="17" l="1"/>
  <c r="D162" i="1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3" i="16"/>
  <c r="D112" i="16" l="1"/>
  <c r="D160" i="16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1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3" i="15"/>
  <c r="D150" i="15" l="1"/>
  <c r="D198" i="15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3" i="14"/>
  <c r="D174" i="14" l="1"/>
  <c r="D128" i="14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3" i="13"/>
  <c r="D111" i="13" l="1"/>
  <c r="D158" i="13"/>
  <c r="E106" i="12"/>
  <c r="E104" i="12"/>
  <c r="E93" i="12"/>
  <c r="E90" i="12"/>
  <c r="E89" i="12"/>
  <c r="E81" i="12"/>
  <c r="E79" i="12"/>
  <c r="E73" i="12"/>
  <c r="E41" i="12"/>
  <c r="E31" i="12"/>
  <c r="E20" i="12"/>
  <c r="E13" i="12"/>
  <c r="E5" i="12"/>
  <c r="C143" i="12"/>
  <c r="E143" i="12" s="1"/>
  <c r="C130" i="12"/>
  <c r="E130" i="12" s="1"/>
  <c r="C128" i="12"/>
  <c r="E128" i="12" s="1"/>
  <c r="C87" i="12"/>
  <c r="E87" i="12" s="1"/>
  <c r="C81" i="12"/>
  <c r="C79" i="12"/>
  <c r="C78" i="12"/>
  <c r="E78" i="12" s="1"/>
  <c r="C74" i="12"/>
  <c r="E74" i="12" s="1"/>
  <c r="C71" i="12"/>
  <c r="E71" i="12" s="1"/>
  <c r="C70" i="12"/>
  <c r="E70" i="12" s="1"/>
  <c r="C67" i="12"/>
  <c r="E67" i="12" s="1"/>
  <c r="C58" i="12"/>
  <c r="E58" i="12" s="1"/>
  <c r="C37" i="12"/>
  <c r="E37" i="12" s="1"/>
  <c r="C25" i="12"/>
  <c r="E25" i="12" s="1"/>
  <c r="C10" i="12"/>
  <c r="E10" i="12" s="1"/>
  <c r="C6" i="12"/>
  <c r="E6" i="12" s="1"/>
  <c r="C118" i="12"/>
  <c r="C23" i="12"/>
  <c r="C47" i="12"/>
  <c r="C110" i="12"/>
  <c r="C148" i="12"/>
  <c r="C57" i="12"/>
  <c r="C150" i="12"/>
  <c r="C149" i="12"/>
  <c r="C51" i="12"/>
  <c r="C75" i="12"/>
  <c r="C135" i="12"/>
  <c r="C154" i="12"/>
  <c r="C111" i="12"/>
  <c r="C46" i="12"/>
  <c r="C69" i="12"/>
  <c r="C32" i="12"/>
  <c r="C49" i="12"/>
  <c r="C4" i="12"/>
  <c r="C133" i="12"/>
  <c r="C140" i="12"/>
  <c r="C45" i="12"/>
  <c r="C65" i="12"/>
  <c r="C129" i="12"/>
  <c r="C17" i="12"/>
  <c r="C101" i="12"/>
  <c r="C38" i="12"/>
  <c r="C105" i="12"/>
  <c r="C126" i="12"/>
  <c r="C102" i="12"/>
  <c r="C155" i="12"/>
  <c r="C63" i="12"/>
  <c r="C97" i="12"/>
  <c r="C147" i="12"/>
  <c r="C42" i="12"/>
  <c r="C146" i="12"/>
  <c r="C68" i="12"/>
  <c r="C30" i="12"/>
  <c r="C95" i="12"/>
  <c r="C123" i="12"/>
  <c r="C18" i="12"/>
  <c r="C80" i="12"/>
  <c r="C136" i="12"/>
  <c r="C134" i="12"/>
  <c r="C33" i="12"/>
  <c r="C56" i="12"/>
  <c r="C157" i="12"/>
  <c r="C15" i="12"/>
  <c r="C158" i="12"/>
  <c r="C94" i="12"/>
  <c r="C144" i="12"/>
  <c r="C83" i="12"/>
  <c r="C113" i="12"/>
  <c r="C125" i="12"/>
  <c r="C116" i="12"/>
  <c r="C85" i="12"/>
  <c r="C117" i="12"/>
  <c r="C11" i="12"/>
  <c r="C64" i="12"/>
  <c r="C14" i="12"/>
  <c r="C120" i="12"/>
  <c r="C92" i="12"/>
  <c r="C115" i="12"/>
  <c r="C19" i="12"/>
  <c r="C44" i="12"/>
  <c r="C107" i="12"/>
  <c r="C112" i="12"/>
  <c r="C28" i="12"/>
  <c r="C142" i="12"/>
  <c r="C40" i="12"/>
  <c r="C153" i="12"/>
  <c r="C91" i="12"/>
  <c r="C21" i="12"/>
  <c r="C141" i="12"/>
  <c r="C109" i="12"/>
  <c r="C12" i="12"/>
  <c r="C35" i="12"/>
  <c r="C99" i="12"/>
  <c r="C139" i="12"/>
  <c r="C36" i="12"/>
  <c r="C132" i="12"/>
  <c r="C9" i="12"/>
  <c r="C131" i="12"/>
  <c r="C119" i="12"/>
  <c r="C76" i="12"/>
  <c r="C60" i="12"/>
  <c r="C66" i="12"/>
  <c r="C16" i="12"/>
  <c r="C53" i="12"/>
  <c r="C152" i="12"/>
  <c r="C54" i="12"/>
  <c r="C84" i="12"/>
  <c r="C138" i="12"/>
  <c r="C27" i="12"/>
  <c r="C121" i="12"/>
  <c r="C50" i="12"/>
  <c r="C7" i="12"/>
  <c r="C82" i="12"/>
  <c r="C114" i="12"/>
  <c r="C8" i="12"/>
  <c r="C61" i="12"/>
  <c r="C48" i="12"/>
  <c r="C122" i="12"/>
  <c r="C137" i="12"/>
  <c r="C103" i="12"/>
  <c r="C96" i="12"/>
  <c r="C88" i="12"/>
  <c r="C24" i="12"/>
  <c r="C151" i="12"/>
  <c r="C72" i="12"/>
  <c r="C108" i="12"/>
  <c r="C156" i="12"/>
  <c r="C52" i="12"/>
  <c r="C145" i="12"/>
  <c r="C100" i="12"/>
  <c r="C55" i="12"/>
  <c r="C62" i="12"/>
  <c r="C26" i="12"/>
  <c r="C59" i="12"/>
  <c r="C98" i="12"/>
  <c r="C127" i="12"/>
  <c r="C22" i="12"/>
  <c r="C34" i="12"/>
  <c r="C29" i="12"/>
  <c r="C77" i="12"/>
  <c r="E159" i="12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3" i="11"/>
  <c r="D166" i="11" l="1"/>
  <c r="E64" i="10"/>
  <c r="E65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2" i="10"/>
  <c r="E63" i="10"/>
  <c r="E3" i="10"/>
  <c r="E120" i="10" l="1"/>
  <c r="E61" i="10"/>
  <c r="D203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5" i="9"/>
  <c r="D161" i="9" l="1"/>
  <c r="D204" i="9"/>
  <c r="D136" i="8"/>
  <c r="D137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3" i="8"/>
  <c r="D138" i="8" l="1"/>
  <c r="D185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3" i="7"/>
  <c r="D183" i="7" l="1"/>
  <c r="D125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9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3" i="6"/>
  <c r="B175" i="6"/>
  <c r="D185" i="7" l="1"/>
  <c r="D128" i="6"/>
  <c r="D175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3" i="5"/>
  <c r="D177" i="6" l="1"/>
  <c r="D202" i="5"/>
  <c r="D147" i="5"/>
  <c r="D186" i="4"/>
  <c r="D150" i="4"/>
  <c r="D151" i="4"/>
  <c r="D152" i="4"/>
  <c r="D153" i="4"/>
  <c r="D154" i="4"/>
  <c r="D155" i="4"/>
  <c r="D156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3" i="4"/>
  <c r="D206" i="4" l="1"/>
  <c r="D204" i="5"/>
  <c r="D157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4" i="3"/>
  <c r="D179" i="3" l="1"/>
  <c r="D56" i="3"/>
  <c r="D208" i="4"/>
  <c r="D1" i="3"/>
  <c r="D2" i="3"/>
  <c r="D181" i="3" l="1"/>
  <c r="D7" i="2"/>
  <c r="D4" i="2"/>
  <c r="D5" i="2"/>
  <c r="D6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1" i="2"/>
  <c r="D82" i="2"/>
  <c r="D83" i="2"/>
  <c r="D84" i="2"/>
  <c r="D85" i="2"/>
  <c r="D86" i="2"/>
  <c r="D87" i="2"/>
  <c r="D88" i="2"/>
  <c r="D89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6" i="2"/>
  <c r="D137" i="2"/>
  <c r="D138" i="2"/>
  <c r="D139" i="2"/>
  <c r="D140" i="2"/>
  <c r="D141" i="2"/>
  <c r="D142" i="2"/>
  <c r="D143" i="2"/>
  <c r="D144" i="2"/>
  <c r="D145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3" i="2"/>
  <c r="D224" i="2"/>
  <c r="D225" i="2"/>
  <c r="D226" i="2"/>
  <c r="D227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2" i="2"/>
  <c r="D355" i="2"/>
  <c r="D356" i="2"/>
  <c r="D357" i="2"/>
  <c r="D358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3" i="2"/>
  <c r="B457" i="2"/>
  <c r="D457" i="2" s="1"/>
  <c r="B373" i="2"/>
  <c r="D373" i="2" s="1"/>
  <c r="B359" i="2"/>
  <c r="D359" i="2" s="1"/>
  <c r="B300" i="2"/>
  <c r="D300" i="2" s="1"/>
  <c r="B228" i="2"/>
  <c r="D228" i="2" s="1"/>
  <c r="B226" i="2"/>
  <c r="B222" i="2"/>
  <c r="D222" i="2" s="1"/>
  <c r="B193" i="2"/>
  <c r="D193" i="2" s="1"/>
  <c r="B146" i="2"/>
  <c r="D146" i="2" s="1"/>
  <c r="B135" i="2"/>
  <c r="D135" i="2" s="1"/>
  <c r="B116" i="2"/>
  <c r="D116" i="2" s="1"/>
  <c r="B90" i="2"/>
  <c r="D90" i="2" s="1"/>
  <c r="B80" i="2"/>
  <c r="D80" i="2" s="1"/>
  <c r="B56" i="2"/>
  <c r="D56" i="2" s="1"/>
  <c r="B21" i="2"/>
  <c r="B351" i="2" l="1"/>
  <c r="D21" i="2"/>
  <c r="D351" i="2" s="1"/>
  <c r="D683" i="2"/>
  <c r="B683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3" i="1"/>
  <c r="D159" i="1" l="1"/>
  <c r="D205" i="1"/>
  <c r="D685" i="2"/>
  <c r="D207" i="1" l="1"/>
</calcChain>
</file>

<file path=xl/sharedStrings.xml><?xml version="1.0" encoding="utf-8"?>
<sst xmlns="http://schemas.openxmlformats.org/spreadsheetml/2006/main" count="8443" uniqueCount="643">
  <si>
    <t>Tên Sản phẩm</t>
  </si>
  <si>
    <t>Cà Rốt</t>
  </si>
  <si>
    <t>Cà Rốt Baby</t>
  </si>
  <si>
    <t>Củ Cải Đỏ</t>
  </si>
  <si>
    <t>Củ Cải Đỏ 300Gr</t>
  </si>
  <si>
    <t>Củ Cải Trắng</t>
  </si>
  <si>
    <t>Củ Dền</t>
  </si>
  <si>
    <t>Củ Gừng</t>
  </si>
  <si>
    <t>Củ Hành Tây</t>
  </si>
  <si>
    <t>Củ Hành Tây Tím</t>
  </si>
  <si>
    <t>Củ Hành Tây Trung</t>
  </si>
  <si>
    <t>Củ Khoai Lang Mật Size 46</t>
  </si>
  <si>
    <t>Củ Khoai Lang Nhật</t>
  </si>
  <si>
    <t>Củ Khoai Mỡ</t>
  </si>
  <si>
    <t>Củ Khoai Tây Bi Vàng</t>
  </si>
  <si>
    <t>Củ Khoai Tây Vàng</t>
  </si>
  <si>
    <t>Củ Su Hào</t>
  </si>
  <si>
    <t>Bông Cải Xanh Cọng</t>
  </si>
  <si>
    <t>Bông Cải Xanh 7Cm</t>
  </si>
  <si>
    <t>Bông Cải Xanh Baby</t>
  </si>
  <si>
    <t>Hoa Atiso Đỏ</t>
  </si>
  <si>
    <t>Bắp Cải Tím</t>
  </si>
  <si>
    <t>Bắp Cải Trái Tim</t>
  </si>
  <si>
    <t>Bắp Cải Trắng</t>
  </si>
  <si>
    <t>Cải Bó Xôi</t>
  </si>
  <si>
    <t>Cải Cầu Vồng</t>
  </si>
  <si>
    <t>Cải Kale</t>
  </si>
  <si>
    <t>Cải Thảo</t>
  </si>
  <si>
    <t>Cần Tây</t>
  </si>
  <si>
    <t>Hành Paro</t>
  </si>
  <si>
    <t>Lá Mè</t>
  </si>
  <si>
    <t>Lá Nha Đam</t>
  </si>
  <si>
    <t>Lá Quế Tây</t>
  </si>
  <si>
    <t>Lá Tía Tô</t>
  </si>
  <si>
    <t>Lá Hương Thảo</t>
  </si>
  <si>
    <t>Măng Tây</t>
  </si>
  <si>
    <t>Rau Ngò Rí</t>
  </si>
  <si>
    <t>Xà Lách Lolo Xanh</t>
  </si>
  <si>
    <t>Xà Lách Lolo Xanh T.C</t>
  </si>
  <si>
    <t>Xà Lách Lolo Xanh T.C Cây</t>
  </si>
  <si>
    <t>Xà Lách Mỡ T.C</t>
  </si>
  <si>
    <t>Xà Lách Mỡ T.C Cây</t>
  </si>
  <si>
    <t>Xà Lách Mỹ</t>
  </si>
  <si>
    <t>Xà Lách Rocket</t>
  </si>
  <si>
    <t>Xà Lách Romaine</t>
  </si>
  <si>
    <t>Xà Lách Thủy Tinh T.C</t>
  </si>
  <si>
    <t>Xà Lách Thủy Tinh T.C Cây</t>
  </si>
  <si>
    <t>Xà Lách Mỡ</t>
  </si>
  <si>
    <t>Bí Đao Xanh</t>
  </si>
  <si>
    <t>Bí Đỏ Hồ Lô</t>
  </si>
  <si>
    <t>Bí Đỏ Tròn</t>
  </si>
  <si>
    <t>Bí Ngòi Xanh</t>
  </si>
  <si>
    <t>Bí Non Nhật</t>
  </si>
  <si>
    <t>Cà Chua Beef</t>
  </si>
  <si>
    <t>Cà Chua Beef 500Gr</t>
  </si>
  <si>
    <t>Cà Chua Beef 650Gr</t>
  </si>
  <si>
    <t>Cà Chua Bi 300Gr</t>
  </si>
  <si>
    <t>Cà Chua Bi Mix</t>
  </si>
  <si>
    <t>Cà Chua Socola</t>
  </si>
  <si>
    <t>Cà Chua Socola 250Gr</t>
  </si>
  <si>
    <t>Cà Chua Thường</t>
  </si>
  <si>
    <t>Cà Chua Thường Trung</t>
  </si>
  <si>
    <t>Cà Tím</t>
  </si>
  <si>
    <t>Cà Tím Cặp 400Gr</t>
  </si>
  <si>
    <t>Chanh Không Hạt</t>
  </si>
  <si>
    <t>Đậu Cove Trắng</t>
  </si>
  <si>
    <t>Đậu Cove Trắng 300Gr</t>
  </si>
  <si>
    <t>Đậu Cove Trắng 500Gr</t>
  </si>
  <si>
    <t>Đậu Cove Nhật 300Gr</t>
  </si>
  <si>
    <t>Đậu Đỏ</t>
  </si>
  <si>
    <t>Đậu Ngự</t>
  </si>
  <si>
    <t>Dưa Leo Baby</t>
  </si>
  <si>
    <t>Dưa Leo Baby 500Gr</t>
  </si>
  <si>
    <t>Dưa Leo Nhật</t>
  </si>
  <si>
    <t>Dưa Leo Thường</t>
  </si>
  <si>
    <t>Ớt Chuông Baby</t>
  </si>
  <si>
    <t>Ớt Chuông Đỏ</t>
  </si>
  <si>
    <t>Ớt Chuông Snack</t>
  </si>
  <si>
    <t>Ớt Chuông Vàng</t>
  </si>
  <si>
    <t>Ớt Chuông Xanh</t>
  </si>
  <si>
    <t>Ớt Sweet Palemo 300Gr</t>
  </si>
  <si>
    <t>Trái Chanh Vàng</t>
  </si>
  <si>
    <t>Trái Su Su</t>
  </si>
  <si>
    <t>Đậu Trắng</t>
  </si>
  <si>
    <t>Bí Ngô Mini</t>
  </si>
  <si>
    <t>Trái Khổ Qua</t>
  </si>
  <si>
    <t>Cà Chua Socola 300gr</t>
  </si>
  <si>
    <t>Chuối Laba</t>
  </si>
  <si>
    <t>Trái Mâm Xôi</t>
  </si>
  <si>
    <t>Trái Mít Thái</t>
  </si>
  <si>
    <t>Bơ 034 L1</t>
  </si>
  <si>
    <t>Bơ Sáp</t>
  </si>
  <si>
    <t>Bơ Booth</t>
  </si>
  <si>
    <t>Hạt Dẻ Tươi</t>
  </si>
  <si>
    <t>Ổi Găng</t>
  </si>
  <si>
    <t>Trái Sake</t>
  </si>
  <si>
    <t>Hồng Fuji</t>
  </si>
  <si>
    <t>Ớt Chuông Ba Màu Vỉ 350gr</t>
  </si>
  <si>
    <t>Đậu Tươi Hỗn Hợp Túi 100gr</t>
  </si>
  <si>
    <t>Nguyên Liệu Cơm Chiên Dương Châu Túi 150gr</t>
  </si>
  <si>
    <t>Set Rau Salad</t>
  </si>
  <si>
    <t>Ớt Chuông Ba Màu</t>
  </si>
  <si>
    <t>Củ Khoai Lang Mật Size 23</t>
  </si>
  <si>
    <t>Cà Chua Bi Đỏ</t>
  </si>
  <si>
    <t>Đậu Bo</t>
  </si>
  <si>
    <t>Bông Cải Xanh 10Cm</t>
  </si>
  <si>
    <t>Cà Chua Beef Trung</t>
  </si>
  <si>
    <t>Ớt Sweet Palemo</t>
  </si>
  <si>
    <t>Đậu Cove Nhật</t>
  </si>
  <si>
    <t>Cải Thảo Hỏa Tiễn</t>
  </si>
  <si>
    <t>Bông Cải Trắng</t>
  </si>
  <si>
    <t>Củ Khoai Tây Hồng</t>
  </si>
  <si>
    <t>Xà Lách Carol</t>
  </si>
  <si>
    <t>Hoa Đồng Tiền</t>
  </si>
  <si>
    <t>Hoa Cúc Bó 5 Cành</t>
  </si>
  <si>
    <t>Xà Lách Romaine T.C</t>
  </si>
  <si>
    <t>Bông Bí Nụ</t>
  </si>
  <si>
    <t>Củ Cải Muối</t>
  </si>
  <si>
    <t>Lá É</t>
  </si>
  <si>
    <t>Củ Khoai Lang Mật</t>
  </si>
  <si>
    <t>Chanh Dây Tím</t>
  </si>
  <si>
    <t>Bí Ngòi Vàng</t>
  </si>
  <si>
    <t>Măng Cụt</t>
  </si>
  <si>
    <t>Hồng Giòn Đà Lạt</t>
  </si>
  <si>
    <t>Rau Bầu Đất</t>
  </si>
  <si>
    <t>Cải Thảo Kim Chi</t>
  </si>
  <si>
    <t>hàng tồn cuối ngayf 1/9 vr</t>
  </si>
  <si>
    <t>số lượng</t>
  </si>
  <si>
    <t>giá nhập</t>
  </si>
  <si>
    <t>thành tiền</t>
  </si>
  <si>
    <t>oo</t>
  </si>
  <si>
    <t>hàng tồn cuối ngày 1/9 kq</t>
  </si>
  <si>
    <t xml:space="preserve">số lượng </t>
  </si>
  <si>
    <t>TÊN SẢN PHẨM</t>
  </si>
  <si>
    <t>TỒN TRƯỚC</t>
  </si>
  <si>
    <t>BẮP CẢI TÍM</t>
  </si>
  <si>
    <t>BẮP CẢI TÍM (BẮP)</t>
  </si>
  <si>
    <t>BẮP CẢI TÍM SUSHI</t>
  </si>
  <si>
    <t>BẮP CẢI TÍM( SỰ KIỆN)</t>
  </si>
  <si>
    <t>BẮP CẢI TRẮNG</t>
  </si>
  <si>
    <t>BẮP CẢI TRẮNG (BẮP)</t>
  </si>
  <si>
    <t>BẮP CẢI TRẮNG MỘC CHÂU</t>
  </si>
  <si>
    <t>BẮP CẢI TRẮNG SÓI BIỂN</t>
  </si>
  <si>
    <t>BẮP CẢI TRẮNG SUSHI</t>
  </si>
  <si>
    <t>BẮP CẢI TRẮNG( SỰ KIỆN)</t>
  </si>
  <si>
    <t>BẮP MỸ CẶP</t>
  </si>
  <si>
    <t>BẦU</t>
  </si>
  <si>
    <t>BÍ ĐAO XANH</t>
  </si>
  <si>
    <t>BÍ ĐAO XANH 400G</t>
  </si>
  <si>
    <t>BÍ ĐỎ HỒ LÔ</t>
  </si>
  <si>
    <t>BÍ ĐỎ MINI</t>
  </si>
  <si>
    <t>BÍ ĐỎ NON (KG)KQ</t>
  </si>
  <si>
    <t>BÍ ĐỎ NON TRÁI VR</t>
  </si>
  <si>
    <t>BÍ ĐỎ NON( KG) VR</t>
  </si>
  <si>
    <t>BÍ ĐỎ TRÒN</t>
  </si>
  <si>
    <t>BÍ MINI VÀNG 300GR</t>
  </si>
  <si>
    <t>BÍ MINI VÀNG KG</t>
  </si>
  <si>
    <t>BÍ NGÒI VÀNG</t>
  </si>
  <si>
    <t>BÍ NGÒI VÀNG (TRÁI)</t>
  </si>
  <si>
    <t>BÍ NGÒI XANH</t>
  </si>
  <si>
    <t>BÍ NGÒI XANH(TRÁI)</t>
  </si>
  <si>
    <t>BÍ NHẬT</t>
  </si>
  <si>
    <t>BƠ 034</t>
  </si>
  <si>
    <t>BƠ 034 COOP</t>
  </si>
  <si>
    <t>BƠ BOOTH</t>
  </si>
  <si>
    <t>BO HOA CHUONG</t>
  </si>
  <si>
    <t>BO HOA CUC TANA</t>
  </si>
  <si>
    <t>BO HOA DONG TIEN HN</t>
  </si>
  <si>
    <t>BO HOA LOA KEN</t>
  </si>
  <si>
    <t>BO HOA PHANG</t>
  </si>
  <si>
    <t>BO HOA SEN QUAN AM</t>
  </si>
  <si>
    <t>BO HOA SEN SUPER</t>
  </si>
  <si>
    <t>BƠ SÁP</t>
  </si>
  <si>
    <t>BÓ XÔI</t>
  </si>
  <si>
    <t>BÓ XÔI 300G VR</t>
  </si>
  <si>
    <t>BÓ XÔI-NA</t>
  </si>
  <si>
    <t>BÔNG ATISO</t>
  </si>
  <si>
    <t>BÔNG BÍ</t>
  </si>
  <si>
    <t>BÔNG BÍ TÚI 300GR</t>
  </si>
  <si>
    <t>BÔNG CẢI TRẮNG</t>
  </si>
  <si>
    <t>BÔNG CẢI TRẮNG (CÂY)</t>
  </si>
  <si>
    <t>BÔNG CẢI XANH 10P</t>
  </si>
  <si>
    <t>BÔNG CẢI XANH AEON</t>
  </si>
  <si>
    <t>BÔNG CẢI XANH AEON (CÂY)</t>
  </si>
  <si>
    <t>BÔNG CẢI XANH BABY (KG)</t>
  </si>
  <si>
    <t>BÔNG CẢI XANH BABY 200G</t>
  </si>
  <si>
    <t>BÔNG CẢI XANH BIGC</t>
  </si>
  <si>
    <t>BÔNG CẢI XANH CITI</t>
  </si>
  <si>
    <t>CÀ CHUA</t>
  </si>
  <si>
    <t>CÀ CHUA BI</t>
  </si>
  <si>
    <t>CÀ CHUA BI (HỘP) 300GR KQ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</si>
  <si>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</si>
  <si>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</si>
  <si>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</si>
  <si>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</si>
  <si>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</si>
  <si>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</si>
  <si>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CHERRY MIX 300G</t>
  </si>
  <si>
    <t>CÀ CHUA L1</t>
  </si>
  <si>
    <t>CÀ CHUA MỘC CHÂU</t>
  </si>
  <si>
    <t>CÀ CHUA NGỌT</t>
  </si>
  <si>
    <t>CÀ CHUA NGỌT 300GR (KG)</t>
  </si>
  <si>
    <t>CÀ CHUA NGỌT XÁ</t>
  </si>
  <si>
    <t>CÀ CHUA ROSEBERRY 300G</t>
  </si>
  <si>
    <t>CÀ CHUA SÔCOLA 250GR (HỘP) VR</t>
  </si>
  <si>
    <t>CÀ CHUA SÔCOLA 250GR (KG) -NA</t>
  </si>
  <si>
    <t>CÀ CHUA SÔCOLA 250GR (KG) VR</t>
  </si>
  <si>
    <t>CÀ CHUA SÔCOLA 250GR(KG) KQ</t>
  </si>
  <si>
    <t>CÀ CHUA SÔCOLA 300GR (HỘP) VR</t>
  </si>
  <si>
    <t>CÀ CHUA SOCOLA XÁ</t>
  </si>
  <si>
    <t>CÀ CHUA SÔCOLA(HỘP) KQ</t>
  </si>
  <si>
    <t>CÀ CHUA VỈ 400GR</t>
  </si>
  <si>
    <t>CÀ CHUA Ý</t>
  </si>
  <si>
    <t>CÀ CHUA Ý 500G</t>
  </si>
  <si>
    <t>CÀ CHUA Ý CHÙM</t>
  </si>
  <si>
    <t>CÀ CHUA Ý(VỈ) KG</t>
  </si>
  <si>
    <t>CÀ CHUA Ý(VỈ) KG KQ</t>
  </si>
  <si>
    <t>CÀ RỐT (SỰ KIỆN)</t>
  </si>
  <si>
    <t>CÀ RỐT BABY</t>
  </si>
  <si>
    <t>CÀ RỐT BABY (KG) KQ</t>
  </si>
  <si>
    <t>CÀ RỐT BABY 200GR</t>
  </si>
  <si>
    <t xml:space="preserve">CÀ RỐT DL </t>
  </si>
  <si>
    <t>CÀ RỐT DL L1</t>
  </si>
  <si>
    <t>CÀ RỐT DL TÚI LƯỚI 500GR VR</t>
  </si>
  <si>
    <t>CÀ RỐT TRUNG</t>
  </si>
  <si>
    <t>CÀ RỐT TÚI LƯỚI 800G KQ</t>
  </si>
  <si>
    <t>CÀ TÍM</t>
  </si>
  <si>
    <t>CÀ TÍM CẶP 400G</t>
  </si>
  <si>
    <t>CÀ TÍM SỌC PHA LÊ 300G</t>
  </si>
  <si>
    <t>CÀ TÍM SỌC PHA LÊ HỘP 500GR  VR</t>
  </si>
  <si>
    <t>CÀ TÍM SỌC PHA LÊ TÍM (KG) VR</t>
  </si>
  <si>
    <t>CÀ Ý VỈ 650GR</t>
  </si>
  <si>
    <t>CẢI CẦU VỒNG</t>
  </si>
  <si>
    <t>CẢI CẦU VỒNG 300GR</t>
  </si>
  <si>
    <t>CẢI CÚC 300GR</t>
  </si>
  <si>
    <t>CẢI KALE</t>
  </si>
  <si>
    <t>CẢI KALE 150GR</t>
  </si>
  <si>
    <t>CẢI KALE 300GR</t>
  </si>
  <si>
    <t>CẢI MÈO MỘC CHÂU</t>
  </si>
  <si>
    <t>CẢI THẢO DL</t>
  </si>
  <si>
    <t>CẢI THẢO DL(BẮP)</t>
  </si>
  <si>
    <t>CẢI THẢO HỎA TIỄN</t>
  </si>
  <si>
    <t>CẢI THẢO HỎA TIỄN 250GR</t>
  </si>
  <si>
    <t>CẢI THẢO KIM CHI</t>
  </si>
  <si>
    <t>CẢI THẢO MỘC CHÂU</t>
  </si>
  <si>
    <t>CẢI THẢO VR</t>
  </si>
  <si>
    <t>CẢI THẢO( SỰ KIỆN)</t>
  </si>
  <si>
    <t>CAM</t>
  </si>
  <si>
    <t>CẦN TÂY (KG)</t>
  </si>
  <si>
    <t>CẦN TÂY THUỶ CANH</t>
  </si>
  <si>
    <t>CẦN TÂY(CÂY)</t>
  </si>
  <si>
    <t>CHANH DÂY</t>
  </si>
  <si>
    <t>CHANH DÂY NGỌT L2</t>
  </si>
  <si>
    <t>CHANH DÂY NGỌT VỈ 300GR</t>
  </si>
  <si>
    <t>CHANH KHÔNG HẠT</t>
  </si>
  <si>
    <t>CHANH KHÔNG HẠT 250G</t>
  </si>
  <si>
    <t>CHANH VÀNG (KG)</t>
  </si>
  <si>
    <t>CHANH VÀNG TRÁI 180UP</t>
  </si>
  <si>
    <t>CHẬU BẮP CẢI TRẮNG (SỰ KIỆN)</t>
  </si>
  <si>
    <t>CHAU CAY BAC HA CAC LOAI (BAC HA DUA/ BAC HA TAO)</t>
  </si>
  <si>
    <t>CHAU CAY BAC HA SOCOLA (CHOCOMINT)</t>
  </si>
  <si>
    <t>CHẬU CÂY CẢI CẦU VỒNG</t>
  </si>
  <si>
    <t>CHẬU CÂY CẢI KALE</t>
  </si>
  <si>
    <t>CHẬU CÂY CẦN TÂY</t>
  </si>
  <si>
    <t>CHẬU CÂY HƯƠNG THẢO</t>
  </si>
  <si>
    <t>CHẬU CÂY ỚT CÁC LOẠI</t>
  </si>
  <si>
    <t>CHẬU CÂY ỚT CHUÔNG</t>
  </si>
  <si>
    <t>CHUỐI LABA</t>
  </si>
  <si>
    <t>CÓC NON 200G</t>
  </si>
  <si>
    <t>CỦ CẢI ĐỎ 300GR (KG) VR</t>
  </si>
  <si>
    <t>CỦ CẢI ĐỎ HỘP 300GR</t>
  </si>
  <si>
    <t>CỦ CẢI ĐỎ(HỘP)</t>
  </si>
  <si>
    <t>CỦ CẢI ĐỎ(KG) VR</t>
  </si>
  <si>
    <t>CỦ CẢI HÀN QUỐC</t>
  </si>
  <si>
    <t>CỦ CẢI MUỐI(KG)</t>
  </si>
  <si>
    <t>CỦ CẢI TRẮNG</t>
  </si>
  <si>
    <t>CỦ CẢI TRẮNG CẶP 400GR</t>
  </si>
  <si>
    <t>CỦ ĐẬU 400G</t>
  </si>
  <si>
    <t>CỦ DỀN</t>
  </si>
  <si>
    <t>CỦ DỀN 600G</t>
  </si>
  <si>
    <t>CỦ HÀNH ĐỎ</t>
  </si>
  <si>
    <t>CỦ HÀNH ĐỎ 500GR</t>
  </si>
  <si>
    <t>CỦ NGHỆ</t>
  </si>
  <si>
    <t>ĐÀO VN</t>
  </si>
  <si>
    <t>ĐẬU BO</t>
  </si>
  <si>
    <t>ĐẬU BO 250GR</t>
  </si>
  <si>
    <t>ĐẬU COVE MỘC CHÂU</t>
  </si>
  <si>
    <t>ĐẬU CÚC</t>
  </si>
  <si>
    <t>ĐẬU CÚC 250GR</t>
  </si>
  <si>
    <t>ĐẬU ĐỎ</t>
  </si>
  <si>
    <t>ĐẬU ĐỎ 250GR</t>
  </si>
  <si>
    <t>ĐẬU HÀ LAN</t>
  </si>
  <si>
    <t>ĐẬU HÀ LAN-FUJI</t>
  </si>
  <si>
    <t>ĐẬU NGỰ</t>
  </si>
  <si>
    <t>ĐẬU NGỰ 250GR</t>
  </si>
  <si>
    <t>ĐẬU QUE TRẮNG (KG NA)</t>
  </si>
  <si>
    <t>ĐẬU QUE TRẮNG (KG) VR</t>
  </si>
  <si>
    <t>ĐẬU QUE TRẮNG (TÚI) KQ</t>
  </si>
  <si>
    <t>ĐẬU QUE TRẮNG (TÚI) VR</t>
  </si>
  <si>
    <t>ĐẬU QUE TRẮNG (TÚI) VR 300gr</t>
  </si>
  <si>
    <t>ĐẬU QUE XANH (KG) KQ</t>
  </si>
  <si>
    <t>ĐẬU QUE XANH( KG) VR</t>
  </si>
  <si>
    <t>ĐẬU QUE XANH( TÚI) KQ</t>
  </si>
  <si>
    <t>ĐẬU QUE XANH( TÚI) VR</t>
  </si>
  <si>
    <t>DAU THAP CAM (HON HOP) TUOI 100G</t>
  </si>
  <si>
    <t>ĐẬU TRẮNG</t>
  </si>
  <si>
    <t>ĐẬU TRẮNG 250GR</t>
  </si>
  <si>
    <t>DỨA 350G</t>
  </si>
  <si>
    <t>DƯA LEO</t>
  </si>
  <si>
    <t>DƯA LEO 400G</t>
  </si>
  <si>
    <t>DƯA LEO BABY VR</t>
  </si>
  <si>
    <t>DƯA LEO BABY VR 300G</t>
  </si>
  <si>
    <t>DƯA LEO BABY VR(KG)</t>
  </si>
  <si>
    <t>DƯA LEO BABY VR(KG)-NA</t>
  </si>
  <si>
    <t>DƯA LEO BABY XÁ</t>
  </si>
  <si>
    <t>DƯA LEO GIỐNG NHẬT 600GR</t>
  </si>
  <si>
    <t>DƯA LEO GIỐNG NHẬT KG</t>
  </si>
  <si>
    <t>DƯA LEO KG (VỈ)</t>
  </si>
  <si>
    <t>GỪNG</t>
  </si>
  <si>
    <t>GỪNG 300GR</t>
  </si>
  <si>
    <t>HÀNH LÁ</t>
  </si>
  <si>
    <t>HÀNH LÁ THUỶ CANH</t>
  </si>
  <si>
    <t>HÀNH LÁ THUỶ CANH(KG) VR</t>
  </si>
  <si>
    <t>HÀNH TÂY DL</t>
  </si>
  <si>
    <t>HÀNH TÂY DL BABY</t>
  </si>
  <si>
    <t>HÀNH TÂY DL L1</t>
  </si>
  <si>
    <t>HÀNH TÂY DL L1 TÚI LƯỚI 300GR</t>
  </si>
  <si>
    <t>HÀNH TÂY DL L1 TÚI LƯỚI 500GR</t>
  </si>
  <si>
    <t>HÀNH TÂY DL TRUNG</t>
  </si>
  <si>
    <t>HANH TAY TIM</t>
  </si>
  <si>
    <t>HANH TAY TIM ĐL (TÚI LƯỚI)</t>
  </si>
  <si>
    <t>HẠT DẺ TƯƠI BẮC KINH</t>
  </si>
  <si>
    <t>HẠT DẺ TƯƠI SIZE 24</t>
  </si>
  <si>
    <t>HẠT DẺ TƯƠI SIZE 26</t>
  </si>
  <si>
    <t>HẠT DẺ TƯƠI TÚI 500GR</t>
  </si>
  <si>
    <t>HỒNG GIÒN</t>
  </si>
  <si>
    <t>HỒNG GIÒN MB</t>
  </si>
  <si>
    <t>HỒNG TREO GIÓ</t>
  </si>
  <si>
    <t>HÚNG CAY 50G VR</t>
  </si>
  <si>
    <t>HÚNG LỦI TA 50G VR</t>
  </si>
  <si>
    <t>HÚNG QUẾ 50G VR</t>
  </si>
  <si>
    <t>HƯƠNG THẢO 50G VGR</t>
  </si>
  <si>
    <t>KHỔ QUA</t>
  </si>
  <si>
    <t>KHỔ QUA KG(VỈ)</t>
  </si>
  <si>
    <t>KHOAI LANG MẬT (KG) 2-3 CỦ</t>
  </si>
  <si>
    <t>KHOAI LANG MẬT (KG) 4-6 CỦ</t>
  </si>
  <si>
    <t>KHOAI LANG MẬT 500G VR</t>
  </si>
  <si>
    <t>KHOAI LANG NHẬT</t>
  </si>
  <si>
    <t>KHOAI LANG TÚI LƯỚI 1KG</t>
  </si>
  <si>
    <t>KHOAI LANG TÚI LƯỚI 500GR</t>
  </si>
  <si>
    <t>KHOAI MỠ</t>
  </si>
  <si>
    <t>KHOAI MÔN CAO</t>
  </si>
  <si>
    <t>KHOAI MÔN SỌ</t>
  </si>
  <si>
    <t>KHOAI TÂY BI</t>
  </si>
  <si>
    <t>KHOAI TÂY BI 500G VR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</si>
  <si>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</si>
  <si>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</si>
  <si>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</si>
  <si>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</si>
  <si>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</si>
  <si>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TRUNG TÚI LƯỚI 500G</t>
  </si>
  <si>
    <t>LÁ É</t>
  </si>
  <si>
    <t>LÁ É 300G</t>
  </si>
  <si>
    <t>LÁ GIANG</t>
  </si>
  <si>
    <t>LÁ GIANG 200G</t>
  </si>
  <si>
    <t>LÁ MÈ</t>
  </si>
  <si>
    <t>LÁ MÈ (KG) KQ</t>
  </si>
  <si>
    <t>LÁ MÈ TÚI 50G</t>
  </si>
  <si>
    <t>LÁ MÈ TÚI 50G SB</t>
  </si>
  <si>
    <t>LÊ</t>
  </si>
  <si>
    <t>MÂM XÔI ĐEN</t>
  </si>
  <si>
    <t>MẬN HẬU 500G</t>
  </si>
  <si>
    <t>MẬN HẬU ĐẶC BIỆT</t>
  </si>
  <si>
    <t>MẬN RUBY</t>
  </si>
  <si>
    <t>MĂNG TÂY</t>
  </si>
  <si>
    <t>MĂNG TÂY 300GR</t>
  </si>
  <si>
    <t>MIT RUOT DO XE</t>
  </si>
  <si>
    <t>MÍT THÁI</t>
  </si>
  <si>
    <t>MÍT TỐ NỮ</t>
  </si>
  <si>
    <t>MỒNG TƠI</t>
  </si>
  <si>
    <t>MƯỚP HƯƠNG</t>
  </si>
  <si>
    <t>MƯỚP HƯƠNG 300G</t>
  </si>
  <si>
    <t>NẤM MỠ NÂU 170G</t>
  </si>
  <si>
    <t>NẤM MỠ TRẮNG 170G</t>
  </si>
  <si>
    <t>NGÒ GAI 50G VR</t>
  </si>
  <si>
    <t>NGÒ RÍ</t>
  </si>
  <si>
    <t>NGÒ RÍ TÚI 50GR</t>
  </si>
  <si>
    <t>NGÒ TÂY</t>
  </si>
  <si>
    <t>NGÒ TÂY 50G VR</t>
  </si>
  <si>
    <t>NGUYEN LIEU COM CHIEN DUONG CHAU AL 150G</t>
  </si>
  <si>
    <t>NHA DAM</t>
  </si>
  <si>
    <t>ỔI GĂNG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</si>
  <si>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</si>
  <si>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</si>
  <si>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</si>
  <si>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</si>
  <si>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</si>
  <si>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</si>
  <si>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BABY</t>
  </si>
  <si>
    <t>ỚT CHUÔNG MÀU SNACK MÀU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</si>
  <si>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</si>
  <si>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</si>
  <si>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</si>
  <si>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</si>
  <si>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</si>
  <si>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</si>
  <si>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</si>
  <si>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ỚT HIỂM</t>
  </si>
  <si>
    <t>ỚT HIỂM 100G</t>
  </si>
  <si>
    <t>OT HIEM XANH</t>
  </si>
  <si>
    <t>ỚT NGỌT PALERMO (KG) VR</t>
  </si>
  <si>
    <t>ỚT NGỌT PALERMO TÚI 300GR</t>
  </si>
  <si>
    <t>ỚT SỪNG</t>
  </si>
  <si>
    <t>ỚT SỪNG VÀNG</t>
  </si>
  <si>
    <t>ỚT TRÁI CÂY TÚI 150GR</t>
  </si>
  <si>
    <t>PARO</t>
  </si>
  <si>
    <t>PARO (CÂY)</t>
  </si>
  <si>
    <t>QUẢ MƠ</t>
  </si>
  <si>
    <t>QUẾ TÂY 50G VR</t>
  </si>
  <si>
    <t>RAU BẦU ĐẤT</t>
  </si>
  <si>
    <t>RAU DIẾP CÁ 50G</t>
  </si>
  <si>
    <t>RAU RĂM 50G VR</t>
  </si>
  <si>
    <t>ROCKET</t>
  </si>
  <si>
    <t>ROCKET 200G</t>
  </si>
  <si>
    <t>SẦU RIÊNG RI 6</t>
  </si>
  <si>
    <t>SẤU TƯƠI</t>
  </si>
  <si>
    <t>SET ỚT CHUÔNG BABY 250G</t>
  </si>
  <si>
    <t>SET RAU KÈM ỚT</t>
  </si>
  <si>
    <t>SET RAU KHÔNG KÈM ỚT</t>
  </si>
  <si>
    <t>SU HÀO</t>
  </si>
  <si>
    <t>SU HÀO 400G</t>
  </si>
  <si>
    <t>SU HÀO MỘC CHÂU</t>
  </si>
  <si>
    <t>SU SU</t>
  </si>
  <si>
    <t>SU SU 400G</t>
  </si>
  <si>
    <t>SU SU MỘC CHÂU</t>
  </si>
  <si>
    <t>SÚ TRÁI TIM</t>
  </si>
  <si>
    <t>SÚ TRÁI TIM (BẮP)</t>
  </si>
  <si>
    <t>SÚ TRÁI TIM( SỰ KIỆN)</t>
  </si>
  <si>
    <t>SUNG GIỐNG MỸ 300G</t>
  </si>
  <si>
    <t>TẦM BÓP 250G</t>
  </si>
  <si>
    <t>TÁO</t>
  </si>
  <si>
    <t>THÌ LÀ</t>
  </si>
  <si>
    <t>TÍA TÔ 50G</t>
  </si>
  <si>
    <t>TỎI</t>
  </si>
  <si>
    <t>TỎI 250G</t>
  </si>
  <si>
    <t>TRÁI SAKE</t>
  </si>
  <si>
    <t>VẢI THIỀU MB</t>
  </si>
  <si>
    <t>VÚ SỮA</t>
  </si>
  <si>
    <t>XẠ HƯƠNG</t>
  </si>
  <si>
    <t>XÀ LÁCH BÚP MỠ</t>
  </si>
  <si>
    <t>XÀ LÁCH CAROL</t>
  </si>
  <si>
    <t>XÀ LÁCH LOLO TÍM</t>
  </si>
  <si>
    <t>XÀ LÁCH LOLO TÍM TÚI 300G</t>
  </si>
  <si>
    <t>XÀ LÁCH LOLO XANH</t>
  </si>
  <si>
    <t>XÀ LÁCH LOLO XANH SUSHI</t>
  </si>
  <si>
    <t>XÀ LÁCH LOLO XANH THỦY CANH(KG)-NA</t>
  </si>
  <si>
    <t>XÀ LÁCH LOLO XANH TÚI 300GR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</si>
  <si>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</si>
  <si>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</si>
  <si>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</si>
  <si>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</si>
  <si>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</si>
  <si>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</si>
  <si>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MỸ</t>
  </si>
  <si>
    <t>XÀ LÁCH ROMEN (KG)</t>
  </si>
  <si>
    <t>XÀ LÁCH ROMEN THUỶ CANH (KG) VR</t>
  </si>
  <si>
    <t>XÀ LÁCH ROMEN THUỶ CANH VR</t>
  </si>
  <si>
    <t>XÀ LÁCH ROMEN TÚI 300GR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</si>
  <si>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</si>
  <si>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</si>
  <si>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</si>
  <si>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</si>
  <si>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</si>
  <si>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</si>
  <si>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</si>
  <si>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</si>
  <si>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</si>
  <si>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</si>
  <si>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</si>
  <si>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</si>
  <si>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XÀ LÁCH XOONG THUỶ CANH</t>
  </si>
  <si>
    <t>XOÀI CẮT 200G</t>
  </si>
  <si>
    <t>XOÀI CÁT HOÀ LỘC</t>
  </si>
  <si>
    <t>BẮP MỸ</t>
  </si>
  <si>
    <t>BÓ XÔI-HN KQ</t>
  </si>
  <si>
    <t>CÀ CHUA VR</t>
  </si>
  <si>
    <t>CẢI CANH</t>
  </si>
  <si>
    <t>CẢI CHÍP</t>
  </si>
  <si>
    <t>CẢI CÚC 500GR</t>
  </si>
  <si>
    <t>CẢI NGỌT</t>
  </si>
  <si>
    <t>CHANH DÂY TÍM</t>
  </si>
  <si>
    <t>CỦ CẢI ĐỎ(KG) KQ</t>
  </si>
  <si>
    <t>CỦ CẢI MUỐI (VỈ) 250G KQ</t>
  </si>
  <si>
    <t>CỦ SẮN</t>
  </si>
  <si>
    <t>ĐẬU QUE TRẮNG (KG) KQ</t>
  </si>
  <si>
    <t>DƯA LEO BABY KQ</t>
  </si>
  <si>
    <t>DƯA LEO BABY KQ(KG)</t>
  </si>
  <si>
    <t>GỪNG 250GR</t>
  </si>
  <si>
    <t>HÀNH TÂY TÚI LƯỚI 300GR</t>
  </si>
  <si>
    <t>KHỔ QUA 400GR</t>
  </si>
  <si>
    <t>KHOAI LANG MẬT 500G KQ</t>
  </si>
  <si>
    <t>KHOAI SỌ</t>
  </si>
  <si>
    <t>KHOAI TÂY BI TÚI LƯỚI 500GR</t>
  </si>
  <si>
    <t>KHOAI TÂY DT TÚI LƯỚI 1KG</t>
  </si>
  <si>
    <t>KHOAI TÂY VÀNG RỬA</t>
  </si>
  <si>
    <t>MẬN HẬU</t>
  </si>
  <si>
    <t>MẬN HẬU 500G VIP</t>
  </si>
  <si>
    <t>MĂNG CỤT</t>
  </si>
  <si>
    <t>ỚT CHUÔNG MÀU SNACK MÀU(KG) KQ</t>
  </si>
  <si>
    <t>ỚT NGỌT PALERMO (KG) KQ</t>
  </si>
  <si>
    <t>ỚT NGỌT PALERMO TÚI 300GR KQ</t>
  </si>
  <si>
    <t>ỚT SỪNG 100G</t>
  </si>
  <si>
    <t>RAU NGÓT</t>
  </si>
  <si>
    <t>THÌ LÀ TÚI 80GR</t>
  </si>
  <si>
    <t>TỎI CÔ ĐƠN</t>
  </si>
  <si>
    <t>VẢI THANH HÀ</t>
  </si>
  <si>
    <t>XẢ CÂY</t>
  </si>
  <si>
    <t>hàng tồn cuối ngày 2/9 vr</t>
  </si>
  <si>
    <t>GIÁ NHẬP</t>
  </si>
  <si>
    <t>THÀNH TIỀN</t>
  </si>
  <si>
    <t>hàng tồn cuối ngày 2/9 kq</t>
  </si>
  <si>
    <t>Củ Sắn</t>
  </si>
  <si>
    <t>Grand Total</t>
  </si>
  <si>
    <t>SỐ LƯỢNG</t>
  </si>
  <si>
    <t>Bông Cải Xanh 12Cm</t>
  </si>
  <si>
    <t>Cà Chua Bi Cam Sữa</t>
  </si>
  <si>
    <t>Đậu Hà Lan Trái</t>
  </si>
  <si>
    <t>Lá Giang</t>
  </si>
  <si>
    <t>Ớt Chuông Đỏ Trung</t>
  </si>
  <si>
    <t>Ớt Chuông Vàng Trung</t>
  </si>
  <si>
    <t>HÀNG TỒN CUỐI NGÀY 3/9 KQ</t>
  </si>
  <si>
    <t>Đậu bo</t>
  </si>
  <si>
    <t>Củ cải muối</t>
  </si>
  <si>
    <t>Ớt chuông đỏ trung</t>
  </si>
  <si>
    <t xml:space="preserve">Củ Khoai Lang Mật Size 46 </t>
  </si>
  <si>
    <t>Rau Mầm</t>
  </si>
  <si>
    <t>Xoài Cắt 250gr</t>
  </si>
  <si>
    <t>Rau Thì Là</t>
  </si>
  <si>
    <t>Củ Hành Đỏ</t>
  </si>
  <si>
    <t>Ớt Hiểm Đỏ</t>
  </si>
  <si>
    <t>Ớt Sừng Đỏ</t>
  </si>
  <si>
    <t>hàng tồn cuối ngày 4/9 vr</t>
  </si>
  <si>
    <t>hàng tồn cuối ngày 4/9 kq</t>
  </si>
  <si>
    <t>số lương</t>
  </si>
  <si>
    <t>Tồn
ĐL</t>
  </si>
  <si>
    <t>Xà Lách Lolo Tím</t>
  </si>
  <si>
    <t>hàng tồn cuối ngày 5/9 vr</t>
  </si>
  <si>
    <t xml:space="preserve">TỒN TRƯỚC </t>
  </si>
  <si>
    <t>Tổng</t>
  </si>
  <si>
    <t>hàng tồn cuối ngày 6/9 vr</t>
  </si>
  <si>
    <t>hàng tồn cuối ngày 6/9 kq</t>
  </si>
  <si>
    <t>KHOAI TÂY VÀNG TRUNG</t>
  </si>
  <si>
    <t>ỚT VÀNG TRUNG</t>
  </si>
  <si>
    <t>ỚT ĐỎ TRUNG</t>
  </si>
  <si>
    <t>ỚT XANH TRUNG</t>
  </si>
  <si>
    <t>hàng tồn cuối ngày 7/9 vr</t>
  </si>
  <si>
    <t>hàng tồn cuối ngày 8/9 vr</t>
  </si>
  <si>
    <t>Cải Bó Xôi Túi</t>
  </si>
  <si>
    <t>Cà Tím Sọc Pha Lê</t>
  </si>
  <si>
    <t>Rau Cải Cúc</t>
  </si>
  <si>
    <t>Cải Thìa</t>
  </si>
  <si>
    <t>hàng tồn cuối ngày 9/9 vr</t>
  </si>
  <si>
    <t>ĐVT</t>
  </si>
  <si>
    <t>Kg</t>
  </si>
  <si>
    <t>Vỉ</t>
  </si>
  <si>
    <t>Hộp</t>
  </si>
  <si>
    <t>Túi</t>
  </si>
  <si>
    <t>Túi 150gr</t>
  </si>
  <si>
    <t>Cây</t>
  </si>
  <si>
    <t>Bó</t>
  </si>
  <si>
    <t>Trái</t>
  </si>
  <si>
    <t>Gói</t>
  </si>
  <si>
    <t>Túi 300gr</t>
  </si>
  <si>
    <t>Cải Ngọt</t>
  </si>
  <si>
    <t>Bơ 034 L2</t>
  </si>
  <si>
    <t>Măng Cụt L2</t>
  </si>
  <si>
    <t>Trái Bắp Mỹ</t>
  </si>
  <si>
    <t>Trái Chanh Đào</t>
  </si>
  <si>
    <t>HÀNG TỒN VUỐI NGÀY 10/9 VR</t>
  </si>
  <si>
    <t>HÀNG TỒN CUỐI NGÀY 10/9 KQ</t>
  </si>
  <si>
    <t>VR</t>
  </si>
  <si>
    <t>KQ</t>
  </si>
  <si>
    <t>HÀNG TỒN CUỐI NGÀY 11/9</t>
  </si>
  <si>
    <t>Cải Bẹ Dún T.C</t>
  </si>
  <si>
    <t>hàng tồn cuối ngày 12/9 vr</t>
  </si>
  <si>
    <t>Xà Lách Lolo Xanh Sushi</t>
  </si>
  <si>
    <t>CỦ CẢI MUÔI</t>
  </si>
  <si>
    <t xml:space="preserve">ỚT XANH TRUNG </t>
  </si>
  <si>
    <t>hàng tồn cuối ngày 14/9 vr</t>
  </si>
  <si>
    <t>hàn tồn cuối ngày 15/9 vr</t>
  </si>
  <si>
    <t xml:space="preserve">giá </t>
  </si>
  <si>
    <t>Cà Rốt Trung</t>
  </si>
  <si>
    <t>ỚT CHUÔNG VÀNG TRUNG</t>
  </si>
  <si>
    <t>hàng tồn cuối ngày 16/9 vr</t>
  </si>
  <si>
    <t>giá</t>
  </si>
  <si>
    <t>Trái Đậu Bắp</t>
  </si>
  <si>
    <t>kq</t>
  </si>
  <si>
    <t>vr</t>
  </si>
  <si>
    <t>Măng Cụt L1</t>
  </si>
  <si>
    <t>Rau Mồng Tơi</t>
  </si>
  <si>
    <t>Rau Ngót</t>
  </si>
  <si>
    <t>ớt xanh trung</t>
  </si>
  <si>
    <t>ớt đỏ trung</t>
  </si>
  <si>
    <t>ớt vàng trung</t>
  </si>
  <si>
    <t>Hồng Treo Gió</t>
  </si>
  <si>
    <t xml:space="preserve">HỔNG TREO GIÓ </t>
  </si>
  <si>
    <t>HỘP</t>
  </si>
  <si>
    <t>Trái 180gr</t>
  </si>
  <si>
    <t>tồn</t>
  </si>
  <si>
    <t xml:space="preserve">ĐẬU HÀ LAN </t>
  </si>
  <si>
    <t>Ngọn Su Su</t>
  </si>
  <si>
    <t>hàng tồn cuối ngày 24/9 vr</t>
  </si>
  <si>
    <t xml:space="preserve">tồn </t>
  </si>
  <si>
    <t>hàng tồn cuối ngày 25/9 vr</t>
  </si>
  <si>
    <t>Củ Tỏi</t>
  </si>
  <si>
    <t>KG</t>
  </si>
  <si>
    <t>Ớt Chuông Xanh Trung</t>
  </si>
  <si>
    <t>hàng tồn cuối ngày 26/9 vr</t>
  </si>
  <si>
    <t>ỚTXANH TRUNG</t>
  </si>
  <si>
    <t>Củ Khoai Sâm</t>
  </si>
  <si>
    <t>CẢI THẢO KC</t>
  </si>
  <si>
    <t>hàng tồn cuối ngày 27/9 vr</t>
  </si>
  <si>
    <t>ỚTVÀNG TRUNG</t>
  </si>
  <si>
    <t>Gía nhập</t>
  </si>
  <si>
    <t>Thành tiền</t>
  </si>
  <si>
    <t>TỔNG VR + KQ</t>
  </si>
  <si>
    <t>TỔNG VR</t>
  </si>
  <si>
    <t>TỔNG KQ</t>
  </si>
  <si>
    <t>Tên Sản phẩm VR</t>
  </si>
  <si>
    <t>Tên Sản phẩm KQ</t>
  </si>
  <si>
    <t>Trái Bắp Nếp</t>
  </si>
  <si>
    <t>MĂNG CỤT L1</t>
  </si>
  <si>
    <t>Ớt Sừng Vàng</t>
  </si>
  <si>
    <t>hàng tồn cuối ngày 30/9 vr</t>
  </si>
  <si>
    <t xml:space="preserve"> Ngọc Thụy </t>
  </si>
  <si>
    <t xml:space="preserve"> Đà Lạt </t>
  </si>
  <si>
    <t xml:space="preserve"> Cộng </t>
  </si>
  <si>
    <t>Xuất trong kỳ</t>
  </si>
  <si>
    <t>Tổng cộng nhập trong kỳ từ 31/08 đến 29/9</t>
  </si>
  <si>
    <t>Tồn đầu kỳ tháng 9</t>
  </si>
  <si>
    <t>Tổn cuối tháng 9</t>
  </si>
  <si>
    <t>KHOAI SÂM</t>
  </si>
  <si>
    <t>Hồng treo gió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</si>
</sst>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  <charset val="163"/>
    </font>
    <font>
      <b/>
      <sz val="12"/>
      <color theme="1"/>
      <name val="Times New Roman"/>
      <family val="1"/>
    </font>
    <font>
      <b/>
      <sz val="15"/>
      <color theme="1"/>
      <name val="Times New Roman"/>
      <family val="2"/>
    </font>
    <font>
      <b/>
      <sz val="11"/>
      <color theme="1"/>
      <name val="Times New Roman"/>
      <family val="2"/>
    </font>
    <font>
      <sz val="12"/>
      <color theme="1"/>
      <name val="Times New Roman"/>
      <family val="1"/>
      <charset val="163"/>
    </font>
    <font>
      <b/>
      <sz val="11"/>
      <color theme="0"/>
      <name val="Times New Roman"/>
      <family val="1"/>
    </font>
    <font>
      <sz val="11"/>
      <color theme="1"/>
      <name val="Times New Roman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16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3" fillId="0" borderId="0" xfId="0" applyFont="1"/>
    <xf numFmtId="0" fontId="4" fillId="0" borderId="0" xfId="0" applyFont="1" applyAlignment="1">
      <alignment horizontal="left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shrinkToFit="1"/>
    </xf>
    <xf numFmtId="165" fontId="6" fillId="0" borderId="1" xfId="1" applyNumberFormat="1" applyFont="1" applyFill="1" applyBorder="1" applyAlignment="1">
      <alignment horizontal="left" vertical="center" shrinkToFit="1"/>
    </xf>
    <xf numFmtId="165" fontId="6" fillId="0" borderId="1" xfId="2" applyNumberFormat="1" applyFont="1" applyFill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1" fontId="8" fillId="0" borderId="1" xfId="0" applyNumberFormat="1" applyFont="1" applyBorder="1" applyAlignment="1">
      <alignment horizontal="left" vertical="center" shrinkToFit="1"/>
    </xf>
    <xf numFmtId="1" fontId="6" fillId="0" borderId="1" xfId="0" applyNumberFormat="1" applyFont="1" applyBorder="1" applyAlignment="1">
      <alignment horizontal="left" vertical="center" shrinkToFit="1"/>
    </xf>
    <xf numFmtId="0" fontId="9" fillId="0" borderId="1" xfId="0" applyFont="1" applyBorder="1" applyAlignment="1">
      <alignment horizontal="left" vertical="center" wrapText="1" shrinkToFit="1"/>
    </xf>
    <xf numFmtId="166" fontId="8" fillId="0" borderId="1" xfId="0" applyNumberFormat="1" applyFont="1" applyBorder="1" applyAlignment="1">
      <alignment horizontal="left" vertical="center" shrinkToFit="1"/>
    </xf>
    <xf numFmtId="166" fontId="9" fillId="0" borderId="1" xfId="0" applyNumberFormat="1" applyFont="1" applyBorder="1" applyAlignment="1">
      <alignment horizontal="left" vertical="center" shrinkToFit="1"/>
    </xf>
    <xf numFmtId="166" fontId="6" fillId="0" borderId="1" xfId="0" applyNumberFormat="1" applyFont="1" applyBorder="1" applyAlignment="1">
      <alignment horizontal="left" vertical="center" shrinkToFit="1"/>
    </xf>
    <xf numFmtId="165" fontId="6" fillId="0" borderId="1" xfId="1" applyNumberFormat="1" applyFont="1" applyFill="1" applyBorder="1" applyAlignment="1">
      <alignment horizontal="left" vertical="center" wrapText="1" shrinkToFit="1"/>
    </xf>
    <xf numFmtId="167" fontId="6" fillId="0" borderId="1" xfId="1" applyNumberFormat="1" applyFont="1" applyFill="1" applyBorder="1" applyAlignment="1">
      <alignment horizontal="left" vertical="center" shrinkToFit="1"/>
    </xf>
    <xf numFmtId="167" fontId="6" fillId="0" borderId="1" xfId="2" applyNumberFormat="1" applyFont="1" applyFill="1" applyBorder="1" applyAlignment="1">
      <alignment horizontal="left" vertical="center" shrinkToFit="1"/>
    </xf>
    <xf numFmtId="1" fontId="6" fillId="0" borderId="0" xfId="0" applyNumberFormat="1" applyFont="1" applyAlignment="1">
      <alignment horizontal="left" vertical="center" shrinkToFit="1"/>
    </xf>
    <xf numFmtId="166" fontId="9" fillId="0" borderId="0" xfId="0" applyNumberFormat="1" applyFont="1" applyAlignment="1">
      <alignment horizontal="left" vertical="center" shrinkToFit="1"/>
    </xf>
    <xf numFmtId="1" fontId="9" fillId="0" borderId="1" xfId="0" applyNumberFormat="1" applyFont="1" applyBorder="1" applyAlignment="1">
      <alignment horizontal="left" vertical="center" wrapText="1" shrinkToFit="1"/>
    </xf>
    <xf numFmtId="3" fontId="8" fillId="0" borderId="1" xfId="0" applyNumberFormat="1" applyFont="1" applyBorder="1"/>
    <xf numFmtId="1" fontId="9" fillId="0" borderId="1" xfId="0" applyNumberFormat="1" applyFont="1" applyBorder="1" applyAlignment="1">
      <alignment horizontal="left" vertical="center" shrinkToFit="1"/>
    </xf>
    <xf numFmtId="166" fontId="9" fillId="0" borderId="5" xfId="0" applyNumberFormat="1" applyFont="1" applyBorder="1" applyAlignment="1">
      <alignment horizontal="left" vertical="center" shrinkToFit="1"/>
    </xf>
    <xf numFmtId="1" fontId="6" fillId="0" borderId="5" xfId="0" applyNumberFormat="1" applyFont="1" applyBorder="1" applyAlignment="1">
      <alignment horizontal="left" vertical="center" shrinkToFit="1"/>
    </xf>
    <xf numFmtId="166" fontId="9" fillId="0" borderId="1" xfId="0" applyNumberFormat="1" applyFont="1" applyBorder="1" applyAlignment="1">
      <alignment horizontal="left" vertical="center" wrapText="1" shrinkToFit="1"/>
    </xf>
    <xf numFmtId="166" fontId="6" fillId="3" borderId="1" xfId="0" applyNumberFormat="1" applyFont="1" applyFill="1" applyBorder="1" applyAlignment="1">
      <alignment horizontal="left" vertical="center" shrinkToFit="1"/>
    </xf>
    <xf numFmtId="167" fontId="6" fillId="0" borderId="1" xfId="1" applyNumberFormat="1" applyFont="1" applyFill="1" applyBorder="1" applyAlignment="1">
      <alignment horizontal="left" vertical="top"/>
    </xf>
    <xf numFmtId="167" fontId="6" fillId="0" borderId="1" xfId="2" applyNumberFormat="1" applyFont="1" applyFill="1" applyBorder="1" applyAlignment="1">
      <alignment horizontal="left" vertical="top"/>
    </xf>
    <xf numFmtId="165" fontId="10" fillId="0" borderId="1" xfId="1" applyNumberFormat="1" applyFont="1" applyFill="1" applyBorder="1" applyAlignment="1">
      <alignment horizontal="left" vertical="center" wrapText="1" shrinkToFit="1"/>
    </xf>
    <xf numFmtId="1" fontId="11" fillId="0" borderId="1" xfId="0" applyNumberFormat="1" applyFont="1" applyBorder="1" applyAlignment="1">
      <alignment horizontal="left" vertical="center" shrinkToFit="1"/>
    </xf>
    <xf numFmtId="1" fontId="12" fillId="0" borderId="1" xfId="0" applyNumberFormat="1" applyFont="1" applyBorder="1" applyAlignment="1">
      <alignment horizontal="left" vertical="center" shrinkToFit="1"/>
    </xf>
    <xf numFmtId="165" fontId="12" fillId="0" borderId="1" xfId="1" applyNumberFormat="1" applyFont="1" applyFill="1" applyBorder="1" applyAlignment="1">
      <alignment horizontal="left" vertical="center" shrinkToFit="1"/>
    </xf>
    <xf numFmtId="165" fontId="12" fillId="0" borderId="1" xfId="2" applyNumberFormat="1" applyFont="1" applyFill="1" applyBorder="1" applyAlignment="1">
      <alignment horizontal="left" vertical="center" shrinkToFit="1"/>
    </xf>
    <xf numFmtId="0" fontId="12" fillId="0" borderId="1" xfId="0" applyFont="1" applyBorder="1" applyAlignment="1">
      <alignment vertical="center"/>
    </xf>
    <xf numFmtId="3" fontId="8" fillId="0" borderId="1" xfId="0" applyNumberFormat="1" applyFont="1" applyBorder="1" applyAlignment="1">
      <alignment horizontal="left" vertical="center" shrinkToFit="1"/>
    </xf>
    <xf numFmtId="3" fontId="9" fillId="0" borderId="1" xfId="0" applyNumberFormat="1" applyFont="1" applyBorder="1" applyAlignment="1">
      <alignment horizontal="left" vertical="center" shrinkToFit="1"/>
    </xf>
    <xf numFmtId="3" fontId="6" fillId="0" borderId="1" xfId="0" applyNumberFormat="1" applyFont="1" applyBorder="1" applyAlignment="1">
      <alignment horizontal="left" vertical="center" shrinkToFit="1"/>
    </xf>
    <xf numFmtId="165" fontId="13" fillId="0" borderId="1" xfId="1" applyNumberFormat="1" applyFont="1" applyFill="1" applyBorder="1" applyAlignment="1">
      <alignment horizontal="center" vertical="center"/>
    </xf>
    <xf numFmtId="165" fontId="13" fillId="0" borderId="1" xfId="2" applyNumberFormat="1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vertical="center" shrinkToFit="1"/>
    </xf>
    <xf numFmtId="165" fontId="5" fillId="0" borderId="1" xfId="1" applyNumberFormat="1" applyFont="1" applyFill="1" applyBorder="1" applyAlignment="1">
      <alignment horizontal="center" vertical="center"/>
    </xf>
    <xf numFmtId="166" fontId="6" fillId="0" borderId="0" xfId="0" applyNumberFormat="1" applyFont="1" applyAlignment="1">
      <alignment horizontal="left" vertical="center" shrinkToFit="1"/>
    </xf>
    <xf numFmtId="165" fontId="5" fillId="0" borderId="1" xfId="2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65" fontId="14" fillId="5" borderId="1" xfId="1" applyNumberFormat="1" applyFont="1" applyFill="1" applyBorder="1" applyAlignment="1">
      <alignment horizontal="center" vertical="center" wrapText="1"/>
    </xf>
    <xf numFmtId="165" fontId="14" fillId="0" borderId="1" xfId="1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/>
    </xf>
    <xf numFmtId="165" fontId="14" fillId="5" borderId="1" xfId="1" applyNumberFormat="1" applyFont="1" applyFill="1" applyBorder="1" applyAlignment="1">
      <alignment vertical="center"/>
    </xf>
    <xf numFmtId="165" fontId="14" fillId="0" borderId="1" xfId="1" applyNumberFormat="1" applyFont="1" applyFill="1" applyBorder="1" applyAlignment="1">
      <alignment vertical="center"/>
    </xf>
    <xf numFmtId="0" fontId="15" fillId="4" borderId="1" xfId="0" applyFont="1" applyFill="1" applyBorder="1" applyAlignment="1">
      <alignment vertical="center"/>
    </xf>
    <xf numFmtId="165" fontId="8" fillId="5" borderId="1" xfId="1" applyNumberFormat="1" applyFont="1" applyFill="1" applyBorder="1" applyAlignment="1">
      <alignment vertical="center"/>
    </xf>
    <xf numFmtId="165" fontId="8" fillId="0" borderId="1" xfId="1" applyNumberFormat="1" applyFont="1" applyFill="1" applyBorder="1" applyAlignment="1">
      <alignment vertical="center"/>
    </xf>
    <xf numFmtId="165" fontId="15" fillId="5" borderId="1" xfId="1" applyNumberFormat="1" applyFont="1" applyFill="1" applyBorder="1" applyAlignment="1">
      <alignment vertical="center"/>
    </xf>
    <xf numFmtId="165" fontId="15" fillId="0" borderId="1" xfId="1" applyNumberFormat="1" applyFont="1" applyFill="1" applyBorder="1" applyAlignment="1">
      <alignment vertical="center"/>
    </xf>
    <xf numFmtId="0" fontId="1" fillId="0" borderId="0" xfId="0" applyFont="1"/>
    <xf numFmtId="0" fontId="16" fillId="4" borderId="1" xfId="0" applyFont="1" applyFill="1" applyBorder="1" applyAlignment="1">
      <alignment horizontal="center" vertical="center"/>
    </xf>
    <xf numFmtId="165" fontId="16" fillId="5" borderId="1" xfId="1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/>
    </xf>
    <xf numFmtId="165" fontId="17" fillId="5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165" fontId="16" fillId="0" borderId="1" xfId="1" applyNumberFormat="1" applyFont="1" applyBorder="1" applyAlignment="1">
      <alignment horizontal="center" vertical="center" wrapText="1"/>
    </xf>
    <xf numFmtId="165" fontId="17" fillId="0" borderId="1" xfId="1" applyNumberFormat="1" applyFont="1" applyBorder="1" applyAlignment="1">
      <alignment vertical="center"/>
    </xf>
    <xf numFmtId="167" fontId="0" fillId="5" borderId="1" xfId="1" applyNumberFormat="1" applyFont="1" applyFill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165" fontId="0" fillId="5" borderId="3" xfId="1" applyNumberFormat="1" applyFont="1" applyFill="1" applyBorder="1" applyAlignment="1">
      <alignment vertical="center"/>
    </xf>
    <xf numFmtId="165" fontId="17" fillId="0" borderId="3" xfId="1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14" fillId="4" borderId="3" xfId="0" applyFont="1" applyFill="1" applyBorder="1" applyAlignment="1">
      <alignment horizontal="center" vertical="center"/>
    </xf>
    <xf numFmtId="165" fontId="14" fillId="5" borderId="3" xfId="1" applyNumberFormat="1" applyFont="1" applyFill="1" applyBorder="1" applyAlignment="1">
      <alignment horizontal="center" vertical="center" wrapText="1"/>
    </xf>
    <xf numFmtId="165" fontId="14" fillId="0" borderId="3" xfId="1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vertical="center"/>
    </xf>
    <xf numFmtId="165" fontId="14" fillId="5" borderId="4" xfId="1" applyNumberFormat="1" applyFont="1" applyFill="1" applyBorder="1" applyAlignment="1">
      <alignment vertical="center"/>
    </xf>
    <xf numFmtId="165" fontId="14" fillId="0" borderId="4" xfId="1" applyNumberFormat="1" applyFont="1" applyFill="1" applyBorder="1" applyAlignment="1">
      <alignment vertical="center"/>
    </xf>
    <xf numFmtId="0" fontId="14" fillId="4" borderId="0" xfId="0" applyFont="1" applyFill="1" applyAlignment="1">
      <alignment horizontal="center" vertical="center"/>
    </xf>
    <xf numFmtId="165" fontId="14" fillId="5" borderId="0" xfId="1" applyNumberFormat="1" applyFont="1" applyFill="1" applyBorder="1" applyAlignment="1">
      <alignment horizontal="center" vertical="center" wrapText="1"/>
    </xf>
    <xf numFmtId="165" fontId="14" fillId="0" borderId="0" xfId="1" applyNumberFormat="1" applyFont="1" applyFill="1" applyBorder="1" applyAlignment="1">
      <alignment horizontal="center" vertical="center" wrapText="1"/>
    </xf>
    <xf numFmtId="165" fontId="16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7" fillId="4" borderId="1" xfId="0" applyFont="1" applyFill="1" applyBorder="1" applyAlignment="1">
      <alignment horizontal="center" vertical="center"/>
    </xf>
    <xf numFmtId="168" fontId="8" fillId="6" borderId="1" xfId="1" applyNumberFormat="1" applyFont="1" applyFill="1" applyBorder="1"/>
    <xf numFmtId="0" fontId="17" fillId="4" borderId="2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5" fontId="0" fillId="3" borderId="1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5" fontId="0" fillId="5" borderId="0" xfId="1" applyNumberFormat="1" applyFont="1" applyFill="1" applyAlignment="1">
      <alignment vertical="center"/>
    </xf>
    <xf numFmtId="165" fontId="0" fillId="0" borderId="0" xfId="1" applyNumberFormat="1" applyFont="1" applyAlignment="1">
      <alignment vertical="center"/>
    </xf>
    <xf numFmtId="0" fontId="19" fillId="7" borderId="6" xfId="0" applyFont="1" applyFill="1" applyBorder="1"/>
    <xf numFmtId="0" fontId="19" fillId="7" borderId="7" xfId="0" applyFont="1" applyFill="1" applyBorder="1"/>
    <xf numFmtId="0" fontId="17" fillId="0" borderId="1" xfId="0" applyFont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65" fontId="14" fillId="0" borderId="2" xfId="1" applyNumberFormat="1" applyFont="1" applyFill="1" applyBorder="1" applyAlignment="1">
      <alignment vertical="center"/>
    </xf>
    <xf numFmtId="165" fontId="17" fillId="0" borderId="0" xfId="1" applyNumberFormat="1" applyFont="1" applyBorder="1" applyAlignment="1">
      <alignment vertical="center"/>
    </xf>
    <xf numFmtId="165" fontId="0" fillId="0" borderId="0" xfId="1" applyNumberFormat="1" applyFont="1" applyBorder="1" applyAlignment="1">
      <alignment vertical="center"/>
    </xf>
    <xf numFmtId="165" fontId="0" fillId="0" borderId="8" xfId="1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1" applyNumberFormat="1" applyFont="1" applyBorder="1"/>
    <xf numFmtId="165" fontId="1" fillId="0" borderId="1" xfId="1" applyNumberFormat="1" applyFont="1" applyBorder="1"/>
    <xf numFmtId="165" fontId="1" fillId="0" borderId="2" xfId="1" applyNumberFormat="1" applyFont="1" applyBorder="1"/>
    <xf numFmtId="165" fontId="0" fillId="0" borderId="0" xfId="1" applyNumberFormat="1" applyFont="1"/>
    <xf numFmtId="168" fontId="0" fillId="0" borderId="0" xfId="0" applyNumberFormat="1"/>
    <xf numFmtId="164" fontId="16" fillId="0" borderId="1" xfId="1" applyFont="1" applyBorder="1" applyAlignment="1">
      <alignment horizontal="center" vertical="center" wrapText="1"/>
    </xf>
    <xf numFmtId="164" fontId="17" fillId="8" borderId="1" xfId="1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165" fontId="0" fillId="5" borderId="0" xfId="1" applyNumberFormat="1" applyFont="1" applyFill="1" applyBorder="1" applyAlignment="1">
      <alignment vertical="center"/>
    </xf>
    <xf numFmtId="164" fontId="0" fillId="0" borderId="0" xfId="0" applyNumberFormat="1"/>
    <xf numFmtId="165" fontId="0" fillId="0" borderId="1" xfId="1" applyNumberFormat="1" applyFont="1" applyBorder="1" applyAlignment="1">
      <alignment vertical="center" wrapText="1"/>
    </xf>
    <xf numFmtId="167" fontId="0" fillId="5" borderId="0" xfId="1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165" fontId="0" fillId="3" borderId="0" xfId="1" applyNumberFormat="1" applyFont="1" applyFill="1" applyAlignment="1">
      <alignment vertical="center"/>
    </xf>
    <xf numFmtId="0" fontId="14" fillId="4" borderId="3" xfId="0" applyFont="1" applyFill="1" applyBorder="1" applyAlignment="1">
      <alignment vertical="center"/>
    </xf>
    <xf numFmtId="165" fontId="14" fillId="5" borderId="3" xfId="1" applyNumberFormat="1" applyFont="1" applyFill="1" applyBorder="1" applyAlignment="1">
      <alignment vertical="center"/>
    </xf>
    <xf numFmtId="165" fontId="14" fillId="0" borderId="3" xfId="1" applyNumberFormat="1" applyFont="1" applyFill="1" applyBorder="1" applyAlignment="1">
      <alignment vertical="center"/>
    </xf>
    <xf numFmtId="165" fontId="17" fillId="0" borderId="4" xfId="1" applyNumberFormat="1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8" fillId="3" borderId="0" xfId="0" applyFont="1" applyFill="1" applyAlignment="1">
      <alignment vertical="center"/>
    </xf>
    <xf numFmtId="165" fontId="8" fillId="3" borderId="0" xfId="1" applyNumberFormat="1" applyFont="1" applyFill="1" applyAlignment="1">
      <alignment vertical="center"/>
    </xf>
    <xf numFmtId="0" fontId="8" fillId="3" borderId="1" xfId="0" applyFont="1" applyFill="1" applyBorder="1" applyAlignment="1">
      <alignment vertical="center"/>
    </xf>
    <xf numFmtId="165" fontId="8" fillId="3" borderId="1" xfId="1" applyNumberFormat="1" applyFont="1" applyFill="1" applyBorder="1" applyAlignment="1">
      <alignment vertical="center"/>
    </xf>
    <xf numFmtId="165" fontId="15" fillId="5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15" fillId="0" borderId="1" xfId="1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65" fontId="8" fillId="0" borderId="1" xfId="1" applyNumberFormat="1" applyFont="1" applyBorder="1" applyAlignment="1">
      <alignment vertical="center"/>
    </xf>
    <xf numFmtId="165" fontId="8" fillId="0" borderId="0" xfId="1" applyNumberFormat="1" applyFont="1" applyAlignment="1">
      <alignment vertical="center"/>
    </xf>
    <xf numFmtId="165" fontId="20" fillId="0" borderId="1" xfId="1" applyNumberFormat="1" applyFont="1" applyBorder="1" applyAlignment="1">
      <alignment vertical="center"/>
    </xf>
    <xf numFmtId="165" fontId="8" fillId="8" borderId="0" xfId="1" applyNumberFormat="1" applyFont="1" applyFill="1" applyAlignment="1">
      <alignment vertical="center"/>
    </xf>
    <xf numFmtId="165" fontId="15" fillId="8" borderId="1" xfId="1" applyNumberFormat="1" applyFont="1" applyFill="1" applyBorder="1" applyAlignment="1">
      <alignment vertical="center"/>
    </xf>
    <xf numFmtId="0" fontId="15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vertical="center"/>
    </xf>
    <xf numFmtId="165" fontId="18" fillId="3" borderId="1" xfId="1" applyNumberFormat="1" applyFont="1" applyFill="1" applyBorder="1" applyAlignment="1">
      <alignment vertical="center"/>
    </xf>
    <xf numFmtId="0" fontId="15" fillId="10" borderId="1" xfId="0" applyFont="1" applyFill="1" applyBorder="1" applyAlignment="1">
      <alignment horizontal="center" vertical="center"/>
    </xf>
    <xf numFmtId="165" fontId="15" fillId="5" borderId="1" xfId="1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65" fontId="8" fillId="11" borderId="0" xfId="1" applyNumberFormat="1" applyFont="1" applyFill="1" applyAlignment="1">
      <alignment vertical="center"/>
    </xf>
    <xf numFmtId="165" fontId="8" fillId="8" borderId="1" xfId="1" applyNumberFormat="1" applyFont="1" applyFill="1" applyBorder="1" applyAlignment="1">
      <alignment vertical="center"/>
    </xf>
    <xf numFmtId="165" fontId="15" fillId="13" borderId="1" xfId="1" applyNumberFormat="1" applyFont="1" applyFill="1" applyBorder="1" applyAlignment="1">
      <alignment horizontal="center" vertical="center"/>
    </xf>
    <xf numFmtId="165" fontId="15" fillId="13" borderId="1" xfId="1" applyNumberFormat="1" applyFont="1" applyFill="1" applyBorder="1" applyAlignment="1">
      <alignment horizontal="center" vertical="center" wrapText="1"/>
    </xf>
    <xf numFmtId="168" fontId="8" fillId="3" borderId="1" xfId="1" applyNumberFormat="1" applyFont="1" applyFill="1" applyBorder="1"/>
    <xf numFmtId="165" fontId="14" fillId="3" borderId="1" xfId="1" applyNumberFormat="1" applyFont="1" applyFill="1" applyBorder="1" applyAlignment="1">
      <alignment vertical="center"/>
    </xf>
    <xf numFmtId="0" fontId="14" fillId="12" borderId="1" xfId="0" applyFont="1" applyFill="1" applyBorder="1" applyAlignment="1">
      <alignment horizontal="center" vertical="center"/>
    </xf>
    <xf numFmtId="165" fontId="14" fillId="13" borderId="1" xfId="1" applyNumberFormat="1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/>
    </xf>
    <xf numFmtId="165" fontId="15" fillId="3" borderId="1" xfId="1" applyNumberFormat="1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wrapText="1"/>
    </xf>
    <xf numFmtId="0" fontId="15" fillId="3" borderId="1" xfId="0" applyFont="1" applyFill="1" applyBorder="1" applyAlignment="1">
      <alignment vertical="center"/>
    </xf>
    <xf numFmtId="165" fontId="15" fillId="3" borderId="0" xfId="1" applyNumberFormat="1" applyFont="1" applyFill="1" applyAlignment="1">
      <alignment vertical="center"/>
    </xf>
    <xf numFmtId="168" fontId="15" fillId="3" borderId="1" xfId="1" applyNumberFormat="1" applyFont="1" applyFill="1" applyBorder="1"/>
    <xf numFmtId="165" fontId="15" fillId="8" borderId="0" xfId="1" applyNumberFormat="1" applyFont="1" applyFill="1" applyAlignment="1">
      <alignment vertical="center"/>
    </xf>
    <xf numFmtId="165" fontId="15" fillId="11" borderId="0" xfId="1" applyNumberFormat="1" applyFont="1" applyFill="1" applyAlignment="1">
      <alignment vertical="center"/>
    </xf>
    <xf numFmtId="164" fontId="8" fillId="3" borderId="0" xfId="0" applyNumberFormat="1" applyFont="1" applyFill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5" fontId="0" fillId="8" borderId="0" xfId="0" applyNumberFormat="1" applyFill="1"/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24\TH&#193;NG%209\&#272;&#416;N%20H&#192;NG%20CHI%20TI&#7870;T\&#272;&#416;N%20H&#192;NG%20T&#7892;NG%20VR%2014.09.202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ƯA QUY ĐỔI"/>
      <sheetName val="CHIA ĐƠN"/>
      <sheetName val="ĐƠN ĐẶT HÀNG"/>
      <sheetName val="Sheet1"/>
      <sheetName val="Sheet2"/>
      <sheetName val="ĐƠN HÀNG TỔNG"/>
      <sheetName val="DANH SÁCH HÀNG HÓA, DỊCH VỤ"/>
      <sheetName val="HÀNG NT"/>
      <sheetName val="Sheet3"/>
      <sheetName val="CHIA KÉT"/>
    </sheetNames>
    <sheetDataSet>
      <sheetData sheetId="0"/>
      <sheetData sheetId="1">
        <row r="5">
          <cell r="F5">
            <v>0</v>
          </cell>
        </row>
        <row r="7">
          <cell r="F7">
            <v>0</v>
          </cell>
        </row>
        <row r="8">
          <cell r="F8">
            <v>100</v>
          </cell>
        </row>
        <row r="9">
          <cell r="F9">
            <v>0</v>
          </cell>
        </row>
        <row r="12">
          <cell r="F12">
            <v>200</v>
          </cell>
        </row>
        <row r="15">
          <cell r="F15">
            <v>0</v>
          </cell>
        </row>
        <row r="16">
          <cell r="F16">
            <v>50</v>
          </cell>
        </row>
        <row r="17">
          <cell r="F17">
            <v>0</v>
          </cell>
        </row>
        <row r="19">
          <cell r="F19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120</v>
          </cell>
        </row>
        <row r="27">
          <cell r="F27">
            <v>0</v>
          </cell>
        </row>
        <row r="28">
          <cell r="F28">
            <v>150</v>
          </cell>
        </row>
        <row r="29">
          <cell r="F29">
            <v>20</v>
          </cell>
        </row>
        <row r="30">
          <cell r="F30">
            <v>0</v>
          </cell>
        </row>
        <row r="31">
          <cell r="F31">
            <v>0</v>
          </cell>
        </row>
        <row r="34">
          <cell r="F34">
            <v>0</v>
          </cell>
        </row>
        <row r="35">
          <cell r="F35">
            <v>200</v>
          </cell>
        </row>
        <row r="36">
          <cell r="F36">
            <v>100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60</v>
          </cell>
        </row>
        <row r="40">
          <cell r="F40">
            <v>0</v>
          </cell>
        </row>
        <row r="41">
          <cell r="F41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100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50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20</v>
          </cell>
        </row>
        <row r="69">
          <cell r="F69">
            <v>50</v>
          </cell>
        </row>
        <row r="70">
          <cell r="F70">
            <v>0</v>
          </cell>
        </row>
        <row r="71">
          <cell r="F71">
            <v>0</v>
          </cell>
        </row>
        <row r="74">
          <cell r="F74">
            <v>0</v>
          </cell>
        </row>
        <row r="75">
          <cell r="F75">
            <v>60</v>
          </cell>
        </row>
        <row r="76">
          <cell r="F76">
            <v>300</v>
          </cell>
        </row>
        <row r="78">
          <cell r="F78">
            <v>0</v>
          </cell>
        </row>
        <row r="79">
          <cell r="F79">
            <v>200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150</v>
          </cell>
        </row>
        <row r="85">
          <cell r="F85">
            <v>50</v>
          </cell>
        </row>
        <row r="87">
          <cell r="F87">
            <v>30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8">
          <cell r="F98">
            <v>0</v>
          </cell>
        </row>
        <row r="99">
          <cell r="F99">
            <v>200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200</v>
          </cell>
        </row>
        <row r="104">
          <cell r="F104">
            <v>0</v>
          </cell>
        </row>
        <row r="106">
          <cell r="F106">
            <v>0</v>
          </cell>
        </row>
        <row r="107">
          <cell r="F107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3">
          <cell r="F113">
            <v>0</v>
          </cell>
        </row>
        <row r="115">
          <cell r="F115">
            <v>0</v>
          </cell>
        </row>
        <row r="116">
          <cell r="F116">
            <v>0</v>
          </cell>
        </row>
        <row r="117">
          <cell r="F117">
            <v>0</v>
          </cell>
        </row>
        <row r="118">
          <cell r="F118">
            <v>70</v>
          </cell>
        </row>
        <row r="120">
          <cell r="F120">
            <v>0</v>
          </cell>
        </row>
        <row r="121">
          <cell r="F121">
            <v>0</v>
          </cell>
        </row>
        <row r="122">
          <cell r="F122">
            <v>30</v>
          </cell>
        </row>
        <row r="123">
          <cell r="F123">
            <v>400</v>
          </cell>
        </row>
        <row r="125">
          <cell r="F125">
            <v>0</v>
          </cell>
        </row>
        <row r="126">
          <cell r="F126">
            <v>40</v>
          </cell>
        </row>
        <row r="127">
          <cell r="F127">
            <v>100</v>
          </cell>
        </row>
        <row r="128">
          <cell r="F128">
            <v>20</v>
          </cell>
        </row>
        <row r="129">
          <cell r="F129">
            <v>80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0</v>
          </cell>
        </row>
        <row r="133">
          <cell r="F133">
            <v>0</v>
          </cell>
        </row>
        <row r="134">
          <cell r="F134">
            <v>0</v>
          </cell>
        </row>
        <row r="135">
          <cell r="F135">
            <v>0</v>
          </cell>
        </row>
        <row r="136">
          <cell r="F136">
            <v>0</v>
          </cell>
        </row>
        <row r="137">
          <cell r="F137">
            <v>0</v>
          </cell>
        </row>
        <row r="138">
          <cell r="F138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30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0</v>
          </cell>
        </row>
        <row r="154">
          <cell r="F154">
            <v>0</v>
          </cell>
        </row>
        <row r="155">
          <cell r="F155">
            <v>0</v>
          </cell>
        </row>
        <row r="156">
          <cell r="F156">
            <v>0</v>
          </cell>
        </row>
        <row r="157">
          <cell r="F157">
            <v>4570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Củ Cải Trắng</v>
          </cell>
          <cell r="B2" t="str">
            <v>Kg</v>
          </cell>
          <cell r="C2"/>
        </row>
        <row r="3">
          <cell r="A3" t="str">
            <v>Củ Khoai Lang Mật Size 46</v>
          </cell>
          <cell r="B3" t="str">
            <v>Kg</v>
          </cell>
          <cell r="C3"/>
        </row>
        <row r="4">
          <cell r="A4" t="str">
            <v>Củ Khoai Lang Nhật</v>
          </cell>
          <cell r="B4" t="str">
            <v>Kg</v>
          </cell>
          <cell r="C4"/>
        </row>
        <row r="5">
          <cell r="A5" t="str">
            <v>Bắp Cải Trắng</v>
          </cell>
          <cell r="B5" t="str">
            <v>Kg</v>
          </cell>
          <cell r="C5"/>
        </row>
        <row r="6">
          <cell r="A6" t="str">
            <v>Bí Đỏ Tròn</v>
          </cell>
          <cell r="B6" t="str">
            <v>Kg</v>
          </cell>
          <cell r="C6"/>
        </row>
        <row r="7">
          <cell r="A7" t="str">
            <v>Cà Chua Beef</v>
          </cell>
          <cell r="B7" t="str">
            <v>Kg</v>
          </cell>
          <cell r="C7"/>
        </row>
        <row r="8">
          <cell r="A8" t="str">
            <v>Cà Chua Thường</v>
          </cell>
          <cell r="B8" t="str">
            <v>Kg</v>
          </cell>
          <cell r="C8"/>
        </row>
        <row r="9">
          <cell r="A9" t="str">
            <v>Trái Su Su</v>
          </cell>
          <cell r="B9" t="str">
            <v>Kg</v>
          </cell>
          <cell r="C9"/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07"/>
  <sheetViews>
    <sheetView topLeftCell="A89" workbookViewId="0">
      <selection activeCell="D207" sqref="D207"/>
    </sheetView>
  </sheetViews>
  <sheetFormatPr defaultRowHeight="14.4" x14ac:dyDescent="0.3"/>
  <cols>
    <col min="1" max="1" width="32.5546875" customWidth="1"/>
    <col min="3" max="3" width="16.44140625" customWidth="1"/>
    <col min="4" max="4" width="20.33203125" customWidth="1"/>
  </cols>
  <sheetData>
    <row r="1" spans="1:4" x14ac:dyDescent="0.3">
      <c r="A1" s="2" t="s">
        <v>126</v>
      </c>
      <c r="B1" s="2" t="s">
        <v>127</v>
      </c>
      <c r="C1" s="2" t="s">
        <v>128</v>
      </c>
      <c r="D1" s="2" t="s">
        <v>129</v>
      </c>
    </row>
    <row r="2" spans="1:4" hidden="1" x14ac:dyDescent="0.3">
      <c r="A2" s="1" t="s">
        <v>0</v>
      </c>
      <c r="B2" s="1"/>
      <c r="C2" s="1"/>
      <c r="D2" s="1"/>
    </row>
    <row r="3" spans="1:4" x14ac:dyDescent="0.3">
      <c r="A3" s="1" t="s">
        <v>1</v>
      </c>
      <c r="B3" s="1">
        <v>120</v>
      </c>
      <c r="C3" s="1">
        <v>20000</v>
      </c>
      <c r="D3" s="101">
        <f>B3*C3</f>
        <v>2400000</v>
      </c>
    </row>
    <row r="4" spans="1:4" hidden="1" x14ac:dyDescent="0.3">
      <c r="A4" s="1" t="s">
        <v>1</v>
      </c>
      <c r="B4" s="1">
        <v>0</v>
      </c>
      <c r="C4" s="1"/>
      <c r="D4" s="1">
        <f t="shared" ref="D4:D67" si="0">B4*C4</f>
        <v>0</v>
      </c>
    </row>
    <row r="5" spans="1:4" hidden="1" x14ac:dyDescent="0.3">
      <c r="A5" s="1" t="s">
        <v>2</v>
      </c>
      <c r="B5" s="1"/>
      <c r="C5" s="1"/>
      <c r="D5" s="1">
        <f t="shared" si="0"/>
        <v>0</v>
      </c>
    </row>
    <row r="6" spans="1:4" hidden="1" x14ac:dyDescent="0.3">
      <c r="A6" s="1" t="s">
        <v>2</v>
      </c>
      <c r="B6" s="1">
        <v>0</v>
      </c>
      <c r="C6" s="1"/>
      <c r="D6" s="1">
        <f t="shared" si="0"/>
        <v>0</v>
      </c>
    </row>
    <row r="7" spans="1:4" hidden="1" x14ac:dyDescent="0.3">
      <c r="A7" s="1" t="s">
        <v>3</v>
      </c>
      <c r="B7" s="1">
        <v>0</v>
      </c>
      <c r="C7" s="1"/>
      <c r="D7" s="1">
        <f t="shared" si="0"/>
        <v>0</v>
      </c>
    </row>
    <row r="8" spans="1:4" hidden="1" x14ac:dyDescent="0.3">
      <c r="A8" s="1" t="s">
        <v>4</v>
      </c>
      <c r="B8" s="1">
        <v>0</v>
      </c>
      <c r="C8" s="1"/>
      <c r="D8" s="1">
        <f t="shared" si="0"/>
        <v>0</v>
      </c>
    </row>
    <row r="9" spans="1:4" x14ac:dyDescent="0.3">
      <c r="A9" s="1" t="s">
        <v>5</v>
      </c>
      <c r="B9" s="1">
        <v>5</v>
      </c>
      <c r="C9" s="1">
        <v>6000</v>
      </c>
      <c r="D9" s="101">
        <f t="shared" si="0"/>
        <v>30000</v>
      </c>
    </row>
    <row r="10" spans="1:4" x14ac:dyDescent="0.3">
      <c r="A10" s="1" t="s">
        <v>6</v>
      </c>
      <c r="B10" s="1">
        <v>190</v>
      </c>
      <c r="C10" s="1">
        <v>16000</v>
      </c>
      <c r="D10" s="101">
        <f t="shared" si="0"/>
        <v>3040000</v>
      </c>
    </row>
    <row r="11" spans="1:4" hidden="1" x14ac:dyDescent="0.3">
      <c r="A11" s="1" t="s">
        <v>6</v>
      </c>
      <c r="B11" s="1">
        <v>0</v>
      </c>
      <c r="C11" s="1"/>
      <c r="D11" s="1">
        <f t="shared" si="0"/>
        <v>0</v>
      </c>
    </row>
    <row r="12" spans="1:4" hidden="1" x14ac:dyDescent="0.3">
      <c r="A12" s="1" t="s">
        <v>7</v>
      </c>
      <c r="B12" s="1">
        <v>0</v>
      </c>
      <c r="C12" s="1"/>
      <c r="D12" s="1">
        <f t="shared" si="0"/>
        <v>0</v>
      </c>
    </row>
    <row r="13" spans="1:4" x14ac:dyDescent="0.3">
      <c r="A13" s="1" t="s">
        <v>8</v>
      </c>
      <c r="B13" s="1">
        <v>150</v>
      </c>
      <c r="C13" s="1">
        <v>18000</v>
      </c>
      <c r="D13" s="101">
        <f t="shared" si="0"/>
        <v>2700000</v>
      </c>
    </row>
    <row r="14" spans="1:4" x14ac:dyDescent="0.3">
      <c r="A14" s="1" t="s">
        <v>9</v>
      </c>
      <c r="B14" s="1">
        <v>25</v>
      </c>
      <c r="C14" s="1">
        <v>20000</v>
      </c>
      <c r="D14" s="101">
        <f t="shared" si="0"/>
        <v>500000</v>
      </c>
    </row>
    <row r="15" spans="1:4" hidden="1" x14ac:dyDescent="0.3">
      <c r="A15" s="1" t="s">
        <v>9</v>
      </c>
      <c r="B15" s="1">
        <v>0</v>
      </c>
      <c r="C15" s="1"/>
      <c r="D15" s="1">
        <f t="shared" si="0"/>
        <v>0</v>
      </c>
    </row>
    <row r="16" spans="1:4" x14ac:dyDescent="0.3">
      <c r="A16" s="1" t="s">
        <v>10</v>
      </c>
      <c r="B16" s="1">
        <v>133.33333333333334</v>
      </c>
      <c r="C16" s="1">
        <v>2700</v>
      </c>
      <c r="D16" s="101">
        <f t="shared" si="0"/>
        <v>360000</v>
      </c>
    </row>
    <row r="17" spans="1:4" x14ac:dyDescent="0.3">
      <c r="A17" s="1" t="s">
        <v>11</v>
      </c>
      <c r="B17" s="1">
        <v>100</v>
      </c>
      <c r="C17" s="1">
        <v>21000</v>
      </c>
      <c r="D17" s="101">
        <f t="shared" si="0"/>
        <v>2100000</v>
      </c>
    </row>
    <row r="18" spans="1:4" hidden="1" x14ac:dyDescent="0.3">
      <c r="A18" s="1" t="s">
        <v>11</v>
      </c>
      <c r="B18" s="1">
        <v>0</v>
      </c>
      <c r="C18" s="1"/>
      <c r="D18" s="1">
        <f t="shared" si="0"/>
        <v>0</v>
      </c>
    </row>
    <row r="19" spans="1:4" x14ac:dyDescent="0.3">
      <c r="A19" s="1" t="s">
        <v>12</v>
      </c>
      <c r="B19" s="1">
        <v>130</v>
      </c>
      <c r="C19" s="1">
        <v>22000</v>
      </c>
      <c r="D19" s="101">
        <f t="shared" si="0"/>
        <v>2860000</v>
      </c>
    </row>
    <row r="20" spans="1:4" hidden="1" x14ac:dyDescent="0.3">
      <c r="A20" s="1" t="s">
        <v>12</v>
      </c>
      <c r="B20" s="1">
        <v>0</v>
      </c>
      <c r="C20" s="1"/>
      <c r="D20" s="1">
        <f t="shared" si="0"/>
        <v>0</v>
      </c>
    </row>
    <row r="21" spans="1:4" hidden="1" x14ac:dyDescent="0.3">
      <c r="A21" s="1" t="s">
        <v>13</v>
      </c>
      <c r="B21" s="1">
        <v>0</v>
      </c>
      <c r="C21" s="1"/>
      <c r="D21" s="1">
        <f t="shared" si="0"/>
        <v>0</v>
      </c>
    </row>
    <row r="22" spans="1:4" hidden="1" x14ac:dyDescent="0.3">
      <c r="A22" s="1" t="s">
        <v>14</v>
      </c>
      <c r="B22" s="1">
        <v>0</v>
      </c>
      <c r="C22" s="1"/>
      <c r="D22" s="1">
        <f t="shared" si="0"/>
        <v>0</v>
      </c>
    </row>
    <row r="23" spans="1:4" x14ac:dyDescent="0.3">
      <c r="A23" s="1" t="s">
        <v>15</v>
      </c>
      <c r="B23" s="1">
        <v>630</v>
      </c>
      <c r="C23" s="1">
        <v>15000</v>
      </c>
      <c r="D23" s="101">
        <f t="shared" si="0"/>
        <v>9450000</v>
      </c>
    </row>
    <row r="24" spans="1:4" x14ac:dyDescent="0.3">
      <c r="A24" s="1" t="s">
        <v>15</v>
      </c>
      <c r="B24" s="1">
        <v>20</v>
      </c>
      <c r="C24" s="1">
        <v>15000</v>
      </c>
      <c r="D24" s="101">
        <f t="shared" si="0"/>
        <v>300000</v>
      </c>
    </row>
    <row r="25" spans="1:4" x14ac:dyDescent="0.3">
      <c r="A25" s="1" t="s">
        <v>16</v>
      </c>
      <c r="B25" s="1">
        <v>70</v>
      </c>
      <c r="C25" s="1">
        <v>15000</v>
      </c>
      <c r="D25" s="101">
        <f t="shared" si="0"/>
        <v>1050000</v>
      </c>
    </row>
    <row r="26" spans="1:4" hidden="1" x14ac:dyDescent="0.3">
      <c r="A26" s="1" t="s">
        <v>17</v>
      </c>
      <c r="B26" s="1">
        <v>0</v>
      </c>
      <c r="C26" s="1"/>
      <c r="D26" s="1">
        <f t="shared" si="0"/>
        <v>0</v>
      </c>
    </row>
    <row r="27" spans="1:4" hidden="1" x14ac:dyDescent="0.3">
      <c r="A27" s="1" t="s">
        <v>18</v>
      </c>
      <c r="B27" s="1">
        <v>0</v>
      </c>
      <c r="C27" s="1"/>
      <c r="D27" s="1">
        <f t="shared" si="0"/>
        <v>0</v>
      </c>
    </row>
    <row r="28" spans="1:4" hidden="1" x14ac:dyDescent="0.3">
      <c r="A28" s="1" t="s">
        <v>19</v>
      </c>
      <c r="B28" s="1">
        <v>0</v>
      </c>
      <c r="C28" s="1"/>
      <c r="D28" s="1">
        <f t="shared" si="0"/>
        <v>0</v>
      </c>
    </row>
    <row r="29" spans="1:4" hidden="1" x14ac:dyDescent="0.3">
      <c r="A29" s="1" t="s">
        <v>19</v>
      </c>
      <c r="B29" s="1">
        <v>0</v>
      </c>
      <c r="C29" s="1"/>
      <c r="D29" s="1">
        <f t="shared" si="0"/>
        <v>0</v>
      </c>
    </row>
    <row r="30" spans="1:4" hidden="1" x14ac:dyDescent="0.3">
      <c r="A30" s="1" t="s">
        <v>20</v>
      </c>
      <c r="B30" s="1">
        <v>0</v>
      </c>
      <c r="C30" s="1"/>
      <c r="D30" s="1">
        <f t="shared" si="0"/>
        <v>0</v>
      </c>
    </row>
    <row r="31" spans="1:4" hidden="1" x14ac:dyDescent="0.3">
      <c r="A31" s="1" t="s">
        <v>21</v>
      </c>
      <c r="B31" s="1">
        <v>0</v>
      </c>
      <c r="C31" s="1"/>
      <c r="D31" s="1">
        <f t="shared" si="0"/>
        <v>0</v>
      </c>
    </row>
    <row r="32" spans="1:4" x14ac:dyDescent="0.3">
      <c r="A32" s="1" t="s">
        <v>22</v>
      </c>
      <c r="B32" s="1">
        <v>100</v>
      </c>
      <c r="C32" s="1">
        <v>13000</v>
      </c>
      <c r="D32" s="101">
        <f t="shared" si="0"/>
        <v>1300000</v>
      </c>
    </row>
    <row r="33" spans="1:4" x14ac:dyDescent="0.3">
      <c r="A33" s="1" t="s">
        <v>23</v>
      </c>
      <c r="B33" s="1">
        <v>4300</v>
      </c>
      <c r="C33" s="1">
        <v>5500</v>
      </c>
      <c r="D33" s="101">
        <f t="shared" si="0"/>
        <v>23650000</v>
      </c>
    </row>
    <row r="34" spans="1:4" hidden="1" x14ac:dyDescent="0.3">
      <c r="A34" s="1" t="s">
        <v>24</v>
      </c>
      <c r="B34" s="1">
        <v>0</v>
      </c>
      <c r="C34" s="1"/>
      <c r="D34" s="1">
        <f t="shared" si="0"/>
        <v>0</v>
      </c>
    </row>
    <row r="35" spans="1:4" hidden="1" x14ac:dyDescent="0.3">
      <c r="A35" s="1" t="s">
        <v>24</v>
      </c>
      <c r="B35" s="1">
        <v>0</v>
      </c>
      <c r="C35" s="1"/>
      <c r="D35" s="1">
        <f t="shared" si="0"/>
        <v>0</v>
      </c>
    </row>
    <row r="36" spans="1:4" hidden="1" x14ac:dyDescent="0.3">
      <c r="A36" s="1" t="s">
        <v>25</v>
      </c>
      <c r="B36" s="1"/>
      <c r="C36" s="1"/>
      <c r="D36" s="1">
        <f t="shared" si="0"/>
        <v>0</v>
      </c>
    </row>
    <row r="37" spans="1:4" hidden="1" x14ac:dyDescent="0.3">
      <c r="A37" s="1" t="s">
        <v>25</v>
      </c>
      <c r="B37" s="1">
        <v>0</v>
      </c>
      <c r="C37" s="1"/>
      <c r="D37" s="1">
        <f t="shared" si="0"/>
        <v>0</v>
      </c>
    </row>
    <row r="38" spans="1:4" hidden="1" x14ac:dyDescent="0.3">
      <c r="A38" s="1" t="s">
        <v>25</v>
      </c>
      <c r="B38" s="1"/>
      <c r="C38" s="1"/>
      <c r="D38" s="1">
        <f t="shared" si="0"/>
        <v>0</v>
      </c>
    </row>
    <row r="39" spans="1:4" hidden="1" x14ac:dyDescent="0.3">
      <c r="A39" s="1" t="s">
        <v>26</v>
      </c>
      <c r="B39" s="1">
        <v>0</v>
      </c>
      <c r="C39" s="1"/>
      <c r="D39" s="1">
        <f t="shared" si="0"/>
        <v>0</v>
      </c>
    </row>
    <row r="40" spans="1:4" hidden="1" x14ac:dyDescent="0.3">
      <c r="A40" s="1" t="s">
        <v>26</v>
      </c>
      <c r="B40" s="1">
        <v>0</v>
      </c>
      <c r="C40" s="1"/>
      <c r="D40" s="1">
        <f t="shared" si="0"/>
        <v>0</v>
      </c>
    </row>
    <row r="41" spans="1:4" hidden="1" x14ac:dyDescent="0.3">
      <c r="A41" s="1" t="s">
        <v>26</v>
      </c>
      <c r="B41" s="1">
        <v>0</v>
      </c>
      <c r="C41" s="1"/>
      <c r="D41" s="1">
        <f t="shared" si="0"/>
        <v>0</v>
      </c>
    </row>
    <row r="42" spans="1:4" hidden="1" x14ac:dyDescent="0.3">
      <c r="A42" s="1" t="s">
        <v>26</v>
      </c>
      <c r="B42" s="1"/>
      <c r="C42" s="1"/>
      <c r="D42" s="1">
        <f t="shared" si="0"/>
        <v>0</v>
      </c>
    </row>
    <row r="43" spans="1:4" hidden="1" x14ac:dyDescent="0.3">
      <c r="A43" s="1" t="s">
        <v>26</v>
      </c>
      <c r="B43" s="1"/>
      <c r="C43" s="1"/>
      <c r="D43" s="1">
        <f t="shared" si="0"/>
        <v>0</v>
      </c>
    </row>
    <row r="44" spans="1:4" hidden="1" x14ac:dyDescent="0.3">
      <c r="A44" s="1" t="s">
        <v>27</v>
      </c>
      <c r="B44" s="1">
        <v>0</v>
      </c>
      <c r="C44" s="1"/>
      <c r="D44" s="1">
        <f t="shared" si="0"/>
        <v>0</v>
      </c>
    </row>
    <row r="45" spans="1:4" hidden="1" x14ac:dyDescent="0.3">
      <c r="A45" s="1" t="s">
        <v>28</v>
      </c>
      <c r="B45" s="1">
        <v>0</v>
      </c>
      <c r="C45" s="1"/>
      <c r="D45" s="1">
        <f t="shared" si="0"/>
        <v>0</v>
      </c>
    </row>
    <row r="46" spans="1:4" x14ac:dyDescent="0.3">
      <c r="A46" s="1" t="s">
        <v>28</v>
      </c>
      <c r="B46" s="1">
        <v>220</v>
      </c>
      <c r="C46" s="1">
        <v>17000</v>
      </c>
      <c r="D46" s="101">
        <f t="shared" si="0"/>
        <v>3740000</v>
      </c>
    </row>
    <row r="47" spans="1:4" hidden="1" x14ac:dyDescent="0.3">
      <c r="A47" s="1" t="s">
        <v>28</v>
      </c>
      <c r="B47" s="1"/>
      <c r="C47" s="1"/>
      <c r="D47" s="1">
        <f t="shared" si="0"/>
        <v>0</v>
      </c>
    </row>
    <row r="48" spans="1:4" hidden="1" x14ac:dyDescent="0.3">
      <c r="A48" s="1" t="s">
        <v>29</v>
      </c>
      <c r="B48" s="1">
        <v>0</v>
      </c>
      <c r="C48" s="1"/>
      <c r="D48" s="1">
        <f t="shared" si="0"/>
        <v>0</v>
      </c>
    </row>
    <row r="49" spans="1:4" x14ac:dyDescent="0.3">
      <c r="A49" s="1" t="s">
        <v>29</v>
      </c>
      <c r="B49" s="1">
        <v>37</v>
      </c>
      <c r="C49" s="1">
        <v>33000</v>
      </c>
      <c r="D49" s="101">
        <f t="shared" si="0"/>
        <v>1221000</v>
      </c>
    </row>
    <row r="50" spans="1:4" hidden="1" x14ac:dyDescent="0.3">
      <c r="A50" s="1" t="s">
        <v>30</v>
      </c>
      <c r="B50" s="1"/>
      <c r="C50" s="1"/>
      <c r="D50" s="1">
        <f t="shared" si="0"/>
        <v>0</v>
      </c>
    </row>
    <row r="51" spans="1:4" hidden="1" x14ac:dyDescent="0.3">
      <c r="A51" s="1" t="s">
        <v>30</v>
      </c>
      <c r="B51" s="1">
        <v>0</v>
      </c>
      <c r="C51" s="1"/>
      <c r="D51" s="1">
        <f t="shared" si="0"/>
        <v>0</v>
      </c>
    </row>
    <row r="52" spans="1:4" hidden="1" x14ac:dyDescent="0.3">
      <c r="A52" s="1" t="s">
        <v>30</v>
      </c>
      <c r="B52" s="1"/>
      <c r="C52" s="1"/>
      <c r="D52" s="1">
        <f t="shared" si="0"/>
        <v>0</v>
      </c>
    </row>
    <row r="53" spans="1:4" x14ac:dyDescent="0.3">
      <c r="A53" s="1" t="s">
        <v>31</v>
      </c>
      <c r="B53" s="1">
        <v>12</v>
      </c>
      <c r="C53" s="1">
        <v>14000</v>
      </c>
      <c r="D53" s="101">
        <f t="shared" si="0"/>
        <v>168000</v>
      </c>
    </row>
    <row r="54" spans="1:4" hidden="1" x14ac:dyDescent="0.3">
      <c r="A54" s="1" t="s">
        <v>32</v>
      </c>
      <c r="B54" s="1">
        <v>0</v>
      </c>
      <c r="C54" s="1"/>
      <c r="D54" s="1">
        <f t="shared" si="0"/>
        <v>0</v>
      </c>
    </row>
    <row r="55" spans="1:4" hidden="1" x14ac:dyDescent="0.3">
      <c r="A55" s="1" t="s">
        <v>33</v>
      </c>
      <c r="B55" s="1"/>
      <c r="C55" s="1"/>
      <c r="D55" s="1">
        <f t="shared" si="0"/>
        <v>0</v>
      </c>
    </row>
    <row r="56" spans="1:4" hidden="1" x14ac:dyDescent="0.3">
      <c r="A56" s="1" t="s">
        <v>33</v>
      </c>
      <c r="B56" s="1">
        <v>0</v>
      </c>
      <c r="C56" s="1"/>
      <c r="D56" s="1">
        <f t="shared" si="0"/>
        <v>0</v>
      </c>
    </row>
    <row r="57" spans="1:4" hidden="1" x14ac:dyDescent="0.3">
      <c r="A57" s="1" t="s">
        <v>34</v>
      </c>
      <c r="B57" s="1">
        <v>0</v>
      </c>
      <c r="C57" s="1"/>
      <c r="D57" s="1">
        <f t="shared" si="0"/>
        <v>0</v>
      </c>
    </row>
    <row r="58" spans="1:4" hidden="1" x14ac:dyDescent="0.3">
      <c r="A58" s="1" t="s">
        <v>35</v>
      </c>
      <c r="B58" s="1">
        <v>0</v>
      </c>
      <c r="C58" s="1"/>
      <c r="D58" s="1">
        <f t="shared" si="0"/>
        <v>0</v>
      </c>
    </row>
    <row r="59" spans="1:4" hidden="1" x14ac:dyDescent="0.3">
      <c r="A59" s="1" t="s">
        <v>35</v>
      </c>
      <c r="B59" s="1">
        <v>0</v>
      </c>
      <c r="C59" s="1"/>
      <c r="D59" s="1">
        <f t="shared" si="0"/>
        <v>0</v>
      </c>
    </row>
    <row r="60" spans="1:4" hidden="1" x14ac:dyDescent="0.3">
      <c r="A60" s="1" t="s">
        <v>36</v>
      </c>
      <c r="B60" s="1">
        <v>0</v>
      </c>
      <c r="C60" s="1"/>
      <c r="D60" s="1">
        <f t="shared" si="0"/>
        <v>0</v>
      </c>
    </row>
    <row r="61" spans="1:4" hidden="1" x14ac:dyDescent="0.3">
      <c r="A61" s="1" t="s">
        <v>37</v>
      </c>
      <c r="B61" s="1">
        <v>0</v>
      </c>
      <c r="C61" s="1"/>
      <c r="D61" s="1">
        <f t="shared" si="0"/>
        <v>0</v>
      </c>
    </row>
    <row r="62" spans="1:4" hidden="1" x14ac:dyDescent="0.3">
      <c r="A62" s="1" t="s">
        <v>38</v>
      </c>
      <c r="B62" s="1">
        <v>0</v>
      </c>
      <c r="C62" s="1"/>
      <c r="D62" s="1">
        <f t="shared" si="0"/>
        <v>0</v>
      </c>
    </row>
    <row r="63" spans="1:4" hidden="1" x14ac:dyDescent="0.3">
      <c r="A63" s="1" t="s">
        <v>39</v>
      </c>
      <c r="B63" s="1">
        <v>0</v>
      </c>
      <c r="C63" s="1"/>
      <c r="D63" s="1">
        <f t="shared" si="0"/>
        <v>0</v>
      </c>
    </row>
    <row r="64" spans="1:4" hidden="1" x14ac:dyDescent="0.3">
      <c r="A64" s="1" t="s">
        <v>40</v>
      </c>
      <c r="B64" s="1">
        <v>0</v>
      </c>
      <c r="C64" s="1"/>
      <c r="D64" s="1">
        <f t="shared" si="0"/>
        <v>0</v>
      </c>
    </row>
    <row r="65" spans="1:4" hidden="1" x14ac:dyDescent="0.3">
      <c r="A65" s="1" t="s">
        <v>41</v>
      </c>
      <c r="B65" s="1">
        <v>0</v>
      </c>
      <c r="C65" s="1"/>
      <c r="D65" s="1">
        <f t="shared" si="0"/>
        <v>0</v>
      </c>
    </row>
    <row r="66" spans="1:4" hidden="1" x14ac:dyDescent="0.3">
      <c r="A66" s="1" t="s">
        <v>42</v>
      </c>
      <c r="B66" s="1">
        <v>0</v>
      </c>
      <c r="C66" s="1"/>
      <c r="D66" s="1">
        <f t="shared" si="0"/>
        <v>0</v>
      </c>
    </row>
    <row r="67" spans="1:4" hidden="1" x14ac:dyDescent="0.3">
      <c r="A67" s="1" t="s">
        <v>43</v>
      </c>
      <c r="B67" s="1">
        <v>0</v>
      </c>
      <c r="C67" s="1"/>
      <c r="D67" s="1">
        <f t="shared" si="0"/>
        <v>0</v>
      </c>
    </row>
    <row r="68" spans="1:4" hidden="1" x14ac:dyDescent="0.3">
      <c r="A68" s="1" t="s">
        <v>43</v>
      </c>
      <c r="B68" s="1">
        <v>0</v>
      </c>
      <c r="C68" s="1"/>
      <c r="D68" s="1">
        <f t="shared" ref="D68:D131" si="1">B68*C68</f>
        <v>0</v>
      </c>
    </row>
    <row r="69" spans="1:4" hidden="1" x14ac:dyDescent="0.3">
      <c r="A69" s="1" t="s">
        <v>44</v>
      </c>
      <c r="B69" s="1"/>
      <c r="C69" s="1"/>
      <c r="D69" s="1">
        <f t="shared" si="1"/>
        <v>0</v>
      </c>
    </row>
    <row r="70" spans="1:4" hidden="1" x14ac:dyDescent="0.3">
      <c r="A70" s="1" t="s">
        <v>45</v>
      </c>
      <c r="B70" s="1">
        <v>0</v>
      </c>
      <c r="C70" s="1"/>
      <c r="D70" s="1">
        <f t="shared" si="1"/>
        <v>0</v>
      </c>
    </row>
    <row r="71" spans="1:4" hidden="1" x14ac:dyDescent="0.3">
      <c r="A71" s="1" t="s">
        <v>46</v>
      </c>
      <c r="B71" s="1">
        <v>0</v>
      </c>
      <c r="C71" s="1"/>
      <c r="D71" s="1">
        <f t="shared" si="1"/>
        <v>0</v>
      </c>
    </row>
    <row r="72" spans="1:4" hidden="1" x14ac:dyDescent="0.3">
      <c r="A72" s="1" t="s">
        <v>47</v>
      </c>
      <c r="B72" s="1">
        <v>0</v>
      </c>
      <c r="C72" s="1"/>
      <c r="D72" s="1">
        <f t="shared" si="1"/>
        <v>0</v>
      </c>
    </row>
    <row r="73" spans="1:4" hidden="1" x14ac:dyDescent="0.3">
      <c r="A73" s="1" t="s">
        <v>48</v>
      </c>
      <c r="B73" s="1">
        <v>0</v>
      </c>
      <c r="C73" s="1"/>
      <c r="D73" s="1">
        <f t="shared" si="1"/>
        <v>0</v>
      </c>
    </row>
    <row r="74" spans="1:4" x14ac:dyDescent="0.3">
      <c r="A74" s="1" t="s">
        <v>49</v>
      </c>
      <c r="B74" s="1">
        <v>10</v>
      </c>
      <c r="C74" s="1">
        <v>6500</v>
      </c>
      <c r="D74" s="101">
        <f t="shared" si="1"/>
        <v>65000</v>
      </c>
    </row>
    <row r="75" spans="1:4" x14ac:dyDescent="0.3">
      <c r="A75" s="1" t="s">
        <v>50</v>
      </c>
      <c r="B75" s="1">
        <v>2765</v>
      </c>
      <c r="C75" s="1">
        <v>8000</v>
      </c>
      <c r="D75" s="101">
        <f t="shared" si="1"/>
        <v>22120000</v>
      </c>
    </row>
    <row r="76" spans="1:4" hidden="1" x14ac:dyDescent="0.3">
      <c r="A76" s="1" t="s">
        <v>51</v>
      </c>
      <c r="B76" s="1">
        <v>0</v>
      </c>
      <c r="C76" s="1"/>
      <c r="D76" s="1">
        <f t="shared" si="1"/>
        <v>0</v>
      </c>
    </row>
    <row r="77" spans="1:4" hidden="1" x14ac:dyDescent="0.3">
      <c r="A77" s="1" t="s">
        <v>51</v>
      </c>
      <c r="B77" s="1">
        <v>0</v>
      </c>
      <c r="C77" s="1"/>
      <c r="D77" s="1">
        <f t="shared" si="1"/>
        <v>0</v>
      </c>
    </row>
    <row r="78" spans="1:4" x14ac:dyDescent="0.3">
      <c r="A78" s="1" t="s">
        <v>52</v>
      </c>
      <c r="B78" s="1">
        <v>60</v>
      </c>
      <c r="C78" s="1">
        <v>10000</v>
      </c>
      <c r="D78" s="101">
        <f t="shared" si="1"/>
        <v>600000</v>
      </c>
    </row>
    <row r="79" spans="1:4" hidden="1" x14ac:dyDescent="0.3">
      <c r="A79" s="1" t="s">
        <v>52</v>
      </c>
      <c r="B79" s="1">
        <v>0</v>
      </c>
      <c r="C79" s="1"/>
      <c r="D79" s="1">
        <f t="shared" si="1"/>
        <v>0</v>
      </c>
    </row>
    <row r="80" spans="1:4" x14ac:dyDescent="0.3">
      <c r="A80" s="1" t="s">
        <v>53</v>
      </c>
      <c r="B80" s="1">
        <v>130</v>
      </c>
      <c r="C80" s="1">
        <v>22000</v>
      </c>
      <c r="D80" s="101">
        <f t="shared" si="1"/>
        <v>2860000</v>
      </c>
    </row>
    <row r="81" spans="1:4" x14ac:dyDescent="0.3">
      <c r="A81" s="1" t="s">
        <v>53</v>
      </c>
      <c r="B81" s="1">
        <v>20</v>
      </c>
      <c r="C81" s="1">
        <v>23000</v>
      </c>
      <c r="D81" s="101">
        <f t="shared" si="1"/>
        <v>460000</v>
      </c>
    </row>
    <row r="82" spans="1:4" hidden="1" x14ac:dyDescent="0.3">
      <c r="A82" s="1" t="s">
        <v>54</v>
      </c>
      <c r="B82" s="1">
        <v>0</v>
      </c>
      <c r="C82" s="1"/>
      <c r="D82" s="1">
        <f t="shared" si="1"/>
        <v>0</v>
      </c>
    </row>
    <row r="83" spans="1:4" hidden="1" x14ac:dyDescent="0.3">
      <c r="A83" s="1" t="s">
        <v>55</v>
      </c>
      <c r="B83" s="1">
        <v>0</v>
      </c>
      <c r="C83" s="1"/>
      <c r="D83" s="1">
        <f t="shared" si="1"/>
        <v>0</v>
      </c>
    </row>
    <row r="84" spans="1:4" x14ac:dyDescent="0.3">
      <c r="A84" s="1" t="s">
        <v>56</v>
      </c>
      <c r="B84" s="1">
        <v>144</v>
      </c>
      <c r="C84" s="1">
        <v>10500</v>
      </c>
      <c r="D84" s="101">
        <f t="shared" si="1"/>
        <v>1512000</v>
      </c>
    </row>
    <row r="85" spans="1:4" hidden="1" x14ac:dyDescent="0.3">
      <c r="A85" s="1" t="s">
        <v>57</v>
      </c>
      <c r="B85" s="1">
        <v>0</v>
      </c>
      <c r="C85" s="1"/>
      <c r="D85" s="1">
        <f t="shared" si="1"/>
        <v>0</v>
      </c>
    </row>
    <row r="86" spans="1:4" hidden="1" x14ac:dyDescent="0.3">
      <c r="A86" s="1" t="s">
        <v>57</v>
      </c>
      <c r="B86" s="1"/>
      <c r="C86" s="1"/>
      <c r="D86" s="1">
        <f t="shared" si="1"/>
        <v>0</v>
      </c>
    </row>
    <row r="87" spans="1:4" hidden="1" x14ac:dyDescent="0.3">
      <c r="A87" s="1" t="s">
        <v>58</v>
      </c>
      <c r="B87" s="1">
        <v>0</v>
      </c>
      <c r="C87" s="1"/>
      <c r="D87" s="1">
        <f t="shared" si="1"/>
        <v>0</v>
      </c>
    </row>
    <row r="88" spans="1:4" x14ac:dyDescent="0.3">
      <c r="A88" s="1" t="s">
        <v>59</v>
      </c>
      <c r="B88" s="1">
        <v>30</v>
      </c>
      <c r="C88" s="1">
        <v>6000</v>
      </c>
      <c r="D88" s="101">
        <f t="shared" si="1"/>
        <v>180000</v>
      </c>
    </row>
    <row r="89" spans="1:4" x14ac:dyDescent="0.3">
      <c r="A89" s="1" t="s">
        <v>60</v>
      </c>
      <c r="B89" s="1">
        <v>590</v>
      </c>
      <c r="C89" s="1">
        <v>20000</v>
      </c>
      <c r="D89" s="101">
        <f t="shared" si="1"/>
        <v>11800000</v>
      </c>
    </row>
    <row r="90" spans="1:4" hidden="1" x14ac:dyDescent="0.3">
      <c r="A90" s="1" t="s">
        <v>60</v>
      </c>
      <c r="B90" s="1">
        <v>0</v>
      </c>
      <c r="C90" s="1"/>
      <c r="D90" s="1">
        <f t="shared" si="1"/>
        <v>0</v>
      </c>
    </row>
    <row r="91" spans="1:4" hidden="1" x14ac:dyDescent="0.3">
      <c r="A91" s="1" t="s">
        <v>60</v>
      </c>
      <c r="B91" s="1">
        <v>0</v>
      </c>
      <c r="C91" s="1"/>
      <c r="D91" s="1">
        <f t="shared" si="1"/>
        <v>0</v>
      </c>
    </row>
    <row r="92" spans="1:4" hidden="1" x14ac:dyDescent="0.3">
      <c r="A92" s="1" t="s">
        <v>61</v>
      </c>
      <c r="B92" s="1"/>
      <c r="C92" s="1"/>
      <c r="D92" s="1">
        <f t="shared" si="1"/>
        <v>0</v>
      </c>
    </row>
    <row r="93" spans="1:4" x14ac:dyDescent="0.3">
      <c r="A93" s="1" t="s">
        <v>62</v>
      </c>
      <c r="B93" s="1">
        <v>5</v>
      </c>
      <c r="C93" s="1">
        <v>7000</v>
      </c>
      <c r="D93" s="101">
        <f t="shared" si="1"/>
        <v>35000</v>
      </c>
    </row>
    <row r="94" spans="1:4" hidden="1" x14ac:dyDescent="0.3">
      <c r="A94" s="1" t="s">
        <v>63</v>
      </c>
      <c r="B94" s="1">
        <v>0</v>
      </c>
      <c r="C94" s="1"/>
      <c r="D94" s="1">
        <f t="shared" si="1"/>
        <v>0</v>
      </c>
    </row>
    <row r="95" spans="1:4" hidden="1" x14ac:dyDescent="0.3">
      <c r="A95" s="1" t="s">
        <v>64</v>
      </c>
      <c r="B95" s="1">
        <v>0</v>
      </c>
      <c r="C95" s="1"/>
      <c r="D95" s="1">
        <f t="shared" si="1"/>
        <v>0</v>
      </c>
    </row>
    <row r="96" spans="1:4" hidden="1" x14ac:dyDescent="0.3">
      <c r="A96" s="1" t="s">
        <v>64</v>
      </c>
      <c r="B96" s="1">
        <v>0</v>
      </c>
      <c r="C96" s="1"/>
      <c r="D96" s="1">
        <f t="shared" si="1"/>
        <v>0</v>
      </c>
    </row>
    <row r="97" spans="1:4" hidden="1" x14ac:dyDescent="0.3">
      <c r="A97" s="1" t="s">
        <v>65</v>
      </c>
      <c r="B97" s="1">
        <v>0</v>
      </c>
      <c r="C97" s="1"/>
      <c r="D97" s="1">
        <f t="shared" si="1"/>
        <v>0</v>
      </c>
    </row>
    <row r="98" spans="1:4" hidden="1" x14ac:dyDescent="0.3">
      <c r="A98" s="1" t="s">
        <v>66</v>
      </c>
      <c r="B98" s="1">
        <v>0</v>
      </c>
      <c r="C98" s="1"/>
      <c r="D98" s="1">
        <f t="shared" si="1"/>
        <v>0</v>
      </c>
    </row>
    <row r="99" spans="1:4" hidden="1" x14ac:dyDescent="0.3">
      <c r="A99" s="1" t="s">
        <v>67</v>
      </c>
      <c r="B99" s="1">
        <v>0</v>
      </c>
      <c r="C99" s="1"/>
      <c r="D99" s="1">
        <f t="shared" si="1"/>
        <v>0</v>
      </c>
    </row>
    <row r="100" spans="1:4" hidden="1" x14ac:dyDescent="0.3">
      <c r="A100" s="1" t="s">
        <v>68</v>
      </c>
      <c r="B100" s="1">
        <v>0</v>
      </c>
      <c r="C100" s="1"/>
      <c r="D100" s="1">
        <f t="shared" si="1"/>
        <v>0</v>
      </c>
    </row>
    <row r="101" spans="1:4" hidden="1" x14ac:dyDescent="0.3">
      <c r="A101" s="1" t="s">
        <v>69</v>
      </c>
      <c r="B101" s="1">
        <v>0</v>
      </c>
      <c r="C101" s="1"/>
      <c r="D101" s="1">
        <f t="shared" si="1"/>
        <v>0</v>
      </c>
    </row>
    <row r="102" spans="1:4" hidden="1" x14ac:dyDescent="0.3">
      <c r="A102" s="1" t="s">
        <v>70</v>
      </c>
      <c r="B102" s="1">
        <v>0</v>
      </c>
      <c r="C102" s="1"/>
      <c r="D102" s="1">
        <f t="shared" si="1"/>
        <v>0</v>
      </c>
    </row>
    <row r="103" spans="1:4" hidden="1" x14ac:dyDescent="0.3">
      <c r="A103" s="1" t="s">
        <v>71</v>
      </c>
      <c r="B103" s="1">
        <v>0</v>
      </c>
      <c r="C103" s="1"/>
      <c r="D103" s="1">
        <f t="shared" si="1"/>
        <v>0</v>
      </c>
    </row>
    <row r="104" spans="1:4" hidden="1" x14ac:dyDescent="0.3">
      <c r="A104" s="1" t="s">
        <v>72</v>
      </c>
      <c r="B104" s="1">
        <v>0</v>
      </c>
      <c r="C104" s="1"/>
      <c r="D104" s="1">
        <f t="shared" si="1"/>
        <v>0</v>
      </c>
    </row>
    <row r="105" spans="1:4" hidden="1" x14ac:dyDescent="0.3">
      <c r="A105" s="1" t="s">
        <v>73</v>
      </c>
      <c r="B105" s="1">
        <v>0</v>
      </c>
      <c r="C105" s="1"/>
      <c r="D105" s="1">
        <f t="shared" si="1"/>
        <v>0</v>
      </c>
    </row>
    <row r="106" spans="1:4" hidden="1" x14ac:dyDescent="0.3">
      <c r="A106" s="1" t="s">
        <v>73</v>
      </c>
      <c r="B106" s="1">
        <v>0</v>
      </c>
      <c r="C106" s="1"/>
      <c r="D106" s="1">
        <f t="shared" si="1"/>
        <v>0</v>
      </c>
    </row>
    <row r="107" spans="1:4" hidden="1" x14ac:dyDescent="0.3">
      <c r="A107" s="1" t="s">
        <v>74</v>
      </c>
      <c r="B107" s="1">
        <v>0</v>
      </c>
      <c r="C107" s="1"/>
      <c r="D107" s="1">
        <f t="shared" si="1"/>
        <v>0</v>
      </c>
    </row>
    <row r="108" spans="1:4" hidden="1" x14ac:dyDescent="0.3">
      <c r="A108" s="1" t="s">
        <v>75</v>
      </c>
      <c r="B108" s="1"/>
      <c r="C108" s="1"/>
      <c r="D108" s="1">
        <f t="shared" si="1"/>
        <v>0</v>
      </c>
    </row>
    <row r="109" spans="1:4" hidden="1" x14ac:dyDescent="0.3">
      <c r="A109" s="1" t="s">
        <v>75</v>
      </c>
      <c r="B109" s="1"/>
      <c r="C109" s="1"/>
      <c r="D109" s="1">
        <f t="shared" si="1"/>
        <v>0</v>
      </c>
    </row>
    <row r="110" spans="1:4" hidden="1" x14ac:dyDescent="0.3">
      <c r="A110" s="1" t="s">
        <v>75</v>
      </c>
      <c r="B110" s="1">
        <v>0</v>
      </c>
      <c r="C110" s="1"/>
      <c r="D110" s="1">
        <f t="shared" si="1"/>
        <v>0</v>
      </c>
    </row>
    <row r="111" spans="1:4" x14ac:dyDescent="0.3">
      <c r="A111" s="1" t="s">
        <v>76</v>
      </c>
      <c r="B111" s="1">
        <v>295</v>
      </c>
      <c r="C111" s="1">
        <v>22000</v>
      </c>
      <c r="D111" s="101">
        <f t="shared" si="1"/>
        <v>6490000</v>
      </c>
    </row>
    <row r="112" spans="1:4" hidden="1" x14ac:dyDescent="0.3">
      <c r="A112" s="1" t="s">
        <v>76</v>
      </c>
      <c r="B112" s="1">
        <v>0</v>
      </c>
      <c r="C112" s="1"/>
      <c r="D112" s="1">
        <f t="shared" si="1"/>
        <v>0</v>
      </c>
    </row>
    <row r="113" spans="1:4" hidden="1" x14ac:dyDescent="0.3">
      <c r="A113" s="1" t="s">
        <v>77</v>
      </c>
      <c r="B113" s="1">
        <v>0</v>
      </c>
      <c r="C113" s="1"/>
      <c r="D113" s="1">
        <f t="shared" si="1"/>
        <v>0</v>
      </c>
    </row>
    <row r="114" spans="1:4" hidden="1" x14ac:dyDescent="0.3">
      <c r="A114" s="1" t="s">
        <v>77</v>
      </c>
      <c r="B114" s="1"/>
      <c r="C114" s="1"/>
      <c r="D114" s="1">
        <f t="shared" si="1"/>
        <v>0</v>
      </c>
    </row>
    <row r="115" spans="1:4" x14ac:dyDescent="0.3">
      <c r="A115" s="1" t="s">
        <v>78</v>
      </c>
      <c r="B115" s="1">
        <v>118</v>
      </c>
      <c r="C115" s="1">
        <v>20000</v>
      </c>
      <c r="D115" s="101">
        <f t="shared" si="1"/>
        <v>2360000</v>
      </c>
    </row>
    <row r="116" spans="1:4" hidden="1" x14ac:dyDescent="0.3">
      <c r="A116" s="1" t="s">
        <v>78</v>
      </c>
      <c r="B116" s="1">
        <v>0</v>
      </c>
      <c r="C116" s="1"/>
      <c r="D116" s="1">
        <f t="shared" si="1"/>
        <v>0</v>
      </c>
    </row>
    <row r="117" spans="1:4" x14ac:dyDescent="0.3">
      <c r="A117" s="1" t="s">
        <v>79</v>
      </c>
      <c r="B117" s="1">
        <v>70</v>
      </c>
      <c r="C117" s="1">
        <v>22000</v>
      </c>
      <c r="D117" s="101">
        <f t="shared" si="1"/>
        <v>1540000</v>
      </c>
    </row>
    <row r="118" spans="1:4" hidden="1" x14ac:dyDescent="0.3">
      <c r="A118" s="1" t="s">
        <v>79</v>
      </c>
      <c r="B118" s="1">
        <v>0</v>
      </c>
      <c r="C118" s="1"/>
      <c r="D118" s="1">
        <f t="shared" si="1"/>
        <v>0</v>
      </c>
    </row>
    <row r="119" spans="1:4" hidden="1" x14ac:dyDescent="0.3">
      <c r="A119" s="1" t="s">
        <v>80</v>
      </c>
      <c r="B119" s="1">
        <v>0</v>
      </c>
      <c r="C119" s="1"/>
      <c r="D119" s="1">
        <f t="shared" si="1"/>
        <v>0</v>
      </c>
    </row>
    <row r="120" spans="1:4" hidden="1" x14ac:dyDescent="0.3">
      <c r="A120" s="1" t="s">
        <v>81</v>
      </c>
      <c r="B120" s="1">
        <v>0</v>
      </c>
      <c r="C120" s="1"/>
      <c r="D120" s="1">
        <f t="shared" si="1"/>
        <v>0</v>
      </c>
    </row>
    <row r="121" spans="1:4" x14ac:dyDescent="0.3">
      <c r="A121" s="1" t="s">
        <v>82</v>
      </c>
      <c r="B121" s="1">
        <v>100</v>
      </c>
      <c r="C121" s="1">
        <v>5500</v>
      </c>
      <c r="D121" s="101">
        <f t="shared" si="1"/>
        <v>550000</v>
      </c>
    </row>
    <row r="122" spans="1:4" hidden="1" x14ac:dyDescent="0.3">
      <c r="A122" s="1" t="s">
        <v>83</v>
      </c>
      <c r="B122" s="1">
        <v>0</v>
      </c>
      <c r="C122" s="1"/>
      <c r="D122" s="1">
        <f t="shared" si="1"/>
        <v>0</v>
      </c>
    </row>
    <row r="123" spans="1:4" hidden="1" x14ac:dyDescent="0.3">
      <c r="A123" s="1" t="s">
        <v>84</v>
      </c>
      <c r="B123" s="1">
        <v>0</v>
      </c>
      <c r="C123" s="1"/>
      <c r="D123" s="1">
        <f t="shared" si="1"/>
        <v>0</v>
      </c>
    </row>
    <row r="124" spans="1:4" hidden="1" x14ac:dyDescent="0.3">
      <c r="A124" s="1" t="s">
        <v>85</v>
      </c>
      <c r="B124" s="1">
        <v>0</v>
      </c>
      <c r="C124" s="1"/>
      <c r="D124" s="1">
        <f t="shared" si="1"/>
        <v>0</v>
      </c>
    </row>
    <row r="125" spans="1:4" hidden="1" x14ac:dyDescent="0.3">
      <c r="A125" s="1" t="s">
        <v>86</v>
      </c>
      <c r="B125" s="1">
        <v>0</v>
      </c>
      <c r="C125" s="1"/>
      <c r="D125" s="1">
        <f t="shared" si="1"/>
        <v>0</v>
      </c>
    </row>
    <row r="126" spans="1:4" hidden="1" x14ac:dyDescent="0.3">
      <c r="A126" s="1" t="s">
        <v>87</v>
      </c>
      <c r="B126" s="1">
        <v>0</v>
      </c>
      <c r="C126" s="1"/>
      <c r="D126" s="1">
        <f t="shared" si="1"/>
        <v>0</v>
      </c>
    </row>
    <row r="127" spans="1:4" hidden="1" x14ac:dyDescent="0.3">
      <c r="A127" s="1" t="s">
        <v>88</v>
      </c>
      <c r="B127" s="1">
        <v>0</v>
      </c>
      <c r="C127" s="1"/>
      <c r="D127" s="1">
        <f t="shared" si="1"/>
        <v>0</v>
      </c>
    </row>
    <row r="128" spans="1:4" hidden="1" x14ac:dyDescent="0.3">
      <c r="A128" s="1" t="s">
        <v>89</v>
      </c>
      <c r="B128" s="1">
        <v>0</v>
      </c>
      <c r="C128" s="1"/>
      <c r="D128" s="1">
        <f t="shared" si="1"/>
        <v>0</v>
      </c>
    </row>
    <row r="129" spans="1:4" hidden="1" x14ac:dyDescent="0.3">
      <c r="A129" s="1" t="s">
        <v>90</v>
      </c>
      <c r="B129" s="1">
        <v>0</v>
      </c>
      <c r="C129" s="1"/>
      <c r="D129" s="1">
        <f t="shared" si="1"/>
        <v>0</v>
      </c>
    </row>
    <row r="130" spans="1:4" hidden="1" x14ac:dyDescent="0.3">
      <c r="A130" s="1" t="s">
        <v>91</v>
      </c>
      <c r="B130" s="1">
        <v>0</v>
      </c>
      <c r="C130" s="1"/>
      <c r="D130" s="1">
        <f t="shared" si="1"/>
        <v>0</v>
      </c>
    </row>
    <row r="131" spans="1:4" hidden="1" x14ac:dyDescent="0.3">
      <c r="A131" s="1" t="s">
        <v>92</v>
      </c>
      <c r="B131" s="1">
        <v>0</v>
      </c>
      <c r="C131" s="1"/>
      <c r="D131" s="1">
        <f t="shared" si="1"/>
        <v>0</v>
      </c>
    </row>
    <row r="132" spans="1:4" hidden="1" x14ac:dyDescent="0.3">
      <c r="A132" s="1" t="s">
        <v>93</v>
      </c>
      <c r="B132" s="1">
        <v>0</v>
      </c>
      <c r="C132" s="1"/>
      <c r="D132" s="1">
        <f t="shared" ref="D132:D197" si="2">B132*C132</f>
        <v>0</v>
      </c>
    </row>
    <row r="133" spans="1:4" hidden="1" x14ac:dyDescent="0.3">
      <c r="A133" s="1" t="s">
        <v>94</v>
      </c>
      <c r="B133" s="1">
        <v>0</v>
      </c>
      <c r="C133" s="1"/>
      <c r="D133" s="1">
        <f t="shared" si="2"/>
        <v>0</v>
      </c>
    </row>
    <row r="134" spans="1:4" hidden="1" x14ac:dyDescent="0.3">
      <c r="A134" s="1" t="s">
        <v>95</v>
      </c>
      <c r="B134" s="1">
        <v>0</v>
      </c>
      <c r="C134" s="1"/>
      <c r="D134" s="1">
        <f t="shared" si="2"/>
        <v>0</v>
      </c>
    </row>
    <row r="135" spans="1:4" hidden="1" x14ac:dyDescent="0.3">
      <c r="A135" s="1" t="s">
        <v>96</v>
      </c>
      <c r="B135" s="1">
        <v>0</v>
      </c>
      <c r="C135" s="1"/>
      <c r="D135" s="1">
        <f t="shared" si="2"/>
        <v>0</v>
      </c>
    </row>
    <row r="136" spans="1:4" hidden="1" x14ac:dyDescent="0.3">
      <c r="A136" s="1" t="s">
        <v>97</v>
      </c>
      <c r="B136" s="1">
        <v>0</v>
      </c>
      <c r="C136" s="1"/>
      <c r="D136" s="1">
        <f t="shared" si="2"/>
        <v>0</v>
      </c>
    </row>
    <row r="137" spans="1:4" hidden="1" x14ac:dyDescent="0.3">
      <c r="A137" s="1" t="s">
        <v>98</v>
      </c>
      <c r="B137" s="1">
        <v>0</v>
      </c>
      <c r="C137" s="1"/>
      <c r="D137" s="1">
        <f t="shared" si="2"/>
        <v>0</v>
      </c>
    </row>
    <row r="138" spans="1:4" hidden="1" x14ac:dyDescent="0.3">
      <c r="A138" s="1" t="s">
        <v>99</v>
      </c>
      <c r="B138" s="1">
        <v>0</v>
      </c>
      <c r="C138" s="1"/>
      <c r="D138" s="1">
        <f t="shared" si="2"/>
        <v>0</v>
      </c>
    </row>
    <row r="139" spans="1:4" hidden="1" x14ac:dyDescent="0.3">
      <c r="A139" s="1" t="s">
        <v>100</v>
      </c>
      <c r="B139" s="1">
        <v>0</v>
      </c>
      <c r="C139" s="1"/>
      <c r="D139" s="1">
        <f t="shared" si="2"/>
        <v>0</v>
      </c>
    </row>
    <row r="140" spans="1:4" hidden="1" x14ac:dyDescent="0.3">
      <c r="A140" s="1" t="s">
        <v>101</v>
      </c>
      <c r="B140" s="1">
        <v>0</v>
      </c>
      <c r="C140" s="1"/>
      <c r="D140" s="1">
        <f t="shared" si="2"/>
        <v>0</v>
      </c>
    </row>
    <row r="141" spans="1:4" x14ac:dyDescent="0.3">
      <c r="A141" s="1" t="s">
        <v>102</v>
      </c>
      <c r="B141" s="1">
        <v>400</v>
      </c>
      <c r="C141" s="1">
        <v>21000</v>
      </c>
      <c r="D141" s="101">
        <f t="shared" si="2"/>
        <v>8400000</v>
      </c>
    </row>
    <row r="142" spans="1:4" x14ac:dyDescent="0.3">
      <c r="A142" s="1" t="s">
        <v>103</v>
      </c>
      <c r="B142" s="1">
        <v>20</v>
      </c>
      <c r="C142" s="1">
        <v>35000</v>
      </c>
      <c r="D142" s="101">
        <f t="shared" si="2"/>
        <v>700000</v>
      </c>
    </row>
    <row r="143" spans="1:4" hidden="1" x14ac:dyDescent="0.3">
      <c r="A143" s="1" t="s">
        <v>104</v>
      </c>
      <c r="B143" s="1"/>
      <c r="C143" s="1"/>
      <c r="D143" s="1">
        <f t="shared" si="2"/>
        <v>0</v>
      </c>
    </row>
    <row r="144" spans="1:4" hidden="1" x14ac:dyDescent="0.3">
      <c r="A144" s="1" t="s">
        <v>105</v>
      </c>
      <c r="B144" s="1"/>
      <c r="C144" s="1"/>
      <c r="D144" s="1">
        <f t="shared" si="2"/>
        <v>0</v>
      </c>
    </row>
    <row r="145" spans="1:4" hidden="1" x14ac:dyDescent="0.3">
      <c r="A145" s="1" t="s">
        <v>106</v>
      </c>
      <c r="B145" s="1"/>
      <c r="C145" s="1"/>
      <c r="D145" s="1">
        <f t="shared" si="2"/>
        <v>0</v>
      </c>
    </row>
    <row r="146" spans="1:4" hidden="1" x14ac:dyDescent="0.3">
      <c r="A146" s="1" t="s">
        <v>107</v>
      </c>
      <c r="B146" s="1"/>
      <c r="C146" s="1"/>
      <c r="D146" s="1">
        <f t="shared" si="2"/>
        <v>0</v>
      </c>
    </row>
    <row r="147" spans="1:4" hidden="1" x14ac:dyDescent="0.3">
      <c r="A147" s="1" t="s">
        <v>108</v>
      </c>
      <c r="B147" s="1"/>
      <c r="C147" s="1"/>
      <c r="D147" s="1">
        <f t="shared" si="2"/>
        <v>0</v>
      </c>
    </row>
    <row r="148" spans="1:4" hidden="1" x14ac:dyDescent="0.3">
      <c r="A148" s="1" t="s">
        <v>109</v>
      </c>
      <c r="B148" s="1"/>
      <c r="C148" s="1"/>
      <c r="D148" s="1">
        <f t="shared" si="2"/>
        <v>0</v>
      </c>
    </row>
    <row r="149" spans="1:4" hidden="1" x14ac:dyDescent="0.3">
      <c r="A149" s="1" t="s">
        <v>110</v>
      </c>
      <c r="B149" s="1"/>
      <c r="C149" s="1"/>
      <c r="D149" s="1">
        <f t="shared" si="2"/>
        <v>0</v>
      </c>
    </row>
    <row r="150" spans="1:4" hidden="1" x14ac:dyDescent="0.3">
      <c r="A150" s="1" t="s">
        <v>111</v>
      </c>
      <c r="B150" s="1"/>
      <c r="C150" s="1"/>
      <c r="D150" s="1">
        <f t="shared" si="2"/>
        <v>0</v>
      </c>
    </row>
    <row r="151" spans="1:4" hidden="1" x14ac:dyDescent="0.3">
      <c r="A151" s="1" t="s">
        <v>112</v>
      </c>
      <c r="B151" s="1"/>
      <c r="C151" s="1"/>
      <c r="D151" s="1">
        <f t="shared" si="2"/>
        <v>0</v>
      </c>
    </row>
    <row r="152" spans="1:4" hidden="1" x14ac:dyDescent="0.3">
      <c r="A152" s="1" t="s">
        <v>113</v>
      </c>
      <c r="B152" s="1"/>
      <c r="C152" s="1"/>
      <c r="D152" s="1">
        <f t="shared" si="2"/>
        <v>0</v>
      </c>
    </row>
    <row r="153" spans="1:4" hidden="1" x14ac:dyDescent="0.3">
      <c r="A153" s="1" t="s">
        <v>114</v>
      </c>
      <c r="B153" s="1"/>
      <c r="C153" s="1"/>
      <c r="D153" s="1">
        <f t="shared" si="2"/>
        <v>0</v>
      </c>
    </row>
    <row r="154" spans="1:4" hidden="1" x14ac:dyDescent="0.3">
      <c r="A154" s="1" t="s">
        <v>115</v>
      </c>
      <c r="B154" s="1"/>
      <c r="C154" s="1"/>
      <c r="D154" s="1">
        <f t="shared" si="2"/>
        <v>0</v>
      </c>
    </row>
    <row r="155" spans="1:4" hidden="1" x14ac:dyDescent="0.3">
      <c r="A155" s="1" t="s">
        <v>116</v>
      </c>
      <c r="B155" s="1"/>
      <c r="C155" s="1"/>
      <c r="D155" s="1">
        <f t="shared" si="2"/>
        <v>0</v>
      </c>
    </row>
    <row r="156" spans="1:4" hidden="1" x14ac:dyDescent="0.3">
      <c r="A156" s="1" t="s">
        <v>117</v>
      </c>
      <c r="B156" s="1"/>
      <c r="C156" s="1"/>
      <c r="D156" s="1">
        <f t="shared" si="2"/>
        <v>0</v>
      </c>
    </row>
    <row r="157" spans="1:4" hidden="1" x14ac:dyDescent="0.3">
      <c r="A157" s="1" t="s">
        <v>118</v>
      </c>
      <c r="B157" s="1"/>
      <c r="C157" s="1"/>
      <c r="D157" s="1">
        <f t="shared" si="2"/>
        <v>0</v>
      </c>
    </row>
    <row r="158" spans="1:4" hidden="1" x14ac:dyDescent="0.3">
      <c r="A158" s="1" t="s">
        <v>130</v>
      </c>
      <c r="B158" s="1"/>
      <c r="C158" s="1"/>
      <c r="D158" s="1">
        <f t="shared" si="2"/>
        <v>0</v>
      </c>
    </row>
    <row r="159" spans="1:4" x14ac:dyDescent="0.3">
      <c r="A159" s="1"/>
      <c r="B159" s="1"/>
      <c r="C159" s="1"/>
      <c r="D159" s="102">
        <f>SUM(D3:D142)</f>
        <v>114541000</v>
      </c>
    </row>
    <row r="160" spans="1:4" x14ac:dyDescent="0.3">
      <c r="A160" s="2" t="s">
        <v>131</v>
      </c>
      <c r="B160" s="2" t="s">
        <v>132</v>
      </c>
      <c r="C160" s="2" t="s">
        <v>128</v>
      </c>
      <c r="D160" s="102" t="s">
        <v>129</v>
      </c>
    </row>
    <row r="161" spans="1:4" x14ac:dyDescent="0.3">
      <c r="A161" s="1" t="s">
        <v>0</v>
      </c>
      <c r="B161" s="1"/>
      <c r="C161" s="1"/>
      <c r="D161" s="101">
        <f t="shared" si="2"/>
        <v>0</v>
      </c>
    </row>
    <row r="162" spans="1:4" hidden="1" x14ac:dyDescent="0.3">
      <c r="A162" s="1" t="s">
        <v>1</v>
      </c>
      <c r="B162" s="1"/>
      <c r="C162" s="1"/>
      <c r="D162" s="1">
        <f t="shared" si="2"/>
        <v>0</v>
      </c>
    </row>
    <row r="163" spans="1:4" hidden="1" x14ac:dyDescent="0.3">
      <c r="A163" s="1" t="s">
        <v>5</v>
      </c>
      <c r="B163" s="1"/>
      <c r="C163" s="1"/>
      <c r="D163" s="1">
        <f t="shared" si="2"/>
        <v>0</v>
      </c>
    </row>
    <row r="164" spans="1:4" hidden="1" x14ac:dyDescent="0.3">
      <c r="A164" s="1" t="s">
        <v>6</v>
      </c>
      <c r="B164" s="1"/>
      <c r="C164" s="1"/>
      <c r="D164" s="1">
        <f t="shared" si="2"/>
        <v>0</v>
      </c>
    </row>
    <row r="165" spans="1:4" hidden="1" x14ac:dyDescent="0.3">
      <c r="A165" s="1" t="s">
        <v>8</v>
      </c>
      <c r="B165" s="1"/>
      <c r="C165" s="1"/>
      <c r="D165" s="1">
        <f t="shared" si="2"/>
        <v>0</v>
      </c>
    </row>
    <row r="166" spans="1:4" hidden="1" x14ac:dyDescent="0.3">
      <c r="A166" s="1" t="s">
        <v>119</v>
      </c>
      <c r="B166" s="1"/>
      <c r="C166" s="1"/>
      <c r="D166" s="1">
        <f t="shared" si="2"/>
        <v>0</v>
      </c>
    </row>
    <row r="167" spans="1:4" hidden="1" x14ac:dyDescent="0.3">
      <c r="A167" s="1" t="s">
        <v>12</v>
      </c>
      <c r="B167" s="1"/>
      <c r="C167" s="1"/>
      <c r="D167" s="1">
        <f t="shared" si="2"/>
        <v>0</v>
      </c>
    </row>
    <row r="168" spans="1:4" hidden="1" x14ac:dyDescent="0.3">
      <c r="A168" s="1" t="s">
        <v>14</v>
      </c>
      <c r="B168" s="1"/>
      <c r="C168" s="1"/>
      <c r="D168" s="1">
        <f t="shared" si="2"/>
        <v>0</v>
      </c>
    </row>
    <row r="169" spans="1:4" hidden="1" x14ac:dyDescent="0.3">
      <c r="A169" s="1" t="s">
        <v>15</v>
      </c>
      <c r="B169" s="1"/>
      <c r="C169" s="1"/>
      <c r="D169" s="1">
        <f t="shared" si="2"/>
        <v>0</v>
      </c>
    </row>
    <row r="170" spans="1:4" hidden="1" x14ac:dyDescent="0.3">
      <c r="A170" s="1" t="s">
        <v>16</v>
      </c>
      <c r="B170" s="1"/>
      <c r="C170" s="1"/>
      <c r="D170" s="1">
        <f t="shared" si="2"/>
        <v>0</v>
      </c>
    </row>
    <row r="171" spans="1:4" hidden="1" x14ac:dyDescent="0.3">
      <c r="A171" s="1" t="s">
        <v>110</v>
      </c>
      <c r="B171" s="1"/>
      <c r="C171" s="1"/>
      <c r="D171" s="1">
        <f t="shared" si="2"/>
        <v>0</v>
      </c>
    </row>
    <row r="172" spans="1:4" hidden="1" x14ac:dyDescent="0.3">
      <c r="A172" s="1" t="s">
        <v>17</v>
      </c>
      <c r="B172" s="1"/>
      <c r="C172" s="1"/>
      <c r="D172" s="1">
        <f t="shared" si="2"/>
        <v>0</v>
      </c>
    </row>
    <row r="173" spans="1:4" hidden="1" x14ac:dyDescent="0.3">
      <c r="A173" s="1" t="s">
        <v>21</v>
      </c>
      <c r="B173" s="1"/>
      <c r="C173" s="1"/>
      <c r="D173" s="1">
        <f t="shared" si="2"/>
        <v>0</v>
      </c>
    </row>
    <row r="174" spans="1:4" hidden="1" x14ac:dyDescent="0.3">
      <c r="A174" s="1" t="s">
        <v>22</v>
      </c>
      <c r="B174" s="1"/>
      <c r="C174" s="1"/>
      <c r="D174" s="1">
        <f t="shared" si="2"/>
        <v>0</v>
      </c>
    </row>
    <row r="175" spans="1:4" x14ac:dyDescent="0.3">
      <c r="A175" s="1" t="s">
        <v>23</v>
      </c>
      <c r="B175" s="1">
        <v>1200</v>
      </c>
      <c r="C175" s="1">
        <v>5500</v>
      </c>
      <c r="D175" s="101">
        <f t="shared" si="2"/>
        <v>6600000</v>
      </c>
    </row>
    <row r="176" spans="1:4" x14ac:dyDescent="0.3">
      <c r="A176" s="1" t="s">
        <v>27</v>
      </c>
      <c r="B176" s="1">
        <v>540</v>
      </c>
      <c r="C176" s="1">
        <v>11000</v>
      </c>
      <c r="D176" s="101">
        <f t="shared" si="2"/>
        <v>5940000</v>
      </c>
    </row>
    <row r="177" spans="1:4" hidden="1" x14ac:dyDescent="0.3">
      <c r="A177" s="1" t="s">
        <v>28</v>
      </c>
      <c r="B177" s="1"/>
      <c r="C177" s="1"/>
      <c r="D177" s="1">
        <f t="shared" si="2"/>
        <v>0</v>
      </c>
    </row>
    <row r="178" spans="1:4" hidden="1" x14ac:dyDescent="0.3">
      <c r="A178" s="1" t="s">
        <v>29</v>
      </c>
      <c r="B178" s="1"/>
      <c r="C178" s="1"/>
      <c r="D178" s="1">
        <f t="shared" si="2"/>
        <v>0</v>
      </c>
    </row>
    <row r="179" spans="1:4" hidden="1" x14ac:dyDescent="0.3">
      <c r="A179" s="1" t="s">
        <v>39</v>
      </c>
      <c r="B179" s="1"/>
      <c r="C179" s="1"/>
      <c r="D179" s="1">
        <f t="shared" si="2"/>
        <v>0</v>
      </c>
    </row>
    <row r="180" spans="1:4" hidden="1" x14ac:dyDescent="0.3">
      <c r="A180" s="1" t="s">
        <v>41</v>
      </c>
      <c r="B180" s="1"/>
      <c r="C180" s="1"/>
      <c r="D180" s="1">
        <f t="shared" si="2"/>
        <v>0</v>
      </c>
    </row>
    <row r="181" spans="1:4" hidden="1" x14ac:dyDescent="0.3">
      <c r="A181" s="1" t="s">
        <v>46</v>
      </c>
      <c r="B181" s="1"/>
      <c r="C181" s="1"/>
      <c r="D181" s="1">
        <f t="shared" si="2"/>
        <v>0</v>
      </c>
    </row>
    <row r="182" spans="1:4" x14ac:dyDescent="0.3">
      <c r="A182" s="1" t="s">
        <v>48</v>
      </c>
      <c r="B182" s="1">
        <v>95</v>
      </c>
      <c r="C182" s="1">
        <v>10000</v>
      </c>
      <c r="D182" s="101">
        <f t="shared" si="2"/>
        <v>950000</v>
      </c>
    </row>
    <row r="183" spans="1:4" x14ac:dyDescent="0.3">
      <c r="A183" s="1" t="s">
        <v>50</v>
      </c>
      <c r="B183" s="1">
        <v>100</v>
      </c>
      <c r="C183" s="1">
        <v>8000</v>
      </c>
      <c r="D183" s="101">
        <f t="shared" si="2"/>
        <v>800000</v>
      </c>
    </row>
    <row r="184" spans="1:4" hidden="1" x14ac:dyDescent="0.3">
      <c r="A184" s="1" t="s">
        <v>51</v>
      </c>
      <c r="B184" s="1"/>
      <c r="C184" s="1"/>
      <c r="D184" s="1">
        <f t="shared" si="2"/>
        <v>0</v>
      </c>
    </row>
    <row r="185" spans="1:4" hidden="1" x14ac:dyDescent="0.3">
      <c r="A185" s="1" t="s">
        <v>53</v>
      </c>
      <c r="B185" s="1"/>
      <c r="C185" s="1"/>
      <c r="D185" s="1">
        <f t="shared" si="2"/>
        <v>0</v>
      </c>
    </row>
    <row r="186" spans="1:4" hidden="1" x14ac:dyDescent="0.3">
      <c r="A186" s="1" t="s">
        <v>56</v>
      </c>
      <c r="B186" s="1"/>
      <c r="C186" s="1"/>
      <c r="D186" s="1">
        <f t="shared" si="2"/>
        <v>0</v>
      </c>
    </row>
    <row r="187" spans="1:4" x14ac:dyDescent="0.3">
      <c r="A187" s="1" t="s">
        <v>60</v>
      </c>
      <c r="B187" s="1">
        <v>400</v>
      </c>
      <c r="C187" s="1">
        <v>20000</v>
      </c>
      <c r="D187" s="101">
        <f t="shared" si="2"/>
        <v>8000000</v>
      </c>
    </row>
    <row r="188" spans="1:4" hidden="1" x14ac:dyDescent="0.3">
      <c r="A188" s="1" t="s">
        <v>62</v>
      </c>
      <c r="B188" s="1"/>
      <c r="C188" s="1"/>
      <c r="D188" s="1">
        <f t="shared" si="2"/>
        <v>0</v>
      </c>
    </row>
    <row r="189" spans="1:4" hidden="1" x14ac:dyDescent="0.3">
      <c r="A189" s="1" t="s">
        <v>67</v>
      </c>
      <c r="B189" s="1"/>
      <c r="C189" s="1"/>
      <c r="D189" s="1">
        <f t="shared" si="2"/>
        <v>0</v>
      </c>
    </row>
    <row r="190" spans="1:4" hidden="1" x14ac:dyDescent="0.3">
      <c r="A190" s="1" t="s">
        <v>68</v>
      </c>
      <c r="B190" s="1"/>
      <c r="C190" s="1"/>
      <c r="D190" s="1">
        <f t="shared" si="2"/>
        <v>0</v>
      </c>
    </row>
    <row r="191" spans="1:4" hidden="1" x14ac:dyDescent="0.3">
      <c r="A191" s="1" t="s">
        <v>72</v>
      </c>
      <c r="B191" s="1"/>
      <c r="C191" s="1"/>
      <c r="D191" s="1">
        <f t="shared" si="2"/>
        <v>0</v>
      </c>
    </row>
    <row r="192" spans="1:4" hidden="1" x14ac:dyDescent="0.3">
      <c r="A192" s="1" t="s">
        <v>76</v>
      </c>
      <c r="B192" s="1"/>
      <c r="C192" s="1"/>
      <c r="D192" s="1">
        <f t="shared" si="2"/>
        <v>0</v>
      </c>
    </row>
    <row r="193" spans="1:4" hidden="1" x14ac:dyDescent="0.3">
      <c r="A193" s="1" t="s">
        <v>78</v>
      </c>
      <c r="B193" s="1"/>
      <c r="C193" s="1"/>
      <c r="D193" s="1">
        <f t="shared" si="2"/>
        <v>0</v>
      </c>
    </row>
    <row r="194" spans="1:4" hidden="1" x14ac:dyDescent="0.3">
      <c r="A194" s="1" t="s">
        <v>79</v>
      </c>
      <c r="B194" s="1"/>
      <c r="C194" s="1"/>
      <c r="D194" s="1">
        <f t="shared" si="2"/>
        <v>0</v>
      </c>
    </row>
    <row r="195" spans="1:4" hidden="1" x14ac:dyDescent="0.3">
      <c r="A195" s="1" t="s">
        <v>82</v>
      </c>
      <c r="B195" s="1"/>
      <c r="C195" s="1"/>
      <c r="D195" s="1">
        <f t="shared" si="2"/>
        <v>0</v>
      </c>
    </row>
    <row r="196" spans="1:4" x14ac:dyDescent="0.3">
      <c r="A196" s="1" t="s">
        <v>87</v>
      </c>
      <c r="B196" s="1">
        <v>140</v>
      </c>
      <c r="C196" s="1">
        <v>14000</v>
      </c>
      <c r="D196" s="101">
        <f t="shared" si="2"/>
        <v>1960000</v>
      </c>
    </row>
    <row r="197" spans="1:4" hidden="1" x14ac:dyDescent="0.3">
      <c r="A197" s="1" t="s">
        <v>120</v>
      </c>
      <c r="B197" s="1"/>
      <c r="C197" s="1"/>
      <c r="D197" s="1">
        <f t="shared" si="2"/>
        <v>0</v>
      </c>
    </row>
    <row r="198" spans="1:4" hidden="1" x14ac:dyDescent="0.3">
      <c r="A198" s="1" t="s">
        <v>109</v>
      </c>
      <c r="B198" s="1"/>
      <c r="C198" s="1"/>
      <c r="D198" s="1">
        <f t="shared" ref="D198:D204" si="3">B198*C198</f>
        <v>0</v>
      </c>
    </row>
    <row r="199" spans="1:4" hidden="1" x14ac:dyDescent="0.3">
      <c r="A199" s="1" t="s">
        <v>121</v>
      </c>
      <c r="B199" s="1"/>
      <c r="C199" s="1"/>
      <c r="D199" s="1">
        <f t="shared" si="3"/>
        <v>0</v>
      </c>
    </row>
    <row r="200" spans="1:4" hidden="1" x14ac:dyDescent="0.3">
      <c r="A200" s="1" t="s">
        <v>111</v>
      </c>
      <c r="B200" s="1"/>
      <c r="C200" s="1"/>
      <c r="D200" s="1">
        <f t="shared" si="3"/>
        <v>0</v>
      </c>
    </row>
    <row r="201" spans="1:4" x14ac:dyDescent="0.3">
      <c r="A201" s="1" t="s">
        <v>122</v>
      </c>
      <c r="B201" s="1">
        <v>8</v>
      </c>
      <c r="C201" s="1">
        <v>48000</v>
      </c>
      <c r="D201" s="101">
        <f t="shared" si="3"/>
        <v>384000</v>
      </c>
    </row>
    <row r="202" spans="1:4" hidden="1" x14ac:dyDescent="0.3">
      <c r="A202" s="1" t="s">
        <v>123</v>
      </c>
      <c r="B202" s="1"/>
      <c r="C202" s="1"/>
      <c r="D202" s="1">
        <f t="shared" si="3"/>
        <v>0</v>
      </c>
    </row>
    <row r="203" spans="1:4" hidden="1" x14ac:dyDescent="0.3">
      <c r="A203" s="1" t="s">
        <v>124</v>
      </c>
      <c r="B203" s="1"/>
      <c r="C203" s="1"/>
      <c r="D203" s="1">
        <f t="shared" si="3"/>
        <v>0</v>
      </c>
    </row>
    <row r="204" spans="1:4" hidden="1" x14ac:dyDescent="0.3">
      <c r="A204" s="1" t="s">
        <v>125</v>
      </c>
      <c r="B204" s="1"/>
      <c r="C204" s="1"/>
      <c r="D204" s="1">
        <f t="shared" si="3"/>
        <v>0</v>
      </c>
    </row>
    <row r="205" spans="1:4" x14ac:dyDescent="0.3">
      <c r="D205" s="103">
        <f>SUM(D175:D201)</f>
        <v>24634000</v>
      </c>
    </row>
    <row r="207" spans="1:4" x14ac:dyDescent="0.3">
      <c r="D207" s="104">
        <f>D205+D159</f>
        <v>139175000</v>
      </c>
    </row>
  </sheetData>
  <autoFilter ref="A1:D204" xr:uid="{00000000-0009-0000-0000-000000000000}">
    <filterColumn colId="1">
      <filters>
        <filter val="10"/>
        <filter val="100"/>
        <filter val="118"/>
        <filter val="12"/>
        <filter val="120"/>
        <filter val="1200"/>
        <filter val="130"/>
        <filter val="133.3333333"/>
        <filter val="140"/>
        <filter val="144"/>
        <filter val="150"/>
        <filter val="190"/>
        <filter val="20"/>
        <filter val="220"/>
        <filter val="25"/>
        <filter val="2765"/>
        <filter val="295"/>
        <filter val="30"/>
        <filter val="37"/>
        <filter val="400"/>
        <filter val="4300"/>
        <filter val="5"/>
        <filter val="540"/>
        <filter val="590"/>
        <filter val="60"/>
        <filter val="630"/>
        <filter val="70"/>
        <filter val="8"/>
        <filter val="95"/>
        <filter val="Tồn_x000a_ĐL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685"/>
  <sheetViews>
    <sheetView topLeftCell="A213" workbookViewId="0">
      <selection activeCell="D685" sqref="D685"/>
    </sheetView>
  </sheetViews>
  <sheetFormatPr defaultRowHeight="14.4" x14ac:dyDescent="0.3"/>
  <cols>
    <col min="1" max="1" width="31.109375" customWidth="1"/>
    <col min="3" max="3" width="13" customWidth="1"/>
    <col min="4" max="4" width="16.44140625" customWidth="1"/>
  </cols>
  <sheetData>
    <row r="1" spans="1:4" x14ac:dyDescent="0.3">
      <c r="A1" s="4" t="s">
        <v>517</v>
      </c>
      <c r="B1" s="5"/>
      <c r="C1" s="5"/>
      <c r="D1" s="5"/>
    </row>
    <row r="2" spans="1:4" ht="26.4" x14ac:dyDescent="0.3">
      <c r="A2" s="47" t="s">
        <v>133</v>
      </c>
      <c r="B2" s="6" t="s">
        <v>134</v>
      </c>
      <c r="C2" s="6" t="s">
        <v>518</v>
      </c>
      <c r="D2" s="6" t="s">
        <v>519</v>
      </c>
    </row>
    <row r="3" spans="1:4" ht="18" hidden="1" x14ac:dyDescent="0.3">
      <c r="A3" s="8" t="s">
        <v>135</v>
      </c>
      <c r="B3" s="9"/>
      <c r="C3" s="9"/>
      <c r="D3" s="10">
        <f>B3*C3</f>
        <v>0</v>
      </c>
    </row>
    <row r="4" spans="1:4" ht="18" hidden="1" x14ac:dyDescent="0.3">
      <c r="A4" s="11" t="s">
        <v>136</v>
      </c>
      <c r="B4" s="9"/>
      <c r="C4" s="9"/>
      <c r="D4" s="10">
        <f t="shared" ref="D4:D67" si="0">B4*C4</f>
        <v>0</v>
      </c>
    </row>
    <row r="5" spans="1:4" ht="18" hidden="1" x14ac:dyDescent="0.3">
      <c r="A5" s="8" t="s">
        <v>137</v>
      </c>
      <c r="B5" s="9"/>
      <c r="C5" s="9"/>
      <c r="D5" s="10">
        <f t="shared" si="0"/>
        <v>0</v>
      </c>
    </row>
    <row r="6" spans="1:4" ht="18" hidden="1" x14ac:dyDescent="0.3">
      <c r="A6" s="12" t="s">
        <v>138</v>
      </c>
      <c r="B6" s="9"/>
      <c r="C6" s="9"/>
      <c r="D6" s="10">
        <f t="shared" si="0"/>
        <v>0</v>
      </c>
    </row>
    <row r="7" spans="1:4" ht="18" x14ac:dyDescent="0.3">
      <c r="A7" s="8" t="s">
        <v>139</v>
      </c>
      <c r="B7" s="9">
        <v>300</v>
      </c>
      <c r="C7" s="9">
        <v>5500</v>
      </c>
      <c r="D7" s="10">
        <f t="shared" si="0"/>
        <v>1650000</v>
      </c>
    </row>
    <row r="8" spans="1:4" ht="18" hidden="1" x14ac:dyDescent="0.3">
      <c r="A8" s="13" t="s">
        <v>140</v>
      </c>
      <c r="B8" s="9"/>
      <c r="C8" s="9"/>
      <c r="D8" s="10">
        <f t="shared" si="0"/>
        <v>0</v>
      </c>
    </row>
    <row r="9" spans="1:4" ht="18" hidden="1" x14ac:dyDescent="0.3">
      <c r="A9" s="14" t="s">
        <v>141</v>
      </c>
      <c r="B9" s="9"/>
      <c r="C9" s="9"/>
      <c r="D9" s="10">
        <f t="shared" si="0"/>
        <v>0</v>
      </c>
    </row>
    <row r="10" spans="1:4" ht="18" hidden="1" x14ac:dyDescent="0.3">
      <c r="A10" s="8" t="s">
        <v>142</v>
      </c>
      <c r="B10" s="9"/>
      <c r="C10" s="9"/>
      <c r="D10" s="10">
        <f t="shared" si="0"/>
        <v>0</v>
      </c>
    </row>
    <row r="11" spans="1:4" ht="18" hidden="1" x14ac:dyDescent="0.3">
      <c r="A11" s="8" t="s">
        <v>143</v>
      </c>
      <c r="B11" s="9"/>
      <c r="C11" s="9"/>
      <c r="D11" s="10">
        <f t="shared" si="0"/>
        <v>0</v>
      </c>
    </row>
    <row r="12" spans="1:4" ht="18" hidden="1" x14ac:dyDescent="0.3">
      <c r="A12" s="15" t="s">
        <v>144</v>
      </c>
      <c r="B12" s="9"/>
      <c r="C12" s="9"/>
      <c r="D12" s="10">
        <f t="shared" si="0"/>
        <v>0</v>
      </c>
    </row>
    <row r="13" spans="1:4" ht="18" hidden="1" x14ac:dyDescent="0.3">
      <c r="A13" s="16" t="s">
        <v>145</v>
      </c>
      <c r="B13" s="9"/>
      <c r="C13" s="9"/>
      <c r="D13" s="10">
        <f t="shared" si="0"/>
        <v>0</v>
      </c>
    </row>
    <row r="14" spans="1:4" ht="18" hidden="1" x14ac:dyDescent="0.3">
      <c r="A14" s="13" t="s">
        <v>146</v>
      </c>
      <c r="B14" s="9"/>
      <c r="C14" s="9"/>
      <c r="D14" s="10">
        <f t="shared" si="0"/>
        <v>0</v>
      </c>
    </row>
    <row r="15" spans="1:4" ht="18" hidden="1" x14ac:dyDescent="0.3">
      <c r="A15" s="13" t="s">
        <v>147</v>
      </c>
      <c r="B15" s="9"/>
      <c r="C15" s="9"/>
      <c r="D15" s="10">
        <f t="shared" si="0"/>
        <v>0</v>
      </c>
    </row>
    <row r="16" spans="1:4" ht="18" hidden="1" x14ac:dyDescent="0.3">
      <c r="A16" s="17" t="s">
        <v>148</v>
      </c>
      <c r="B16" s="9"/>
      <c r="C16" s="9"/>
      <c r="D16" s="10">
        <f t="shared" si="0"/>
        <v>0</v>
      </c>
    </row>
    <row r="17" spans="1:4" ht="18" hidden="1" x14ac:dyDescent="0.3">
      <c r="A17" s="17" t="s">
        <v>149</v>
      </c>
      <c r="B17" s="9"/>
      <c r="C17" s="9"/>
      <c r="D17" s="10">
        <f t="shared" si="0"/>
        <v>0</v>
      </c>
    </row>
    <row r="18" spans="1:4" ht="18" hidden="1" x14ac:dyDescent="0.3">
      <c r="A18" s="13" t="s">
        <v>150</v>
      </c>
      <c r="B18" s="9"/>
      <c r="C18" s="9"/>
      <c r="D18" s="10">
        <f t="shared" si="0"/>
        <v>0</v>
      </c>
    </row>
    <row r="19" spans="1:4" ht="18" hidden="1" x14ac:dyDescent="0.3">
      <c r="A19" s="13" t="s">
        <v>151</v>
      </c>
      <c r="B19" s="9"/>
      <c r="C19" s="9"/>
      <c r="D19" s="10">
        <f t="shared" si="0"/>
        <v>0</v>
      </c>
    </row>
    <row r="20" spans="1:4" ht="18" hidden="1" x14ac:dyDescent="0.3">
      <c r="A20" s="12" t="s">
        <v>152</v>
      </c>
      <c r="B20" s="9"/>
      <c r="C20" s="9"/>
      <c r="D20" s="10">
        <f t="shared" si="0"/>
        <v>0</v>
      </c>
    </row>
    <row r="21" spans="1:4" ht="18" x14ac:dyDescent="0.3">
      <c r="A21" s="16" t="s">
        <v>153</v>
      </c>
      <c r="B21" s="9">
        <f>3+18</f>
        <v>21</v>
      </c>
      <c r="C21" s="18">
        <v>10000</v>
      </c>
      <c r="D21" s="10">
        <f t="shared" si="0"/>
        <v>210000</v>
      </c>
    </row>
    <row r="22" spans="1:4" ht="18" x14ac:dyDescent="0.3">
      <c r="A22" s="13" t="s">
        <v>154</v>
      </c>
      <c r="B22" s="9">
        <v>130</v>
      </c>
      <c r="C22" s="9">
        <v>6000</v>
      </c>
      <c r="D22" s="10">
        <f t="shared" si="0"/>
        <v>780000</v>
      </c>
    </row>
    <row r="23" spans="1:4" ht="18" hidden="1" x14ac:dyDescent="0.3">
      <c r="A23" s="17" t="s">
        <v>155</v>
      </c>
      <c r="B23" s="9"/>
      <c r="C23" s="9"/>
      <c r="D23" s="10">
        <f t="shared" si="0"/>
        <v>0</v>
      </c>
    </row>
    <row r="24" spans="1:4" ht="18" hidden="1" x14ac:dyDescent="0.3">
      <c r="A24" s="17" t="s">
        <v>156</v>
      </c>
      <c r="B24" s="9"/>
      <c r="C24" s="9"/>
      <c r="D24" s="10">
        <f t="shared" si="0"/>
        <v>0</v>
      </c>
    </row>
    <row r="25" spans="1:4" ht="18" x14ac:dyDescent="0.3">
      <c r="A25" s="13" t="s">
        <v>157</v>
      </c>
      <c r="B25" s="19">
        <v>1.5</v>
      </c>
      <c r="C25" s="9">
        <v>10000</v>
      </c>
      <c r="D25" s="10">
        <f t="shared" si="0"/>
        <v>15000</v>
      </c>
    </row>
    <row r="26" spans="1:4" ht="18" hidden="1" x14ac:dyDescent="0.3">
      <c r="A26" s="13" t="s">
        <v>158</v>
      </c>
      <c r="B26" s="9"/>
      <c r="C26" s="9"/>
      <c r="D26" s="10">
        <f t="shared" si="0"/>
        <v>0</v>
      </c>
    </row>
    <row r="27" spans="1:4" ht="18" hidden="1" x14ac:dyDescent="0.3">
      <c r="A27" s="13" t="s">
        <v>159</v>
      </c>
      <c r="B27" s="9"/>
      <c r="C27" s="9"/>
      <c r="D27" s="10">
        <f t="shared" si="0"/>
        <v>0</v>
      </c>
    </row>
    <row r="28" spans="1:4" ht="18" hidden="1" x14ac:dyDescent="0.3">
      <c r="A28" s="13" t="s">
        <v>160</v>
      </c>
      <c r="B28" s="9"/>
      <c r="C28" s="9"/>
      <c r="D28" s="10">
        <f t="shared" si="0"/>
        <v>0</v>
      </c>
    </row>
    <row r="29" spans="1:4" ht="18" hidden="1" x14ac:dyDescent="0.3">
      <c r="A29" s="13" t="s">
        <v>161</v>
      </c>
      <c r="B29" s="9"/>
      <c r="C29" s="9"/>
      <c r="D29" s="10">
        <f t="shared" si="0"/>
        <v>0</v>
      </c>
    </row>
    <row r="30" spans="1:4" ht="18" hidden="1" x14ac:dyDescent="0.3">
      <c r="A30" s="13" t="s">
        <v>162</v>
      </c>
      <c r="B30" s="9"/>
      <c r="C30" s="9"/>
      <c r="D30" s="10">
        <f t="shared" si="0"/>
        <v>0</v>
      </c>
    </row>
    <row r="31" spans="1:4" ht="18" hidden="1" x14ac:dyDescent="0.3">
      <c r="A31" s="16" t="s">
        <v>163</v>
      </c>
      <c r="B31" s="19"/>
      <c r="C31" s="19"/>
      <c r="D31" s="10">
        <f t="shared" si="0"/>
        <v>0</v>
      </c>
    </row>
    <row r="32" spans="1:4" ht="18" hidden="1" x14ac:dyDescent="0.3">
      <c r="A32" s="17" t="s">
        <v>164</v>
      </c>
      <c r="B32" s="9"/>
      <c r="C32" s="9"/>
      <c r="D32" s="10">
        <f t="shared" si="0"/>
        <v>0</v>
      </c>
    </row>
    <row r="33" spans="1:4" ht="18" hidden="1" x14ac:dyDescent="0.3">
      <c r="A33" s="16" t="s">
        <v>165</v>
      </c>
      <c r="B33" s="9"/>
      <c r="C33" s="9"/>
      <c r="D33" s="10">
        <f t="shared" si="0"/>
        <v>0</v>
      </c>
    </row>
    <row r="34" spans="1:4" ht="18" hidden="1" x14ac:dyDescent="0.3">
      <c r="A34" s="16" t="s">
        <v>166</v>
      </c>
      <c r="B34" s="9"/>
      <c r="C34" s="9"/>
      <c r="D34" s="10">
        <f t="shared" si="0"/>
        <v>0</v>
      </c>
    </row>
    <row r="35" spans="1:4" ht="18" hidden="1" x14ac:dyDescent="0.3">
      <c r="A35" s="16" t="s">
        <v>167</v>
      </c>
      <c r="B35" s="9"/>
      <c r="C35" s="9"/>
      <c r="D35" s="10">
        <f t="shared" si="0"/>
        <v>0</v>
      </c>
    </row>
    <row r="36" spans="1:4" ht="18" hidden="1" x14ac:dyDescent="0.3">
      <c r="A36" s="17" t="s">
        <v>168</v>
      </c>
      <c r="B36" s="9"/>
      <c r="C36" s="9"/>
      <c r="D36" s="10">
        <f t="shared" si="0"/>
        <v>0</v>
      </c>
    </row>
    <row r="37" spans="1:4" ht="18" hidden="1" x14ac:dyDescent="0.3">
      <c r="A37" s="16" t="s">
        <v>169</v>
      </c>
      <c r="B37" s="9"/>
      <c r="C37" s="9"/>
      <c r="D37" s="10">
        <f t="shared" si="0"/>
        <v>0</v>
      </c>
    </row>
    <row r="38" spans="1:4" ht="18" hidden="1" x14ac:dyDescent="0.3">
      <c r="A38" s="16" t="s">
        <v>170</v>
      </c>
      <c r="B38" s="9"/>
      <c r="C38" s="9"/>
      <c r="D38" s="10">
        <f t="shared" si="0"/>
        <v>0</v>
      </c>
    </row>
    <row r="39" spans="1:4" ht="18" hidden="1" x14ac:dyDescent="0.3">
      <c r="A39" s="16" t="s">
        <v>171</v>
      </c>
      <c r="B39" s="9"/>
      <c r="C39" s="9"/>
      <c r="D39" s="10">
        <f t="shared" si="0"/>
        <v>0</v>
      </c>
    </row>
    <row r="40" spans="1:4" ht="18" hidden="1" x14ac:dyDescent="0.3">
      <c r="A40" s="17" t="s">
        <v>172</v>
      </c>
      <c r="B40" s="9"/>
      <c r="C40" s="9"/>
      <c r="D40" s="10">
        <f t="shared" si="0"/>
        <v>0</v>
      </c>
    </row>
    <row r="41" spans="1:4" ht="18" hidden="1" x14ac:dyDescent="0.3">
      <c r="A41" s="13" t="s">
        <v>173</v>
      </c>
      <c r="B41" s="9"/>
      <c r="C41" s="9"/>
      <c r="D41" s="10">
        <f t="shared" si="0"/>
        <v>0</v>
      </c>
    </row>
    <row r="42" spans="1:4" ht="18" hidden="1" x14ac:dyDescent="0.3">
      <c r="A42" s="13" t="s">
        <v>174</v>
      </c>
      <c r="B42" s="9"/>
      <c r="C42" s="9"/>
      <c r="D42" s="10">
        <f t="shared" si="0"/>
        <v>0</v>
      </c>
    </row>
    <row r="43" spans="1:4" ht="18" hidden="1" x14ac:dyDescent="0.3">
      <c r="A43" s="16" t="s">
        <v>175</v>
      </c>
      <c r="B43" s="19"/>
      <c r="C43" s="19"/>
      <c r="D43" s="10">
        <f t="shared" si="0"/>
        <v>0</v>
      </c>
    </row>
    <row r="44" spans="1:4" ht="18" hidden="1" x14ac:dyDescent="0.3">
      <c r="A44" s="13" t="s">
        <v>176</v>
      </c>
      <c r="B44" s="9"/>
      <c r="C44" s="9"/>
      <c r="D44" s="10">
        <f t="shared" si="0"/>
        <v>0</v>
      </c>
    </row>
    <row r="45" spans="1:4" ht="18" x14ac:dyDescent="0.3">
      <c r="A45" s="13" t="s">
        <v>177</v>
      </c>
      <c r="B45" s="9">
        <v>1</v>
      </c>
      <c r="C45" s="9">
        <v>60000</v>
      </c>
      <c r="D45" s="10">
        <f t="shared" si="0"/>
        <v>60000</v>
      </c>
    </row>
    <row r="46" spans="1:4" ht="18" hidden="1" x14ac:dyDescent="0.3">
      <c r="A46" s="15" t="s">
        <v>178</v>
      </c>
      <c r="B46" s="9"/>
      <c r="C46" s="9"/>
      <c r="D46" s="10">
        <f t="shared" si="0"/>
        <v>0</v>
      </c>
    </row>
    <row r="47" spans="1:4" ht="18" hidden="1" x14ac:dyDescent="0.3">
      <c r="A47" s="13" t="s">
        <v>179</v>
      </c>
      <c r="B47" s="9"/>
      <c r="C47" s="9"/>
      <c r="D47" s="10">
        <f t="shared" si="0"/>
        <v>0</v>
      </c>
    </row>
    <row r="48" spans="1:4" ht="18" hidden="1" x14ac:dyDescent="0.3">
      <c r="A48" s="21" t="s">
        <v>180</v>
      </c>
      <c r="B48" s="9"/>
      <c r="C48" s="9"/>
      <c r="D48" s="10">
        <f t="shared" si="0"/>
        <v>0</v>
      </c>
    </row>
    <row r="49" spans="1:4" ht="18" hidden="1" x14ac:dyDescent="0.3">
      <c r="A49" s="13" t="s">
        <v>181</v>
      </c>
      <c r="B49" s="9"/>
      <c r="C49" s="9"/>
      <c r="D49" s="10">
        <f t="shared" si="0"/>
        <v>0</v>
      </c>
    </row>
    <row r="50" spans="1:4" ht="18" x14ac:dyDescent="0.3">
      <c r="A50" s="13" t="s">
        <v>182</v>
      </c>
      <c r="B50" s="9">
        <v>5</v>
      </c>
      <c r="C50" s="9">
        <v>33000</v>
      </c>
      <c r="D50" s="10">
        <f t="shared" si="0"/>
        <v>165000</v>
      </c>
    </row>
    <row r="51" spans="1:4" ht="18" hidden="1" x14ac:dyDescent="0.3">
      <c r="A51" s="12" t="s">
        <v>183</v>
      </c>
      <c r="B51" s="9"/>
      <c r="C51" s="9"/>
      <c r="D51" s="10">
        <f t="shared" si="0"/>
        <v>0</v>
      </c>
    </row>
    <row r="52" spans="1:4" ht="18" hidden="1" x14ac:dyDescent="0.3">
      <c r="A52" s="16" t="s">
        <v>184</v>
      </c>
      <c r="B52" s="9"/>
      <c r="C52" s="9"/>
      <c r="D52" s="10">
        <f t="shared" si="0"/>
        <v>0</v>
      </c>
    </row>
    <row r="53" spans="1:4" ht="18" hidden="1" x14ac:dyDescent="0.3">
      <c r="A53" s="12" t="s">
        <v>185</v>
      </c>
      <c r="B53" s="9"/>
      <c r="C53" s="9"/>
      <c r="D53" s="10">
        <f t="shared" si="0"/>
        <v>0</v>
      </c>
    </row>
    <row r="54" spans="1:4" ht="18" hidden="1" x14ac:dyDescent="0.3">
      <c r="A54" s="13" t="s">
        <v>186</v>
      </c>
      <c r="B54" s="9"/>
      <c r="C54" s="9"/>
      <c r="D54" s="10">
        <f t="shared" si="0"/>
        <v>0</v>
      </c>
    </row>
    <row r="55" spans="1:4" ht="18" hidden="1" x14ac:dyDescent="0.3">
      <c r="A55" s="13" t="s">
        <v>187</v>
      </c>
      <c r="B55" s="9"/>
      <c r="C55" s="9"/>
      <c r="D55" s="10">
        <f t="shared" si="0"/>
        <v>0</v>
      </c>
    </row>
    <row r="56" spans="1:4" ht="18" x14ac:dyDescent="0.3">
      <c r="A56" s="17" t="s">
        <v>188</v>
      </c>
      <c r="B56" s="9">
        <f>-300+250+60+240+40+160+40</f>
        <v>490</v>
      </c>
      <c r="C56" s="9">
        <v>17000</v>
      </c>
      <c r="D56" s="10">
        <f t="shared" si="0"/>
        <v>8330000</v>
      </c>
    </row>
    <row r="57" spans="1:4" ht="18" hidden="1" x14ac:dyDescent="0.3">
      <c r="A57" s="13" t="s">
        <v>189</v>
      </c>
      <c r="B57" s="9"/>
      <c r="C57" s="9"/>
      <c r="D57" s="10">
        <f t="shared" si="0"/>
        <v>0</v>
      </c>
    </row>
    <row r="58" spans="1:4" ht="18" hidden="1" x14ac:dyDescent="0.3">
      <c r="A58" s="15" t="s">
        <v>190</v>
      </c>
      <c r="B58" s="9"/>
      <c r="C58" s="9"/>
      <c r="D58" s="10">
        <f t="shared" si="0"/>
        <v>0</v>
      </c>
    </row>
    <row r="59" spans="1:4" ht="18" x14ac:dyDescent="0.3">
      <c r="A59" s="15" t="s">
        <v>191</v>
      </c>
      <c r="B59" s="9">
        <v>10</v>
      </c>
      <c r="C59" s="9">
        <v>11400</v>
      </c>
      <c r="D59" s="10">
        <f t="shared" si="0"/>
        <v>114000</v>
      </c>
    </row>
    <row r="60" spans="1:4" ht="18" hidden="1" x14ac:dyDescent="0.3">
      <c r="A60" s="15" t="s">
        <v>192</v>
      </c>
      <c r="B60" s="9"/>
      <c r="C60" s="9"/>
      <c r="D60" s="10">
        <f t="shared" si="0"/>
        <v>0</v>
      </c>
    </row>
    <row r="61" spans="1:4" ht="18" hidden="1" x14ac:dyDescent="0.3">
      <c r="A61" s="13" t="s">
        <v>193</v>
      </c>
      <c r="B61" s="9"/>
      <c r="C61" s="9"/>
      <c r="D61" s="10">
        <f t="shared" si="0"/>
        <v>0</v>
      </c>
    </row>
    <row r="62" spans="1:4" ht="18" hidden="1" x14ac:dyDescent="0.3">
      <c r="A62" s="22" t="s">
        <v>194</v>
      </c>
      <c r="B62" s="9"/>
      <c r="C62" s="9"/>
      <c r="D62" s="10">
        <f t="shared" si="0"/>
        <v>0</v>
      </c>
    </row>
    <row r="63" spans="1:4" ht="18" x14ac:dyDescent="0.3">
      <c r="A63" s="13" t="s">
        <v>195</v>
      </c>
      <c r="B63" s="9">
        <v>12</v>
      </c>
      <c r="C63" s="9">
        <v>19000</v>
      </c>
      <c r="D63" s="10">
        <f t="shared" si="0"/>
        <v>228000</v>
      </c>
    </row>
    <row r="64" spans="1:4" ht="18" hidden="1" x14ac:dyDescent="0.3">
      <c r="A64" s="13" t="s">
        <v>196</v>
      </c>
      <c r="B64" s="9"/>
      <c r="C64" s="9"/>
      <c r="D64" s="10">
        <f t="shared" si="0"/>
        <v>0</v>
      </c>
    </row>
    <row r="65" spans="1:4" ht="18" hidden="1" x14ac:dyDescent="0.3">
      <c r="A65" s="15" t="s">
        <v>197</v>
      </c>
      <c r="B65" s="9"/>
      <c r="C65" s="9"/>
      <c r="D65" s="10">
        <f t="shared" si="0"/>
        <v>0</v>
      </c>
    </row>
    <row r="66" spans="1:4" ht="18" hidden="1" x14ac:dyDescent="0.3">
      <c r="A66" s="13" t="s">
        <v>198</v>
      </c>
      <c r="B66" s="9"/>
      <c r="C66" s="9"/>
      <c r="D66" s="10">
        <f t="shared" si="0"/>
        <v>0</v>
      </c>
    </row>
    <row r="67" spans="1:4" ht="18" hidden="1" x14ac:dyDescent="0.3">
      <c r="A67" s="23" t="s">
        <v>199</v>
      </c>
      <c r="B67" s="9"/>
      <c r="C67" s="9"/>
      <c r="D67" s="10">
        <f t="shared" si="0"/>
        <v>0</v>
      </c>
    </row>
    <row r="68" spans="1:4" ht="18" hidden="1" x14ac:dyDescent="0.3">
      <c r="A68" s="13" t="s">
        <v>200</v>
      </c>
      <c r="B68" s="9"/>
      <c r="C68" s="9"/>
      <c r="D68" s="10">
        <f t="shared" ref="D68:D131" si="1">B68*C68</f>
        <v>0</v>
      </c>
    </row>
    <row r="69" spans="1:4" ht="18" hidden="1" x14ac:dyDescent="0.3">
      <c r="A69" s="13" t="s">
        <v>201</v>
      </c>
      <c r="B69" s="9"/>
      <c r="C69" s="9"/>
      <c r="D69" s="10">
        <f t="shared" si="1"/>
        <v>0</v>
      </c>
    </row>
    <row r="70" spans="1:4" ht="18" hidden="1" x14ac:dyDescent="0.3">
      <c r="A70" s="24" t="s">
        <v>202</v>
      </c>
      <c r="B70" s="9"/>
      <c r="C70" s="9"/>
      <c r="D70" s="10">
        <f t="shared" si="1"/>
        <v>0</v>
      </c>
    </row>
    <row r="71" spans="1:4" ht="18" hidden="1" x14ac:dyDescent="0.3">
      <c r="A71" s="17" t="s">
        <v>203</v>
      </c>
      <c r="B71" s="9"/>
      <c r="C71" s="9"/>
      <c r="D71" s="10">
        <f t="shared" si="1"/>
        <v>0</v>
      </c>
    </row>
    <row r="72" spans="1:4" ht="18" hidden="1" x14ac:dyDescent="0.3">
      <c r="A72" s="17" t="s">
        <v>204</v>
      </c>
      <c r="B72" s="9"/>
      <c r="C72" s="9"/>
      <c r="D72" s="10">
        <f t="shared" si="1"/>
        <v>0</v>
      </c>
    </row>
    <row r="73" spans="1:4" ht="18" hidden="1" x14ac:dyDescent="0.3">
      <c r="A73" s="16" t="s">
        <v>205</v>
      </c>
      <c r="B73" s="9"/>
      <c r="C73" s="9"/>
      <c r="D73" s="10">
        <f t="shared" si="1"/>
        <v>0</v>
      </c>
    </row>
    <row r="74" spans="1:4" ht="18" hidden="1" x14ac:dyDescent="0.3">
      <c r="A74" s="17" t="s">
        <v>206</v>
      </c>
      <c r="B74" s="9"/>
      <c r="C74" s="9"/>
      <c r="D74" s="10">
        <f t="shared" si="1"/>
        <v>0</v>
      </c>
    </row>
    <row r="75" spans="1:4" ht="18" hidden="1" x14ac:dyDescent="0.3">
      <c r="A75" s="17" t="s">
        <v>207</v>
      </c>
      <c r="B75" s="9"/>
      <c r="C75" s="9"/>
      <c r="D75" s="10">
        <f t="shared" si="1"/>
        <v>0</v>
      </c>
    </row>
    <row r="76" spans="1:4" ht="18" hidden="1" x14ac:dyDescent="0.3">
      <c r="A76" s="17" t="s">
        <v>208</v>
      </c>
      <c r="B76" s="9"/>
      <c r="C76" s="9"/>
      <c r="D76" s="10">
        <f t="shared" si="1"/>
        <v>0</v>
      </c>
    </row>
    <row r="77" spans="1:4" ht="18" hidden="1" x14ac:dyDescent="0.3">
      <c r="A77" s="24" t="s">
        <v>209</v>
      </c>
      <c r="B77" s="9"/>
      <c r="C77" s="9"/>
      <c r="D77" s="10">
        <f t="shared" si="1"/>
        <v>0</v>
      </c>
    </row>
    <row r="78" spans="1:4" ht="18" hidden="1" x14ac:dyDescent="0.3">
      <c r="A78" s="13" t="s">
        <v>210</v>
      </c>
      <c r="B78" s="9"/>
      <c r="C78" s="9"/>
      <c r="D78" s="10">
        <f t="shared" si="1"/>
        <v>0</v>
      </c>
    </row>
    <row r="79" spans="1:4" ht="18" hidden="1" x14ac:dyDescent="0.3">
      <c r="A79" s="13" t="s">
        <v>211</v>
      </c>
      <c r="B79" s="9"/>
      <c r="C79" s="9"/>
      <c r="D79" s="10">
        <f t="shared" si="1"/>
        <v>0</v>
      </c>
    </row>
    <row r="80" spans="1:4" ht="18" x14ac:dyDescent="0.3">
      <c r="A80" s="13" t="s">
        <v>212</v>
      </c>
      <c r="B80" s="9">
        <f>-100+10+80+70+30</f>
        <v>90</v>
      </c>
      <c r="C80" s="9">
        <v>24000</v>
      </c>
      <c r="D80" s="10">
        <f t="shared" si="1"/>
        <v>2160000</v>
      </c>
    </row>
    <row r="81" spans="1:4" ht="18" hidden="1" x14ac:dyDescent="0.3">
      <c r="A81" s="12" t="s">
        <v>213</v>
      </c>
      <c r="B81" s="9"/>
      <c r="C81" s="9"/>
      <c r="D81" s="10">
        <f t="shared" si="1"/>
        <v>0</v>
      </c>
    </row>
    <row r="82" spans="1:4" ht="18" hidden="1" x14ac:dyDescent="0.3">
      <c r="A82" s="13" t="s">
        <v>214</v>
      </c>
      <c r="B82" s="9"/>
      <c r="C82" s="9"/>
      <c r="D82" s="10">
        <f t="shared" si="1"/>
        <v>0</v>
      </c>
    </row>
    <row r="83" spans="1:4" ht="18" x14ac:dyDescent="0.3">
      <c r="A83" s="13" t="s">
        <v>215</v>
      </c>
      <c r="B83" s="9">
        <v>5</v>
      </c>
      <c r="C83" s="9">
        <v>22000</v>
      </c>
      <c r="D83" s="10">
        <f t="shared" si="1"/>
        <v>110000</v>
      </c>
    </row>
    <row r="84" spans="1:4" ht="18" hidden="1" x14ac:dyDescent="0.3">
      <c r="A84" s="13" t="s">
        <v>216</v>
      </c>
      <c r="B84" s="9"/>
      <c r="C84" s="9"/>
      <c r="D84" s="10">
        <f t="shared" si="1"/>
        <v>0</v>
      </c>
    </row>
    <row r="85" spans="1:4" ht="18" hidden="1" x14ac:dyDescent="0.3">
      <c r="A85" s="15" t="s">
        <v>217</v>
      </c>
      <c r="B85" s="9"/>
      <c r="C85" s="9"/>
      <c r="D85" s="10">
        <f t="shared" si="1"/>
        <v>0</v>
      </c>
    </row>
    <row r="86" spans="1:4" ht="18" hidden="1" x14ac:dyDescent="0.3">
      <c r="A86" s="17" t="s">
        <v>218</v>
      </c>
      <c r="B86" s="19"/>
      <c r="C86" s="19"/>
      <c r="D86" s="10">
        <f t="shared" si="1"/>
        <v>0</v>
      </c>
    </row>
    <row r="87" spans="1:4" ht="18" hidden="1" x14ac:dyDescent="0.3">
      <c r="A87" s="17" t="s">
        <v>219</v>
      </c>
      <c r="B87" s="19"/>
      <c r="C87" s="19"/>
      <c r="D87" s="10">
        <f t="shared" si="1"/>
        <v>0</v>
      </c>
    </row>
    <row r="88" spans="1:4" ht="18" hidden="1" x14ac:dyDescent="0.3">
      <c r="A88" s="17" t="s">
        <v>220</v>
      </c>
      <c r="B88" s="19"/>
      <c r="C88" s="19"/>
      <c r="D88" s="10">
        <f t="shared" si="1"/>
        <v>0</v>
      </c>
    </row>
    <row r="89" spans="1:4" ht="18" hidden="1" x14ac:dyDescent="0.3">
      <c r="A89" s="13" t="s">
        <v>221</v>
      </c>
      <c r="B89" s="9"/>
      <c r="C89" s="9"/>
      <c r="D89" s="10">
        <f t="shared" si="1"/>
        <v>0</v>
      </c>
    </row>
    <row r="90" spans="1:4" ht="18" x14ac:dyDescent="0.3">
      <c r="A90" s="13" t="s">
        <v>222</v>
      </c>
      <c r="B90" s="9">
        <f>12+30+10+40</f>
        <v>92</v>
      </c>
      <c r="C90" s="9">
        <v>20000</v>
      </c>
      <c r="D90" s="10">
        <f t="shared" si="1"/>
        <v>1840000</v>
      </c>
    </row>
    <row r="91" spans="1:4" ht="18" hidden="1" x14ac:dyDescent="0.3">
      <c r="A91" s="13" t="s">
        <v>223</v>
      </c>
      <c r="B91" s="9"/>
      <c r="C91" s="9"/>
      <c r="D91" s="10">
        <f t="shared" si="1"/>
        <v>0</v>
      </c>
    </row>
    <row r="92" spans="1:4" ht="18" hidden="1" x14ac:dyDescent="0.3">
      <c r="A92" s="13" t="s">
        <v>224</v>
      </c>
      <c r="B92" s="9"/>
      <c r="C92" s="9"/>
      <c r="D92" s="10">
        <f t="shared" si="1"/>
        <v>0</v>
      </c>
    </row>
    <row r="93" spans="1:4" ht="18" hidden="1" x14ac:dyDescent="0.3">
      <c r="A93" s="13" t="s">
        <v>225</v>
      </c>
      <c r="B93" s="9"/>
      <c r="C93" s="9"/>
      <c r="D93" s="10">
        <f t="shared" si="1"/>
        <v>0</v>
      </c>
    </row>
    <row r="94" spans="1:4" ht="18" hidden="1" x14ac:dyDescent="0.3">
      <c r="A94" s="13" t="s">
        <v>226</v>
      </c>
      <c r="B94" s="9"/>
      <c r="C94" s="9"/>
      <c r="D94" s="10">
        <f t="shared" si="1"/>
        <v>0</v>
      </c>
    </row>
    <row r="95" spans="1:4" ht="18" hidden="1" x14ac:dyDescent="0.3">
      <c r="A95" s="25" t="s">
        <v>227</v>
      </c>
      <c r="B95" s="9"/>
      <c r="C95" s="9"/>
      <c r="D95" s="10">
        <f t="shared" si="1"/>
        <v>0</v>
      </c>
    </row>
    <row r="96" spans="1:4" ht="18" hidden="1" x14ac:dyDescent="0.3">
      <c r="A96" s="25" t="s">
        <v>228</v>
      </c>
      <c r="B96" s="9"/>
      <c r="C96" s="9"/>
      <c r="D96" s="10">
        <f t="shared" si="1"/>
        <v>0</v>
      </c>
    </row>
    <row r="97" spans="1:4" ht="18" hidden="1" x14ac:dyDescent="0.3">
      <c r="A97" s="25" t="s">
        <v>229</v>
      </c>
      <c r="B97" s="9"/>
      <c r="C97" s="9"/>
      <c r="D97" s="10">
        <f t="shared" si="1"/>
        <v>0</v>
      </c>
    </row>
    <row r="98" spans="1:4" ht="18" hidden="1" x14ac:dyDescent="0.3">
      <c r="A98" s="16" t="s">
        <v>230</v>
      </c>
      <c r="B98" s="9"/>
      <c r="C98" s="9"/>
      <c r="D98" s="10">
        <f t="shared" si="1"/>
        <v>0</v>
      </c>
    </row>
    <row r="99" spans="1:4" ht="18" hidden="1" x14ac:dyDescent="0.3">
      <c r="A99" s="12" t="s">
        <v>231</v>
      </c>
      <c r="B99" s="9"/>
      <c r="C99" s="9"/>
      <c r="D99" s="10">
        <f t="shared" si="1"/>
        <v>0</v>
      </c>
    </row>
    <row r="100" spans="1:4" ht="18" hidden="1" x14ac:dyDescent="0.3">
      <c r="A100" s="13" t="s">
        <v>232</v>
      </c>
      <c r="B100" s="9"/>
      <c r="C100" s="9"/>
      <c r="D100" s="10">
        <f t="shared" si="1"/>
        <v>0</v>
      </c>
    </row>
    <row r="101" spans="1:4" ht="18" hidden="1" x14ac:dyDescent="0.3">
      <c r="A101" s="13" t="s">
        <v>233</v>
      </c>
      <c r="B101" s="9"/>
      <c r="C101" s="9"/>
      <c r="D101" s="10">
        <f t="shared" si="1"/>
        <v>0</v>
      </c>
    </row>
    <row r="102" spans="1:4" ht="18" hidden="1" x14ac:dyDescent="0.3">
      <c r="A102" s="26" t="s">
        <v>234</v>
      </c>
      <c r="B102" s="9"/>
      <c r="C102" s="9"/>
      <c r="D102" s="10">
        <f t="shared" si="1"/>
        <v>0</v>
      </c>
    </row>
    <row r="103" spans="1:4" ht="18" hidden="1" x14ac:dyDescent="0.3">
      <c r="A103" s="27" t="s">
        <v>235</v>
      </c>
      <c r="B103" s="19"/>
      <c r="C103" s="19"/>
      <c r="D103" s="10">
        <f t="shared" si="1"/>
        <v>0</v>
      </c>
    </row>
    <row r="104" spans="1:4" ht="18" hidden="1" x14ac:dyDescent="0.3">
      <c r="A104" s="26" t="s">
        <v>236</v>
      </c>
      <c r="B104" s="9"/>
      <c r="C104" s="9"/>
      <c r="D104" s="10">
        <f t="shared" si="1"/>
        <v>0</v>
      </c>
    </row>
    <row r="105" spans="1:4" ht="18" hidden="1" x14ac:dyDescent="0.3">
      <c r="A105" s="25" t="s">
        <v>237</v>
      </c>
      <c r="B105" s="9"/>
      <c r="C105" s="9"/>
      <c r="D105" s="10">
        <f t="shared" si="1"/>
        <v>0</v>
      </c>
    </row>
    <row r="106" spans="1:4" ht="18" hidden="1" x14ac:dyDescent="0.3">
      <c r="A106" s="16" t="s">
        <v>238</v>
      </c>
      <c r="B106" s="9"/>
      <c r="C106" s="9"/>
      <c r="D106" s="10">
        <f t="shared" si="1"/>
        <v>0</v>
      </c>
    </row>
    <row r="107" spans="1:4" ht="18" hidden="1" x14ac:dyDescent="0.3">
      <c r="A107" s="13" t="s">
        <v>239</v>
      </c>
      <c r="B107" s="9"/>
      <c r="C107" s="9"/>
      <c r="D107" s="10">
        <f t="shared" si="1"/>
        <v>0</v>
      </c>
    </row>
    <row r="108" spans="1:4" ht="18" hidden="1" x14ac:dyDescent="0.3">
      <c r="A108" s="15" t="s">
        <v>240</v>
      </c>
      <c r="B108" s="9"/>
      <c r="C108" s="9"/>
      <c r="D108" s="10">
        <f t="shared" si="1"/>
        <v>0</v>
      </c>
    </row>
    <row r="109" spans="1:4" ht="18" hidden="1" x14ac:dyDescent="0.3">
      <c r="A109" s="13" t="s">
        <v>241</v>
      </c>
      <c r="B109" s="9"/>
      <c r="C109" s="9"/>
      <c r="D109" s="10">
        <f t="shared" si="1"/>
        <v>0</v>
      </c>
    </row>
    <row r="110" spans="1:4" ht="18" hidden="1" x14ac:dyDescent="0.3">
      <c r="A110" s="13" t="s">
        <v>242</v>
      </c>
      <c r="B110" s="9"/>
      <c r="C110" s="9"/>
      <c r="D110" s="10">
        <f t="shared" si="1"/>
        <v>0</v>
      </c>
    </row>
    <row r="111" spans="1:4" ht="18" hidden="1" x14ac:dyDescent="0.3">
      <c r="A111" s="16" t="s">
        <v>243</v>
      </c>
      <c r="B111" s="9"/>
      <c r="C111" s="9"/>
      <c r="D111" s="10">
        <f t="shared" si="1"/>
        <v>0</v>
      </c>
    </row>
    <row r="112" spans="1:4" ht="18" hidden="1" x14ac:dyDescent="0.3">
      <c r="A112" s="28" t="s">
        <v>244</v>
      </c>
      <c r="B112" s="9"/>
      <c r="C112" s="9"/>
      <c r="D112" s="10">
        <f t="shared" si="1"/>
        <v>0</v>
      </c>
    </row>
    <row r="113" spans="1:4" ht="18" hidden="1" x14ac:dyDescent="0.3">
      <c r="A113" s="13" t="s">
        <v>245</v>
      </c>
      <c r="B113" s="9"/>
      <c r="C113" s="9"/>
      <c r="D113" s="10">
        <f t="shared" si="1"/>
        <v>0</v>
      </c>
    </row>
    <row r="114" spans="1:4" ht="18" hidden="1" x14ac:dyDescent="0.3">
      <c r="A114" s="13" t="s">
        <v>246</v>
      </c>
      <c r="B114" s="9"/>
      <c r="C114" s="9"/>
      <c r="D114" s="10">
        <f t="shared" si="1"/>
        <v>0</v>
      </c>
    </row>
    <row r="115" spans="1:4" ht="18" hidden="1" x14ac:dyDescent="0.3">
      <c r="A115" s="17" t="s">
        <v>247</v>
      </c>
      <c r="B115" s="19"/>
      <c r="C115" s="19"/>
      <c r="D115" s="10">
        <f t="shared" si="1"/>
        <v>0</v>
      </c>
    </row>
    <row r="116" spans="1:4" ht="18" x14ac:dyDescent="0.3">
      <c r="A116" s="13" t="s">
        <v>248</v>
      </c>
      <c r="B116" s="9">
        <f>70+24+65</f>
        <v>159</v>
      </c>
      <c r="C116" s="9">
        <v>17000</v>
      </c>
      <c r="D116" s="10">
        <f t="shared" si="1"/>
        <v>2703000</v>
      </c>
    </row>
    <row r="117" spans="1:4" ht="18" hidden="1" x14ac:dyDescent="0.3">
      <c r="A117" s="13" t="s">
        <v>249</v>
      </c>
      <c r="B117" s="9"/>
      <c r="C117" s="9"/>
      <c r="D117" s="10">
        <f t="shared" si="1"/>
        <v>0</v>
      </c>
    </row>
    <row r="118" spans="1:4" ht="18" hidden="1" x14ac:dyDescent="0.3">
      <c r="A118" s="13" t="s">
        <v>250</v>
      </c>
      <c r="B118" s="9"/>
      <c r="C118" s="9"/>
      <c r="D118" s="10">
        <f t="shared" si="1"/>
        <v>0</v>
      </c>
    </row>
    <row r="119" spans="1:4" ht="18" hidden="1" x14ac:dyDescent="0.3">
      <c r="A119" s="13" t="s">
        <v>251</v>
      </c>
      <c r="B119" s="9"/>
      <c r="C119" s="9"/>
      <c r="D119" s="10">
        <f t="shared" si="1"/>
        <v>0</v>
      </c>
    </row>
    <row r="120" spans="1:4" ht="18" hidden="1" x14ac:dyDescent="0.3">
      <c r="A120" s="13" t="s">
        <v>252</v>
      </c>
      <c r="B120" s="9"/>
      <c r="C120" s="9"/>
      <c r="D120" s="10">
        <f t="shared" si="1"/>
        <v>0</v>
      </c>
    </row>
    <row r="121" spans="1:4" ht="18" hidden="1" x14ac:dyDescent="0.3">
      <c r="A121" s="13" t="s">
        <v>253</v>
      </c>
      <c r="B121" s="9"/>
      <c r="C121" s="9"/>
      <c r="D121" s="10">
        <f t="shared" si="1"/>
        <v>0</v>
      </c>
    </row>
    <row r="122" spans="1:4" ht="18" hidden="1" x14ac:dyDescent="0.3">
      <c r="A122" s="13" t="s">
        <v>254</v>
      </c>
      <c r="B122" s="9"/>
      <c r="C122" s="9"/>
      <c r="D122" s="10">
        <f t="shared" si="1"/>
        <v>0</v>
      </c>
    </row>
    <row r="123" spans="1:4" ht="18" hidden="1" x14ac:dyDescent="0.3">
      <c r="A123" s="29" t="s">
        <v>255</v>
      </c>
      <c r="B123" s="9"/>
      <c r="C123" s="9"/>
      <c r="D123" s="10">
        <f t="shared" si="1"/>
        <v>0</v>
      </c>
    </row>
    <row r="124" spans="1:4" ht="18" hidden="1" x14ac:dyDescent="0.3">
      <c r="A124" s="16" t="s">
        <v>256</v>
      </c>
      <c r="B124" s="9"/>
      <c r="C124" s="9"/>
      <c r="D124" s="10">
        <f t="shared" si="1"/>
        <v>0</v>
      </c>
    </row>
    <row r="125" spans="1:4" ht="18" hidden="1" x14ac:dyDescent="0.3">
      <c r="A125" s="25" t="s">
        <v>257</v>
      </c>
      <c r="B125" s="9"/>
      <c r="C125" s="9"/>
      <c r="D125" s="10">
        <f t="shared" si="1"/>
        <v>0</v>
      </c>
    </row>
    <row r="126" spans="1:4" ht="18" hidden="1" x14ac:dyDescent="0.3">
      <c r="A126" s="16" t="s">
        <v>258</v>
      </c>
      <c r="B126" s="9"/>
      <c r="C126" s="9"/>
      <c r="D126" s="10">
        <f t="shared" si="1"/>
        <v>0</v>
      </c>
    </row>
    <row r="127" spans="1:4" ht="18" hidden="1" x14ac:dyDescent="0.3">
      <c r="A127" s="13" t="s">
        <v>259</v>
      </c>
      <c r="B127" s="9"/>
      <c r="C127" s="9"/>
      <c r="D127" s="10">
        <f t="shared" si="1"/>
        <v>0</v>
      </c>
    </row>
    <row r="128" spans="1:4" ht="18" hidden="1" x14ac:dyDescent="0.3">
      <c r="A128" s="16" t="s">
        <v>260</v>
      </c>
      <c r="B128" s="9"/>
      <c r="C128" s="9"/>
      <c r="D128" s="10">
        <f t="shared" si="1"/>
        <v>0</v>
      </c>
    </row>
    <row r="129" spans="1:4" ht="18" hidden="1" x14ac:dyDescent="0.3">
      <c r="A129" s="13" t="s">
        <v>261</v>
      </c>
      <c r="B129" s="9"/>
      <c r="C129" s="9"/>
      <c r="D129" s="10">
        <f t="shared" si="1"/>
        <v>0</v>
      </c>
    </row>
    <row r="130" spans="1:4" ht="18" hidden="1" x14ac:dyDescent="0.3">
      <c r="A130" s="16" t="s">
        <v>262</v>
      </c>
      <c r="B130" s="9"/>
      <c r="C130" s="9"/>
      <c r="D130" s="10">
        <f t="shared" si="1"/>
        <v>0</v>
      </c>
    </row>
    <row r="131" spans="1:4" ht="18" hidden="1" x14ac:dyDescent="0.3">
      <c r="A131" s="16" t="s">
        <v>263</v>
      </c>
      <c r="B131" s="9"/>
      <c r="C131" s="9"/>
      <c r="D131" s="10">
        <f t="shared" si="1"/>
        <v>0</v>
      </c>
    </row>
    <row r="132" spans="1:4" ht="18" hidden="1" x14ac:dyDescent="0.3">
      <c r="A132" s="15" t="s">
        <v>264</v>
      </c>
      <c r="B132" s="9"/>
      <c r="C132" s="9"/>
      <c r="D132" s="10">
        <f t="shared" ref="D132:D195" si="2">B132*C132</f>
        <v>0</v>
      </c>
    </row>
    <row r="133" spans="1:4" ht="18" hidden="1" x14ac:dyDescent="0.3">
      <c r="A133" s="12" t="s">
        <v>265</v>
      </c>
      <c r="B133" s="9"/>
      <c r="C133" s="9"/>
      <c r="D133" s="10">
        <f t="shared" si="2"/>
        <v>0</v>
      </c>
    </row>
    <row r="134" spans="1:4" ht="18" hidden="1" x14ac:dyDescent="0.3">
      <c r="A134" s="12" t="s">
        <v>266</v>
      </c>
      <c r="B134" s="9"/>
      <c r="C134" s="9"/>
      <c r="D134" s="10">
        <f t="shared" si="2"/>
        <v>0</v>
      </c>
    </row>
    <row r="135" spans="1:4" ht="18" x14ac:dyDescent="0.3">
      <c r="A135" s="13" t="s">
        <v>267</v>
      </c>
      <c r="B135" s="9">
        <f>-20+100</f>
        <v>80</v>
      </c>
      <c r="C135" s="9">
        <v>14000</v>
      </c>
      <c r="D135" s="10">
        <f t="shared" si="2"/>
        <v>1120000</v>
      </c>
    </row>
    <row r="136" spans="1:4" ht="18" hidden="1" x14ac:dyDescent="0.3">
      <c r="A136" s="13" t="s">
        <v>268</v>
      </c>
      <c r="B136" s="9"/>
      <c r="C136" s="9"/>
      <c r="D136" s="10">
        <f t="shared" si="2"/>
        <v>0</v>
      </c>
    </row>
    <row r="137" spans="1:4" ht="18" hidden="1" x14ac:dyDescent="0.3">
      <c r="A137" s="14" t="s">
        <v>269</v>
      </c>
      <c r="B137" s="9"/>
      <c r="C137" s="9"/>
      <c r="D137" s="10">
        <f t="shared" si="2"/>
        <v>0</v>
      </c>
    </row>
    <row r="138" spans="1:4" ht="18" hidden="1" x14ac:dyDescent="0.3">
      <c r="A138" s="12" t="s">
        <v>270</v>
      </c>
      <c r="B138" s="9"/>
      <c r="C138" s="9"/>
      <c r="D138" s="10">
        <f t="shared" si="2"/>
        <v>0</v>
      </c>
    </row>
    <row r="139" spans="1:4" ht="18" hidden="1" x14ac:dyDescent="0.3">
      <c r="A139" s="17" t="s">
        <v>271</v>
      </c>
      <c r="B139" s="19"/>
      <c r="C139" s="19"/>
      <c r="D139" s="10">
        <f t="shared" si="2"/>
        <v>0</v>
      </c>
    </row>
    <row r="140" spans="1:4" ht="18" hidden="1" x14ac:dyDescent="0.3">
      <c r="A140" s="17" t="s">
        <v>272</v>
      </c>
      <c r="B140" s="19"/>
      <c r="C140" s="19"/>
      <c r="D140" s="10">
        <f t="shared" si="2"/>
        <v>0</v>
      </c>
    </row>
    <row r="141" spans="1:4" ht="18" hidden="1" x14ac:dyDescent="0.3">
      <c r="A141" s="17" t="s">
        <v>273</v>
      </c>
      <c r="B141" s="30"/>
      <c r="C141" s="30"/>
      <c r="D141" s="10">
        <f t="shared" si="2"/>
        <v>0</v>
      </c>
    </row>
    <row r="142" spans="1:4" ht="18" x14ac:dyDescent="0.3">
      <c r="A142" s="17" t="s">
        <v>274</v>
      </c>
      <c r="B142" s="19">
        <v>1.5</v>
      </c>
      <c r="C142" s="19">
        <v>16000</v>
      </c>
      <c r="D142" s="10">
        <f t="shared" si="2"/>
        <v>24000</v>
      </c>
    </row>
    <row r="143" spans="1:4" ht="18" hidden="1" x14ac:dyDescent="0.3">
      <c r="A143" s="13" t="s">
        <v>275</v>
      </c>
      <c r="B143" s="9"/>
      <c r="C143" s="9"/>
      <c r="D143" s="10">
        <f t="shared" si="2"/>
        <v>0</v>
      </c>
    </row>
    <row r="144" spans="1:4" ht="18" hidden="1" x14ac:dyDescent="0.3">
      <c r="A144" s="13" t="s">
        <v>276</v>
      </c>
      <c r="B144" s="9"/>
      <c r="C144" s="9"/>
      <c r="D144" s="10">
        <f t="shared" si="2"/>
        <v>0</v>
      </c>
    </row>
    <row r="145" spans="1:4" ht="18" hidden="1" x14ac:dyDescent="0.3">
      <c r="A145" s="13" t="s">
        <v>277</v>
      </c>
      <c r="B145" s="9"/>
      <c r="C145" s="9"/>
      <c r="D145" s="10">
        <f t="shared" si="2"/>
        <v>0</v>
      </c>
    </row>
    <row r="146" spans="1:4" ht="18" x14ac:dyDescent="0.3">
      <c r="A146" s="13" t="s">
        <v>278</v>
      </c>
      <c r="B146" s="9">
        <f>-60+55+8+90+15</f>
        <v>108</v>
      </c>
      <c r="C146" s="9">
        <v>16000</v>
      </c>
      <c r="D146" s="10">
        <f t="shared" si="2"/>
        <v>1728000</v>
      </c>
    </row>
    <row r="147" spans="1:4" ht="18" hidden="1" x14ac:dyDescent="0.3">
      <c r="A147" s="15" t="s">
        <v>279</v>
      </c>
      <c r="B147" s="9"/>
      <c r="C147" s="9"/>
      <c r="D147" s="10">
        <f t="shared" si="2"/>
        <v>0</v>
      </c>
    </row>
    <row r="148" spans="1:4" ht="18" hidden="1" x14ac:dyDescent="0.3">
      <c r="A148" s="17" t="s">
        <v>280</v>
      </c>
      <c r="B148" s="9"/>
      <c r="C148" s="9"/>
      <c r="D148" s="10">
        <f t="shared" si="2"/>
        <v>0</v>
      </c>
    </row>
    <row r="149" spans="1:4" ht="18" hidden="1" x14ac:dyDescent="0.3">
      <c r="A149" s="17" t="s">
        <v>281</v>
      </c>
      <c r="B149" s="9"/>
      <c r="C149" s="9"/>
      <c r="D149" s="10">
        <f t="shared" si="2"/>
        <v>0</v>
      </c>
    </row>
    <row r="150" spans="1:4" ht="18" hidden="1" x14ac:dyDescent="0.3">
      <c r="A150" s="13" t="s">
        <v>282</v>
      </c>
      <c r="B150" s="9"/>
      <c r="C150" s="9"/>
      <c r="D150" s="10">
        <f t="shared" si="2"/>
        <v>0</v>
      </c>
    </row>
    <row r="151" spans="1:4" ht="18" hidden="1" x14ac:dyDescent="0.3">
      <c r="A151" s="13" t="s">
        <v>283</v>
      </c>
      <c r="B151" s="9"/>
      <c r="C151" s="9"/>
      <c r="D151" s="10">
        <f t="shared" si="2"/>
        <v>0</v>
      </c>
    </row>
    <row r="152" spans="1:4" ht="18" hidden="1" x14ac:dyDescent="0.3">
      <c r="A152" s="13" t="s">
        <v>284</v>
      </c>
      <c r="B152" s="19"/>
      <c r="C152" s="19"/>
      <c r="D152" s="10">
        <f t="shared" si="2"/>
        <v>0</v>
      </c>
    </row>
    <row r="153" spans="1:4" ht="18" hidden="1" x14ac:dyDescent="0.3">
      <c r="A153" s="13" t="s">
        <v>285</v>
      </c>
      <c r="B153" s="19"/>
      <c r="C153" s="19"/>
      <c r="D153" s="10">
        <f t="shared" si="2"/>
        <v>0</v>
      </c>
    </row>
    <row r="154" spans="1:4" ht="18" hidden="1" x14ac:dyDescent="0.3">
      <c r="A154" s="13" t="s">
        <v>286</v>
      </c>
      <c r="B154" s="9"/>
      <c r="C154" s="9"/>
      <c r="D154" s="10">
        <f t="shared" si="2"/>
        <v>0</v>
      </c>
    </row>
    <row r="155" spans="1:4" ht="18" hidden="1" x14ac:dyDescent="0.3">
      <c r="A155" s="13" t="s">
        <v>287</v>
      </c>
      <c r="B155" s="19"/>
      <c r="C155" s="19"/>
      <c r="D155" s="10">
        <f t="shared" si="2"/>
        <v>0</v>
      </c>
    </row>
    <row r="156" spans="1:4" ht="18" hidden="1" x14ac:dyDescent="0.3">
      <c r="A156" s="13" t="s">
        <v>288</v>
      </c>
      <c r="B156" s="19"/>
      <c r="C156" s="19"/>
      <c r="D156" s="10">
        <f t="shared" si="2"/>
        <v>0</v>
      </c>
    </row>
    <row r="157" spans="1:4" ht="18" hidden="1" x14ac:dyDescent="0.3">
      <c r="A157" s="13" t="s">
        <v>289</v>
      </c>
      <c r="B157" s="19"/>
      <c r="C157" s="19"/>
      <c r="D157" s="10">
        <f t="shared" si="2"/>
        <v>0</v>
      </c>
    </row>
    <row r="158" spans="1:4" ht="18" hidden="1" x14ac:dyDescent="0.3">
      <c r="A158" s="13" t="s">
        <v>290</v>
      </c>
      <c r="B158" s="19"/>
      <c r="C158" s="19"/>
      <c r="D158" s="10">
        <f t="shared" si="2"/>
        <v>0</v>
      </c>
    </row>
    <row r="159" spans="1:4" ht="18" hidden="1" x14ac:dyDescent="0.3">
      <c r="A159" s="13" t="s">
        <v>291</v>
      </c>
      <c r="B159" s="19"/>
      <c r="C159" s="19"/>
      <c r="D159" s="10">
        <f t="shared" si="2"/>
        <v>0</v>
      </c>
    </row>
    <row r="160" spans="1:4" ht="18" hidden="1" x14ac:dyDescent="0.3">
      <c r="A160" s="13" t="s">
        <v>292</v>
      </c>
      <c r="B160" s="19"/>
      <c r="C160" s="19"/>
      <c r="D160" s="10">
        <f t="shared" si="2"/>
        <v>0</v>
      </c>
    </row>
    <row r="161" spans="1:4" ht="18" hidden="1" x14ac:dyDescent="0.3">
      <c r="A161" s="21" t="s">
        <v>293</v>
      </c>
      <c r="B161" s="19"/>
      <c r="C161" s="19"/>
      <c r="D161" s="10">
        <f t="shared" si="2"/>
        <v>0</v>
      </c>
    </row>
    <row r="162" spans="1:4" ht="18" hidden="1" x14ac:dyDescent="0.3">
      <c r="A162" s="13" t="s">
        <v>294</v>
      </c>
      <c r="B162" s="19"/>
      <c r="C162" s="19"/>
      <c r="D162" s="10">
        <f t="shared" si="2"/>
        <v>0</v>
      </c>
    </row>
    <row r="163" spans="1:4" ht="18" hidden="1" x14ac:dyDescent="0.3">
      <c r="A163" s="13" t="s">
        <v>295</v>
      </c>
      <c r="B163" s="9"/>
      <c r="C163" s="9"/>
      <c r="D163" s="10">
        <f t="shared" si="2"/>
        <v>0</v>
      </c>
    </row>
    <row r="164" spans="1:4" ht="18" hidden="1" x14ac:dyDescent="0.3">
      <c r="A164" s="13" t="s">
        <v>296</v>
      </c>
      <c r="B164" s="9"/>
      <c r="C164" s="9"/>
      <c r="D164" s="10">
        <f t="shared" si="2"/>
        <v>0</v>
      </c>
    </row>
    <row r="165" spans="1:4" ht="18" hidden="1" x14ac:dyDescent="0.3">
      <c r="A165" s="13" t="s">
        <v>297</v>
      </c>
      <c r="B165" s="9"/>
      <c r="C165" s="9"/>
      <c r="D165" s="10">
        <f t="shared" si="2"/>
        <v>0</v>
      </c>
    </row>
    <row r="166" spans="1:4" ht="18" x14ac:dyDescent="0.3">
      <c r="A166" s="13" t="s">
        <v>298</v>
      </c>
      <c r="B166" s="9">
        <v>4</v>
      </c>
      <c r="C166" s="9">
        <v>17000</v>
      </c>
      <c r="D166" s="10">
        <f t="shared" si="2"/>
        <v>68000</v>
      </c>
    </row>
    <row r="167" spans="1:4" ht="18" hidden="1" x14ac:dyDescent="0.3">
      <c r="A167" s="15" t="s">
        <v>299</v>
      </c>
      <c r="B167" s="9"/>
      <c r="C167" s="9"/>
      <c r="D167" s="10">
        <f t="shared" si="2"/>
        <v>0</v>
      </c>
    </row>
    <row r="168" spans="1:4" ht="18" hidden="1" x14ac:dyDescent="0.3">
      <c r="A168" s="13" t="s">
        <v>300</v>
      </c>
      <c r="B168" s="9"/>
      <c r="C168" s="9"/>
      <c r="D168" s="10">
        <f t="shared" si="2"/>
        <v>0</v>
      </c>
    </row>
    <row r="169" spans="1:4" ht="18" hidden="1" x14ac:dyDescent="0.3">
      <c r="A169" s="13" t="s">
        <v>301</v>
      </c>
      <c r="B169" s="9"/>
      <c r="C169" s="9"/>
      <c r="D169" s="10">
        <f t="shared" si="2"/>
        <v>0</v>
      </c>
    </row>
    <row r="170" spans="1:4" ht="18" hidden="1" x14ac:dyDescent="0.3">
      <c r="A170" s="13" t="s">
        <v>302</v>
      </c>
      <c r="B170" s="9"/>
      <c r="C170" s="9"/>
      <c r="D170" s="10">
        <f t="shared" si="2"/>
        <v>0</v>
      </c>
    </row>
    <row r="171" spans="1:4" ht="18" x14ac:dyDescent="0.3">
      <c r="A171" s="13" t="s">
        <v>303</v>
      </c>
      <c r="B171" s="9">
        <v>6</v>
      </c>
      <c r="C171" s="9">
        <v>13000</v>
      </c>
      <c r="D171" s="10">
        <f t="shared" si="2"/>
        <v>78000</v>
      </c>
    </row>
    <row r="172" spans="1:4" ht="18" hidden="1" x14ac:dyDescent="0.3">
      <c r="A172" s="13" t="s">
        <v>304</v>
      </c>
      <c r="B172" s="19"/>
      <c r="C172" s="19"/>
      <c r="D172" s="10">
        <f t="shared" si="2"/>
        <v>0</v>
      </c>
    </row>
    <row r="173" spans="1:4" ht="18" hidden="1" x14ac:dyDescent="0.3">
      <c r="A173" s="13" t="s">
        <v>305</v>
      </c>
      <c r="B173" s="19"/>
      <c r="C173" s="19"/>
      <c r="D173" s="10">
        <f t="shared" si="2"/>
        <v>0</v>
      </c>
    </row>
    <row r="174" spans="1:4" ht="18" hidden="1" x14ac:dyDescent="0.3">
      <c r="A174" s="13" t="s">
        <v>306</v>
      </c>
      <c r="B174" s="19"/>
      <c r="C174" s="19"/>
      <c r="D174" s="10">
        <f t="shared" si="2"/>
        <v>0</v>
      </c>
    </row>
    <row r="175" spans="1:4" ht="18" hidden="1" x14ac:dyDescent="0.3">
      <c r="A175" s="13" t="s">
        <v>307</v>
      </c>
      <c r="B175" s="9"/>
      <c r="C175" s="9"/>
      <c r="D175" s="10">
        <f t="shared" si="2"/>
        <v>0</v>
      </c>
    </row>
    <row r="176" spans="1:4" ht="18" hidden="1" x14ac:dyDescent="0.3">
      <c r="A176" s="13" t="s">
        <v>308</v>
      </c>
      <c r="B176" s="9"/>
      <c r="C176" s="9"/>
      <c r="D176" s="10">
        <f t="shared" si="2"/>
        <v>0</v>
      </c>
    </row>
    <row r="177" spans="1:4" ht="18" hidden="1" x14ac:dyDescent="0.3">
      <c r="A177" s="15" t="s">
        <v>309</v>
      </c>
      <c r="B177" s="9"/>
      <c r="C177" s="9"/>
      <c r="D177" s="10">
        <f t="shared" si="2"/>
        <v>0</v>
      </c>
    </row>
    <row r="178" spans="1:4" ht="18" hidden="1" x14ac:dyDescent="0.3">
      <c r="A178" s="13" t="s">
        <v>310</v>
      </c>
      <c r="B178" s="9"/>
      <c r="C178" s="32"/>
      <c r="D178" s="10">
        <f t="shared" si="2"/>
        <v>0</v>
      </c>
    </row>
    <row r="179" spans="1:4" ht="18" hidden="1" x14ac:dyDescent="0.3">
      <c r="A179" s="33" t="s">
        <v>311</v>
      </c>
      <c r="B179" s="9"/>
      <c r="C179" s="9"/>
      <c r="D179" s="10">
        <f t="shared" si="2"/>
        <v>0</v>
      </c>
    </row>
    <row r="180" spans="1:4" ht="18" hidden="1" x14ac:dyDescent="0.3">
      <c r="A180" s="13" t="s">
        <v>312</v>
      </c>
      <c r="B180" s="9"/>
      <c r="C180" s="9"/>
      <c r="D180" s="10">
        <f t="shared" si="2"/>
        <v>0</v>
      </c>
    </row>
    <row r="181" spans="1:4" ht="18" hidden="1" x14ac:dyDescent="0.3">
      <c r="A181" s="13" t="s">
        <v>313</v>
      </c>
      <c r="B181" s="9"/>
      <c r="C181" s="9"/>
      <c r="D181" s="10">
        <f t="shared" si="2"/>
        <v>0</v>
      </c>
    </row>
    <row r="182" spans="1:4" ht="18" hidden="1" x14ac:dyDescent="0.3">
      <c r="A182" s="24" t="s">
        <v>314</v>
      </c>
      <c r="B182" s="9"/>
      <c r="C182" s="9"/>
      <c r="D182" s="10">
        <f t="shared" si="2"/>
        <v>0</v>
      </c>
    </row>
    <row r="183" spans="1:4" ht="18" hidden="1" x14ac:dyDescent="0.3">
      <c r="A183" s="13" t="s">
        <v>315</v>
      </c>
      <c r="B183" s="9"/>
      <c r="C183" s="9"/>
      <c r="D183" s="10">
        <f t="shared" si="2"/>
        <v>0</v>
      </c>
    </row>
    <row r="184" spans="1:4" ht="18" hidden="1" x14ac:dyDescent="0.3">
      <c r="A184" s="34" t="s">
        <v>316</v>
      </c>
      <c r="B184" s="35"/>
      <c r="C184" s="35"/>
      <c r="D184" s="10">
        <f t="shared" si="2"/>
        <v>0</v>
      </c>
    </row>
    <row r="185" spans="1:4" ht="18" hidden="1" x14ac:dyDescent="0.3">
      <c r="A185" s="16" t="s">
        <v>317</v>
      </c>
      <c r="B185" s="9"/>
      <c r="C185" s="9"/>
      <c r="D185" s="10">
        <f t="shared" si="2"/>
        <v>0</v>
      </c>
    </row>
    <row r="186" spans="1:4" ht="18" hidden="1" x14ac:dyDescent="0.3">
      <c r="A186" s="13" t="s">
        <v>318</v>
      </c>
      <c r="B186" s="9"/>
      <c r="C186" s="9"/>
      <c r="D186" s="10">
        <f t="shared" si="2"/>
        <v>0</v>
      </c>
    </row>
    <row r="187" spans="1:4" ht="18" hidden="1" x14ac:dyDescent="0.3">
      <c r="A187" s="13" t="s">
        <v>319</v>
      </c>
      <c r="B187" s="9"/>
      <c r="C187" s="9"/>
      <c r="D187" s="10">
        <f t="shared" si="2"/>
        <v>0</v>
      </c>
    </row>
    <row r="188" spans="1:4" ht="18" hidden="1" x14ac:dyDescent="0.3">
      <c r="A188" s="17" t="s">
        <v>320</v>
      </c>
      <c r="B188" s="9"/>
      <c r="C188" s="9"/>
      <c r="D188" s="10">
        <f t="shared" si="2"/>
        <v>0</v>
      </c>
    </row>
    <row r="189" spans="1:4" ht="18" hidden="1" x14ac:dyDescent="0.3">
      <c r="A189" s="13" t="s">
        <v>321</v>
      </c>
      <c r="B189" s="9"/>
      <c r="C189" s="9"/>
      <c r="D189" s="10">
        <f t="shared" si="2"/>
        <v>0</v>
      </c>
    </row>
    <row r="190" spans="1:4" ht="18" hidden="1" x14ac:dyDescent="0.3">
      <c r="A190" s="13" t="s">
        <v>322</v>
      </c>
      <c r="B190" s="9"/>
      <c r="C190" s="9"/>
      <c r="D190" s="10">
        <f t="shared" si="2"/>
        <v>0</v>
      </c>
    </row>
    <row r="191" spans="1:4" ht="18" hidden="1" x14ac:dyDescent="0.3">
      <c r="A191" s="17" t="s">
        <v>323</v>
      </c>
      <c r="B191" s="9"/>
      <c r="C191" s="9"/>
      <c r="D191" s="10">
        <f t="shared" si="2"/>
        <v>0</v>
      </c>
    </row>
    <row r="192" spans="1:4" ht="18" hidden="1" x14ac:dyDescent="0.3">
      <c r="A192" s="17" t="s">
        <v>324</v>
      </c>
      <c r="B192" s="9"/>
      <c r="C192" s="9"/>
      <c r="D192" s="10">
        <f t="shared" si="2"/>
        <v>0</v>
      </c>
    </row>
    <row r="193" spans="1:4" ht="18" x14ac:dyDescent="0.3">
      <c r="A193" s="17" t="s">
        <v>325</v>
      </c>
      <c r="B193" s="9">
        <f>250+8+30</f>
        <v>288</v>
      </c>
      <c r="C193" s="9">
        <v>12000</v>
      </c>
      <c r="D193" s="10">
        <f t="shared" si="2"/>
        <v>3456000</v>
      </c>
    </row>
    <row r="194" spans="1:4" ht="18" hidden="1" x14ac:dyDescent="0.3">
      <c r="A194" s="13" t="s">
        <v>326</v>
      </c>
      <c r="B194" s="9"/>
      <c r="C194" s="9"/>
      <c r="D194" s="10">
        <f t="shared" si="2"/>
        <v>0</v>
      </c>
    </row>
    <row r="195" spans="1:4" ht="18" hidden="1" x14ac:dyDescent="0.3">
      <c r="A195" s="13" t="s">
        <v>327</v>
      </c>
      <c r="B195" s="9"/>
      <c r="C195" s="9"/>
      <c r="D195" s="10">
        <f t="shared" si="2"/>
        <v>0</v>
      </c>
    </row>
    <row r="196" spans="1:4" ht="18" hidden="1" x14ac:dyDescent="0.3">
      <c r="A196" s="17" t="s">
        <v>328</v>
      </c>
      <c r="B196" s="9"/>
      <c r="C196" s="9"/>
      <c r="D196" s="10">
        <f t="shared" ref="D196:D259" si="3">B196*C196</f>
        <v>0</v>
      </c>
    </row>
    <row r="197" spans="1:4" ht="18" x14ac:dyDescent="0.3">
      <c r="A197" s="17" t="s">
        <v>329</v>
      </c>
      <c r="B197" s="9">
        <v>3</v>
      </c>
      <c r="C197" s="9">
        <v>20000</v>
      </c>
      <c r="D197" s="10">
        <f t="shared" si="3"/>
        <v>60000</v>
      </c>
    </row>
    <row r="198" spans="1:4" ht="18" hidden="1" x14ac:dyDescent="0.3">
      <c r="A198" s="17" t="s">
        <v>330</v>
      </c>
      <c r="B198" s="9"/>
      <c r="C198" s="9"/>
      <c r="D198" s="10">
        <f t="shared" si="3"/>
        <v>0</v>
      </c>
    </row>
    <row r="199" spans="1:4" ht="18" hidden="1" x14ac:dyDescent="0.3">
      <c r="A199" s="15" t="s">
        <v>331</v>
      </c>
      <c r="B199" s="9"/>
      <c r="C199" s="9"/>
      <c r="D199" s="10">
        <f t="shared" si="3"/>
        <v>0</v>
      </c>
    </row>
    <row r="200" spans="1:4" ht="18" hidden="1" x14ac:dyDescent="0.3">
      <c r="A200" s="15" t="s">
        <v>332</v>
      </c>
      <c r="B200" s="9"/>
      <c r="C200" s="9"/>
      <c r="D200" s="10">
        <f t="shared" si="3"/>
        <v>0</v>
      </c>
    </row>
    <row r="201" spans="1:4" ht="18" hidden="1" x14ac:dyDescent="0.3">
      <c r="A201" s="15" t="s">
        <v>333</v>
      </c>
      <c r="B201" s="9"/>
      <c r="C201" s="9"/>
      <c r="D201" s="10">
        <f t="shared" si="3"/>
        <v>0</v>
      </c>
    </row>
    <row r="202" spans="1:4" ht="18" hidden="1" x14ac:dyDescent="0.3">
      <c r="A202" s="15" t="s">
        <v>334</v>
      </c>
      <c r="B202" s="9"/>
      <c r="C202" s="9"/>
      <c r="D202" s="10">
        <f t="shared" si="3"/>
        <v>0</v>
      </c>
    </row>
    <row r="203" spans="1:4" ht="18" hidden="1" x14ac:dyDescent="0.3">
      <c r="A203" s="17" t="s">
        <v>335</v>
      </c>
      <c r="B203" s="9"/>
      <c r="C203" s="9"/>
      <c r="D203" s="10">
        <f t="shared" si="3"/>
        <v>0</v>
      </c>
    </row>
    <row r="204" spans="1:4" ht="18" hidden="1" x14ac:dyDescent="0.3">
      <c r="A204" s="17" t="s">
        <v>336</v>
      </c>
      <c r="B204" s="9"/>
      <c r="C204" s="9"/>
      <c r="D204" s="10">
        <f t="shared" si="3"/>
        <v>0</v>
      </c>
    </row>
    <row r="205" spans="1:4" ht="18" hidden="1" x14ac:dyDescent="0.3">
      <c r="A205" s="13" t="s">
        <v>337</v>
      </c>
      <c r="B205" s="9"/>
      <c r="C205" s="9"/>
      <c r="D205" s="10">
        <f t="shared" si="3"/>
        <v>0</v>
      </c>
    </row>
    <row r="206" spans="1:4" ht="18" hidden="1" x14ac:dyDescent="0.3">
      <c r="A206" s="37" t="s">
        <v>338</v>
      </c>
      <c r="B206" s="9"/>
      <c r="C206" s="9"/>
      <c r="D206" s="10">
        <f t="shared" si="3"/>
        <v>0</v>
      </c>
    </row>
    <row r="207" spans="1:4" ht="18" hidden="1" x14ac:dyDescent="0.3">
      <c r="A207" s="37" t="s">
        <v>339</v>
      </c>
      <c r="B207" s="9"/>
      <c r="C207" s="9"/>
      <c r="D207" s="10">
        <f t="shared" si="3"/>
        <v>0</v>
      </c>
    </row>
    <row r="208" spans="1:4" ht="18" hidden="1" x14ac:dyDescent="0.3">
      <c r="A208" s="37" t="s">
        <v>340</v>
      </c>
      <c r="B208" s="9"/>
      <c r="C208" s="9"/>
      <c r="D208" s="10">
        <f t="shared" si="3"/>
        <v>0</v>
      </c>
    </row>
    <row r="209" spans="1:4" ht="18" hidden="1" x14ac:dyDescent="0.3">
      <c r="A209" s="37" t="s">
        <v>341</v>
      </c>
      <c r="B209" s="9"/>
      <c r="C209" s="9"/>
      <c r="D209" s="10">
        <f t="shared" si="3"/>
        <v>0</v>
      </c>
    </row>
    <row r="210" spans="1:4" ht="18" hidden="1" x14ac:dyDescent="0.3">
      <c r="A210" s="13" t="s">
        <v>342</v>
      </c>
      <c r="B210" s="9"/>
      <c r="C210" s="9"/>
      <c r="D210" s="10">
        <f t="shared" si="3"/>
        <v>0</v>
      </c>
    </row>
    <row r="211" spans="1:4" ht="18" hidden="1" x14ac:dyDescent="0.3">
      <c r="A211" s="38" t="s">
        <v>343</v>
      </c>
      <c r="B211" s="9"/>
      <c r="C211" s="9"/>
      <c r="D211" s="10">
        <f t="shared" si="3"/>
        <v>0</v>
      </c>
    </row>
    <row r="212" spans="1:4" ht="18" hidden="1" x14ac:dyDescent="0.3">
      <c r="A212" s="13" t="s">
        <v>344</v>
      </c>
      <c r="B212" s="9"/>
      <c r="C212" s="9"/>
      <c r="D212" s="10">
        <f t="shared" si="3"/>
        <v>0</v>
      </c>
    </row>
    <row r="213" spans="1:4" ht="18" x14ac:dyDescent="0.3">
      <c r="A213" s="17" t="s">
        <v>345</v>
      </c>
      <c r="B213" s="9">
        <v>120</v>
      </c>
      <c r="C213" s="9">
        <v>25000</v>
      </c>
      <c r="D213" s="10">
        <f t="shared" si="3"/>
        <v>3000000</v>
      </c>
    </row>
    <row r="214" spans="1:4" ht="18" hidden="1" x14ac:dyDescent="0.3">
      <c r="A214" s="13" t="s">
        <v>346</v>
      </c>
      <c r="B214" s="9"/>
      <c r="C214" s="9"/>
      <c r="D214" s="10">
        <f t="shared" si="3"/>
        <v>0</v>
      </c>
    </row>
    <row r="215" spans="1:4" ht="18" hidden="1" x14ac:dyDescent="0.3">
      <c r="A215" s="13" t="s">
        <v>347</v>
      </c>
      <c r="B215" s="9"/>
      <c r="C215" s="9"/>
      <c r="D215" s="10">
        <f t="shared" si="3"/>
        <v>0</v>
      </c>
    </row>
    <row r="216" spans="1:4" ht="18" hidden="1" x14ac:dyDescent="0.3">
      <c r="A216" s="39" t="s">
        <v>348</v>
      </c>
      <c r="B216" s="9"/>
      <c r="C216" s="9"/>
      <c r="D216" s="10">
        <f t="shared" si="3"/>
        <v>0</v>
      </c>
    </row>
    <row r="217" spans="1:4" ht="18" hidden="1" x14ac:dyDescent="0.3">
      <c r="A217" s="39" t="s">
        <v>349</v>
      </c>
      <c r="B217" s="9"/>
      <c r="C217" s="9"/>
      <c r="D217" s="10">
        <f t="shared" si="3"/>
        <v>0</v>
      </c>
    </row>
    <row r="218" spans="1:4" ht="18" hidden="1" x14ac:dyDescent="0.3">
      <c r="A218" s="13" t="s">
        <v>350</v>
      </c>
      <c r="B218" s="9"/>
      <c r="C218" s="9"/>
      <c r="D218" s="10">
        <f t="shared" si="3"/>
        <v>0</v>
      </c>
    </row>
    <row r="219" spans="1:4" ht="18" hidden="1" x14ac:dyDescent="0.3">
      <c r="A219" s="16" t="s">
        <v>351</v>
      </c>
      <c r="B219" s="9"/>
      <c r="C219" s="9"/>
      <c r="D219" s="10">
        <f t="shared" si="3"/>
        <v>0</v>
      </c>
    </row>
    <row r="220" spans="1:4" ht="18" hidden="1" x14ac:dyDescent="0.3">
      <c r="A220" s="13" t="s">
        <v>352</v>
      </c>
      <c r="B220" s="9"/>
      <c r="C220" s="9"/>
      <c r="D220" s="10">
        <f t="shared" si="3"/>
        <v>0</v>
      </c>
    </row>
    <row r="221" spans="1:4" ht="18" hidden="1" x14ac:dyDescent="0.3">
      <c r="A221" s="13" t="s">
        <v>353</v>
      </c>
      <c r="B221" s="9"/>
      <c r="C221" s="9"/>
      <c r="D221" s="10">
        <f t="shared" si="3"/>
        <v>0</v>
      </c>
    </row>
    <row r="222" spans="1:4" ht="18" x14ac:dyDescent="0.3">
      <c r="A222" s="13" t="s">
        <v>354</v>
      </c>
      <c r="B222" s="9">
        <f>8/0.5</f>
        <v>16</v>
      </c>
      <c r="C222" s="9">
        <v>12000</v>
      </c>
      <c r="D222" s="10">
        <f t="shared" si="3"/>
        <v>192000</v>
      </c>
    </row>
    <row r="223" spans="1:4" ht="18" hidden="1" x14ac:dyDescent="0.3">
      <c r="A223" s="13" t="s">
        <v>355</v>
      </c>
      <c r="B223" s="9"/>
      <c r="C223" s="9"/>
      <c r="D223" s="10">
        <f t="shared" si="3"/>
        <v>0</v>
      </c>
    </row>
    <row r="224" spans="1:4" ht="18" hidden="1" x14ac:dyDescent="0.3">
      <c r="A224" s="40" t="s">
        <v>356</v>
      </c>
      <c r="B224" s="9"/>
      <c r="C224" s="9"/>
      <c r="D224" s="10">
        <f t="shared" si="3"/>
        <v>0</v>
      </c>
    </row>
    <row r="225" spans="1:4" ht="18" hidden="1" x14ac:dyDescent="0.3">
      <c r="A225" s="13" t="s">
        <v>357</v>
      </c>
      <c r="B225" s="9"/>
      <c r="C225" s="9"/>
      <c r="D225" s="10">
        <f t="shared" si="3"/>
        <v>0</v>
      </c>
    </row>
    <row r="226" spans="1:4" ht="18" x14ac:dyDescent="0.3">
      <c r="A226" s="13" t="s">
        <v>358</v>
      </c>
      <c r="B226" s="9">
        <f>-300+255+15+120+20+70+20+130</f>
        <v>330</v>
      </c>
      <c r="C226" s="9">
        <v>15000</v>
      </c>
      <c r="D226" s="10">
        <f t="shared" si="3"/>
        <v>4950000</v>
      </c>
    </row>
    <row r="227" spans="1:4" ht="18" hidden="1" x14ac:dyDescent="0.3">
      <c r="A227" s="13" t="s">
        <v>359</v>
      </c>
      <c r="B227" s="9"/>
      <c r="C227" s="9"/>
      <c r="D227" s="10">
        <f t="shared" si="3"/>
        <v>0</v>
      </c>
    </row>
    <row r="228" spans="1:4" ht="18" x14ac:dyDescent="0.3">
      <c r="A228" s="13" t="s">
        <v>360</v>
      </c>
      <c r="B228" s="9">
        <f>10/0.5</f>
        <v>20</v>
      </c>
      <c r="C228" s="9">
        <v>6500</v>
      </c>
      <c r="D228" s="10">
        <f t="shared" si="3"/>
        <v>130000</v>
      </c>
    </row>
    <row r="229" spans="1:4" ht="18" hidden="1" x14ac:dyDescent="0.3">
      <c r="A229" s="15" t="s">
        <v>361</v>
      </c>
      <c r="B229" s="9"/>
      <c r="C229" s="9"/>
      <c r="D229" s="10">
        <f t="shared" si="3"/>
        <v>0</v>
      </c>
    </row>
    <row r="230" spans="1:4" ht="18" hidden="1" x14ac:dyDescent="0.3">
      <c r="A230" s="15" t="s">
        <v>362</v>
      </c>
      <c r="B230" s="9"/>
      <c r="C230" s="9"/>
      <c r="D230" s="10">
        <f t="shared" si="3"/>
        <v>0</v>
      </c>
    </row>
    <row r="231" spans="1:4" ht="18" hidden="1" x14ac:dyDescent="0.3">
      <c r="A231" s="15" t="s">
        <v>363</v>
      </c>
      <c r="B231" s="9"/>
      <c r="C231" s="9"/>
      <c r="D231" s="10">
        <f t="shared" si="3"/>
        <v>0</v>
      </c>
    </row>
    <row r="232" spans="1:4" ht="18" hidden="1" x14ac:dyDescent="0.3">
      <c r="A232" s="15" t="s">
        <v>364</v>
      </c>
      <c r="B232" s="9"/>
      <c r="C232" s="9"/>
      <c r="D232" s="10">
        <f t="shared" si="3"/>
        <v>0</v>
      </c>
    </row>
    <row r="233" spans="1:4" ht="18" hidden="1" x14ac:dyDescent="0.3">
      <c r="A233" s="13" t="s">
        <v>365</v>
      </c>
      <c r="B233" s="9"/>
      <c r="C233" s="9"/>
      <c r="D233" s="10">
        <f t="shared" si="3"/>
        <v>0</v>
      </c>
    </row>
    <row r="234" spans="1:4" ht="18" hidden="1" x14ac:dyDescent="0.3">
      <c r="A234" s="13" t="s">
        <v>366</v>
      </c>
      <c r="B234" s="9"/>
      <c r="C234" s="9"/>
      <c r="D234" s="10">
        <f t="shared" si="3"/>
        <v>0</v>
      </c>
    </row>
    <row r="235" spans="1:4" ht="18" hidden="1" x14ac:dyDescent="0.3">
      <c r="A235" s="15" t="s">
        <v>367</v>
      </c>
      <c r="B235" s="9"/>
      <c r="C235" s="9"/>
      <c r="D235" s="10">
        <f t="shared" si="3"/>
        <v>0</v>
      </c>
    </row>
    <row r="236" spans="1:4" ht="18" hidden="1" x14ac:dyDescent="0.3">
      <c r="A236" s="15" t="s">
        <v>368</v>
      </c>
      <c r="B236" s="9"/>
      <c r="C236" s="9"/>
      <c r="D236" s="10">
        <f t="shared" si="3"/>
        <v>0</v>
      </c>
    </row>
    <row r="237" spans="1:4" ht="18" hidden="1" x14ac:dyDescent="0.3">
      <c r="A237" s="16" t="s">
        <v>369</v>
      </c>
      <c r="B237" s="9"/>
      <c r="C237" s="9"/>
      <c r="D237" s="10">
        <f t="shared" si="3"/>
        <v>0</v>
      </c>
    </row>
    <row r="238" spans="1:4" ht="18" hidden="1" x14ac:dyDescent="0.3">
      <c r="A238" s="17" t="s">
        <v>370</v>
      </c>
      <c r="B238" s="9"/>
      <c r="C238" s="9"/>
      <c r="D238" s="10">
        <f t="shared" si="3"/>
        <v>0</v>
      </c>
    </row>
    <row r="239" spans="1:4" ht="18" hidden="1" x14ac:dyDescent="0.3">
      <c r="A239" s="16" t="s">
        <v>371</v>
      </c>
      <c r="B239" s="9"/>
      <c r="C239" s="9"/>
      <c r="D239" s="10">
        <f t="shared" si="3"/>
        <v>0</v>
      </c>
    </row>
    <row r="240" spans="1:4" ht="18" hidden="1" x14ac:dyDescent="0.3">
      <c r="A240" s="15" t="s">
        <v>372</v>
      </c>
      <c r="B240" s="9"/>
      <c r="C240" s="9"/>
      <c r="D240" s="10">
        <f t="shared" si="3"/>
        <v>0</v>
      </c>
    </row>
    <row r="241" spans="1:4" ht="18" hidden="1" x14ac:dyDescent="0.3">
      <c r="A241" s="16" t="s">
        <v>373</v>
      </c>
      <c r="B241" s="9"/>
      <c r="C241" s="9"/>
      <c r="D241" s="10">
        <f t="shared" si="3"/>
        <v>0</v>
      </c>
    </row>
    <row r="242" spans="1:4" ht="18" hidden="1" x14ac:dyDescent="0.3">
      <c r="A242" s="16" t="s">
        <v>374</v>
      </c>
      <c r="B242" s="9"/>
      <c r="C242" s="9"/>
      <c r="D242" s="10">
        <f t="shared" si="3"/>
        <v>0</v>
      </c>
    </row>
    <row r="243" spans="1:4" ht="18" hidden="1" x14ac:dyDescent="0.3">
      <c r="A243" s="16" t="s">
        <v>375</v>
      </c>
      <c r="B243" s="9"/>
      <c r="C243" s="9"/>
      <c r="D243" s="10">
        <f t="shared" si="3"/>
        <v>0</v>
      </c>
    </row>
    <row r="244" spans="1:4" ht="18" hidden="1" x14ac:dyDescent="0.3">
      <c r="A244" s="13" t="s">
        <v>376</v>
      </c>
      <c r="B244" s="9"/>
      <c r="C244" s="9"/>
      <c r="D244" s="10">
        <f t="shared" si="3"/>
        <v>0</v>
      </c>
    </row>
    <row r="245" spans="1:4" ht="18" hidden="1" x14ac:dyDescent="0.3">
      <c r="A245" s="13" t="s">
        <v>377</v>
      </c>
      <c r="B245" s="9"/>
      <c r="C245" s="9"/>
      <c r="D245" s="10">
        <f t="shared" si="3"/>
        <v>0</v>
      </c>
    </row>
    <row r="246" spans="1:4" ht="18" hidden="1" x14ac:dyDescent="0.3">
      <c r="A246" s="16" t="s">
        <v>378</v>
      </c>
      <c r="B246" s="9"/>
      <c r="C246" s="9"/>
      <c r="D246" s="10">
        <f t="shared" si="3"/>
        <v>0</v>
      </c>
    </row>
    <row r="247" spans="1:4" ht="18" hidden="1" x14ac:dyDescent="0.3">
      <c r="A247" s="39" t="s">
        <v>379</v>
      </c>
      <c r="B247" s="9"/>
      <c r="C247" s="9"/>
      <c r="D247" s="10">
        <f t="shared" si="3"/>
        <v>0</v>
      </c>
    </row>
    <row r="248" spans="1:4" ht="18" hidden="1" x14ac:dyDescent="0.3">
      <c r="A248" s="13" t="s">
        <v>380</v>
      </c>
      <c r="B248" s="9"/>
      <c r="C248" s="9"/>
      <c r="D248" s="10">
        <f t="shared" si="3"/>
        <v>0</v>
      </c>
    </row>
    <row r="249" spans="1:4" ht="18" hidden="1" x14ac:dyDescent="0.3">
      <c r="A249" s="13" t="s">
        <v>381</v>
      </c>
      <c r="B249" s="9"/>
      <c r="C249" s="9"/>
      <c r="D249" s="10">
        <f t="shared" si="3"/>
        <v>0</v>
      </c>
    </row>
    <row r="250" spans="1:4" ht="18" hidden="1" x14ac:dyDescent="0.3">
      <c r="A250" s="12" t="s">
        <v>382</v>
      </c>
      <c r="B250" s="9"/>
      <c r="C250" s="9"/>
      <c r="D250" s="10">
        <f t="shared" si="3"/>
        <v>0</v>
      </c>
    </row>
    <row r="251" spans="1:4" ht="18" hidden="1" x14ac:dyDescent="0.3">
      <c r="A251" s="12" t="s">
        <v>383</v>
      </c>
      <c r="B251" s="9"/>
      <c r="C251" s="9"/>
      <c r="D251" s="10">
        <f t="shared" si="3"/>
        <v>0</v>
      </c>
    </row>
    <row r="252" spans="1:4" ht="18" hidden="1" x14ac:dyDescent="0.3">
      <c r="A252" s="37" t="s">
        <v>384</v>
      </c>
      <c r="B252" s="9"/>
      <c r="C252" s="9"/>
      <c r="D252" s="10">
        <f t="shared" si="3"/>
        <v>0</v>
      </c>
    </row>
    <row r="253" spans="1:4" ht="18" hidden="1" x14ac:dyDescent="0.3">
      <c r="A253" s="13" t="s">
        <v>385</v>
      </c>
      <c r="B253" s="9"/>
      <c r="C253" s="9"/>
      <c r="D253" s="10">
        <f t="shared" si="3"/>
        <v>0</v>
      </c>
    </row>
    <row r="254" spans="1:4" ht="18" hidden="1" x14ac:dyDescent="0.3">
      <c r="A254" s="13" t="s">
        <v>386</v>
      </c>
      <c r="B254" s="9"/>
      <c r="C254" s="9"/>
      <c r="D254" s="10">
        <f t="shared" si="3"/>
        <v>0</v>
      </c>
    </row>
    <row r="255" spans="1:4" ht="18" hidden="1" x14ac:dyDescent="0.3">
      <c r="A255" s="13" t="s">
        <v>387</v>
      </c>
      <c r="B255" s="19"/>
      <c r="C255" s="19"/>
      <c r="D255" s="10">
        <f t="shared" si="3"/>
        <v>0</v>
      </c>
    </row>
    <row r="256" spans="1:4" ht="18" hidden="1" x14ac:dyDescent="0.3">
      <c r="A256" s="37" t="s">
        <v>388</v>
      </c>
      <c r="B256" s="9"/>
      <c r="C256" s="9"/>
      <c r="D256" s="10">
        <f t="shared" si="3"/>
        <v>0</v>
      </c>
    </row>
    <row r="257" spans="1:4" ht="18" hidden="1" x14ac:dyDescent="0.3">
      <c r="A257" s="13" t="s">
        <v>389</v>
      </c>
      <c r="B257" s="19"/>
      <c r="C257" s="19"/>
      <c r="D257" s="10">
        <f t="shared" si="3"/>
        <v>0</v>
      </c>
    </row>
    <row r="258" spans="1:4" ht="18" hidden="1" x14ac:dyDescent="0.3">
      <c r="A258" s="13" t="s">
        <v>390</v>
      </c>
      <c r="B258" s="9"/>
      <c r="C258" s="9"/>
      <c r="D258" s="10">
        <f t="shared" si="3"/>
        <v>0</v>
      </c>
    </row>
    <row r="259" spans="1:4" ht="18" hidden="1" x14ac:dyDescent="0.3">
      <c r="A259" s="16" t="s">
        <v>391</v>
      </c>
      <c r="B259" s="9"/>
      <c r="C259" s="9"/>
      <c r="D259" s="10">
        <f t="shared" si="3"/>
        <v>0</v>
      </c>
    </row>
    <row r="260" spans="1:4" ht="18" hidden="1" x14ac:dyDescent="0.3">
      <c r="A260" s="16" t="s">
        <v>392</v>
      </c>
      <c r="B260" s="9"/>
      <c r="C260" s="9"/>
      <c r="D260" s="10">
        <f t="shared" ref="D260:D323" si="4">B260*C260</f>
        <v>0</v>
      </c>
    </row>
    <row r="261" spans="1:4" ht="18" hidden="1" x14ac:dyDescent="0.3">
      <c r="A261" s="13" t="s">
        <v>393</v>
      </c>
      <c r="B261" s="9"/>
      <c r="C261" s="9"/>
      <c r="D261" s="10">
        <f t="shared" si="4"/>
        <v>0</v>
      </c>
    </row>
    <row r="262" spans="1:4" ht="18" x14ac:dyDescent="0.3">
      <c r="A262" s="13" t="s">
        <v>394</v>
      </c>
      <c r="B262" s="9">
        <v>130</v>
      </c>
      <c r="C262" s="9">
        <v>22000</v>
      </c>
      <c r="D262" s="10">
        <f t="shared" si="4"/>
        <v>2860000</v>
      </c>
    </row>
    <row r="263" spans="1:4" ht="18" hidden="1" x14ac:dyDescent="0.3">
      <c r="A263" s="13" t="s">
        <v>395</v>
      </c>
      <c r="B263" s="9"/>
      <c r="C263" s="9"/>
      <c r="D263" s="10">
        <f t="shared" si="4"/>
        <v>0</v>
      </c>
    </row>
    <row r="264" spans="1:4" ht="18" hidden="1" x14ac:dyDescent="0.3">
      <c r="A264" s="13" t="s">
        <v>396</v>
      </c>
      <c r="B264" s="9"/>
      <c r="C264" s="9"/>
      <c r="D264" s="10">
        <f t="shared" si="4"/>
        <v>0</v>
      </c>
    </row>
    <row r="265" spans="1:4" ht="18" hidden="1" x14ac:dyDescent="0.3">
      <c r="A265" s="13" t="s">
        <v>397</v>
      </c>
      <c r="B265" s="9"/>
      <c r="C265" s="9"/>
      <c r="D265" s="10">
        <f t="shared" si="4"/>
        <v>0</v>
      </c>
    </row>
    <row r="266" spans="1:4" ht="18" hidden="1" x14ac:dyDescent="0.3">
      <c r="A266" s="15" t="s">
        <v>398</v>
      </c>
      <c r="B266" s="9"/>
      <c r="C266" s="9"/>
      <c r="D266" s="10">
        <f t="shared" si="4"/>
        <v>0</v>
      </c>
    </row>
    <row r="267" spans="1:4" ht="18" hidden="1" x14ac:dyDescent="0.3">
      <c r="A267" s="25" t="s">
        <v>399</v>
      </c>
      <c r="B267" s="9"/>
      <c r="C267" s="9"/>
      <c r="D267" s="10">
        <f t="shared" si="4"/>
        <v>0</v>
      </c>
    </row>
    <row r="268" spans="1:4" ht="18" hidden="1" x14ac:dyDescent="0.3">
      <c r="A268" s="13" t="s">
        <v>400</v>
      </c>
      <c r="B268" s="9"/>
      <c r="C268" s="9"/>
      <c r="D268" s="10">
        <f t="shared" si="4"/>
        <v>0</v>
      </c>
    </row>
    <row r="269" spans="1:4" ht="18" hidden="1" x14ac:dyDescent="0.3">
      <c r="A269" s="13" t="s">
        <v>401</v>
      </c>
      <c r="B269" s="9"/>
      <c r="C269" s="9"/>
      <c r="D269" s="10">
        <f t="shared" si="4"/>
        <v>0</v>
      </c>
    </row>
    <row r="270" spans="1:4" ht="18" hidden="1" x14ac:dyDescent="0.3">
      <c r="A270" s="13" t="s">
        <v>402</v>
      </c>
      <c r="B270" s="9"/>
      <c r="C270" s="9"/>
      <c r="D270" s="10">
        <f t="shared" si="4"/>
        <v>0</v>
      </c>
    </row>
    <row r="271" spans="1:4" ht="18" hidden="1" x14ac:dyDescent="0.3">
      <c r="A271" s="13" t="s">
        <v>403</v>
      </c>
      <c r="B271" s="9"/>
      <c r="C271" s="9"/>
      <c r="D271" s="10">
        <f t="shared" si="4"/>
        <v>0</v>
      </c>
    </row>
    <row r="272" spans="1:4" ht="18" hidden="1" x14ac:dyDescent="0.3">
      <c r="A272" s="13" t="s">
        <v>404</v>
      </c>
      <c r="B272" s="9"/>
      <c r="C272" s="9"/>
      <c r="D272" s="10">
        <f t="shared" si="4"/>
        <v>0</v>
      </c>
    </row>
    <row r="273" spans="1:4" ht="18" x14ac:dyDescent="0.3">
      <c r="A273" s="13" t="s">
        <v>405</v>
      </c>
      <c r="B273" s="9">
        <v>10</v>
      </c>
      <c r="C273" s="9">
        <v>15000</v>
      </c>
      <c r="D273" s="10">
        <f t="shared" si="4"/>
        <v>150000</v>
      </c>
    </row>
    <row r="274" spans="1:4" ht="18" hidden="1" x14ac:dyDescent="0.3">
      <c r="A274" s="13" t="s">
        <v>406</v>
      </c>
      <c r="B274" s="9"/>
      <c r="C274" s="9"/>
      <c r="D274" s="10">
        <f t="shared" si="4"/>
        <v>0</v>
      </c>
    </row>
    <row r="275" spans="1:4" ht="18" hidden="1" x14ac:dyDescent="0.3">
      <c r="A275" s="13" t="s">
        <v>407</v>
      </c>
      <c r="B275" s="19"/>
      <c r="C275" s="19"/>
      <c r="D275" s="10">
        <f t="shared" si="4"/>
        <v>0</v>
      </c>
    </row>
    <row r="276" spans="1:4" ht="18" hidden="1" x14ac:dyDescent="0.3">
      <c r="A276" s="12" t="s">
        <v>408</v>
      </c>
      <c r="B276" s="9"/>
      <c r="C276" s="9"/>
      <c r="D276" s="10">
        <f t="shared" si="4"/>
        <v>0</v>
      </c>
    </row>
    <row r="277" spans="1:4" ht="18" hidden="1" x14ac:dyDescent="0.3">
      <c r="A277" s="13" t="s">
        <v>409</v>
      </c>
      <c r="B277" s="9"/>
      <c r="C277" s="9"/>
      <c r="D277" s="10">
        <f t="shared" si="4"/>
        <v>0</v>
      </c>
    </row>
    <row r="278" spans="1:4" ht="18" hidden="1" x14ac:dyDescent="0.3">
      <c r="A278" s="16" t="s">
        <v>410</v>
      </c>
      <c r="B278" s="9"/>
      <c r="C278" s="9"/>
      <c r="D278" s="10">
        <f t="shared" si="4"/>
        <v>0</v>
      </c>
    </row>
    <row r="279" spans="1:4" ht="18" x14ac:dyDescent="0.3">
      <c r="A279" s="13" t="s">
        <v>411</v>
      </c>
      <c r="B279" s="9">
        <v>15</v>
      </c>
      <c r="C279" s="9">
        <v>14500</v>
      </c>
      <c r="D279" s="10">
        <f t="shared" si="4"/>
        <v>217500</v>
      </c>
    </row>
    <row r="280" spans="1:4" ht="18" hidden="1" x14ac:dyDescent="0.3">
      <c r="A280" s="13" t="s">
        <v>412</v>
      </c>
      <c r="B280" s="9"/>
      <c r="C280" s="9"/>
      <c r="D280" s="10">
        <f t="shared" si="4"/>
        <v>0</v>
      </c>
    </row>
    <row r="281" spans="1:4" ht="18" hidden="1" x14ac:dyDescent="0.3">
      <c r="A281" s="13" t="s">
        <v>413</v>
      </c>
      <c r="B281" s="9"/>
      <c r="C281" s="9"/>
      <c r="D281" s="10">
        <f t="shared" si="4"/>
        <v>0</v>
      </c>
    </row>
    <row r="282" spans="1:4" ht="18" hidden="1" x14ac:dyDescent="0.3">
      <c r="A282" s="13" t="s">
        <v>414</v>
      </c>
      <c r="B282" s="9"/>
      <c r="C282" s="9"/>
      <c r="D282" s="10">
        <f t="shared" si="4"/>
        <v>0</v>
      </c>
    </row>
    <row r="283" spans="1:4" ht="18" hidden="1" x14ac:dyDescent="0.3">
      <c r="A283" s="13" t="s">
        <v>415</v>
      </c>
      <c r="B283" s="9"/>
      <c r="C283" s="9"/>
      <c r="D283" s="10">
        <f t="shared" si="4"/>
        <v>0</v>
      </c>
    </row>
    <row r="284" spans="1:4" ht="18" hidden="1" x14ac:dyDescent="0.3">
      <c r="A284" s="13" t="s">
        <v>416</v>
      </c>
      <c r="B284" s="9"/>
      <c r="C284" s="9"/>
      <c r="D284" s="10">
        <f t="shared" si="4"/>
        <v>0</v>
      </c>
    </row>
    <row r="285" spans="1:4" ht="18" hidden="1" x14ac:dyDescent="0.3">
      <c r="A285" s="13" t="s">
        <v>417</v>
      </c>
      <c r="B285" s="9"/>
      <c r="C285" s="9"/>
      <c r="D285" s="10">
        <f t="shared" si="4"/>
        <v>0</v>
      </c>
    </row>
    <row r="286" spans="1:4" ht="18" hidden="1" x14ac:dyDescent="0.3">
      <c r="A286" s="37" t="s">
        <v>418</v>
      </c>
      <c r="B286" s="9"/>
      <c r="C286" s="9"/>
      <c r="D286" s="10">
        <f t="shared" si="4"/>
        <v>0</v>
      </c>
    </row>
    <row r="287" spans="1:4" ht="18" hidden="1" x14ac:dyDescent="0.3">
      <c r="A287" s="13" t="s">
        <v>419</v>
      </c>
      <c r="B287" s="9"/>
      <c r="C287" s="9"/>
      <c r="D287" s="10">
        <f t="shared" si="4"/>
        <v>0</v>
      </c>
    </row>
    <row r="288" spans="1:4" ht="18" hidden="1" x14ac:dyDescent="0.3">
      <c r="A288" s="37" t="s">
        <v>420</v>
      </c>
      <c r="B288" s="9"/>
      <c r="C288" s="9"/>
      <c r="D288" s="10">
        <f t="shared" si="4"/>
        <v>0</v>
      </c>
    </row>
    <row r="289" spans="1:4" ht="18" hidden="1" x14ac:dyDescent="0.3">
      <c r="A289" s="37" t="s">
        <v>421</v>
      </c>
      <c r="B289" s="9"/>
      <c r="C289" s="9"/>
      <c r="D289" s="10">
        <f t="shared" si="4"/>
        <v>0</v>
      </c>
    </row>
    <row r="290" spans="1:4" ht="18" hidden="1" x14ac:dyDescent="0.3">
      <c r="A290" s="17" t="s">
        <v>422</v>
      </c>
      <c r="B290" s="19"/>
      <c r="C290" s="19"/>
      <c r="D290" s="10">
        <f t="shared" si="4"/>
        <v>0</v>
      </c>
    </row>
    <row r="291" spans="1:4" ht="18" hidden="1" x14ac:dyDescent="0.3">
      <c r="A291" s="17" t="s">
        <v>423</v>
      </c>
      <c r="B291" s="9"/>
      <c r="C291" s="9"/>
      <c r="D291" s="10">
        <f t="shared" si="4"/>
        <v>0</v>
      </c>
    </row>
    <row r="292" spans="1:4" ht="18" hidden="1" x14ac:dyDescent="0.3">
      <c r="A292" s="16" t="s">
        <v>424</v>
      </c>
      <c r="B292" s="9"/>
      <c r="C292" s="9"/>
      <c r="D292" s="10">
        <f t="shared" si="4"/>
        <v>0</v>
      </c>
    </row>
    <row r="293" spans="1:4" ht="18" hidden="1" x14ac:dyDescent="0.3">
      <c r="A293" s="16" t="s">
        <v>425</v>
      </c>
      <c r="B293" s="9"/>
      <c r="C293" s="9"/>
      <c r="D293" s="10">
        <f t="shared" si="4"/>
        <v>0</v>
      </c>
    </row>
    <row r="294" spans="1:4" ht="18" hidden="1" x14ac:dyDescent="0.3">
      <c r="A294" s="15" t="s">
        <v>426</v>
      </c>
      <c r="B294" s="9"/>
      <c r="C294" s="9"/>
      <c r="D294" s="10">
        <f t="shared" si="4"/>
        <v>0</v>
      </c>
    </row>
    <row r="295" spans="1:4" ht="18" hidden="1" x14ac:dyDescent="0.3">
      <c r="A295" s="15" t="s">
        <v>427</v>
      </c>
      <c r="B295" s="9"/>
      <c r="C295" s="9"/>
      <c r="D295" s="10">
        <f t="shared" si="4"/>
        <v>0</v>
      </c>
    </row>
    <row r="296" spans="1:4" ht="18" hidden="1" x14ac:dyDescent="0.3">
      <c r="A296" s="15" t="s">
        <v>428</v>
      </c>
      <c r="B296" s="9"/>
      <c r="C296" s="9"/>
      <c r="D296" s="10">
        <f t="shared" si="4"/>
        <v>0</v>
      </c>
    </row>
    <row r="297" spans="1:4" ht="18" x14ac:dyDescent="0.3">
      <c r="A297" s="13" t="s">
        <v>429</v>
      </c>
      <c r="B297" s="9">
        <v>55</v>
      </c>
      <c r="C297" s="9">
        <v>15000</v>
      </c>
      <c r="D297" s="10">
        <f t="shared" si="4"/>
        <v>825000</v>
      </c>
    </row>
    <row r="298" spans="1:4" ht="18" hidden="1" x14ac:dyDescent="0.3">
      <c r="A298" s="15" t="s">
        <v>430</v>
      </c>
      <c r="B298" s="9"/>
      <c r="C298" s="9"/>
      <c r="D298" s="10">
        <f t="shared" si="4"/>
        <v>0</v>
      </c>
    </row>
    <row r="299" spans="1:4" ht="18" hidden="1" x14ac:dyDescent="0.3">
      <c r="A299" s="13" t="s">
        <v>431</v>
      </c>
      <c r="B299" s="9"/>
      <c r="C299" s="9"/>
      <c r="D299" s="10">
        <f t="shared" si="4"/>
        <v>0</v>
      </c>
    </row>
    <row r="300" spans="1:4" ht="18" x14ac:dyDescent="0.3">
      <c r="A300" s="13" t="s">
        <v>432</v>
      </c>
      <c r="B300" s="9">
        <f>20+110</f>
        <v>130</v>
      </c>
      <c r="C300" s="9">
        <v>5000</v>
      </c>
      <c r="D300" s="10">
        <f t="shared" si="4"/>
        <v>650000</v>
      </c>
    </row>
    <row r="301" spans="1:4" ht="18" hidden="1" x14ac:dyDescent="0.3">
      <c r="A301" s="15" t="s">
        <v>433</v>
      </c>
      <c r="B301" s="9"/>
      <c r="C301" s="9"/>
      <c r="D301" s="10">
        <f t="shared" si="4"/>
        <v>0</v>
      </c>
    </row>
    <row r="302" spans="1:4" ht="18" hidden="1" x14ac:dyDescent="0.3">
      <c r="A302" s="28" t="s">
        <v>434</v>
      </c>
      <c r="B302" s="9"/>
      <c r="C302" s="9"/>
      <c r="D302" s="10">
        <f t="shared" si="4"/>
        <v>0</v>
      </c>
    </row>
    <row r="303" spans="1:4" ht="18" x14ac:dyDescent="0.3">
      <c r="A303" s="13" t="s">
        <v>435</v>
      </c>
      <c r="B303" s="9">
        <v>44</v>
      </c>
      <c r="C303" s="9">
        <v>13000</v>
      </c>
      <c r="D303" s="10">
        <f t="shared" si="4"/>
        <v>572000</v>
      </c>
    </row>
    <row r="304" spans="1:4" ht="18" hidden="1" x14ac:dyDescent="0.3">
      <c r="A304" s="12" t="s">
        <v>436</v>
      </c>
      <c r="B304" s="9"/>
      <c r="C304" s="9"/>
      <c r="D304" s="10">
        <f t="shared" si="4"/>
        <v>0</v>
      </c>
    </row>
    <row r="305" spans="1:4" ht="18" hidden="1" x14ac:dyDescent="0.3">
      <c r="A305" s="38" t="s">
        <v>437</v>
      </c>
      <c r="B305" s="9"/>
      <c r="C305" s="9"/>
      <c r="D305" s="10">
        <f t="shared" si="4"/>
        <v>0</v>
      </c>
    </row>
    <row r="306" spans="1:4" ht="18" hidden="1" x14ac:dyDescent="0.3">
      <c r="A306" s="12" t="s">
        <v>438</v>
      </c>
      <c r="B306" s="9"/>
      <c r="C306" s="9"/>
      <c r="D306" s="10">
        <f t="shared" si="4"/>
        <v>0</v>
      </c>
    </row>
    <row r="307" spans="1:4" ht="18" hidden="1" x14ac:dyDescent="0.3">
      <c r="A307" s="25" t="s">
        <v>439</v>
      </c>
      <c r="B307" s="9"/>
      <c r="C307" s="9"/>
      <c r="D307" s="10">
        <f t="shared" si="4"/>
        <v>0</v>
      </c>
    </row>
    <row r="308" spans="1:4" ht="18" hidden="1" x14ac:dyDescent="0.3">
      <c r="A308" s="15" t="s">
        <v>440</v>
      </c>
      <c r="B308" s="9"/>
      <c r="C308" s="9"/>
      <c r="D308" s="10">
        <f t="shared" si="4"/>
        <v>0</v>
      </c>
    </row>
    <row r="309" spans="1:4" ht="18" hidden="1" x14ac:dyDescent="0.3">
      <c r="A309" s="17" t="s">
        <v>441</v>
      </c>
      <c r="B309" s="9"/>
      <c r="C309" s="9"/>
      <c r="D309" s="10">
        <f t="shared" si="4"/>
        <v>0</v>
      </c>
    </row>
    <row r="310" spans="1:4" ht="18" hidden="1" x14ac:dyDescent="0.3">
      <c r="A310" s="12" t="s">
        <v>442</v>
      </c>
      <c r="B310" s="9"/>
      <c r="C310" s="9"/>
      <c r="D310" s="10">
        <f t="shared" si="4"/>
        <v>0</v>
      </c>
    </row>
    <row r="311" spans="1:4" ht="18" hidden="1" x14ac:dyDescent="0.3">
      <c r="A311" s="13" t="s">
        <v>443</v>
      </c>
      <c r="B311" s="9"/>
      <c r="C311" s="9"/>
      <c r="D311" s="10">
        <f t="shared" si="4"/>
        <v>0</v>
      </c>
    </row>
    <row r="312" spans="1:4" ht="18" hidden="1" x14ac:dyDescent="0.3">
      <c r="A312" s="15" t="s">
        <v>444</v>
      </c>
      <c r="B312" s="9"/>
      <c r="C312" s="9"/>
      <c r="D312" s="10">
        <f t="shared" si="4"/>
        <v>0</v>
      </c>
    </row>
    <row r="313" spans="1:4" ht="18" hidden="1" x14ac:dyDescent="0.3">
      <c r="A313" s="13" t="s">
        <v>445</v>
      </c>
      <c r="B313" s="9"/>
      <c r="C313" s="9"/>
      <c r="D313" s="10">
        <f t="shared" si="4"/>
        <v>0</v>
      </c>
    </row>
    <row r="314" spans="1:4" ht="18" hidden="1" x14ac:dyDescent="0.3">
      <c r="A314" s="13" t="s">
        <v>446</v>
      </c>
      <c r="B314" s="9"/>
      <c r="C314" s="9"/>
      <c r="D314" s="10">
        <f t="shared" si="4"/>
        <v>0</v>
      </c>
    </row>
    <row r="315" spans="1:4" ht="18" hidden="1" x14ac:dyDescent="0.3">
      <c r="A315" s="16" t="s">
        <v>447</v>
      </c>
      <c r="B315" s="9"/>
      <c r="C315" s="9"/>
      <c r="D315" s="10">
        <f t="shared" si="4"/>
        <v>0</v>
      </c>
    </row>
    <row r="316" spans="1:4" ht="18" hidden="1" x14ac:dyDescent="0.3">
      <c r="A316" s="17" t="s">
        <v>448</v>
      </c>
      <c r="B316" s="9"/>
      <c r="C316" s="9"/>
      <c r="D316" s="10">
        <f t="shared" si="4"/>
        <v>0</v>
      </c>
    </row>
    <row r="317" spans="1:4" ht="18" hidden="1" x14ac:dyDescent="0.3">
      <c r="A317" s="17" t="s">
        <v>449</v>
      </c>
      <c r="B317" s="9"/>
      <c r="C317" s="9"/>
      <c r="D317" s="10">
        <f t="shared" si="4"/>
        <v>0</v>
      </c>
    </row>
    <row r="318" spans="1:4" ht="18" hidden="1" x14ac:dyDescent="0.3">
      <c r="A318" s="13" t="s">
        <v>450</v>
      </c>
      <c r="B318" s="9"/>
      <c r="C318" s="9"/>
      <c r="D318" s="10">
        <f t="shared" si="4"/>
        <v>0</v>
      </c>
    </row>
    <row r="319" spans="1:4" ht="18" hidden="1" x14ac:dyDescent="0.3">
      <c r="A319" s="13" t="s">
        <v>451</v>
      </c>
      <c r="B319" s="9"/>
      <c r="C319" s="9"/>
      <c r="D319" s="10">
        <f t="shared" si="4"/>
        <v>0</v>
      </c>
    </row>
    <row r="320" spans="1:4" ht="18" hidden="1" x14ac:dyDescent="0.3">
      <c r="A320" s="13" t="s">
        <v>452</v>
      </c>
      <c r="B320" s="9"/>
      <c r="C320" s="9"/>
      <c r="D320" s="10">
        <f t="shared" si="4"/>
        <v>0</v>
      </c>
    </row>
    <row r="321" spans="1:4" ht="18" hidden="1" x14ac:dyDescent="0.3">
      <c r="A321" s="12" t="s">
        <v>453</v>
      </c>
      <c r="B321" s="9"/>
      <c r="C321" s="9"/>
      <c r="D321" s="10">
        <f t="shared" si="4"/>
        <v>0</v>
      </c>
    </row>
    <row r="322" spans="1:4" ht="18" hidden="1" x14ac:dyDescent="0.3">
      <c r="A322" s="12" t="s">
        <v>454</v>
      </c>
      <c r="B322" s="9"/>
      <c r="C322" s="9"/>
      <c r="D322" s="10">
        <f t="shared" si="4"/>
        <v>0</v>
      </c>
    </row>
    <row r="323" spans="1:4" ht="18" hidden="1" x14ac:dyDescent="0.3">
      <c r="A323" s="25" t="s">
        <v>455</v>
      </c>
      <c r="B323" s="9"/>
      <c r="C323" s="9"/>
      <c r="D323" s="10">
        <f t="shared" si="4"/>
        <v>0</v>
      </c>
    </row>
    <row r="324" spans="1:4" ht="18" hidden="1" x14ac:dyDescent="0.3">
      <c r="A324" s="12" t="s">
        <v>456</v>
      </c>
      <c r="B324" s="9"/>
      <c r="C324" s="9"/>
      <c r="D324" s="10">
        <f t="shared" ref="D324:D387" si="5">B324*C324</f>
        <v>0</v>
      </c>
    </row>
    <row r="325" spans="1:4" ht="18" hidden="1" x14ac:dyDescent="0.3">
      <c r="A325" s="13" t="s">
        <v>457</v>
      </c>
      <c r="B325" s="9"/>
      <c r="C325" s="9"/>
      <c r="D325" s="10">
        <f t="shared" si="5"/>
        <v>0</v>
      </c>
    </row>
    <row r="326" spans="1:4" ht="18" hidden="1" x14ac:dyDescent="0.3">
      <c r="A326" s="13" t="s">
        <v>458</v>
      </c>
      <c r="B326" s="9"/>
      <c r="C326" s="9"/>
      <c r="D326" s="10">
        <f t="shared" si="5"/>
        <v>0</v>
      </c>
    </row>
    <row r="327" spans="1:4" ht="18" hidden="1" x14ac:dyDescent="0.3">
      <c r="A327" s="13" t="s">
        <v>459</v>
      </c>
      <c r="B327" s="9"/>
      <c r="C327" s="9"/>
      <c r="D327" s="10">
        <f t="shared" si="5"/>
        <v>0</v>
      </c>
    </row>
    <row r="328" spans="1:4" ht="18" hidden="1" x14ac:dyDescent="0.3">
      <c r="A328" s="13" t="s">
        <v>460</v>
      </c>
      <c r="B328" s="9"/>
      <c r="C328" s="9"/>
      <c r="D328" s="10">
        <f t="shared" si="5"/>
        <v>0</v>
      </c>
    </row>
    <row r="329" spans="1:4" ht="18" hidden="1" x14ac:dyDescent="0.3">
      <c r="A329" s="25" t="s">
        <v>461</v>
      </c>
      <c r="B329" s="9"/>
      <c r="C329" s="9"/>
      <c r="D329" s="10">
        <f t="shared" si="5"/>
        <v>0</v>
      </c>
    </row>
    <row r="330" spans="1:4" ht="18" hidden="1" x14ac:dyDescent="0.3">
      <c r="A330" s="13" t="s">
        <v>462</v>
      </c>
      <c r="B330" s="9"/>
      <c r="C330" s="9"/>
      <c r="D330" s="10">
        <f t="shared" si="5"/>
        <v>0</v>
      </c>
    </row>
    <row r="331" spans="1:4" ht="18" hidden="1" x14ac:dyDescent="0.3">
      <c r="A331" s="13" t="s">
        <v>463</v>
      </c>
      <c r="B331" s="9"/>
      <c r="C331" s="9"/>
      <c r="D331" s="10">
        <f t="shared" si="5"/>
        <v>0</v>
      </c>
    </row>
    <row r="332" spans="1:4" ht="18" hidden="1" x14ac:dyDescent="0.3">
      <c r="A332" s="17" t="s">
        <v>464</v>
      </c>
      <c r="B332" s="9"/>
      <c r="C332" s="9"/>
      <c r="D332" s="10">
        <f t="shared" si="5"/>
        <v>0</v>
      </c>
    </row>
    <row r="333" spans="1:4" ht="18" hidden="1" x14ac:dyDescent="0.3">
      <c r="A333" s="13" t="s">
        <v>465</v>
      </c>
      <c r="B333" s="41"/>
      <c r="C333" s="41"/>
      <c r="D333" s="10">
        <f t="shared" si="5"/>
        <v>0</v>
      </c>
    </row>
    <row r="334" spans="1:4" ht="18" hidden="1" x14ac:dyDescent="0.3">
      <c r="A334" s="13" t="s">
        <v>466</v>
      </c>
      <c r="B334" s="9"/>
      <c r="C334" s="9"/>
      <c r="D334" s="10">
        <f t="shared" si="5"/>
        <v>0</v>
      </c>
    </row>
    <row r="335" spans="1:4" ht="18" hidden="1" x14ac:dyDescent="0.3">
      <c r="A335" s="13" t="s">
        <v>467</v>
      </c>
      <c r="B335" s="9"/>
      <c r="C335" s="9"/>
      <c r="D335" s="10">
        <f t="shared" si="5"/>
        <v>0</v>
      </c>
    </row>
    <row r="336" spans="1:4" ht="18" hidden="1" x14ac:dyDescent="0.3">
      <c r="A336" s="25" t="s">
        <v>468</v>
      </c>
      <c r="B336" s="9"/>
      <c r="C336" s="9"/>
      <c r="D336" s="10">
        <f t="shared" si="5"/>
        <v>0</v>
      </c>
    </row>
    <row r="337" spans="1:4" ht="18" hidden="1" x14ac:dyDescent="0.3">
      <c r="A337" s="25" t="s">
        <v>469</v>
      </c>
      <c r="B337" s="9"/>
      <c r="C337" s="9"/>
      <c r="D337" s="10">
        <f t="shared" si="5"/>
        <v>0</v>
      </c>
    </row>
    <row r="338" spans="1:4" ht="18" hidden="1" x14ac:dyDescent="0.3">
      <c r="A338" s="13" t="s">
        <v>470</v>
      </c>
      <c r="B338" s="9"/>
      <c r="C338" s="9"/>
      <c r="D338" s="10">
        <f t="shared" si="5"/>
        <v>0</v>
      </c>
    </row>
    <row r="339" spans="1:4" ht="18" hidden="1" x14ac:dyDescent="0.3">
      <c r="A339" s="13" t="s">
        <v>471</v>
      </c>
      <c r="B339" s="9"/>
      <c r="C339" s="9"/>
      <c r="D339" s="10">
        <f t="shared" si="5"/>
        <v>0</v>
      </c>
    </row>
    <row r="340" spans="1:4" ht="18" hidden="1" x14ac:dyDescent="0.3">
      <c r="A340" s="25" t="s">
        <v>472</v>
      </c>
      <c r="B340" s="9"/>
      <c r="C340" s="9"/>
      <c r="D340" s="10">
        <f t="shared" si="5"/>
        <v>0</v>
      </c>
    </row>
    <row r="341" spans="1:4" ht="18" hidden="1" x14ac:dyDescent="0.3">
      <c r="A341" s="13" t="s">
        <v>473</v>
      </c>
      <c r="B341" s="9"/>
      <c r="C341" s="9"/>
      <c r="D341" s="10">
        <f t="shared" si="5"/>
        <v>0</v>
      </c>
    </row>
    <row r="342" spans="1:4" ht="18" hidden="1" x14ac:dyDescent="0.3">
      <c r="A342" s="13" t="s">
        <v>474</v>
      </c>
      <c r="B342" s="9"/>
      <c r="C342" s="9"/>
      <c r="D342" s="10">
        <f t="shared" si="5"/>
        <v>0</v>
      </c>
    </row>
    <row r="343" spans="1:4" ht="18" hidden="1" x14ac:dyDescent="0.3">
      <c r="A343" s="13" t="s">
        <v>475</v>
      </c>
      <c r="B343" s="9"/>
      <c r="C343" s="9"/>
      <c r="D343" s="10">
        <f t="shared" si="5"/>
        <v>0</v>
      </c>
    </row>
    <row r="344" spans="1:4" ht="18" hidden="1" x14ac:dyDescent="0.3">
      <c r="A344" s="13" t="s">
        <v>476</v>
      </c>
      <c r="B344" s="9"/>
      <c r="C344" s="9"/>
      <c r="D344" s="10">
        <f t="shared" si="5"/>
        <v>0</v>
      </c>
    </row>
    <row r="345" spans="1:4" ht="18" hidden="1" x14ac:dyDescent="0.3">
      <c r="A345" s="13" t="s">
        <v>477</v>
      </c>
      <c r="B345" s="9"/>
      <c r="C345" s="9"/>
      <c r="D345" s="10">
        <f t="shared" si="5"/>
        <v>0</v>
      </c>
    </row>
    <row r="346" spans="1:4" ht="18" hidden="1" x14ac:dyDescent="0.3">
      <c r="A346" s="13" t="s">
        <v>478</v>
      </c>
      <c r="B346" s="9"/>
      <c r="C346" s="9"/>
      <c r="D346" s="10">
        <f t="shared" si="5"/>
        <v>0</v>
      </c>
    </row>
    <row r="347" spans="1:4" ht="18" hidden="1" x14ac:dyDescent="0.3">
      <c r="A347" s="13" t="s">
        <v>479</v>
      </c>
      <c r="B347" s="9"/>
      <c r="C347" s="9"/>
      <c r="D347" s="10">
        <f t="shared" si="5"/>
        <v>0</v>
      </c>
    </row>
    <row r="348" spans="1:4" ht="18" hidden="1" x14ac:dyDescent="0.3">
      <c r="A348" s="13" t="s">
        <v>480</v>
      </c>
      <c r="B348" s="9"/>
      <c r="C348" s="9"/>
      <c r="D348" s="10">
        <f t="shared" si="5"/>
        <v>0</v>
      </c>
    </row>
    <row r="349" spans="1:4" ht="18" hidden="1" x14ac:dyDescent="0.3">
      <c r="A349" s="16" t="s">
        <v>481</v>
      </c>
      <c r="B349" s="9"/>
      <c r="C349" s="9"/>
      <c r="D349" s="10">
        <f t="shared" si="5"/>
        <v>0</v>
      </c>
    </row>
    <row r="350" spans="1:4" ht="18" hidden="1" x14ac:dyDescent="0.3">
      <c r="A350" s="16" t="s">
        <v>482</v>
      </c>
      <c r="B350" s="9"/>
      <c r="C350" s="9"/>
      <c r="D350" s="10">
        <f t="shared" si="5"/>
        <v>0</v>
      </c>
    </row>
    <row r="351" spans="1:4" ht="18" x14ac:dyDescent="0.3">
      <c r="A351" s="43"/>
      <c r="B351" s="44">
        <f>SUM(B3:B350)</f>
        <v>2677</v>
      </c>
      <c r="C351" s="44"/>
      <c r="D351" s="10">
        <f>SUM(D7:D303)</f>
        <v>38445500</v>
      </c>
    </row>
    <row r="352" spans="1:4" ht="18" hidden="1" x14ac:dyDescent="0.3">
      <c r="D352" s="10">
        <f t="shared" si="5"/>
        <v>0</v>
      </c>
    </row>
    <row r="353" spans="1:4" ht="18" x14ac:dyDescent="0.3">
      <c r="A353" s="4" t="s">
        <v>520</v>
      </c>
      <c r="B353" s="5"/>
      <c r="C353" s="5"/>
      <c r="D353" s="10"/>
    </row>
    <row r="354" spans="1:4" ht="26.4" x14ac:dyDescent="0.3">
      <c r="A354" s="159" t="s">
        <v>133</v>
      </c>
      <c r="B354" s="6" t="s">
        <v>134</v>
      </c>
      <c r="C354" s="6" t="s">
        <v>518</v>
      </c>
      <c r="D354" s="10" t="s">
        <v>519</v>
      </c>
    </row>
    <row r="355" spans="1:4" ht="18" hidden="1" x14ac:dyDescent="0.3">
      <c r="A355" s="160"/>
      <c r="B355" s="7"/>
      <c r="C355" s="7"/>
      <c r="D355" s="10">
        <f t="shared" si="5"/>
        <v>0</v>
      </c>
    </row>
    <row r="356" spans="1:4" ht="18" hidden="1" x14ac:dyDescent="0.3">
      <c r="A356" s="8" t="s">
        <v>135</v>
      </c>
      <c r="B356" s="10"/>
      <c r="C356" s="10"/>
      <c r="D356" s="10">
        <f t="shared" si="5"/>
        <v>0</v>
      </c>
    </row>
    <row r="357" spans="1:4" ht="18" hidden="1" x14ac:dyDescent="0.3">
      <c r="A357" s="11" t="s">
        <v>136</v>
      </c>
      <c r="B357" s="10"/>
      <c r="C357" s="10"/>
      <c r="D357" s="10">
        <f t="shared" si="5"/>
        <v>0</v>
      </c>
    </row>
    <row r="358" spans="1:4" ht="18" hidden="1" x14ac:dyDescent="0.3">
      <c r="A358" s="8" t="s">
        <v>137</v>
      </c>
      <c r="B358" s="10"/>
      <c r="C358" s="10"/>
      <c r="D358" s="10">
        <f t="shared" si="5"/>
        <v>0</v>
      </c>
    </row>
    <row r="359" spans="1:4" ht="18" x14ac:dyDescent="0.3">
      <c r="A359" s="8" t="s">
        <v>139</v>
      </c>
      <c r="B359" s="10">
        <f>4002+220-300</f>
        <v>3922</v>
      </c>
      <c r="C359" s="10">
        <v>5500</v>
      </c>
      <c r="D359" s="10">
        <f t="shared" si="5"/>
        <v>21571000</v>
      </c>
    </row>
    <row r="360" spans="1:4" ht="18" hidden="1" x14ac:dyDescent="0.3">
      <c r="A360" s="13" t="s">
        <v>140</v>
      </c>
      <c r="B360" s="10"/>
      <c r="C360" s="10"/>
      <c r="D360" s="10">
        <f t="shared" si="5"/>
        <v>0</v>
      </c>
    </row>
    <row r="361" spans="1:4" ht="18" hidden="1" x14ac:dyDescent="0.3">
      <c r="A361" s="14" t="s">
        <v>141</v>
      </c>
      <c r="B361" s="10"/>
      <c r="C361" s="10"/>
      <c r="D361" s="10">
        <f t="shared" si="5"/>
        <v>0</v>
      </c>
    </row>
    <row r="362" spans="1:4" ht="18" hidden="1" x14ac:dyDescent="0.3">
      <c r="A362" s="8" t="s">
        <v>142</v>
      </c>
      <c r="B362" s="10"/>
      <c r="C362" s="10"/>
      <c r="D362" s="10">
        <f t="shared" si="5"/>
        <v>0</v>
      </c>
    </row>
    <row r="363" spans="1:4" ht="18" hidden="1" x14ac:dyDescent="0.3">
      <c r="A363" s="8" t="s">
        <v>143</v>
      </c>
      <c r="B363" s="10"/>
      <c r="C363" s="10"/>
      <c r="D363" s="10">
        <f t="shared" si="5"/>
        <v>0</v>
      </c>
    </row>
    <row r="364" spans="1:4" ht="18" hidden="1" x14ac:dyDescent="0.3">
      <c r="A364" s="16" t="s">
        <v>483</v>
      </c>
      <c r="B364" s="10"/>
      <c r="C364" s="10"/>
      <c r="D364" s="10">
        <f t="shared" si="5"/>
        <v>0</v>
      </c>
    </row>
    <row r="365" spans="1:4" ht="18" hidden="1" x14ac:dyDescent="0.3">
      <c r="A365" s="13" t="s">
        <v>146</v>
      </c>
      <c r="B365" s="10"/>
      <c r="C365" s="10"/>
      <c r="D365" s="10">
        <f t="shared" si="5"/>
        <v>0</v>
      </c>
    </row>
    <row r="366" spans="1:4" ht="18" x14ac:dyDescent="0.3">
      <c r="A366" s="13" t="s">
        <v>147</v>
      </c>
      <c r="B366" s="10">
        <v>36</v>
      </c>
      <c r="C366" s="10">
        <v>10000</v>
      </c>
      <c r="D366" s="10">
        <f t="shared" si="5"/>
        <v>360000</v>
      </c>
    </row>
    <row r="367" spans="1:4" ht="18" hidden="1" x14ac:dyDescent="0.3">
      <c r="A367" s="17" t="s">
        <v>148</v>
      </c>
      <c r="B367" s="10"/>
      <c r="C367" s="10"/>
      <c r="D367" s="10">
        <f t="shared" si="5"/>
        <v>0</v>
      </c>
    </row>
    <row r="368" spans="1:4" ht="18" hidden="1" x14ac:dyDescent="0.3">
      <c r="A368" s="17" t="s">
        <v>149</v>
      </c>
      <c r="B368" s="10"/>
      <c r="C368" s="10"/>
      <c r="D368" s="10">
        <f t="shared" si="5"/>
        <v>0</v>
      </c>
    </row>
    <row r="369" spans="1:4" ht="18" hidden="1" x14ac:dyDescent="0.3">
      <c r="A369" s="13" t="s">
        <v>150</v>
      </c>
      <c r="B369" s="10"/>
      <c r="C369" s="10"/>
      <c r="D369" s="10">
        <f t="shared" si="5"/>
        <v>0</v>
      </c>
    </row>
    <row r="370" spans="1:4" ht="18" hidden="1" x14ac:dyDescent="0.3">
      <c r="A370" s="13" t="s">
        <v>151</v>
      </c>
      <c r="B370" s="10"/>
      <c r="C370" s="10"/>
      <c r="D370" s="10">
        <f t="shared" si="5"/>
        <v>0</v>
      </c>
    </row>
    <row r="371" spans="1:4" ht="18" hidden="1" x14ac:dyDescent="0.3">
      <c r="A371" s="12" t="s">
        <v>152</v>
      </c>
      <c r="B371" s="10"/>
      <c r="C371" s="10"/>
      <c r="D371" s="10">
        <f t="shared" si="5"/>
        <v>0</v>
      </c>
    </row>
    <row r="372" spans="1:4" ht="18" hidden="1" x14ac:dyDescent="0.3">
      <c r="A372" s="16" t="s">
        <v>153</v>
      </c>
      <c r="B372" s="10"/>
      <c r="C372" s="10"/>
      <c r="D372" s="10">
        <f t="shared" si="5"/>
        <v>0</v>
      </c>
    </row>
    <row r="373" spans="1:4" ht="18" x14ac:dyDescent="0.3">
      <c r="A373" s="13" t="s">
        <v>154</v>
      </c>
      <c r="B373" s="10">
        <f>3440-130</f>
        <v>3310</v>
      </c>
      <c r="C373" s="10">
        <v>6000</v>
      </c>
      <c r="D373" s="10">
        <f t="shared" si="5"/>
        <v>19860000</v>
      </c>
    </row>
    <row r="374" spans="1:4" ht="18" hidden="1" x14ac:dyDescent="0.3">
      <c r="A374" s="17" t="s">
        <v>155</v>
      </c>
      <c r="B374" s="10"/>
      <c r="C374" s="10"/>
      <c r="D374" s="10">
        <f t="shared" si="5"/>
        <v>0</v>
      </c>
    </row>
    <row r="375" spans="1:4" ht="18" hidden="1" x14ac:dyDescent="0.3">
      <c r="A375" s="17" t="s">
        <v>156</v>
      </c>
      <c r="B375" s="10"/>
      <c r="C375" s="10"/>
      <c r="D375" s="10">
        <f t="shared" si="5"/>
        <v>0</v>
      </c>
    </row>
    <row r="376" spans="1:4" ht="18" hidden="1" x14ac:dyDescent="0.3">
      <c r="A376" s="13" t="s">
        <v>157</v>
      </c>
      <c r="B376" s="10"/>
      <c r="C376" s="10"/>
      <c r="D376" s="10">
        <f t="shared" si="5"/>
        <v>0</v>
      </c>
    </row>
    <row r="377" spans="1:4" ht="18" hidden="1" x14ac:dyDescent="0.3">
      <c r="A377" s="13" t="s">
        <v>158</v>
      </c>
      <c r="B377" s="10"/>
      <c r="C377" s="10"/>
      <c r="D377" s="10">
        <f t="shared" si="5"/>
        <v>0</v>
      </c>
    </row>
    <row r="378" spans="1:4" ht="18" hidden="1" x14ac:dyDescent="0.3">
      <c r="A378" s="13" t="s">
        <v>159</v>
      </c>
      <c r="B378" s="10"/>
      <c r="C378" s="10"/>
      <c r="D378" s="10">
        <f t="shared" si="5"/>
        <v>0</v>
      </c>
    </row>
    <row r="379" spans="1:4" ht="18" hidden="1" x14ac:dyDescent="0.3">
      <c r="A379" s="13" t="s">
        <v>160</v>
      </c>
      <c r="B379" s="10"/>
      <c r="C379" s="10"/>
      <c r="D379" s="10">
        <f t="shared" si="5"/>
        <v>0</v>
      </c>
    </row>
    <row r="380" spans="1:4" ht="18" hidden="1" x14ac:dyDescent="0.3">
      <c r="A380" s="13" t="s">
        <v>161</v>
      </c>
      <c r="B380" s="10"/>
      <c r="C380" s="10"/>
      <c r="D380" s="10">
        <f t="shared" si="5"/>
        <v>0</v>
      </c>
    </row>
    <row r="381" spans="1:4" ht="18" hidden="1" x14ac:dyDescent="0.3">
      <c r="A381" s="13" t="s">
        <v>162</v>
      </c>
      <c r="B381" s="10"/>
      <c r="C381" s="10"/>
      <c r="D381" s="10">
        <f t="shared" si="5"/>
        <v>0</v>
      </c>
    </row>
    <row r="382" spans="1:4" ht="18" hidden="1" x14ac:dyDescent="0.3">
      <c r="A382" s="17" t="s">
        <v>164</v>
      </c>
      <c r="B382" s="10"/>
      <c r="C382" s="10"/>
      <c r="D382" s="10">
        <f t="shared" si="5"/>
        <v>0</v>
      </c>
    </row>
    <row r="383" spans="1:4" ht="18" hidden="1" x14ac:dyDescent="0.3">
      <c r="A383" s="17" t="s">
        <v>172</v>
      </c>
      <c r="B383" s="10"/>
      <c r="C383" s="10"/>
      <c r="D383" s="10">
        <f t="shared" si="5"/>
        <v>0</v>
      </c>
    </row>
    <row r="384" spans="1:4" ht="18" hidden="1" x14ac:dyDescent="0.3">
      <c r="A384" s="13" t="s">
        <v>173</v>
      </c>
      <c r="B384" s="10"/>
      <c r="C384" s="10"/>
      <c r="D384" s="10">
        <f t="shared" si="5"/>
        <v>0</v>
      </c>
    </row>
    <row r="385" spans="1:4" ht="18" hidden="1" x14ac:dyDescent="0.3">
      <c r="A385" s="13" t="s">
        <v>174</v>
      </c>
      <c r="B385" s="10"/>
      <c r="C385" s="10"/>
      <c r="D385" s="10">
        <f t="shared" si="5"/>
        <v>0</v>
      </c>
    </row>
    <row r="386" spans="1:4" ht="18" hidden="1" x14ac:dyDescent="0.3">
      <c r="A386" s="16" t="s">
        <v>484</v>
      </c>
      <c r="B386" s="20"/>
      <c r="C386" s="20"/>
      <c r="D386" s="10">
        <f t="shared" si="5"/>
        <v>0</v>
      </c>
    </row>
    <row r="387" spans="1:4" ht="18" hidden="1" x14ac:dyDescent="0.3">
      <c r="A387" s="16" t="s">
        <v>175</v>
      </c>
      <c r="B387" s="20"/>
      <c r="C387" s="20"/>
      <c r="D387" s="10">
        <f t="shared" si="5"/>
        <v>0</v>
      </c>
    </row>
    <row r="388" spans="1:4" ht="18" hidden="1" x14ac:dyDescent="0.3">
      <c r="A388" s="13" t="s">
        <v>176</v>
      </c>
      <c r="B388" s="10"/>
      <c r="C388" s="10"/>
      <c r="D388" s="10">
        <f t="shared" ref="D388:D451" si="6">B388*C388</f>
        <v>0</v>
      </c>
    </row>
    <row r="389" spans="1:4" ht="18" hidden="1" x14ac:dyDescent="0.3">
      <c r="A389" s="13" t="s">
        <v>177</v>
      </c>
      <c r="B389" s="10"/>
      <c r="C389" s="10"/>
      <c r="D389" s="10">
        <f t="shared" si="6"/>
        <v>0</v>
      </c>
    </row>
    <row r="390" spans="1:4" ht="18" hidden="1" x14ac:dyDescent="0.3">
      <c r="A390" s="15" t="s">
        <v>178</v>
      </c>
      <c r="B390" s="10"/>
      <c r="C390" s="10"/>
      <c r="D390" s="10">
        <f t="shared" si="6"/>
        <v>0</v>
      </c>
    </row>
    <row r="391" spans="1:4" ht="18" hidden="1" x14ac:dyDescent="0.3">
      <c r="A391" s="13" t="s">
        <v>179</v>
      </c>
      <c r="B391" s="10"/>
      <c r="C391" s="10"/>
      <c r="D391" s="10">
        <f t="shared" si="6"/>
        <v>0</v>
      </c>
    </row>
    <row r="392" spans="1:4" ht="18" hidden="1" x14ac:dyDescent="0.3">
      <c r="A392" s="13" t="s">
        <v>180</v>
      </c>
      <c r="B392" s="10"/>
      <c r="C392" s="10"/>
      <c r="D392" s="10">
        <f t="shared" si="6"/>
        <v>0</v>
      </c>
    </row>
    <row r="393" spans="1:4" ht="18" hidden="1" x14ac:dyDescent="0.3">
      <c r="A393" s="13" t="s">
        <v>181</v>
      </c>
      <c r="B393" s="10"/>
      <c r="C393" s="10"/>
      <c r="D393" s="10">
        <f t="shared" si="6"/>
        <v>0</v>
      </c>
    </row>
    <row r="394" spans="1:4" ht="18" hidden="1" x14ac:dyDescent="0.3">
      <c r="A394" s="13" t="s">
        <v>182</v>
      </c>
      <c r="B394" s="10"/>
      <c r="C394" s="10"/>
      <c r="D394" s="10">
        <f t="shared" si="6"/>
        <v>0</v>
      </c>
    </row>
    <row r="395" spans="1:4" ht="18" hidden="1" x14ac:dyDescent="0.3">
      <c r="A395" s="12" t="s">
        <v>183</v>
      </c>
      <c r="B395" s="10"/>
      <c r="C395" s="10"/>
      <c r="D395" s="10">
        <f t="shared" si="6"/>
        <v>0</v>
      </c>
    </row>
    <row r="396" spans="1:4" ht="18" hidden="1" x14ac:dyDescent="0.3">
      <c r="A396" s="16" t="s">
        <v>184</v>
      </c>
      <c r="B396" s="10"/>
      <c r="C396" s="10"/>
      <c r="D396" s="10">
        <f t="shared" si="6"/>
        <v>0</v>
      </c>
    </row>
    <row r="397" spans="1:4" ht="18" hidden="1" x14ac:dyDescent="0.3">
      <c r="A397" s="12" t="s">
        <v>185</v>
      </c>
      <c r="B397" s="10"/>
      <c r="C397" s="10"/>
      <c r="D397" s="10">
        <f t="shared" si="6"/>
        <v>0</v>
      </c>
    </row>
    <row r="398" spans="1:4" ht="18" hidden="1" x14ac:dyDescent="0.3">
      <c r="A398" s="13" t="s">
        <v>186</v>
      </c>
      <c r="B398" s="10"/>
      <c r="C398" s="10"/>
      <c r="D398" s="10">
        <f t="shared" si="6"/>
        <v>0</v>
      </c>
    </row>
    <row r="399" spans="1:4" ht="18" hidden="1" x14ac:dyDescent="0.3">
      <c r="A399" s="13" t="s">
        <v>187</v>
      </c>
      <c r="B399" s="10"/>
      <c r="C399" s="10"/>
      <c r="D399" s="10">
        <f t="shared" si="6"/>
        <v>0</v>
      </c>
    </row>
    <row r="400" spans="1:4" ht="18" x14ac:dyDescent="0.3">
      <c r="A400" s="17" t="s">
        <v>188</v>
      </c>
      <c r="B400" s="10">
        <v>300</v>
      </c>
      <c r="C400" s="10">
        <v>17000</v>
      </c>
      <c r="D400" s="10">
        <f t="shared" si="6"/>
        <v>5100000</v>
      </c>
    </row>
    <row r="401" spans="1:4" ht="18" hidden="1" x14ac:dyDescent="0.3">
      <c r="A401" s="21" t="s">
        <v>189</v>
      </c>
      <c r="B401" s="10"/>
      <c r="C401" s="10"/>
      <c r="D401" s="10">
        <f t="shared" si="6"/>
        <v>0</v>
      </c>
    </row>
    <row r="402" spans="1:4" ht="18" x14ac:dyDescent="0.3">
      <c r="A402" s="15" t="s">
        <v>190</v>
      </c>
      <c r="B402" s="10">
        <v>20</v>
      </c>
      <c r="C402" s="10">
        <v>11400</v>
      </c>
      <c r="D402" s="10">
        <f t="shared" si="6"/>
        <v>228000</v>
      </c>
    </row>
    <row r="403" spans="1:4" ht="18" hidden="1" x14ac:dyDescent="0.3">
      <c r="A403" s="15" t="s">
        <v>191</v>
      </c>
      <c r="B403" s="10"/>
      <c r="C403" s="10"/>
      <c r="D403" s="10">
        <f t="shared" si="6"/>
        <v>0</v>
      </c>
    </row>
    <row r="404" spans="1:4" ht="18" hidden="1" x14ac:dyDescent="0.3">
      <c r="A404" s="15" t="s">
        <v>192</v>
      </c>
      <c r="B404" s="10"/>
      <c r="C404" s="10"/>
      <c r="D404" s="10">
        <f t="shared" si="6"/>
        <v>0</v>
      </c>
    </row>
    <row r="405" spans="1:4" ht="18" hidden="1" x14ac:dyDescent="0.3">
      <c r="A405" s="13" t="s">
        <v>193</v>
      </c>
      <c r="B405" s="10"/>
      <c r="C405" s="10"/>
      <c r="D405" s="10">
        <f t="shared" si="6"/>
        <v>0</v>
      </c>
    </row>
    <row r="406" spans="1:4" ht="18" hidden="1" x14ac:dyDescent="0.3">
      <c r="A406" s="16" t="s">
        <v>194</v>
      </c>
      <c r="B406" s="10"/>
      <c r="C406" s="10"/>
      <c r="D406" s="10">
        <f t="shared" si="6"/>
        <v>0</v>
      </c>
    </row>
    <row r="407" spans="1:4" ht="18" hidden="1" x14ac:dyDescent="0.3">
      <c r="A407" s="13" t="s">
        <v>195</v>
      </c>
      <c r="B407" s="10"/>
      <c r="C407" s="10"/>
      <c r="D407" s="10">
        <f t="shared" si="6"/>
        <v>0</v>
      </c>
    </row>
    <row r="408" spans="1:4" ht="18" hidden="1" x14ac:dyDescent="0.3">
      <c r="A408" s="13" t="s">
        <v>196</v>
      </c>
      <c r="B408" s="10"/>
      <c r="C408" s="10"/>
      <c r="D408" s="10">
        <f t="shared" si="6"/>
        <v>0</v>
      </c>
    </row>
    <row r="409" spans="1:4" ht="18" hidden="1" x14ac:dyDescent="0.3">
      <c r="A409" s="15" t="s">
        <v>197</v>
      </c>
      <c r="B409" s="10"/>
      <c r="C409" s="10"/>
      <c r="D409" s="10">
        <f t="shared" si="6"/>
        <v>0</v>
      </c>
    </row>
    <row r="410" spans="1:4" ht="18" hidden="1" x14ac:dyDescent="0.3">
      <c r="A410" s="13" t="s">
        <v>198</v>
      </c>
      <c r="B410" s="10"/>
      <c r="C410" s="10"/>
      <c r="D410" s="10">
        <f t="shared" si="6"/>
        <v>0</v>
      </c>
    </row>
    <row r="411" spans="1:4" ht="18" hidden="1" x14ac:dyDescent="0.3">
      <c r="A411" s="23" t="s">
        <v>199</v>
      </c>
      <c r="B411" s="10"/>
      <c r="C411" s="10"/>
      <c r="D411" s="10">
        <f t="shared" si="6"/>
        <v>0</v>
      </c>
    </row>
    <row r="412" spans="1:4" ht="18" hidden="1" x14ac:dyDescent="0.3">
      <c r="A412" s="13" t="s">
        <v>200</v>
      </c>
      <c r="B412" s="10"/>
      <c r="C412" s="10"/>
      <c r="D412" s="10">
        <f t="shared" si="6"/>
        <v>0</v>
      </c>
    </row>
    <row r="413" spans="1:4" ht="18" hidden="1" x14ac:dyDescent="0.3">
      <c r="A413" s="13" t="s">
        <v>201</v>
      </c>
      <c r="B413" s="10"/>
      <c r="C413" s="10"/>
      <c r="D413" s="10">
        <f t="shared" si="6"/>
        <v>0</v>
      </c>
    </row>
    <row r="414" spans="1:4" ht="18" hidden="1" x14ac:dyDescent="0.3">
      <c r="A414" s="24" t="s">
        <v>202</v>
      </c>
      <c r="B414" s="10"/>
      <c r="C414" s="10"/>
      <c r="D414" s="10">
        <f t="shared" si="6"/>
        <v>0</v>
      </c>
    </row>
    <row r="415" spans="1:4" ht="18" hidden="1" x14ac:dyDescent="0.3">
      <c r="A415" s="45" t="s">
        <v>203</v>
      </c>
      <c r="B415" s="10"/>
      <c r="C415" s="10"/>
      <c r="D415" s="10">
        <f t="shared" si="6"/>
        <v>0</v>
      </c>
    </row>
    <row r="416" spans="1:4" ht="18" hidden="1" x14ac:dyDescent="0.3">
      <c r="A416" s="17" t="s">
        <v>204</v>
      </c>
      <c r="B416" s="10"/>
      <c r="C416" s="10"/>
      <c r="D416" s="10">
        <f t="shared" si="6"/>
        <v>0</v>
      </c>
    </row>
    <row r="417" spans="1:4" ht="18" hidden="1" x14ac:dyDescent="0.3">
      <c r="A417" s="16" t="s">
        <v>205</v>
      </c>
      <c r="B417" s="10"/>
      <c r="C417" s="10"/>
      <c r="D417" s="10">
        <f t="shared" si="6"/>
        <v>0</v>
      </c>
    </row>
    <row r="418" spans="1:4" ht="18" hidden="1" x14ac:dyDescent="0.3">
      <c r="A418" s="17" t="s">
        <v>206</v>
      </c>
      <c r="B418" s="10"/>
      <c r="C418" s="10"/>
      <c r="D418" s="10">
        <f t="shared" si="6"/>
        <v>0</v>
      </c>
    </row>
    <row r="419" spans="1:4" ht="18" hidden="1" x14ac:dyDescent="0.3">
      <c r="A419" s="17" t="s">
        <v>207</v>
      </c>
      <c r="B419" s="10"/>
      <c r="C419" s="10"/>
      <c r="D419" s="10">
        <f t="shared" si="6"/>
        <v>0</v>
      </c>
    </row>
    <row r="420" spans="1:4" ht="18" hidden="1" x14ac:dyDescent="0.3">
      <c r="A420" s="17" t="s">
        <v>208</v>
      </c>
      <c r="B420" s="10"/>
      <c r="C420" s="10"/>
      <c r="D420" s="10">
        <f t="shared" si="6"/>
        <v>0</v>
      </c>
    </row>
    <row r="421" spans="1:4" ht="18" hidden="1" x14ac:dyDescent="0.3">
      <c r="A421" s="24" t="s">
        <v>209</v>
      </c>
      <c r="B421" s="10"/>
      <c r="C421" s="10"/>
      <c r="D421" s="10">
        <f t="shared" si="6"/>
        <v>0</v>
      </c>
    </row>
    <row r="422" spans="1:4" ht="18" hidden="1" x14ac:dyDescent="0.3">
      <c r="A422" s="13" t="s">
        <v>210</v>
      </c>
      <c r="B422" s="10"/>
      <c r="C422" s="10"/>
      <c r="D422" s="10">
        <f t="shared" si="6"/>
        <v>0</v>
      </c>
    </row>
    <row r="423" spans="1:4" ht="18" hidden="1" x14ac:dyDescent="0.3">
      <c r="A423" s="13" t="s">
        <v>211</v>
      </c>
      <c r="B423" s="10"/>
      <c r="C423" s="10"/>
      <c r="D423" s="10">
        <f t="shared" si="6"/>
        <v>0</v>
      </c>
    </row>
    <row r="424" spans="1:4" ht="18" hidden="1" x14ac:dyDescent="0.3">
      <c r="A424" s="17" t="s">
        <v>485</v>
      </c>
      <c r="B424" s="10"/>
      <c r="C424" s="10"/>
      <c r="D424" s="10">
        <f t="shared" si="6"/>
        <v>0</v>
      </c>
    </row>
    <row r="425" spans="1:4" ht="18" x14ac:dyDescent="0.3">
      <c r="A425" s="13" t="s">
        <v>212</v>
      </c>
      <c r="B425" s="10">
        <v>100</v>
      </c>
      <c r="C425" s="10">
        <v>24000</v>
      </c>
      <c r="D425" s="10">
        <f t="shared" si="6"/>
        <v>2400000</v>
      </c>
    </row>
    <row r="426" spans="1:4" ht="18" hidden="1" x14ac:dyDescent="0.3">
      <c r="A426" s="12" t="s">
        <v>213</v>
      </c>
      <c r="B426" s="10"/>
      <c r="C426" s="10"/>
      <c r="D426" s="10">
        <f t="shared" si="6"/>
        <v>0</v>
      </c>
    </row>
    <row r="427" spans="1:4" ht="18" hidden="1" x14ac:dyDescent="0.3">
      <c r="A427" s="13" t="s">
        <v>214</v>
      </c>
      <c r="B427" s="10"/>
      <c r="C427" s="10"/>
      <c r="D427" s="10">
        <f t="shared" si="6"/>
        <v>0</v>
      </c>
    </row>
    <row r="428" spans="1:4" ht="18" hidden="1" x14ac:dyDescent="0.3">
      <c r="A428" s="13" t="s">
        <v>215</v>
      </c>
      <c r="B428" s="10"/>
      <c r="C428" s="10"/>
      <c r="D428" s="10">
        <f t="shared" si="6"/>
        <v>0</v>
      </c>
    </row>
    <row r="429" spans="1:4" ht="18" hidden="1" x14ac:dyDescent="0.3">
      <c r="A429" s="13" t="s">
        <v>216</v>
      </c>
      <c r="B429" s="10"/>
      <c r="C429" s="10"/>
      <c r="D429" s="10">
        <f t="shared" si="6"/>
        <v>0</v>
      </c>
    </row>
    <row r="430" spans="1:4" ht="18" hidden="1" x14ac:dyDescent="0.3">
      <c r="A430" s="17" t="s">
        <v>218</v>
      </c>
      <c r="B430" s="20"/>
      <c r="C430" s="20"/>
      <c r="D430" s="10">
        <f t="shared" si="6"/>
        <v>0</v>
      </c>
    </row>
    <row r="431" spans="1:4" ht="18" hidden="1" x14ac:dyDescent="0.3">
      <c r="A431" s="17" t="s">
        <v>219</v>
      </c>
      <c r="B431" s="20"/>
      <c r="C431" s="20"/>
      <c r="D431" s="10">
        <f t="shared" si="6"/>
        <v>0</v>
      </c>
    </row>
    <row r="432" spans="1:4" ht="18" hidden="1" x14ac:dyDescent="0.3">
      <c r="A432" s="17" t="s">
        <v>220</v>
      </c>
      <c r="B432" s="20"/>
      <c r="C432" s="20"/>
      <c r="D432" s="10">
        <f t="shared" si="6"/>
        <v>0</v>
      </c>
    </row>
    <row r="433" spans="1:4" ht="18" hidden="1" x14ac:dyDescent="0.3">
      <c r="A433" s="13" t="s">
        <v>221</v>
      </c>
      <c r="B433" s="10"/>
      <c r="C433" s="10"/>
      <c r="D433" s="10">
        <f t="shared" si="6"/>
        <v>0</v>
      </c>
    </row>
    <row r="434" spans="1:4" ht="18" hidden="1" x14ac:dyDescent="0.3">
      <c r="A434" s="13" t="s">
        <v>222</v>
      </c>
      <c r="B434" s="10"/>
      <c r="C434" s="10"/>
      <c r="D434" s="10">
        <f t="shared" si="6"/>
        <v>0</v>
      </c>
    </row>
    <row r="435" spans="1:4" ht="18" hidden="1" x14ac:dyDescent="0.3">
      <c r="A435" s="13" t="s">
        <v>223</v>
      </c>
      <c r="B435" s="10"/>
      <c r="C435" s="10"/>
      <c r="D435" s="10">
        <f t="shared" si="6"/>
        <v>0</v>
      </c>
    </row>
    <row r="436" spans="1:4" ht="18" hidden="1" x14ac:dyDescent="0.3">
      <c r="A436" s="13" t="s">
        <v>224</v>
      </c>
      <c r="B436" s="10"/>
      <c r="C436" s="10"/>
      <c r="D436" s="10">
        <f t="shared" si="6"/>
        <v>0</v>
      </c>
    </row>
    <row r="437" spans="1:4" ht="18" hidden="1" x14ac:dyDescent="0.3">
      <c r="A437" s="13" t="s">
        <v>225</v>
      </c>
      <c r="B437" s="10"/>
      <c r="C437" s="10"/>
      <c r="D437" s="10">
        <f t="shared" si="6"/>
        <v>0</v>
      </c>
    </row>
    <row r="438" spans="1:4" ht="18" hidden="1" x14ac:dyDescent="0.3">
      <c r="A438" s="13" t="s">
        <v>226</v>
      </c>
      <c r="B438" s="10"/>
      <c r="C438" s="10"/>
      <c r="D438" s="10">
        <f t="shared" si="6"/>
        <v>0</v>
      </c>
    </row>
    <row r="439" spans="1:4" ht="18" hidden="1" x14ac:dyDescent="0.3">
      <c r="A439" s="25" t="s">
        <v>227</v>
      </c>
      <c r="B439" s="10"/>
      <c r="C439" s="10"/>
      <c r="D439" s="10">
        <f t="shared" si="6"/>
        <v>0</v>
      </c>
    </row>
    <row r="440" spans="1:4" ht="18" hidden="1" x14ac:dyDescent="0.3">
      <c r="A440" s="25" t="s">
        <v>228</v>
      </c>
      <c r="B440" s="10"/>
      <c r="C440" s="10"/>
      <c r="D440" s="10">
        <f t="shared" si="6"/>
        <v>0</v>
      </c>
    </row>
    <row r="441" spans="1:4" ht="18" hidden="1" x14ac:dyDescent="0.3">
      <c r="A441" s="25" t="s">
        <v>229</v>
      </c>
      <c r="B441" s="10"/>
      <c r="C441" s="10"/>
      <c r="D441" s="10">
        <f t="shared" si="6"/>
        <v>0</v>
      </c>
    </row>
    <row r="442" spans="1:4" ht="18" hidden="1" x14ac:dyDescent="0.3">
      <c r="A442" s="16" t="s">
        <v>230</v>
      </c>
      <c r="B442" s="10"/>
      <c r="C442" s="10"/>
      <c r="D442" s="10">
        <f t="shared" si="6"/>
        <v>0</v>
      </c>
    </row>
    <row r="443" spans="1:4" ht="18" hidden="1" x14ac:dyDescent="0.3">
      <c r="A443" s="12" t="s">
        <v>231</v>
      </c>
      <c r="B443" s="10"/>
      <c r="C443" s="10"/>
      <c r="D443" s="10">
        <f t="shared" si="6"/>
        <v>0</v>
      </c>
    </row>
    <row r="444" spans="1:4" ht="18" hidden="1" x14ac:dyDescent="0.3">
      <c r="A444" s="16" t="s">
        <v>486</v>
      </c>
      <c r="B444" s="10"/>
      <c r="C444" s="10"/>
      <c r="D444" s="10">
        <f t="shared" si="6"/>
        <v>0</v>
      </c>
    </row>
    <row r="445" spans="1:4" ht="18" hidden="1" x14ac:dyDescent="0.3">
      <c r="A445" s="13" t="s">
        <v>232</v>
      </c>
      <c r="B445" s="10"/>
      <c r="C445" s="10"/>
      <c r="D445" s="10">
        <f t="shared" si="6"/>
        <v>0</v>
      </c>
    </row>
    <row r="446" spans="1:4" ht="18" hidden="1" x14ac:dyDescent="0.3">
      <c r="A446" s="13" t="s">
        <v>233</v>
      </c>
      <c r="B446" s="10"/>
      <c r="C446" s="10"/>
      <c r="D446" s="10">
        <f t="shared" si="6"/>
        <v>0</v>
      </c>
    </row>
    <row r="447" spans="1:4" ht="18" hidden="1" x14ac:dyDescent="0.3">
      <c r="A447" s="16" t="s">
        <v>487</v>
      </c>
      <c r="B447" s="10"/>
      <c r="C447" s="10"/>
      <c r="D447" s="10">
        <f t="shared" si="6"/>
        <v>0</v>
      </c>
    </row>
    <row r="448" spans="1:4" ht="18" hidden="1" x14ac:dyDescent="0.3">
      <c r="A448" s="16" t="s">
        <v>488</v>
      </c>
      <c r="B448" s="10"/>
      <c r="C448" s="10"/>
      <c r="D448" s="10">
        <f t="shared" si="6"/>
        <v>0</v>
      </c>
    </row>
    <row r="449" spans="1:4" ht="18" hidden="1" x14ac:dyDescent="0.3">
      <c r="A449" s="13" t="s">
        <v>235</v>
      </c>
      <c r="B449" s="20"/>
      <c r="C449" s="20"/>
      <c r="D449" s="10">
        <f t="shared" si="6"/>
        <v>0</v>
      </c>
    </row>
    <row r="450" spans="1:4" ht="18" hidden="1" x14ac:dyDescent="0.3">
      <c r="A450" s="25" t="s">
        <v>237</v>
      </c>
      <c r="B450" s="10"/>
      <c r="C450" s="10"/>
      <c r="D450" s="10">
        <f t="shared" si="6"/>
        <v>0</v>
      </c>
    </row>
    <row r="451" spans="1:4" ht="18" hidden="1" x14ac:dyDescent="0.3">
      <c r="A451" s="16" t="s">
        <v>238</v>
      </c>
      <c r="B451" s="10"/>
      <c r="C451" s="10"/>
      <c r="D451" s="10">
        <f t="shared" si="6"/>
        <v>0</v>
      </c>
    </row>
    <row r="452" spans="1:4" ht="18" hidden="1" x14ac:dyDescent="0.3">
      <c r="A452" s="16" t="s">
        <v>489</v>
      </c>
      <c r="B452" s="10"/>
      <c r="C452" s="10"/>
      <c r="D452" s="10">
        <f t="shared" ref="D452:D515" si="7">B452*C452</f>
        <v>0</v>
      </c>
    </row>
    <row r="453" spans="1:4" ht="18" hidden="1" x14ac:dyDescent="0.3">
      <c r="A453" s="13" t="s">
        <v>239</v>
      </c>
      <c r="B453" s="10"/>
      <c r="C453" s="10"/>
      <c r="D453" s="10">
        <f t="shared" si="7"/>
        <v>0</v>
      </c>
    </row>
    <row r="454" spans="1:4" ht="18" hidden="1" x14ac:dyDescent="0.3">
      <c r="A454" s="15" t="s">
        <v>240</v>
      </c>
      <c r="B454" s="10"/>
      <c r="C454" s="10"/>
      <c r="D454" s="10">
        <f t="shared" si="7"/>
        <v>0</v>
      </c>
    </row>
    <row r="455" spans="1:4" ht="18" x14ac:dyDescent="0.3">
      <c r="A455" s="27" t="s">
        <v>241</v>
      </c>
      <c r="B455" s="10">
        <v>1</v>
      </c>
      <c r="C455" s="10">
        <v>15000</v>
      </c>
      <c r="D455" s="10">
        <f t="shared" si="7"/>
        <v>15000</v>
      </c>
    </row>
    <row r="456" spans="1:4" ht="18" hidden="1" x14ac:dyDescent="0.3">
      <c r="A456" s="27" t="s">
        <v>242</v>
      </c>
      <c r="B456" s="10"/>
      <c r="C456" s="10"/>
      <c r="D456" s="10">
        <f t="shared" si="7"/>
        <v>0</v>
      </c>
    </row>
    <row r="457" spans="1:4" ht="18" x14ac:dyDescent="0.3">
      <c r="A457" s="26" t="s">
        <v>243</v>
      </c>
      <c r="B457" s="10">
        <f>946+140+408</f>
        <v>1494</v>
      </c>
      <c r="C457" s="10">
        <v>6000</v>
      </c>
      <c r="D457" s="10">
        <f t="shared" si="7"/>
        <v>8964000</v>
      </c>
    </row>
    <row r="458" spans="1:4" ht="18" hidden="1" x14ac:dyDescent="0.3">
      <c r="A458" s="28" t="s">
        <v>244</v>
      </c>
      <c r="B458" s="10"/>
      <c r="C458" s="10"/>
      <c r="D458" s="10">
        <f t="shared" si="7"/>
        <v>0</v>
      </c>
    </row>
    <row r="459" spans="1:4" ht="18" hidden="1" x14ac:dyDescent="0.3">
      <c r="A459" s="13" t="s">
        <v>245</v>
      </c>
      <c r="B459" s="10"/>
      <c r="C459" s="10"/>
      <c r="D459" s="10">
        <f t="shared" si="7"/>
        <v>0</v>
      </c>
    </row>
    <row r="460" spans="1:4" ht="18" hidden="1" x14ac:dyDescent="0.3">
      <c r="A460" s="13" t="s">
        <v>248</v>
      </c>
      <c r="B460" s="10"/>
      <c r="C460" s="10"/>
      <c r="D460" s="10">
        <f t="shared" si="7"/>
        <v>0</v>
      </c>
    </row>
    <row r="461" spans="1:4" ht="18" hidden="1" x14ac:dyDescent="0.3">
      <c r="A461" s="13" t="s">
        <v>249</v>
      </c>
      <c r="B461" s="10"/>
      <c r="C461" s="10"/>
      <c r="D461" s="10">
        <f t="shared" si="7"/>
        <v>0</v>
      </c>
    </row>
    <row r="462" spans="1:4" ht="18" hidden="1" x14ac:dyDescent="0.3">
      <c r="A462" s="13" t="s">
        <v>250</v>
      </c>
      <c r="B462" s="10"/>
      <c r="C462" s="10"/>
      <c r="D462" s="10">
        <f t="shared" si="7"/>
        <v>0</v>
      </c>
    </row>
    <row r="463" spans="1:4" ht="18" hidden="1" x14ac:dyDescent="0.3">
      <c r="A463" s="13" t="s">
        <v>252</v>
      </c>
      <c r="B463" s="10"/>
      <c r="C463" s="10"/>
      <c r="D463" s="10">
        <f t="shared" si="7"/>
        <v>0</v>
      </c>
    </row>
    <row r="464" spans="1:4" ht="18" hidden="1" x14ac:dyDescent="0.3">
      <c r="A464" s="13" t="s">
        <v>253</v>
      </c>
      <c r="B464" s="10"/>
      <c r="C464" s="10"/>
      <c r="D464" s="10">
        <f t="shared" si="7"/>
        <v>0</v>
      </c>
    </row>
    <row r="465" spans="1:4" ht="18" hidden="1" x14ac:dyDescent="0.3">
      <c r="A465" s="13" t="s">
        <v>490</v>
      </c>
      <c r="B465" s="10"/>
      <c r="C465" s="10"/>
      <c r="D465" s="10">
        <f t="shared" si="7"/>
        <v>0</v>
      </c>
    </row>
    <row r="466" spans="1:4" ht="18" hidden="1" x14ac:dyDescent="0.3">
      <c r="A466" s="13" t="s">
        <v>254</v>
      </c>
      <c r="B466" s="10"/>
      <c r="C466" s="10"/>
      <c r="D466" s="10">
        <f t="shared" si="7"/>
        <v>0</v>
      </c>
    </row>
    <row r="467" spans="1:4" ht="18" hidden="1" x14ac:dyDescent="0.3">
      <c r="A467" s="16" t="s">
        <v>256</v>
      </c>
      <c r="B467" s="10"/>
      <c r="C467" s="10"/>
      <c r="D467" s="10">
        <f t="shared" si="7"/>
        <v>0</v>
      </c>
    </row>
    <row r="468" spans="1:4" ht="18" hidden="1" x14ac:dyDescent="0.3">
      <c r="A468" s="25" t="s">
        <v>257</v>
      </c>
      <c r="B468" s="10"/>
      <c r="C468" s="10"/>
      <c r="D468" s="10">
        <f t="shared" si="7"/>
        <v>0</v>
      </c>
    </row>
    <row r="469" spans="1:4" ht="18" hidden="1" x14ac:dyDescent="0.3">
      <c r="A469" s="13" t="s">
        <v>261</v>
      </c>
      <c r="B469" s="10"/>
      <c r="C469" s="10"/>
      <c r="D469" s="10">
        <f t="shared" si="7"/>
        <v>0</v>
      </c>
    </row>
    <row r="470" spans="1:4" ht="18" hidden="1" x14ac:dyDescent="0.3">
      <c r="A470" s="16" t="s">
        <v>262</v>
      </c>
      <c r="B470" s="10"/>
      <c r="C470" s="10"/>
      <c r="D470" s="10">
        <f t="shared" si="7"/>
        <v>0</v>
      </c>
    </row>
    <row r="471" spans="1:4" ht="18" hidden="1" x14ac:dyDescent="0.3">
      <c r="A471" s="16" t="s">
        <v>263</v>
      </c>
      <c r="B471" s="10"/>
      <c r="C471" s="10"/>
      <c r="D471" s="10">
        <f t="shared" si="7"/>
        <v>0</v>
      </c>
    </row>
    <row r="472" spans="1:4" ht="18" x14ac:dyDescent="0.3">
      <c r="A472" s="13" t="s">
        <v>267</v>
      </c>
      <c r="B472" s="10">
        <v>20</v>
      </c>
      <c r="C472" s="10">
        <v>14000</v>
      </c>
      <c r="D472" s="10">
        <f t="shared" si="7"/>
        <v>280000</v>
      </c>
    </row>
    <row r="473" spans="1:4" ht="18" hidden="1" x14ac:dyDescent="0.3">
      <c r="A473" s="14" t="s">
        <v>269</v>
      </c>
      <c r="B473" s="10"/>
      <c r="C473" s="10"/>
      <c r="D473" s="10">
        <f t="shared" si="7"/>
        <v>0</v>
      </c>
    </row>
    <row r="474" spans="1:4" ht="18" hidden="1" x14ac:dyDescent="0.3">
      <c r="A474" s="12" t="s">
        <v>270</v>
      </c>
      <c r="B474" s="10"/>
      <c r="C474" s="10"/>
      <c r="D474" s="10">
        <f t="shared" si="7"/>
        <v>0</v>
      </c>
    </row>
    <row r="475" spans="1:4" ht="18" hidden="1" x14ac:dyDescent="0.3">
      <c r="A475" s="17" t="s">
        <v>271</v>
      </c>
      <c r="B475" s="20"/>
      <c r="C475" s="20"/>
      <c r="D475" s="10">
        <f t="shared" si="7"/>
        <v>0</v>
      </c>
    </row>
    <row r="476" spans="1:4" ht="18" hidden="1" x14ac:dyDescent="0.3">
      <c r="A476" s="17" t="s">
        <v>491</v>
      </c>
      <c r="B476" s="20"/>
      <c r="C476" s="20"/>
      <c r="D476" s="10">
        <f t="shared" si="7"/>
        <v>0</v>
      </c>
    </row>
    <row r="477" spans="1:4" ht="18" hidden="1" x14ac:dyDescent="0.3">
      <c r="A477" s="17" t="s">
        <v>272</v>
      </c>
      <c r="B477" s="20"/>
      <c r="C477" s="20"/>
      <c r="D477" s="10">
        <f t="shared" si="7"/>
        <v>0</v>
      </c>
    </row>
    <row r="478" spans="1:4" ht="18" hidden="1" x14ac:dyDescent="0.3">
      <c r="A478" s="17" t="s">
        <v>273</v>
      </c>
      <c r="B478" s="31"/>
      <c r="C478" s="31"/>
      <c r="D478" s="10">
        <f t="shared" si="7"/>
        <v>0</v>
      </c>
    </row>
    <row r="479" spans="1:4" ht="18" hidden="1" x14ac:dyDescent="0.3">
      <c r="A479" s="29" t="s">
        <v>492</v>
      </c>
      <c r="B479" s="10"/>
      <c r="C479" s="10"/>
      <c r="D479" s="10">
        <f t="shared" si="7"/>
        <v>0</v>
      </c>
    </row>
    <row r="480" spans="1:4" ht="18" hidden="1" x14ac:dyDescent="0.3">
      <c r="A480" s="17" t="s">
        <v>274</v>
      </c>
      <c r="B480" s="20"/>
      <c r="C480" s="20"/>
      <c r="D480" s="10">
        <f t="shared" si="7"/>
        <v>0</v>
      </c>
    </row>
    <row r="481" spans="1:4" ht="18" hidden="1" x14ac:dyDescent="0.3">
      <c r="A481" s="13" t="s">
        <v>275</v>
      </c>
      <c r="B481" s="10"/>
      <c r="C481" s="10"/>
      <c r="D481" s="10">
        <f t="shared" si="7"/>
        <v>0</v>
      </c>
    </row>
    <row r="482" spans="1:4" ht="18" hidden="1" x14ac:dyDescent="0.3">
      <c r="A482" s="13" t="s">
        <v>276</v>
      </c>
      <c r="B482" s="10"/>
      <c r="C482" s="10"/>
      <c r="D482" s="10">
        <f t="shared" si="7"/>
        <v>0</v>
      </c>
    </row>
    <row r="483" spans="1:4" ht="18" x14ac:dyDescent="0.3">
      <c r="A483" s="13" t="s">
        <v>278</v>
      </c>
      <c r="B483" s="10">
        <v>60</v>
      </c>
      <c r="C483" s="10">
        <v>16000</v>
      </c>
      <c r="D483" s="10">
        <f t="shared" si="7"/>
        <v>960000</v>
      </c>
    </row>
    <row r="484" spans="1:4" ht="18" hidden="1" x14ac:dyDescent="0.3">
      <c r="A484" s="15" t="s">
        <v>279</v>
      </c>
      <c r="B484" s="10"/>
      <c r="C484" s="10"/>
      <c r="D484" s="10">
        <f t="shared" si="7"/>
        <v>0</v>
      </c>
    </row>
    <row r="485" spans="1:4" ht="18" hidden="1" x14ac:dyDescent="0.3">
      <c r="A485" s="17" t="s">
        <v>280</v>
      </c>
      <c r="B485" s="10"/>
      <c r="C485" s="10"/>
      <c r="D485" s="10">
        <f t="shared" si="7"/>
        <v>0</v>
      </c>
    </row>
    <row r="486" spans="1:4" ht="18" hidden="1" x14ac:dyDescent="0.3">
      <c r="A486" s="17" t="s">
        <v>281</v>
      </c>
      <c r="B486" s="10"/>
      <c r="C486" s="10"/>
      <c r="D486" s="10">
        <f t="shared" si="7"/>
        <v>0</v>
      </c>
    </row>
    <row r="487" spans="1:4" ht="18" hidden="1" x14ac:dyDescent="0.3">
      <c r="A487" s="13" t="s">
        <v>282</v>
      </c>
      <c r="B487" s="10"/>
      <c r="C487" s="10"/>
      <c r="D487" s="10">
        <f t="shared" si="7"/>
        <v>0</v>
      </c>
    </row>
    <row r="488" spans="1:4" ht="18" hidden="1" x14ac:dyDescent="0.3">
      <c r="A488" s="13" t="s">
        <v>493</v>
      </c>
      <c r="B488" s="10"/>
      <c r="C488" s="10"/>
      <c r="D488" s="10">
        <f t="shared" si="7"/>
        <v>0</v>
      </c>
    </row>
    <row r="489" spans="1:4" ht="18" hidden="1" x14ac:dyDescent="0.3">
      <c r="A489" s="13" t="s">
        <v>284</v>
      </c>
      <c r="B489" s="20"/>
      <c r="C489" s="20"/>
      <c r="D489" s="10">
        <f t="shared" si="7"/>
        <v>0</v>
      </c>
    </row>
    <row r="490" spans="1:4" ht="18" hidden="1" x14ac:dyDescent="0.3">
      <c r="A490" s="13" t="s">
        <v>285</v>
      </c>
      <c r="B490" s="20"/>
      <c r="C490" s="20"/>
      <c r="D490" s="10">
        <f t="shared" si="7"/>
        <v>0</v>
      </c>
    </row>
    <row r="491" spans="1:4" ht="18" hidden="1" x14ac:dyDescent="0.3">
      <c r="A491" s="13" t="s">
        <v>286</v>
      </c>
      <c r="B491" s="10"/>
      <c r="C491" s="10"/>
      <c r="D491" s="10">
        <f t="shared" si="7"/>
        <v>0</v>
      </c>
    </row>
    <row r="492" spans="1:4" ht="18" hidden="1" x14ac:dyDescent="0.3">
      <c r="A492" s="13" t="s">
        <v>287</v>
      </c>
      <c r="B492" s="20"/>
      <c r="C492" s="20"/>
      <c r="D492" s="10">
        <f t="shared" si="7"/>
        <v>0</v>
      </c>
    </row>
    <row r="493" spans="1:4" ht="18" hidden="1" x14ac:dyDescent="0.3">
      <c r="A493" s="13" t="s">
        <v>288</v>
      </c>
      <c r="B493" s="20"/>
      <c r="C493" s="20"/>
      <c r="D493" s="10">
        <f t="shared" si="7"/>
        <v>0</v>
      </c>
    </row>
    <row r="494" spans="1:4" ht="18" hidden="1" x14ac:dyDescent="0.3">
      <c r="A494" s="13" t="s">
        <v>289</v>
      </c>
      <c r="B494" s="20"/>
      <c r="C494" s="20"/>
      <c r="D494" s="10">
        <f t="shared" si="7"/>
        <v>0</v>
      </c>
    </row>
    <row r="495" spans="1:4" ht="18" hidden="1" x14ac:dyDescent="0.3">
      <c r="A495" s="13" t="s">
        <v>290</v>
      </c>
      <c r="B495" s="20"/>
      <c r="C495" s="20"/>
      <c r="D495" s="10">
        <f t="shared" si="7"/>
        <v>0</v>
      </c>
    </row>
    <row r="496" spans="1:4" ht="18" hidden="1" x14ac:dyDescent="0.3">
      <c r="A496" s="13" t="s">
        <v>291</v>
      </c>
      <c r="B496" s="20"/>
      <c r="C496" s="20"/>
      <c r="D496" s="10">
        <f t="shared" si="7"/>
        <v>0</v>
      </c>
    </row>
    <row r="497" spans="1:4" ht="18" hidden="1" x14ac:dyDescent="0.3">
      <c r="A497" s="13" t="s">
        <v>292</v>
      </c>
      <c r="B497" s="20"/>
      <c r="C497" s="20"/>
      <c r="D497" s="10">
        <f t="shared" si="7"/>
        <v>0</v>
      </c>
    </row>
    <row r="498" spans="1:4" ht="18" hidden="1" x14ac:dyDescent="0.3">
      <c r="A498" s="13" t="s">
        <v>293</v>
      </c>
      <c r="B498" s="20"/>
      <c r="C498" s="20"/>
      <c r="D498" s="10">
        <f t="shared" si="7"/>
        <v>0</v>
      </c>
    </row>
    <row r="499" spans="1:4" ht="18" hidden="1" x14ac:dyDescent="0.3">
      <c r="A499" s="13" t="s">
        <v>294</v>
      </c>
      <c r="B499" s="20"/>
      <c r="C499" s="20"/>
      <c r="D499" s="10">
        <f t="shared" si="7"/>
        <v>0</v>
      </c>
    </row>
    <row r="500" spans="1:4" ht="18" hidden="1" x14ac:dyDescent="0.3">
      <c r="A500" s="13" t="s">
        <v>295</v>
      </c>
      <c r="B500" s="10"/>
      <c r="C500" s="10"/>
      <c r="D500" s="10">
        <f t="shared" si="7"/>
        <v>0</v>
      </c>
    </row>
    <row r="501" spans="1:4" ht="18" hidden="1" x14ac:dyDescent="0.3">
      <c r="A501" s="13" t="s">
        <v>494</v>
      </c>
      <c r="B501" s="10"/>
      <c r="C501" s="10"/>
      <c r="D501" s="10">
        <f t="shared" si="7"/>
        <v>0</v>
      </c>
    </row>
    <row r="502" spans="1:4" ht="18" hidden="1" x14ac:dyDescent="0.3">
      <c r="A502" s="13" t="s">
        <v>296</v>
      </c>
      <c r="B502" s="10"/>
      <c r="C502" s="10"/>
      <c r="D502" s="10">
        <f t="shared" si="7"/>
        <v>0</v>
      </c>
    </row>
    <row r="503" spans="1:4" ht="18" hidden="1" x14ac:dyDescent="0.3">
      <c r="A503" s="13" t="s">
        <v>297</v>
      </c>
      <c r="B503" s="10"/>
      <c r="C503" s="10"/>
      <c r="D503" s="10">
        <f t="shared" si="7"/>
        <v>0</v>
      </c>
    </row>
    <row r="504" spans="1:4" ht="18" hidden="1" x14ac:dyDescent="0.3">
      <c r="A504" s="13" t="s">
        <v>298</v>
      </c>
      <c r="B504" s="10"/>
      <c r="C504" s="10"/>
      <c r="D504" s="10">
        <f t="shared" si="7"/>
        <v>0</v>
      </c>
    </row>
    <row r="505" spans="1:4" ht="18" hidden="1" x14ac:dyDescent="0.3">
      <c r="A505" s="15" t="s">
        <v>299</v>
      </c>
      <c r="B505" s="10"/>
      <c r="C505" s="10"/>
      <c r="D505" s="10">
        <f t="shared" si="7"/>
        <v>0</v>
      </c>
    </row>
    <row r="506" spans="1:4" ht="18" hidden="1" x14ac:dyDescent="0.3">
      <c r="A506" s="13" t="s">
        <v>300</v>
      </c>
      <c r="B506" s="10"/>
      <c r="C506" s="10"/>
      <c r="D506" s="10">
        <f t="shared" si="7"/>
        <v>0</v>
      </c>
    </row>
    <row r="507" spans="1:4" ht="18" hidden="1" x14ac:dyDescent="0.3">
      <c r="A507" s="13" t="s">
        <v>301</v>
      </c>
      <c r="B507" s="10"/>
      <c r="C507" s="10"/>
      <c r="D507" s="10">
        <f t="shared" si="7"/>
        <v>0</v>
      </c>
    </row>
    <row r="508" spans="1:4" ht="18" hidden="1" x14ac:dyDescent="0.3">
      <c r="A508" s="13" t="s">
        <v>302</v>
      </c>
      <c r="B508" s="10"/>
      <c r="C508" s="10"/>
      <c r="D508" s="10">
        <f t="shared" si="7"/>
        <v>0</v>
      </c>
    </row>
    <row r="509" spans="1:4" ht="18" hidden="1" x14ac:dyDescent="0.3">
      <c r="A509" s="13" t="s">
        <v>303</v>
      </c>
      <c r="B509" s="10"/>
      <c r="C509" s="10"/>
      <c r="D509" s="10">
        <f t="shared" si="7"/>
        <v>0</v>
      </c>
    </row>
    <row r="510" spans="1:4" ht="18" hidden="1" x14ac:dyDescent="0.3">
      <c r="A510" s="13" t="s">
        <v>304</v>
      </c>
      <c r="B510" s="20"/>
      <c r="C510" s="20"/>
      <c r="D510" s="10">
        <f t="shared" si="7"/>
        <v>0</v>
      </c>
    </row>
    <row r="511" spans="1:4" ht="18" hidden="1" x14ac:dyDescent="0.3">
      <c r="A511" s="21" t="s">
        <v>305</v>
      </c>
      <c r="B511" s="20"/>
      <c r="C511" s="20"/>
      <c r="D511" s="10">
        <f t="shared" si="7"/>
        <v>0</v>
      </c>
    </row>
    <row r="512" spans="1:4" ht="18" hidden="1" x14ac:dyDescent="0.3">
      <c r="A512" s="13" t="s">
        <v>306</v>
      </c>
      <c r="B512" s="20"/>
      <c r="C512" s="20"/>
      <c r="D512" s="10">
        <f t="shared" si="7"/>
        <v>0</v>
      </c>
    </row>
    <row r="513" spans="1:4" ht="18" hidden="1" x14ac:dyDescent="0.3">
      <c r="A513" s="13" t="s">
        <v>308</v>
      </c>
      <c r="B513" s="10"/>
      <c r="C513" s="10"/>
      <c r="D513" s="10">
        <f t="shared" si="7"/>
        <v>0</v>
      </c>
    </row>
    <row r="514" spans="1:4" ht="18" hidden="1" x14ac:dyDescent="0.3">
      <c r="A514" s="15" t="s">
        <v>309</v>
      </c>
      <c r="B514" s="10"/>
      <c r="C514" s="10"/>
      <c r="D514" s="10">
        <f t="shared" si="7"/>
        <v>0</v>
      </c>
    </row>
    <row r="515" spans="1:4" ht="18" hidden="1" x14ac:dyDescent="0.3">
      <c r="A515" s="13" t="s">
        <v>495</v>
      </c>
      <c r="B515" s="10"/>
      <c r="C515" s="10"/>
      <c r="D515" s="10">
        <f t="shared" si="7"/>
        <v>0</v>
      </c>
    </row>
    <row r="516" spans="1:4" ht="18" hidden="1" x14ac:dyDescent="0.3">
      <c r="A516" s="17" t="s">
        <v>496</v>
      </c>
      <c r="B516" s="10"/>
      <c r="C516" s="10"/>
      <c r="D516" s="10">
        <f t="shared" ref="D516:D579" si="8">B516*C516</f>
        <v>0</v>
      </c>
    </row>
    <row r="517" spans="1:4" ht="18" hidden="1" x14ac:dyDescent="0.3">
      <c r="A517" s="13" t="s">
        <v>310</v>
      </c>
      <c r="B517" s="10"/>
      <c r="C517" s="10"/>
      <c r="D517" s="10">
        <f t="shared" si="8"/>
        <v>0</v>
      </c>
    </row>
    <row r="518" spans="1:4" ht="18" hidden="1" x14ac:dyDescent="0.3">
      <c r="A518" s="13" t="s">
        <v>312</v>
      </c>
      <c r="B518" s="10"/>
      <c r="C518" s="10"/>
      <c r="D518" s="10">
        <f t="shared" si="8"/>
        <v>0</v>
      </c>
    </row>
    <row r="519" spans="1:4" ht="18" hidden="1" x14ac:dyDescent="0.3">
      <c r="A519" s="13" t="s">
        <v>313</v>
      </c>
      <c r="B519" s="10"/>
      <c r="C519" s="10"/>
      <c r="D519" s="10">
        <f t="shared" si="8"/>
        <v>0</v>
      </c>
    </row>
    <row r="520" spans="1:4" ht="18" hidden="1" x14ac:dyDescent="0.3">
      <c r="A520" s="24" t="s">
        <v>314</v>
      </c>
      <c r="B520" s="10"/>
      <c r="C520" s="10"/>
      <c r="D520" s="10">
        <f t="shared" si="8"/>
        <v>0</v>
      </c>
    </row>
    <row r="521" spans="1:4" ht="18" hidden="1" x14ac:dyDescent="0.3">
      <c r="A521" s="13" t="s">
        <v>315</v>
      </c>
      <c r="B521" s="10"/>
      <c r="C521" s="10"/>
      <c r="D521" s="10">
        <f t="shared" si="8"/>
        <v>0</v>
      </c>
    </row>
    <row r="522" spans="1:4" ht="18" hidden="1" x14ac:dyDescent="0.3">
      <c r="A522" s="34" t="s">
        <v>316</v>
      </c>
      <c r="B522" s="36"/>
      <c r="C522" s="36"/>
      <c r="D522" s="10">
        <f t="shared" si="8"/>
        <v>0</v>
      </c>
    </row>
    <row r="523" spans="1:4" ht="18" hidden="1" x14ac:dyDescent="0.3">
      <c r="A523" s="16" t="s">
        <v>317</v>
      </c>
      <c r="B523" s="10"/>
      <c r="C523" s="10"/>
      <c r="D523" s="10">
        <f t="shared" si="8"/>
        <v>0</v>
      </c>
    </row>
    <row r="524" spans="1:4" ht="18" hidden="1" x14ac:dyDescent="0.3">
      <c r="A524" s="13" t="s">
        <v>318</v>
      </c>
      <c r="B524" s="10"/>
      <c r="C524" s="10"/>
      <c r="D524" s="10">
        <f t="shared" si="8"/>
        <v>0</v>
      </c>
    </row>
    <row r="525" spans="1:4" ht="18" hidden="1" x14ac:dyDescent="0.3">
      <c r="A525" s="13" t="s">
        <v>497</v>
      </c>
      <c r="B525" s="10"/>
      <c r="C525" s="10"/>
      <c r="D525" s="10">
        <f t="shared" si="8"/>
        <v>0</v>
      </c>
    </row>
    <row r="526" spans="1:4" ht="18" hidden="1" x14ac:dyDescent="0.3">
      <c r="A526" s="17" t="s">
        <v>320</v>
      </c>
      <c r="B526" s="10"/>
      <c r="C526" s="10"/>
      <c r="D526" s="10">
        <f t="shared" si="8"/>
        <v>0</v>
      </c>
    </row>
    <row r="527" spans="1:4" ht="18" hidden="1" x14ac:dyDescent="0.3">
      <c r="A527" s="13" t="s">
        <v>321</v>
      </c>
      <c r="B527" s="10"/>
      <c r="C527" s="10"/>
      <c r="D527" s="10">
        <f t="shared" si="8"/>
        <v>0</v>
      </c>
    </row>
    <row r="528" spans="1:4" ht="18" hidden="1" x14ac:dyDescent="0.3">
      <c r="A528" s="13" t="s">
        <v>322</v>
      </c>
      <c r="B528" s="10"/>
      <c r="C528" s="10"/>
      <c r="D528" s="10">
        <f t="shared" si="8"/>
        <v>0</v>
      </c>
    </row>
    <row r="529" spans="1:4" ht="18" hidden="1" x14ac:dyDescent="0.3">
      <c r="A529" s="17" t="s">
        <v>323</v>
      </c>
      <c r="B529" s="10"/>
      <c r="C529" s="10"/>
      <c r="D529" s="10">
        <f t="shared" si="8"/>
        <v>0</v>
      </c>
    </row>
    <row r="530" spans="1:4" ht="18" hidden="1" x14ac:dyDescent="0.3">
      <c r="A530" s="17" t="s">
        <v>324</v>
      </c>
      <c r="B530" s="10"/>
      <c r="C530" s="10"/>
      <c r="D530" s="10">
        <f t="shared" si="8"/>
        <v>0</v>
      </c>
    </row>
    <row r="531" spans="1:4" ht="18" hidden="1" x14ac:dyDescent="0.3">
      <c r="A531" s="17" t="s">
        <v>325</v>
      </c>
      <c r="B531" s="10"/>
      <c r="C531" s="10"/>
      <c r="D531" s="10">
        <f t="shared" si="8"/>
        <v>0</v>
      </c>
    </row>
    <row r="532" spans="1:4" ht="18" hidden="1" x14ac:dyDescent="0.3">
      <c r="A532" s="13" t="s">
        <v>326</v>
      </c>
      <c r="B532" s="10"/>
      <c r="C532" s="10"/>
      <c r="D532" s="10">
        <f t="shared" si="8"/>
        <v>0</v>
      </c>
    </row>
    <row r="533" spans="1:4" ht="18" hidden="1" x14ac:dyDescent="0.3">
      <c r="A533" s="17" t="s">
        <v>328</v>
      </c>
      <c r="B533" s="10"/>
      <c r="C533" s="10"/>
      <c r="D533" s="10">
        <f t="shared" si="8"/>
        <v>0</v>
      </c>
    </row>
    <row r="534" spans="1:4" ht="18" hidden="1" x14ac:dyDescent="0.3">
      <c r="A534" s="17" t="s">
        <v>329</v>
      </c>
      <c r="B534" s="10"/>
      <c r="C534" s="10"/>
      <c r="D534" s="10">
        <f t="shared" si="8"/>
        <v>0</v>
      </c>
    </row>
    <row r="535" spans="1:4" ht="18" hidden="1" x14ac:dyDescent="0.3">
      <c r="A535" s="17" t="s">
        <v>330</v>
      </c>
      <c r="B535" s="10"/>
      <c r="C535" s="10"/>
      <c r="D535" s="10">
        <f t="shared" si="8"/>
        <v>0</v>
      </c>
    </row>
    <row r="536" spans="1:4" ht="18" hidden="1" x14ac:dyDescent="0.3">
      <c r="A536" s="13" t="s">
        <v>498</v>
      </c>
      <c r="B536" s="10"/>
      <c r="C536" s="10"/>
      <c r="D536" s="10">
        <f t="shared" si="8"/>
        <v>0</v>
      </c>
    </row>
    <row r="537" spans="1:4" ht="18" hidden="1" x14ac:dyDescent="0.3">
      <c r="A537" s="15" t="s">
        <v>331</v>
      </c>
      <c r="B537" s="10"/>
      <c r="C537" s="10"/>
      <c r="D537" s="10">
        <f t="shared" si="8"/>
        <v>0</v>
      </c>
    </row>
    <row r="538" spans="1:4" ht="18" hidden="1" x14ac:dyDescent="0.3">
      <c r="A538" s="15" t="s">
        <v>332</v>
      </c>
      <c r="B538" s="10"/>
      <c r="C538" s="10"/>
      <c r="D538" s="10">
        <f t="shared" si="8"/>
        <v>0</v>
      </c>
    </row>
    <row r="539" spans="1:4" ht="18" hidden="1" x14ac:dyDescent="0.3">
      <c r="A539" s="15" t="s">
        <v>333</v>
      </c>
      <c r="B539" s="10"/>
      <c r="C539" s="10"/>
      <c r="D539" s="10">
        <f t="shared" si="8"/>
        <v>0</v>
      </c>
    </row>
    <row r="540" spans="1:4" ht="18" hidden="1" x14ac:dyDescent="0.3">
      <c r="A540" s="15" t="s">
        <v>334</v>
      </c>
      <c r="B540" s="10"/>
      <c r="C540" s="10"/>
      <c r="D540" s="10">
        <f t="shared" si="8"/>
        <v>0</v>
      </c>
    </row>
    <row r="541" spans="1:4" ht="18" hidden="1" x14ac:dyDescent="0.3">
      <c r="A541" s="17" t="s">
        <v>335</v>
      </c>
      <c r="B541" s="10"/>
      <c r="C541" s="10"/>
      <c r="D541" s="10">
        <f t="shared" si="8"/>
        <v>0</v>
      </c>
    </row>
    <row r="542" spans="1:4" ht="18" hidden="1" x14ac:dyDescent="0.3">
      <c r="A542" s="13" t="s">
        <v>337</v>
      </c>
      <c r="B542" s="10"/>
      <c r="C542" s="10"/>
      <c r="D542" s="10">
        <f t="shared" si="8"/>
        <v>0</v>
      </c>
    </row>
    <row r="543" spans="1:4" ht="18" hidden="1" x14ac:dyDescent="0.3">
      <c r="A543" s="37" t="s">
        <v>338</v>
      </c>
      <c r="B543" s="10"/>
      <c r="C543" s="10"/>
      <c r="D543" s="10">
        <f t="shared" si="8"/>
        <v>0</v>
      </c>
    </row>
    <row r="544" spans="1:4" ht="18" hidden="1" x14ac:dyDescent="0.3">
      <c r="A544" s="37" t="s">
        <v>339</v>
      </c>
      <c r="B544" s="10"/>
      <c r="C544" s="10"/>
      <c r="D544" s="10">
        <f t="shared" si="8"/>
        <v>0</v>
      </c>
    </row>
    <row r="545" spans="1:4" ht="18" hidden="1" x14ac:dyDescent="0.3">
      <c r="A545" s="37" t="s">
        <v>340</v>
      </c>
      <c r="B545" s="10"/>
      <c r="C545" s="10"/>
      <c r="D545" s="10">
        <f t="shared" si="8"/>
        <v>0</v>
      </c>
    </row>
    <row r="546" spans="1:4" ht="18" hidden="1" x14ac:dyDescent="0.3">
      <c r="A546" s="37" t="s">
        <v>341</v>
      </c>
      <c r="B546" s="10"/>
      <c r="C546" s="10"/>
      <c r="D546" s="10">
        <f t="shared" si="8"/>
        <v>0</v>
      </c>
    </row>
    <row r="547" spans="1:4" ht="18" hidden="1" x14ac:dyDescent="0.3">
      <c r="A547" s="13" t="s">
        <v>342</v>
      </c>
      <c r="B547" s="10"/>
      <c r="C547" s="10"/>
      <c r="D547" s="10">
        <f t="shared" si="8"/>
        <v>0</v>
      </c>
    </row>
    <row r="548" spans="1:4" ht="18" hidden="1" x14ac:dyDescent="0.3">
      <c r="A548" s="38" t="s">
        <v>499</v>
      </c>
      <c r="B548" s="10"/>
      <c r="C548" s="10"/>
      <c r="D548" s="10">
        <f t="shared" si="8"/>
        <v>0</v>
      </c>
    </row>
    <row r="549" spans="1:4" ht="18" hidden="1" x14ac:dyDescent="0.3">
      <c r="A549" s="13" t="s">
        <v>344</v>
      </c>
      <c r="B549" s="10"/>
      <c r="C549" s="10"/>
      <c r="D549" s="10">
        <f t="shared" si="8"/>
        <v>0</v>
      </c>
    </row>
    <row r="550" spans="1:4" ht="18" hidden="1" x14ac:dyDescent="0.3">
      <c r="A550" s="17" t="s">
        <v>345</v>
      </c>
      <c r="B550" s="10"/>
      <c r="C550" s="10"/>
      <c r="D550" s="10">
        <f t="shared" si="8"/>
        <v>0</v>
      </c>
    </row>
    <row r="551" spans="1:4" ht="18" hidden="1" x14ac:dyDescent="0.3">
      <c r="A551" s="13" t="s">
        <v>500</v>
      </c>
      <c r="B551" s="10"/>
      <c r="C551" s="10"/>
      <c r="D551" s="10">
        <f t="shared" si="8"/>
        <v>0</v>
      </c>
    </row>
    <row r="552" spans="1:4" ht="18" hidden="1" x14ac:dyDescent="0.3">
      <c r="A552" s="13" t="s">
        <v>346</v>
      </c>
      <c r="B552" s="10"/>
      <c r="C552" s="10"/>
      <c r="D552" s="10">
        <f t="shared" si="8"/>
        <v>0</v>
      </c>
    </row>
    <row r="553" spans="1:4" ht="18" x14ac:dyDescent="0.3">
      <c r="A553" s="13" t="s">
        <v>347</v>
      </c>
      <c r="B553" s="10">
        <v>30</v>
      </c>
      <c r="C553" s="10">
        <v>23000</v>
      </c>
      <c r="D553" s="10">
        <f t="shared" si="8"/>
        <v>690000</v>
      </c>
    </row>
    <row r="554" spans="1:4" ht="18" hidden="1" x14ac:dyDescent="0.3">
      <c r="A554" s="39" t="s">
        <v>348</v>
      </c>
      <c r="B554" s="10"/>
      <c r="C554" s="10"/>
      <c r="D554" s="10">
        <f t="shared" si="8"/>
        <v>0</v>
      </c>
    </row>
    <row r="555" spans="1:4" ht="18" hidden="1" x14ac:dyDescent="0.3">
      <c r="A555" s="39" t="s">
        <v>349</v>
      </c>
      <c r="B555" s="10"/>
      <c r="C555" s="10"/>
      <c r="D555" s="10">
        <f t="shared" si="8"/>
        <v>0</v>
      </c>
    </row>
    <row r="556" spans="1:4" ht="18" hidden="1" x14ac:dyDescent="0.3">
      <c r="A556" s="13" t="s">
        <v>350</v>
      </c>
      <c r="B556" s="10"/>
      <c r="C556" s="10"/>
      <c r="D556" s="10">
        <f t="shared" si="8"/>
        <v>0</v>
      </c>
    </row>
    <row r="557" spans="1:4" ht="18" hidden="1" x14ac:dyDescent="0.3">
      <c r="A557" s="16" t="s">
        <v>351</v>
      </c>
      <c r="B557" s="10"/>
      <c r="C557" s="10"/>
      <c r="D557" s="10">
        <f t="shared" si="8"/>
        <v>0</v>
      </c>
    </row>
    <row r="558" spans="1:4" ht="18" hidden="1" x14ac:dyDescent="0.3">
      <c r="A558" s="13" t="s">
        <v>352</v>
      </c>
      <c r="B558" s="10"/>
      <c r="C558" s="10"/>
      <c r="D558" s="10">
        <f t="shared" si="8"/>
        <v>0</v>
      </c>
    </row>
    <row r="559" spans="1:4" ht="18" hidden="1" x14ac:dyDescent="0.3">
      <c r="A559" s="16" t="s">
        <v>501</v>
      </c>
      <c r="B559" s="10"/>
      <c r="C559" s="10"/>
      <c r="D559" s="10">
        <f t="shared" si="8"/>
        <v>0</v>
      </c>
    </row>
    <row r="560" spans="1:4" ht="18" hidden="1" x14ac:dyDescent="0.3">
      <c r="A560" s="13" t="s">
        <v>353</v>
      </c>
      <c r="B560" s="10"/>
      <c r="C560" s="10"/>
      <c r="D560" s="10">
        <f t="shared" si="8"/>
        <v>0</v>
      </c>
    </row>
    <row r="561" spans="1:4" ht="18" hidden="1" x14ac:dyDescent="0.3">
      <c r="A561" s="13" t="s">
        <v>354</v>
      </c>
      <c r="B561" s="10"/>
      <c r="C561" s="10"/>
      <c r="D561" s="10">
        <f t="shared" si="8"/>
        <v>0</v>
      </c>
    </row>
    <row r="562" spans="1:4" ht="18" hidden="1" x14ac:dyDescent="0.3">
      <c r="A562" s="13" t="s">
        <v>502</v>
      </c>
      <c r="B562" s="10"/>
      <c r="C562" s="10"/>
      <c r="D562" s="10">
        <f t="shared" si="8"/>
        <v>0</v>
      </c>
    </row>
    <row r="563" spans="1:4" ht="18" hidden="1" x14ac:dyDescent="0.3">
      <c r="A563" s="13" t="s">
        <v>503</v>
      </c>
      <c r="B563" s="10"/>
      <c r="C563" s="10"/>
      <c r="D563" s="10">
        <f t="shared" si="8"/>
        <v>0</v>
      </c>
    </row>
    <row r="564" spans="1:4" ht="18" hidden="1" x14ac:dyDescent="0.3">
      <c r="A564" s="13" t="s">
        <v>355</v>
      </c>
      <c r="B564" s="10"/>
      <c r="C564" s="10"/>
      <c r="D564" s="10">
        <f t="shared" si="8"/>
        <v>0</v>
      </c>
    </row>
    <row r="565" spans="1:4" ht="18" hidden="1" x14ac:dyDescent="0.3">
      <c r="A565" s="40" t="s">
        <v>356</v>
      </c>
      <c r="B565" s="10"/>
      <c r="C565" s="10"/>
      <c r="D565" s="10">
        <f t="shared" si="8"/>
        <v>0</v>
      </c>
    </row>
    <row r="566" spans="1:4" ht="18" hidden="1" x14ac:dyDescent="0.3">
      <c r="A566" s="13" t="s">
        <v>357</v>
      </c>
      <c r="B566" s="10"/>
      <c r="C566" s="10"/>
      <c r="D566" s="10">
        <f t="shared" si="8"/>
        <v>0</v>
      </c>
    </row>
    <row r="567" spans="1:4" ht="18" x14ac:dyDescent="0.3">
      <c r="A567" s="13" t="s">
        <v>358</v>
      </c>
      <c r="B567" s="10">
        <v>300</v>
      </c>
      <c r="C567" s="10">
        <v>16000</v>
      </c>
      <c r="D567" s="10">
        <f t="shared" si="8"/>
        <v>4800000</v>
      </c>
    </row>
    <row r="568" spans="1:4" ht="18" hidden="1" x14ac:dyDescent="0.3">
      <c r="A568" s="13" t="s">
        <v>359</v>
      </c>
      <c r="B568" s="10"/>
      <c r="C568" s="10"/>
      <c r="D568" s="10">
        <f t="shared" si="8"/>
        <v>0</v>
      </c>
    </row>
    <row r="569" spans="1:4" ht="18" hidden="1" x14ac:dyDescent="0.3">
      <c r="A569" s="13" t="s">
        <v>504</v>
      </c>
      <c r="B569" s="10"/>
      <c r="C569" s="10"/>
      <c r="D569" s="10">
        <f t="shared" si="8"/>
        <v>0</v>
      </c>
    </row>
    <row r="570" spans="1:4" ht="18" hidden="1" x14ac:dyDescent="0.3">
      <c r="A570" s="13" t="s">
        <v>360</v>
      </c>
      <c r="B570" s="10"/>
      <c r="C570" s="10"/>
      <c r="D570" s="10">
        <f t="shared" si="8"/>
        <v>0</v>
      </c>
    </row>
    <row r="571" spans="1:4" ht="18" hidden="1" x14ac:dyDescent="0.3">
      <c r="A571" s="15" t="s">
        <v>361</v>
      </c>
      <c r="B571" s="10"/>
      <c r="C571" s="10"/>
      <c r="D571" s="10">
        <f t="shared" si="8"/>
        <v>0</v>
      </c>
    </row>
    <row r="572" spans="1:4" ht="18" hidden="1" x14ac:dyDescent="0.3">
      <c r="A572" s="15" t="s">
        <v>362</v>
      </c>
      <c r="B572" s="10"/>
      <c r="C572" s="10"/>
      <c r="D572" s="10">
        <f t="shared" si="8"/>
        <v>0</v>
      </c>
    </row>
    <row r="573" spans="1:4" ht="18" hidden="1" x14ac:dyDescent="0.3">
      <c r="A573" s="15" t="s">
        <v>363</v>
      </c>
      <c r="B573" s="10"/>
      <c r="C573" s="10"/>
      <c r="D573" s="10">
        <f t="shared" si="8"/>
        <v>0</v>
      </c>
    </row>
    <row r="574" spans="1:4" ht="18" hidden="1" x14ac:dyDescent="0.3">
      <c r="A574" s="15" t="s">
        <v>364</v>
      </c>
      <c r="B574" s="10"/>
      <c r="C574" s="10"/>
      <c r="D574" s="10">
        <f t="shared" si="8"/>
        <v>0</v>
      </c>
    </row>
    <row r="575" spans="1:4" ht="18" hidden="1" x14ac:dyDescent="0.3">
      <c r="A575" s="13" t="s">
        <v>365</v>
      </c>
      <c r="B575" s="10"/>
      <c r="C575" s="10"/>
      <c r="D575" s="10">
        <f t="shared" si="8"/>
        <v>0</v>
      </c>
    </row>
    <row r="576" spans="1:4" ht="18" hidden="1" x14ac:dyDescent="0.3">
      <c r="A576" s="13" t="s">
        <v>366</v>
      </c>
      <c r="B576" s="10"/>
      <c r="C576" s="10"/>
      <c r="D576" s="10">
        <f t="shared" si="8"/>
        <v>0</v>
      </c>
    </row>
    <row r="577" spans="1:4" ht="18" hidden="1" x14ac:dyDescent="0.3">
      <c r="A577" s="15" t="s">
        <v>367</v>
      </c>
      <c r="B577" s="10"/>
      <c r="C577" s="10"/>
      <c r="D577" s="10">
        <f t="shared" si="8"/>
        <v>0</v>
      </c>
    </row>
    <row r="578" spans="1:4" ht="18" hidden="1" x14ac:dyDescent="0.3">
      <c r="A578" s="15" t="s">
        <v>368</v>
      </c>
      <c r="B578" s="10"/>
      <c r="C578" s="10"/>
      <c r="D578" s="10">
        <f t="shared" si="8"/>
        <v>0</v>
      </c>
    </row>
    <row r="579" spans="1:4" ht="18" hidden="1" x14ac:dyDescent="0.3">
      <c r="A579" s="16" t="s">
        <v>369</v>
      </c>
      <c r="B579" s="10"/>
      <c r="C579" s="10"/>
      <c r="D579" s="10">
        <f t="shared" si="8"/>
        <v>0</v>
      </c>
    </row>
    <row r="580" spans="1:4" ht="18" hidden="1" x14ac:dyDescent="0.3">
      <c r="A580" s="17" t="s">
        <v>370</v>
      </c>
      <c r="B580" s="10"/>
      <c r="C580" s="10"/>
      <c r="D580" s="10">
        <f t="shared" ref="D580:D643" si="9">B580*C580</f>
        <v>0</v>
      </c>
    </row>
    <row r="581" spans="1:4" ht="18" hidden="1" x14ac:dyDescent="0.3">
      <c r="A581" s="25" t="s">
        <v>505</v>
      </c>
      <c r="B581" s="10"/>
      <c r="C581" s="10"/>
      <c r="D581" s="10">
        <f t="shared" si="9"/>
        <v>0</v>
      </c>
    </row>
    <row r="582" spans="1:4" ht="18" hidden="1" x14ac:dyDescent="0.3">
      <c r="A582" s="25" t="s">
        <v>506</v>
      </c>
      <c r="B582" s="10"/>
      <c r="C582" s="10"/>
      <c r="D582" s="10">
        <f t="shared" si="9"/>
        <v>0</v>
      </c>
    </row>
    <row r="583" spans="1:4" ht="18" hidden="1" x14ac:dyDescent="0.3">
      <c r="A583" s="13" t="s">
        <v>507</v>
      </c>
      <c r="B583" s="10"/>
      <c r="C583" s="10"/>
      <c r="D583" s="10">
        <f t="shared" si="9"/>
        <v>0</v>
      </c>
    </row>
    <row r="584" spans="1:4" ht="18" hidden="1" x14ac:dyDescent="0.3">
      <c r="A584" s="16" t="s">
        <v>375</v>
      </c>
      <c r="B584" s="10"/>
      <c r="C584" s="10"/>
      <c r="D584" s="10">
        <f t="shared" si="9"/>
        <v>0</v>
      </c>
    </row>
    <row r="585" spans="1:4" ht="18" hidden="1" x14ac:dyDescent="0.3">
      <c r="A585" s="13" t="s">
        <v>381</v>
      </c>
      <c r="B585" s="10"/>
      <c r="C585" s="10"/>
      <c r="D585" s="10">
        <f t="shared" si="9"/>
        <v>0</v>
      </c>
    </row>
    <row r="586" spans="1:4" ht="18" hidden="1" x14ac:dyDescent="0.3">
      <c r="A586" s="12" t="s">
        <v>382</v>
      </c>
      <c r="B586" s="10"/>
      <c r="C586" s="10"/>
      <c r="D586" s="10">
        <f t="shared" si="9"/>
        <v>0</v>
      </c>
    </row>
    <row r="587" spans="1:4" ht="18" hidden="1" x14ac:dyDescent="0.3">
      <c r="A587" s="12" t="s">
        <v>383</v>
      </c>
      <c r="B587" s="10"/>
      <c r="C587" s="10"/>
      <c r="D587" s="10">
        <f t="shared" si="9"/>
        <v>0</v>
      </c>
    </row>
    <row r="588" spans="1:4" ht="18" hidden="1" x14ac:dyDescent="0.3">
      <c r="A588" s="37" t="s">
        <v>384</v>
      </c>
      <c r="B588" s="10"/>
      <c r="C588" s="10"/>
      <c r="D588" s="10">
        <f t="shared" si="9"/>
        <v>0</v>
      </c>
    </row>
    <row r="589" spans="1:4" ht="18" hidden="1" x14ac:dyDescent="0.3">
      <c r="A589" s="13" t="s">
        <v>385</v>
      </c>
      <c r="B589" s="10"/>
      <c r="C589" s="10"/>
      <c r="D589" s="10">
        <f t="shared" si="9"/>
        <v>0</v>
      </c>
    </row>
    <row r="590" spans="1:4" ht="18" hidden="1" x14ac:dyDescent="0.3">
      <c r="A590" s="13" t="s">
        <v>386</v>
      </c>
      <c r="B590" s="10"/>
      <c r="C590" s="10"/>
      <c r="D590" s="10">
        <f t="shared" si="9"/>
        <v>0</v>
      </c>
    </row>
    <row r="591" spans="1:4" ht="18" hidden="1" x14ac:dyDescent="0.3">
      <c r="A591" s="13" t="s">
        <v>387</v>
      </c>
      <c r="B591" s="20"/>
      <c r="C591" s="20"/>
      <c r="D591" s="10">
        <f t="shared" si="9"/>
        <v>0</v>
      </c>
    </row>
    <row r="592" spans="1:4" ht="18" hidden="1" x14ac:dyDescent="0.3">
      <c r="A592" s="37" t="s">
        <v>388</v>
      </c>
      <c r="B592" s="10"/>
      <c r="C592" s="10"/>
      <c r="D592" s="10">
        <f t="shared" si="9"/>
        <v>0</v>
      </c>
    </row>
    <row r="593" spans="1:4" ht="18" hidden="1" x14ac:dyDescent="0.3">
      <c r="A593" s="13" t="s">
        <v>389</v>
      </c>
      <c r="B593" s="20"/>
      <c r="C593" s="20"/>
      <c r="D593" s="10">
        <f t="shared" si="9"/>
        <v>0</v>
      </c>
    </row>
    <row r="594" spans="1:4" ht="18" hidden="1" x14ac:dyDescent="0.3">
      <c r="A594" s="13" t="s">
        <v>390</v>
      </c>
      <c r="B594" s="10"/>
      <c r="C594" s="10"/>
      <c r="D594" s="10">
        <f t="shared" si="9"/>
        <v>0</v>
      </c>
    </row>
    <row r="595" spans="1:4" ht="18" hidden="1" x14ac:dyDescent="0.3">
      <c r="A595" s="16" t="s">
        <v>392</v>
      </c>
      <c r="B595" s="10"/>
      <c r="C595" s="10"/>
      <c r="D595" s="10">
        <f t="shared" si="9"/>
        <v>0</v>
      </c>
    </row>
    <row r="596" spans="1:4" ht="18" hidden="1" x14ac:dyDescent="0.3">
      <c r="A596" s="13" t="s">
        <v>393</v>
      </c>
      <c r="B596" s="10"/>
      <c r="C596" s="10"/>
      <c r="D596" s="10">
        <f t="shared" si="9"/>
        <v>0</v>
      </c>
    </row>
    <row r="597" spans="1:4" ht="18" hidden="1" x14ac:dyDescent="0.3">
      <c r="A597" s="13" t="s">
        <v>394</v>
      </c>
      <c r="B597" s="10"/>
      <c r="C597" s="10"/>
      <c r="D597" s="10">
        <f t="shared" si="9"/>
        <v>0</v>
      </c>
    </row>
    <row r="598" spans="1:4" ht="18" hidden="1" x14ac:dyDescent="0.3">
      <c r="A598" s="13" t="s">
        <v>395</v>
      </c>
      <c r="B598" s="10"/>
      <c r="C598" s="10"/>
      <c r="D598" s="10">
        <f t="shared" si="9"/>
        <v>0</v>
      </c>
    </row>
    <row r="599" spans="1:4" ht="18" hidden="1" x14ac:dyDescent="0.3">
      <c r="A599" s="13" t="s">
        <v>396</v>
      </c>
      <c r="B599" s="10"/>
      <c r="C599" s="10"/>
      <c r="D599" s="10">
        <f t="shared" si="9"/>
        <v>0</v>
      </c>
    </row>
    <row r="600" spans="1:4" ht="18" hidden="1" x14ac:dyDescent="0.3">
      <c r="A600" s="13" t="s">
        <v>397</v>
      </c>
      <c r="B600" s="10"/>
      <c r="C600" s="10"/>
      <c r="D600" s="10">
        <f t="shared" si="9"/>
        <v>0</v>
      </c>
    </row>
    <row r="601" spans="1:4" ht="18" hidden="1" x14ac:dyDescent="0.3">
      <c r="A601" s="15" t="s">
        <v>398</v>
      </c>
      <c r="B601" s="10"/>
      <c r="C601" s="10"/>
      <c r="D601" s="10">
        <f t="shared" si="9"/>
        <v>0</v>
      </c>
    </row>
    <row r="602" spans="1:4" ht="18" hidden="1" x14ac:dyDescent="0.3">
      <c r="A602" s="25" t="s">
        <v>399</v>
      </c>
      <c r="B602" s="10"/>
      <c r="C602" s="10"/>
      <c r="D602" s="10">
        <f t="shared" si="9"/>
        <v>0</v>
      </c>
    </row>
    <row r="603" spans="1:4" ht="18" hidden="1" x14ac:dyDescent="0.3">
      <c r="A603" s="25" t="s">
        <v>508</v>
      </c>
      <c r="B603" s="10"/>
      <c r="C603" s="10"/>
      <c r="D603" s="10">
        <f t="shared" si="9"/>
        <v>0</v>
      </c>
    </row>
    <row r="604" spans="1:4" ht="18" hidden="1" x14ac:dyDescent="0.3">
      <c r="A604" s="13" t="s">
        <v>400</v>
      </c>
      <c r="B604" s="10"/>
      <c r="C604" s="10"/>
      <c r="D604" s="10">
        <f t="shared" si="9"/>
        <v>0</v>
      </c>
    </row>
    <row r="605" spans="1:4" ht="18" hidden="1" x14ac:dyDescent="0.3">
      <c r="A605" s="13" t="s">
        <v>401</v>
      </c>
      <c r="B605" s="10"/>
      <c r="C605" s="10"/>
      <c r="D605" s="10">
        <f t="shared" si="9"/>
        <v>0</v>
      </c>
    </row>
    <row r="606" spans="1:4" ht="18" hidden="1" x14ac:dyDescent="0.3">
      <c r="A606" s="13" t="s">
        <v>402</v>
      </c>
      <c r="B606" s="10"/>
      <c r="C606" s="10"/>
      <c r="D606" s="10">
        <f t="shared" si="9"/>
        <v>0</v>
      </c>
    </row>
    <row r="607" spans="1:4" ht="18" hidden="1" x14ac:dyDescent="0.3">
      <c r="A607" s="13" t="s">
        <v>403</v>
      </c>
      <c r="B607" s="10"/>
      <c r="C607" s="10"/>
      <c r="D607" s="10">
        <f t="shared" si="9"/>
        <v>0</v>
      </c>
    </row>
    <row r="608" spans="1:4" ht="18" hidden="1" x14ac:dyDescent="0.3">
      <c r="A608" s="13" t="s">
        <v>404</v>
      </c>
      <c r="B608" s="10"/>
      <c r="C608" s="10"/>
      <c r="D608" s="10">
        <f t="shared" si="9"/>
        <v>0</v>
      </c>
    </row>
    <row r="609" spans="1:4" ht="18" hidden="1" x14ac:dyDescent="0.3">
      <c r="A609" s="13" t="s">
        <v>405</v>
      </c>
      <c r="B609" s="10"/>
      <c r="C609" s="10"/>
      <c r="D609" s="10">
        <f t="shared" si="9"/>
        <v>0</v>
      </c>
    </row>
    <row r="610" spans="1:4" ht="18" hidden="1" x14ac:dyDescent="0.3">
      <c r="A610" s="13" t="s">
        <v>406</v>
      </c>
      <c r="B610" s="10"/>
      <c r="C610" s="10"/>
      <c r="D610" s="10">
        <f t="shared" si="9"/>
        <v>0</v>
      </c>
    </row>
    <row r="611" spans="1:4" ht="18" hidden="1" x14ac:dyDescent="0.3">
      <c r="A611" s="13" t="s">
        <v>407</v>
      </c>
      <c r="B611" s="20"/>
      <c r="C611" s="20"/>
      <c r="D611" s="10">
        <f t="shared" si="9"/>
        <v>0</v>
      </c>
    </row>
    <row r="612" spans="1:4" ht="18" hidden="1" x14ac:dyDescent="0.3">
      <c r="A612" s="12" t="s">
        <v>408</v>
      </c>
      <c r="B612" s="10"/>
      <c r="C612" s="10"/>
      <c r="D612" s="10">
        <f t="shared" si="9"/>
        <v>0</v>
      </c>
    </row>
    <row r="613" spans="1:4" ht="18" hidden="1" x14ac:dyDescent="0.3">
      <c r="A613" s="13" t="s">
        <v>409</v>
      </c>
      <c r="B613" s="10"/>
      <c r="C613" s="10"/>
      <c r="D613" s="10">
        <f t="shared" si="9"/>
        <v>0</v>
      </c>
    </row>
    <row r="614" spans="1:4" ht="18" hidden="1" x14ac:dyDescent="0.3">
      <c r="A614" s="16" t="s">
        <v>509</v>
      </c>
      <c r="B614" s="10"/>
      <c r="C614" s="10"/>
      <c r="D614" s="10">
        <f t="shared" si="9"/>
        <v>0</v>
      </c>
    </row>
    <row r="615" spans="1:4" ht="18" hidden="1" x14ac:dyDescent="0.3">
      <c r="A615" s="16" t="s">
        <v>410</v>
      </c>
      <c r="B615" s="10"/>
      <c r="C615" s="10"/>
      <c r="D615" s="10">
        <f t="shared" si="9"/>
        <v>0</v>
      </c>
    </row>
    <row r="616" spans="1:4" ht="18" hidden="1" x14ac:dyDescent="0.3">
      <c r="A616" s="13" t="s">
        <v>411</v>
      </c>
      <c r="B616" s="10"/>
      <c r="C616" s="10"/>
      <c r="D616" s="10">
        <f t="shared" si="9"/>
        <v>0</v>
      </c>
    </row>
    <row r="617" spans="1:4" ht="18" hidden="1" x14ac:dyDescent="0.3">
      <c r="A617" s="13" t="s">
        <v>510</v>
      </c>
      <c r="B617" s="10"/>
      <c r="C617" s="10"/>
      <c r="D617" s="10">
        <f t="shared" si="9"/>
        <v>0</v>
      </c>
    </row>
    <row r="618" spans="1:4" ht="18" hidden="1" x14ac:dyDescent="0.3">
      <c r="A618" s="13" t="s">
        <v>412</v>
      </c>
      <c r="B618" s="10"/>
      <c r="C618" s="10"/>
      <c r="D618" s="10">
        <f t="shared" si="9"/>
        <v>0</v>
      </c>
    </row>
    <row r="619" spans="1:4" ht="18" hidden="1" x14ac:dyDescent="0.3">
      <c r="A619" s="13" t="s">
        <v>511</v>
      </c>
      <c r="B619" s="10"/>
      <c r="C619" s="10"/>
      <c r="D619" s="10">
        <f t="shared" si="9"/>
        <v>0</v>
      </c>
    </row>
    <row r="620" spans="1:4" ht="18" hidden="1" x14ac:dyDescent="0.3">
      <c r="A620" s="13" t="s">
        <v>414</v>
      </c>
      <c r="B620" s="10"/>
      <c r="C620" s="10"/>
      <c r="D620" s="10">
        <f t="shared" si="9"/>
        <v>0</v>
      </c>
    </row>
    <row r="621" spans="1:4" ht="18" hidden="1" x14ac:dyDescent="0.3">
      <c r="A621" s="13" t="s">
        <v>415</v>
      </c>
      <c r="B621" s="10"/>
      <c r="C621" s="10"/>
      <c r="D621" s="10">
        <f t="shared" si="9"/>
        <v>0</v>
      </c>
    </row>
    <row r="622" spans="1:4" ht="18" hidden="1" x14ac:dyDescent="0.3">
      <c r="A622" s="13" t="s">
        <v>416</v>
      </c>
      <c r="B622" s="10"/>
      <c r="C622" s="10"/>
      <c r="D622" s="10">
        <f t="shared" si="9"/>
        <v>0</v>
      </c>
    </row>
    <row r="623" spans="1:4" ht="18" hidden="1" x14ac:dyDescent="0.3">
      <c r="A623" s="37" t="s">
        <v>418</v>
      </c>
      <c r="B623" s="10"/>
      <c r="C623" s="10"/>
      <c r="D623" s="10">
        <f t="shared" si="9"/>
        <v>0</v>
      </c>
    </row>
    <row r="624" spans="1:4" ht="18" hidden="1" x14ac:dyDescent="0.3">
      <c r="A624" s="13" t="s">
        <v>419</v>
      </c>
      <c r="B624" s="10"/>
      <c r="C624" s="10"/>
      <c r="D624" s="10">
        <f t="shared" si="9"/>
        <v>0</v>
      </c>
    </row>
    <row r="625" spans="1:4" ht="18" hidden="1" x14ac:dyDescent="0.3">
      <c r="A625" s="37" t="s">
        <v>420</v>
      </c>
      <c r="B625" s="10"/>
      <c r="C625" s="10"/>
      <c r="D625" s="10">
        <f t="shared" si="9"/>
        <v>0</v>
      </c>
    </row>
    <row r="626" spans="1:4" ht="18" hidden="1" x14ac:dyDescent="0.3">
      <c r="A626" s="16" t="s">
        <v>512</v>
      </c>
      <c r="B626" s="10"/>
      <c r="C626" s="10"/>
      <c r="D626" s="10">
        <f t="shared" si="9"/>
        <v>0</v>
      </c>
    </row>
    <row r="627" spans="1:4" ht="18" hidden="1" x14ac:dyDescent="0.3">
      <c r="A627" s="37" t="s">
        <v>421</v>
      </c>
      <c r="B627" s="10"/>
      <c r="C627" s="10"/>
      <c r="D627" s="10">
        <f t="shared" si="9"/>
        <v>0</v>
      </c>
    </row>
    <row r="628" spans="1:4" ht="18" hidden="1" x14ac:dyDescent="0.3">
      <c r="A628" s="17" t="s">
        <v>422</v>
      </c>
      <c r="B628" s="20"/>
      <c r="C628" s="20"/>
      <c r="D628" s="10">
        <f t="shared" si="9"/>
        <v>0</v>
      </c>
    </row>
    <row r="629" spans="1:4" ht="18" hidden="1" x14ac:dyDescent="0.3">
      <c r="A629" s="15" t="s">
        <v>426</v>
      </c>
      <c r="B629" s="10"/>
      <c r="C629" s="10"/>
      <c r="D629" s="10">
        <f t="shared" si="9"/>
        <v>0</v>
      </c>
    </row>
    <row r="630" spans="1:4" ht="18" hidden="1" x14ac:dyDescent="0.3">
      <c r="A630" s="15" t="s">
        <v>427</v>
      </c>
      <c r="B630" s="10"/>
      <c r="C630" s="10"/>
      <c r="D630" s="10">
        <f t="shared" si="9"/>
        <v>0</v>
      </c>
    </row>
    <row r="631" spans="1:4" ht="18" hidden="1" x14ac:dyDescent="0.3">
      <c r="A631" s="15" t="s">
        <v>428</v>
      </c>
      <c r="B631" s="10"/>
      <c r="C631" s="10"/>
      <c r="D631" s="10">
        <f t="shared" si="9"/>
        <v>0</v>
      </c>
    </row>
    <row r="632" spans="1:4" ht="18" hidden="1" x14ac:dyDescent="0.3">
      <c r="A632" s="13" t="s">
        <v>429</v>
      </c>
      <c r="B632" s="10"/>
      <c r="C632" s="10"/>
      <c r="D632" s="10">
        <f t="shared" si="9"/>
        <v>0</v>
      </c>
    </row>
    <row r="633" spans="1:4" ht="18" hidden="1" x14ac:dyDescent="0.3">
      <c r="A633" s="15" t="s">
        <v>430</v>
      </c>
      <c r="B633" s="10"/>
      <c r="C633" s="10"/>
      <c r="D633" s="10">
        <f t="shared" si="9"/>
        <v>0</v>
      </c>
    </row>
    <row r="634" spans="1:4" ht="18" hidden="1" x14ac:dyDescent="0.3">
      <c r="A634" s="13" t="s">
        <v>431</v>
      </c>
      <c r="B634" s="10"/>
      <c r="C634" s="10"/>
      <c r="D634" s="10">
        <f t="shared" si="9"/>
        <v>0</v>
      </c>
    </row>
    <row r="635" spans="1:4" ht="18" hidden="1" x14ac:dyDescent="0.3">
      <c r="A635" s="13" t="s">
        <v>432</v>
      </c>
      <c r="B635" s="10"/>
      <c r="C635" s="10"/>
      <c r="D635" s="10">
        <f t="shared" si="9"/>
        <v>0</v>
      </c>
    </row>
    <row r="636" spans="1:4" ht="18" hidden="1" x14ac:dyDescent="0.3">
      <c r="A636" s="15" t="s">
        <v>433</v>
      </c>
      <c r="B636" s="10"/>
      <c r="C636" s="10"/>
      <c r="D636" s="10">
        <f t="shared" si="9"/>
        <v>0</v>
      </c>
    </row>
    <row r="637" spans="1:4" ht="18" hidden="1" x14ac:dyDescent="0.3">
      <c r="A637" s="28" t="s">
        <v>434</v>
      </c>
      <c r="B637" s="10"/>
      <c r="C637" s="10"/>
      <c r="D637" s="10">
        <f t="shared" si="9"/>
        <v>0</v>
      </c>
    </row>
    <row r="638" spans="1:4" ht="18" hidden="1" x14ac:dyDescent="0.3">
      <c r="A638" s="13" t="s">
        <v>435</v>
      </c>
      <c r="B638" s="10"/>
      <c r="C638" s="10"/>
      <c r="D638" s="10">
        <f t="shared" si="9"/>
        <v>0</v>
      </c>
    </row>
    <row r="639" spans="1:4" ht="18" hidden="1" x14ac:dyDescent="0.3">
      <c r="A639" s="12" t="s">
        <v>436</v>
      </c>
      <c r="B639" s="10"/>
      <c r="C639" s="10"/>
      <c r="D639" s="10">
        <f t="shared" si="9"/>
        <v>0</v>
      </c>
    </row>
    <row r="640" spans="1:4" ht="18" hidden="1" x14ac:dyDescent="0.3">
      <c r="A640" s="17" t="s">
        <v>441</v>
      </c>
      <c r="B640" s="10"/>
      <c r="C640" s="10"/>
      <c r="D640" s="10">
        <f t="shared" si="9"/>
        <v>0</v>
      </c>
    </row>
    <row r="641" spans="1:4" ht="18" hidden="1" x14ac:dyDescent="0.3">
      <c r="A641" s="15" t="s">
        <v>513</v>
      </c>
      <c r="B641" s="10"/>
      <c r="C641" s="10"/>
      <c r="D641" s="10">
        <f t="shared" si="9"/>
        <v>0</v>
      </c>
    </row>
    <row r="642" spans="1:4" ht="18" hidden="1" x14ac:dyDescent="0.3">
      <c r="A642" s="12" t="s">
        <v>442</v>
      </c>
      <c r="B642" s="10"/>
      <c r="C642" s="10"/>
      <c r="D642" s="10">
        <f t="shared" si="9"/>
        <v>0</v>
      </c>
    </row>
    <row r="643" spans="1:4" ht="18" hidden="1" x14ac:dyDescent="0.3">
      <c r="A643" s="13" t="s">
        <v>443</v>
      </c>
      <c r="B643" s="10"/>
      <c r="C643" s="10"/>
      <c r="D643" s="10">
        <f t="shared" si="9"/>
        <v>0</v>
      </c>
    </row>
    <row r="644" spans="1:4" ht="18" hidden="1" x14ac:dyDescent="0.3">
      <c r="A644" s="15" t="s">
        <v>444</v>
      </c>
      <c r="B644" s="10"/>
      <c r="C644" s="10"/>
      <c r="D644" s="10">
        <f t="shared" ref="D644:D682" si="10">B644*C644</f>
        <v>0</v>
      </c>
    </row>
    <row r="645" spans="1:4" ht="18" hidden="1" x14ac:dyDescent="0.3">
      <c r="A645" s="17" t="s">
        <v>514</v>
      </c>
      <c r="B645" s="10"/>
      <c r="C645" s="10"/>
      <c r="D645" s="10">
        <f t="shared" si="10"/>
        <v>0</v>
      </c>
    </row>
    <row r="646" spans="1:4" ht="18" hidden="1" x14ac:dyDescent="0.3">
      <c r="A646" s="13" t="s">
        <v>515</v>
      </c>
      <c r="B646" s="10"/>
      <c r="C646" s="10"/>
      <c r="D646" s="10">
        <f t="shared" si="10"/>
        <v>0</v>
      </c>
    </row>
    <row r="647" spans="1:4" ht="18" hidden="1" x14ac:dyDescent="0.3">
      <c r="A647" s="16" t="s">
        <v>447</v>
      </c>
      <c r="B647" s="10"/>
      <c r="C647" s="10"/>
      <c r="D647" s="10">
        <f t="shared" si="10"/>
        <v>0</v>
      </c>
    </row>
    <row r="648" spans="1:4" ht="18" hidden="1" x14ac:dyDescent="0.3">
      <c r="A648" s="13" t="s">
        <v>516</v>
      </c>
      <c r="B648" s="10"/>
      <c r="C648" s="10"/>
      <c r="D648" s="10">
        <f t="shared" si="10"/>
        <v>0</v>
      </c>
    </row>
    <row r="649" spans="1:4" ht="18" hidden="1" x14ac:dyDescent="0.3">
      <c r="A649" s="17" t="s">
        <v>448</v>
      </c>
      <c r="B649" s="10"/>
      <c r="C649" s="10"/>
      <c r="D649" s="10">
        <f t="shared" si="10"/>
        <v>0</v>
      </c>
    </row>
    <row r="650" spans="1:4" ht="18" hidden="1" x14ac:dyDescent="0.3">
      <c r="A650" s="17" t="s">
        <v>449</v>
      </c>
      <c r="B650" s="10"/>
      <c r="C650" s="10"/>
      <c r="D650" s="10">
        <f t="shared" si="10"/>
        <v>0</v>
      </c>
    </row>
    <row r="651" spans="1:4" ht="18" hidden="1" x14ac:dyDescent="0.3">
      <c r="A651" s="13" t="s">
        <v>450</v>
      </c>
      <c r="B651" s="10"/>
      <c r="C651" s="10"/>
      <c r="D651" s="10">
        <f t="shared" si="10"/>
        <v>0</v>
      </c>
    </row>
    <row r="652" spans="1:4" ht="18" hidden="1" x14ac:dyDescent="0.3">
      <c r="A652" s="13" t="s">
        <v>451</v>
      </c>
      <c r="B652" s="10"/>
      <c r="C652" s="10"/>
      <c r="D652" s="10">
        <f t="shared" si="10"/>
        <v>0</v>
      </c>
    </row>
    <row r="653" spans="1:4" ht="18" hidden="1" x14ac:dyDescent="0.3">
      <c r="A653" s="13" t="s">
        <v>452</v>
      </c>
      <c r="B653" s="10"/>
      <c r="C653" s="10"/>
      <c r="D653" s="10">
        <f t="shared" si="10"/>
        <v>0</v>
      </c>
    </row>
    <row r="654" spans="1:4" ht="18" hidden="1" x14ac:dyDescent="0.3">
      <c r="A654" s="12" t="s">
        <v>453</v>
      </c>
      <c r="B654" s="10"/>
      <c r="C654" s="10"/>
      <c r="D654" s="10">
        <f t="shared" si="10"/>
        <v>0</v>
      </c>
    </row>
    <row r="655" spans="1:4" ht="18" hidden="1" x14ac:dyDescent="0.3">
      <c r="A655" s="12" t="s">
        <v>454</v>
      </c>
      <c r="B655" s="10"/>
      <c r="C655" s="10"/>
      <c r="D655" s="10">
        <f t="shared" si="10"/>
        <v>0</v>
      </c>
    </row>
    <row r="656" spans="1:4" ht="18" hidden="1" x14ac:dyDescent="0.3">
      <c r="A656" s="25" t="s">
        <v>455</v>
      </c>
      <c r="B656" s="10"/>
      <c r="C656" s="10"/>
      <c r="D656" s="10">
        <f t="shared" si="10"/>
        <v>0</v>
      </c>
    </row>
    <row r="657" spans="1:4" ht="18" hidden="1" x14ac:dyDescent="0.3">
      <c r="A657" s="12" t="s">
        <v>456</v>
      </c>
      <c r="B657" s="10"/>
      <c r="C657" s="10"/>
      <c r="D657" s="10">
        <f t="shared" si="10"/>
        <v>0</v>
      </c>
    </row>
    <row r="658" spans="1:4" ht="18" hidden="1" x14ac:dyDescent="0.3">
      <c r="A658" s="13" t="s">
        <v>457</v>
      </c>
      <c r="B658" s="10"/>
      <c r="C658" s="10"/>
      <c r="D658" s="10">
        <f t="shared" si="10"/>
        <v>0</v>
      </c>
    </row>
    <row r="659" spans="1:4" ht="18" hidden="1" x14ac:dyDescent="0.3">
      <c r="A659" s="13" t="s">
        <v>458</v>
      </c>
      <c r="B659" s="10"/>
      <c r="C659" s="10"/>
      <c r="D659" s="10">
        <f t="shared" si="10"/>
        <v>0</v>
      </c>
    </row>
    <row r="660" spans="1:4" ht="18" hidden="1" x14ac:dyDescent="0.3">
      <c r="A660" s="13" t="s">
        <v>459</v>
      </c>
      <c r="B660" s="10"/>
      <c r="C660" s="10"/>
      <c r="D660" s="10">
        <f t="shared" si="10"/>
        <v>0</v>
      </c>
    </row>
    <row r="661" spans="1:4" ht="18" hidden="1" x14ac:dyDescent="0.3">
      <c r="A661" s="13" t="s">
        <v>460</v>
      </c>
      <c r="B661" s="10"/>
      <c r="C661" s="10"/>
      <c r="D661" s="10">
        <f t="shared" si="10"/>
        <v>0</v>
      </c>
    </row>
    <row r="662" spans="1:4" ht="18" hidden="1" x14ac:dyDescent="0.3">
      <c r="A662" s="25" t="s">
        <v>461</v>
      </c>
      <c r="B662" s="10"/>
      <c r="C662" s="10"/>
      <c r="D662" s="10">
        <f t="shared" si="10"/>
        <v>0</v>
      </c>
    </row>
    <row r="663" spans="1:4" ht="18" hidden="1" x14ac:dyDescent="0.3">
      <c r="A663" s="13" t="s">
        <v>462</v>
      </c>
      <c r="B663" s="10"/>
      <c r="C663" s="10"/>
      <c r="D663" s="10">
        <f t="shared" si="10"/>
        <v>0</v>
      </c>
    </row>
    <row r="664" spans="1:4" ht="18" hidden="1" x14ac:dyDescent="0.3">
      <c r="A664" s="13" t="s">
        <v>463</v>
      </c>
      <c r="B664" s="10"/>
      <c r="C664" s="10"/>
      <c r="D664" s="10">
        <f t="shared" si="10"/>
        <v>0</v>
      </c>
    </row>
    <row r="665" spans="1:4" ht="18" hidden="1" x14ac:dyDescent="0.3">
      <c r="A665" s="17" t="s">
        <v>464</v>
      </c>
      <c r="B665" s="10"/>
      <c r="C665" s="10"/>
      <c r="D665" s="10">
        <f t="shared" si="10"/>
        <v>0</v>
      </c>
    </row>
    <row r="666" spans="1:4" ht="18" hidden="1" x14ac:dyDescent="0.3">
      <c r="A666" s="13" t="s">
        <v>465</v>
      </c>
      <c r="B666" s="42"/>
      <c r="C666" s="42"/>
      <c r="D666" s="10">
        <f t="shared" si="10"/>
        <v>0</v>
      </c>
    </row>
    <row r="667" spans="1:4" ht="18" hidden="1" x14ac:dyDescent="0.3">
      <c r="A667" s="13" t="s">
        <v>466</v>
      </c>
      <c r="B667" s="10"/>
      <c r="C667" s="10"/>
      <c r="D667" s="10">
        <f t="shared" si="10"/>
        <v>0</v>
      </c>
    </row>
    <row r="668" spans="1:4" ht="18" hidden="1" x14ac:dyDescent="0.3">
      <c r="A668" s="13" t="s">
        <v>467</v>
      </c>
      <c r="B668" s="10"/>
      <c r="C668" s="10"/>
      <c r="D668" s="10">
        <f t="shared" si="10"/>
        <v>0</v>
      </c>
    </row>
    <row r="669" spans="1:4" ht="18" hidden="1" x14ac:dyDescent="0.3">
      <c r="A669" s="25" t="s">
        <v>468</v>
      </c>
      <c r="B669" s="10"/>
      <c r="C669" s="10"/>
      <c r="D669" s="10">
        <f t="shared" si="10"/>
        <v>0</v>
      </c>
    </row>
    <row r="670" spans="1:4" ht="18" hidden="1" x14ac:dyDescent="0.3">
      <c r="A670" s="25" t="s">
        <v>469</v>
      </c>
      <c r="B670" s="10"/>
      <c r="C670" s="10"/>
      <c r="D670" s="10">
        <f t="shared" si="10"/>
        <v>0</v>
      </c>
    </row>
    <row r="671" spans="1:4" ht="18" hidden="1" x14ac:dyDescent="0.3">
      <c r="A671" s="13" t="s">
        <v>470</v>
      </c>
      <c r="B671" s="10"/>
      <c r="C671" s="10"/>
      <c r="D671" s="10">
        <f t="shared" si="10"/>
        <v>0</v>
      </c>
    </row>
    <row r="672" spans="1:4" ht="18" hidden="1" x14ac:dyDescent="0.3">
      <c r="A672" s="13" t="s">
        <v>471</v>
      </c>
      <c r="B672" s="10"/>
      <c r="C672" s="10"/>
      <c r="D672" s="10">
        <f t="shared" si="10"/>
        <v>0</v>
      </c>
    </row>
    <row r="673" spans="1:4" ht="18" hidden="1" x14ac:dyDescent="0.3">
      <c r="A673" s="25" t="s">
        <v>472</v>
      </c>
      <c r="B673" s="10"/>
      <c r="C673" s="10"/>
      <c r="D673" s="10">
        <f t="shared" si="10"/>
        <v>0</v>
      </c>
    </row>
    <row r="674" spans="1:4" ht="18" hidden="1" x14ac:dyDescent="0.3">
      <c r="A674" s="13" t="s">
        <v>473</v>
      </c>
      <c r="B674" s="10"/>
      <c r="C674" s="10"/>
      <c r="D674" s="10">
        <f t="shared" si="10"/>
        <v>0</v>
      </c>
    </row>
    <row r="675" spans="1:4" ht="18" hidden="1" x14ac:dyDescent="0.3">
      <c r="A675" s="13" t="s">
        <v>474</v>
      </c>
      <c r="B675" s="10"/>
      <c r="C675" s="10"/>
      <c r="D675" s="10">
        <f t="shared" si="10"/>
        <v>0</v>
      </c>
    </row>
    <row r="676" spans="1:4" ht="18" hidden="1" x14ac:dyDescent="0.3">
      <c r="A676" s="13" t="s">
        <v>475</v>
      </c>
      <c r="B676" s="10"/>
      <c r="C676" s="10"/>
      <c r="D676" s="10">
        <f t="shared" si="10"/>
        <v>0</v>
      </c>
    </row>
    <row r="677" spans="1:4" ht="18" hidden="1" x14ac:dyDescent="0.3">
      <c r="A677" s="13" t="s">
        <v>476</v>
      </c>
      <c r="B677" s="10"/>
      <c r="C677" s="10"/>
      <c r="D677" s="10">
        <f t="shared" si="10"/>
        <v>0</v>
      </c>
    </row>
    <row r="678" spans="1:4" ht="18" hidden="1" x14ac:dyDescent="0.3">
      <c r="A678" s="13" t="s">
        <v>477</v>
      </c>
      <c r="B678" s="10"/>
      <c r="C678" s="10"/>
      <c r="D678" s="10">
        <f t="shared" si="10"/>
        <v>0</v>
      </c>
    </row>
    <row r="679" spans="1:4" ht="18" hidden="1" x14ac:dyDescent="0.3">
      <c r="A679" s="13" t="s">
        <v>478</v>
      </c>
      <c r="B679" s="10"/>
      <c r="C679" s="10"/>
      <c r="D679" s="10">
        <f t="shared" si="10"/>
        <v>0</v>
      </c>
    </row>
    <row r="680" spans="1:4" ht="18" hidden="1" x14ac:dyDescent="0.3">
      <c r="A680" s="13" t="s">
        <v>479</v>
      </c>
      <c r="B680" s="10"/>
      <c r="C680" s="10"/>
      <c r="D680" s="10">
        <f t="shared" si="10"/>
        <v>0</v>
      </c>
    </row>
    <row r="681" spans="1:4" ht="18" hidden="1" x14ac:dyDescent="0.3">
      <c r="A681" s="13" t="s">
        <v>480</v>
      </c>
      <c r="B681" s="10"/>
      <c r="C681" s="10"/>
      <c r="D681" s="10">
        <f t="shared" si="10"/>
        <v>0</v>
      </c>
    </row>
    <row r="682" spans="1:4" ht="18" hidden="1" x14ac:dyDescent="0.3">
      <c r="A682" s="16" t="s">
        <v>482</v>
      </c>
      <c r="B682" s="10"/>
      <c r="C682" s="10"/>
      <c r="D682" s="10">
        <f t="shared" si="10"/>
        <v>0</v>
      </c>
    </row>
    <row r="683" spans="1:4" ht="17.399999999999999" x14ac:dyDescent="0.3">
      <c r="A683" s="43"/>
      <c r="B683" s="46">
        <f>SUM(B356:B682)</f>
        <v>9593</v>
      </c>
      <c r="C683" s="46"/>
      <c r="D683" s="46">
        <f t="shared" ref="D683" si="11">SUM(D356:D682)</f>
        <v>65228000</v>
      </c>
    </row>
    <row r="685" spans="1:4" x14ac:dyDescent="0.3">
      <c r="D685" s="83">
        <f>D683+D351</f>
        <v>103673500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01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181"/>
  <sheetViews>
    <sheetView topLeftCell="A46" workbookViewId="0">
      <selection activeCell="D181" sqref="D181"/>
    </sheetView>
  </sheetViews>
  <sheetFormatPr defaultRowHeight="14.4" x14ac:dyDescent="0.3"/>
  <cols>
    <col min="1" max="1" width="32.44140625" customWidth="1"/>
    <col min="2" max="2" width="11.44140625" customWidth="1"/>
    <col min="3" max="3" width="16.5546875" customWidth="1"/>
    <col min="4" max="4" width="17.88671875" customWidth="1"/>
  </cols>
  <sheetData>
    <row r="1" spans="1:4" x14ac:dyDescent="0.3">
      <c r="D1">
        <f t="shared" ref="D1:D2" si="0">B1*C1</f>
        <v>0</v>
      </c>
    </row>
    <row r="2" spans="1:4" x14ac:dyDescent="0.3">
      <c r="A2" t="s">
        <v>530</v>
      </c>
      <c r="D2">
        <f t="shared" si="0"/>
        <v>0</v>
      </c>
    </row>
    <row r="3" spans="1:4" ht="31.2" x14ac:dyDescent="0.3">
      <c r="A3" s="48" t="s">
        <v>0</v>
      </c>
      <c r="B3" s="49" t="s">
        <v>523</v>
      </c>
      <c r="C3" s="50" t="s">
        <v>518</v>
      </c>
      <c r="D3" s="59" t="s">
        <v>519</v>
      </c>
    </row>
    <row r="4" spans="1:4" ht="15.6" hidden="1" x14ac:dyDescent="0.3">
      <c r="A4" s="51" t="s">
        <v>21</v>
      </c>
      <c r="B4" s="52"/>
      <c r="C4" s="53"/>
      <c r="D4">
        <f>B4*C4</f>
        <v>0</v>
      </c>
    </row>
    <row r="5" spans="1:4" ht="15.6" hidden="1" x14ac:dyDescent="0.3">
      <c r="A5" s="51" t="s">
        <v>22</v>
      </c>
      <c r="B5" s="52"/>
      <c r="C5" s="53"/>
      <c r="D5">
        <f t="shared" ref="D5:D69" si="1">B5*C5</f>
        <v>0</v>
      </c>
    </row>
    <row r="6" spans="1:4" ht="15.6" x14ac:dyDescent="0.3">
      <c r="A6" s="51" t="s">
        <v>23</v>
      </c>
      <c r="B6" s="52">
        <v>2100</v>
      </c>
      <c r="C6" s="53">
        <v>5500</v>
      </c>
      <c r="D6">
        <f t="shared" si="1"/>
        <v>11550000</v>
      </c>
    </row>
    <row r="7" spans="1:4" ht="15.6" x14ac:dyDescent="0.3">
      <c r="A7" s="51" t="s">
        <v>48</v>
      </c>
      <c r="B7" s="52">
        <v>35</v>
      </c>
      <c r="C7" s="53">
        <v>10000</v>
      </c>
      <c r="D7">
        <f t="shared" si="1"/>
        <v>350000</v>
      </c>
    </row>
    <row r="8" spans="1:4" ht="15.6" x14ac:dyDescent="0.3">
      <c r="A8" s="51" t="s">
        <v>50</v>
      </c>
      <c r="B8" s="52">
        <v>1170</v>
      </c>
      <c r="C8" s="53">
        <v>6000</v>
      </c>
      <c r="D8">
        <f t="shared" si="1"/>
        <v>7020000</v>
      </c>
    </row>
    <row r="9" spans="1:4" ht="15.6" x14ac:dyDescent="0.3">
      <c r="A9" s="51" t="s">
        <v>121</v>
      </c>
      <c r="B9" s="52">
        <v>5</v>
      </c>
      <c r="C9" s="53">
        <v>10000</v>
      </c>
      <c r="D9">
        <f t="shared" si="1"/>
        <v>50000</v>
      </c>
    </row>
    <row r="10" spans="1:4" ht="15.6" hidden="1" x14ac:dyDescent="0.3">
      <c r="A10" s="51" t="s">
        <v>51</v>
      </c>
      <c r="B10" s="52"/>
      <c r="C10" s="53"/>
      <c r="D10">
        <f t="shared" si="1"/>
        <v>0</v>
      </c>
    </row>
    <row r="11" spans="1:4" ht="15.6" x14ac:dyDescent="0.3">
      <c r="A11" s="54" t="s">
        <v>52</v>
      </c>
      <c r="B11" s="55">
        <v>20</v>
      </c>
      <c r="C11" s="56">
        <v>10000</v>
      </c>
      <c r="D11">
        <f t="shared" si="1"/>
        <v>200000</v>
      </c>
    </row>
    <row r="12" spans="1:4" ht="15.6" hidden="1" x14ac:dyDescent="0.3">
      <c r="A12" s="51" t="s">
        <v>110</v>
      </c>
      <c r="B12" s="52"/>
      <c r="C12" s="53"/>
      <c r="D12">
        <f t="shared" si="1"/>
        <v>0</v>
      </c>
    </row>
    <row r="13" spans="1:4" ht="15.6" hidden="1" x14ac:dyDescent="0.3">
      <c r="A13" s="51" t="s">
        <v>17</v>
      </c>
      <c r="B13" s="52"/>
      <c r="C13" s="53"/>
      <c r="D13">
        <f t="shared" si="1"/>
        <v>0</v>
      </c>
    </row>
    <row r="14" spans="1:4" ht="15.6" x14ac:dyDescent="0.3">
      <c r="A14" s="51" t="s">
        <v>53</v>
      </c>
      <c r="B14" s="52">
        <v>45</v>
      </c>
      <c r="C14" s="53">
        <v>26000</v>
      </c>
      <c r="D14">
        <f t="shared" si="1"/>
        <v>1170000</v>
      </c>
    </row>
    <row r="15" spans="1:4" ht="15.6" hidden="1" x14ac:dyDescent="0.3">
      <c r="A15" s="51" t="s">
        <v>56</v>
      </c>
      <c r="B15" s="52"/>
      <c r="C15" s="53"/>
      <c r="D15">
        <f t="shared" si="1"/>
        <v>0</v>
      </c>
    </row>
    <row r="16" spans="1:4" ht="15.6" hidden="1" x14ac:dyDescent="0.3">
      <c r="A16" s="54" t="s">
        <v>103</v>
      </c>
      <c r="B16" s="55"/>
      <c r="C16" s="56"/>
      <c r="D16">
        <f t="shared" si="1"/>
        <v>0</v>
      </c>
    </row>
    <row r="17" spans="1:4" ht="15.6" x14ac:dyDescent="0.3">
      <c r="A17" s="51" t="s">
        <v>60</v>
      </c>
      <c r="B17" s="52">
        <v>300</v>
      </c>
      <c r="C17" s="53">
        <v>17000</v>
      </c>
      <c r="D17">
        <f t="shared" si="1"/>
        <v>5100000</v>
      </c>
    </row>
    <row r="18" spans="1:4" ht="15.6" hidden="1" x14ac:dyDescent="0.3">
      <c r="A18" s="51" t="s">
        <v>1</v>
      </c>
      <c r="B18" s="52"/>
      <c r="C18" s="53"/>
      <c r="D18">
        <f t="shared" si="1"/>
        <v>0</v>
      </c>
    </row>
    <row r="19" spans="1:4" ht="15.6" hidden="1" x14ac:dyDescent="0.3">
      <c r="A19" s="54" t="s">
        <v>2</v>
      </c>
      <c r="B19" s="55"/>
      <c r="C19" s="56"/>
      <c r="D19">
        <f t="shared" si="1"/>
        <v>0</v>
      </c>
    </row>
    <row r="20" spans="1:4" ht="15.6" hidden="1" x14ac:dyDescent="0.3">
      <c r="A20" s="51" t="s">
        <v>62</v>
      </c>
      <c r="B20" s="52"/>
      <c r="C20" s="53"/>
      <c r="D20">
        <f t="shared" si="1"/>
        <v>0</v>
      </c>
    </row>
    <row r="21" spans="1:4" ht="15.6" hidden="1" x14ac:dyDescent="0.3">
      <c r="A21" s="51" t="s">
        <v>27</v>
      </c>
      <c r="B21" s="52"/>
      <c r="C21" s="53"/>
      <c r="D21">
        <f t="shared" si="1"/>
        <v>0</v>
      </c>
    </row>
    <row r="22" spans="1:4" ht="15.6" hidden="1" x14ac:dyDescent="0.3">
      <c r="A22" s="51" t="s">
        <v>109</v>
      </c>
      <c r="B22" s="52"/>
      <c r="C22" s="53"/>
      <c r="D22">
        <f t="shared" si="1"/>
        <v>0</v>
      </c>
    </row>
    <row r="23" spans="1:4" ht="15.6" x14ac:dyDescent="0.3">
      <c r="A23" s="51" t="s">
        <v>125</v>
      </c>
      <c r="B23" s="52">
        <v>650</v>
      </c>
      <c r="C23" s="53">
        <v>6000</v>
      </c>
      <c r="D23">
        <f t="shared" si="1"/>
        <v>3900000</v>
      </c>
    </row>
    <row r="24" spans="1:4" ht="15.6" x14ac:dyDescent="0.3">
      <c r="A24" s="51" t="s">
        <v>28</v>
      </c>
      <c r="B24" s="52">
        <v>10</v>
      </c>
      <c r="C24" s="53">
        <v>17000</v>
      </c>
      <c r="D24">
        <f t="shared" si="1"/>
        <v>170000</v>
      </c>
    </row>
    <row r="25" spans="1:4" ht="15.6" hidden="1" x14ac:dyDescent="0.3">
      <c r="A25" s="51" t="s">
        <v>120</v>
      </c>
      <c r="B25" s="52"/>
      <c r="C25" s="53"/>
      <c r="D25">
        <f t="shared" si="1"/>
        <v>0</v>
      </c>
    </row>
    <row r="26" spans="1:4" ht="15.6" x14ac:dyDescent="0.3">
      <c r="A26" s="51" t="s">
        <v>87</v>
      </c>
      <c r="B26" s="52">
        <v>65</v>
      </c>
      <c r="C26" s="53">
        <v>14000</v>
      </c>
      <c r="D26">
        <f t="shared" si="1"/>
        <v>910000</v>
      </c>
    </row>
    <row r="27" spans="1:4" ht="15.6" x14ac:dyDescent="0.3">
      <c r="A27" s="51" t="s">
        <v>117</v>
      </c>
      <c r="B27" s="52">
        <v>4</v>
      </c>
      <c r="C27" s="53">
        <v>16000</v>
      </c>
      <c r="D27">
        <f t="shared" si="1"/>
        <v>64000</v>
      </c>
    </row>
    <row r="28" spans="1:4" ht="15.6" x14ac:dyDescent="0.3">
      <c r="A28" s="51" t="s">
        <v>5</v>
      </c>
      <c r="B28" s="52">
        <v>24</v>
      </c>
      <c r="C28" s="53">
        <v>6000</v>
      </c>
      <c r="D28">
        <f t="shared" si="1"/>
        <v>144000</v>
      </c>
    </row>
    <row r="29" spans="1:4" ht="15.6" x14ac:dyDescent="0.3">
      <c r="A29" s="51" t="s">
        <v>6</v>
      </c>
      <c r="B29" s="52">
        <v>70</v>
      </c>
      <c r="C29" s="53">
        <v>16000</v>
      </c>
      <c r="D29">
        <f t="shared" si="1"/>
        <v>1120000</v>
      </c>
    </row>
    <row r="30" spans="1:4" ht="15.6" hidden="1" x14ac:dyDescent="0.3">
      <c r="A30" s="51" t="s">
        <v>8</v>
      </c>
      <c r="B30" s="52"/>
      <c r="C30" s="53"/>
      <c r="D30">
        <f t="shared" si="1"/>
        <v>0</v>
      </c>
    </row>
    <row r="31" spans="1:4" ht="15.6" hidden="1" x14ac:dyDescent="0.3">
      <c r="A31" s="51" t="s">
        <v>119</v>
      </c>
      <c r="B31" s="52"/>
      <c r="C31" s="53"/>
      <c r="D31">
        <f t="shared" si="1"/>
        <v>0</v>
      </c>
    </row>
    <row r="32" spans="1:4" ht="15.6" x14ac:dyDescent="0.3">
      <c r="A32" s="51" t="s">
        <v>12</v>
      </c>
      <c r="B32" s="52">
        <v>200</v>
      </c>
      <c r="C32" s="53">
        <v>23000</v>
      </c>
      <c r="D32">
        <f t="shared" si="1"/>
        <v>4600000</v>
      </c>
    </row>
    <row r="33" spans="1:4" ht="15.6" hidden="1" x14ac:dyDescent="0.3">
      <c r="A33" s="51" t="s">
        <v>14</v>
      </c>
      <c r="B33" s="52"/>
      <c r="C33" s="53"/>
      <c r="D33">
        <f t="shared" si="1"/>
        <v>0</v>
      </c>
    </row>
    <row r="34" spans="1:4" ht="15.6" hidden="1" x14ac:dyDescent="0.3">
      <c r="A34" s="51" t="s">
        <v>111</v>
      </c>
      <c r="B34" s="52"/>
      <c r="C34" s="53"/>
      <c r="D34">
        <f t="shared" si="1"/>
        <v>0</v>
      </c>
    </row>
    <row r="35" spans="1:4" ht="15.6" hidden="1" x14ac:dyDescent="0.3">
      <c r="A35" s="51" t="s">
        <v>15</v>
      </c>
      <c r="B35" s="52"/>
      <c r="C35" s="53"/>
      <c r="D35">
        <f t="shared" si="1"/>
        <v>0</v>
      </c>
    </row>
    <row r="36" spans="1:4" ht="15.6" hidden="1" x14ac:dyDescent="0.3">
      <c r="A36" s="51" t="s">
        <v>16</v>
      </c>
      <c r="B36" s="52"/>
      <c r="C36" s="53"/>
      <c r="D36">
        <f t="shared" si="1"/>
        <v>0</v>
      </c>
    </row>
    <row r="37" spans="1:4" ht="15.6" x14ac:dyDescent="0.3">
      <c r="A37" s="51" t="s">
        <v>68</v>
      </c>
      <c r="B37" s="52">
        <v>7</v>
      </c>
      <c r="C37" s="53">
        <v>13000</v>
      </c>
      <c r="D37">
        <f t="shared" si="1"/>
        <v>91000</v>
      </c>
    </row>
    <row r="38" spans="1:4" ht="15.6" hidden="1" x14ac:dyDescent="0.3">
      <c r="A38" s="54" t="s">
        <v>65</v>
      </c>
      <c r="B38" s="55"/>
      <c r="C38" s="56"/>
      <c r="D38">
        <f t="shared" si="1"/>
        <v>0</v>
      </c>
    </row>
    <row r="39" spans="1:4" ht="15.6" x14ac:dyDescent="0.3">
      <c r="A39" s="51" t="s">
        <v>67</v>
      </c>
      <c r="B39" s="52">
        <v>10</v>
      </c>
      <c r="C39" s="53">
        <v>17000</v>
      </c>
      <c r="D39">
        <f t="shared" si="1"/>
        <v>170000</v>
      </c>
    </row>
    <row r="40" spans="1:4" ht="15.6" x14ac:dyDescent="0.3">
      <c r="A40" s="54" t="s">
        <v>71</v>
      </c>
      <c r="B40" s="55">
        <v>40</v>
      </c>
      <c r="C40" s="56">
        <v>16000</v>
      </c>
      <c r="D40">
        <f t="shared" si="1"/>
        <v>640000</v>
      </c>
    </row>
    <row r="41" spans="1:4" ht="15.6" x14ac:dyDescent="0.3">
      <c r="A41" s="51" t="s">
        <v>72</v>
      </c>
      <c r="B41" s="52">
        <v>180</v>
      </c>
      <c r="C41" s="53">
        <v>8500</v>
      </c>
      <c r="D41">
        <f t="shared" si="1"/>
        <v>1530000</v>
      </c>
    </row>
    <row r="42" spans="1:4" ht="15.6" hidden="1" x14ac:dyDescent="0.3">
      <c r="A42" s="51" t="s">
        <v>29</v>
      </c>
      <c r="B42" s="52"/>
      <c r="C42" s="53"/>
      <c r="D42">
        <f t="shared" si="1"/>
        <v>0</v>
      </c>
    </row>
    <row r="43" spans="1:4" ht="15.6" hidden="1" x14ac:dyDescent="0.3">
      <c r="A43" s="51" t="s">
        <v>123</v>
      </c>
      <c r="B43" s="52"/>
      <c r="C43" s="53"/>
      <c r="D43">
        <f t="shared" si="1"/>
        <v>0</v>
      </c>
    </row>
    <row r="44" spans="1:4" ht="15.6" hidden="1" x14ac:dyDescent="0.3">
      <c r="A44" s="54" t="s">
        <v>30</v>
      </c>
      <c r="B44" s="55"/>
      <c r="C44" s="56"/>
      <c r="D44">
        <f t="shared" si="1"/>
        <v>0</v>
      </c>
    </row>
    <row r="45" spans="1:4" ht="15.6" x14ac:dyDescent="0.3">
      <c r="A45" s="51" t="s">
        <v>122</v>
      </c>
      <c r="B45" s="52">
        <v>3</v>
      </c>
      <c r="C45" s="53">
        <v>48000</v>
      </c>
      <c r="D45">
        <f t="shared" si="1"/>
        <v>144000</v>
      </c>
    </row>
    <row r="46" spans="1:4" ht="15.6" x14ac:dyDescent="0.3">
      <c r="A46" s="51" t="s">
        <v>76</v>
      </c>
      <c r="B46" s="52">
        <v>90</v>
      </c>
      <c r="C46" s="53">
        <v>22000</v>
      </c>
      <c r="D46">
        <f t="shared" si="1"/>
        <v>1980000</v>
      </c>
    </row>
    <row r="47" spans="1:4" ht="15.6" x14ac:dyDescent="0.3">
      <c r="A47" s="51" t="s">
        <v>78</v>
      </c>
      <c r="B47" s="52">
        <v>50</v>
      </c>
      <c r="C47" s="53">
        <v>19000</v>
      </c>
      <c r="D47">
        <f t="shared" si="1"/>
        <v>950000</v>
      </c>
    </row>
    <row r="48" spans="1:4" ht="15.6" x14ac:dyDescent="0.3">
      <c r="A48" s="51" t="s">
        <v>79</v>
      </c>
      <c r="B48" s="52">
        <v>37</v>
      </c>
      <c r="C48" s="53">
        <v>22000</v>
      </c>
      <c r="D48">
        <f t="shared" si="1"/>
        <v>814000</v>
      </c>
    </row>
    <row r="49" spans="1:4" ht="15.6" hidden="1" x14ac:dyDescent="0.3">
      <c r="A49" s="54" t="s">
        <v>107</v>
      </c>
      <c r="B49" s="55"/>
      <c r="C49" s="56"/>
      <c r="D49">
        <f t="shared" si="1"/>
        <v>0</v>
      </c>
    </row>
    <row r="50" spans="1:4" ht="15.6" x14ac:dyDescent="0.3">
      <c r="A50" s="51" t="s">
        <v>82</v>
      </c>
      <c r="B50" s="52">
        <v>60</v>
      </c>
      <c r="C50" s="53">
        <v>5000</v>
      </c>
      <c r="D50">
        <f t="shared" si="1"/>
        <v>300000</v>
      </c>
    </row>
    <row r="51" spans="1:4" ht="15.6" hidden="1" x14ac:dyDescent="0.3">
      <c r="A51" s="51" t="s">
        <v>39</v>
      </c>
      <c r="B51" s="52"/>
      <c r="C51" s="53"/>
      <c r="D51">
        <f t="shared" si="1"/>
        <v>0</v>
      </c>
    </row>
    <row r="52" spans="1:4" ht="15.6" hidden="1" x14ac:dyDescent="0.3">
      <c r="A52" s="51" t="s">
        <v>41</v>
      </c>
      <c r="B52" s="52"/>
      <c r="C52" s="53"/>
      <c r="D52">
        <f t="shared" si="1"/>
        <v>0</v>
      </c>
    </row>
    <row r="53" spans="1:4" ht="15.6" hidden="1" x14ac:dyDescent="0.3">
      <c r="A53" s="51" t="s">
        <v>46</v>
      </c>
      <c r="B53" s="52"/>
      <c r="C53" s="53"/>
      <c r="D53">
        <f t="shared" si="1"/>
        <v>0</v>
      </c>
    </row>
    <row r="54" spans="1:4" ht="15.6" hidden="1" x14ac:dyDescent="0.3">
      <c r="A54" s="54" t="s">
        <v>522</v>
      </c>
      <c r="B54" s="57"/>
      <c r="C54" s="58"/>
      <c r="D54">
        <f t="shared" si="1"/>
        <v>0</v>
      </c>
    </row>
    <row r="55" spans="1:4" hidden="1" x14ac:dyDescent="0.3">
      <c r="D55">
        <f t="shared" si="1"/>
        <v>0</v>
      </c>
    </row>
    <row r="56" spans="1:4" x14ac:dyDescent="0.3">
      <c r="D56" s="59">
        <f>SUM(D6:D50)</f>
        <v>42967000</v>
      </c>
    </row>
    <row r="57" spans="1:4" ht="55.8" x14ac:dyDescent="0.3">
      <c r="A57" s="60" t="s">
        <v>0</v>
      </c>
      <c r="B57" s="61" t="s">
        <v>523</v>
      </c>
      <c r="C57" s="65" t="s">
        <v>518</v>
      </c>
      <c r="D57" t="s">
        <v>519</v>
      </c>
    </row>
    <row r="58" spans="1:4" hidden="1" x14ac:dyDescent="0.3">
      <c r="A58" s="62" t="s">
        <v>21</v>
      </c>
      <c r="B58" s="63"/>
      <c r="C58" s="66"/>
      <c r="D58">
        <f t="shared" si="1"/>
        <v>0</v>
      </c>
    </row>
    <row r="59" spans="1:4" x14ac:dyDescent="0.3">
      <c r="A59" s="62" t="s">
        <v>22</v>
      </c>
      <c r="B59" s="63">
        <v>70</v>
      </c>
      <c r="C59" s="66">
        <v>13000</v>
      </c>
      <c r="D59">
        <f t="shared" si="1"/>
        <v>910000</v>
      </c>
    </row>
    <row r="60" spans="1:4" x14ac:dyDescent="0.3">
      <c r="A60" s="62" t="s">
        <v>23</v>
      </c>
      <c r="B60" s="63">
        <v>3000</v>
      </c>
      <c r="C60" s="66">
        <v>5500</v>
      </c>
      <c r="D60">
        <f t="shared" si="1"/>
        <v>16500000</v>
      </c>
    </row>
    <row r="61" spans="1:4" x14ac:dyDescent="0.3">
      <c r="A61" s="62" t="s">
        <v>48</v>
      </c>
      <c r="B61" s="64">
        <v>15</v>
      </c>
      <c r="C61" s="66">
        <v>10000</v>
      </c>
      <c r="D61">
        <f t="shared" si="1"/>
        <v>150000</v>
      </c>
    </row>
    <row r="62" spans="1:4" x14ac:dyDescent="0.3">
      <c r="A62" s="62" t="s">
        <v>50</v>
      </c>
      <c r="B62" s="64">
        <v>2000</v>
      </c>
      <c r="C62" s="66">
        <v>6000</v>
      </c>
      <c r="D62">
        <f t="shared" si="1"/>
        <v>12000000</v>
      </c>
    </row>
    <row r="63" spans="1:4" hidden="1" x14ac:dyDescent="0.3">
      <c r="A63" s="62" t="s">
        <v>121</v>
      </c>
      <c r="B63" s="64"/>
      <c r="C63" s="66"/>
      <c r="D63">
        <f t="shared" si="1"/>
        <v>0</v>
      </c>
    </row>
    <row r="64" spans="1:4" hidden="1" x14ac:dyDescent="0.3">
      <c r="A64" s="62" t="s">
        <v>51</v>
      </c>
      <c r="B64" s="64"/>
      <c r="C64" s="66"/>
      <c r="D64">
        <f t="shared" si="1"/>
        <v>0</v>
      </c>
    </row>
    <row r="65" spans="1:4" hidden="1" x14ac:dyDescent="0.3">
      <c r="A65" s="62" t="s">
        <v>51</v>
      </c>
      <c r="B65" s="64"/>
      <c r="C65" s="66"/>
      <c r="D65">
        <f t="shared" si="1"/>
        <v>0</v>
      </c>
    </row>
    <row r="66" spans="1:4" x14ac:dyDescent="0.3">
      <c r="A66" s="62" t="s">
        <v>52</v>
      </c>
      <c r="B66" s="64">
        <v>20</v>
      </c>
      <c r="C66" s="66">
        <v>10000</v>
      </c>
      <c r="D66">
        <f t="shared" si="1"/>
        <v>200000</v>
      </c>
    </row>
    <row r="67" spans="1:4" hidden="1" x14ac:dyDescent="0.3">
      <c r="A67" s="62" t="s">
        <v>52</v>
      </c>
      <c r="B67" s="64"/>
      <c r="C67" s="66"/>
      <c r="D67">
        <f t="shared" si="1"/>
        <v>0</v>
      </c>
    </row>
    <row r="68" spans="1:4" hidden="1" x14ac:dyDescent="0.3">
      <c r="A68" s="62" t="s">
        <v>92</v>
      </c>
      <c r="B68" s="64"/>
      <c r="C68" s="66"/>
      <c r="D68">
        <f t="shared" si="1"/>
        <v>0</v>
      </c>
    </row>
    <row r="69" spans="1:4" hidden="1" x14ac:dyDescent="0.3">
      <c r="A69" s="62" t="s">
        <v>116</v>
      </c>
      <c r="B69" s="64"/>
      <c r="C69" s="66"/>
      <c r="D69">
        <f t="shared" si="1"/>
        <v>0</v>
      </c>
    </row>
    <row r="70" spans="1:4" hidden="1" x14ac:dyDescent="0.3">
      <c r="A70" s="62" t="s">
        <v>110</v>
      </c>
      <c r="B70" s="64"/>
      <c r="C70" s="66"/>
      <c r="D70">
        <f t="shared" ref="D70:D133" si="2">B70*C70</f>
        <v>0</v>
      </c>
    </row>
    <row r="71" spans="1:4" hidden="1" x14ac:dyDescent="0.3">
      <c r="A71" s="62" t="s">
        <v>18</v>
      </c>
      <c r="B71" s="63"/>
      <c r="C71" s="66"/>
      <c r="D71">
        <f t="shared" si="2"/>
        <v>0</v>
      </c>
    </row>
    <row r="72" spans="1:4" hidden="1" x14ac:dyDescent="0.3">
      <c r="A72" s="62" t="s">
        <v>19</v>
      </c>
      <c r="B72" s="63"/>
      <c r="C72" s="66"/>
      <c r="D72">
        <f t="shared" si="2"/>
        <v>0</v>
      </c>
    </row>
    <row r="73" spans="1:4" hidden="1" x14ac:dyDescent="0.3">
      <c r="A73" s="62" t="s">
        <v>19</v>
      </c>
      <c r="B73" s="63"/>
      <c r="C73" s="66"/>
      <c r="D73">
        <f t="shared" si="2"/>
        <v>0</v>
      </c>
    </row>
    <row r="74" spans="1:4" hidden="1" x14ac:dyDescent="0.3">
      <c r="A74" s="62" t="s">
        <v>524</v>
      </c>
      <c r="B74" s="63"/>
      <c r="C74" s="66"/>
      <c r="D74">
        <f t="shared" si="2"/>
        <v>0</v>
      </c>
    </row>
    <row r="75" spans="1:4" x14ac:dyDescent="0.3">
      <c r="A75" s="62" t="s">
        <v>53</v>
      </c>
      <c r="B75" s="64">
        <v>100</v>
      </c>
      <c r="C75" s="66">
        <v>26000</v>
      </c>
      <c r="D75">
        <f t="shared" si="2"/>
        <v>2600000</v>
      </c>
    </row>
    <row r="76" spans="1:4" hidden="1" x14ac:dyDescent="0.3">
      <c r="A76" s="62" t="s">
        <v>53</v>
      </c>
      <c r="B76" s="64"/>
      <c r="C76" s="66"/>
      <c r="D76">
        <f t="shared" si="2"/>
        <v>0</v>
      </c>
    </row>
    <row r="77" spans="1:4" x14ac:dyDescent="0.3">
      <c r="A77" s="62" t="s">
        <v>54</v>
      </c>
      <c r="B77" s="64">
        <v>10</v>
      </c>
      <c r="C77" s="66">
        <v>22000</v>
      </c>
      <c r="D77">
        <f t="shared" si="2"/>
        <v>220000</v>
      </c>
    </row>
    <row r="78" spans="1:4" hidden="1" x14ac:dyDescent="0.3">
      <c r="A78" s="62" t="s">
        <v>55</v>
      </c>
      <c r="B78" s="64"/>
      <c r="C78" s="66"/>
      <c r="D78">
        <f t="shared" si="2"/>
        <v>0</v>
      </c>
    </row>
    <row r="79" spans="1:4" x14ac:dyDescent="0.3">
      <c r="A79" s="62" t="s">
        <v>56</v>
      </c>
      <c r="B79" s="64">
        <v>159</v>
      </c>
      <c r="C79" s="66">
        <v>11400</v>
      </c>
      <c r="D79">
        <f t="shared" si="2"/>
        <v>1812600</v>
      </c>
    </row>
    <row r="80" spans="1:4" hidden="1" x14ac:dyDescent="0.3">
      <c r="A80" s="62" t="s">
        <v>525</v>
      </c>
      <c r="B80" s="64"/>
      <c r="C80" s="66"/>
      <c r="D80">
        <f t="shared" si="2"/>
        <v>0</v>
      </c>
    </row>
    <row r="81" spans="1:4" hidden="1" x14ac:dyDescent="0.3">
      <c r="A81" s="62" t="s">
        <v>103</v>
      </c>
      <c r="B81" s="64"/>
      <c r="C81" s="66"/>
      <c r="D81">
        <f t="shared" si="2"/>
        <v>0</v>
      </c>
    </row>
    <row r="82" spans="1:4" hidden="1" x14ac:dyDescent="0.3">
      <c r="A82" s="62" t="s">
        <v>57</v>
      </c>
      <c r="B82" s="64"/>
      <c r="C82" s="66"/>
      <c r="D82">
        <f t="shared" si="2"/>
        <v>0</v>
      </c>
    </row>
    <row r="83" spans="1:4" hidden="1" x14ac:dyDescent="0.3">
      <c r="A83" s="62" t="s">
        <v>58</v>
      </c>
      <c r="B83" s="64"/>
      <c r="C83" s="66"/>
      <c r="D83">
        <f t="shared" si="2"/>
        <v>0</v>
      </c>
    </row>
    <row r="84" spans="1:4" hidden="1" x14ac:dyDescent="0.3">
      <c r="A84" s="62" t="s">
        <v>59</v>
      </c>
      <c r="B84" s="64"/>
      <c r="C84" s="66"/>
      <c r="D84">
        <f t="shared" si="2"/>
        <v>0</v>
      </c>
    </row>
    <row r="85" spans="1:4" hidden="1" x14ac:dyDescent="0.3">
      <c r="A85" s="62" t="s">
        <v>86</v>
      </c>
      <c r="B85" s="64"/>
      <c r="C85" s="66"/>
      <c r="D85">
        <f t="shared" si="2"/>
        <v>0</v>
      </c>
    </row>
    <row r="86" spans="1:4" x14ac:dyDescent="0.3">
      <c r="A86" s="62" t="s">
        <v>60</v>
      </c>
      <c r="B86" s="64">
        <v>300</v>
      </c>
      <c r="C86" s="66">
        <v>17000</v>
      </c>
      <c r="D86">
        <f t="shared" si="2"/>
        <v>5100000</v>
      </c>
    </row>
    <row r="87" spans="1:4" hidden="1" x14ac:dyDescent="0.3">
      <c r="A87" s="62" t="s">
        <v>60</v>
      </c>
      <c r="B87" s="64"/>
      <c r="C87" s="66"/>
      <c r="D87">
        <f t="shared" si="2"/>
        <v>0</v>
      </c>
    </row>
    <row r="88" spans="1:4" hidden="1" x14ac:dyDescent="0.3">
      <c r="A88" s="62" t="s">
        <v>60</v>
      </c>
      <c r="B88" s="64"/>
      <c r="C88" s="66"/>
      <c r="D88">
        <f t="shared" si="2"/>
        <v>0</v>
      </c>
    </row>
    <row r="89" spans="1:4" x14ac:dyDescent="0.3">
      <c r="A89" s="62" t="s">
        <v>61</v>
      </c>
      <c r="B89" s="64">
        <v>6</v>
      </c>
      <c r="C89" s="66">
        <v>15000</v>
      </c>
      <c r="D89">
        <f t="shared" si="2"/>
        <v>90000</v>
      </c>
    </row>
    <row r="90" spans="1:4" x14ac:dyDescent="0.3">
      <c r="A90" s="62" t="s">
        <v>1</v>
      </c>
      <c r="B90" s="63">
        <v>100</v>
      </c>
      <c r="C90" s="66">
        <v>20000</v>
      </c>
      <c r="D90">
        <f t="shared" si="2"/>
        <v>2000000</v>
      </c>
    </row>
    <row r="91" spans="1:4" hidden="1" x14ac:dyDescent="0.3">
      <c r="A91" s="62" t="s">
        <v>1</v>
      </c>
      <c r="B91" s="63"/>
      <c r="C91" s="66"/>
      <c r="D91">
        <f t="shared" si="2"/>
        <v>0</v>
      </c>
    </row>
    <row r="92" spans="1:4" hidden="1" x14ac:dyDescent="0.3">
      <c r="A92" s="62" t="s">
        <v>2</v>
      </c>
      <c r="B92" s="63"/>
      <c r="C92" s="66"/>
      <c r="D92">
        <f t="shared" si="2"/>
        <v>0</v>
      </c>
    </row>
    <row r="93" spans="1:4" hidden="1" x14ac:dyDescent="0.3">
      <c r="A93" s="62" t="s">
        <v>62</v>
      </c>
      <c r="B93" s="64"/>
      <c r="C93" s="66"/>
      <c r="D93">
        <f t="shared" si="2"/>
        <v>0</v>
      </c>
    </row>
    <row r="94" spans="1:4" hidden="1" x14ac:dyDescent="0.3">
      <c r="A94" s="62" t="s">
        <v>63</v>
      </c>
      <c r="B94" s="64"/>
      <c r="C94" s="66"/>
      <c r="D94">
        <f t="shared" si="2"/>
        <v>0</v>
      </c>
    </row>
    <row r="95" spans="1:4" hidden="1" x14ac:dyDescent="0.3">
      <c r="A95" s="62" t="s">
        <v>24</v>
      </c>
      <c r="B95" s="63"/>
      <c r="C95" s="66"/>
      <c r="D95">
        <f t="shared" si="2"/>
        <v>0</v>
      </c>
    </row>
    <row r="96" spans="1:4" hidden="1" x14ac:dyDescent="0.3">
      <c r="A96" s="62" t="s">
        <v>24</v>
      </c>
      <c r="B96" s="63"/>
      <c r="C96" s="66"/>
      <c r="D96">
        <f t="shared" si="2"/>
        <v>0</v>
      </c>
    </row>
    <row r="97" spans="1:4" hidden="1" x14ac:dyDescent="0.3">
      <c r="A97" s="62" t="s">
        <v>25</v>
      </c>
      <c r="B97" s="63"/>
      <c r="C97" s="66"/>
      <c r="D97">
        <f t="shared" si="2"/>
        <v>0</v>
      </c>
    </row>
    <row r="98" spans="1:4" hidden="1" x14ac:dyDescent="0.3">
      <c r="A98" s="62" t="s">
        <v>26</v>
      </c>
      <c r="B98" s="63"/>
      <c r="C98" s="66"/>
      <c r="D98">
        <f t="shared" si="2"/>
        <v>0</v>
      </c>
    </row>
    <row r="99" spans="1:4" hidden="1" x14ac:dyDescent="0.3">
      <c r="A99" s="62" t="s">
        <v>26</v>
      </c>
      <c r="B99" s="63"/>
      <c r="C99" s="66"/>
      <c r="D99">
        <f t="shared" si="2"/>
        <v>0</v>
      </c>
    </row>
    <row r="100" spans="1:4" hidden="1" x14ac:dyDescent="0.3">
      <c r="A100" s="62" t="s">
        <v>26</v>
      </c>
      <c r="B100" s="63"/>
      <c r="C100" s="66"/>
      <c r="D100">
        <f t="shared" si="2"/>
        <v>0</v>
      </c>
    </row>
    <row r="101" spans="1:4" hidden="1" x14ac:dyDescent="0.3">
      <c r="A101" s="62" t="s">
        <v>27</v>
      </c>
      <c r="B101" s="63"/>
      <c r="C101" s="66"/>
      <c r="D101">
        <f t="shared" si="2"/>
        <v>0</v>
      </c>
    </row>
    <row r="102" spans="1:4" hidden="1" x14ac:dyDescent="0.3">
      <c r="A102" s="62" t="s">
        <v>109</v>
      </c>
      <c r="B102" s="64"/>
      <c r="C102" s="66"/>
      <c r="D102">
        <f t="shared" si="2"/>
        <v>0</v>
      </c>
    </row>
    <row r="103" spans="1:4" hidden="1" x14ac:dyDescent="0.3">
      <c r="A103" s="62" t="s">
        <v>28</v>
      </c>
      <c r="B103" s="63"/>
      <c r="C103" s="66"/>
      <c r="D103">
        <f t="shared" si="2"/>
        <v>0</v>
      </c>
    </row>
    <row r="104" spans="1:4" hidden="1" x14ac:dyDescent="0.3">
      <c r="A104" s="62" t="s">
        <v>28</v>
      </c>
      <c r="B104" s="63"/>
      <c r="C104" s="66"/>
      <c r="D104">
        <f t="shared" si="2"/>
        <v>0</v>
      </c>
    </row>
    <row r="105" spans="1:4" hidden="1" x14ac:dyDescent="0.3">
      <c r="A105" s="62" t="s">
        <v>64</v>
      </c>
      <c r="B105" s="64"/>
      <c r="C105" s="66"/>
      <c r="D105">
        <f t="shared" si="2"/>
        <v>0</v>
      </c>
    </row>
    <row r="106" spans="1:4" hidden="1" x14ac:dyDescent="0.3">
      <c r="A106" s="62" t="s">
        <v>3</v>
      </c>
      <c r="B106" s="63"/>
      <c r="C106" s="66"/>
      <c r="D106">
        <f t="shared" si="2"/>
        <v>0</v>
      </c>
    </row>
    <row r="107" spans="1:4" hidden="1" x14ac:dyDescent="0.3">
      <c r="A107" s="62" t="s">
        <v>4</v>
      </c>
      <c r="B107" s="63"/>
      <c r="C107" s="66"/>
      <c r="D107">
        <f t="shared" si="2"/>
        <v>0</v>
      </c>
    </row>
    <row r="108" spans="1:4" hidden="1" x14ac:dyDescent="0.3">
      <c r="A108" s="62" t="s">
        <v>5</v>
      </c>
      <c r="B108" s="63"/>
      <c r="C108" s="66"/>
      <c r="D108">
        <f t="shared" si="2"/>
        <v>0</v>
      </c>
    </row>
    <row r="109" spans="1:4" x14ac:dyDescent="0.3">
      <c r="A109" s="62" t="s">
        <v>6</v>
      </c>
      <c r="B109" s="63">
        <v>40</v>
      </c>
      <c r="C109" s="66">
        <v>16000</v>
      </c>
      <c r="D109">
        <f t="shared" si="2"/>
        <v>640000</v>
      </c>
    </row>
    <row r="110" spans="1:4" hidden="1" x14ac:dyDescent="0.3">
      <c r="A110" s="62" t="s">
        <v>6</v>
      </c>
      <c r="B110" s="63"/>
      <c r="C110" s="66"/>
      <c r="D110">
        <f t="shared" si="2"/>
        <v>0</v>
      </c>
    </row>
    <row r="111" spans="1:4" x14ac:dyDescent="0.3">
      <c r="A111" s="62" t="s">
        <v>7</v>
      </c>
      <c r="B111" s="63">
        <v>5</v>
      </c>
      <c r="C111" s="66">
        <v>42000</v>
      </c>
      <c r="D111">
        <f t="shared" si="2"/>
        <v>210000</v>
      </c>
    </row>
    <row r="112" spans="1:4" x14ac:dyDescent="0.3">
      <c r="A112" s="62" t="s">
        <v>8</v>
      </c>
      <c r="B112" s="63">
        <v>310</v>
      </c>
      <c r="C112" s="66">
        <v>12000</v>
      </c>
      <c r="D112">
        <f t="shared" si="2"/>
        <v>3720000</v>
      </c>
    </row>
    <row r="113" spans="1:4" x14ac:dyDescent="0.3">
      <c r="A113" s="62" t="s">
        <v>10</v>
      </c>
      <c r="B113" s="63">
        <v>73.333333333333343</v>
      </c>
      <c r="C113" s="66">
        <v>9000</v>
      </c>
      <c r="D113">
        <f t="shared" si="2"/>
        <v>660000.00000000012</v>
      </c>
    </row>
    <row r="114" spans="1:4" x14ac:dyDescent="0.3">
      <c r="A114" s="62" t="s">
        <v>102</v>
      </c>
      <c r="B114" s="64">
        <v>200</v>
      </c>
      <c r="C114" s="66">
        <v>25000</v>
      </c>
      <c r="D114">
        <f t="shared" si="2"/>
        <v>5000000</v>
      </c>
    </row>
    <row r="115" spans="1:4" hidden="1" x14ac:dyDescent="0.3">
      <c r="A115" s="62" t="s">
        <v>11</v>
      </c>
      <c r="B115" s="63"/>
      <c r="C115" s="66"/>
      <c r="D115">
        <f t="shared" si="2"/>
        <v>0</v>
      </c>
    </row>
    <row r="116" spans="1:4" x14ac:dyDescent="0.3">
      <c r="A116" s="62" t="s">
        <v>12</v>
      </c>
      <c r="B116" s="63">
        <v>200</v>
      </c>
      <c r="C116" s="66">
        <v>23000</v>
      </c>
      <c r="D116">
        <f t="shared" si="2"/>
        <v>4600000</v>
      </c>
    </row>
    <row r="117" spans="1:4" hidden="1" x14ac:dyDescent="0.3">
      <c r="A117" s="62" t="s">
        <v>14</v>
      </c>
      <c r="B117" s="63"/>
      <c r="C117" s="66"/>
      <c r="D117">
        <f t="shared" si="2"/>
        <v>0</v>
      </c>
    </row>
    <row r="118" spans="1:4" hidden="1" x14ac:dyDescent="0.3">
      <c r="A118" s="62" t="s">
        <v>15</v>
      </c>
      <c r="B118" s="63"/>
      <c r="C118" s="66"/>
      <c r="D118">
        <f t="shared" si="2"/>
        <v>0</v>
      </c>
    </row>
    <row r="119" spans="1:4" hidden="1" x14ac:dyDescent="0.3">
      <c r="A119" s="62" t="s">
        <v>15</v>
      </c>
      <c r="B119" s="63"/>
      <c r="C119" s="66"/>
      <c r="D119">
        <f t="shared" si="2"/>
        <v>0</v>
      </c>
    </row>
    <row r="120" spans="1:4" hidden="1" x14ac:dyDescent="0.3">
      <c r="A120" s="62" t="s">
        <v>521</v>
      </c>
      <c r="B120" s="64"/>
      <c r="C120" s="66"/>
      <c r="D120">
        <f t="shared" si="2"/>
        <v>0</v>
      </c>
    </row>
    <row r="121" spans="1:4" x14ac:dyDescent="0.3">
      <c r="A121" s="62" t="s">
        <v>16</v>
      </c>
      <c r="B121" s="63">
        <v>60</v>
      </c>
      <c r="C121" s="66">
        <v>15000</v>
      </c>
      <c r="D121">
        <f t="shared" si="2"/>
        <v>900000</v>
      </c>
    </row>
    <row r="122" spans="1:4" hidden="1" x14ac:dyDescent="0.3">
      <c r="A122" s="62" t="s">
        <v>108</v>
      </c>
      <c r="B122" s="64"/>
      <c r="C122" s="66"/>
      <c r="D122">
        <f t="shared" si="2"/>
        <v>0</v>
      </c>
    </row>
    <row r="123" spans="1:4" hidden="1" x14ac:dyDescent="0.3">
      <c r="A123" s="62" t="s">
        <v>68</v>
      </c>
      <c r="B123" s="64"/>
      <c r="C123" s="66"/>
      <c r="D123">
        <f t="shared" si="2"/>
        <v>0</v>
      </c>
    </row>
    <row r="124" spans="1:4" hidden="1" x14ac:dyDescent="0.3">
      <c r="A124" s="62" t="s">
        <v>65</v>
      </c>
      <c r="B124" s="64"/>
      <c r="C124" s="66"/>
      <c r="D124">
        <f t="shared" si="2"/>
        <v>0</v>
      </c>
    </row>
    <row r="125" spans="1:4" hidden="1" x14ac:dyDescent="0.3">
      <c r="A125" s="62" t="s">
        <v>66</v>
      </c>
      <c r="B125" s="64"/>
      <c r="C125" s="66"/>
      <c r="D125">
        <f t="shared" si="2"/>
        <v>0</v>
      </c>
    </row>
    <row r="126" spans="1:4" hidden="1" x14ac:dyDescent="0.3">
      <c r="A126" s="62" t="s">
        <v>67</v>
      </c>
      <c r="B126" s="64"/>
      <c r="C126" s="66"/>
      <c r="D126">
        <f t="shared" si="2"/>
        <v>0</v>
      </c>
    </row>
    <row r="127" spans="1:4" hidden="1" x14ac:dyDescent="0.3">
      <c r="A127" s="62" t="s">
        <v>69</v>
      </c>
      <c r="B127" s="64"/>
      <c r="C127" s="66"/>
      <c r="D127">
        <f t="shared" si="2"/>
        <v>0</v>
      </c>
    </row>
    <row r="128" spans="1:4" hidden="1" x14ac:dyDescent="0.3">
      <c r="A128" s="62" t="s">
        <v>526</v>
      </c>
      <c r="B128" s="64"/>
      <c r="C128" s="66"/>
      <c r="D128">
        <f t="shared" si="2"/>
        <v>0</v>
      </c>
    </row>
    <row r="129" spans="1:4" hidden="1" x14ac:dyDescent="0.3">
      <c r="A129" s="62" t="s">
        <v>70</v>
      </c>
      <c r="B129" s="64"/>
      <c r="C129" s="66"/>
      <c r="D129">
        <f t="shared" si="2"/>
        <v>0</v>
      </c>
    </row>
    <row r="130" spans="1:4" hidden="1" x14ac:dyDescent="0.3">
      <c r="A130" s="62" t="s">
        <v>83</v>
      </c>
      <c r="B130" s="64"/>
      <c r="C130" s="66"/>
      <c r="D130">
        <f t="shared" si="2"/>
        <v>0</v>
      </c>
    </row>
    <row r="131" spans="1:4" hidden="1" x14ac:dyDescent="0.3">
      <c r="A131" s="62" t="s">
        <v>71</v>
      </c>
      <c r="B131" s="64"/>
      <c r="C131" s="66"/>
      <c r="D131">
        <f t="shared" si="2"/>
        <v>0</v>
      </c>
    </row>
    <row r="132" spans="1:4" hidden="1" x14ac:dyDescent="0.3">
      <c r="A132" s="62" t="s">
        <v>72</v>
      </c>
      <c r="B132" s="64"/>
      <c r="C132" s="66"/>
      <c r="D132">
        <f t="shared" si="2"/>
        <v>0</v>
      </c>
    </row>
    <row r="133" spans="1:4" x14ac:dyDescent="0.3">
      <c r="A133" s="62" t="s">
        <v>73</v>
      </c>
      <c r="B133" s="64">
        <v>16</v>
      </c>
      <c r="C133" s="66">
        <v>14000</v>
      </c>
      <c r="D133">
        <f t="shared" si="2"/>
        <v>224000</v>
      </c>
    </row>
    <row r="134" spans="1:4" hidden="1" x14ac:dyDescent="0.3">
      <c r="A134" s="62" t="s">
        <v>74</v>
      </c>
      <c r="B134" s="64"/>
      <c r="C134" s="66"/>
      <c r="D134">
        <f t="shared" ref="D134:D177" si="3">B134*C134</f>
        <v>0</v>
      </c>
    </row>
    <row r="135" spans="1:4" hidden="1" x14ac:dyDescent="0.3">
      <c r="A135" s="62" t="s">
        <v>29</v>
      </c>
      <c r="B135" s="64"/>
      <c r="C135" s="66"/>
      <c r="D135">
        <f t="shared" si="3"/>
        <v>0</v>
      </c>
    </row>
    <row r="136" spans="1:4" hidden="1" x14ac:dyDescent="0.3">
      <c r="A136" s="62" t="s">
        <v>29</v>
      </c>
      <c r="B136" s="64"/>
      <c r="C136" s="66"/>
      <c r="D136">
        <f t="shared" si="3"/>
        <v>0</v>
      </c>
    </row>
    <row r="137" spans="1:4" x14ac:dyDescent="0.3">
      <c r="A137" s="62" t="s">
        <v>93</v>
      </c>
      <c r="B137" s="64">
        <v>250</v>
      </c>
      <c r="C137" s="66">
        <v>24000</v>
      </c>
      <c r="D137">
        <f t="shared" si="3"/>
        <v>6000000</v>
      </c>
    </row>
    <row r="138" spans="1:4" hidden="1" x14ac:dyDescent="0.3">
      <c r="A138" s="62" t="s">
        <v>96</v>
      </c>
      <c r="B138" s="64"/>
      <c r="C138" s="66"/>
      <c r="D138">
        <f t="shared" si="3"/>
        <v>0</v>
      </c>
    </row>
    <row r="139" spans="1:4" x14ac:dyDescent="0.3">
      <c r="A139" s="62" t="s">
        <v>527</v>
      </c>
      <c r="B139" s="67">
        <v>1.5</v>
      </c>
      <c r="C139" s="68">
        <v>45000</v>
      </c>
      <c r="D139">
        <f t="shared" si="3"/>
        <v>67500</v>
      </c>
    </row>
    <row r="140" spans="1:4" hidden="1" x14ac:dyDescent="0.3">
      <c r="A140" s="62" t="s">
        <v>34</v>
      </c>
      <c r="B140" s="64"/>
      <c r="C140" s="66"/>
      <c r="D140">
        <f t="shared" si="3"/>
        <v>0</v>
      </c>
    </row>
    <row r="141" spans="1:4" hidden="1" x14ac:dyDescent="0.3">
      <c r="A141" s="62" t="s">
        <v>30</v>
      </c>
      <c r="B141" s="64"/>
      <c r="C141" s="66"/>
      <c r="D141">
        <f t="shared" si="3"/>
        <v>0</v>
      </c>
    </row>
    <row r="142" spans="1:4" hidden="1" x14ac:dyDescent="0.3">
      <c r="A142" s="62" t="s">
        <v>31</v>
      </c>
      <c r="B142" s="64"/>
      <c r="C142" s="66"/>
      <c r="D142">
        <f t="shared" si="3"/>
        <v>0</v>
      </c>
    </row>
    <row r="143" spans="1:4" hidden="1" x14ac:dyDescent="0.3">
      <c r="A143" s="62" t="s">
        <v>32</v>
      </c>
      <c r="B143" s="64"/>
      <c r="C143" s="66"/>
      <c r="D143">
        <f t="shared" si="3"/>
        <v>0</v>
      </c>
    </row>
    <row r="144" spans="1:4" hidden="1" x14ac:dyDescent="0.3">
      <c r="A144" s="62" t="s">
        <v>33</v>
      </c>
      <c r="B144" s="64"/>
      <c r="C144" s="66"/>
      <c r="D144">
        <f t="shared" si="3"/>
        <v>0</v>
      </c>
    </row>
    <row r="145" spans="1:4" hidden="1" x14ac:dyDescent="0.3">
      <c r="A145" s="62" t="s">
        <v>35</v>
      </c>
      <c r="B145" s="64"/>
      <c r="C145" s="66"/>
      <c r="D145">
        <f t="shared" si="3"/>
        <v>0</v>
      </c>
    </row>
    <row r="146" spans="1:4" hidden="1" x14ac:dyDescent="0.3">
      <c r="A146" s="62" t="s">
        <v>97</v>
      </c>
      <c r="B146" s="64"/>
      <c r="C146" s="66"/>
      <c r="D146">
        <f t="shared" si="3"/>
        <v>0</v>
      </c>
    </row>
    <row r="147" spans="1:4" hidden="1" x14ac:dyDescent="0.3">
      <c r="A147" s="62" t="s">
        <v>75</v>
      </c>
      <c r="B147" s="64"/>
      <c r="C147" s="66"/>
      <c r="D147">
        <f t="shared" si="3"/>
        <v>0</v>
      </c>
    </row>
    <row r="148" spans="1:4" hidden="1" x14ac:dyDescent="0.3">
      <c r="A148" s="62" t="s">
        <v>75</v>
      </c>
      <c r="B148" s="64"/>
      <c r="C148" s="66"/>
      <c r="D148">
        <f t="shared" si="3"/>
        <v>0</v>
      </c>
    </row>
    <row r="149" spans="1:4" x14ac:dyDescent="0.3">
      <c r="A149" s="62" t="s">
        <v>76</v>
      </c>
      <c r="B149" s="64">
        <v>50</v>
      </c>
      <c r="C149" s="66">
        <v>22000</v>
      </c>
      <c r="D149">
        <f t="shared" si="3"/>
        <v>1100000</v>
      </c>
    </row>
    <row r="150" spans="1:4" hidden="1" x14ac:dyDescent="0.3">
      <c r="A150" s="62" t="s">
        <v>76</v>
      </c>
      <c r="B150" s="64"/>
      <c r="C150" s="66"/>
      <c r="D150">
        <f t="shared" si="3"/>
        <v>0</v>
      </c>
    </row>
    <row r="151" spans="1:4" x14ac:dyDescent="0.3">
      <c r="A151" s="62" t="s">
        <v>528</v>
      </c>
      <c r="B151" s="64">
        <v>20</v>
      </c>
      <c r="C151" s="68">
        <v>17000</v>
      </c>
      <c r="D151">
        <f t="shared" si="3"/>
        <v>340000</v>
      </c>
    </row>
    <row r="152" spans="1:4" hidden="1" x14ac:dyDescent="0.3">
      <c r="A152" s="62" t="s">
        <v>77</v>
      </c>
      <c r="B152" s="64"/>
      <c r="C152" s="66"/>
      <c r="D152">
        <f t="shared" si="3"/>
        <v>0</v>
      </c>
    </row>
    <row r="153" spans="1:4" x14ac:dyDescent="0.3">
      <c r="A153" s="62" t="s">
        <v>78</v>
      </c>
      <c r="B153" s="64">
        <v>35</v>
      </c>
      <c r="C153" s="66">
        <v>19000</v>
      </c>
      <c r="D153">
        <f t="shared" si="3"/>
        <v>665000</v>
      </c>
    </row>
    <row r="154" spans="1:4" hidden="1" x14ac:dyDescent="0.3">
      <c r="A154" s="62" t="s">
        <v>78</v>
      </c>
      <c r="B154" s="64"/>
      <c r="C154" s="66"/>
      <c r="D154">
        <f t="shared" si="3"/>
        <v>0</v>
      </c>
    </row>
    <row r="155" spans="1:4" x14ac:dyDescent="0.3">
      <c r="A155" s="62" t="s">
        <v>529</v>
      </c>
      <c r="B155" s="64">
        <v>10</v>
      </c>
      <c r="C155" s="68">
        <v>15000</v>
      </c>
      <c r="D155">
        <f t="shared" si="3"/>
        <v>150000</v>
      </c>
    </row>
    <row r="156" spans="1:4" hidden="1" x14ac:dyDescent="0.3">
      <c r="A156" s="62" t="s">
        <v>79</v>
      </c>
      <c r="B156" s="64"/>
      <c r="C156" s="66"/>
      <c r="D156">
        <f t="shared" si="3"/>
        <v>0</v>
      </c>
    </row>
    <row r="157" spans="1:4" hidden="1" x14ac:dyDescent="0.3">
      <c r="A157" s="62" t="s">
        <v>79</v>
      </c>
      <c r="B157" s="64"/>
      <c r="C157" s="66"/>
      <c r="D157">
        <f t="shared" si="3"/>
        <v>0</v>
      </c>
    </row>
    <row r="158" spans="1:4" hidden="1" x14ac:dyDescent="0.3">
      <c r="A158" s="62" t="s">
        <v>107</v>
      </c>
      <c r="B158" s="64"/>
      <c r="C158" s="66"/>
      <c r="D158">
        <f t="shared" si="3"/>
        <v>0</v>
      </c>
    </row>
    <row r="159" spans="1:4" hidden="1" x14ac:dyDescent="0.3">
      <c r="A159" s="62" t="s">
        <v>80</v>
      </c>
      <c r="B159" s="64"/>
      <c r="C159" s="66"/>
      <c r="D159">
        <f t="shared" si="3"/>
        <v>0</v>
      </c>
    </row>
    <row r="160" spans="1:4" hidden="1" x14ac:dyDescent="0.3">
      <c r="A160" s="62" t="s">
        <v>81</v>
      </c>
      <c r="B160" s="64"/>
      <c r="C160" s="66"/>
      <c r="D160">
        <f t="shared" si="3"/>
        <v>0</v>
      </c>
    </row>
    <row r="161" spans="1:4" hidden="1" x14ac:dyDescent="0.3">
      <c r="A161" s="62" t="s">
        <v>85</v>
      </c>
      <c r="B161" s="64"/>
      <c r="C161" s="66"/>
      <c r="D161">
        <f t="shared" si="3"/>
        <v>0</v>
      </c>
    </row>
    <row r="162" spans="1:4" hidden="1" x14ac:dyDescent="0.3">
      <c r="A162" s="62" t="s">
        <v>88</v>
      </c>
      <c r="B162" s="64"/>
      <c r="C162" s="66"/>
      <c r="D162">
        <f t="shared" si="3"/>
        <v>0</v>
      </c>
    </row>
    <row r="163" spans="1:4" hidden="1" x14ac:dyDescent="0.3">
      <c r="A163" s="62" t="s">
        <v>82</v>
      </c>
      <c r="B163" s="64"/>
      <c r="C163" s="66"/>
      <c r="D163">
        <f t="shared" si="3"/>
        <v>0</v>
      </c>
    </row>
    <row r="164" spans="1:4" hidden="1" x14ac:dyDescent="0.3">
      <c r="A164" s="62" t="s">
        <v>112</v>
      </c>
      <c r="B164" s="64"/>
      <c r="C164" s="66"/>
      <c r="D164">
        <f t="shared" si="3"/>
        <v>0</v>
      </c>
    </row>
    <row r="165" spans="1:4" hidden="1" x14ac:dyDescent="0.3">
      <c r="A165" s="62" t="s">
        <v>37</v>
      </c>
      <c r="B165" s="64"/>
      <c r="C165" s="66"/>
      <c r="D165">
        <f t="shared" si="3"/>
        <v>0</v>
      </c>
    </row>
    <row r="166" spans="1:4" hidden="1" x14ac:dyDescent="0.3">
      <c r="A166" s="62" t="s">
        <v>38</v>
      </c>
      <c r="B166" s="64"/>
      <c r="C166" s="66"/>
      <c r="D166">
        <f t="shared" si="3"/>
        <v>0</v>
      </c>
    </row>
    <row r="167" spans="1:4" hidden="1" x14ac:dyDescent="0.3">
      <c r="A167" s="62" t="s">
        <v>39</v>
      </c>
      <c r="B167" s="64"/>
      <c r="C167" s="66"/>
      <c r="D167">
        <f t="shared" si="3"/>
        <v>0</v>
      </c>
    </row>
    <row r="168" spans="1:4" hidden="1" x14ac:dyDescent="0.3">
      <c r="A168" s="62" t="s">
        <v>47</v>
      </c>
      <c r="B168" s="64"/>
      <c r="C168" s="66"/>
      <c r="D168">
        <f t="shared" si="3"/>
        <v>0</v>
      </c>
    </row>
    <row r="169" spans="1:4" hidden="1" x14ac:dyDescent="0.3">
      <c r="A169" s="62" t="s">
        <v>40</v>
      </c>
      <c r="B169" s="64"/>
      <c r="C169" s="66"/>
      <c r="D169">
        <f t="shared" si="3"/>
        <v>0</v>
      </c>
    </row>
    <row r="170" spans="1:4" hidden="1" x14ac:dyDescent="0.3">
      <c r="A170" s="62" t="s">
        <v>41</v>
      </c>
      <c r="B170" s="64"/>
      <c r="C170" s="66"/>
      <c r="D170">
        <f t="shared" si="3"/>
        <v>0</v>
      </c>
    </row>
    <row r="171" spans="1:4" hidden="1" x14ac:dyDescent="0.3">
      <c r="A171" s="62" t="s">
        <v>42</v>
      </c>
      <c r="B171" s="64"/>
      <c r="C171" s="66"/>
      <c r="D171">
        <f t="shared" si="3"/>
        <v>0</v>
      </c>
    </row>
    <row r="172" spans="1:4" hidden="1" x14ac:dyDescent="0.3">
      <c r="A172" s="62" t="s">
        <v>43</v>
      </c>
      <c r="B172" s="64"/>
      <c r="C172" s="66"/>
      <c r="D172">
        <f t="shared" si="3"/>
        <v>0</v>
      </c>
    </row>
    <row r="173" spans="1:4" hidden="1" x14ac:dyDescent="0.3">
      <c r="A173" s="62" t="s">
        <v>43</v>
      </c>
      <c r="B173" s="64"/>
      <c r="C173" s="66"/>
      <c r="D173">
        <f t="shared" si="3"/>
        <v>0</v>
      </c>
    </row>
    <row r="174" spans="1:4" hidden="1" x14ac:dyDescent="0.3">
      <c r="A174" s="69" t="s">
        <v>44</v>
      </c>
      <c r="B174" s="70"/>
      <c r="C174" s="71"/>
      <c r="D174">
        <f t="shared" si="3"/>
        <v>0</v>
      </c>
    </row>
    <row r="175" spans="1:4" hidden="1" x14ac:dyDescent="0.3">
      <c r="A175" s="62" t="s">
        <v>115</v>
      </c>
      <c r="B175" s="64"/>
      <c r="C175" s="66"/>
      <c r="D175">
        <f t="shared" si="3"/>
        <v>0</v>
      </c>
    </row>
    <row r="176" spans="1:4" hidden="1" x14ac:dyDescent="0.3">
      <c r="A176" s="62" t="s">
        <v>45</v>
      </c>
      <c r="B176" s="64"/>
      <c r="C176" s="66"/>
      <c r="D176">
        <f t="shared" si="3"/>
        <v>0</v>
      </c>
    </row>
    <row r="177" spans="1:4" hidden="1" x14ac:dyDescent="0.3">
      <c r="A177" s="62" t="s">
        <v>46</v>
      </c>
      <c r="B177" s="64"/>
      <c r="C177" s="66"/>
      <c r="D177">
        <f t="shared" si="3"/>
        <v>0</v>
      </c>
    </row>
    <row r="178" spans="1:4" hidden="1" x14ac:dyDescent="0.3">
      <c r="A178" s="62" t="s">
        <v>522</v>
      </c>
      <c r="B178" s="64"/>
      <c r="C178" s="66">
        <v>5170</v>
      </c>
      <c r="D178" s="66">
        <v>1746.5</v>
      </c>
    </row>
    <row r="179" spans="1:4" x14ac:dyDescent="0.3">
      <c r="D179" s="59">
        <f>SUM(D59:D155)</f>
        <v>65859100</v>
      </c>
    </row>
    <row r="181" spans="1:4" x14ac:dyDescent="0.3">
      <c r="D181">
        <f>D179+D56</f>
        <v>108826100</v>
      </c>
    </row>
  </sheetData>
  <autoFilter ref="A3:L178" xr:uid="{00000000-0009-0000-0000-000002000000}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208"/>
  <sheetViews>
    <sheetView topLeftCell="A83" workbookViewId="0">
      <selection activeCell="D208" sqref="D208"/>
    </sheetView>
  </sheetViews>
  <sheetFormatPr defaultRowHeight="14.4" x14ac:dyDescent="0.3"/>
  <cols>
    <col min="1" max="1" width="30.88671875" customWidth="1"/>
    <col min="3" max="3" width="13" customWidth="1"/>
    <col min="4" max="4" width="14.44140625" customWidth="1"/>
  </cols>
  <sheetData>
    <row r="1" spans="1:4" x14ac:dyDescent="0.3">
      <c r="A1" s="59" t="s">
        <v>541</v>
      </c>
    </row>
    <row r="2" spans="1:4" x14ac:dyDescent="0.3">
      <c r="A2" t="s">
        <v>0</v>
      </c>
      <c r="B2" s="59" t="s">
        <v>127</v>
      </c>
      <c r="C2" s="59" t="s">
        <v>128</v>
      </c>
      <c r="D2" s="59" t="s">
        <v>129</v>
      </c>
    </row>
    <row r="3" spans="1:4" x14ac:dyDescent="0.3">
      <c r="A3" t="s">
        <v>1</v>
      </c>
      <c r="B3">
        <v>20</v>
      </c>
      <c r="C3">
        <v>20000</v>
      </c>
      <c r="D3">
        <f>B3*C3</f>
        <v>400000</v>
      </c>
    </row>
    <row r="4" spans="1:4" hidden="1" x14ac:dyDescent="0.3">
      <c r="A4" t="s">
        <v>1</v>
      </c>
      <c r="D4">
        <f t="shared" ref="D4:D67" si="0">B4*C4</f>
        <v>0</v>
      </c>
    </row>
    <row r="5" spans="1:4" hidden="1" x14ac:dyDescent="0.3">
      <c r="A5" t="s">
        <v>2</v>
      </c>
      <c r="D5">
        <f t="shared" si="0"/>
        <v>0</v>
      </c>
    </row>
    <row r="6" spans="1:4" hidden="1" x14ac:dyDescent="0.3">
      <c r="A6" t="s">
        <v>3</v>
      </c>
      <c r="D6">
        <f t="shared" si="0"/>
        <v>0</v>
      </c>
    </row>
    <row r="7" spans="1:4" hidden="1" x14ac:dyDescent="0.3">
      <c r="A7" t="s">
        <v>4</v>
      </c>
      <c r="D7">
        <f t="shared" si="0"/>
        <v>0</v>
      </c>
    </row>
    <row r="8" spans="1:4" hidden="1" x14ac:dyDescent="0.3">
      <c r="A8" t="s">
        <v>5</v>
      </c>
      <c r="D8">
        <f t="shared" si="0"/>
        <v>0</v>
      </c>
    </row>
    <row r="9" spans="1:4" x14ac:dyDescent="0.3">
      <c r="A9" t="s">
        <v>6</v>
      </c>
      <c r="B9">
        <v>143</v>
      </c>
      <c r="C9">
        <v>16000</v>
      </c>
      <c r="D9">
        <f t="shared" si="0"/>
        <v>2288000</v>
      </c>
    </row>
    <row r="10" spans="1:4" hidden="1" x14ac:dyDescent="0.3">
      <c r="A10" t="s">
        <v>6</v>
      </c>
      <c r="D10">
        <f t="shared" si="0"/>
        <v>0</v>
      </c>
    </row>
    <row r="11" spans="1:4" hidden="1" x14ac:dyDescent="0.3">
      <c r="A11" t="s">
        <v>7</v>
      </c>
      <c r="D11">
        <f t="shared" si="0"/>
        <v>0</v>
      </c>
    </row>
    <row r="12" spans="1:4" x14ac:dyDescent="0.3">
      <c r="A12" t="s">
        <v>8</v>
      </c>
      <c r="B12">
        <v>55</v>
      </c>
      <c r="C12">
        <v>18000</v>
      </c>
      <c r="D12">
        <f t="shared" si="0"/>
        <v>990000</v>
      </c>
    </row>
    <row r="13" spans="1:4" x14ac:dyDescent="0.3">
      <c r="A13" t="s">
        <v>9</v>
      </c>
      <c r="B13">
        <v>5</v>
      </c>
      <c r="C13">
        <v>20000</v>
      </c>
      <c r="D13">
        <f t="shared" si="0"/>
        <v>100000</v>
      </c>
    </row>
    <row r="14" spans="1:4" hidden="1" x14ac:dyDescent="0.3">
      <c r="A14" t="s">
        <v>10</v>
      </c>
      <c r="D14">
        <f t="shared" si="0"/>
        <v>0</v>
      </c>
    </row>
    <row r="15" spans="1:4" hidden="1" x14ac:dyDescent="0.3">
      <c r="A15" t="s">
        <v>534</v>
      </c>
      <c r="D15">
        <f t="shared" si="0"/>
        <v>0</v>
      </c>
    </row>
    <row r="16" spans="1:4" hidden="1" x14ac:dyDescent="0.3">
      <c r="A16" t="s">
        <v>534</v>
      </c>
      <c r="D16">
        <f t="shared" si="0"/>
        <v>0</v>
      </c>
    </row>
    <row r="17" spans="1:4" x14ac:dyDescent="0.3">
      <c r="A17" t="s">
        <v>12</v>
      </c>
      <c r="B17">
        <v>90</v>
      </c>
      <c r="C17">
        <v>24000</v>
      </c>
      <c r="D17">
        <f t="shared" si="0"/>
        <v>2160000</v>
      </c>
    </row>
    <row r="18" spans="1:4" hidden="1" x14ac:dyDescent="0.3">
      <c r="A18" t="s">
        <v>12</v>
      </c>
      <c r="D18">
        <f t="shared" si="0"/>
        <v>0</v>
      </c>
    </row>
    <row r="19" spans="1:4" hidden="1" x14ac:dyDescent="0.3">
      <c r="A19" t="s">
        <v>13</v>
      </c>
      <c r="D19">
        <f t="shared" si="0"/>
        <v>0</v>
      </c>
    </row>
    <row r="20" spans="1:4" hidden="1" x14ac:dyDescent="0.3">
      <c r="A20" t="s">
        <v>14</v>
      </c>
      <c r="D20">
        <f t="shared" si="0"/>
        <v>0</v>
      </c>
    </row>
    <row r="21" spans="1:4" hidden="1" x14ac:dyDescent="0.3">
      <c r="A21" t="s">
        <v>14</v>
      </c>
      <c r="D21">
        <f t="shared" si="0"/>
        <v>0</v>
      </c>
    </row>
    <row r="22" spans="1:4" x14ac:dyDescent="0.3">
      <c r="A22" t="s">
        <v>15</v>
      </c>
      <c r="B22">
        <v>540</v>
      </c>
      <c r="C22">
        <v>16000</v>
      </c>
      <c r="D22">
        <f t="shared" si="0"/>
        <v>8640000</v>
      </c>
    </row>
    <row r="23" spans="1:4" hidden="1" x14ac:dyDescent="0.3">
      <c r="A23" t="s">
        <v>15</v>
      </c>
      <c r="D23">
        <f t="shared" si="0"/>
        <v>0</v>
      </c>
    </row>
    <row r="24" spans="1:4" x14ac:dyDescent="0.3">
      <c r="A24" t="s">
        <v>16</v>
      </c>
      <c r="B24">
        <v>26</v>
      </c>
      <c r="C24">
        <v>15000</v>
      </c>
      <c r="D24">
        <f t="shared" si="0"/>
        <v>390000</v>
      </c>
    </row>
    <row r="25" spans="1:4" hidden="1" x14ac:dyDescent="0.3">
      <c r="A25" t="s">
        <v>18</v>
      </c>
      <c r="D25">
        <f t="shared" si="0"/>
        <v>0</v>
      </c>
    </row>
    <row r="26" spans="1:4" hidden="1" x14ac:dyDescent="0.3">
      <c r="A26" t="s">
        <v>19</v>
      </c>
      <c r="D26">
        <f t="shared" si="0"/>
        <v>0</v>
      </c>
    </row>
    <row r="27" spans="1:4" hidden="1" x14ac:dyDescent="0.3">
      <c r="A27" t="s">
        <v>19</v>
      </c>
      <c r="D27">
        <f t="shared" si="0"/>
        <v>0</v>
      </c>
    </row>
    <row r="28" spans="1:4" hidden="1" x14ac:dyDescent="0.3">
      <c r="A28" t="s">
        <v>20</v>
      </c>
      <c r="D28">
        <f t="shared" si="0"/>
        <v>0</v>
      </c>
    </row>
    <row r="29" spans="1:4" hidden="1" x14ac:dyDescent="0.3">
      <c r="A29" t="s">
        <v>21</v>
      </c>
      <c r="D29">
        <f t="shared" si="0"/>
        <v>0</v>
      </c>
    </row>
    <row r="30" spans="1:4" x14ac:dyDescent="0.3">
      <c r="A30" t="s">
        <v>22</v>
      </c>
      <c r="B30">
        <v>271</v>
      </c>
      <c r="C30">
        <v>9000</v>
      </c>
      <c r="D30">
        <f t="shared" si="0"/>
        <v>2439000</v>
      </c>
    </row>
    <row r="31" spans="1:4" x14ac:dyDescent="0.3">
      <c r="A31" t="s">
        <v>23</v>
      </c>
      <c r="B31">
        <v>650</v>
      </c>
      <c r="C31">
        <v>5500</v>
      </c>
      <c r="D31">
        <f t="shared" si="0"/>
        <v>3575000</v>
      </c>
    </row>
    <row r="32" spans="1:4" hidden="1" x14ac:dyDescent="0.3">
      <c r="A32" t="s">
        <v>24</v>
      </c>
      <c r="D32">
        <f t="shared" si="0"/>
        <v>0</v>
      </c>
    </row>
    <row r="33" spans="1:4" hidden="1" x14ac:dyDescent="0.3">
      <c r="A33" t="s">
        <v>24</v>
      </c>
      <c r="D33">
        <f t="shared" si="0"/>
        <v>0</v>
      </c>
    </row>
    <row r="34" spans="1:4" hidden="1" x14ac:dyDescent="0.3">
      <c r="A34" t="s">
        <v>25</v>
      </c>
      <c r="D34">
        <f t="shared" si="0"/>
        <v>0</v>
      </c>
    </row>
    <row r="35" spans="1:4" hidden="1" x14ac:dyDescent="0.3">
      <c r="A35" t="s">
        <v>26</v>
      </c>
      <c r="D35">
        <f t="shared" si="0"/>
        <v>0</v>
      </c>
    </row>
    <row r="36" spans="1:4" hidden="1" x14ac:dyDescent="0.3">
      <c r="A36" t="s">
        <v>26</v>
      </c>
      <c r="D36">
        <f t="shared" si="0"/>
        <v>0</v>
      </c>
    </row>
    <row r="37" spans="1:4" hidden="1" x14ac:dyDescent="0.3">
      <c r="A37" t="s">
        <v>27</v>
      </c>
      <c r="D37">
        <f t="shared" si="0"/>
        <v>0</v>
      </c>
    </row>
    <row r="38" spans="1:4" hidden="1" x14ac:dyDescent="0.3">
      <c r="A38" t="s">
        <v>28</v>
      </c>
      <c r="D38">
        <f t="shared" si="0"/>
        <v>0</v>
      </c>
    </row>
    <row r="39" spans="1:4" x14ac:dyDescent="0.3">
      <c r="A39" t="s">
        <v>28</v>
      </c>
      <c r="B39">
        <v>15</v>
      </c>
      <c r="C39">
        <v>16000</v>
      </c>
      <c r="D39">
        <f t="shared" si="0"/>
        <v>240000</v>
      </c>
    </row>
    <row r="40" spans="1:4" hidden="1" x14ac:dyDescent="0.3">
      <c r="A40" t="s">
        <v>28</v>
      </c>
      <c r="D40">
        <f t="shared" si="0"/>
        <v>0</v>
      </c>
    </row>
    <row r="41" spans="1:4" hidden="1" x14ac:dyDescent="0.3">
      <c r="A41" t="s">
        <v>29</v>
      </c>
      <c r="D41">
        <f t="shared" si="0"/>
        <v>0</v>
      </c>
    </row>
    <row r="42" spans="1:4" x14ac:dyDescent="0.3">
      <c r="A42" t="s">
        <v>29</v>
      </c>
      <c r="B42">
        <v>23</v>
      </c>
      <c r="C42">
        <v>33000</v>
      </c>
      <c r="D42">
        <f t="shared" si="0"/>
        <v>759000</v>
      </c>
    </row>
    <row r="43" spans="1:4" hidden="1" x14ac:dyDescent="0.3">
      <c r="A43" t="s">
        <v>30</v>
      </c>
      <c r="D43">
        <f t="shared" si="0"/>
        <v>0</v>
      </c>
    </row>
    <row r="44" spans="1:4" hidden="1" x14ac:dyDescent="0.3">
      <c r="A44" t="s">
        <v>30</v>
      </c>
      <c r="D44">
        <f t="shared" si="0"/>
        <v>0</v>
      </c>
    </row>
    <row r="45" spans="1:4" x14ac:dyDescent="0.3">
      <c r="A45" t="s">
        <v>31</v>
      </c>
      <c r="B45">
        <v>7</v>
      </c>
      <c r="C45">
        <v>14000</v>
      </c>
      <c r="D45">
        <f t="shared" si="0"/>
        <v>98000</v>
      </c>
    </row>
    <row r="46" spans="1:4" hidden="1" x14ac:dyDescent="0.3">
      <c r="A46" t="s">
        <v>32</v>
      </c>
      <c r="D46">
        <f t="shared" si="0"/>
        <v>0</v>
      </c>
    </row>
    <row r="47" spans="1:4" hidden="1" x14ac:dyDescent="0.3">
      <c r="A47" t="s">
        <v>33</v>
      </c>
      <c r="D47">
        <f t="shared" si="0"/>
        <v>0</v>
      </c>
    </row>
    <row r="48" spans="1:4" hidden="1" x14ac:dyDescent="0.3">
      <c r="A48" t="s">
        <v>34</v>
      </c>
      <c r="D48">
        <f t="shared" si="0"/>
        <v>0</v>
      </c>
    </row>
    <row r="49" spans="1:4" hidden="1" x14ac:dyDescent="0.3">
      <c r="A49" t="s">
        <v>35</v>
      </c>
      <c r="D49">
        <f t="shared" si="0"/>
        <v>0</v>
      </c>
    </row>
    <row r="50" spans="1:4" hidden="1" x14ac:dyDescent="0.3">
      <c r="A50" t="s">
        <v>35</v>
      </c>
      <c r="D50">
        <f t="shared" si="0"/>
        <v>0</v>
      </c>
    </row>
    <row r="51" spans="1:4" hidden="1" x14ac:dyDescent="0.3">
      <c r="A51" t="s">
        <v>36</v>
      </c>
      <c r="D51">
        <f t="shared" si="0"/>
        <v>0</v>
      </c>
    </row>
    <row r="52" spans="1:4" hidden="1" x14ac:dyDescent="0.3">
      <c r="A52" t="s">
        <v>37</v>
      </c>
      <c r="D52">
        <f t="shared" si="0"/>
        <v>0</v>
      </c>
    </row>
    <row r="53" spans="1:4" hidden="1" x14ac:dyDescent="0.3">
      <c r="A53" t="s">
        <v>37</v>
      </c>
      <c r="D53">
        <f t="shared" si="0"/>
        <v>0</v>
      </c>
    </row>
    <row r="54" spans="1:4" hidden="1" x14ac:dyDescent="0.3">
      <c r="A54" t="s">
        <v>38</v>
      </c>
      <c r="D54">
        <f t="shared" si="0"/>
        <v>0</v>
      </c>
    </row>
    <row r="55" spans="1:4" hidden="1" x14ac:dyDescent="0.3">
      <c r="A55" t="s">
        <v>39</v>
      </c>
      <c r="D55">
        <f t="shared" si="0"/>
        <v>0</v>
      </c>
    </row>
    <row r="56" spans="1:4" hidden="1" x14ac:dyDescent="0.3">
      <c r="A56" t="s">
        <v>40</v>
      </c>
      <c r="D56">
        <f t="shared" si="0"/>
        <v>0</v>
      </c>
    </row>
    <row r="57" spans="1:4" hidden="1" x14ac:dyDescent="0.3">
      <c r="A57" t="s">
        <v>41</v>
      </c>
      <c r="D57">
        <f t="shared" si="0"/>
        <v>0</v>
      </c>
    </row>
    <row r="58" spans="1:4" hidden="1" x14ac:dyDescent="0.3">
      <c r="A58" t="s">
        <v>42</v>
      </c>
      <c r="D58">
        <f t="shared" si="0"/>
        <v>0</v>
      </c>
    </row>
    <row r="59" spans="1:4" hidden="1" x14ac:dyDescent="0.3">
      <c r="A59" t="s">
        <v>43</v>
      </c>
      <c r="D59">
        <f t="shared" si="0"/>
        <v>0</v>
      </c>
    </row>
    <row r="60" spans="1:4" hidden="1" x14ac:dyDescent="0.3">
      <c r="A60" t="s">
        <v>44</v>
      </c>
      <c r="D60">
        <f t="shared" si="0"/>
        <v>0</v>
      </c>
    </row>
    <row r="61" spans="1:4" hidden="1" x14ac:dyDescent="0.3">
      <c r="A61" t="s">
        <v>44</v>
      </c>
      <c r="D61">
        <f t="shared" si="0"/>
        <v>0</v>
      </c>
    </row>
    <row r="62" spans="1:4" hidden="1" x14ac:dyDescent="0.3">
      <c r="A62" t="s">
        <v>45</v>
      </c>
      <c r="D62">
        <f t="shared" si="0"/>
        <v>0</v>
      </c>
    </row>
    <row r="63" spans="1:4" hidden="1" x14ac:dyDescent="0.3">
      <c r="A63" t="s">
        <v>46</v>
      </c>
      <c r="D63">
        <f t="shared" si="0"/>
        <v>0</v>
      </c>
    </row>
    <row r="64" spans="1:4" hidden="1" x14ac:dyDescent="0.3">
      <c r="A64" t="s">
        <v>47</v>
      </c>
      <c r="D64">
        <f t="shared" si="0"/>
        <v>0</v>
      </c>
    </row>
    <row r="65" spans="1:4" hidden="1" x14ac:dyDescent="0.3">
      <c r="A65" t="s">
        <v>48</v>
      </c>
      <c r="D65">
        <f t="shared" si="0"/>
        <v>0</v>
      </c>
    </row>
    <row r="66" spans="1:4" hidden="1" x14ac:dyDescent="0.3">
      <c r="A66" t="s">
        <v>49</v>
      </c>
      <c r="D66">
        <f t="shared" si="0"/>
        <v>0</v>
      </c>
    </row>
    <row r="67" spans="1:4" x14ac:dyDescent="0.3">
      <c r="A67" t="s">
        <v>50</v>
      </c>
      <c r="B67">
        <v>1100</v>
      </c>
      <c r="C67">
        <v>6500</v>
      </c>
      <c r="D67">
        <f t="shared" si="0"/>
        <v>7150000</v>
      </c>
    </row>
    <row r="68" spans="1:4" hidden="1" x14ac:dyDescent="0.3">
      <c r="A68" t="s">
        <v>51</v>
      </c>
      <c r="D68">
        <f t="shared" ref="D68:D131" si="1">B68*C68</f>
        <v>0</v>
      </c>
    </row>
    <row r="69" spans="1:4" hidden="1" x14ac:dyDescent="0.3">
      <c r="A69" t="s">
        <v>51</v>
      </c>
      <c r="D69">
        <f t="shared" si="1"/>
        <v>0</v>
      </c>
    </row>
    <row r="70" spans="1:4" x14ac:dyDescent="0.3">
      <c r="A70" t="s">
        <v>52</v>
      </c>
      <c r="B70">
        <v>45</v>
      </c>
      <c r="C70">
        <v>10000</v>
      </c>
      <c r="D70">
        <f t="shared" si="1"/>
        <v>450000</v>
      </c>
    </row>
    <row r="71" spans="1:4" hidden="1" x14ac:dyDescent="0.3">
      <c r="A71" t="s">
        <v>52</v>
      </c>
      <c r="D71">
        <f t="shared" si="1"/>
        <v>0</v>
      </c>
    </row>
    <row r="72" spans="1:4" x14ac:dyDescent="0.3">
      <c r="A72" t="s">
        <v>53</v>
      </c>
      <c r="B72">
        <v>250</v>
      </c>
      <c r="C72">
        <v>26000</v>
      </c>
      <c r="D72">
        <f t="shared" si="1"/>
        <v>6500000</v>
      </c>
    </row>
    <row r="73" spans="1:4" hidden="1" x14ac:dyDescent="0.3">
      <c r="A73" t="s">
        <v>53</v>
      </c>
      <c r="D73">
        <f t="shared" si="1"/>
        <v>0</v>
      </c>
    </row>
    <row r="74" spans="1:4" x14ac:dyDescent="0.3">
      <c r="A74" t="s">
        <v>54</v>
      </c>
      <c r="B74">
        <v>48</v>
      </c>
      <c r="C74">
        <v>24000</v>
      </c>
      <c r="D74">
        <f t="shared" si="1"/>
        <v>1152000</v>
      </c>
    </row>
    <row r="75" spans="1:4" hidden="1" x14ac:dyDescent="0.3">
      <c r="A75" t="s">
        <v>55</v>
      </c>
      <c r="D75">
        <f t="shared" si="1"/>
        <v>0</v>
      </c>
    </row>
    <row r="76" spans="1:4" x14ac:dyDescent="0.3">
      <c r="A76" t="s">
        <v>56</v>
      </c>
      <c r="B76">
        <v>144</v>
      </c>
      <c r="C76">
        <v>11400</v>
      </c>
      <c r="D76">
        <f t="shared" si="1"/>
        <v>1641600</v>
      </c>
    </row>
    <row r="77" spans="1:4" x14ac:dyDescent="0.3">
      <c r="A77" t="s">
        <v>57</v>
      </c>
      <c r="B77">
        <v>5</v>
      </c>
      <c r="C77">
        <v>15000</v>
      </c>
      <c r="D77">
        <f t="shared" si="1"/>
        <v>75000</v>
      </c>
    </row>
    <row r="78" spans="1:4" hidden="1" x14ac:dyDescent="0.3">
      <c r="A78" t="s">
        <v>58</v>
      </c>
      <c r="D78">
        <f t="shared" si="1"/>
        <v>0</v>
      </c>
    </row>
    <row r="79" spans="1:4" x14ac:dyDescent="0.3">
      <c r="A79" t="s">
        <v>59</v>
      </c>
      <c r="B79">
        <v>15</v>
      </c>
      <c r="C79">
        <v>7000</v>
      </c>
      <c r="D79">
        <f t="shared" si="1"/>
        <v>105000</v>
      </c>
    </row>
    <row r="80" spans="1:4" x14ac:dyDescent="0.3">
      <c r="A80" t="s">
        <v>60</v>
      </c>
      <c r="B80">
        <v>300</v>
      </c>
      <c r="C80">
        <v>19000</v>
      </c>
      <c r="D80">
        <f t="shared" si="1"/>
        <v>5700000</v>
      </c>
    </row>
    <row r="81" spans="1:4" hidden="1" x14ac:dyDescent="0.3">
      <c r="A81" t="s">
        <v>60</v>
      </c>
      <c r="D81">
        <f t="shared" si="1"/>
        <v>0</v>
      </c>
    </row>
    <row r="82" spans="1:4" hidden="1" x14ac:dyDescent="0.3">
      <c r="A82" t="s">
        <v>60</v>
      </c>
      <c r="D82">
        <f t="shared" si="1"/>
        <v>0</v>
      </c>
    </row>
    <row r="83" spans="1:4" x14ac:dyDescent="0.3">
      <c r="A83" t="s">
        <v>61</v>
      </c>
      <c r="B83">
        <v>130</v>
      </c>
      <c r="C83">
        <v>17000</v>
      </c>
      <c r="D83">
        <f t="shared" si="1"/>
        <v>2210000</v>
      </c>
    </row>
    <row r="84" spans="1:4" x14ac:dyDescent="0.3">
      <c r="A84" t="s">
        <v>62</v>
      </c>
      <c r="B84">
        <v>19</v>
      </c>
      <c r="C84">
        <v>9000</v>
      </c>
      <c r="D84">
        <f t="shared" si="1"/>
        <v>171000</v>
      </c>
    </row>
    <row r="85" spans="1:4" hidden="1" x14ac:dyDescent="0.3">
      <c r="A85" t="s">
        <v>63</v>
      </c>
      <c r="D85">
        <f t="shared" si="1"/>
        <v>0</v>
      </c>
    </row>
    <row r="86" spans="1:4" hidden="1" x14ac:dyDescent="0.3">
      <c r="A86" t="s">
        <v>64</v>
      </c>
      <c r="D86">
        <f t="shared" si="1"/>
        <v>0</v>
      </c>
    </row>
    <row r="87" spans="1:4" hidden="1" x14ac:dyDescent="0.3">
      <c r="A87" t="s">
        <v>64</v>
      </c>
      <c r="D87">
        <f t="shared" si="1"/>
        <v>0</v>
      </c>
    </row>
    <row r="88" spans="1:4" hidden="1" x14ac:dyDescent="0.3">
      <c r="A88" t="s">
        <v>65</v>
      </c>
      <c r="D88">
        <f t="shared" si="1"/>
        <v>0</v>
      </c>
    </row>
    <row r="89" spans="1:4" hidden="1" x14ac:dyDescent="0.3">
      <c r="A89" t="s">
        <v>66</v>
      </c>
      <c r="D89">
        <f t="shared" si="1"/>
        <v>0</v>
      </c>
    </row>
    <row r="90" spans="1:4" hidden="1" x14ac:dyDescent="0.3">
      <c r="A90" t="s">
        <v>67</v>
      </c>
      <c r="D90">
        <f t="shared" si="1"/>
        <v>0</v>
      </c>
    </row>
    <row r="91" spans="1:4" hidden="1" x14ac:dyDescent="0.3">
      <c r="A91" t="s">
        <v>68</v>
      </c>
      <c r="D91">
        <f t="shared" si="1"/>
        <v>0</v>
      </c>
    </row>
    <row r="92" spans="1:4" hidden="1" x14ac:dyDescent="0.3">
      <c r="A92" t="s">
        <v>69</v>
      </c>
      <c r="D92">
        <f t="shared" si="1"/>
        <v>0</v>
      </c>
    </row>
    <row r="93" spans="1:4" hidden="1" x14ac:dyDescent="0.3">
      <c r="A93" t="s">
        <v>69</v>
      </c>
      <c r="D93">
        <f t="shared" si="1"/>
        <v>0</v>
      </c>
    </row>
    <row r="94" spans="1:4" hidden="1" x14ac:dyDescent="0.3">
      <c r="A94" t="s">
        <v>70</v>
      </c>
      <c r="D94">
        <f t="shared" si="1"/>
        <v>0</v>
      </c>
    </row>
    <row r="95" spans="1:4" x14ac:dyDescent="0.3">
      <c r="A95" t="s">
        <v>71</v>
      </c>
      <c r="B95">
        <v>26</v>
      </c>
      <c r="C95">
        <v>9000</v>
      </c>
      <c r="D95">
        <f t="shared" si="1"/>
        <v>234000</v>
      </c>
    </row>
    <row r="96" spans="1:4" hidden="1" x14ac:dyDescent="0.3">
      <c r="A96" t="s">
        <v>72</v>
      </c>
      <c r="D96">
        <f t="shared" si="1"/>
        <v>0</v>
      </c>
    </row>
    <row r="97" spans="1:4" hidden="1" x14ac:dyDescent="0.3">
      <c r="A97" t="s">
        <v>73</v>
      </c>
      <c r="D97">
        <f t="shared" si="1"/>
        <v>0</v>
      </c>
    </row>
    <row r="98" spans="1:4" hidden="1" x14ac:dyDescent="0.3">
      <c r="A98" t="s">
        <v>73</v>
      </c>
      <c r="D98">
        <f t="shared" si="1"/>
        <v>0</v>
      </c>
    </row>
    <row r="99" spans="1:4" x14ac:dyDescent="0.3">
      <c r="A99" t="s">
        <v>74</v>
      </c>
      <c r="B99">
        <v>4</v>
      </c>
      <c r="C99">
        <v>8000</v>
      </c>
      <c r="D99">
        <f t="shared" si="1"/>
        <v>32000</v>
      </c>
    </row>
    <row r="100" spans="1:4" hidden="1" x14ac:dyDescent="0.3">
      <c r="A100" t="s">
        <v>75</v>
      </c>
      <c r="D100">
        <f t="shared" si="1"/>
        <v>0</v>
      </c>
    </row>
    <row r="101" spans="1:4" hidden="1" x14ac:dyDescent="0.3">
      <c r="A101" t="s">
        <v>75</v>
      </c>
      <c r="D101">
        <f t="shared" si="1"/>
        <v>0</v>
      </c>
    </row>
    <row r="102" spans="1:4" x14ac:dyDescent="0.3">
      <c r="A102" t="s">
        <v>76</v>
      </c>
      <c r="B102">
        <v>59</v>
      </c>
      <c r="C102">
        <v>22000</v>
      </c>
      <c r="D102">
        <f t="shared" si="1"/>
        <v>1298000</v>
      </c>
    </row>
    <row r="103" spans="1:4" hidden="1" x14ac:dyDescent="0.3">
      <c r="A103" t="s">
        <v>76</v>
      </c>
      <c r="D103">
        <f t="shared" si="1"/>
        <v>0</v>
      </c>
    </row>
    <row r="104" spans="1:4" hidden="1" x14ac:dyDescent="0.3">
      <c r="A104" t="s">
        <v>77</v>
      </c>
      <c r="D104">
        <f t="shared" si="1"/>
        <v>0</v>
      </c>
    </row>
    <row r="105" spans="1:4" hidden="1" x14ac:dyDescent="0.3">
      <c r="A105" t="s">
        <v>77</v>
      </c>
      <c r="D105">
        <f t="shared" si="1"/>
        <v>0</v>
      </c>
    </row>
    <row r="106" spans="1:4" x14ac:dyDescent="0.3">
      <c r="A106" t="s">
        <v>78</v>
      </c>
      <c r="B106">
        <v>90</v>
      </c>
      <c r="C106">
        <v>20000</v>
      </c>
      <c r="D106">
        <f t="shared" si="1"/>
        <v>1800000</v>
      </c>
    </row>
    <row r="107" spans="1:4" hidden="1" x14ac:dyDescent="0.3">
      <c r="A107" t="s">
        <v>78</v>
      </c>
      <c r="D107">
        <f t="shared" si="1"/>
        <v>0</v>
      </c>
    </row>
    <row r="108" spans="1:4" x14ac:dyDescent="0.3">
      <c r="A108" t="s">
        <v>79</v>
      </c>
      <c r="B108">
        <v>30</v>
      </c>
      <c r="C108">
        <v>22000</v>
      </c>
      <c r="D108">
        <f t="shared" si="1"/>
        <v>660000</v>
      </c>
    </row>
    <row r="109" spans="1:4" hidden="1" x14ac:dyDescent="0.3">
      <c r="A109" t="s">
        <v>79</v>
      </c>
      <c r="D109">
        <f t="shared" si="1"/>
        <v>0</v>
      </c>
    </row>
    <row r="110" spans="1:4" x14ac:dyDescent="0.3">
      <c r="A110" t="s">
        <v>80</v>
      </c>
      <c r="B110">
        <v>12</v>
      </c>
      <c r="C110">
        <v>14500</v>
      </c>
      <c r="D110">
        <f t="shared" si="1"/>
        <v>174000</v>
      </c>
    </row>
    <row r="111" spans="1:4" hidden="1" x14ac:dyDescent="0.3">
      <c r="A111" t="s">
        <v>81</v>
      </c>
      <c r="D111">
        <f t="shared" si="1"/>
        <v>0</v>
      </c>
    </row>
    <row r="112" spans="1:4" hidden="1" x14ac:dyDescent="0.3">
      <c r="A112" t="s">
        <v>81</v>
      </c>
      <c r="D112">
        <f t="shared" si="1"/>
        <v>0</v>
      </c>
    </row>
    <row r="113" spans="1:4" x14ac:dyDescent="0.3">
      <c r="A113" t="s">
        <v>82</v>
      </c>
      <c r="B113">
        <v>105</v>
      </c>
      <c r="C113">
        <v>5000</v>
      </c>
      <c r="D113">
        <f t="shared" si="1"/>
        <v>525000</v>
      </c>
    </row>
    <row r="114" spans="1:4" hidden="1" x14ac:dyDescent="0.3">
      <c r="A114" t="s">
        <v>83</v>
      </c>
      <c r="D114">
        <f t="shared" si="1"/>
        <v>0</v>
      </c>
    </row>
    <row r="115" spans="1:4" hidden="1" x14ac:dyDescent="0.3">
      <c r="A115" t="s">
        <v>84</v>
      </c>
      <c r="D115">
        <f t="shared" si="1"/>
        <v>0</v>
      </c>
    </row>
    <row r="116" spans="1:4" hidden="1" x14ac:dyDescent="0.3">
      <c r="A116" t="s">
        <v>85</v>
      </c>
      <c r="D116">
        <f t="shared" si="1"/>
        <v>0</v>
      </c>
    </row>
    <row r="117" spans="1:4" hidden="1" x14ac:dyDescent="0.3">
      <c r="A117" t="s">
        <v>86</v>
      </c>
      <c r="D117">
        <f t="shared" si="1"/>
        <v>0</v>
      </c>
    </row>
    <row r="118" spans="1:4" x14ac:dyDescent="0.3">
      <c r="A118" t="s">
        <v>87</v>
      </c>
      <c r="B118">
        <v>110</v>
      </c>
      <c r="C118">
        <v>14000</v>
      </c>
      <c r="D118">
        <f t="shared" si="1"/>
        <v>1540000</v>
      </c>
    </row>
    <row r="119" spans="1:4" hidden="1" x14ac:dyDescent="0.3">
      <c r="A119" t="s">
        <v>88</v>
      </c>
      <c r="D119">
        <f t="shared" si="1"/>
        <v>0</v>
      </c>
    </row>
    <row r="120" spans="1:4" hidden="1" x14ac:dyDescent="0.3">
      <c r="A120" t="s">
        <v>89</v>
      </c>
      <c r="D120">
        <f t="shared" si="1"/>
        <v>0</v>
      </c>
    </row>
    <row r="121" spans="1:4" hidden="1" x14ac:dyDescent="0.3">
      <c r="A121" t="s">
        <v>90</v>
      </c>
      <c r="D121">
        <f t="shared" si="1"/>
        <v>0</v>
      </c>
    </row>
    <row r="122" spans="1:4" x14ac:dyDescent="0.3">
      <c r="A122" t="s">
        <v>92</v>
      </c>
      <c r="B122">
        <v>35</v>
      </c>
      <c r="C122">
        <v>11000</v>
      </c>
      <c r="D122">
        <f t="shared" si="1"/>
        <v>385000</v>
      </c>
    </row>
    <row r="123" spans="1:4" x14ac:dyDescent="0.3">
      <c r="A123" t="s">
        <v>93</v>
      </c>
      <c r="B123">
        <v>15</v>
      </c>
      <c r="C123">
        <v>24000</v>
      </c>
      <c r="D123">
        <f t="shared" si="1"/>
        <v>360000</v>
      </c>
    </row>
    <row r="124" spans="1:4" hidden="1" x14ac:dyDescent="0.3">
      <c r="A124" t="s">
        <v>94</v>
      </c>
      <c r="D124">
        <f t="shared" si="1"/>
        <v>0</v>
      </c>
    </row>
    <row r="125" spans="1:4" hidden="1" x14ac:dyDescent="0.3">
      <c r="A125" t="s">
        <v>95</v>
      </c>
      <c r="D125">
        <f t="shared" si="1"/>
        <v>0</v>
      </c>
    </row>
    <row r="126" spans="1:4" hidden="1" x14ac:dyDescent="0.3">
      <c r="A126" t="s">
        <v>96</v>
      </c>
      <c r="D126">
        <f t="shared" si="1"/>
        <v>0</v>
      </c>
    </row>
    <row r="127" spans="1:4" hidden="1" x14ac:dyDescent="0.3">
      <c r="A127" t="s">
        <v>97</v>
      </c>
      <c r="D127">
        <f t="shared" si="1"/>
        <v>0</v>
      </c>
    </row>
    <row r="128" spans="1:4" hidden="1" x14ac:dyDescent="0.3">
      <c r="A128" t="s">
        <v>98</v>
      </c>
      <c r="D128">
        <f t="shared" si="1"/>
        <v>0</v>
      </c>
    </row>
    <row r="129" spans="1:4" hidden="1" x14ac:dyDescent="0.3">
      <c r="A129" t="s">
        <v>99</v>
      </c>
      <c r="D129">
        <f t="shared" si="1"/>
        <v>0</v>
      </c>
    </row>
    <row r="130" spans="1:4" hidden="1" x14ac:dyDescent="0.3">
      <c r="A130" t="s">
        <v>100</v>
      </c>
      <c r="D130">
        <f t="shared" si="1"/>
        <v>0</v>
      </c>
    </row>
    <row r="131" spans="1:4" hidden="1" x14ac:dyDescent="0.3">
      <c r="A131" t="s">
        <v>121</v>
      </c>
      <c r="D131">
        <f t="shared" si="1"/>
        <v>0</v>
      </c>
    </row>
    <row r="132" spans="1:4" hidden="1" x14ac:dyDescent="0.3">
      <c r="A132" t="s">
        <v>101</v>
      </c>
      <c r="D132">
        <f t="shared" ref="D132:D198" si="2">B132*C132</f>
        <v>0</v>
      </c>
    </row>
    <row r="133" spans="1:4" hidden="1" x14ac:dyDescent="0.3">
      <c r="A133" t="s">
        <v>102</v>
      </c>
      <c r="D133">
        <f t="shared" si="2"/>
        <v>0</v>
      </c>
    </row>
    <row r="134" spans="1:4" hidden="1" x14ac:dyDescent="0.3">
      <c r="A134" t="s">
        <v>103</v>
      </c>
      <c r="D134">
        <f t="shared" si="2"/>
        <v>0</v>
      </c>
    </row>
    <row r="135" spans="1:4" hidden="1" x14ac:dyDescent="0.3">
      <c r="A135" t="s">
        <v>521</v>
      </c>
      <c r="D135">
        <f t="shared" si="2"/>
        <v>0</v>
      </c>
    </row>
    <row r="136" spans="1:4" hidden="1" x14ac:dyDescent="0.3">
      <c r="A136" t="s">
        <v>116</v>
      </c>
      <c r="D136">
        <f t="shared" si="2"/>
        <v>0</v>
      </c>
    </row>
    <row r="137" spans="1:4" hidden="1" x14ac:dyDescent="0.3">
      <c r="A137" t="s">
        <v>116</v>
      </c>
      <c r="D137">
        <f t="shared" si="2"/>
        <v>0</v>
      </c>
    </row>
    <row r="138" spans="1:4" hidden="1" x14ac:dyDescent="0.3">
      <c r="A138" t="s">
        <v>118</v>
      </c>
      <c r="D138">
        <f t="shared" si="2"/>
        <v>0</v>
      </c>
    </row>
    <row r="139" spans="1:4" hidden="1" x14ac:dyDescent="0.3">
      <c r="A139" t="s">
        <v>110</v>
      </c>
      <c r="D139">
        <f t="shared" si="2"/>
        <v>0</v>
      </c>
    </row>
    <row r="140" spans="1:4" hidden="1" x14ac:dyDescent="0.3">
      <c r="A140" t="s">
        <v>535</v>
      </c>
      <c r="D140">
        <f t="shared" si="2"/>
        <v>0</v>
      </c>
    </row>
    <row r="141" spans="1:4" hidden="1" x14ac:dyDescent="0.3">
      <c r="A141" t="s">
        <v>107</v>
      </c>
      <c r="D141">
        <f t="shared" si="2"/>
        <v>0</v>
      </c>
    </row>
    <row r="142" spans="1:4" hidden="1" x14ac:dyDescent="0.3">
      <c r="A142" t="s">
        <v>536</v>
      </c>
      <c r="D142">
        <f t="shared" si="2"/>
        <v>0</v>
      </c>
    </row>
    <row r="143" spans="1:4" hidden="1" x14ac:dyDescent="0.3">
      <c r="A143" t="s">
        <v>537</v>
      </c>
      <c r="D143">
        <f t="shared" si="2"/>
        <v>0</v>
      </c>
    </row>
    <row r="144" spans="1:4" hidden="1" x14ac:dyDescent="0.3">
      <c r="A144" t="s">
        <v>538</v>
      </c>
      <c r="D144">
        <f t="shared" si="2"/>
        <v>0</v>
      </c>
    </row>
    <row r="145" spans="1:4" x14ac:dyDescent="0.3">
      <c r="A145" t="s">
        <v>524</v>
      </c>
      <c r="B145">
        <v>18</v>
      </c>
      <c r="C145">
        <v>32000</v>
      </c>
      <c r="D145">
        <f t="shared" si="2"/>
        <v>576000</v>
      </c>
    </row>
    <row r="146" spans="1:4" hidden="1" x14ac:dyDescent="0.3">
      <c r="A146" t="s">
        <v>527</v>
      </c>
      <c r="D146">
        <f t="shared" si="2"/>
        <v>0</v>
      </c>
    </row>
    <row r="147" spans="1:4" hidden="1" x14ac:dyDescent="0.3">
      <c r="A147" t="s">
        <v>111</v>
      </c>
      <c r="D147">
        <f t="shared" si="2"/>
        <v>0</v>
      </c>
    </row>
    <row r="148" spans="1:4" hidden="1" x14ac:dyDescent="0.3">
      <c r="A148" t="s">
        <v>539</v>
      </c>
      <c r="D148">
        <f t="shared" si="2"/>
        <v>0</v>
      </c>
    </row>
    <row r="149" spans="1:4" hidden="1" x14ac:dyDescent="0.3">
      <c r="A149" t="s">
        <v>540</v>
      </c>
      <c r="D149">
        <f t="shared" si="2"/>
        <v>0</v>
      </c>
    </row>
    <row r="150" spans="1:4" hidden="1" x14ac:dyDescent="0.3">
      <c r="A150" t="e">
        <v>#N/A</v>
      </c>
      <c r="D150">
        <f t="shared" si="2"/>
        <v>0</v>
      </c>
    </row>
    <row r="151" spans="1:4" hidden="1" x14ac:dyDescent="0.3">
      <c r="A151" t="s">
        <v>531</v>
      </c>
      <c r="D151">
        <f t="shared" si="2"/>
        <v>0</v>
      </c>
    </row>
    <row r="152" spans="1:4" x14ac:dyDescent="0.3">
      <c r="A152" t="s">
        <v>532</v>
      </c>
      <c r="B152">
        <v>8</v>
      </c>
      <c r="C152">
        <v>16000</v>
      </c>
      <c r="D152">
        <f t="shared" si="2"/>
        <v>128000</v>
      </c>
    </row>
    <row r="153" spans="1:4" x14ac:dyDescent="0.3">
      <c r="A153" t="s">
        <v>533</v>
      </c>
      <c r="B153">
        <v>5</v>
      </c>
      <c r="C153">
        <v>17000</v>
      </c>
      <c r="D153">
        <f t="shared" si="2"/>
        <v>85000</v>
      </c>
    </row>
    <row r="154" spans="1:4" hidden="1" x14ac:dyDescent="0.3">
      <c r="D154">
        <f t="shared" si="2"/>
        <v>0</v>
      </c>
    </row>
    <row r="155" spans="1:4" ht="15.6" hidden="1" x14ac:dyDescent="0.3">
      <c r="A155" s="72"/>
      <c r="B155" s="72"/>
      <c r="C155" s="72"/>
      <c r="D155">
        <f t="shared" si="2"/>
        <v>0</v>
      </c>
    </row>
    <row r="156" spans="1:4" ht="15.6" hidden="1" x14ac:dyDescent="0.3">
      <c r="A156" s="73"/>
      <c r="B156" s="74"/>
      <c r="C156" s="75"/>
      <c r="D156">
        <f t="shared" si="2"/>
        <v>0</v>
      </c>
    </row>
    <row r="157" spans="1:4" ht="15.6" x14ac:dyDescent="0.3">
      <c r="A157" s="79"/>
      <c r="B157" s="80"/>
      <c r="C157" s="81"/>
      <c r="D157" s="59">
        <f>SUM(D3:D153)</f>
        <v>55030600</v>
      </c>
    </row>
    <row r="158" spans="1:4" ht="15.6" x14ac:dyDescent="0.3">
      <c r="A158" s="79" t="s">
        <v>542</v>
      </c>
      <c r="B158" s="80"/>
      <c r="C158" s="81"/>
    </row>
    <row r="159" spans="1:4" ht="15.6" x14ac:dyDescent="0.3">
      <c r="A159" s="76" t="s">
        <v>0</v>
      </c>
      <c r="B159" s="77" t="s">
        <v>543</v>
      </c>
      <c r="C159" s="78" t="s">
        <v>128</v>
      </c>
      <c r="D159" t="s">
        <v>129</v>
      </c>
    </row>
    <row r="160" spans="1:4" ht="15.6" hidden="1" x14ac:dyDescent="0.3">
      <c r="A160" s="51" t="s">
        <v>1</v>
      </c>
      <c r="B160" s="52"/>
      <c r="C160" s="53"/>
      <c r="D160">
        <f t="shared" si="2"/>
        <v>0</v>
      </c>
    </row>
    <row r="161" spans="1:4" ht="15.6" hidden="1" x14ac:dyDescent="0.3">
      <c r="A161" s="51" t="s">
        <v>117</v>
      </c>
      <c r="B161" s="52"/>
      <c r="C161" s="53"/>
      <c r="D161">
        <f t="shared" si="2"/>
        <v>0</v>
      </c>
    </row>
    <row r="162" spans="1:4" ht="15.6" hidden="1" x14ac:dyDescent="0.3">
      <c r="A162" s="51" t="s">
        <v>5</v>
      </c>
      <c r="B162" s="52"/>
      <c r="C162" s="53"/>
      <c r="D162">
        <f t="shared" si="2"/>
        <v>0</v>
      </c>
    </row>
    <row r="163" spans="1:4" ht="15.6" hidden="1" x14ac:dyDescent="0.3">
      <c r="A163" s="51" t="s">
        <v>6</v>
      </c>
      <c r="B163" s="52"/>
      <c r="C163" s="53"/>
      <c r="D163">
        <f t="shared" si="2"/>
        <v>0</v>
      </c>
    </row>
    <row r="164" spans="1:4" ht="15.6" x14ac:dyDescent="0.3">
      <c r="A164" s="51" t="s">
        <v>8</v>
      </c>
      <c r="B164" s="52">
        <v>166</v>
      </c>
      <c r="C164" s="53">
        <v>18000</v>
      </c>
      <c r="D164">
        <f t="shared" si="2"/>
        <v>2988000</v>
      </c>
    </row>
    <row r="165" spans="1:4" ht="15.6" hidden="1" x14ac:dyDescent="0.3">
      <c r="A165" s="51" t="s">
        <v>119</v>
      </c>
      <c r="B165" s="52"/>
      <c r="C165" s="53"/>
      <c r="D165">
        <f t="shared" si="2"/>
        <v>0</v>
      </c>
    </row>
    <row r="166" spans="1:4" ht="15.6" hidden="1" x14ac:dyDescent="0.3">
      <c r="A166" s="51" t="s">
        <v>12</v>
      </c>
      <c r="B166" s="52"/>
      <c r="C166" s="53"/>
      <c r="D166">
        <f t="shared" si="2"/>
        <v>0</v>
      </c>
    </row>
    <row r="167" spans="1:4" ht="15.6" hidden="1" x14ac:dyDescent="0.3">
      <c r="A167" s="51" t="s">
        <v>14</v>
      </c>
      <c r="B167" s="52"/>
      <c r="C167" s="53"/>
      <c r="D167">
        <f t="shared" si="2"/>
        <v>0</v>
      </c>
    </row>
    <row r="168" spans="1:4" ht="15.6" hidden="1" x14ac:dyDescent="0.3">
      <c r="A168" s="51" t="s">
        <v>15</v>
      </c>
      <c r="B168" s="52"/>
      <c r="C168" s="53"/>
      <c r="D168">
        <f t="shared" si="2"/>
        <v>0</v>
      </c>
    </row>
    <row r="169" spans="1:4" ht="15.6" hidden="1" x14ac:dyDescent="0.3">
      <c r="A169" s="51" t="s">
        <v>16</v>
      </c>
      <c r="B169" s="52"/>
      <c r="C169" s="53"/>
      <c r="D169">
        <f t="shared" si="2"/>
        <v>0</v>
      </c>
    </row>
    <row r="170" spans="1:4" ht="15.6" hidden="1" x14ac:dyDescent="0.3">
      <c r="A170" s="51" t="s">
        <v>110</v>
      </c>
      <c r="B170" s="52"/>
      <c r="C170" s="53"/>
      <c r="D170">
        <f t="shared" si="2"/>
        <v>0</v>
      </c>
    </row>
    <row r="171" spans="1:4" ht="15.6" hidden="1" x14ac:dyDescent="0.3">
      <c r="A171" s="51" t="s">
        <v>17</v>
      </c>
      <c r="B171" s="52"/>
      <c r="C171" s="53"/>
      <c r="D171">
        <f t="shared" si="2"/>
        <v>0</v>
      </c>
    </row>
    <row r="172" spans="1:4" ht="15.6" hidden="1" x14ac:dyDescent="0.3">
      <c r="A172" s="51" t="s">
        <v>21</v>
      </c>
      <c r="B172" s="52"/>
      <c r="C172" s="53"/>
      <c r="D172">
        <f t="shared" si="2"/>
        <v>0</v>
      </c>
    </row>
    <row r="173" spans="1:4" ht="15.6" hidden="1" x14ac:dyDescent="0.3">
      <c r="A173" s="51" t="s">
        <v>22</v>
      </c>
      <c r="B173" s="52"/>
      <c r="C173" s="53"/>
      <c r="D173">
        <f t="shared" si="2"/>
        <v>0</v>
      </c>
    </row>
    <row r="174" spans="1:4" ht="15.6" x14ac:dyDescent="0.3">
      <c r="A174" s="51" t="s">
        <v>23</v>
      </c>
      <c r="B174" s="52">
        <v>4333</v>
      </c>
      <c r="C174" s="53">
        <v>5500</v>
      </c>
      <c r="D174">
        <f t="shared" si="2"/>
        <v>23831500</v>
      </c>
    </row>
    <row r="175" spans="1:4" ht="15.6" hidden="1" x14ac:dyDescent="0.3">
      <c r="A175" s="51" t="s">
        <v>27</v>
      </c>
      <c r="B175" s="52"/>
      <c r="C175" s="53"/>
      <c r="D175">
        <f t="shared" si="2"/>
        <v>0</v>
      </c>
    </row>
    <row r="176" spans="1:4" ht="15.6" hidden="1" x14ac:dyDescent="0.3">
      <c r="A176" s="51" t="s">
        <v>28</v>
      </c>
      <c r="B176" s="52"/>
      <c r="C176" s="53"/>
      <c r="D176">
        <f t="shared" si="2"/>
        <v>0</v>
      </c>
    </row>
    <row r="177" spans="1:4" ht="15.6" hidden="1" x14ac:dyDescent="0.3">
      <c r="A177" s="51" t="s">
        <v>29</v>
      </c>
      <c r="B177" s="52"/>
      <c r="C177" s="53"/>
      <c r="D177">
        <f t="shared" si="2"/>
        <v>0</v>
      </c>
    </row>
    <row r="178" spans="1:4" ht="15.6" hidden="1" x14ac:dyDescent="0.3">
      <c r="A178" s="51" t="s">
        <v>39</v>
      </c>
      <c r="B178" s="52"/>
      <c r="C178" s="53"/>
      <c r="D178">
        <f t="shared" si="2"/>
        <v>0</v>
      </c>
    </row>
    <row r="179" spans="1:4" ht="15.6" hidden="1" x14ac:dyDescent="0.3">
      <c r="A179" s="51" t="s">
        <v>41</v>
      </c>
      <c r="B179" s="52"/>
      <c r="C179" s="53"/>
      <c r="D179">
        <f t="shared" si="2"/>
        <v>0</v>
      </c>
    </row>
    <row r="180" spans="1:4" ht="15.6" hidden="1" x14ac:dyDescent="0.3">
      <c r="A180" s="51" t="s">
        <v>46</v>
      </c>
      <c r="B180" s="52"/>
      <c r="C180" s="53"/>
      <c r="D180">
        <f t="shared" si="2"/>
        <v>0</v>
      </c>
    </row>
    <row r="181" spans="1:4" ht="15.6" x14ac:dyDescent="0.3">
      <c r="A181" s="51" t="s">
        <v>48</v>
      </c>
      <c r="B181" s="52">
        <v>55</v>
      </c>
      <c r="C181" s="53">
        <v>10000</v>
      </c>
      <c r="D181">
        <f t="shared" si="2"/>
        <v>550000</v>
      </c>
    </row>
    <row r="182" spans="1:4" ht="15.6" x14ac:dyDescent="0.3">
      <c r="A182" s="51" t="s">
        <v>50</v>
      </c>
      <c r="B182" s="52">
        <v>1960</v>
      </c>
      <c r="C182" s="53">
        <v>6500</v>
      </c>
      <c r="D182">
        <f t="shared" si="2"/>
        <v>12740000</v>
      </c>
    </row>
    <row r="183" spans="1:4" ht="15.6" hidden="1" x14ac:dyDescent="0.3">
      <c r="A183" s="51" t="s">
        <v>51</v>
      </c>
      <c r="B183" s="52"/>
      <c r="C183" s="53"/>
      <c r="D183">
        <f t="shared" si="2"/>
        <v>0</v>
      </c>
    </row>
    <row r="184" spans="1:4" ht="15.6" hidden="1" x14ac:dyDescent="0.3">
      <c r="A184" s="51" t="s">
        <v>53</v>
      </c>
      <c r="B184" s="52"/>
      <c r="C184" s="53"/>
      <c r="D184">
        <f t="shared" si="2"/>
        <v>0</v>
      </c>
    </row>
    <row r="185" spans="1:4" ht="15.6" x14ac:dyDescent="0.3">
      <c r="A185" s="51" t="s">
        <v>56</v>
      </c>
      <c r="B185" s="52">
        <v>5</v>
      </c>
      <c r="C185" s="53">
        <v>11400</v>
      </c>
      <c r="D185">
        <f t="shared" si="2"/>
        <v>57000</v>
      </c>
    </row>
    <row r="186" spans="1:4" ht="15.6" x14ac:dyDescent="0.3">
      <c r="A186" s="51" t="s">
        <v>60</v>
      </c>
      <c r="B186" s="52">
        <v>1000</v>
      </c>
      <c r="C186" s="53">
        <v>17500</v>
      </c>
      <c r="D186">
        <f t="shared" si="2"/>
        <v>17500000</v>
      </c>
    </row>
    <row r="187" spans="1:4" ht="15.6" x14ac:dyDescent="0.3">
      <c r="A187" s="51" t="s">
        <v>60</v>
      </c>
      <c r="B187" s="52">
        <v>770</v>
      </c>
      <c r="C187" s="53">
        <v>19000</v>
      </c>
      <c r="D187">
        <f t="shared" si="2"/>
        <v>14630000</v>
      </c>
    </row>
    <row r="188" spans="1:4" ht="15.6" hidden="1" x14ac:dyDescent="0.3">
      <c r="A188" s="51" t="s">
        <v>62</v>
      </c>
      <c r="B188" s="52"/>
      <c r="C188" s="53"/>
      <c r="D188">
        <f t="shared" si="2"/>
        <v>0</v>
      </c>
    </row>
    <row r="189" spans="1:4" ht="15.6" hidden="1" x14ac:dyDescent="0.3">
      <c r="A189" s="51" t="s">
        <v>67</v>
      </c>
      <c r="B189" s="52"/>
      <c r="C189" s="53"/>
      <c r="D189">
        <f t="shared" si="2"/>
        <v>0</v>
      </c>
    </row>
    <row r="190" spans="1:4" ht="15.6" x14ac:dyDescent="0.3">
      <c r="A190" s="51" t="s">
        <v>68</v>
      </c>
      <c r="B190" s="52">
        <v>5</v>
      </c>
      <c r="C190" s="53">
        <v>1300</v>
      </c>
      <c r="D190">
        <f t="shared" si="2"/>
        <v>6500</v>
      </c>
    </row>
    <row r="191" spans="1:4" ht="15.6" x14ac:dyDescent="0.3">
      <c r="A191" s="51" t="s">
        <v>72</v>
      </c>
      <c r="B191" s="52">
        <v>200</v>
      </c>
      <c r="C191" s="53">
        <v>9000</v>
      </c>
      <c r="D191">
        <f t="shared" si="2"/>
        <v>1800000</v>
      </c>
    </row>
    <row r="192" spans="1:4" ht="15.6" hidden="1" x14ac:dyDescent="0.3">
      <c r="A192" s="51" t="s">
        <v>76</v>
      </c>
      <c r="B192" s="52"/>
      <c r="C192" s="53"/>
      <c r="D192">
        <f t="shared" si="2"/>
        <v>0</v>
      </c>
    </row>
    <row r="193" spans="1:4" ht="15.6" hidden="1" x14ac:dyDescent="0.3">
      <c r="A193" s="51" t="s">
        <v>78</v>
      </c>
      <c r="B193" s="52"/>
      <c r="C193" s="53"/>
      <c r="D193">
        <f t="shared" si="2"/>
        <v>0</v>
      </c>
    </row>
    <row r="194" spans="1:4" ht="15.6" hidden="1" x14ac:dyDescent="0.3">
      <c r="A194" s="51" t="s">
        <v>79</v>
      </c>
      <c r="B194" s="52"/>
      <c r="C194" s="53"/>
      <c r="D194">
        <f t="shared" si="2"/>
        <v>0</v>
      </c>
    </row>
    <row r="195" spans="1:4" ht="15.6" hidden="1" x14ac:dyDescent="0.3">
      <c r="A195" s="51" t="s">
        <v>82</v>
      </c>
      <c r="B195" s="52"/>
      <c r="C195" s="53"/>
      <c r="D195">
        <f t="shared" si="2"/>
        <v>0</v>
      </c>
    </row>
    <row r="196" spans="1:4" ht="15.6" hidden="1" x14ac:dyDescent="0.3">
      <c r="A196" s="51" t="s">
        <v>87</v>
      </c>
      <c r="B196" s="52"/>
      <c r="C196" s="53"/>
      <c r="D196">
        <f t="shared" si="2"/>
        <v>0</v>
      </c>
    </row>
    <row r="197" spans="1:4" ht="15.6" x14ac:dyDescent="0.3">
      <c r="A197" s="51" t="s">
        <v>120</v>
      </c>
      <c r="B197" s="52">
        <v>6</v>
      </c>
      <c r="C197" s="53">
        <v>25000</v>
      </c>
      <c r="D197">
        <f t="shared" si="2"/>
        <v>150000</v>
      </c>
    </row>
    <row r="198" spans="1:4" ht="15.6" x14ac:dyDescent="0.3">
      <c r="A198" s="51" t="s">
        <v>109</v>
      </c>
      <c r="B198" s="52">
        <v>15</v>
      </c>
      <c r="C198" s="53">
        <v>15000</v>
      </c>
      <c r="D198">
        <f t="shared" si="2"/>
        <v>225000</v>
      </c>
    </row>
    <row r="199" spans="1:4" ht="15.6" hidden="1" x14ac:dyDescent="0.3">
      <c r="A199" s="51" t="s">
        <v>121</v>
      </c>
      <c r="B199" s="52"/>
      <c r="C199" s="53"/>
      <c r="D199">
        <f t="shared" ref="D199:D204" si="3">B199*C199</f>
        <v>0</v>
      </c>
    </row>
    <row r="200" spans="1:4" ht="15.6" hidden="1" x14ac:dyDescent="0.3">
      <c r="A200" s="51" t="s">
        <v>111</v>
      </c>
      <c r="B200" s="52"/>
      <c r="C200" s="53"/>
      <c r="D200">
        <f t="shared" si="3"/>
        <v>0</v>
      </c>
    </row>
    <row r="201" spans="1:4" ht="15.6" x14ac:dyDescent="0.3">
      <c r="A201" s="51" t="s">
        <v>122</v>
      </c>
      <c r="B201" s="52">
        <v>17</v>
      </c>
      <c r="C201" s="53">
        <v>48000</v>
      </c>
      <c r="D201">
        <f t="shared" si="3"/>
        <v>816000</v>
      </c>
    </row>
    <row r="202" spans="1:4" ht="15.6" hidden="1" x14ac:dyDescent="0.3">
      <c r="A202" s="51" t="s">
        <v>123</v>
      </c>
      <c r="B202" s="52"/>
      <c r="C202" s="53"/>
      <c r="D202">
        <f t="shared" si="3"/>
        <v>0</v>
      </c>
    </row>
    <row r="203" spans="1:4" ht="15.6" hidden="1" x14ac:dyDescent="0.3">
      <c r="A203" s="51" t="s">
        <v>92</v>
      </c>
      <c r="B203" s="52"/>
      <c r="C203" s="53"/>
      <c r="D203">
        <f t="shared" si="3"/>
        <v>0</v>
      </c>
    </row>
    <row r="204" spans="1:4" ht="15.6" x14ac:dyDescent="0.3">
      <c r="A204" s="51" t="s">
        <v>125</v>
      </c>
      <c r="B204" s="52">
        <v>2470</v>
      </c>
      <c r="C204" s="53">
        <v>6000</v>
      </c>
      <c r="D204">
        <f t="shared" si="3"/>
        <v>14820000</v>
      </c>
    </row>
    <row r="205" spans="1:4" hidden="1" x14ac:dyDescent="0.3">
      <c r="A205" t="e">
        <v>#N/A</v>
      </c>
      <c r="D205">
        <v>5332</v>
      </c>
    </row>
    <row r="206" spans="1:4" x14ac:dyDescent="0.3">
      <c r="D206" s="59">
        <f>SUM(D164:D204)</f>
        <v>90114000</v>
      </c>
    </row>
    <row r="208" spans="1:4" x14ac:dyDescent="0.3">
      <c r="D208">
        <f>D206+D157</f>
        <v>145144600</v>
      </c>
    </row>
  </sheetData>
  <autoFilter ref="A2:D205" xr:uid="{00000000-0009-0000-0000-000003000000}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204"/>
  <sheetViews>
    <sheetView topLeftCell="A28" workbookViewId="0">
      <selection activeCell="D204" sqref="D204"/>
    </sheetView>
  </sheetViews>
  <sheetFormatPr defaultRowHeight="14.4" x14ac:dyDescent="0.3"/>
  <cols>
    <col min="1" max="1" width="39" customWidth="1"/>
    <col min="2" max="2" width="15" customWidth="1"/>
    <col min="3" max="3" width="15.44140625" customWidth="1"/>
    <col min="4" max="4" width="23.44140625" customWidth="1"/>
  </cols>
  <sheetData>
    <row r="1" spans="1:4" x14ac:dyDescent="0.3">
      <c r="A1" t="s">
        <v>546</v>
      </c>
    </row>
    <row r="2" spans="1:4" ht="37.200000000000003" x14ac:dyDescent="0.3">
      <c r="A2" s="60" t="s">
        <v>0</v>
      </c>
      <c r="B2" s="61" t="s">
        <v>547</v>
      </c>
      <c r="C2" s="82" t="s">
        <v>518</v>
      </c>
      <c r="D2" s="65" t="s">
        <v>519</v>
      </c>
    </row>
    <row r="3" spans="1:4" hidden="1" x14ac:dyDescent="0.3">
      <c r="A3" s="62" t="s">
        <v>21</v>
      </c>
      <c r="B3" s="63"/>
      <c r="C3" s="66"/>
      <c r="D3" s="66">
        <f>B3*C3</f>
        <v>0</v>
      </c>
    </row>
    <row r="4" spans="1:4" x14ac:dyDescent="0.3">
      <c r="A4" s="62" t="s">
        <v>22</v>
      </c>
      <c r="B4" s="63">
        <v>730</v>
      </c>
      <c r="C4" s="66">
        <v>9000</v>
      </c>
      <c r="D4" s="66">
        <f t="shared" ref="D4:D67" si="0">B4*C4</f>
        <v>6570000</v>
      </c>
    </row>
    <row r="5" spans="1:4" x14ac:dyDescent="0.3">
      <c r="A5" s="62" t="s">
        <v>23</v>
      </c>
      <c r="B5" s="63">
        <v>5850</v>
      </c>
      <c r="C5" s="66">
        <v>5500</v>
      </c>
      <c r="D5" s="66">
        <f t="shared" si="0"/>
        <v>32175000</v>
      </c>
    </row>
    <row r="6" spans="1:4" hidden="1" x14ac:dyDescent="0.3">
      <c r="A6" s="62" t="s">
        <v>48</v>
      </c>
      <c r="B6" s="64"/>
      <c r="C6" s="68"/>
      <c r="D6" s="66">
        <f t="shared" si="0"/>
        <v>0</v>
      </c>
    </row>
    <row r="7" spans="1:4" hidden="1" x14ac:dyDescent="0.3">
      <c r="A7" s="62" t="s">
        <v>48</v>
      </c>
      <c r="B7" s="64"/>
      <c r="C7" s="68"/>
      <c r="D7" s="66">
        <f t="shared" si="0"/>
        <v>0</v>
      </c>
    </row>
    <row r="8" spans="1:4" hidden="1" x14ac:dyDescent="0.3">
      <c r="A8" s="62" t="s">
        <v>49</v>
      </c>
      <c r="B8" s="64"/>
      <c r="C8" s="68"/>
      <c r="D8" s="66">
        <f t="shared" si="0"/>
        <v>0</v>
      </c>
    </row>
    <row r="9" spans="1:4" x14ac:dyDescent="0.3">
      <c r="A9" s="62" t="s">
        <v>50</v>
      </c>
      <c r="B9" s="64">
        <v>2900</v>
      </c>
      <c r="C9" s="68">
        <v>6000</v>
      </c>
      <c r="D9" s="66">
        <f t="shared" si="0"/>
        <v>17400000</v>
      </c>
    </row>
    <row r="10" spans="1:4" hidden="1" x14ac:dyDescent="0.3">
      <c r="A10" s="62" t="s">
        <v>84</v>
      </c>
      <c r="B10" s="64"/>
      <c r="C10" s="68"/>
      <c r="D10" s="66">
        <f t="shared" si="0"/>
        <v>0</v>
      </c>
    </row>
    <row r="11" spans="1:4" hidden="1" x14ac:dyDescent="0.3">
      <c r="A11" s="62" t="s">
        <v>121</v>
      </c>
      <c r="B11" s="64"/>
      <c r="C11" s="68"/>
      <c r="D11" s="66">
        <f t="shared" si="0"/>
        <v>0</v>
      </c>
    </row>
    <row r="12" spans="1:4" hidden="1" x14ac:dyDescent="0.3">
      <c r="A12" s="62" t="s">
        <v>51</v>
      </c>
      <c r="B12" s="64"/>
      <c r="C12" s="68"/>
      <c r="D12" s="66">
        <f t="shared" si="0"/>
        <v>0</v>
      </c>
    </row>
    <row r="13" spans="1:4" hidden="1" x14ac:dyDescent="0.3">
      <c r="A13" s="62" t="s">
        <v>51</v>
      </c>
      <c r="B13" s="64"/>
      <c r="C13" s="68"/>
      <c r="D13" s="66">
        <f t="shared" si="0"/>
        <v>0</v>
      </c>
    </row>
    <row r="14" spans="1:4" x14ac:dyDescent="0.3">
      <c r="A14" s="62" t="s">
        <v>52</v>
      </c>
      <c r="B14" s="64">
        <v>26</v>
      </c>
      <c r="C14" s="68">
        <v>10000</v>
      </c>
      <c r="D14" s="66">
        <f t="shared" si="0"/>
        <v>260000</v>
      </c>
    </row>
    <row r="15" spans="1:4" hidden="1" x14ac:dyDescent="0.3">
      <c r="A15" s="62" t="s">
        <v>52</v>
      </c>
      <c r="B15" s="64"/>
      <c r="C15" s="68"/>
      <c r="D15" s="66">
        <f t="shared" si="0"/>
        <v>0</v>
      </c>
    </row>
    <row r="16" spans="1:4" hidden="1" x14ac:dyDescent="0.3">
      <c r="A16" s="62" t="s">
        <v>90</v>
      </c>
      <c r="B16" s="64"/>
      <c r="C16" s="68"/>
      <c r="D16" s="66">
        <f t="shared" si="0"/>
        <v>0</v>
      </c>
    </row>
    <row r="17" spans="1:4" x14ac:dyDescent="0.3">
      <c r="A17" s="62" t="s">
        <v>92</v>
      </c>
      <c r="B17" s="64">
        <v>34</v>
      </c>
      <c r="C17" s="68">
        <v>11000</v>
      </c>
      <c r="D17" s="66">
        <f t="shared" si="0"/>
        <v>374000</v>
      </c>
    </row>
    <row r="18" spans="1:4" hidden="1" x14ac:dyDescent="0.3">
      <c r="A18" s="62" t="s">
        <v>91</v>
      </c>
      <c r="B18" s="64"/>
      <c r="C18" s="68"/>
      <c r="D18" s="66">
        <f t="shared" si="0"/>
        <v>0</v>
      </c>
    </row>
    <row r="19" spans="1:4" hidden="1" x14ac:dyDescent="0.3">
      <c r="A19" s="62" t="s">
        <v>110</v>
      </c>
      <c r="B19" s="64"/>
      <c r="C19" s="68"/>
      <c r="D19" s="66">
        <f t="shared" si="0"/>
        <v>0</v>
      </c>
    </row>
    <row r="20" spans="1:4" x14ac:dyDescent="0.3">
      <c r="A20" s="62" t="s">
        <v>524</v>
      </c>
      <c r="B20" s="64">
        <v>2</v>
      </c>
      <c r="C20" s="68">
        <v>32000</v>
      </c>
      <c r="D20" s="66">
        <f t="shared" si="0"/>
        <v>64000</v>
      </c>
    </row>
    <row r="21" spans="1:4" hidden="1" x14ac:dyDescent="0.3">
      <c r="A21" s="62" t="s">
        <v>18</v>
      </c>
      <c r="B21" s="63"/>
      <c r="C21" s="66"/>
      <c r="D21" s="66">
        <f t="shared" si="0"/>
        <v>0</v>
      </c>
    </row>
    <row r="22" spans="1:4" hidden="1" x14ac:dyDescent="0.3">
      <c r="A22" s="62" t="s">
        <v>19</v>
      </c>
      <c r="B22" s="63"/>
      <c r="C22" s="66"/>
      <c r="D22" s="66">
        <f t="shared" si="0"/>
        <v>0</v>
      </c>
    </row>
    <row r="23" spans="1:4" hidden="1" x14ac:dyDescent="0.3">
      <c r="A23" s="62" t="s">
        <v>19</v>
      </c>
      <c r="B23" s="63"/>
      <c r="C23" s="66"/>
      <c r="D23" s="66">
        <f t="shared" si="0"/>
        <v>0</v>
      </c>
    </row>
    <row r="24" spans="1:4" x14ac:dyDescent="0.3">
      <c r="A24" s="62" t="s">
        <v>53</v>
      </c>
      <c r="B24" s="64">
        <v>250</v>
      </c>
      <c r="C24" s="68">
        <v>23000</v>
      </c>
      <c r="D24" s="66">
        <f t="shared" si="0"/>
        <v>5750000</v>
      </c>
    </row>
    <row r="25" spans="1:4" hidden="1" x14ac:dyDescent="0.3">
      <c r="A25" s="62" t="s">
        <v>53</v>
      </c>
      <c r="B25" s="64"/>
      <c r="C25" s="68"/>
      <c r="D25" s="66">
        <f t="shared" si="0"/>
        <v>0</v>
      </c>
    </row>
    <row r="26" spans="1:4" x14ac:dyDescent="0.3">
      <c r="A26" s="62" t="s">
        <v>54</v>
      </c>
      <c r="B26" s="64">
        <v>28</v>
      </c>
      <c r="C26" s="68">
        <v>22000</v>
      </c>
      <c r="D26" s="66">
        <f t="shared" si="0"/>
        <v>616000</v>
      </c>
    </row>
    <row r="27" spans="1:4" hidden="1" x14ac:dyDescent="0.3">
      <c r="A27" s="62" t="s">
        <v>55</v>
      </c>
      <c r="B27" s="64"/>
      <c r="C27" s="68"/>
      <c r="D27" s="66">
        <f t="shared" si="0"/>
        <v>0</v>
      </c>
    </row>
    <row r="28" spans="1:4" x14ac:dyDescent="0.3">
      <c r="A28" s="62" t="s">
        <v>56</v>
      </c>
      <c r="B28" s="64">
        <v>126</v>
      </c>
      <c r="C28" s="68">
        <v>11400</v>
      </c>
      <c r="D28" s="66">
        <f t="shared" si="0"/>
        <v>1436400</v>
      </c>
    </row>
    <row r="29" spans="1:4" x14ac:dyDescent="0.3">
      <c r="A29" s="62" t="s">
        <v>103</v>
      </c>
      <c r="B29" s="64">
        <v>25</v>
      </c>
      <c r="C29" s="68">
        <v>19000</v>
      </c>
      <c r="D29" s="66">
        <f t="shared" si="0"/>
        <v>475000</v>
      </c>
    </row>
    <row r="30" spans="1:4" hidden="1" x14ac:dyDescent="0.3">
      <c r="A30" s="62" t="s">
        <v>57</v>
      </c>
      <c r="B30" s="64"/>
      <c r="C30" s="68"/>
      <c r="D30" s="66">
        <f t="shared" si="0"/>
        <v>0</v>
      </c>
    </row>
    <row r="31" spans="1:4" hidden="1" x14ac:dyDescent="0.3">
      <c r="A31" s="62" t="s">
        <v>58</v>
      </c>
      <c r="B31" s="64"/>
      <c r="C31" s="68"/>
      <c r="D31" s="66">
        <f t="shared" si="0"/>
        <v>0</v>
      </c>
    </row>
    <row r="32" spans="1:4" hidden="1" x14ac:dyDescent="0.3">
      <c r="A32" s="62" t="s">
        <v>59</v>
      </c>
      <c r="B32" s="64"/>
      <c r="C32" s="68"/>
      <c r="D32" s="66">
        <f t="shared" si="0"/>
        <v>0</v>
      </c>
    </row>
    <row r="33" spans="1:4" hidden="1" x14ac:dyDescent="0.3">
      <c r="A33" s="62" t="s">
        <v>86</v>
      </c>
      <c r="B33" s="64"/>
      <c r="C33" s="68"/>
      <c r="D33" s="66">
        <f t="shared" si="0"/>
        <v>0</v>
      </c>
    </row>
    <row r="34" spans="1:4" x14ac:dyDescent="0.3">
      <c r="A34" s="62" t="s">
        <v>60</v>
      </c>
      <c r="B34" s="64">
        <v>3260</v>
      </c>
      <c r="C34" s="68">
        <v>17500</v>
      </c>
      <c r="D34" s="66">
        <f t="shared" si="0"/>
        <v>57050000</v>
      </c>
    </row>
    <row r="35" spans="1:4" hidden="1" x14ac:dyDescent="0.3">
      <c r="A35" s="62" t="s">
        <v>60</v>
      </c>
      <c r="B35" s="64"/>
      <c r="C35" s="68"/>
      <c r="D35" s="66">
        <f t="shared" si="0"/>
        <v>0</v>
      </c>
    </row>
    <row r="36" spans="1:4" hidden="1" x14ac:dyDescent="0.3">
      <c r="A36" s="62" t="s">
        <v>60</v>
      </c>
      <c r="B36" s="64"/>
      <c r="C36" s="68"/>
      <c r="D36" s="66">
        <f t="shared" si="0"/>
        <v>0</v>
      </c>
    </row>
    <row r="37" spans="1:4" hidden="1" x14ac:dyDescent="0.3">
      <c r="A37" s="62" t="s">
        <v>61</v>
      </c>
      <c r="B37" s="64"/>
      <c r="C37" s="68"/>
      <c r="D37" s="66">
        <f t="shared" si="0"/>
        <v>0</v>
      </c>
    </row>
    <row r="38" spans="1:4" hidden="1" x14ac:dyDescent="0.3">
      <c r="A38" s="62" t="s">
        <v>1</v>
      </c>
      <c r="B38" s="63"/>
      <c r="C38" s="66"/>
      <c r="D38" s="66">
        <f t="shared" si="0"/>
        <v>0</v>
      </c>
    </row>
    <row r="39" spans="1:4" hidden="1" x14ac:dyDescent="0.3">
      <c r="A39" s="62" t="s">
        <v>1</v>
      </c>
      <c r="B39" s="63"/>
      <c r="C39" s="66"/>
      <c r="D39" s="66">
        <f t="shared" si="0"/>
        <v>0</v>
      </c>
    </row>
    <row r="40" spans="1:4" hidden="1" x14ac:dyDescent="0.3">
      <c r="A40" s="62" t="s">
        <v>2</v>
      </c>
      <c r="B40" s="63"/>
      <c r="C40" s="66"/>
      <c r="D40" s="66">
        <f t="shared" si="0"/>
        <v>0</v>
      </c>
    </row>
    <row r="41" spans="1:4" hidden="1" x14ac:dyDescent="0.3">
      <c r="A41" s="62" t="s">
        <v>2</v>
      </c>
      <c r="B41" s="63"/>
      <c r="C41" s="66"/>
      <c r="D41" s="66">
        <f t="shared" si="0"/>
        <v>0</v>
      </c>
    </row>
    <row r="42" spans="1:4" x14ac:dyDescent="0.3">
      <c r="A42" s="62" t="s">
        <v>62</v>
      </c>
      <c r="B42" s="64">
        <v>3</v>
      </c>
      <c r="C42" s="68">
        <v>9000</v>
      </c>
      <c r="D42" s="66">
        <f t="shared" si="0"/>
        <v>27000</v>
      </c>
    </row>
    <row r="43" spans="1:4" hidden="1" x14ac:dyDescent="0.3">
      <c r="A43" s="62" t="s">
        <v>63</v>
      </c>
      <c r="B43" s="64"/>
      <c r="C43" s="68"/>
      <c r="D43" s="66">
        <f t="shared" si="0"/>
        <v>0</v>
      </c>
    </row>
    <row r="44" spans="1:4" hidden="1" x14ac:dyDescent="0.3">
      <c r="A44" s="62" t="s">
        <v>24</v>
      </c>
      <c r="B44" s="63"/>
      <c r="C44" s="66"/>
      <c r="D44" s="66">
        <f t="shared" si="0"/>
        <v>0</v>
      </c>
    </row>
    <row r="45" spans="1:4" hidden="1" x14ac:dyDescent="0.3">
      <c r="A45" s="62" t="s">
        <v>24</v>
      </c>
      <c r="B45" s="63"/>
      <c r="C45" s="66"/>
      <c r="D45" s="66">
        <f t="shared" si="0"/>
        <v>0</v>
      </c>
    </row>
    <row r="46" spans="1:4" hidden="1" x14ac:dyDescent="0.3">
      <c r="A46" s="62" t="s">
        <v>25</v>
      </c>
      <c r="B46" s="63"/>
      <c r="C46" s="66"/>
      <c r="D46" s="66">
        <f t="shared" si="0"/>
        <v>0</v>
      </c>
    </row>
    <row r="47" spans="1:4" hidden="1" x14ac:dyDescent="0.3">
      <c r="A47" s="62" t="s">
        <v>25</v>
      </c>
      <c r="B47" s="63"/>
      <c r="C47" s="66"/>
      <c r="D47" s="66">
        <f t="shared" si="0"/>
        <v>0</v>
      </c>
    </row>
    <row r="48" spans="1:4" hidden="1" x14ac:dyDescent="0.3">
      <c r="A48" s="62" t="s">
        <v>26</v>
      </c>
      <c r="B48" s="63"/>
      <c r="C48" s="66"/>
      <c r="D48" s="66">
        <f t="shared" si="0"/>
        <v>0</v>
      </c>
    </row>
    <row r="49" spans="1:4" hidden="1" x14ac:dyDescent="0.3">
      <c r="A49" s="62" t="s">
        <v>26</v>
      </c>
      <c r="B49" s="63"/>
      <c r="C49" s="66"/>
      <c r="D49" s="66">
        <f t="shared" si="0"/>
        <v>0</v>
      </c>
    </row>
    <row r="50" spans="1:4" hidden="1" x14ac:dyDescent="0.3">
      <c r="A50" s="62" t="s">
        <v>26</v>
      </c>
      <c r="B50" s="63"/>
      <c r="C50" s="66"/>
      <c r="D50" s="66">
        <f t="shared" si="0"/>
        <v>0</v>
      </c>
    </row>
    <row r="51" spans="1:4" x14ac:dyDescent="0.3">
      <c r="A51" s="62" t="s">
        <v>27</v>
      </c>
      <c r="B51" s="63">
        <v>90</v>
      </c>
      <c r="C51" s="66">
        <v>15000</v>
      </c>
      <c r="D51" s="66">
        <f t="shared" si="0"/>
        <v>1350000</v>
      </c>
    </row>
    <row r="52" spans="1:4" hidden="1" x14ac:dyDescent="0.3">
      <c r="A52" s="62" t="s">
        <v>109</v>
      </c>
      <c r="B52" s="64"/>
      <c r="C52" s="68"/>
      <c r="D52" s="66">
        <f t="shared" si="0"/>
        <v>0</v>
      </c>
    </row>
    <row r="53" spans="1:4" hidden="1" x14ac:dyDescent="0.3">
      <c r="A53" s="62" t="s">
        <v>28</v>
      </c>
      <c r="B53" s="64"/>
      <c r="C53" s="68"/>
      <c r="D53" s="66">
        <f t="shared" si="0"/>
        <v>0</v>
      </c>
    </row>
    <row r="54" spans="1:4" x14ac:dyDescent="0.3">
      <c r="A54" s="62" t="s">
        <v>28</v>
      </c>
      <c r="B54" s="64">
        <v>7</v>
      </c>
      <c r="C54" s="68">
        <v>16000</v>
      </c>
      <c r="D54" s="66">
        <f t="shared" si="0"/>
        <v>112000</v>
      </c>
    </row>
    <row r="55" spans="1:4" hidden="1" x14ac:dyDescent="0.3">
      <c r="A55" s="62" t="s">
        <v>28</v>
      </c>
      <c r="B55" s="64"/>
      <c r="C55" s="68"/>
      <c r="D55" s="66">
        <f t="shared" si="0"/>
        <v>0</v>
      </c>
    </row>
    <row r="56" spans="1:4" hidden="1" x14ac:dyDescent="0.3">
      <c r="A56" s="62" t="s">
        <v>64</v>
      </c>
      <c r="B56" s="64"/>
      <c r="C56" s="68"/>
      <c r="D56" s="66">
        <f t="shared" si="0"/>
        <v>0</v>
      </c>
    </row>
    <row r="57" spans="1:4" hidden="1" x14ac:dyDescent="0.3">
      <c r="A57" s="62" t="s">
        <v>64</v>
      </c>
      <c r="B57" s="64"/>
      <c r="C57" s="68"/>
      <c r="D57" s="66">
        <f t="shared" si="0"/>
        <v>0</v>
      </c>
    </row>
    <row r="58" spans="1:4" x14ac:dyDescent="0.3">
      <c r="A58" s="62" t="s">
        <v>87</v>
      </c>
      <c r="B58" s="64">
        <v>87</v>
      </c>
      <c r="C58" s="68">
        <v>13000</v>
      </c>
      <c r="D58" s="66">
        <f t="shared" si="0"/>
        <v>1131000</v>
      </c>
    </row>
    <row r="59" spans="1:4" hidden="1" x14ac:dyDescent="0.3">
      <c r="A59" s="62" t="s">
        <v>3</v>
      </c>
      <c r="B59" s="63"/>
      <c r="C59" s="66"/>
      <c r="D59" s="66">
        <f t="shared" si="0"/>
        <v>0</v>
      </c>
    </row>
    <row r="60" spans="1:4" hidden="1" x14ac:dyDescent="0.3">
      <c r="A60" s="62" t="s">
        <v>4</v>
      </c>
      <c r="B60" s="63"/>
      <c r="C60" s="66"/>
      <c r="D60" s="66">
        <f t="shared" si="0"/>
        <v>0</v>
      </c>
    </row>
    <row r="61" spans="1:4" hidden="1" x14ac:dyDescent="0.3">
      <c r="A61" s="62" t="s">
        <v>5</v>
      </c>
      <c r="B61" s="63"/>
      <c r="C61" s="66"/>
      <c r="D61" s="66">
        <f t="shared" si="0"/>
        <v>0</v>
      </c>
    </row>
    <row r="62" spans="1:4" x14ac:dyDescent="0.3">
      <c r="A62" s="62" t="s">
        <v>6</v>
      </c>
      <c r="B62" s="63">
        <v>35</v>
      </c>
      <c r="C62" s="66">
        <v>16000</v>
      </c>
      <c r="D62" s="66">
        <f t="shared" si="0"/>
        <v>560000</v>
      </c>
    </row>
    <row r="63" spans="1:4" hidden="1" x14ac:dyDescent="0.3">
      <c r="A63" s="62" t="s">
        <v>6</v>
      </c>
      <c r="B63" s="63"/>
      <c r="C63" s="66"/>
      <c r="D63" s="66">
        <f t="shared" si="0"/>
        <v>0</v>
      </c>
    </row>
    <row r="64" spans="1:4" x14ac:dyDescent="0.3">
      <c r="A64" s="62" t="s">
        <v>7</v>
      </c>
      <c r="B64" s="63">
        <v>4</v>
      </c>
      <c r="C64" s="66">
        <v>44000</v>
      </c>
      <c r="D64" s="66">
        <f t="shared" si="0"/>
        <v>176000</v>
      </c>
    </row>
    <row r="65" spans="1:4" x14ac:dyDescent="0.3">
      <c r="A65" s="62" t="s">
        <v>8</v>
      </c>
      <c r="B65" s="63">
        <v>160</v>
      </c>
      <c r="C65" s="66">
        <v>24000</v>
      </c>
      <c r="D65" s="66">
        <f t="shared" si="0"/>
        <v>3840000</v>
      </c>
    </row>
    <row r="66" spans="1:4" x14ac:dyDescent="0.3">
      <c r="A66" s="62" t="s">
        <v>9</v>
      </c>
      <c r="B66" s="63">
        <v>4</v>
      </c>
      <c r="C66" s="66">
        <v>20000</v>
      </c>
      <c r="D66" s="66">
        <f t="shared" si="0"/>
        <v>80000</v>
      </c>
    </row>
    <row r="67" spans="1:4" hidden="1" x14ac:dyDescent="0.3">
      <c r="A67" s="62" t="s">
        <v>9</v>
      </c>
      <c r="B67" s="63"/>
      <c r="C67" s="66"/>
      <c r="D67" s="66">
        <f t="shared" si="0"/>
        <v>0</v>
      </c>
    </row>
    <row r="68" spans="1:4" hidden="1" x14ac:dyDescent="0.3">
      <c r="A68" s="62" t="s">
        <v>10</v>
      </c>
      <c r="B68" s="63"/>
      <c r="C68" s="66"/>
      <c r="D68" s="66">
        <f t="shared" ref="D68:D131" si="1">B68*C68</f>
        <v>0</v>
      </c>
    </row>
    <row r="69" spans="1:4" hidden="1" x14ac:dyDescent="0.3">
      <c r="A69" s="62" t="s">
        <v>102</v>
      </c>
      <c r="B69" s="64"/>
      <c r="C69" s="68"/>
      <c r="D69" s="66">
        <f t="shared" si="1"/>
        <v>0</v>
      </c>
    </row>
    <row r="70" spans="1:4" hidden="1" x14ac:dyDescent="0.3">
      <c r="A70" s="62" t="s">
        <v>11</v>
      </c>
      <c r="B70" s="63"/>
      <c r="C70" s="66"/>
      <c r="D70" s="66">
        <f t="shared" si="1"/>
        <v>0</v>
      </c>
    </row>
    <row r="71" spans="1:4" hidden="1" x14ac:dyDescent="0.3">
      <c r="A71" s="62" t="s">
        <v>11</v>
      </c>
      <c r="B71" s="63"/>
      <c r="C71" s="66"/>
      <c r="D71" s="66">
        <f t="shared" si="1"/>
        <v>0</v>
      </c>
    </row>
    <row r="72" spans="1:4" x14ac:dyDescent="0.3">
      <c r="A72" s="62" t="s">
        <v>12</v>
      </c>
      <c r="B72" s="63">
        <v>290</v>
      </c>
      <c r="C72" s="66">
        <v>25000</v>
      </c>
      <c r="D72" s="66">
        <f t="shared" si="1"/>
        <v>7250000</v>
      </c>
    </row>
    <row r="73" spans="1:4" hidden="1" x14ac:dyDescent="0.3">
      <c r="A73" s="62" t="s">
        <v>12</v>
      </c>
      <c r="B73" s="63"/>
      <c r="C73" s="66"/>
      <c r="D73" s="66">
        <f t="shared" si="1"/>
        <v>0</v>
      </c>
    </row>
    <row r="74" spans="1:4" hidden="1" x14ac:dyDescent="0.3">
      <c r="A74" s="62" t="s">
        <v>14</v>
      </c>
      <c r="B74" s="63"/>
      <c r="C74" s="66"/>
      <c r="D74" s="66">
        <f t="shared" si="1"/>
        <v>0</v>
      </c>
    </row>
    <row r="75" spans="1:4" hidden="1" x14ac:dyDescent="0.3">
      <c r="A75" s="62" t="s">
        <v>14</v>
      </c>
      <c r="B75" s="63"/>
      <c r="C75" s="66"/>
      <c r="D75" s="66">
        <f t="shared" si="1"/>
        <v>0</v>
      </c>
    </row>
    <row r="76" spans="1:4" x14ac:dyDescent="0.3">
      <c r="A76" s="62" t="s">
        <v>15</v>
      </c>
      <c r="B76" s="63">
        <v>310</v>
      </c>
      <c r="C76" s="66">
        <v>16000</v>
      </c>
      <c r="D76" s="66">
        <f t="shared" si="1"/>
        <v>4960000</v>
      </c>
    </row>
    <row r="77" spans="1:4" hidden="1" x14ac:dyDescent="0.3">
      <c r="A77" s="62" t="s">
        <v>15</v>
      </c>
      <c r="B77" s="63"/>
      <c r="C77" s="66"/>
      <c r="D77" s="66">
        <f t="shared" si="1"/>
        <v>0</v>
      </c>
    </row>
    <row r="78" spans="1:4" hidden="1" x14ac:dyDescent="0.3">
      <c r="A78" s="62" t="s">
        <v>521</v>
      </c>
      <c r="B78" s="64"/>
      <c r="C78" s="68"/>
      <c r="D78" s="66">
        <f t="shared" si="1"/>
        <v>0</v>
      </c>
    </row>
    <row r="79" spans="1:4" x14ac:dyDescent="0.3">
      <c r="A79" s="62" t="s">
        <v>16</v>
      </c>
      <c r="B79" s="63">
        <v>5</v>
      </c>
      <c r="C79" s="66">
        <v>15000</v>
      </c>
      <c r="D79" s="66">
        <f t="shared" si="1"/>
        <v>75000</v>
      </c>
    </row>
    <row r="80" spans="1:4" hidden="1" x14ac:dyDescent="0.3">
      <c r="A80" s="62" t="s">
        <v>68</v>
      </c>
      <c r="B80" s="64"/>
      <c r="C80" s="68"/>
      <c r="D80" s="66">
        <f t="shared" si="1"/>
        <v>0</v>
      </c>
    </row>
    <row r="81" spans="1:4" hidden="1" x14ac:dyDescent="0.3">
      <c r="A81" s="62" t="s">
        <v>65</v>
      </c>
      <c r="B81" s="64"/>
      <c r="C81" s="68"/>
      <c r="D81" s="66">
        <f t="shared" si="1"/>
        <v>0</v>
      </c>
    </row>
    <row r="82" spans="1:4" hidden="1" x14ac:dyDescent="0.3">
      <c r="A82" s="62" t="s">
        <v>66</v>
      </c>
      <c r="B82" s="64"/>
      <c r="C82" s="68"/>
      <c r="D82" s="66">
        <f t="shared" si="1"/>
        <v>0</v>
      </c>
    </row>
    <row r="83" spans="1:4" hidden="1" x14ac:dyDescent="0.3">
      <c r="A83" s="62" t="s">
        <v>67</v>
      </c>
      <c r="B83" s="64"/>
      <c r="C83" s="68"/>
      <c r="D83" s="66">
        <f t="shared" si="1"/>
        <v>0</v>
      </c>
    </row>
    <row r="84" spans="1:4" hidden="1" x14ac:dyDescent="0.3">
      <c r="A84" s="62" t="s">
        <v>69</v>
      </c>
      <c r="B84" s="64"/>
      <c r="C84" s="68"/>
      <c r="D84" s="66">
        <f t="shared" si="1"/>
        <v>0</v>
      </c>
    </row>
    <row r="85" spans="1:4" hidden="1" x14ac:dyDescent="0.3">
      <c r="A85" s="62" t="s">
        <v>69</v>
      </c>
      <c r="B85" s="64"/>
      <c r="C85" s="68"/>
      <c r="D85" s="66">
        <f t="shared" si="1"/>
        <v>0</v>
      </c>
    </row>
    <row r="86" spans="1:4" hidden="1" x14ac:dyDescent="0.3">
      <c r="A86" s="62" t="s">
        <v>526</v>
      </c>
      <c r="B86" s="64"/>
      <c r="C86" s="68"/>
      <c r="D86" s="66">
        <f t="shared" si="1"/>
        <v>0</v>
      </c>
    </row>
    <row r="87" spans="1:4" hidden="1" x14ac:dyDescent="0.3">
      <c r="A87" s="62" t="s">
        <v>70</v>
      </c>
      <c r="B87" s="64"/>
      <c r="C87" s="68"/>
      <c r="D87" s="66">
        <f t="shared" si="1"/>
        <v>0</v>
      </c>
    </row>
    <row r="88" spans="1:4" hidden="1" x14ac:dyDescent="0.3">
      <c r="A88" s="62" t="s">
        <v>83</v>
      </c>
      <c r="B88" s="64"/>
      <c r="C88" s="68"/>
      <c r="D88" s="66">
        <f t="shared" si="1"/>
        <v>0</v>
      </c>
    </row>
    <row r="89" spans="1:4" hidden="1" x14ac:dyDescent="0.3">
      <c r="A89" s="62" t="s">
        <v>98</v>
      </c>
      <c r="B89" s="64"/>
      <c r="C89" s="68"/>
      <c r="D89" s="66">
        <f t="shared" si="1"/>
        <v>0</v>
      </c>
    </row>
    <row r="90" spans="1:4" hidden="1" x14ac:dyDescent="0.3">
      <c r="A90" s="62" t="s">
        <v>71</v>
      </c>
      <c r="B90" s="64"/>
      <c r="C90" s="68"/>
      <c r="D90" s="66">
        <f t="shared" si="1"/>
        <v>0</v>
      </c>
    </row>
    <row r="91" spans="1:4" hidden="1" x14ac:dyDescent="0.3">
      <c r="A91" s="62" t="s">
        <v>72</v>
      </c>
      <c r="B91" s="64"/>
      <c r="C91" s="68"/>
      <c r="D91" s="66">
        <f t="shared" si="1"/>
        <v>0</v>
      </c>
    </row>
    <row r="92" spans="1:4" hidden="1" x14ac:dyDescent="0.3">
      <c r="A92" s="62" t="s">
        <v>73</v>
      </c>
      <c r="B92" s="64"/>
      <c r="C92" s="68"/>
      <c r="D92" s="66">
        <f t="shared" si="1"/>
        <v>0</v>
      </c>
    </row>
    <row r="93" spans="1:4" hidden="1" x14ac:dyDescent="0.3">
      <c r="A93" s="62" t="s">
        <v>73</v>
      </c>
      <c r="B93" s="64"/>
      <c r="C93" s="68"/>
      <c r="D93" s="66">
        <f t="shared" si="1"/>
        <v>0</v>
      </c>
    </row>
    <row r="94" spans="1:4" hidden="1" x14ac:dyDescent="0.3">
      <c r="A94" s="62" t="s">
        <v>74</v>
      </c>
      <c r="B94" s="64"/>
      <c r="C94" s="68"/>
      <c r="D94" s="66">
        <f t="shared" si="1"/>
        <v>0</v>
      </c>
    </row>
    <row r="95" spans="1:4" hidden="1" x14ac:dyDescent="0.3">
      <c r="A95" s="62" t="s">
        <v>29</v>
      </c>
      <c r="B95" s="64"/>
      <c r="C95" s="68"/>
      <c r="D95" s="66">
        <f t="shared" si="1"/>
        <v>0</v>
      </c>
    </row>
    <row r="96" spans="1:4" x14ac:dyDescent="0.3">
      <c r="A96" s="62" t="s">
        <v>29</v>
      </c>
      <c r="B96" s="64">
        <v>8</v>
      </c>
      <c r="C96" s="68">
        <v>33000</v>
      </c>
      <c r="D96" s="66">
        <f t="shared" si="1"/>
        <v>264000</v>
      </c>
    </row>
    <row r="97" spans="1:4" x14ac:dyDescent="0.3">
      <c r="A97" s="62" t="s">
        <v>93</v>
      </c>
      <c r="B97" s="64">
        <v>15</v>
      </c>
      <c r="C97" s="68">
        <v>24000</v>
      </c>
      <c r="D97" s="66">
        <f t="shared" si="1"/>
        <v>360000</v>
      </c>
    </row>
    <row r="98" spans="1:4" hidden="1" x14ac:dyDescent="0.3">
      <c r="A98" s="62" t="s">
        <v>20</v>
      </c>
      <c r="B98" s="63"/>
      <c r="C98" s="66"/>
      <c r="D98" s="66">
        <f t="shared" si="1"/>
        <v>0</v>
      </c>
    </row>
    <row r="99" spans="1:4" hidden="1" x14ac:dyDescent="0.3">
      <c r="A99" s="62" t="s">
        <v>96</v>
      </c>
      <c r="B99" s="64"/>
      <c r="C99" s="68"/>
      <c r="D99" s="66">
        <f t="shared" si="1"/>
        <v>0</v>
      </c>
    </row>
    <row r="100" spans="1:4" hidden="1" x14ac:dyDescent="0.3">
      <c r="A100" s="62" t="s">
        <v>118</v>
      </c>
      <c r="B100" s="64"/>
      <c r="C100" s="68"/>
      <c r="D100" s="66">
        <f t="shared" si="1"/>
        <v>0</v>
      </c>
    </row>
    <row r="101" spans="1:4" hidden="1" x14ac:dyDescent="0.3">
      <c r="A101" s="62" t="s">
        <v>34</v>
      </c>
      <c r="B101" s="64"/>
      <c r="C101" s="68"/>
      <c r="D101" s="66">
        <f t="shared" si="1"/>
        <v>0</v>
      </c>
    </row>
    <row r="102" spans="1:4" hidden="1" x14ac:dyDescent="0.3">
      <c r="A102" s="62" t="s">
        <v>30</v>
      </c>
      <c r="B102" s="64"/>
      <c r="C102" s="68"/>
      <c r="D102" s="66">
        <f t="shared" si="1"/>
        <v>0</v>
      </c>
    </row>
    <row r="103" spans="1:4" x14ac:dyDescent="0.3">
      <c r="A103" s="62" t="s">
        <v>31</v>
      </c>
      <c r="B103" s="64">
        <v>15</v>
      </c>
      <c r="C103" s="68">
        <v>14000</v>
      </c>
      <c r="D103" s="66">
        <f t="shared" si="1"/>
        <v>210000</v>
      </c>
    </row>
    <row r="104" spans="1:4" hidden="1" x14ac:dyDescent="0.3">
      <c r="A104" s="62" t="s">
        <v>32</v>
      </c>
      <c r="B104" s="64"/>
      <c r="C104" s="68"/>
      <c r="D104" s="66">
        <f t="shared" si="1"/>
        <v>0</v>
      </c>
    </row>
    <row r="105" spans="1:4" hidden="1" x14ac:dyDescent="0.3">
      <c r="A105" s="62" t="s">
        <v>33</v>
      </c>
      <c r="B105" s="64"/>
      <c r="C105" s="68"/>
      <c r="D105" s="66">
        <f t="shared" si="1"/>
        <v>0</v>
      </c>
    </row>
    <row r="106" spans="1:4" hidden="1" x14ac:dyDescent="0.3">
      <c r="A106" s="62" t="s">
        <v>35</v>
      </c>
      <c r="B106" s="64"/>
      <c r="C106" s="68"/>
      <c r="D106" s="66">
        <f t="shared" si="1"/>
        <v>0</v>
      </c>
    </row>
    <row r="107" spans="1:4" hidden="1" x14ac:dyDescent="0.3">
      <c r="A107" s="62" t="s">
        <v>99</v>
      </c>
      <c r="B107" s="64"/>
      <c r="C107" s="68"/>
      <c r="D107" s="66">
        <f t="shared" si="1"/>
        <v>0</v>
      </c>
    </row>
    <row r="108" spans="1:4" hidden="1" x14ac:dyDescent="0.3">
      <c r="A108" s="62" t="s">
        <v>101</v>
      </c>
      <c r="B108" s="64"/>
      <c r="C108" s="68"/>
      <c r="D108" s="66">
        <f t="shared" si="1"/>
        <v>0</v>
      </c>
    </row>
    <row r="109" spans="1:4" hidden="1" x14ac:dyDescent="0.3">
      <c r="A109" s="62" t="s">
        <v>97</v>
      </c>
      <c r="B109" s="64"/>
      <c r="C109" s="68"/>
      <c r="D109" s="66">
        <f t="shared" si="1"/>
        <v>0</v>
      </c>
    </row>
    <row r="110" spans="1:4" hidden="1" x14ac:dyDescent="0.3">
      <c r="A110" s="62" t="s">
        <v>75</v>
      </c>
      <c r="B110" s="64"/>
      <c r="C110" s="68"/>
      <c r="D110" s="66">
        <f t="shared" si="1"/>
        <v>0</v>
      </c>
    </row>
    <row r="111" spans="1:4" hidden="1" x14ac:dyDescent="0.3">
      <c r="A111" s="62" t="s">
        <v>75</v>
      </c>
      <c r="B111" s="64"/>
      <c r="C111" s="68"/>
      <c r="D111" s="66">
        <f t="shared" si="1"/>
        <v>0</v>
      </c>
    </row>
    <row r="112" spans="1:4" x14ac:dyDescent="0.3">
      <c r="A112" s="62" t="s">
        <v>76</v>
      </c>
      <c r="B112" s="64">
        <v>170</v>
      </c>
      <c r="C112" s="68">
        <v>25000</v>
      </c>
      <c r="D112" s="66">
        <f t="shared" si="1"/>
        <v>4250000</v>
      </c>
    </row>
    <row r="113" spans="1:4" hidden="1" x14ac:dyDescent="0.3">
      <c r="A113" s="62" t="s">
        <v>76</v>
      </c>
      <c r="B113" s="64"/>
      <c r="C113" s="68"/>
      <c r="D113" s="66">
        <f t="shared" si="1"/>
        <v>0</v>
      </c>
    </row>
    <row r="114" spans="1:4" hidden="1" x14ac:dyDescent="0.3">
      <c r="A114" s="62" t="s">
        <v>77</v>
      </c>
      <c r="B114" s="64"/>
      <c r="C114" s="68"/>
      <c r="D114" s="66">
        <f t="shared" si="1"/>
        <v>0</v>
      </c>
    </row>
    <row r="115" spans="1:4" hidden="1" x14ac:dyDescent="0.3">
      <c r="A115" s="62" t="s">
        <v>77</v>
      </c>
      <c r="B115" s="64"/>
      <c r="C115" s="68"/>
      <c r="D115" s="66">
        <f t="shared" si="1"/>
        <v>0</v>
      </c>
    </row>
    <row r="116" spans="1:4" x14ac:dyDescent="0.3">
      <c r="A116" s="62" t="s">
        <v>78</v>
      </c>
      <c r="B116" s="64">
        <v>115</v>
      </c>
      <c r="C116" s="68">
        <v>18000</v>
      </c>
      <c r="D116" s="66">
        <f t="shared" si="1"/>
        <v>2070000</v>
      </c>
    </row>
    <row r="117" spans="1:4" hidden="1" x14ac:dyDescent="0.3">
      <c r="A117" s="62" t="s">
        <v>78</v>
      </c>
      <c r="B117" s="64"/>
      <c r="C117" s="68"/>
      <c r="D117" s="66">
        <f t="shared" si="1"/>
        <v>0</v>
      </c>
    </row>
    <row r="118" spans="1:4" x14ac:dyDescent="0.3">
      <c r="A118" s="62" t="s">
        <v>79</v>
      </c>
      <c r="B118" s="64">
        <v>26</v>
      </c>
      <c r="C118" s="68">
        <v>20000</v>
      </c>
      <c r="D118" s="66">
        <f t="shared" si="1"/>
        <v>520000</v>
      </c>
    </row>
    <row r="119" spans="1:4" hidden="1" x14ac:dyDescent="0.3">
      <c r="A119" s="62" t="s">
        <v>79</v>
      </c>
      <c r="B119" s="64"/>
      <c r="C119" s="68"/>
      <c r="D119" s="66">
        <f t="shared" si="1"/>
        <v>0</v>
      </c>
    </row>
    <row r="120" spans="1:4" hidden="1" x14ac:dyDescent="0.3">
      <c r="A120" s="62" t="s">
        <v>80</v>
      </c>
      <c r="B120" s="64"/>
      <c r="C120" s="68"/>
      <c r="D120" s="66">
        <f t="shared" si="1"/>
        <v>0</v>
      </c>
    </row>
    <row r="121" spans="1:4" hidden="1" x14ac:dyDescent="0.3">
      <c r="A121" s="62" t="s">
        <v>36</v>
      </c>
      <c r="B121" s="64"/>
      <c r="C121" s="68"/>
      <c r="D121" s="66">
        <f t="shared" si="1"/>
        <v>0</v>
      </c>
    </row>
    <row r="122" spans="1:4" hidden="1" x14ac:dyDescent="0.3">
      <c r="A122" s="62" t="s">
        <v>100</v>
      </c>
      <c r="B122" s="64"/>
      <c r="C122" s="68"/>
      <c r="D122" s="66">
        <f t="shared" si="1"/>
        <v>0</v>
      </c>
    </row>
    <row r="123" spans="1:4" hidden="1" x14ac:dyDescent="0.3">
      <c r="A123" s="62" t="s">
        <v>81</v>
      </c>
      <c r="B123" s="64"/>
      <c r="C123" s="68"/>
      <c r="D123" s="66">
        <f t="shared" si="1"/>
        <v>0</v>
      </c>
    </row>
    <row r="124" spans="1:4" hidden="1" x14ac:dyDescent="0.3">
      <c r="A124" s="62" t="s">
        <v>81</v>
      </c>
      <c r="B124" s="64"/>
      <c r="C124" s="68"/>
      <c r="D124" s="66">
        <f t="shared" si="1"/>
        <v>0</v>
      </c>
    </row>
    <row r="125" spans="1:4" hidden="1" x14ac:dyDescent="0.3">
      <c r="A125" s="62" t="s">
        <v>85</v>
      </c>
      <c r="B125" s="64"/>
      <c r="C125" s="68"/>
      <c r="D125" s="66">
        <f t="shared" si="1"/>
        <v>0</v>
      </c>
    </row>
    <row r="126" spans="1:4" hidden="1" x14ac:dyDescent="0.3">
      <c r="A126" s="62" t="s">
        <v>88</v>
      </c>
      <c r="B126" s="64"/>
      <c r="C126" s="68"/>
      <c r="D126" s="66">
        <f t="shared" si="1"/>
        <v>0</v>
      </c>
    </row>
    <row r="127" spans="1:4" hidden="1" x14ac:dyDescent="0.3">
      <c r="A127" s="62" t="s">
        <v>89</v>
      </c>
      <c r="B127" s="64"/>
      <c r="C127" s="68"/>
      <c r="D127" s="66">
        <f t="shared" si="1"/>
        <v>0</v>
      </c>
    </row>
    <row r="128" spans="1:4" x14ac:dyDescent="0.3">
      <c r="A128" s="62" t="s">
        <v>82</v>
      </c>
      <c r="B128" s="64">
        <v>70</v>
      </c>
      <c r="C128" s="68">
        <v>5000</v>
      </c>
      <c r="D128" s="66">
        <f t="shared" si="1"/>
        <v>350000</v>
      </c>
    </row>
    <row r="129" spans="1:4" hidden="1" x14ac:dyDescent="0.3">
      <c r="A129" s="62" t="s">
        <v>545</v>
      </c>
      <c r="B129" s="64"/>
      <c r="C129" s="68"/>
      <c r="D129" s="66">
        <f t="shared" si="1"/>
        <v>0</v>
      </c>
    </row>
    <row r="130" spans="1:4" hidden="1" x14ac:dyDescent="0.3">
      <c r="A130" s="62" t="s">
        <v>37</v>
      </c>
      <c r="B130" s="64"/>
      <c r="C130" s="68"/>
      <c r="D130" s="66">
        <f t="shared" si="1"/>
        <v>0</v>
      </c>
    </row>
    <row r="131" spans="1:4" hidden="1" x14ac:dyDescent="0.3">
      <c r="A131" s="62" t="s">
        <v>37</v>
      </c>
      <c r="B131" s="64"/>
      <c r="C131" s="68"/>
      <c r="D131" s="66">
        <f t="shared" si="1"/>
        <v>0</v>
      </c>
    </row>
    <row r="132" spans="1:4" x14ac:dyDescent="0.3">
      <c r="A132" s="62" t="s">
        <v>38</v>
      </c>
      <c r="B132" s="64">
        <v>15</v>
      </c>
      <c r="C132" s="68">
        <v>28000</v>
      </c>
      <c r="D132" s="66">
        <f t="shared" ref="D132:D196" si="2">B132*C132</f>
        <v>420000</v>
      </c>
    </row>
    <row r="133" spans="1:4" hidden="1" x14ac:dyDescent="0.3">
      <c r="A133" s="62" t="s">
        <v>39</v>
      </c>
      <c r="B133" s="64"/>
      <c r="C133" s="68"/>
      <c r="D133" s="66">
        <f t="shared" si="2"/>
        <v>0</v>
      </c>
    </row>
    <row r="134" spans="1:4" hidden="1" x14ac:dyDescent="0.3">
      <c r="A134" s="62" t="s">
        <v>47</v>
      </c>
      <c r="B134" s="64"/>
      <c r="C134" s="68"/>
      <c r="D134" s="66">
        <f t="shared" si="2"/>
        <v>0</v>
      </c>
    </row>
    <row r="135" spans="1:4" hidden="1" x14ac:dyDescent="0.3">
      <c r="A135" s="62" t="s">
        <v>40</v>
      </c>
      <c r="B135" s="64"/>
      <c r="C135" s="68"/>
      <c r="D135" s="66">
        <f t="shared" si="2"/>
        <v>0</v>
      </c>
    </row>
    <row r="136" spans="1:4" hidden="1" x14ac:dyDescent="0.3">
      <c r="A136" s="62" t="s">
        <v>41</v>
      </c>
      <c r="B136" s="64"/>
      <c r="C136" s="68"/>
      <c r="D136" s="66">
        <f t="shared" si="2"/>
        <v>0</v>
      </c>
    </row>
    <row r="137" spans="1:4" hidden="1" x14ac:dyDescent="0.3">
      <c r="A137" s="62" t="s">
        <v>42</v>
      </c>
      <c r="B137" s="64"/>
      <c r="C137" s="68"/>
      <c r="D137" s="66">
        <f t="shared" si="2"/>
        <v>0</v>
      </c>
    </row>
    <row r="138" spans="1:4" hidden="1" x14ac:dyDescent="0.3">
      <c r="A138" s="62" t="s">
        <v>43</v>
      </c>
      <c r="B138" s="64"/>
      <c r="C138" s="68"/>
      <c r="D138" s="66">
        <f t="shared" si="2"/>
        <v>0</v>
      </c>
    </row>
    <row r="139" spans="1:4" hidden="1" x14ac:dyDescent="0.3">
      <c r="A139" s="62" t="s">
        <v>43</v>
      </c>
      <c r="B139" s="64"/>
      <c r="C139" s="68"/>
      <c r="D139" s="66">
        <f t="shared" si="2"/>
        <v>0</v>
      </c>
    </row>
    <row r="140" spans="1:4" hidden="1" x14ac:dyDescent="0.3">
      <c r="A140" s="62" t="s">
        <v>44</v>
      </c>
      <c r="B140" s="64"/>
      <c r="C140" s="68"/>
      <c r="D140" s="66">
        <f t="shared" si="2"/>
        <v>0</v>
      </c>
    </row>
    <row r="141" spans="1:4" hidden="1" x14ac:dyDescent="0.3">
      <c r="A141" s="62" t="s">
        <v>44</v>
      </c>
      <c r="B141" s="64"/>
      <c r="C141" s="68"/>
      <c r="D141" s="66">
        <f t="shared" si="2"/>
        <v>0</v>
      </c>
    </row>
    <row r="142" spans="1:4" hidden="1" x14ac:dyDescent="0.3">
      <c r="A142" s="62" t="s">
        <v>115</v>
      </c>
      <c r="B142" s="64"/>
      <c r="C142" s="68"/>
      <c r="D142" s="66">
        <f t="shared" si="2"/>
        <v>0</v>
      </c>
    </row>
    <row r="143" spans="1:4" hidden="1" x14ac:dyDescent="0.3">
      <c r="A143" s="62" t="s">
        <v>45</v>
      </c>
      <c r="B143" s="64"/>
      <c r="C143" s="68"/>
      <c r="D143" s="66">
        <f t="shared" si="2"/>
        <v>0</v>
      </c>
    </row>
    <row r="144" spans="1:4" hidden="1" x14ac:dyDescent="0.3">
      <c r="A144" s="62" t="s">
        <v>46</v>
      </c>
      <c r="B144" s="64"/>
      <c r="C144" s="68"/>
      <c r="D144" s="66">
        <f t="shared" si="2"/>
        <v>0</v>
      </c>
    </row>
    <row r="145" spans="1:4" hidden="1" x14ac:dyDescent="0.3">
      <c r="A145" s="62" t="e">
        <v>#N/A</v>
      </c>
      <c r="B145" s="64"/>
      <c r="C145" s="68"/>
      <c r="D145" s="66">
        <f t="shared" si="2"/>
        <v>0</v>
      </c>
    </row>
    <row r="146" spans="1:4" hidden="1" x14ac:dyDescent="0.3">
      <c r="D146" s="66">
        <f t="shared" si="2"/>
        <v>0</v>
      </c>
    </row>
    <row r="147" spans="1:4" x14ac:dyDescent="0.3">
      <c r="D147" s="66">
        <f>SUM(D4:D132)</f>
        <v>150175400</v>
      </c>
    </row>
    <row r="148" spans="1:4" ht="31.2" x14ac:dyDescent="0.3">
      <c r="A148" s="48" t="s">
        <v>0</v>
      </c>
      <c r="B148" s="49" t="s">
        <v>544</v>
      </c>
      <c r="C148" s="50" t="s">
        <v>518</v>
      </c>
      <c r="D148" s="66" t="s">
        <v>519</v>
      </c>
    </row>
    <row r="149" spans="1:4" ht="15.6" hidden="1" x14ac:dyDescent="0.3">
      <c r="A149" s="51" t="s">
        <v>21</v>
      </c>
      <c r="B149" s="52"/>
      <c r="C149" s="53"/>
      <c r="D149" s="66">
        <f t="shared" si="2"/>
        <v>0</v>
      </c>
    </row>
    <row r="150" spans="1:4" ht="15.6" hidden="1" x14ac:dyDescent="0.3">
      <c r="A150" s="51" t="s">
        <v>22</v>
      </c>
      <c r="B150" s="52"/>
      <c r="C150" s="53"/>
      <c r="D150" s="66">
        <f t="shared" si="2"/>
        <v>0</v>
      </c>
    </row>
    <row r="151" spans="1:4" ht="15.6" hidden="1" x14ac:dyDescent="0.3">
      <c r="A151" s="51" t="s">
        <v>23</v>
      </c>
      <c r="B151" s="52"/>
      <c r="C151" s="53"/>
      <c r="D151" s="66">
        <f t="shared" si="2"/>
        <v>0</v>
      </c>
    </row>
    <row r="152" spans="1:4" ht="15.6" x14ac:dyDescent="0.3">
      <c r="A152" s="51" t="s">
        <v>48</v>
      </c>
      <c r="B152" s="52">
        <v>42</v>
      </c>
      <c r="C152" s="53">
        <v>10000</v>
      </c>
      <c r="D152" s="66">
        <f t="shared" si="2"/>
        <v>420000</v>
      </c>
    </row>
    <row r="153" spans="1:4" ht="15.6" hidden="1" x14ac:dyDescent="0.3">
      <c r="A153" s="51" t="s">
        <v>50</v>
      </c>
      <c r="B153" s="52"/>
      <c r="C153" s="53"/>
      <c r="D153" s="66">
        <f t="shared" si="2"/>
        <v>0</v>
      </c>
    </row>
    <row r="154" spans="1:4" ht="15.6" hidden="1" x14ac:dyDescent="0.3">
      <c r="A154" s="51" t="s">
        <v>121</v>
      </c>
      <c r="B154" s="52"/>
      <c r="C154" s="53"/>
      <c r="D154" s="66">
        <f t="shared" si="2"/>
        <v>0</v>
      </c>
    </row>
    <row r="155" spans="1:4" ht="15.6" hidden="1" x14ac:dyDescent="0.3">
      <c r="A155" s="51" t="s">
        <v>51</v>
      </c>
      <c r="B155" s="52"/>
      <c r="C155" s="53"/>
      <c r="D155" s="66">
        <f t="shared" si="2"/>
        <v>0</v>
      </c>
    </row>
    <row r="156" spans="1:4" ht="15.6" hidden="1" x14ac:dyDescent="0.3">
      <c r="A156" s="51" t="s">
        <v>52</v>
      </c>
      <c r="B156" s="52"/>
      <c r="C156" s="53"/>
      <c r="D156" s="66">
        <f t="shared" si="2"/>
        <v>0</v>
      </c>
    </row>
    <row r="157" spans="1:4" ht="15.6" hidden="1" x14ac:dyDescent="0.3">
      <c r="A157" s="51" t="s">
        <v>92</v>
      </c>
      <c r="B157" s="52"/>
      <c r="C157" s="53"/>
      <c r="D157" s="66">
        <f t="shared" si="2"/>
        <v>0</v>
      </c>
    </row>
    <row r="158" spans="1:4" ht="15.6" hidden="1" x14ac:dyDescent="0.3">
      <c r="A158" s="51" t="s">
        <v>110</v>
      </c>
      <c r="B158" s="52"/>
      <c r="C158" s="53"/>
      <c r="D158" s="66">
        <f t="shared" si="2"/>
        <v>0</v>
      </c>
    </row>
    <row r="159" spans="1:4" ht="15.6" hidden="1" x14ac:dyDescent="0.3">
      <c r="A159" s="51" t="s">
        <v>17</v>
      </c>
      <c r="B159" s="52"/>
      <c r="C159" s="53"/>
      <c r="D159" s="66">
        <f t="shared" si="2"/>
        <v>0</v>
      </c>
    </row>
    <row r="160" spans="1:4" ht="15.6" hidden="1" x14ac:dyDescent="0.3">
      <c r="A160" s="51" t="s">
        <v>53</v>
      </c>
      <c r="B160" s="52"/>
      <c r="C160" s="53"/>
      <c r="D160" s="66">
        <f t="shared" si="2"/>
        <v>0</v>
      </c>
    </row>
    <row r="161" spans="1:4" ht="15.6" hidden="1" x14ac:dyDescent="0.3">
      <c r="A161" s="51" t="s">
        <v>56</v>
      </c>
      <c r="B161" s="52"/>
      <c r="C161" s="53"/>
      <c r="D161" s="66">
        <f t="shared" si="2"/>
        <v>0</v>
      </c>
    </row>
    <row r="162" spans="1:4" ht="15.6" hidden="1" x14ac:dyDescent="0.3">
      <c r="A162" s="51" t="s">
        <v>103</v>
      </c>
      <c r="B162" s="52"/>
      <c r="C162" s="53"/>
      <c r="D162" s="66">
        <f t="shared" si="2"/>
        <v>0</v>
      </c>
    </row>
    <row r="163" spans="1:4" ht="15.6" hidden="1" x14ac:dyDescent="0.3">
      <c r="A163" s="51" t="s">
        <v>60</v>
      </c>
      <c r="B163" s="52"/>
      <c r="C163" s="53"/>
      <c r="D163" s="66">
        <f t="shared" si="2"/>
        <v>0</v>
      </c>
    </row>
    <row r="164" spans="1:4" ht="15.6" hidden="1" x14ac:dyDescent="0.3">
      <c r="A164" s="51" t="s">
        <v>1</v>
      </c>
      <c r="B164" s="52"/>
      <c r="C164" s="53"/>
      <c r="D164" s="66">
        <f t="shared" si="2"/>
        <v>0</v>
      </c>
    </row>
    <row r="165" spans="1:4" ht="15.6" hidden="1" x14ac:dyDescent="0.3">
      <c r="A165" s="51" t="s">
        <v>2</v>
      </c>
      <c r="B165" s="52"/>
      <c r="C165" s="53"/>
      <c r="D165" s="66">
        <f t="shared" si="2"/>
        <v>0</v>
      </c>
    </row>
    <row r="166" spans="1:4" ht="15.6" hidden="1" x14ac:dyDescent="0.3">
      <c r="A166" s="51" t="s">
        <v>62</v>
      </c>
      <c r="B166" s="52"/>
      <c r="C166" s="53"/>
      <c r="D166" s="66">
        <f t="shared" si="2"/>
        <v>0</v>
      </c>
    </row>
    <row r="167" spans="1:4" ht="15.6" hidden="1" x14ac:dyDescent="0.3">
      <c r="A167" s="51" t="s">
        <v>27</v>
      </c>
      <c r="B167" s="52"/>
      <c r="C167" s="53"/>
      <c r="D167" s="66">
        <f t="shared" si="2"/>
        <v>0</v>
      </c>
    </row>
    <row r="168" spans="1:4" ht="15.6" hidden="1" x14ac:dyDescent="0.3">
      <c r="A168" s="51" t="s">
        <v>109</v>
      </c>
      <c r="B168" s="52"/>
      <c r="C168" s="53"/>
      <c r="D168" s="66">
        <f t="shared" si="2"/>
        <v>0</v>
      </c>
    </row>
    <row r="169" spans="1:4" ht="15.6" x14ac:dyDescent="0.3">
      <c r="A169" s="51" t="s">
        <v>125</v>
      </c>
      <c r="B169" s="52">
        <v>660</v>
      </c>
      <c r="C169" s="53">
        <v>6000</v>
      </c>
      <c r="D169" s="66">
        <f t="shared" si="2"/>
        <v>3960000</v>
      </c>
    </row>
    <row r="170" spans="1:4" ht="15.6" hidden="1" x14ac:dyDescent="0.3">
      <c r="A170" s="51" t="s">
        <v>28</v>
      </c>
      <c r="B170" s="52"/>
      <c r="C170" s="53"/>
      <c r="D170" s="66">
        <f t="shared" si="2"/>
        <v>0</v>
      </c>
    </row>
    <row r="171" spans="1:4" ht="15.6" hidden="1" x14ac:dyDescent="0.3">
      <c r="A171" s="51" t="s">
        <v>120</v>
      </c>
      <c r="B171" s="52"/>
      <c r="C171" s="53"/>
      <c r="D171" s="66">
        <f t="shared" si="2"/>
        <v>0</v>
      </c>
    </row>
    <row r="172" spans="1:4" ht="15.6" hidden="1" x14ac:dyDescent="0.3">
      <c r="A172" s="51" t="s">
        <v>87</v>
      </c>
      <c r="B172" s="52"/>
      <c r="C172" s="53"/>
      <c r="D172" s="66">
        <f t="shared" si="2"/>
        <v>0</v>
      </c>
    </row>
    <row r="173" spans="1:4" ht="15.6" hidden="1" x14ac:dyDescent="0.3">
      <c r="A173" s="51" t="s">
        <v>117</v>
      </c>
      <c r="B173" s="52"/>
      <c r="C173" s="53"/>
      <c r="D173" s="66">
        <f t="shared" si="2"/>
        <v>0</v>
      </c>
    </row>
    <row r="174" spans="1:4" ht="15.6" hidden="1" x14ac:dyDescent="0.3">
      <c r="A174" s="51" t="s">
        <v>5</v>
      </c>
      <c r="B174" s="52"/>
      <c r="C174" s="53"/>
      <c r="D174" s="66">
        <f t="shared" si="2"/>
        <v>0</v>
      </c>
    </row>
    <row r="175" spans="1:4" ht="15.6" hidden="1" x14ac:dyDescent="0.3">
      <c r="A175" s="51" t="s">
        <v>6</v>
      </c>
      <c r="B175" s="52"/>
      <c r="C175" s="53"/>
      <c r="D175" s="66">
        <f t="shared" si="2"/>
        <v>0</v>
      </c>
    </row>
    <row r="176" spans="1:4" ht="15.6" x14ac:dyDescent="0.3">
      <c r="A176" s="51" t="s">
        <v>8</v>
      </c>
      <c r="B176" s="52">
        <v>110</v>
      </c>
      <c r="C176" s="53">
        <v>12000</v>
      </c>
      <c r="D176" s="66">
        <f t="shared" si="2"/>
        <v>1320000</v>
      </c>
    </row>
    <row r="177" spans="1:4" ht="15.6" hidden="1" x14ac:dyDescent="0.3">
      <c r="A177" s="51" t="s">
        <v>119</v>
      </c>
      <c r="B177" s="52"/>
      <c r="C177" s="53"/>
      <c r="D177" s="66">
        <f t="shared" si="2"/>
        <v>0</v>
      </c>
    </row>
    <row r="178" spans="1:4" ht="15.6" hidden="1" x14ac:dyDescent="0.3">
      <c r="A178" s="51" t="s">
        <v>12</v>
      </c>
      <c r="B178" s="52"/>
      <c r="C178" s="53"/>
      <c r="D178" s="66">
        <f t="shared" si="2"/>
        <v>0</v>
      </c>
    </row>
    <row r="179" spans="1:4" ht="15.6" hidden="1" x14ac:dyDescent="0.3">
      <c r="A179" s="51" t="s">
        <v>14</v>
      </c>
      <c r="B179" s="52"/>
      <c r="C179" s="53"/>
      <c r="D179" s="66">
        <f t="shared" si="2"/>
        <v>0</v>
      </c>
    </row>
    <row r="180" spans="1:4" ht="15.6" hidden="1" x14ac:dyDescent="0.3">
      <c r="A180" s="51" t="s">
        <v>111</v>
      </c>
      <c r="B180" s="52"/>
      <c r="C180" s="53"/>
      <c r="D180" s="66">
        <f t="shared" si="2"/>
        <v>0</v>
      </c>
    </row>
    <row r="181" spans="1:4" ht="15.6" hidden="1" x14ac:dyDescent="0.3">
      <c r="A181" s="51" t="s">
        <v>15</v>
      </c>
      <c r="B181" s="52"/>
      <c r="C181" s="53"/>
      <c r="D181" s="66">
        <f t="shared" si="2"/>
        <v>0</v>
      </c>
    </row>
    <row r="182" spans="1:4" ht="15.6" hidden="1" x14ac:dyDescent="0.3">
      <c r="A182" s="51" t="s">
        <v>16</v>
      </c>
      <c r="B182" s="52"/>
      <c r="C182" s="53"/>
      <c r="D182" s="66">
        <f t="shared" si="2"/>
        <v>0</v>
      </c>
    </row>
    <row r="183" spans="1:4" ht="15.6" hidden="1" x14ac:dyDescent="0.3">
      <c r="A183" s="51" t="s">
        <v>68</v>
      </c>
      <c r="B183" s="52"/>
      <c r="C183" s="53"/>
      <c r="D183" s="66">
        <f t="shared" si="2"/>
        <v>0</v>
      </c>
    </row>
    <row r="184" spans="1:4" ht="15.6" hidden="1" x14ac:dyDescent="0.3">
      <c r="A184" s="51" t="s">
        <v>65</v>
      </c>
      <c r="B184" s="52"/>
      <c r="C184" s="53"/>
      <c r="D184" s="66">
        <f t="shared" si="2"/>
        <v>0</v>
      </c>
    </row>
    <row r="185" spans="1:4" ht="15.6" hidden="1" x14ac:dyDescent="0.3">
      <c r="A185" s="51" t="s">
        <v>67</v>
      </c>
      <c r="B185" s="52"/>
      <c r="C185" s="53"/>
      <c r="D185" s="66">
        <f t="shared" si="2"/>
        <v>0</v>
      </c>
    </row>
    <row r="186" spans="1:4" ht="15.6" hidden="1" x14ac:dyDescent="0.3">
      <c r="A186" s="51" t="s">
        <v>71</v>
      </c>
      <c r="B186" s="52"/>
      <c r="C186" s="53"/>
      <c r="D186" s="66">
        <f t="shared" si="2"/>
        <v>0</v>
      </c>
    </row>
    <row r="187" spans="1:4" ht="15.6" hidden="1" x14ac:dyDescent="0.3">
      <c r="A187" s="51" t="s">
        <v>72</v>
      </c>
      <c r="B187" s="52"/>
      <c r="C187" s="53"/>
      <c r="D187" s="66">
        <f t="shared" si="2"/>
        <v>0</v>
      </c>
    </row>
    <row r="188" spans="1:4" ht="15.6" hidden="1" x14ac:dyDescent="0.3">
      <c r="A188" s="51" t="s">
        <v>29</v>
      </c>
      <c r="B188" s="52"/>
      <c r="C188" s="53"/>
      <c r="D188" s="66">
        <f t="shared" si="2"/>
        <v>0</v>
      </c>
    </row>
    <row r="189" spans="1:4" ht="15.6" hidden="1" x14ac:dyDescent="0.3">
      <c r="A189" s="51" t="s">
        <v>123</v>
      </c>
      <c r="B189" s="52"/>
      <c r="C189" s="53"/>
      <c r="D189" s="66">
        <f t="shared" si="2"/>
        <v>0</v>
      </c>
    </row>
    <row r="190" spans="1:4" ht="15.6" hidden="1" x14ac:dyDescent="0.3">
      <c r="A190" s="51" t="s">
        <v>30</v>
      </c>
      <c r="B190" s="52"/>
      <c r="C190" s="53"/>
      <c r="D190" s="66">
        <f t="shared" si="2"/>
        <v>0</v>
      </c>
    </row>
    <row r="191" spans="1:4" ht="15.6" hidden="1" x14ac:dyDescent="0.3">
      <c r="A191" s="51" t="s">
        <v>122</v>
      </c>
      <c r="B191" s="52"/>
      <c r="C191" s="53"/>
      <c r="D191" s="66">
        <f t="shared" si="2"/>
        <v>0</v>
      </c>
    </row>
    <row r="192" spans="1:4" ht="15.6" hidden="1" x14ac:dyDescent="0.3">
      <c r="A192" s="51" t="s">
        <v>76</v>
      </c>
      <c r="B192" s="52"/>
      <c r="C192" s="53"/>
      <c r="D192" s="66">
        <f t="shared" si="2"/>
        <v>0</v>
      </c>
    </row>
    <row r="193" spans="1:4" ht="15.6" hidden="1" x14ac:dyDescent="0.3">
      <c r="A193" s="51" t="s">
        <v>78</v>
      </c>
      <c r="B193" s="52"/>
      <c r="C193" s="53"/>
      <c r="D193" s="66">
        <f t="shared" si="2"/>
        <v>0</v>
      </c>
    </row>
    <row r="194" spans="1:4" ht="15.6" hidden="1" x14ac:dyDescent="0.3">
      <c r="A194" s="51" t="s">
        <v>79</v>
      </c>
      <c r="B194" s="52"/>
      <c r="C194" s="53"/>
      <c r="D194" s="66">
        <f t="shared" si="2"/>
        <v>0</v>
      </c>
    </row>
    <row r="195" spans="1:4" ht="15.6" hidden="1" x14ac:dyDescent="0.3">
      <c r="A195" s="51" t="s">
        <v>107</v>
      </c>
      <c r="B195" s="52"/>
      <c r="C195" s="53"/>
      <c r="D195" s="66">
        <f t="shared" si="2"/>
        <v>0</v>
      </c>
    </row>
    <row r="196" spans="1:4" ht="15.6" hidden="1" x14ac:dyDescent="0.3">
      <c r="A196" s="51" t="s">
        <v>82</v>
      </c>
      <c r="B196" s="52"/>
      <c r="C196" s="53"/>
      <c r="D196" s="66">
        <f t="shared" si="2"/>
        <v>0</v>
      </c>
    </row>
    <row r="197" spans="1:4" ht="15.6" hidden="1" x14ac:dyDescent="0.3">
      <c r="A197" s="51" t="s">
        <v>38</v>
      </c>
      <c r="B197" s="52"/>
      <c r="C197" s="53"/>
      <c r="D197" s="66">
        <f t="shared" ref="D197:D201" si="3">B197*C197</f>
        <v>0</v>
      </c>
    </row>
    <row r="198" spans="1:4" ht="15.6" hidden="1" x14ac:dyDescent="0.3">
      <c r="A198" s="51" t="s">
        <v>39</v>
      </c>
      <c r="B198" s="52"/>
      <c r="C198" s="53"/>
      <c r="D198" s="66">
        <f t="shared" si="3"/>
        <v>0</v>
      </c>
    </row>
    <row r="199" spans="1:4" ht="15.6" hidden="1" x14ac:dyDescent="0.3">
      <c r="A199" s="51" t="s">
        <v>40</v>
      </c>
      <c r="B199" s="52"/>
      <c r="C199" s="53"/>
      <c r="D199" s="66">
        <f t="shared" si="3"/>
        <v>0</v>
      </c>
    </row>
    <row r="200" spans="1:4" ht="15.6" hidden="1" x14ac:dyDescent="0.3">
      <c r="A200" s="51" t="s">
        <v>41</v>
      </c>
      <c r="B200" s="52"/>
      <c r="C200" s="53"/>
      <c r="D200" s="66">
        <f t="shared" si="3"/>
        <v>0</v>
      </c>
    </row>
    <row r="201" spans="1:4" ht="15.6" hidden="1" x14ac:dyDescent="0.3">
      <c r="A201" s="51" t="s">
        <v>46</v>
      </c>
      <c r="B201" s="52"/>
      <c r="C201" s="53"/>
      <c r="D201" s="66">
        <f t="shared" si="3"/>
        <v>0</v>
      </c>
    </row>
    <row r="202" spans="1:4" x14ac:dyDescent="0.3">
      <c r="D202" s="83">
        <f>SUM(D152:D176)</f>
        <v>5700000</v>
      </c>
    </row>
    <row r="204" spans="1:4" x14ac:dyDescent="0.3">
      <c r="D204" s="83">
        <f>D202+D147</f>
        <v>155875400</v>
      </c>
    </row>
  </sheetData>
  <autoFilter ref="A2:D201" xr:uid="{00000000-0009-0000-0000-000004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177"/>
  <sheetViews>
    <sheetView topLeftCell="A32" workbookViewId="0">
      <selection activeCell="D177" sqref="D177"/>
    </sheetView>
  </sheetViews>
  <sheetFormatPr defaultRowHeight="14.4" x14ac:dyDescent="0.3"/>
  <cols>
    <col min="1" max="1" width="30.6640625" customWidth="1"/>
    <col min="2" max="2" width="12.44140625" customWidth="1"/>
    <col min="3" max="3" width="14.44140625" customWidth="1"/>
    <col min="4" max="4" width="18.44140625" customWidth="1"/>
  </cols>
  <sheetData>
    <row r="1" spans="1:4" x14ac:dyDescent="0.3">
      <c r="A1" s="59" t="s">
        <v>549</v>
      </c>
    </row>
    <row r="2" spans="1:4" ht="37.200000000000003" x14ac:dyDescent="0.3">
      <c r="A2" s="60" t="s">
        <v>0</v>
      </c>
      <c r="B2" s="61" t="s">
        <v>544</v>
      </c>
      <c r="C2" s="82" t="s">
        <v>128</v>
      </c>
      <c r="D2" s="65" t="s">
        <v>129</v>
      </c>
    </row>
    <row r="3" spans="1:4" x14ac:dyDescent="0.3">
      <c r="A3" s="62" t="s">
        <v>22</v>
      </c>
      <c r="B3" s="63">
        <v>800</v>
      </c>
      <c r="C3" s="66">
        <v>9000</v>
      </c>
      <c r="D3" s="66">
        <f>B3*C3</f>
        <v>7200000</v>
      </c>
    </row>
    <row r="4" spans="1:4" x14ac:dyDescent="0.3">
      <c r="A4" s="62" t="s">
        <v>23</v>
      </c>
      <c r="B4" s="63">
        <v>4350</v>
      </c>
      <c r="C4" s="66">
        <v>5500</v>
      </c>
      <c r="D4" s="66">
        <f t="shared" ref="D4:D67" si="0">B4*C4</f>
        <v>23925000</v>
      </c>
    </row>
    <row r="5" spans="1:4" x14ac:dyDescent="0.3">
      <c r="A5" s="62" t="s">
        <v>48</v>
      </c>
      <c r="B5" s="63">
        <v>25</v>
      </c>
      <c r="C5" s="68">
        <v>10000</v>
      </c>
      <c r="D5" s="66">
        <f t="shared" si="0"/>
        <v>250000</v>
      </c>
    </row>
    <row r="6" spans="1:4" hidden="1" x14ac:dyDescent="0.3">
      <c r="A6" s="62" t="s">
        <v>48</v>
      </c>
      <c r="B6" s="63">
        <v>0</v>
      </c>
      <c r="C6" s="68"/>
      <c r="D6" s="66">
        <f t="shared" si="0"/>
        <v>0</v>
      </c>
    </row>
    <row r="7" spans="1:4" hidden="1" x14ac:dyDescent="0.3">
      <c r="A7" s="62" t="s">
        <v>49</v>
      </c>
      <c r="B7" s="63">
        <v>0</v>
      </c>
      <c r="C7" s="68"/>
      <c r="D7" s="66">
        <f t="shared" si="0"/>
        <v>0</v>
      </c>
    </row>
    <row r="8" spans="1:4" x14ac:dyDescent="0.3">
      <c r="A8" s="62" t="s">
        <v>50</v>
      </c>
      <c r="B8" s="63">
        <v>2700</v>
      </c>
      <c r="C8" s="68">
        <v>6000</v>
      </c>
      <c r="D8" s="66">
        <f t="shared" si="0"/>
        <v>16200000</v>
      </c>
    </row>
    <row r="9" spans="1:4" hidden="1" x14ac:dyDescent="0.3">
      <c r="A9" s="62" t="s">
        <v>84</v>
      </c>
      <c r="B9" s="63">
        <v>0</v>
      </c>
      <c r="C9" s="68"/>
      <c r="D9" s="66">
        <f t="shared" si="0"/>
        <v>0</v>
      </c>
    </row>
    <row r="10" spans="1:4" hidden="1" x14ac:dyDescent="0.3">
      <c r="A10" s="62" t="s">
        <v>51</v>
      </c>
      <c r="B10" s="63">
        <v>0</v>
      </c>
      <c r="C10" s="68"/>
      <c r="D10" s="66">
        <f t="shared" si="0"/>
        <v>0</v>
      </c>
    </row>
    <row r="11" spans="1:4" hidden="1" x14ac:dyDescent="0.3">
      <c r="A11" s="62" t="s">
        <v>51</v>
      </c>
      <c r="B11" s="63">
        <v>0</v>
      </c>
      <c r="C11" s="68"/>
      <c r="D11" s="66">
        <f t="shared" si="0"/>
        <v>0</v>
      </c>
    </row>
    <row r="12" spans="1:4" x14ac:dyDescent="0.3">
      <c r="A12" s="62" t="s">
        <v>52</v>
      </c>
      <c r="B12" s="63">
        <v>34</v>
      </c>
      <c r="C12" s="68">
        <v>10000</v>
      </c>
      <c r="D12" s="66">
        <f t="shared" si="0"/>
        <v>340000</v>
      </c>
    </row>
    <row r="13" spans="1:4" hidden="1" x14ac:dyDescent="0.3">
      <c r="A13" s="62" t="s">
        <v>52</v>
      </c>
      <c r="B13" s="63">
        <v>0</v>
      </c>
      <c r="C13" s="68"/>
      <c r="D13" s="66">
        <f t="shared" si="0"/>
        <v>0</v>
      </c>
    </row>
    <row r="14" spans="1:4" hidden="1" x14ac:dyDescent="0.3">
      <c r="A14" s="62" t="s">
        <v>90</v>
      </c>
      <c r="B14" s="63">
        <v>0</v>
      </c>
      <c r="C14" s="68"/>
      <c r="D14" s="66">
        <f t="shared" si="0"/>
        <v>0</v>
      </c>
    </row>
    <row r="15" spans="1:4" x14ac:dyDescent="0.3">
      <c r="A15" s="62" t="s">
        <v>92</v>
      </c>
      <c r="B15" s="63">
        <v>20</v>
      </c>
      <c r="C15" s="68">
        <v>11000</v>
      </c>
      <c r="D15" s="66">
        <f t="shared" si="0"/>
        <v>220000</v>
      </c>
    </row>
    <row r="16" spans="1:4" hidden="1" x14ac:dyDescent="0.3">
      <c r="A16" s="62" t="s">
        <v>91</v>
      </c>
      <c r="B16" s="63">
        <v>0</v>
      </c>
      <c r="C16" s="68"/>
      <c r="D16" s="66">
        <f t="shared" si="0"/>
        <v>0</v>
      </c>
    </row>
    <row r="17" spans="1:4" hidden="1" x14ac:dyDescent="0.3">
      <c r="A17" s="62" t="s">
        <v>110</v>
      </c>
      <c r="B17" s="63">
        <v>0</v>
      </c>
      <c r="C17" s="68"/>
      <c r="D17" s="66">
        <f t="shared" si="0"/>
        <v>0</v>
      </c>
    </row>
    <row r="18" spans="1:4" hidden="1" x14ac:dyDescent="0.3">
      <c r="A18" s="62" t="s">
        <v>524</v>
      </c>
      <c r="B18" s="63">
        <v>0</v>
      </c>
      <c r="C18" s="68"/>
      <c r="D18" s="66">
        <f t="shared" si="0"/>
        <v>0</v>
      </c>
    </row>
    <row r="19" spans="1:4" hidden="1" x14ac:dyDescent="0.3">
      <c r="A19" s="62" t="s">
        <v>18</v>
      </c>
      <c r="B19" s="63">
        <v>0</v>
      </c>
      <c r="C19" s="66"/>
      <c r="D19" s="66">
        <f t="shared" si="0"/>
        <v>0</v>
      </c>
    </row>
    <row r="20" spans="1:4" hidden="1" x14ac:dyDescent="0.3">
      <c r="A20" s="62" t="s">
        <v>19</v>
      </c>
      <c r="B20" s="63">
        <v>0</v>
      </c>
      <c r="C20" s="66"/>
      <c r="D20" s="66">
        <f t="shared" si="0"/>
        <v>0</v>
      </c>
    </row>
    <row r="21" spans="1:4" hidden="1" x14ac:dyDescent="0.3">
      <c r="A21" s="62" t="s">
        <v>19</v>
      </c>
      <c r="B21" s="63">
        <v>0</v>
      </c>
      <c r="C21" s="66"/>
      <c r="D21" s="66">
        <f t="shared" si="0"/>
        <v>0</v>
      </c>
    </row>
    <row r="22" spans="1:4" x14ac:dyDescent="0.3">
      <c r="A22" s="62" t="s">
        <v>53</v>
      </c>
      <c r="B22" s="63">
        <v>120</v>
      </c>
      <c r="C22" s="68">
        <v>25000</v>
      </c>
      <c r="D22" s="66">
        <f t="shared" si="0"/>
        <v>3000000</v>
      </c>
    </row>
    <row r="23" spans="1:4" hidden="1" x14ac:dyDescent="0.3">
      <c r="A23" s="62" t="s">
        <v>53</v>
      </c>
      <c r="B23" s="63">
        <v>0</v>
      </c>
      <c r="C23" s="68"/>
      <c r="D23" s="66">
        <f t="shared" si="0"/>
        <v>0</v>
      </c>
    </row>
    <row r="24" spans="1:4" x14ac:dyDescent="0.3">
      <c r="A24" s="62" t="s">
        <v>54</v>
      </c>
      <c r="B24" s="63">
        <v>10</v>
      </c>
      <c r="C24" s="68">
        <v>22000</v>
      </c>
      <c r="D24" s="66">
        <f t="shared" si="0"/>
        <v>220000</v>
      </c>
    </row>
    <row r="25" spans="1:4" hidden="1" x14ac:dyDescent="0.3">
      <c r="A25" s="62" t="s">
        <v>55</v>
      </c>
      <c r="B25" s="63">
        <v>0</v>
      </c>
      <c r="C25" s="68"/>
      <c r="D25" s="66">
        <f t="shared" si="0"/>
        <v>0</v>
      </c>
    </row>
    <row r="26" spans="1:4" x14ac:dyDescent="0.3">
      <c r="A26" s="62" t="s">
        <v>56</v>
      </c>
      <c r="B26" s="63">
        <v>65</v>
      </c>
      <c r="C26" s="68">
        <v>11400</v>
      </c>
      <c r="D26" s="66">
        <f t="shared" si="0"/>
        <v>741000</v>
      </c>
    </row>
    <row r="27" spans="1:4" x14ac:dyDescent="0.3">
      <c r="A27" s="62" t="s">
        <v>103</v>
      </c>
      <c r="B27" s="63">
        <v>22</v>
      </c>
      <c r="C27" s="68">
        <v>19000</v>
      </c>
      <c r="D27" s="66">
        <f t="shared" si="0"/>
        <v>418000</v>
      </c>
    </row>
    <row r="28" spans="1:4" hidden="1" x14ac:dyDescent="0.3">
      <c r="A28" s="62" t="s">
        <v>57</v>
      </c>
      <c r="B28" s="63">
        <v>0</v>
      </c>
      <c r="C28" s="68"/>
      <c r="D28" s="66">
        <f t="shared" si="0"/>
        <v>0</v>
      </c>
    </row>
    <row r="29" spans="1:4" hidden="1" x14ac:dyDescent="0.3">
      <c r="A29" s="62" t="s">
        <v>58</v>
      </c>
      <c r="B29" s="63">
        <v>0</v>
      </c>
      <c r="C29" s="68"/>
      <c r="D29" s="66">
        <f t="shared" si="0"/>
        <v>0</v>
      </c>
    </row>
    <row r="30" spans="1:4" x14ac:dyDescent="0.3">
      <c r="A30" s="62" t="s">
        <v>59</v>
      </c>
      <c r="B30" s="63">
        <v>18</v>
      </c>
      <c r="C30" s="68">
        <v>8000</v>
      </c>
      <c r="D30" s="66">
        <f t="shared" si="0"/>
        <v>144000</v>
      </c>
    </row>
    <row r="31" spans="1:4" hidden="1" x14ac:dyDescent="0.3">
      <c r="A31" s="62" t="s">
        <v>86</v>
      </c>
      <c r="B31" s="63">
        <v>0</v>
      </c>
      <c r="C31" s="68"/>
      <c r="D31" s="66">
        <f t="shared" si="0"/>
        <v>0</v>
      </c>
    </row>
    <row r="32" spans="1:4" x14ac:dyDescent="0.3">
      <c r="A32" s="62" t="s">
        <v>60</v>
      </c>
      <c r="B32" s="63">
        <v>1800</v>
      </c>
      <c r="C32" s="68">
        <v>17500</v>
      </c>
      <c r="D32" s="66">
        <f t="shared" si="0"/>
        <v>31500000</v>
      </c>
    </row>
    <row r="33" spans="1:4" hidden="1" x14ac:dyDescent="0.3">
      <c r="A33" s="62" t="s">
        <v>60</v>
      </c>
      <c r="B33" s="63">
        <v>0</v>
      </c>
      <c r="C33" s="68"/>
      <c r="D33" s="66">
        <f t="shared" si="0"/>
        <v>0</v>
      </c>
    </row>
    <row r="34" spans="1:4" hidden="1" x14ac:dyDescent="0.3">
      <c r="A34" s="62" t="s">
        <v>60</v>
      </c>
      <c r="B34" s="63">
        <v>0</v>
      </c>
      <c r="C34" s="68"/>
      <c r="D34" s="66">
        <f t="shared" si="0"/>
        <v>0</v>
      </c>
    </row>
    <row r="35" spans="1:4" hidden="1" x14ac:dyDescent="0.3">
      <c r="A35" s="62" t="s">
        <v>61</v>
      </c>
      <c r="B35" s="63">
        <v>0</v>
      </c>
      <c r="C35" s="68"/>
      <c r="D35" s="66">
        <f t="shared" si="0"/>
        <v>0</v>
      </c>
    </row>
    <row r="36" spans="1:4" hidden="1" x14ac:dyDescent="0.3">
      <c r="A36" s="62" t="s">
        <v>1</v>
      </c>
      <c r="B36" s="63"/>
      <c r="C36" s="66"/>
      <c r="D36" s="66">
        <f t="shared" si="0"/>
        <v>0</v>
      </c>
    </row>
    <row r="37" spans="1:4" hidden="1" x14ac:dyDescent="0.3">
      <c r="A37" s="62" t="s">
        <v>1</v>
      </c>
      <c r="B37" s="63">
        <v>0</v>
      </c>
      <c r="C37" s="66"/>
      <c r="D37" s="66">
        <f t="shared" si="0"/>
        <v>0</v>
      </c>
    </row>
    <row r="38" spans="1:4" hidden="1" x14ac:dyDescent="0.3">
      <c r="A38" s="62" t="s">
        <v>2</v>
      </c>
      <c r="B38" s="63">
        <v>0</v>
      </c>
      <c r="C38" s="66"/>
      <c r="D38" s="66">
        <f t="shared" si="0"/>
        <v>0</v>
      </c>
    </row>
    <row r="39" spans="1:4" hidden="1" x14ac:dyDescent="0.3">
      <c r="A39" s="62" t="s">
        <v>62</v>
      </c>
      <c r="B39" s="63">
        <v>0</v>
      </c>
      <c r="C39" s="68"/>
      <c r="D39" s="66">
        <f t="shared" si="0"/>
        <v>0</v>
      </c>
    </row>
    <row r="40" spans="1:4" hidden="1" x14ac:dyDescent="0.3">
      <c r="A40" s="62" t="s">
        <v>63</v>
      </c>
      <c r="B40" s="63">
        <v>0</v>
      </c>
      <c r="C40" s="68"/>
      <c r="D40" s="66">
        <f t="shared" si="0"/>
        <v>0</v>
      </c>
    </row>
    <row r="41" spans="1:4" hidden="1" x14ac:dyDescent="0.3">
      <c r="A41" s="62" t="s">
        <v>24</v>
      </c>
      <c r="B41" s="63">
        <v>0</v>
      </c>
      <c r="C41" s="66"/>
      <c r="D41" s="66">
        <f t="shared" si="0"/>
        <v>0</v>
      </c>
    </row>
    <row r="42" spans="1:4" hidden="1" x14ac:dyDescent="0.3">
      <c r="A42" s="62" t="s">
        <v>24</v>
      </c>
      <c r="B42" s="63">
        <v>0</v>
      </c>
      <c r="C42" s="66"/>
      <c r="D42" s="66">
        <f t="shared" si="0"/>
        <v>0</v>
      </c>
    </row>
    <row r="43" spans="1:4" hidden="1" x14ac:dyDescent="0.3">
      <c r="A43" s="62" t="s">
        <v>25</v>
      </c>
      <c r="B43" s="63">
        <v>0</v>
      </c>
      <c r="C43" s="66"/>
      <c r="D43" s="66">
        <f t="shared" si="0"/>
        <v>0</v>
      </c>
    </row>
    <row r="44" spans="1:4" hidden="1" x14ac:dyDescent="0.3">
      <c r="A44" s="62" t="s">
        <v>26</v>
      </c>
      <c r="B44" s="63">
        <v>0</v>
      </c>
      <c r="C44" s="66"/>
      <c r="D44" s="66">
        <f t="shared" si="0"/>
        <v>0</v>
      </c>
    </row>
    <row r="45" spans="1:4" hidden="1" x14ac:dyDescent="0.3">
      <c r="A45" s="62" t="s">
        <v>26</v>
      </c>
      <c r="B45" s="63">
        <v>0</v>
      </c>
      <c r="C45" s="66"/>
      <c r="D45" s="66">
        <f t="shared" si="0"/>
        <v>0</v>
      </c>
    </row>
    <row r="46" spans="1:4" x14ac:dyDescent="0.3">
      <c r="A46" s="62" t="s">
        <v>27</v>
      </c>
      <c r="B46" s="63">
        <v>312</v>
      </c>
      <c r="C46" s="66">
        <v>15000</v>
      </c>
      <c r="D46" s="66">
        <f t="shared" si="0"/>
        <v>4680000</v>
      </c>
    </row>
    <row r="47" spans="1:4" x14ac:dyDescent="0.3">
      <c r="A47" s="62" t="s">
        <v>109</v>
      </c>
      <c r="B47" s="63">
        <v>9</v>
      </c>
      <c r="C47" s="68">
        <v>20000</v>
      </c>
      <c r="D47" s="66">
        <f t="shared" si="0"/>
        <v>180000</v>
      </c>
    </row>
    <row r="48" spans="1:4" hidden="1" x14ac:dyDescent="0.3">
      <c r="A48" s="62" t="s">
        <v>28</v>
      </c>
      <c r="B48" s="63">
        <v>0</v>
      </c>
      <c r="C48" s="66"/>
      <c r="D48" s="66">
        <f t="shared" si="0"/>
        <v>0</v>
      </c>
    </row>
    <row r="49" spans="1:4" hidden="1" x14ac:dyDescent="0.3">
      <c r="A49" s="62" t="s">
        <v>28</v>
      </c>
      <c r="B49" s="63">
        <v>0</v>
      </c>
      <c r="C49" s="66"/>
      <c r="D49" s="66">
        <f t="shared" si="0"/>
        <v>0</v>
      </c>
    </row>
    <row r="50" spans="1:4" hidden="1" x14ac:dyDescent="0.3">
      <c r="A50" s="62" t="s">
        <v>28</v>
      </c>
      <c r="B50" s="63">
        <v>0</v>
      </c>
      <c r="C50" s="66"/>
      <c r="D50" s="66">
        <f t="shared" si="0"/>
        <v>0</v>
      </c>
    </row>
    <row r="51" spans="1:4" hidden="1" x14ac:dyDescent="0.3">
      <c r="A51" s="62" t="s">
        <v>64</v>
      </c>
      <c r="B51" s="63">
        <v>0</v>
      </c>
      <c r="C51" s="68"/>
      <c r="D51" s="66">
        <f t="shared" si="0"/>
        <v>0</v>
      </c>
    </row>
    <row r="52" spans="1:4" x14ac:dyDescent="0.3">
      <c r="A52" s="62" t="s">
        <v>87</v>
      </c>
      <c r="B52" s="63">
        <v>100</v>
      </c>
      <c r="C52" s="68">
        <v>12000</v>
      </c>
      <c r="D52" s="66">
        <f t="shared" si="0"/>
        <v>1200000</v>
      </c>
    </row>
    <row r="53" spans="1:4" hidden="1" x14ac:dyDescent="0.3">
      <c r="A53" s="62" t="s">
        <v>4</v>
      </c>
      <c r="B53" s="63">
        <v>0</v>
      </c>
      <c r="C53" s="66"/>
      <c r="D53" s="66">
        <f t="shared" si="0"/>
        <v>0</v>
      </c>
    </row>
    <row r="54" spans="1:4" x14ac:dyDescent="0.3">
      <c r="A54" s="62" t="s">
        <v>5</v>
      </c>
      <c r="B54" s="63">
        <v>4</v>
      </c>
      <c r="C54" s="66">
        <v>6000</v>
      </c>
      <c r="D54" s="66">
        <f t="shared" si="0"/>
        <v>24000</v>
      </c>
    </row>
    <row r="55" spans="1:4" x14ac:dyDescent="0.3">
      <c r="A55" s="62" t="s">
        <v>6</v>
      </c>
      <c r="B55" s="63">
        <v>94</v>
      </c>
      <c r="C55" s="66">
        <v>16000</v>
      </c>
      <c r="D55" s="66">
        <f t="shared" si="0"/>
        <v>1504000</v>
      </c>
    </row>
    <row r="56" spans="1:4" hidden="1" x14ac:dyDescent="0.3">
      <c r="A56" s="62" t="s">
        <v>6</v>
      </c>
      <c r="B56" s="63">
        <v>0</v>
      </c>
      <c r="C56" s="66"/>
      <c r="D56" s="66">
        <f t="shared" si="0"/>
        <v>0</v>
      </c>
    </row>
    <row r="57" spans="1:4" hidden="1" x14ac:dyDescent="0.3">
      <c r="A57" s="62" t="s">
        <v>7</v>
      </c>
      <c r="B57" s="63">
        <v>0</v>
      </c>
      <c r="C57" s="66"/>
      <c r="D57" s="66">
        <f t="shared" si="0"/>
        <v>0</v>
      </c>
    </row>
    <row r="58" spans="1:4" x14ac:dyDescent="0.3">
      <c r="A58" s="62" t="s">
        <v>8</v>
      </c>
      <c r="B58" s="63">
        <v>248</v>
      </c>
      <c r="C58" s="66">
        <v>22000</v>
      </c>
      <c r="D58" s="66">
        <f t="shared" si="0"/>
        <v>5456000</v>
      </c>
    </row>
    <row r="59" spans="1:4" hidden="1" x14ac:dyDescent="0.3">
      <c r="A59" s="62" t="s">
        <v>9</v>
      </c>
      <c r="B59" s="63">
        <v>0</v>
      </c>
      <c r="C59" s="66"/>
      <c r="D59" s="66">
        <f t="shared" si="0"/>
        <v>0</v>
      </c>
    </row>
    <row r="60" spans="1:4" hidden="1" x14ac:dyDescent="0.3">
      <c r="A60" s="62" t="s">
        <v>10</v>
      </c>
      <c r="B60" s="63">
        <v>0</v>
      </c>
      <c r="C60" s="66"/>
      <c r="D60" s="66">
        <f t="shared" si="0"/>
        <v>0</v>
      </c>
    </row>
    <row r="61" spans="1:4" hidden="1" x14ac:dyDescent="0.3">
      <c r="A61" s="62" t="s">
        <v>119</v>
      </c>
      <c r="B61" s="63">
        <v>0</v>
      </c>
      <c r="C61" s="66"/>
      <c r="D61" s="66">
        <f t="shared" si="0"/>
        <v>0</v>
      </c>
    </row>
    <row r="62" spans="1:4" hidden="1" x14ac:dyDescent="0.3">
      <c r="A62" s="62" t="s">
        <v>119</v>
      </c>
      <c r="B62" s="63">
        <v>0</v>
      </c>
      <c r="C62" s="66"/>
      <c r="D62" s="66">
        <f t="shared" si="0"/>
        <v>0</v>
      </c>
    </row>
    <row r="63" spans="1:4" hidden="1" x14ac:dyDescent="0.3">
      <c r="A63" s="62" t="s">
        <v>102</v>
      </c>
      <c r="B63" s="63">
        <v>0</v>
      </c>
      <c r="C63" s="68"/>
      <c r="D63" s="66">
        <f t="shared" si="0"/>
        <v>0</v>
      </c>
    </row>
    <row r="64" spans="1:4" x14ac:dyDescent="0.3">
      <c r="A64" s="62" t="s">
        <v>12</v>
      </c>
      <c r="B64" s="63">
        <v>300</v>
      </c>
      <c r="C64" s="66">
        <v>25000</v>
      </c>
      <c r="D64" s="66">
        <f t="shared" si="0"/>
        <v>7500000</v>
      </c>
    </row>
    <row r="65" spans="1:4" hidden="1" x14ac:dyDescent="0.3">
      <c r="A65" s="62" t="s">
        <v>12</v>
      </c>
      <c r="B65" s="63">
        <v>0</v>
      </c>
      <c r="C65" s="66"/>
      <c r="D65" s="66">
        <f t="shared" si="0"/>
        <v>0</v>
      </c>
    </row>
    <row r="66" spans="1:4" hidden="1" x14ac:dyDescent="0.3">
      <c r="A66" s="62" t="s">
        <v>13</v>
      </c>
      <c r="B66" s="63">
        <v>0</v>
      </c>
      <c r="C66" s="66"/>
      <c r="D66" s="66">
        <f t="shared" si="0"/>
        <v>0</v>
      </c>
    </row>
    <row r="67" spans="1:4" x14ac:dyDescent="0.3">
      <c r="A67" s="62" t="s">
        <v>14</v>
      </c>
      <c r="B67" s="63">
        <v>20</v>
      </c>
      <c r="C67" s="66">
        <v>12000</v>
      </c>
      <c r="D67" s="66">
        <f t="shared" si="0"/>
        <v>240000</v>
      </c>
    </row>
    <row r="68" spans="1:4" x14ac:dyDescent="0.3">
      <c r="A68" s="62" t="s">
        <v>15</v>
      </c>
      <c r="B68" s="63">
        <v>375</v>
      </c>
      <c r="C68" s="66">
        <v>16000</v>
      </c>
      <c r="D68" s="66">
        <f t="shared" ref="D68:D132" si="1">B68*C68</f>
        <v>6000000</v>
      </c>
    </row>
    <row r="69" spans="1:4" hidden="1" x14ac:dyDescent="0.3">
      <c r="A69" s="62" t="s">
        <v>15</v>
      </c>
      <c r="B69" s="63">
        <v>0</v>
      </c>
      <c r="C69" s="66"/>
      <c r="D69" s="66">
        <f t="shared" si="1"/>
        <v>0</v>
      </c>
    </row>
    <row r="70" spans="1:4" hidden="1" x14ac:dyDescent="0.3">
      <c r="A70" s="62" t="s">
        <v>16</v>
      </c>
      <c r="B70" s="63">
        <v>0</v>
      </c>
      <c r="C70" s="66"/>
      <c r="D70" s="66">
        <f t="shared" si="1"/>
        <v>0</v>
      </c>
    </row>
    <row r="71" spans="1:4" hidden="1" x14ac:dyDescent="0.3">
      <c r="A71" s="62" t="s">
        <v>68</v>
      </c>
      <c r="B71" s="63">
        <v>0</v>
      </c>
      <c r="C71" s="68"/>
      <c r="D71" s="66">
        <f t="shared" si="1"/>
        <v>0</v>
      </c>
    </row>
    <row r="72" spans="1:4" hidden="1" x14ac:dyDescent="0.3">
      <c r="A72" s="62" t="s">
        <v>65</v>
      </c>
      <c r="B72" s="63">
        <v>0</v>
      </c>
      <c r="C72" s="68"/>
      <c r="D72" s="66">
        <f t="shared" si="1"/>
        <v>0</v>
      </c>
    </row>
    <row r="73" spans="1:4" hidden="1" x14ac:dyDescent="0.3">
      <c r="A73" s="62" t="s">
        <v>66</v>
      </c>
      <c r="B73" s="63">
        <v>0</v>
      </c>
      <c r="C73" s="68"/>
      <c r="D73" s="66">
        <f t="shared" si="1"/>
        <v>0</v>
      </c>
    </row>
    <row r="74" spans="1:4" hidden="1" x14ac:dyDescent="0.3">
      <c r="A74" s="62" t="s">
        <v>67</v>
      </c>
      <c r="B74" s="63">
        <v>0</v>
      </c>
      <c r="C74" s="68"/>
      <c r="D74" s="66">
        <f t="shared" si="1"/>
        <v>0</v>
      </c>
    </row>
    <row r="75" spans="1:4" x14ac:dyDescent="0.3">
      <c r="A75" s="62" t="s">
        <v>69</v>
      </c>
      <c r="B75" s="63">
        <v>3</v>
      </c>
      <c r="C75" s="68">
        <v>80000</v>
      </c>
      <c r="D75" s="66">
        <f t="shared" si="1"/>
        <v>240000</v>
      </c>
    </row>
    <row r="76" spans="1:4" hidden="1" x14ac:dyDescent="0.3">
      <c r="A76" s="62" t="s">
        <v>69</v>
      </c>
      <c r="B76" s="63">
        <v>0</v>
      </c>
      <c r="C76" s="68"/>
      <c r="D76" s="66">
        <f t="shared" si="1"/>
        <v>0</v>
      </c>
    </row>
    <row r="77" spans="1:4" hidden="1" x14ac:dyDescent="0.3">
      <c r="A77" s="62" t="s">
        <v>98</v>
      </c>
      <c r="B77" s="63">
        <v>0</v>
      </c>
      <c r="C77" s="68"/>
      <c r="D77" s="66">
        <f t="shared" si="1"/>
        <v>0</v>
      </c>
    </row>
    <row r="78" spans="1:4" x14ac:dyDescent="0.3">
      <c r="A78" s="62" t="s">
        <v>71</v>
      </c>
      <c r="B78" s="63">
        <v>10</v>
      </c>
      <c r="C78" s="68">
        <v>15000</v>
      </c>
      <c r="D78" s="66">
        <f t="shared" si="1"/>
        <v>150000</v>
      </c>
    </row>
    <row r="79" spans="1:4" hidden="1" x14ac:dyDescent="0.3">
      <c r="A79" s="62" t="s">
        <v>72</v>
      </c>
      <c r="B79" s="63">
        <v>0</v>
      </c>
      <c r="C79" s="68"/>
      <c r="D79" s="66">
        <f t="shared" si="1"/>
        <v>0</v>
      </c>
    </row>
    <row r="80" spans="1:4" hidden="1" x14ac:dyDescent="0.3">
      <c r="A80" s="62" t="s">
        <v>73</v>
      </c>
      <c r="B80" s="63">
        <v>0</v>
      </c>
      <c r="C80" s="68"/>
      <c r="D80" s="66">
        <f t="shared" si="1"/>
        <v>0</v>
      </c>
    </row>
    <row r="81" spans="1:4" hidden="1" x14ac:dyDescent="0.3">
      <c r="A81" s="62" t="s">
        <v>73</v>
      </c>
      <c r="B81" s="63">
        <v>0</v>
      </c>
      <c r="C81" s="68"/>
      <c r="D81" s="66">
        <f t="shared" si="1"/>
        <v>0</v>
      </c>
    </row>
    <row r="82" spans="1:4" hidden="1" x14ac:dyDescent="0.3">
      <c r="A82" s="62" t="s">
        <v>74</v>
      </c>
      <c r="B82" s="63">
        <v>0</v>
      </c>
      <c r="C82" s="68"/>
      <c r="D82" s="66">
        <f t="shared" si="1"/>
        <v>0</v>
      </c>
    </row>
    <row r="83" spans="1:4" hidden="1" x14ac:dyDescent="0.3">
      <c r="A83" s="62" t="s">
        <v>29</v>
      </c>
      <c r="B83" s="63">
        <v>0</v>
      </c>
      <c r="C83" s="66"/>
      <c r="D83" s="66">
        <f t="shared" si="1"/>
        <v>0</v>
      </c>
    </row>
    <row r="84" spans="1:4" x14ac:dyDescent="0.3">
      <c r="A84" s="62" t="s">
        <v>29</v>
      </c>
      <c r="B84" s="63">
        <v>2</v>
      </c>
      <c r="C84" s="66">
        <v>33000</v>
      </c>
      <c r="D84" s="66">
        <f t="shared" si="1"/>
        <v>66000</v>
      </c>
    </row>
    <row r="85" spans="1:4" hidden="1" x14ac:dyDescent="0.3">
      <c r="A85" s="62" t="s">
        <v>93</v>
      </c>
      <c r="B85" s="63">
        <v>0</v>
      </c>
      <c r="C85" s="68"/>
      <c r="D85" s="66">
        <f t="shared" si="1"/>
        <v>0</v>
      </c>
    </row>
    <row r="86" spans="1:4" hidden="1" x14ac:dyDescent="0.3">
      <c r="A86" s="62" t="s">
        <v>20</v>
      </c>
      <c r="B86" s="63">
        <v>0</v>
      </c>
      <c r="C86" s="66"/>
      <c r="D86" s="66">
        <f t="shared" si="1"/>
        <v>0</v>
      </c>
    </row>
    <row r="87" spans="1:4" hidden="1" x14ac:dyDescent="0.3">
      <c r="A87" s="62" t="s">
        <v>96</v>
      </c>
      <c r="B87" s="63">
        <v>0</v>
      </c>
      <c r="C87" s="68"/>
      <c r="D87" s="66">
        <f t="shared" si="1"/>
        <v>0</v>
      </c>
    </row>
    <row r="88" spans="1:4" hidden="1" x14ac:dyDescent="0.3">
      <c r="A88" s="62" t="s">
        <v>34</v>
      </c>
      <c r="B88" s="63">
        <v>0</v>
      </c>
      <c r="C88" s="68"/>
      <c r="D88" s="66">
        <f t="shared" si="1"/>
        <v>0</v>
      </c>
    </row>
    <row r="89" spans="1:4" hidden="1" x14ac:dyDescent="0.3">
      <c r="A89" s="62" t="s">
        <v>30</v>
      </c>
      <c r="B89" s="63">
        <v>0</v>
      </c>
      <c r="C89" s="68"/>
      <c r="D89" s="66">
        <f t="shared" si="1"/>
        <v>0</v>
      </c>
    </row>
    <row r="90" spans="1:4" hidden="1" x14ac:dyDescent="0.3">
      <c r="A90" s="62" t="s">
        <v>31</v>
      </c>
      <c r="B90" s="63">
        <v>0</v>
      </c>
      <c r="C90" s="68"/>
      <c r="D90" s="66">
        <f t="shared" si="1"/>
        <v>0</v>
      </c>
    </row>
    <row r="91" spans="1:4" hidden="1" x14ac:dyDescent="0.3">
      <c r="A91" s="62" t="s">
        <v>32</v>
      </c>
      <c r="B91" s="63">
        <v>0</v>
      </c>
      <c r="C91" s="68"/>
      <c r="D91" s="66">
        <f t="shared" si="1"/>
        <v>0</v>
      </c>
    </row>
    <row r="92" spans="1:4" hidden="1" x14ac:dyDescent="0.3">
      <c r="A92" s="62" t="s">
        <v>33</v>
      </c>
      <c r="B92" s="63">
        <v>0</v>
      </c>
      <c r="C92" s="68"/>
      <c r="D92" s="66">
        <f t="shared" si="1"/>
        <v>0</v>
      </c>
    </row>
    <row r="93" spans="1:4" hidden="1" x14ac:dyDescent="0.3">
      <c r="A93" s="62" t="s">
        <v>35</v>
      </c>
      <c r="B93" s="63">
        <v>0</v>
      </c>
      <c r="C93" s="68"/>
      <c r="D93" s="66">
        <f t="shared" si="1"/>
        <v>0</v>
      </c>
    </row>
    <row r="94" spans="1:4" hidden="1" x14ac:dyDescent="0.3">
      <c r="A94" s="62" t="s">
        <v>99</v>
      </c>
      <c r="B94" s="63">
        <v>0</v>
      </c>
      <c r="C94" s="68"/>
      <c r="D94" s="66">
        <f t="shared" si="1"/>
        <v>0</v>
      </c>
    </row>
    <row r="95" spans="1:4" hidden="1" x14ac:dyDescent="0.3">
      <c r="A95" s="62" t="s">
        <v>94</v>
      </c>
      <c r="B95" s="63">
        <v>0</v>
      </c>
      <c r="C95" s="68"/>
      <c r="D95" s="66">
        <f t="shared" si="1"/>
        <v>0</v>
      </c>
    </row>
    <row r="96" spans="1:4" hidden="1" x14ac:dyDescent="0.3">
      <c r="A96" s="62" t="s">
        <v>101</v>
      </c>
      <c r="B96" s="63">
        <v>0</v>
      </c>
      <c r="C96" s="68"/>
      <c r="D96" s="66">
        <f t="shared" si="1"/>
        <v>0</v>
      </c>
    </row>
    <row r="97" spans="1:4" hidden="1" x14ac:dyDescent="0.3">
      <c r="A97" s="62" t="s">
        <v>97</v>
      </c>
      <c r="B97" s="63">
        <v>0</v>
      </c>
      <c r="C97" s="68"/>
      <c r="D97" s="66">
        <f t="shared" si="1"/>
        <v>0</v>
      </c>
    </row>
    <row r="98" spans="1:4" hidden="1" x14ac:dyDescent="0.3">
      <c r="A98" s="62" t="s">
        <v>75</v>
      </c>
      <c r="B98" s="63">
        <v>0</v>
      </c>
      <c r="C98" s="68"/>
      <c r="D98" s="66">
        <f t="shared" si="1"/>
        <v>0</v>
      </c>
    </row>
    <row r="99" spans="1:4" x14ac:dyDescent="0.3">
      <c r="A99" s="62" t="s">
        <v>76</v>
      </c>
      <c r="B99" s="63">
        <v>250</v>
      </c>
      <c r="C99" s="68">
        <v>25000</v>
      </c>
      <c r="D99" s="66">
        <f t="shared" si="1"/>
        <v>6250000</v>
      </c>
    </row>
    <row r="100" spans="1:4" hidden="1" x14ac:dyDescent="0.3">
      <c r="A100" s="62" t="s">
        <v>76</v>
      </c>
      <c r="B100" s="63">
        <v>0</v>
      </c>
      <c r="C100" s="68"/>
      <c r="D100" s="66">
        <f t="shared" si="1"/>
        <v>0</v>
      </c>
    </row>
    <row r="101" spans="1:4" hidden="1" x14ac:dyDescent="0.3">
      <c r="A101" s="62" t="s">
        <v>77</v>
      </c>
      <c r="B101" s="63">
        <v>0</v>
      </c>
      <c r="C101" s="68"/>
      <c r="D101" s="66">
        <f t="shared" si="1"/>
        <v>0</v>
      </c>
    </row>
    <row r="102" spans="1:4" x14ac:dyDescent="0.3">
      <c r="A102" s="62" t="s">
        <v>78</v>
      </c>
      <c r="B102" s="63">
        <v>70</v>
      </c>
      <c r="C102" s="68">
        <v>18000</v>
      </c>
      <c r="D102" s="66">
        <f t="shared" si="1"/>
        <v>1260000</v>
      </c>
    </row>
    <row r="103" spans="1:4" hidden="1" x14ac:dyDescent="0.3">
      <c r="A103" s="62" t="s">
        <v>78</v>
      </c>
      <c r="B103" s="63">
        <v>0</v>
      </c>
      <c r="C103" s="68"/>
      <c r="D103" s="66">
        <f t="shared" si="1"/>
        <v>0</v>
      </c>
    </row>
    <row r="104" spans="1:4" x14ac:dyDescent="0.3">
      <c r="A104" s="62" t="s">
        <v>79</v>
      </c>
      <c r="B104" s="63">
        <v>90</v>
      </c>
      <c r="C104" s="68">
        <v>20000</v>
      </c>
      <c r="D104" s="66">
        <f t="shared" si="1"/>
        <v>1800000</v>
      </c>
    </row>
    <row r="105" spans="1:4" hidden="1" x14ac:dyDescent="0.3">
      <c r="A105" s="62" t="s">
        <v>79</v>
      </c>
      <c r="B105" s="63">
        <v>0</v>
      </c>
      <c r="C105" s="68"/>
      <c r="D105" s="66">
        <f t="shared" si="1"/>
        <v>0</v>
      </c>
    </row>
    <row r="106" spans="1:4" hidden="1" x14ac:dyDescent="0.3">
      <c r="A106" s="62" t="s">
        <v>80</v>
      </c>
      <c r="B106" s="63">
        <v>0</v>
      </c>
      <c r="C106" s="68"/>
      <c r="D106" s="66">
        <f t="shared" si="1"/>
        <v>0</v>
      </c>
    </row>
    <row r="107" spans="1:4" hidden="1" x14ac:dyDescent="0.3">
      <c r="A107" s="62" t="s">
        <v>36</v>
      </c>
      <c r="B107" s="63">
        <v>0</v>
      </c>
      <c r="C107" s="68"/>
      <c r="D107" s="66">
        <f t="shared" si="1"/>
        <v>0</v>
      </c>
    </row>
    <row r="108" spans="1:4" hidden="1" x14ac:dyDescent="0.3">
      <c r="A108" s="62" t="s">
        <v>100</v>
      </c>
      <c r="B108" s="63">
        <v>0</v>
      </c>
      <c r="C108" s="68"/>
      <c r="D108" s="66">
        <f t="shared" si="1"/>
        <v>0</v>
      </c>
    </row>
    <row r="109" spans="1:4" hidden="1" x14ac:dyDescent="0.3">
      <c r="A109" s="62" t="s">
        <v>81</v>
      </c>
      <c r="B109" s="63">
        <v>0</v>
      </c>
      <c r="C109" s="68"/>
      <c r="D109" s="66">
        <f t="shared" si="1"/>
        <v>0</v>
      </c>
    </row>
    <row r="110" spans="1:4" hidden="1" x14ac:dyDescent="0.3">
      <c r="A110" s="62" t="s">
        <v>81</v>
      </c>
      <c r="B110" s="63">
        <v>0</v>
      </c>
      <c r="C110" s="68"/>
      <c r="D110" s="66">
        <f t="shared" si="1"/>
        <v>0</v>
      </c>
    </row>
    <row r="111" spans="1:4" hidden="1" x14ac:dyDescent="0.3">
      <c r="A111" s="62" t="s">
        <v>85</v>
      </c>
      <c r="B111" s="63">
        <v>0</v>
      </c>
      <c r="C111" s="68"/>
      <c r="D111" s="66">
        <f t="shared" si="1"/>
        <v>0</v>
      </c>
    </row>
    <row r="112" spans="1:4" hidden="1" x14ac:dyDescent="0.3">
      <c r="A112" s="62" t="s">
        <v>88</v>
      </c>
      <c r="B112" s="63">
        <v>0</v>
      </c>
      <c r="C112" s="68"/>
      <c r="D112" s="66">
        <f t="shared" si="1"/>
        <v>0</v>
      </c>
    </row>
    <row r="113" spans="1:4" hidden="1" x14ac:dyDescent="0.3">
      <c r="A113" s="62" t="s">
        <v>89</v>
      </c>
      <c r="B113" s="63">
        <v>0</v>
      </c>
      <c r="C113" s="68"/>
      <c r="D113" s="66">
        <f t="shared" si="1"/>
        <v>0</v>
      </c>
    </row>
    <row r="114" spans="1:4" hidden="1" x14ac:dyDescent="0.3">
      <c r="A114" s="62" t="s">
        <v>95</v>
      </c>
      <c r="B114" s="63">
        <v>0</v>
      </c>
      <c r="C114" s="68"/>
      <c r="D114" s="66">
        <f t="shared" si="1"/>
        <v>0</v>
      </c>
    </row>
    <row r="115" spans="1:4" x14ac:dyDescent="0.3">
      <c r="A115" s="62" t="s">
        <v>82</v>
      </c>
      <c r="B115" s="63">
        <v>115</v>
      </c>
      <c r="C115" s="68">
        <v>5000</v>
      </c>
      <c r="D115" s="66">
        <f t="shared" si="1"/>
        <v>575000</v>
      </c>
    </row>
    <row r="116" spans="1:4" hidden="1" x14ac:dyDescent="0.3">
      <c r="A116" s="62" t="s">
        <v>37</v>
      </c>
      <c r="B116" s="63">
        <v>0</v>
      </c>
      <c r="C116" s="68"/>
      <c r="D116" s="66">
        <f t="shared" si="1"/>
        <v>0</v>
      </c>
    </row>
    <row r="117" spans="1:4" hidden="1" x14ac:dyDescent="0.3">
      <c r="A117" s="62" t="s">
        <v>37</v>
      </c>
      <c r="B117" s="63">
        <v>0</v>
      </c>
      <c r="C117" s="68"/>
      <c r="D117" s="66">
        <f t="shared" si="1"/>
        <v>0</v>
      </c>
    </row>
    <row r="118" spans="1:4" hidden="1" x14ac:dyDescent="0.3">
      <c r="A118" s="62" t="s">
        <v>38</v>
      </c>
      <c r="B118" s="63">
        <v>0</v>
      </c>
      <c r="C118" s="68"/>
      <c r="D118" s="66">
        <f t="shared" si="1"/>
        <v>0</v>
      </c>
    </row>
    <row r="119" spans="1:4" hidden="1" x14ac:dyDescent="0.3">
      <c r="A119" s="62" t="s">
        <v>39</v>
      </c>
      <c r="B119" s="63">
        <v>0</v>
      </c>
      <c r="C119" s="68"/>
      <c r="D119" s="66">
        <f t="shared" si="1"/>
        <v>0</v>
      </c>
    </row>
    <row r="120" spans="1:4" hidden="1" x14ac:dyDescent="0.3">
      <c r="A120" s="62" t="s">
        <v>47</v>
      </c>
      <c r="B120" s="63">
        <v>0</v>
      </c>
      <c r="C120" s="68"/>
      <c r="D120" s="66">
        <f t="shared" si="1"/>
        <v>0</v>
      </c>
    </row>
    <row r="121" spans="1:4" hidden="1" x14ac:dyDescent="0.3">
      <c r="A121" s="62" t="s">
        <v>40</v>
      </c>
      <c r="B121" s="63">
        <v>0</v>
      </c>
      <c r="C121" s="68"/>
      <c r="D121" s="66">
        <f t="shared" si="1"/>
        <v>0</v>
      </c>
    </row>
    <row r="122" spans="1:4" hidden="1" x14ac:dyDescent="0.3">
      <c r="A122" s="62" t="s">
        <v>41</v>
      </c>
      <c r="B122" s="63">
        <v>0</v>
      </c>
      <c r="C122" s="68"/>
      <c r="D122" s="66">
        <f t="shared" si="1"/>
        <v>0</v>
      </c>
    </row>
    <row r="123" spans="1:4" hidden="1" x14ac:dyDescent="0.3">
      <c r="A123" s="62" t="s">
        <v>42</v>
      </c>
      <c r="B123" s="63">
        <v>0</v>
      </c>
      <c r="C123" s="68"/>
      <c r="D123" s="66">
        <f t="shared" si="1"/>
        <v>0</v>
      </c>
    </row>
    <row r="124" spans="1:4" hidden="1" x14ac:dyDescent="0.3">
      <c r="A124" s="62" t="s">
        <v>43</v>
      </c>
      <c r="B124" s="63">
        <v>0</v>
      </c>
      <c r="C124" s="68"/>
      <c r="D124" s="66">
        <f t="shared" si="1"/>
        <v>0</v>
      </c>
    </row>
    <row r="125" spans="1:4" hidden="1" x14ac:dyDescent="0.3">
      <c r="A125" s="62" t="s">
        <v>44</v>
      </c>
      <c r="B125" s="63">
        <v>0</v>
      </c>
      <c r="C125" s="68"/>
      <c r="D125" s="66">
        <f t="shared" si="1"/>
        <v>0</v>
      </c>
    </row>
    <row r="126" spans="1:4" hidden="1" x14ac:dyDescent="0.3">
      <c r="A126" s="62" t="s">
        <v>45</v>
      </c>
      <c r="B126" s="63">
        <v>0</v>
      </c>
      <c r="C126" s="68"/>
      <c r="D126" s="66">
        <f t="shared" si="1"/>
        <v>0</v>
      </c>
    </row>
    <row r="127" spans="1:4" hidden="1" x14ac:dyDescent="0.3">
      <c r="A127" s="62" t="s">
        <v>46</v>
      </c>
      <c r="B127" s="63">
        <v>0</v>
      </c>
      <c r="C127" s="68"/>
      <c r="D127" s="66">
        <f t="shared" si="1"/>
        <v>0</v>
      </c>
    </row>
    <row r="128" spans="1:4" x14ac:dyDescent="0.3">
      <c r="A128" s="84"/>
      <c r="B128" s="66"/>
      <c r="C128" s="66"/>
      <c r="D128" s="66">
        <f>SUM(D3:D115)</f>
        <v>121283000</v>
      </c>
    </row>
    <row r="129" spans="1:4" hidden="1" x14ac:dyDescent="0.3">
      <c r="D129" s="66">
        <f t="shared" si="1"/>
        <v>0</v>
      </c>
    </row>
    <row r="130" spans="1:4" x14ac:dyDescent="0.3">
      <c r="A130" s="86" t="s">
        <v>550</v>
      </c>
      <c r="D130" s="66"/>
    </row>
    <row r="131" spans="1:4" ht="31.2" x14ac:dyDescent="0.3">
      <c r="A131" s="48" t="s">
        <v>0</v>
      </c>
      <c r="B131" s="49" t="s">
        <v>544</v>
      </c>
      <c r="C131" s="50" t="s">
        <v>128</v>
      </c>
      <c r="D131" s="66" t="s">
        <v>129</v>
      </c>
    </row>
    <row r="132" spans="1:4" ht="15.6" hidden="1" x14ac:dyDescent="0.3">
      <c r="A132" s="51" t="s">
        <v>21</v>
      </c>
      <c r="B132" s="52"/>
      <c r="C132" s="53"/>
      <c r="D132" s="66">
        <f t="shared" si="1"/>
        <v>0</v>
      </c>
    </row>
    <row r="133" spans="1:4" ht="15.6" hidden="1" x14ac:dyDescent="0.3">
      <c r="A133" s="51" t="s">
        <v>22</v>
      </c>
      <c r="B133" s="52"/>
      <c r="C133" s="53"/>
      <c r="D133" s="66">
        <f t="shared" ref="D133:D174" si="2">B133*C133</f>
        <v>0</v>
      </c>
    </row>
    <row r="134" spans="1:4" ht="15.6" hidden="1" x14ac:dyDescent="0.3">
      <c r="A134" s="51" t="s">
        <v>23</v>
      </c>
      <c r="B134" s="52"/>
      <c r="C134" s="53"/>
      <c r="D134" s="66">
        <f t="shared" si="2"/>
        <v>0</v>
      </c>
    </row>
    <row r="135" spans="1:4" ht="15.6" hidden="1" x14ac:dyDescent="0.3">
      <c r="A135" s="51" t="s">
        <v>48</v>
      </c>
      <c r="B135" s="52"/>
      <c r="C135" s="53"/>
      <c r="D135" s="66">
        <f t="shared" si="2"/>
        <v>0</v>
      </c>
    </row>
    <row r="136" spans="1:4" ht="15.6" hidden="1" x14ac:dyDescent="0.3">
      <c r="A136" s="51" t="s">
        <v>50</v>
      </c>
      <c r="B136" s="52"/>
      <c r="C136" s="53"/>
      <c r="D136" s="66">
        <f t="shared" si="2"/>
        <v>0</v>
      </c>
    </row>
    <row r="137" spans="1:4" ht="15.6" hidden="1" x14ac:dyDescent="0.3">
      <c r="A137" s="51" t="s">
        <v>121</v>
      </c>
      <c r="B137" s="52"/>
      <c r="C137" s="53"/>
      <c r="D137" s="66">
        <f t="shared" si="2"/>
        <v>0</v>
      </c>
    </row>
    <row r="138" spans="1:4" ht="15.6" hidden="1" x14ac:dyDescent="0.3">
      <c r="A138" s="51" t="s">
        <v>51</v>
      </c>
      <c r="B138" s="52"/>
      <c r="C138" s="53"/>
      <c r="D138" s="66">
        <f t="shared" si="2"/>
        <v>0</v>
      </c>
    </row>
    <row r="139" spans="1:4" ht="15.6" hidden="1" x14ac:dyDescent="0.3">
      <c r="A139" s="51" t="s">
        <v>92</v>
      </c>
      <c r="B139" s="52"/>
      <c r="C139" s="53"/>
      <c r="D139" s="66">
        <f t="shared" si="2"/>
        <v>0</v>
      </c>
    </row>
    <row r="140" spans="1:4" ht="15.6" hidden="1" x14ac:dyDescent="0.3">
      <c r="A140" s="51" t="s">
        <v>110</v>
      </c>
      <c r="B140" s="52"/>
      <c r="C140" s="53"/>
      <c r="D140" s="66">
        <f t="shared" si="2"/>
        <v>0</v>
      </c>
    </row>
    <row r="141" spans="1:4" ht="15.6" hidden="1" x14ac:dyDescent="0.3">
      <c r="A141" s="51" t="s">
        <v>17</v>
      </c>
      <c r="B141" s="52"/>
      <c r="C141" s="53"/>
      <c r="D141" s="66">
        <f t="shared" si="2"/>
        <v>0</v>
      </c>
    </row>
    <row r="142" spans="1:4" ht="15.6" hidden="1" x14ac:dyDescent="0.3">
      <c r="A142" s="51" t="s">
        <v>53</v>
      </c>
      <c r="B142" s="52"/>
      <c r="C142" s="53"/>
      <c r="D142" s="66">
        <f t="shared" si="2"/>
        <v>0</v>
      </c>
    </row>
    <row r="143" spans="1:4" ht="15.6" hidden="1" x14ac:dyDescent="0.3">
      <c r="A143" s="51" t="s">
        <v>56</v>
      </c>
      <c r="B143" s="52"/>
      <c r="C143" s="53"/>
      <c r="D143" s="66">
        <f t="shared" si="2"/>
        <v>0</v>
      </c>
    </row>
    <row r="144" spans="1:4" ht="15.6" hidden="1" x14ac:dyDescent="0.3">
      <c r="A144" s="51" t="s">
        <v>60</v>
      </c>
      <c r="B144" s="52"/>
      <c r="C144" s="53"/>
      <c r="D144" s="66">
        <f t="shared" si="2"/>
        <v>0</v>
      </c>
    </row>
    <row r="145" spans="1:4" ht="15.6" hidden="1" x14ac:dyDescent="0.3">
      <c r="A145" s="51" t="s">
        <v>1</v>
      </c>
      <c r="B145" s="52"/>
      <c r="C145" s="53"/>
      <c r="D145" s="66">
        <f t="shared" si="2"/>
        <v>0</v>
      </c>
    </row>
    <row r="146" spans="1:4" ht="15.6" hidden="1" x14ac:dyDescent="0.3">
      <c r="A146" s="51" t="s">
        <v>62</v>
      </c>
      <c r="B146" s="52"/>
      <c r="C146" s="53"/>
      <c r="D146" s="66">
        <f t="shared" si="2"/>
        <v>0</v>
      </c>
    </row>
    <row r="147" spans="1:4" ht="15.6" hidden="1" x14ac:dyDescent="0.3">
      <c r="A147" s="51" t="s">
        <v>27</v>
      </c>
      <c r="B147" s="52"/>
      <c r="C147" s="53"/>
      <c r="D147" s="66">
        <f t="shared" si="2"/>
        <v>0</v>
      </c>
    </row>
    <row r="148" spans="1:4" ht="15.6" hidden="1" x14ac:dyDescent="0.3">
      <c r="A148" s="51" t="s">
        <v>109</v>
      </c>
      <c r="B148" s="52"/>
      <c r="C148" s="53"/>
      <c r="D148" s="66">
        <f t="shared" si="2"/>
        <v>0</v>
      </c>
    </row>
    <row r="149" spans="1:4" ht="15.6" hidden="1" x14ac:dyDescent="0.3">
      <c r="A149" s="51" t="s">
        <v>28</v>
      </c>
      <c r="B149" s="52"/>
      <c r="C149" s="53"/>
      <c r="D149" s="66">
        <f t="shared" si="2"/>
        <v>0</v>
      </c>
    </row>
    <row r="150" spans="1:4" ht="15.6" hidden="1" x14ac:dyDescent="0.3">
      <c r="A150" s="51" t="s">
        <v>120</v>
      </c>
      <c r="B150" s="52"/>
      <c r="C150" s="53"/>
      <c r="D150" s="66">
        <f t="shared" si="2"/>
        <v>0</v>
      </c>
    </row>
    <row r="151" spans="1:4" ht="15.6" hidden="1" x14ac:dyDescent="0.3">
      <c r="A151" s="51" t="s">
        <v>87</v>
      </c>
      <c r="B151" s="52"/>
      <c r="C151" s="53"/>
      <c r="D151" s="66">
        <f t="shared" si="2"/>
        <v>0</v>
      </c>
    </row>
    <row r="152" spans="1:4" ht="15.6" hidden="1" x14ac:dyDescent="0.3">
      <c r="A152" s="51" t="s">
        <v>117</v>
      </c>
      <c r="B152" s="52"/>
      <c r="C152" s="53"/>
      <c r="D152" s="66">
        <f t="shared" si="2"/>
        <v>0</v>
      </c>
    </row>
    <row r="153" spans="1:4" ht="15.6" hidden="1" x14ac:dyDescent="0.3">
      <c r="A153" s="51" t="s">
        <v>5</v>
      </c>
      <c r="B153" s="52"/>
      <c r="C153" s="53"/>
      <c r="D153" s="66">
        <f t="shared" si="2"/>
        <v>0</v>
      </c>
    </row>
    <row r="154" spans="1:4" ht="15.6" hidden="1" x14ac:dyDescent="0.3">
      <c r="A154" s="51" t="s">
        <v>6</v>
      </c>
      <c r="B154" s="52"/>
      <c r="C154" s="53"/>
      <c r="D154" s="66">
        <f t="shared" si="2"/>
        <v>0</v>
      </c>
    </row>
    <row r="155" spans="1:4" ht="15.6" x14ac:dyDescent="0.3">
      <c r="A155" s="51" t="s">
        <v>8</v>
      </c>
      <c r="B155" s="52">
        <v>244</v>
      </c>
      <c r="C155" s="53">
        <v>12000</v>
      </c>
      <c r="D155" s="66">
        <f t="shared" si="2"/>
        <v>2928000</v>
      </c>
    </row>
    <row r="156" spans="1:4" ht="15.6" hidden="1" x14ac:dyDescent="0.3">
      <c r="A156" s="51" t="s">
        <v>119</v>
      </c>
      <c r="B156" s="52"/>
      <c r="C156" s="53"/>
      <c r="D156" s="66">
        <f t="shared" si="2"/>
        <v>0</v>
      </c>
    </row>
    <row r="157" spans="1:4" ht="15.6" hidden="1" x14ac:dyDescent="0.3">
      <c r="A157" s="51" t="s">
        <v>12</v>
      </c>
      <c r="B157" s="52"/>
      <c r="C157" s="53"/>
      <c r="D157" s="66">
        <f t="shared" si="2"/>
        <v>0</v>
      </c>
    </row>
    <row r="158" spans="1:4" ht="15.6" hidden="1" x14ac:dyDescent="0.3">
      <c r="A158" s="51" t="s">
        <v>14</v>
      </c>
      <c r="B158" s="52"/>
      <c r="C158" s="53"/>
      <c r="D158" s="66">
        <f t="shared" si="2"/>
        <v>0</v>
      </c>
    </row>
    <row r="159" spans="1:4" ht="15.6" hidden="1" x14ac:dyDescent="0.3">
      <c r="A159" s="51" t="s">
        <v>111</v>
      </c>
      <c r="B159" s="52"/>
      <c r="C159" s="53"/>
      <c r="D159" s="66">
        <f t="shared" si="2"/>
        <v>0</v>
      </c>
    </row>
    <row r="160" spans="1:4" ht="15.6" x14ac:dyDescent="0.3">
      <c r="A160" s="51" t="s">
        <v>15</v>
      </c>
      <c r="B160" s="52">
        <v>10</v>
      </c>
      <c r="C160" s="53">
        <v>16000</v>
      </c>
      <c r="D160" s="66">
        <f t="shared" si="2"/>
        <v>160000</v>
      </c>
    </row>
    <row r="161" spans="1:4" ht="15.6" hidden="1" x14ac:dyDescent="0.3">
      <c r="A161" s="51" t="s">
        <v>16</v>
      </c>
      <c r="B161" s="52"/>
      <c r="C161" s="53"/>
      <c r="D161" s="66">
        <f t="shared" si="2"/>
        <v>0</v>
      </c>
    </row>
    <row r="162" spans="1:4" ht="15.6" hidden="1" x14ac:dyDescent="0.3">
      <c r="A162" s="51" t="s">
        <v>68</v>
      </c>
      <c r="B162" s="52"/>
      <c r="C162" s="53"/>
      <c r="D162" s="66">
        <f t="shared" si="2"/>
        <v>0</v>
      </c>
    </row>
    <row r="163" spans="1:4" ht="15.6" hidden="1" x14ac:dyDescent="0.3">
      <c r="A163" s="51" t="s">
        <v>67</v>
      </c>
      <c r="B163" s="52"/>
      <c r="C163" s="53"/>
      <c r="D163" s="66">
        <f t="shared" si="2"/>
        <v>0</v>
      </c>
    </row>
    <row r="164" spans="1:4" ht="15.6" hidden="1" x14ac:dyDescent="0.3">
      <c r="A164" s="51" t="s">
        <v>72</v>
      </c>
      <c r="B164" s="52"/>
      <c r="C164" s="53"/>
      <c r="D164" s="66">
        <f t="shared" si="2"/>
        <v>0</v>
      </c>
    </row>
    <row r="165" spans="1:4" ht="15.6" hidden="1" x14ac:dyDescent="0.3">
      <c r="A165" s="51" t="s">
        <v>29</v>
      </c>
      <c r="B165" s="52"/>
      <c r="C165" s="53"/>
      <c r="D165" s="66">
        <f t="shared" si="2"/>
        <v>0</v>
      </c>
    </row>
    <row r="166" spans="1:4" ht="15.6" hidden="1" x14ac:dyDescent="0.3">
      <c r="A166" s="51" t="s">
        <v>123</v>
      </c>
      <c r="B166" s="52"/>
      <c r="C166" s="53"/>
      <c r="D166" s="66">
        <f t="shared" si="2"/>
        <v>0</v>
      </c>
    </row>
    <row r="167" spans="1:4" ht="15.6" x14ac:dyDescent="0.3">
      <c r="A167" s="51" t="s">
        <v>122</v>
      </c>
      <c r="B167" s="52">
        <v>2</v>
      </c>
      <c r="C167" s="53">
        <v>48000</v>
      </c>
      <c r="D167" s="66">
        <f t="shared" si="2"/>
        <v>96000</v>
      </c>
    </row>
    <row r="168" spans="1:4" ht="15.6" hidden="1" x14ac:dyDescent="0.3">
      <c r="A168" s="51" t="s">
        <v>76</v>
      </c>
      <c r="B168" s="52"/>
      <c r="C168" s="53"/>
      <c r="D168" s="66">
        <f t="shared" si="2"/>
        <v>0</v>
      </c>
    </row>
    <row r="169" spans="1:4" ht="15.6" hidden="1" x14ac:dyDescent="0.3">
      <c r="A169" s="51" t="s">
        <v>78</v>
      </c>
      <c r="B169" s="52"/>
      <c r="C169" s="53"/>
      <c r="D169" s="66">
        <f t="shared" si="2"/>
        <v>0</v>
      </c>
    </row>
    <row r="170" spans="1:4" ht="15.6" hidden="1" x14ac:dyDescent="0.3">
      <c r="A170" s="51" t="s">
        <v>79</v>
      </c>
      <c r="B170" s="52"/>
      <c r="C170" s="53"/>
      <c r="D170" s="66">
        <f t="shared" si="2"/>
        <v>0</v>
      </c>
    </row>
    <row r="171" spans="1:4" ht="15.6" hidden="1" x14ac:dyDescent="0.3">
      <c r="A171" s="51" t="s">
        <v>82</v>
      </c>
      <c r="B171" s="52"/>
      <c r="C171" s="53"/>
      <c r="D171" s="66">
        <f t="shared" si="2"/>
        <v>0</v>
      </c>
    </row>
    <row r="172" spans="1:4" ht="15.6" hidden="1" x14ac:dyDescent="0.3">
      <c r="A172" s="51" t="s">
        <v>39</v>
      </c>
      <c r="B172" s="52"/>
      <c r="C172" s="53"/>
      <c r="D172" s="66">
        <f t="shared" si="2"/>
        <v>0</v>
      </c>
    </row>
    <row r="173" spans="1:4" ht="15.6" hidden="1" x14ac:dyDescent="0.3">
      <c r="A173" s="51" t="s">
        <v>41</v>
      </c>
      <c r="B173" s="52"/>
      <c r="C173" s="53"/>
      <c r="D173" s="66">
        <f t="shared" si="2"/>
        <v>0</v>
      </c>
    </row>
    <row r="174" spans="1:4" ht="15.6" x14ac:dyDescent="0.3">
      <c r="A174" s="51" t="s">
        <v>46</v>
      </c>
      <c r="B174" s="52">
        <v>9</v>
      </c>
      <c r="C174" s="53">
        <v>8000</v>
      </c>
      <c r="D174" s="66">
        <f t="shared" si="2"/>
        <v>72000</v>
      </c>
    </row>
    <row r="175" spans="1:4" ht="15.6" x14ac:dyDescent="0.3">
      <c r="A175" s="48" t="s">
        <v>548</v>
      </c>
      <c r="B175" s="85">
        <f t="shared" ref="B175:D175" si="3">SUM(B132:B174)</f>
        <v>265</v>
      </c>
      <c r="C175" s="85"/>
      <c r="D175" s="85">
        <f t="shared" si="3"/>
        <v>3256000</v>
      </c>
    </row>
    <row r="177" spans="4:4" x14ac:dyDescent="0.3">
      <c r="D177" s="105">
        <f>D175+D128</f>
        <v>124539000</v>
      </c>
    </row>
  </sheetData>
  <autoFilter ref="A2:D175" xr:uid="{00000000-0009-0000-0000-000005000000}">
    <filterColumn colId="1">
      <filters>
        <filter val="1,800"/>
        <filter val="10"/>
        <filter val="100"/>
        <filter val="11,968"/>
        <filter val="115"/>
        <filter val="120"/>
        <filter val="18"/>
        <filter val="2"/>
        <filter val="2,700"/>
        <filter val="20"/>
        <filter val="22"/>
        <filter val="244"/>
        <filter val="248"/>
        <filter val="25"/>
        <filter val="250"/>
        <filter val="265"/>
        <filter val="3"/>
        <filter val="300"/>
        <filter val="312"/>
        <filter val="34"/>
        <filter val="375"/>
        <filter val="4"/>
        <filter val="4,350"/>
        <filter val="65"/>
        <filter val="70"/>
        <filter val="800"/>
        <filter val="9"/>
        <filter val="90"/>
        <filter val="94"/>
        <filter val="Tồn_x000a_ĐL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185"/>
  <sheetViews>
    <sheetView topLeftCell="A58" workbookViewId="0">
      <selection activeCell="D185" sqref="D185"/>
    </sheetView>
  </sheetViews>
  <sheetFormatPr defaultRowHeight="14.4" x14ac:dyDescent="0.3"/>
  <cols>
    <col min="1" max="1" width="35.5546875" customWidth="1"/>
    <col min="2" max="2" width="12.5546875" customWidth="1"/>
    <col min="3" max="3" width="14.44140625" customWidth="1"/>
    <col min="4" max="4" width="21.44140625" customWidth="1"/>
  </cols>
  <sheetData>
    <row r="1" spans="1:4" x14ac:dyDescent="0.3">
      <c r="A1" s="87" t="s">
        <v>555</v>
      </c>
      <c r="B1" s="88"/>
      <c r="C1" s="88"/>
      <c r="D1" s="88"/>
    </row>
    <row r="2" spans="1:4" ht="37.200000000000003" x14ac:dyDescent="0.3">
      <c r="A2" s="60" t="s">
        <v>0</v>
      </c>
      <c r="B2" s="61" t="s">
        <v>544</v>
      </c>
      <c r="C2" s="82" t="s">
        <v>128</v>
      </c>
      <c r="D2" s="65" t="s">
        <v>129</v>
      </c>
    </row>
    <row r="3" spans="1:4" hidden="1" x14ac:dyDescent="0.3">
      <c r="A3" s="62" t="s">
        <v>1</v>
      </c>
      <c r="B3" s="63"/>
      <c r="C3" s="66"/>
      <c r="D3" s="66">
        <f>B3*C3</f>
        <v>0</v>
      </c>
    </row>
    <row r="4" spans="1:4" hidden="1" x14ac:dyDescent="0.3">
      <c r="A4" s="62" t="s">
        <v>1</v>
      </c>
      <c r="B4" s="63"/>
      <c r="C4" s="66"/>
      <c r="D4" s="66">
        <f t="shared" ref="D4:D67" si="0">B4*C4</f>
        <v>0</v>
      </c>
    </row>
    <row r="5" spans="1:4" hidden="1" x14ac:dyDescent="0.3">
      <c r="A5" s="62" t="s">
        <v>2</v>
      </c>
      <c r="B5" s="63"/>
      <c r="C5" s="66"/>
      <c r="D5" s="66">
        <f t="shared" si="0"/>
        <v>0</v>
      </c>
    </row>
    <row r="6" spans="1:4" hidden="1" x14ac:dyDescent="0.3">
      <c r="A6" s="62" t="s">
        <v>3</v>
      </c>
      <c r="B6" s="63"/>
      <c r="C6" s="66"/>
      <c r="D6" s="66">
        <f t="shared" si="0"/>
        <v>0</v>
      </c>
    </row>
    <row r="7" spans="1:4" hidden="1" x14ac:dyDescent="0.3">
      <c r="A7" s="62" t="s">
        <v>4</v>
      </c>
      <c r="B7" s="63"/>
      <c r="C7" s="66"/>
      <c r="D7" s="66">
        <f t="shared" si="0"/>
        <v>0</v>
      </c>
    </row>
    <row r="8" spans="1:4" hidden="1" x14ac:dyDescent="0.3">
      <c r="A8" s="62" t="s">
        <v>5</v>
      </c>
      <c r="B8" s="63"/>
      <c r="C8" s="66"/>
      <c r="D8" s="66">
        <f t="shared" si="0"/>
        <v>0</v>
      </c>
    </row>
    <row r="9" spans="1:4" x14ac:dyDescent="0.3">
      <c r="A9" s="62" t="s">
        <v>6</v>
      </c>
      <c r="B9" s="63">
        <v>130</v>
      </c>
      <c r="C9" s="66">
        <v>16000</v>
      </c>
      <c r="D9" s="66">
        <f t="shared" si="0"/>
        <v>2080000</v>
      </c>
    </row>
    <row r="10" spans="1:4" hidden="1" x14ac:dyDescent="0.3">
      <c r="A10" s="62" t="s">
        <v>6</v>
      </c>
      <c r="B10" s="63"/>
      <c r="C10" s="66"/>
      <c r="D10" s="66">
        <f t="shared" si="0"/>
        <v>0</v>
      </c>
    </row>
    <row r="11" spans="1:4" x14ac:dyDescent="0.3">
      <c r="A11" s="62" t="s">
        <v>7</v>
      </c>
      <c r="B11" s="63">
        <v>6</v>
      </c>
      <c r="C11" s="66">
        <v>44000</v>
      </c>
      <c r="D11" s="66">
        <f t="shared" si="0"/>
        <v>264000</v>
      </c>
    </row>
    <row r="12" spans="1:4" x14ac:dyDescent="0.3">
      <c r="A12" s="62" t="s">
        <v>8</v>
      </c>
      <c r="B12" s="63">
        <v>500</v>
      </c>
      <c r="C12" s="66">
        <v>24000</v>
      </c>
      <c r="D12" s="66">
        <f t="shared" si="0"/>
        <v>12000000</v>
      </c>
    </row>
    <row r="13" spans="1:4" x14ac:dyDescent="0.3">
      <c r="A13" s="62" t="s">
        <v>9</v>
      </c>
      <c r="B13" s="63">
        <v>10</v>
      </c>
      <c r="C13" s="66">
        <v>20000</v>
      </c>
      <c r="D13" s="66">
        <f t="shared" si="0"/>
        <v>200000</v>
      </c>
    </row>
    <row r="14" spans="1:4" hidden="1" x14ac:dyDescent="0.3">
      <c r="A14" s="62" t="s">
        <v>10</v>
      </c>
      <c r="B14" s="63"/>
      <c r="C14" s="66"/>
      <c r="D14" s="66">
        <f t="shared" si="0"/>
        <v>0</v>
      </c>
    </row>
    <row r="15" spans="1:4" hidden="1" x14ac:dyDescent="0.3">
      <c r="A15" s="62" t="s">
        <v>119</v>
      </c>
      <c r="B15" s="63"/>
      <c r="C15" s="66"/>
      <c r="D15" s="66">
        <f t="shared" si="0"/>
        <v>0</v>
      </c>
    </row>
    <row r="16" spans="1:4" x14ac:dyDescent="0.3">
      <c r="A16" s="62" t="s">
        <v>12</v>
      </c>
      <c r="B16" s="63">
        <v>60</v>
      </c>
      <c r="C16" s="66">
        <v>25000</v>
      </c>
      <c r="D16" s="66">
        <f t="shared" si="0"/>
        <v>1500000</v>
      </c>
    </row>
    <row r="17" spans="1:4" x14ac:dyDescent="0.3">
      <c r="A17" s="62" t="s">
        <v>15</v>
      </c>
      <c r="B17" s="63">
        <v>20</v>
      </c>
      <c r="C17" s="66">
        <v>16000</v>
      </c>
      <c r="D17" s="66">
        <f t="shared" si="0"/>
        <v>320000</v>
      </c>
    </row>
    <row r="18" spans="1:4" x14ac:dyDescent="0.3">
      <c r="A18" s="62" t="s">
        <v>15</v>
      </c>
      <c r="B18" s="63">
        <v>20</v>
      </c>
      <c r="C18" s="66">
        <v>16000</v>
      </c>
      <c r="D18" s="66">
        <f t="shared" si="0"/>
        <v>320000</v>
      </c>
    </row>
    <row r="19" spans="1:4" x14ac:dyDescent="0.3">
      <c r="A19" s="62" t="s">
        <v>16</v>
      </c>
      <c r="B19" s="63">
        <v>5</v>
      </c>
      <c r="C19" s="66">
        <v>15000</v>
      </c>
      <c r="D19" s="66">
        <f t="shared" si="0"/>
        <v>75000</v>
      </c>
    </row>
    <row r="20" spans="1:4" hidden="1" x14ac:dyDescent="0.3">
      <c r="A20" s="62" t="s">
        <v>18</v>
      </c>
      <c r="B20" s="63"/>
      <c r="C20" s="66"/>
      <c r="D20" s="66">
        <f t="shared" si="0"/>
        <v>0</v>
      </c>
    </row>
    <row r="21" spans="1:4" hidden="1" x14ac:dyDescent="0.3">
      <c r="A21" s="62" t="s">
        <v>19</v>
      </c>
      <c r="B21" s="63"/>
      <c r="C21" s="66"/>
      <c r="D21" s="66">
        <f t="shared" si="0"/>
        <v>0</v>
      </c>
    </row>
    <row r="22" spans="1:4" hidden="1" x14ac:dyDescent="0.3">
      <c r="A22" s="62" t="s">
        <v>19</v>
      </c>
      <c r="B22" s="63"/>
      <c r="C22" s="66"/>
      <c r="D22" s="66">
        <f t="shared" si="0"/>
        <v>0</v>
      </c>
    </row>
    <row r="23" spans="1:4" hidden="1" x14ac:dyDescent="0.3">
      <c r="A23" s="62" t="s">
        <v>20</v>
      </c>
      <c r="B23" s="63"/>
      <c r="C23" s="66"/>
      <c r="D23" s="66">
        <f t="shared" si="0"/>
        <v>0</v>
      </c>
    </row>
    <row r="24" spans="1:4" hidden="1" x14ac:dyDescent="0.3">
      <c r="A24" s="62" t="s">
        <v>21</v>
      </c>
      <c r="B24" s="63"/>
      <c r="C24" s="66"/>
      <c r="D24" s="66">
        <f t="shared" si="0"/>
        <v>0</v>
      </c>
    </row>
    <row r="25" spans="1:4" x14ac:dyDescent="0.3">
      <c r="A25" s="62" t="s">
        <v>22</v>
      </c>
      <c r="B25" s="63">
        <v>1480</v>
      </c>
      <c r="C25" s="66">
        <v>9000</v>
      </c>
      <c r="D25" s="66">
        <f t="shared" si="0"/>
        <v>13320000</v>
      </c>
    </row>
    <row r="26" spans="1:4" x14ac:dyDescent="0.3">
      <c r="A26" s="62" t="s">
        <v>23</v>
      </c>
      <c r="B26" s="63">
        <v>1076</v>
      </c>
      <c r="C26" s="66">
        <v>5500</v>
      </c>
      <c r="D26" s="66">
        <f t="shared" si="0"/>
        <v>5918000</v>
      </c>
    </row>
    <row r="27" spans="1:4" hidden="1" x14ac:dyDescent="0.3">
      <c r="A27" s="62" t="s">
        <v>24</v>
      </c>
      <c r="B27" s="63"/>
      <c r="C27" s="66"/>
      <c r="D27" s="66">
        <f t="shared" si="0"/>
        <v>0</v>
      </c>
    </row>
    <row r="28" spans="1:4" hidden="1" x14ac:dyDescent="0.3">
      <c r="A28" s="62" t="s">
        <v>24</v>
      </c>
      <c r="B28" s="63"/>
      <c r="C28" s="66"/>
      <c r="D28" s="66">
        <f t="shared" si="0"/>
        <v>0</v>
      </c>
    </row>
    <row r="29" spans="1:4" hidden="1" x14ac:dyDescent="0.3">
      <c r="A29" s="62" t="s">
        <v>25</v>
      </c>
      <c r="B29" s="63"/>
      <c r="C29" s="66"/>
      <c r="D29" s="66">
        <f t="shared" si="0"/>
        <v>0</v>
      </c>
    </row>
    <row r="30" spans="1:4" hidden="1" x14ac:dyDescent="0.3">
      <c r="A30" s="62" t="s">
        <v>26</v>
      </c>
      <c r="B30" s="63"/>
      <c r="C30" s="66"/>
      <c r="D30" s="66">
        <f t="shared" si="0"/>
        <v>0</v>
      </c>
    </row>
    <row r="31" spans="1:4" hidden="1" x14ac:dyDescent="0.3">
      <c r="A31" s="62" t="s">
        <v>26</v>
      </c>
      <c r="B31" s="63"/>
      <c r="C31" s="66"/>
      <c r="D31" s="66">
        <f t="shared" si="0"/>
        <v>0</v>
      </c>
    </row>
    <row r="32" spans="1:4" hidden="1" x14ac:dyDescent="0.3">
      <c r="A32" s="62" t="s">
        <v>27</v>
      </c>
      <c r="B32" s="63"/>
      <c r="C32" s="66"/>
      <c r="D32" s="66">
        <f t="shared" si="0"/>
        <v>0</v>
      </c>
    </row>
    <row r="33" spans="1:4" hidden="1" x14ac:dyDescent="0.3">
      <c r="A33" s="62" t="s">
        <v>28</v>
      </c>
      <c r="B33" s="63"/>
      <c r="C33" s="66"/>
      <c r="D33" s="66">
        <f t="shared" si="0"/>
        <v>0</v>
      </c>
    </row>
    <row r="34" spans="1:4" hidden="1" x14ac:dyDescent="0.3">
      <c r="A34" s="62" t="s">
        <v>28</v>
      </c>
      <c r="B34" s="63"/>
      <c r="C34" s="66"/>
      <c r="D34" s="66">
        <f t="shared" si="0"/>
        <v>0</v>
      </c>
    </row>
    <row r="35" spans="1:4" hidden="1" x14ac:dyDescent="0.3">
      <c r="A35" s="62" t="s">
        <v>29</v>
      </c>
      <c r="B35" s="63"/>
      <c r="C35" s="66"/>
      <c r="D35" s="66">
        <f t="shared" si="0"/>
        <v>0</v>
      </c>
    </row>
    <row r="36" spans="1:4" x14ac:dyDescent="0.3">
      <c r="A36" s="62" t="s">
        <v>29</v>
      </c>
      <c r="B36" s="63">
        <v>4</v>
      </c>
      <c r="C36" s="66">
        <v>33000</v>
      </c>
      <c r="D36" s="66">
        <f t="shared" si="0"/>
        <v>132000</v>
      </c>
    </row>
    <row r="37" spans="1:4" hidden="1" x14ac:dyDescent="0.3">
      <c r="A37" s="62" t="s">
        <v>30</v>
      </c>
      <c r="B37" s="64"/>
      <c r="C37" s="68"/>
      <c r="D37" s="66">
        <f t="shared" si="0"/>
        <v>0</v>
      </c>
    </row>
    <row r="38" spans="1:4" hidden="1" x14ac:dyDescent="0.3">
      <c r="A38" s="62" t="s">
        <v>31</v>
      </c>
      <c r="B38" s="64"/>
      <c r="C38" s="68"/>
      <c r="D38" s="66">
        <f t="shared" si="0"/>
        <v>0</v>
      </c>
    </row>
    <row r="39" spans="1:4" hidden="1" x14ac:dyDescent="0.3">
      <c r="A39" s="62" t="s">
        <v>32</v>
      </c>
      <c r="B39" s="64"/>
      <c r="C39" s="68"/>
      <c r="D39" s="66">
        <f t="shared" si="0"/>
        <v>0</v>
      </c>
    </row>
    <row r="40" spans="1:4" hidden="1" x14ac:dyDescent="0.3">
      <c r="A40" s="62" t="s">
        <v>33</v>
      </c>
      <c r="B40" s="64"/>
      <c r="C40" s="68"/>
      <c r="D40" s="66">
        <f t="shared" si="0"/>
        <v>0</v>
      </c>
    </row>
    <row r="41" spans="1:4" hidden="1" x14ac:dyDescent="0.3">
      <c r="A41" s="62" t="s">
        <v>34</v>
      </c>
      <c r="B41" s="64"/>
      <c r="C41" s="68"/>
      <c r="D41" s="66">
        <f t="shared" si="0"/>
        <v>0</v>
      </c>
    </row>
    <row r="42" spans="1:4" hidden="1" x14ac:dyDescent="0.3">
      <c r="A42" s="62" t="s">
        <v>35</v>
      </c>
      <c r="B42" s="64"/>
      <c r="C42" s="68"/>
      <c r="D42" s="66">
        <f t="shared" si="0"/>
        <v>0</v>
      </c>
    </row>
    <row r="43" spans="1:4" hidden="1" x14ac:dyDescent="0.3">
      <c r="A43" s="62" t="s">
        <v>35</v>
      </c>
      <c r="B43" s="64"/>
      <c r="C43" s="68"/>
      <c r="D43" s="66">
        <f t="shared" si="0"/>
        <v>0</v>
      </c>
    </row>
    <row r="44" spans="1:4" hidden="1" x14ac:dyDescent="0.3">
      <c r="A44" s="62" t="s">
        <v>36</v>
      </c>
      <c r="B44" s="64"/>
      <c r="C44" s="68"/>
      <c r="D44" s="66">
        <f t="shared" si="0"/>
        <v>0</v>
      </c>
    </row>
    <row r="45" spans="1:4" hidden="1" x14ac:dyDescent="0.3">
      <c r="A45" s="62" t="s">
        <v>37</v>
      </c>
      <c r="B45" s="64"/>
      <c r="C45" s="68"/>
      <c r="D45" s="66">
        <f t="shared" si="0"/>
        <v>0</v>
      </c>
    </row>
    <row r="46" spans="1:4" hidden="1" x14ac:dyDescent="0.3">
      <c r="A46" s="62" t="s">
        <v>38</v>
      </c>
      <c r="B46" s="64"/>
      <c r="C46" s="68"/>
      <c r="D46" s="66">
        <f t="shared" si="0"/>
        <v>0</v>
      </c>
    </row>
    <row r="47" spans="1:4" hidden="1" x14ac:dyDescent="0.3">
      <c r="A47" s="62" t="s">
        <v>39</v>
      </c>
      <c r="B47" s="64"/>
      <c r="C47" s="68"/>
      <c r="D47" s="66">
        <f t="shared" si="0"/>
        <v>0</v>
      </c>
    </row>
    <row r="48" spans="1:4" hidden="1" x14ac:dyDescent="0.3">
      <c r="A48" s="62" t="s">
        <v>40</v>
      </c>
      <c r="B48" s="64"/>
      <c r="C48" s="68"/>
      <c r="D48" s="66">
        <f t="shared" si="0"/>
        <v>0</v>
      </c>
    </row>
    <row r="49" spans="1:4" hidden="1" x14ac:dyDescent="0.3">
      <c r="A49" s="62" t="s">
        <v>41</v>
      </c>
      <c r="B49" s="64"/>
      <c r="C49" s="68"/>
      <c r="D49" s="66">
        <f t="shared" si="0"/>
        <v>0</v>
      </c>
    </row>
    <row r="50" spans="1:4" hidden="1" x14ac:dyDescent="0.3">
      <c r="A50" s="62" t="s">
        <v>42</v>
      </c>
      <c r="B50" s="64"/>
      <c r="C50" s="68"/>
      <c r="D50" s="66">
        <f t="shared" si="0"/>
        <v>0</v>
      </c>
    </row>
    <row r="51" spans="1:4" hidden="1" x14ac:dyDescent="0.3">
      <c r="A51" s="62" t="s">
        <v>43</v>
      </c>
      <c r="B51" s="64"/>
      <c r="C51" s="68"/>
      <c r="D51" s="66">
        <f t="shared" si="0"/>
        <v>0</v>
      </c>
    </row>
    <row r="52" spans="1:4" hidden="1" x14ac:dyDescent="0.3">
      <c r="A52" s="62" t="s">
        <v>44</v>
      </c>
      <c r="B52" s="64"/>
      <c r="C52" s="68"/>
      <c r="D52" s="66">
        <f t="shared" si="0"/>
        <v>0</v>
      </c>
    </row>
    <row r="53" spans="1:4" hidden="1" x14ac:dyDescent="0.3">
      <c r="A53" s="62" t="s">
        <v>45</v>
      </c>
      <c r="B53" s="64"/>
      <c r="C53" s="68"/>
      <c r="D53" s="66">
        <f t="shared" si="0"/>
        <v>0</v>
      </c>
    </row>
    <row r="54" spans="1:4" hidden="1" x14ac:dyDescent="0.3">
      <c r="A54" s="62" t="s">
        <v>46</v>
      </c>
      <c r="B54" s="64"/>
      <c r="C54" s="68"/>
      <c r="D54" s="66">
        <f t="shared" si="0"/>
        <v>0</v>
      </c>
    </row>
    <row r="55" spans="1:4" hidden="1" x14ac:dyDescent="0.3">
      <c r="A55" s="62" t="s">
        <v>47</v>
      </c>
      <c r="B55" s="64"/>
      <c r="C55" s="68"/>
      <c r="D55" s="66">
        <f t="shared" si="0"/>
        <v>0</v>
      </c>
    </row>
    <row r="56" spans="1:4" hidden="1" x14ac:dyDescent="0.3">
      <c r="A56" s="62" t="s">
        <v>48</v>
      </c>
      <c r="B56" s="64"/>
      <c r="C56" s="68"/>
      <c r="D56" s="66">
        <f t="shared" si="0"/>
        <v>0</v>
      </c>
    </row>
    <row r="57" spans="1:4" hidden="1" x14ac:dyDescent="0.3">
      <c r="A57" s="62" t="s">
        <v>48</v>
      </c>
      <c r="B57" s="64"/>
      <c r="C57" s="68"/>
      <c r="D57" s="66">
        <f t="shared" si="0"/>
        <v>0</v>
      </c>
    </row>
    <row r="58" spans="1:4" x14ac:dyDescent="0.3">
      <c r="A58" s="62" t="s">
        <v>49</v>
      </c>
      <c r="B58" s="64">
        <v>15</v>
      </c>
      <c r="C58" s="68">
        <v>6500</v>
      </c>
      <c r="D58" s="66">
        <f t="shared" si="0"/>
        <v>97500</v>
      </c>
    </row>
    <row r="59" spans="1:4" x14ac:dyDescent="0.3">
      <c r="A59" s="62" t="s">
        <v>50</v>
      </c>
      <c r="B59" s="64">
        <v>1280</v>
      </c>
      <c r="C59" s="68">
        <v>6000</v>
      </c>
      <c r="D59" s="66">
        <f t="shared" si="0"/>
        <v>7680000</v>
      </c>
    </row>
    <row r="60" spans="1:4" x14ac:dyDescent="0.3">
      <c r="A60" s="62" t="s">
        <v>51</v>
      </c>
      <c r="B60" s="64">
        <v>5</v>
      </c>
      <c r="C60" s="68">
        <v>20000</v>
      </c>
      <c r="D60" s="66">
        <f t="shared" si="0"/>
        <v>100000</v>
      </c>
    </row>
    <row r="61" spans="1:4" hidden="1" x14ac:dyDescent="0.3">
      <c r="A61" s="62" t="s">
        <v>51</v>
      </c>
      <c r="B61" s="64"/>
      <c r="C61" s="68"/>
      <c r="D61" s="66">
        <f t="shared" si="0"/>
        <v>0</v>
      </c>
    </row>
    <row r="62" spans="1:4" hidden="1" x14ac:dyDescent="0.3">
      <c r="A62" s="62" t="s">
        <v>52</v>
      </c>
      <c r="B62" s="64"/>
      <c r="C62" s="68"/>
      <c r="D62" s="66">
        <f t="shared" si="0"/>
        <v>0</v>
      </c>
    </row>
    <row r="63" spans="1:4" hidden="1" x14ac:dyDescent="0.3">
      <c r="A63" s="62" t="s">
        <v>52</v>
      </c>
      <c r="B63" s="64"/>
      <c r="C63" s="68"/>
      <c r="D63" s="66">
        <f t="shared" si="0"/>
        <v>0</v>
      </c>
    </row>
    <row r="64" spans="1:4" x14ac:dyDescent="0.3">
      <c r="A64" s="62" t="s">
        <v>53</v>
      </c>
      <c r="B64" s="64">
        <v>130</v>
      </c>
      <c r="C64" s="68">
        <v>25000</v>
      </c>
      <c r="D64" s="66">
        <f t="shared" si="0"/>
        <v>3250000</v>
      </c>
    </row>
    <row r="65" spans="1:4" hidden="1" x14ac:dyDescent="0.3">
      <c r="A65" s="62" t="s">
        <v>53</v>
      </c>
      <c r="B65" s="64"/>
      <c r="C65" s="68"/>
      <c r="D65" s="66">
        <f t="shared" si="0"/>
        <v>0</v>
      </c>
    </row>
    <row r="66" spans="1:4" hidden="1" x14ac:dyDescent="0.3">
      <c r="A66" s="62" t="s">
        <v>54</v>
      </c>
      <c r="B66" s="64"/>
      <c r="C66" s="68"/>
      <c r="D66" s="66">
        <f t="shared" si="0"/>
        <v>0</v>
      </c>
    </row>
    <row r="67" spans="1:4" hidden="1" x14ac:dyDescent="0.3">
      <c r="A67" s="62" t="s">
        <v>55</v>
      </c>
      <c r="B67" s="64"/>
      <c r="C67" s="68"/>
      <c r="D67" s="66">
        <f t="shared" si="0"/>
        <v>0</v>
      </c>
    </row>
    <row r="68" spans="1:4" x14ac:dyDescent="0.3">
      <c r="A68" s="62" t="s">
        <v>56</v>
      </c>
      <c r="B68" s="64">
        <v>45</v>
      </c>
      <c r="C68" s="68">
        <v>11400</v>
      </c>
      <c r="D68" s="66">
        <f t="shared" ref="D68:D133" si="1">B68*C68</f>
        <v>513000</v>
      </c>
    </row>
    <row r="69" spans="1:4" hidden="1" x14ac:dyDescent="0.3">
      <c r="A69" s="62" t="s">
        <v>57</v>
      </c>
      <c r="B69" s="64"/>
      <c r="C69" s="68"/>
      <c r="D69" s="66">
        <f t="shared" si="1"/>
        <v>0</v>
      </c>
    </row>
    <row r="70" spans="1:4" hidden="1" x14ac:dyDescent="0.3">
      <c r="A70" s="62" t="s">
        <v>58</v>
      </c>
      <c r="B70" s="64"/>
      <c r="C70" s="68"/>
      <c r="D70" s="66">
        <f t="shared" si="1"/>
        <v>0</v>
      </c>
    </row>
    <row r="71" spans="1:4" hidden="1" x14ac:dyDescent="0.3">
      <c r="A71" s="62" t="s">
        <v>59</v>
      </c>
      <c r="B71" s="64"/>
      <c r="C71" s="68"/>
      <c r="D71" s="66">
        <f t="shared" si="1"/>
        <v>0</v>
      </c>
    </row>
    <row r="72" spans="1:4" x14ac:dyDescent="0.3">
      <c r="A72" s="62" t="s">
        <v>60</v>
      </c>
      <c r="B72" s="64">
        <v>2380</v>
      </c>
      <c r="C72" s="68">
        <v>17500</v>
      </c>
      <c r="D72" s="66">
        <f t="shared" si="1"/>
        <v>41650000</v>
      </c>
    </row>
    <row r="73" spans="1:4" hidden="1" x14ac:dyDescent="0.3">
      <c r="A73" s="62" t="s">
        <v>60</v>
      </c>
      <c r="B73" s="64"/>
      <c r="C73" s="68"/>
      <c r="D73" s="66">
        <f t="shared" si="1"/>
        <v>0</v>
      </c>
    </row>
    <row r="74" spans="1:4" hidden="1" x14ac:dyDescent="0.3">
      <c r="A74" s="62" t="s">
        <v>60</v>
      </c>
      <c r="B74" s="64"/>
      <c r="C74" s="68"/>
      <c r="D74" s="66">
        <f t="shared" si="1"/>
        <v>0</v>
      </c>
    </row>
    <row r="75" spans="1:4" hidden="1" x14ac:dyDescent="0.3">
      <c r="A75" s="62" t="s">
        <v>61</v>
      </c>
      <c r="B75" s="64"/>
      <c r="C75" s="68"/>
      <c r="D75" s="66">
        <f t="shared" si="1"/>
        <v>0</v>
      </c>
    </row>
    <row r="76" spans="1:4" hidden="1" x14ac:dyDescent="0.3">
      <c r="A76" s="62" t="s">
        <v>62</v>
      </c>
      <c r="B76" s="64"/>
      <c r="C76" s="68"/>
      <c r="D76" s="66">
        <f t="shared" si="1"/>
        <v>0</v>
      </c>
    </row>
    <row r="77" spans="1:4" hidden="1" x14ac:dyDescent="0.3">
      <c r="A77" s="62" t="s">
        <v>63</v>
      </c>
      <c r="B77" s="64"/>
      <c r="C77" s="68"/>
      <c r="D77" s="66">
        <f t="shared" si="1"/>
        <v>0</v>
      </c>
    </row>
    <row r="78" spans="1:4" hidden="1" x14ac:dyDescent="0.3">
      <c r="A78" s="62" t="s">
        <v>64</v>
      </c>
      <c r="B78" s="64"/>
      <c r="C78" s="68"/>
      <c r="D78" s="66">
        <f t="shared" si="1"/>
        <v>0</v>
      </c>
    </row>
    <row r="79" spans="1:4" hidden="1" x14ac:dyDescent="0.3">
      <c r="A79" s="62" t="s">
        <v>65</v>
      </c>
      <c r="B79" s="64"/>
      <c r="C79" s="68"/>
      <c r="D79" s="66">
        <f t="shared" si="1"/>
        <v>0</v>
      </c>
    </row>
    <row r="80" spans="1:4" hidden="1" x14ac:dyDescent="0.3">
      <c r="A80" s="62" t="s">
        <v>66</v>
      </c>
      <c r="B80" s="64"/>
      <c r="C80" s="68"/>
      <c r="D80" s="66">
        <f t="shared" si="1"/>
        <v>0</v>
      </c>
    </row>
    <row r="81" spans="1:4" hidden="1" x14ac:dyDescent="0.3">
      <c r="A81" s="62" t="s">
        <v>67</v>
      </c>
      <c r="B81" s="64"/>
      <c r="C81" s="68"/>
      <c r="D81" s="66">
        <f t="shared" si="1"/>
        <v>0</v>
      </c>
    </row>
    <row r="82" spans="1:4" hidden="1" x14ac:dyDescent="0.3">
      <c r="A82" s="62" t="s">
        <v>68</v>
      </c>
      <c r="B82" s="64"/>
      <c r="C82" s="68"/>
      <c r="D82" s="66">
        <f t="shared" si="1"/>
        <v>0</v>
      </c>
    </row>
    <row r="83" spans="1:4" hidden="1" x14ac:dyDescent="0.3">
      <c r="A83" s="62" t="s">
        <v>69</v>
      </c>
      <c r="B83" s="64"/>
      <c r="C83" s="68"/>
      <c r="D83" s="66">
        <f t="shared" si="1"/>
        <v>0</v>
      </c>
    </row>
    <row r="84" spans="1:4" hidden="1" x14ac:dyDescent="0.3">
      <c r="A84" s="62" t="s">
        <v>70</v>
      </c>
      <c r="B84" s="64"/>
      <c r="C84" s="68"/>
      <c r="D84" s="66">
        <f t="shared" si="1"/>
        <v>0</v>
      </c>
    </row>
    <row r="85" spans="1:4" x14ac:dyDescent="0.3">
      <c r="A85" s="62" t="s">
        <v>71</v>
      </c>
      <c r="B85" s="64">
        <v>18</v>
      </c>
      <c r="C85" s="68">
        <v>16000</v>
      </c>
      <c r="D85" s="66">
        <f t="shared" si="1"/>
        <v>288000</v>
      </c>
    </row>
    <row r="86" spans="1:4" hidden="1" x14ac:dyDescent="0.3">
      <c r="A86" s="62" t="s">
        <v>72</v>
      </c>
      <c r="B86" s="64"/>
      <c r="C86" s="68"/>
      <c r="D86" s="66">
        <f t="shared" si="1"/>
        <v>0</v>
      </c>
    </row>
    <row r="87" spans="1:4" hidden="1" x14ac:dyDescent="0.3">
      <c r="A87" s="62" t="s">
        <v>73</v>
      </c>
      <c r="B87" s="64"/>
      <c r="C87" s="68"/>
      <c r="D87" s="66">
        <f t="shared" si="1"/>
        <v>0</v>
      </c>
    </row>
    <row r="88" spans="1:4" hidden="1" x14ac:dyDescent="0.3">
      <c r="A88" s="62" t="s">
        <v>73</v>
      </c>
      <c r="B88" s="64"/>
      <c r="C88" s="68"/>
      <c r="D88" s="66">
        <f t="shared" si="1"/>
        <v>0</v>
      </c>
    </row>
    <row r="89" spans="1:4" hidden="1" x14ac:dyDescent="0.3">
      <c r="A89" s="62" t="s">
        <v>74</v>
      </c>
      <c r="B89" s="64"/>
      <c r="C89" s="68"/>
      <c r="D89" s="66">
        <f t="shared" si="1"/>
        <v>0</v>
      </c>
    </row>
    <row r="90" spans="1:4" hidden="1" x14ac:dyDescent="0.3">
      <c r="A90" s="62" t="s">
        <v>75</v>
      </c>
      <c r="B90" s="64"/>
      <c r="C90" s="68"/>
      <c r="D90" s="66">
        <f t="shared" si="1"/>
        <v>0</v>
      </c>
    </row>
    <row r="91" spans="1:4" hidden="1" x14ac:dyDescent="0.3">
      <c r="A91" s="62" t="s">
        <v>75</v>
      </c>
      <c r="B91" s="64"/>
      <c r="C91" s="68"/>
      <c r="D91" s="66">
        <f t="shared" si="1"/>
        <v>0</v>
      </c>
    </row>
    <row r="92" spans="1:4" x14ac:dyDescent="0.3">
      <c r="A92" s="62" t="s">
        <v>76</v>
      </c>
      <c r="B92" s="64">
        <v>150</v>
      </c>
      <c r="C92" s="68">
        <v>25000</v>
      </c>
      <c r="D92" s="66">
        <f t="shared" si="1"/>
        <v>3750000</v>
      </c>
    </row>
    <row r="93" spans="1:4" hidden="1" x14ac:dyDescent="0.3">
      <c r="A93" s="62" t="s">
        <v>76</v>
      </c>
      <c r="B93" s="64"/>
      <c r="C93" s="68"/>
      <c r="D93" s="66">
        <f t="shared" si="1"/>
        <v>0</v>
      </c>
    </row>
    <row r="94" spans="1:4" hidden="1" x14ac:dyDescent="0.3">
      <c r="A94" s="62" t="s">
        <v>77</v>
      </c>
      <c r="B94" s="64"/>
      <c r="C94" s="68"/>
      <c r="D94" s="66">
        <f t="shared" si="1"/>
        <v>0</v>
      </c>
    </row>
    <row r="95" spans="1:4" x14ac:dyDescent="0.3">
      <c r="A95" s="62" t="s">
        <v>78</v>
      </c>
      <c r="B95" s="64">
        <v>120</v>
      </c>
      <c r="C95" s="68">
        <v>18000</v>
      </c>
      <c r="D95" s="66">
        <f t="shared" si="1"/>
        <v>2160000</v>
      </c>
    </row>
    <row r="96" spans="1:4" hidden="1" x14ac:dyDescent="0.3">
      <c r="A96" s="62" t="s">
        <v>78</v>
      </c>
      <c r="B96" s="64"/>
      <c r="C96" s="68"/>
      <c r="D96" s="66">
        <f t="shared" si="1"/>
        <v>0</v>
      </c>
    </row>
    <row r="97" spans="1:4" x14ac:dyDescent="0.3">
      <c r="A97" s="62" t="s">
        <v>79</v>
      </c>
      <c r="B97" s="64">
        <v>30</v>
      </c>
      <c r="C97" s="68">
        <v>20000</v>
      </c>
      <c r="D97" s="66">
        <f t="shared" si="1"/>
        <v>600000</v>
      </c>
    </row>
    <row r="98" spans="1:4" hidden="1" x14ac:dyDescent="0.3">
      <c r="A98" s="62" t="s">
        <v>79</v>
      </c>
      <c r="B98" s="64"/>
      <c r="C98" s="68"/>
      <c r="D98" s="66">
        <f t="shared" si="1"/>
        <v>0</v>
      </c>
    </row>
    <row r="99" spans="1:4" hidden="1" x14ac:dyDescent="0.3">
      <c r="A99" s="62" t="s">
        <v>80</v>
      </c>
      <c r="B99" s="64"/>
      <c r="C99" s="68"/>
      <c r="D99" s="66">
        <f t="shared" si="1"/>
        <v>0</v>
      </c>
    </row>
    <row r="100" spans="1:4" hidden="1" x14ac:dyDescent="0.3">
      <c r="A100" s="62" t="s">
        <v>81</v>
      </c>
      <c r="B100" s="64"/>
      <c r="C100" s="68"/>
      <c r="D100" s="66">
        <f t="shared" si="1"/>
        <v>0</v>
      </c>
    </row>
    <row r="101" spans="1:4" x14ac:dyDescent="0.3">
      <c r="A101" s="62" t="s">
        <v>82</v>
      </c>
      <c r="B101" s="64">
        <v>55</v>
      </c>
      <c r="C101" s="68">
        <v>5000</v>
      </c>
      <c r="D101" s="66">
        <f t="shared" si="1"/>
        <v>275000</v>
      </c>
    </row>
    <row r="102" spans="1:4" hidden="1" x14ac:dyDescent="0.3">
      <c r="A102" s="62" t="s">
        <v>83</v>
      </c>
      <c r="B102" s="64"/>
      <c r="C102" s="68"/>
      <c r="D102" s="66">
        <f t="shared" si="1"/>
        <v>0</v>
      </c>
    </row>
    <row r="103" spans="1:4" hidden="1" x14ac:dyDescent="0.3">
      <c r="A103" s="62" t="s">
        <v>84</v>
      </c>
      <c r="B103" s="64"/>
      <c r="C103" s="68"/>
      <c r="D103" s="66">
        <f t="shared" si="1"/>
        <v>0</v>
      </c>
    </row>
    <row r="104" spans="1:4" hidden="1" x14ac:dyDescent="0.3">
      <c r="A104" s="62" t="s">
        <v>85</v>
      </c>
      <c r="B104" s="64"/>
      <c r="C104" s="68"/>
      <c r="D104" s="66">
        <f t="shared" si="1"/>
        <v>0</v>
      </c>
    </row>
    <row r="105" spans="1:4" hidden="1" x14ac:dyDescent="0.3">
      <c r="A105" s="62" t="s">
        <v>86</v>
      </c>
      <c r="B105" s="64"/>
      <c r="C105" s="68"/>
      <c r="D105" s="66">
        <f t="shared" si="1"/>
        <v>0</v>
      </c>
    </row>
    <row r="106" spans="1:4" x14ac:dyDescent="0.3">
      <c r="A106" s="62" t="s">
        <v>87</v>
      </c>
      <c r="B106" s="64">
        <v>10</v>
      </c>
      <c r="C106" s="68">
        <v>13500</v>
      </c>
      <c r="D106" s="66">
        <f t="shared" si="1"/>
        <v>135000</v>
      </c>
    </row>
    <row r="107" spans="1:4" hidden="1" x14ac:dyDescent="0.3">
      <c r="A107" s="62" t="s">
        <v>88</v>
      </c>
      <c r="B107" s="64"/>
      <c r="C107" s="68"/>
      <c r="D107" s="66">
        <f t="shared" si="1"/>
        <v>0</v>
      </c>
    </row>
    <row r="108" spans="1:4" hidden="1" x14ac:dyDescent="0.3">
      <c r="A108" s="62" t="s">
        <v>92</v>
      </c>
      <c r="B108" s="64"/>
      <c r="C108" s="68"/>
      <c r="D108" s="66">
        <f t="shared" si="1"/>
        <v>0</v>
      </c>
    </row>
    <row r="109" spans="1:4" hidden="1" x14ac:dyDescent="0.3">
      <c r="A109" s="62" t="s">
        <v>93</v>
      </c>
      <c r="B109" s="64"/>
      <c r="C109" s="68"/>
      <c r="D109" s="66">
        <f t="shared" si="1"/>
        <v>0</v>
      </c>
    </row>
    <row r="110" spans="1:4" hidden="1" x14ac:dyDescent="0.3">
      <c r="A110" s="62" t="s">
        <v>95</v>
      </c>
      <c r="B110" s="64"/>
      <c r="C110" s="68"/>
      <c r="D110" s="66">
        <f t="shared" si="1"/>
        <v>0</v>
      </c>
    </row>
    <row r="111" spans="1:4" hidden="1" x14ac:dyDescent="0.3">
      <c r="A111" s="62" t="s">
        <v>97</v>
      </c>
      <c r="B111" s="64"/>
      <c r="C111" s="68"/>
      <c r="D111" s="66">
        <f t="shared" si="1"/>
        <v>0</v>
      </c>
    </row>
    <row r="112" spans="1:4" hidden="1" x14ac:dyDescent="0.3">
      <c r="A112" s="62" t="s">
        <v>101</v>
      </c>
      <c r="B112" s="64"/>
      <c r="C112" s="68"/>
      <c r="D112" s="66">
        <f t="shared" si="1"/>
        <v>0</v>
      </c>
    </row>
    <row r="113" spans="1:4" hidden="1" x14ac:dyDescent="0.3">
      <c r="A113" s="62" t="s">
        <v>102</v>
      </c>
      <c r="B113" s="64"/>
      <c r="C113" s="68"/>
      <c r="D113" s="66">
        <f t="shared" si="1"/>
        <v>0</v>
      </c>
    </row>
    <row r="114" spans="1:4" x14ac:dyDescent="0.3">
      <c r="A114" s="62" t="s">
        <v>103</v>
      </c>
      <c r="B114" s="67">
        <v>7.5</v>
      </c>
      <c r="C114" s="68">
        <v>19000</v>
      </c>
      <c r="D114" s="66">
        <f t="shared" si="1"/>
        <v>142500</v>
      </c>
    </row>
    <row r="115" spans="1:4" hidden="1" x14ac:dyDescent="0.3">
      <c r="A115" s="62" t="s">
        <v>521</v>
      </c>
      <c r="B115" s="64"/>
      <c r="C115" s="68"/>
      <c r="D115" s="66">
        <f t="shared" si="1"/>
        <v>0</v>
      </c>
    </row>
    <row r="116" spans="1:4" hidden="1" x14ac:dyDescent="0.3">
      <c r="A116" s="62" t="s">
        <v>110</v>
      </c>
      <c r="B116" s="64"/>
      <c r="C116" s="68"/>
      <c r="D116" s="66">
        <f t="shared" si="1"/>
        <v>0</v>
      </c>
    </row>
    <row r="117" spans="1:4" hidden="1" x14ac:dyDescent="0.3">
      <c r="A117" s="62" t="s">
        <v>524</v>
      </c>
      <c r="B117" s="64"/>
      <c r="C117" s="68"/>
      <c r="D117" s="66">
        <f t="shared" si="1"/>
        <v>0</v>
      </c>
    </row>
    <row r="118" spans="1:4" hidden="1" x14ac:dyDescent="0.3">
      <c r="A118" s="62" t="e">
        <v>#N/A</v>
      </c>
      <c r="B118" s="64"/>
      <c r="C118" s="68"/>
      <c r="D118" s="66">
        <f t="shared" si="1"/>
        <v>0</v>
      </c>
    </row>
    <row r="119" spans="1:4" x14ac:dyDescent="0.3">
      <c r="A119" s="89" t="s">
        <v>551</v>
      </c>
      <c r="B119" s="90">
        <v>10</v>
      </c>
      <c r="C119" s="91">
        <v>13000</v>
      </c>
      <c r="D119" s="66">
        <f t="shared" si="1"/>
        <v>130000</v>
      </c>
    </row>
    <row r="120" spans="1:4" x14ac:dyDescent="0.3">
      <c r="A120" s="89" t="s">
        <v>552</v>
      </c>
      <c r="B120" s="90">
        <v>10</v>
      </c>
      <c r="C120" s="91">
        <v>13000</v>
      </c>
      <c r="D120" s="66">
        <f t="shared" si="1"/>
        <v>130000</v>
      </c>
    </row>
    <row r="121" spans="1:4" x14ac:dyDescent="0.3">
      <c r="A121" s="89" t="s">
        <v>553</v>
      </c>
      <c r="B121" s="90">
        <v>10</v>
      </c>
      <c r="C121" s="91">
        <v>22000</v>
      </c>
      <c r="D121" s="66">
        <f t="shared" si="1"/>
        <v>220000</v>
      </c>
    </row>
    <row r="122" spans="1:4" x14ac:dyDescent="0.3">
      <c r="A122" s="89" t="s">
        <v>554</v>
      </c>
      <c r="B122" s="90">
        <v>13</v>
      </c>
      <c r="C122" s="91">
        <v>15000</v>
      </c>
      <c r="D122" s="66">
        <f t="shared" si="1"/>
        <v>195000</v>
      </c>
    </row>
    <row r="123" spans="1:4" hidden="1" x14ac:dyDescent="0.3">
      <c r="D123" s="66">
        <f t="shared" si="1"/>
        <v>0</v>
      </c>
    </row>
    <row r="124" spans="1:4" hidden="1" x14ac:dyDescent="0.3">
      <c r="D124" s="66">
        <f t="shared" si="1"/>
        <v>0</v>
      </c>
    </row>
    <row r="125" spans="1:4" x14ac:dyDescent="0.3">
      <c r="D125" s="66">
        <f>SUM(D9:D122)</f>
        <v>97445000</v>
      </c>
    </row>
    <row r="126" spans="1:4" x14ac:dyDescent="0.3">
      <c r="D126" s="66"/>
    </row>
    <row r="127" spans="1:4" x14ac:dyDescent="0.3">
      <c r="A127" t="s">
        <v>0</v>
      </c>
      <c r="B127" s="59" t="s">
        <v>544</v>
      </c>
      <c r="C127" s="59" t="s">
        <v>128</v>
      </c>
      <c r="D127" s="66" t="s">
        <v>129</v>
      </c>
    </row>
    <row r="128" spans="1:4" hidden="1" x14ac:dyDescent="0.3">
      <c r="A128" t="s">
        <v>1</v>
      </c>
      <c r="D128" s="66">
        <f t="shared" si="1"/>
        <v>0</v>
      </c>
    </row>
    <row r="129" spans="1:4" x14ac:dyDescent="0.3">
      <c r="A129" t="s">
        <v>117</v>
      </c>
      <c r="B129">
        <v>56</v>
      </c>
      <c r="C129">
        <v>4000</v>
      </c>
      <c r="D129" s="66">
        <f t="shared" si="1"/>
        <v>224000</v>
      </c>
    </row>
    <row r="130" spans="1:4" hidden="1" x14ac:dyDescent="0.3">
      <c r="A130" t="s">
        <v>5</v>
      </c>
      <c r="D130" s="66">
        <f t="shared" si="1"/>
        <v>0</v>
      </c>
    </row>
    <row r="131" spans="1:4" hidden="1" x14ac:dyDescent="0.3">
      <c r="A131" t="s">
        <v>6</v>
      </c>
      <c r="D131" s="66">
        <f t="shared" si="1"/>
        <v>0</v>
      </c>
    </row>
    <row r="132" spans="1:4" x14ac:dyDescent="0.3">
      <c r="A132" t="s">
        <v>8</v>
      </c>
      <c r="B132">
        <v>200</v>
      </c>
      <c r="C132">
        <v>24000</v>
      </c>
      <c r="D132" s="66">
        <f t="shared" si="1"/>
        <v>4800000</v>
      </c>
    </row>
    <row r="133" spans="1:4" hidden="1" x14ac:dyDescent="0.3">
      <c r="A133" t="s">
        <v>119</v>
      </c>
      <c r="D133" s="66">
        <f t="shared" si="1"/>
        <v>0</v>
      </c>
    </row>
    <row r="134" spans="1:4" hidden="1" x14ac:dyDescent="0.3">
      <c r="A134" t="s">
        <v>12</v>
      </c>
      <c r="D134" s="66">
        <f t="shared" ref="D134:D182" si="2">B134*C134</f>
        <v>0</v>
      </c>
    </row>
    <row r="135" spans="1:4" hidden="1" x14ac:dyDescent="0.3">
      <c r="A135" t="s">
        <v>14</v>
      </c>
      <c r="D135" s="66">
        <f t="shared" si="2"/>
        <v>0</v>
      </c>
    </row>
    <row r="136" spans="1:4" hidden="1" x14ac:dyDescent="0.3">
      <c r="A136" t="s">
        <v>15</v>
      </c>
      <c r="D136" s="66">
        <f t="shared" si="2"/>
        <v>0</v>
      </c>
    </row>
    <row r="137" spans="1:4" hidden="1" x14ac:dyDescent="0.3">
      <c r="A137" t="s">
        <v>16</v>
      </c>
      <c r="D137" s="66">
        <f t="shared" si="2"/>
        <v>0</v>
      </c>
    </row>
    <row r="138" spans="1:4" hidden="1" x14ac:dyDescent="0.3">
      <c r="A138" t="s">
        <v>110</v>
      </c>
      <c r="D138" s="66">
        <f t="shared" si="2"/>
        <v>0</v>
      </c>
    </row>
    <row r="139" spans="1:4" hidden="1" x14ac:dyDescent="0.3">
      <c r="A139" t="s">
        <v>17</v>
      </c>
      <c r="D139" s="66">
        <f t="shared" si="2"/>
        <v>0</v>
      </c>
    </row>
    <row r="140" spans="1:4" hidden="1" x14ac:dyDescent="0.3">
      <c r="A140" t="s">
        <v>21</v>
      </c>
      <c r="D140" s="66">
        <f t="shared" si="2"/>
        <v>0</v>
      </c>
    </row>
    <row r="141" spans="1:4" x14ac:dyDescent="0.3">
      <c r="A141" t="s">
        <v>22</v>
      </c>
      <c r="B141">
        <v>120</v>
      </c>
      <c r="C141">
        <v>9000</v>
      </c>
      <c r="D141" s="66">
        <f t="shared" si="2"/>
        <v>1080000</v>
      </c>
    </row>
    <row r="142" spans="1:4" x14ac:dyDescent="0.3">
      <c r="A142" t="s">
        <v>23</v>
      </c>
      <c r="B142">
        <v>1100</v>
      </c>
      <c r="C142">
        <v>5500</v>
      </c>
      <c r="D142" s="66">
        <f t="shared" si="2"/>
        <v>6050000</v>
      </c>
    </row>
    <row r="143" spans="1:4" hidden="1" x14ac:dyDescent="0.3">
      <c r="A143" t="s">
        <v>27</v>
      </c>
      <c r="D143" s="66">
        <f t="shared" si="2"/>
        <v>0</v>
      </c>
    </row>
    <row r="144" spans="1:4" hidden="1" x14ac:dyDescent="0.3">
      <c r="A144" t="s">
        <v>28</v>
      </c>
      <c r="D144" s="66">
        <f t="shared" si="2"/>
        <v>0</v>
      </c>
    </row>
    <row r="145" spans="1:4" hidden="1" x14ac:dyDescent="0.3">
      <c r="A145" t="s">
        <v>29</v>
      </c>
      <c r="D145" s="66">
        <f t="shared" si="2"/>
        <v>0</v>
      </c>
    </row>
    <row r="146" spans="1:4" hidden="1" x14ac:dyDescent="0.3">
      <c r="A146" t="s">
        <v>39</v>
      </c>
      <c r="D146" s="66">
        <f t="shared" si="2"/>
        <v>0</v>
      </c>
    </row>
    <row r="147" spans="1:4" hidden="1" x14ac:dyDescent="0.3">
      <c r="A147" t="s">
        <v>41</v>
      </c>
      <c r="D147" s="66">
        <f t="shared" si="2"/>
        <v>0</v>
      </c>
    </row>
    <row r="148" spans="1:4" hidden="1" x14ac:dyDescent="0.3">
      <c r="A148" t="s">
        <v>46</v>
      </c>
      <c r="D148" s="66">
        <f t="shared" si="2"/>
        <v>0</v>
      </c>
    </row>
    <row r="149" spans="1:4" x14ac:dyDescent="0.3">
      <c r="A149" t="s">
        <v>48</v>
      </c>
      <c r="B149">
        <v>70</v>
      </c>
      <c r="C149">
        <v>10000</v>
      </c>
      <c r="D149" s="66">
        <f t="shared" si="2"/>
        <v>700000</v>
      </c>
    </row>
    <row r="150" spans="1:4" x14ac:dyDescent="0.3">
      <c r="A150" t="s">
        <v>50</v>
      </c>
      <c r="B150">
        <v>420</v>
      </c>
      <c r="C150">
        <v>6000</v>
      </c>
      <c r="D150" s="66">
        <f t="shared" si="2"/>
        <v>2520000</v>
      </c>
    </row>
    <row r="151" spans="1:4" hidden="1" x14ac:dyDescent="0.3">
      <c r="A151" t="s">
        <v>51</v>
      </c>
      <c r="D151" s="66">
        <f t="shared" si="2"/>
        <v>0</v>
      </c>
    </row>
    <row r="152" spans="1:4" hidden="1" x14ac:dyDescent="0.3">
      <c r="A152" t="s">
        <v>53</v>
      </c>
      <c r="D152" s="66">
        <f t="shared" si="2"/>
        <v>0</v>
      </c>
    </row>
    <row r="153" spans="1:4" hidden="1" x14ac:dyDescent="0.3">
      <c r="A153" t="s">
        <v>56</v>
      </c>
      <c r="D153" s="66">
        <f t="shared" si="2"/>
        <v>0</v>
      </c>
    </row>
    <row r="154" spans="1:4" hidden="1" x14ac:dyDescent="0.3">
      <c r="A154" t="s">
        <v>60</v>
      </c>
      <c r="D154" s="66">
        <f t="shared" si="2"/>
        <v>0</v>
      </c>
    </row>
    <row r="155" spans="1:4" hidden="1" x14ac:dyDescent="0.3">
      <c r="A155" t="s">
        <v>62</v>
      </c>
      <c r="D155" s="66">
        <f t="shared" si="2"/>
        <v>0</v>
      </c>
    </row>
    <row r="156" spans="1:4" hidden="1" x14ac:dyDescent="0.3">
      <c r="A156" t="s">
        <v>67</v>
      </c>
      <c r="D156" s="66">
        <f t="shared" si="2"/>
        <v>0</v>
      </c>
    </row>
    <row r="157" spans="1:4" x14ac:dyDescent="0.3">
      <c r="A157" t="s">
        <v>68</v>
      </c>
      <c r="B157">
        <v>20</v>
      </c>
      <c r="C157">
        <v>11000</v>
      </c>
      <c r="D157" s="66">
        <f t="shared" si="2"/>
        <v>220000</v>
      </c>
    </row>
    <row r="158" spans="1:4" hidden="1" x14ac:dyDescent="0.3">
      <c r="A158" t="s">
        <v>72</v>
      </c>
      <c r="D158" s="66">
        <f t="shared" si="2"/>
        <v>0</v>
      </c>
    </row>
    <row r="159" spans="1:4" hidden="1" x14ac:dyDescent="0.3">
      <c r="A159" t="s">
        <v>76</v>
      </c>
      <c r="D159" s="66">
        <f t="shared" si="2"/>
        <v>0</v>
      </c>
    </row>
    <row r="160" spans="1:4" hidden="1" x14ac:dyDescent="0.3">
      <c r="A160" t="s">
        <v>78</v>
      </c>
      <c r="D160" s="66">
        <f t="shared" si="2"/>
        <v>0</v>
      </c>
    </row>
    <row r="161" spans="1:4" hidden="1" x14ac:dyDescent="0.3">
      <c r="A161" t="s">
        <v>79</v>
      </c>
      <c r="D161" s="66">
        <f t="shared" si="2"/>
        <v>0</v>
      </c>
    </row>
    <row r="162" spans="1:4" hidden="1" x14ac:dyDescent="0.3">
      <c r="A162" t="s">
        <v>82</v>
      </c>
      <c r="D162" s="66">
        <f t="shared" si="2"/>
        <v>0</v>
      </c>
    </row>
    <row r="163" spans="1:4" hidden="1" x14ac:dyDescent="0.3">
      <c r="A163" t="s">
        <v>87</v>
      </c>
      <c r="D163" s="66">
        <f t="shared" si="2"/>
        <v>0</v>
      </c>
    </row>
    <row r="164" spans="1:4" hidden="1" x14ac:dyDescent="0.3">
      <c r="A164" t="e">
        <v>#N/A</v>
      </c>
      <c r="D164" s="66">
        <f t="shared" si="2"/>
        <v>0</v>
      </c>
    </row>
    <row r="165" spans="1:4" hidden="1" x14ac:dyDescent="0.3">
      <c r="A165" t="e">
        <v>#N/A</v>
      </c>
      <c r="D165" s="66">
        <f t="shared" si="2"/>
        <v>0</v>
      </c>
    </row>
    <row r="166" spans="1:4" hidden="1" x14ac:dyDescent="0.3">
      <c r="A166" t="s">
        <v>120</v>
      </c>
      <c r="D166" s="66">
        <f t="shared" si="2"/>
        <v>0</v>
      </c>
    </row>
    <row r="167" spans="1:4" hidden="1" x14ac:dyDescent="0.3">
      <c r="A167" t="s">
        <v>109</v>
      </c>
      <c r="D167" s="66">
        <f t="shared" si="2"/>
        <v>0</v>
      </c>
    </row>
    <row r="168" spans="1:4" hidden="1" x14ac:dyDescent="0.3">
      <c r="A168" t="s">
        <v>121</v>
      </c>
      <c r="D168" s="66">
        <f t="shared" si="2"/>
        <v>0</v>
      </c>
    </row>
    <row r="169" spans="1:4" hidden="1" x14ac:dyDescent="0.3">
      <c r="A169" t="s">
        <v>111</v>
      </c>
      <c r="D169" s="66">
        <f t="shared" si="2"/>
        <v>0</v>
      </c>
    </row>
    <row r="170" spans="1:4" hidden="1" x14ac:dyDescent="0.3">
      <c r="A170" t="s">
        <v>122</v>
      </c>
      <c r="D170" s="66">
        <f t="shared" si="2"/>
        <v>0</v>
      </c>
    </row>
    <row r="171" spans="1:4" hidden="1" x14ac:dyDescent="0.3">
      <c r="A171" t="s">
        <v>92</v>
      </c>
      <c r="D171" s="66">
        <f t="shared" si="2"/>
        <v>0</v>
      </c>
    </row>
    <row r="172" spans="1:4" hidden="1" x14ac:dyDescent="0.3">
      <c r="A172" t="s">
        <v>123</v>
      </c>
      <c r="D172" s="66">
        <f t="shared" si="2"/>
        <v>0</v>
      </c>
    </row>
    <row r="173" spans="1:4" hidden="1" x14ac:dyDescent="0.3">
      <c r="A173" t="s">
        <v>125</v>
      </c>
      <c r="D173" s="66">
        <f t="shared" si="2"/>
        <v>0</v>
      </c>
    </row>
    <row r="174" spans="1:4" hidden="1" x14ac:dyDescent="0.3">
      <c r="A174" t="s">
        <v>71</v>
      </c>
      <c r="D174" s="66">
        <f t="shared" si="2"/>
        <v>0</v>
      </c>
    </row>
    <row r="175" spans="1:4" hidden="1" x14ac:dyDescent="0.3">
      <c r="A175" t="s">
        <v>103</v>
      </c>
      <c r="D175" s="66">
        <f t="shared" si="2"/>
        <v>0</v>
      </c>
    </row>
    <row r="176" spans="1:4" hidden="1" x14ac:dyDescent="0.3">
      <c r="A176" t="s">
        <v>107</v>
      </c>
      <c r="D176" s="66">
        <f t="shared" si="2"/>
        <v>0</v>
      </c>
    </row>
    <row r="177" spans="1:4" hidden="1" x14ac:dyDescent="0.3">
      <c r="A177" t="s">
        <v>65</v>
      </c>
      <c r="D177" s="66">
        <f t="shared" si="2"/>
        <v>0</v>
      </c>
    </row>
    <row r="178" spans="1:4" hidden="1" x14ac:dyDescent="0.3">
      <c r="A178" t="s">
        <v>2</v>
      </c>
      <c r="D178" s="66">
        <f t="shared" si="2"/>
        <v>0</v>
      </c>
    </row>
    <row r="179" spans="1:4" hidden="1" x14ac:dyDescent="0.3">
      <c r="A179" t="s">
        <v>52</v>
      </c>
      <c r="D179" s="66">
        <f t="shared" si="2"/>
        <v>0</v>
      </c>
    </row>
    <row r="180" spans="1:4" hidden="1" x14ac:dyDescent="0.3">
      <c r="A180" t="s">
        <v>30</v>
      </c>
      <c r="D180" s="66">
        <f t="shared" si="2"/>
        <v>0</v>
      </c>
    </row>
    <row r="181" spans="1:4" hidden="1" x14ac:dyDescent="0.3">
      <c r="A181" t="s">
        <v>38</v>
      </c>
      <c r="D181" s="66">
        <f t="shared" si="2"/>
        <v>0</v>
      </c>
    </row>
    <row r="182" spans="1:4" hidden="1" x14ac:dyDescent="0.3">
      <c r="A182" t="s">
        <v>40</v>
      </c>
      <c r="D182" s="66">
        <f t="shared" si="2"/>
        <v>0</v>
      </c>
    </row>
    <row r="183" spans="1:4" x14ac:dyDescent="0.3">
      <c r="D183" s="83">
        <f>SUM(D129:D157)</f>
        <v>15594000</v>
      </c>
    </row>
    <row r="185" spans="1:4" x14ac:dyDescent="0.3">
      <c r="D185" s="83">
        <f>D183+D125</f>
        <v>113039000</v>
      </c>
    </row>
  </sheetData>
  <autoFilter ref="A2:D182" xr:uid="{00000000-0009-0000-0000-000006000000}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185"/>
  <sheetViews>
    <sheetView workbookViewId="0">
      <selection activeCell="O21" sqref="O21"/>
    </sheetView>
  </sheetViews>
  <sheetFormatPr defaultRowHeight="14.4" x14ac:dyDescent="0.3"/>
  <cols>
    <col min="1" max="1" width="29.5546875" customWidth="1"/>
    <col min="3" max="3" width="12.33203125" customWidth="1"/>
    <col min="4" max="4" width="18.33203125" customWidth="1"/>
  </cols>
  <sheetData>
    <row r="1" spans="1:4" x14ac:dyDescent="0.3">
      <c r="A1" s="59" t="s">
        <v>556</v>
      </c>
    </row>
    <row r="2" spans="1:4" x14ac:dyDescent="0.3">
      <c r="A2" s="92" t="s">
        <v>0</v>
      </c>
      <c r="B2" s="93" t="s">
        <v>544</v>
      </c>
      <c r="C2" s="93" t="s">
        <v>128</v>
      </c>
      <c r="D2" s="93" t="s">
        <v>129</v>
      </c>
    </row>
    <row r="3" spans="1:4" hidden="1" x14ac:dyDescent="0.3">
      <c r="A3" s="1" t="s">
        <v>21</v>
      </c>
      <c r="B3" s="1"/>
      <c r="C3" s="1"/>
      <c r="D3" s="1">
        <f>B3*C3</f>
        <v>0</v>
      </c>
    </row>
    <row r="4" spans="1:4" x14ac:dyDescent="0.3">
      <c r="A4" s="1" t="s">
        <v>22</v>
      </c>
      <c r="B4" s="1">
        <v>1050</v>
      </c>
      <c r="C4" s="1">
        <v>9000</v>
      </c>
      <c r="D4" s="1">
        <f t="shared" ref="D4:D67" si="0">B4*C4</f>
        <v>9450000</v>
      </c>
    </row>
    <row r="5" spans="1:4" x14ac:dyDescent="0.3">
      <c r="A5" s="1" t="s">
        <v>23</v>
      </c>
      <c r="B5" s="1">
        <v>210</v>
      </c>
      <c r="C5" s="1">
        <v>5500</v>
      </c>
      <c r="D5" s="1">
        <f t="shared" si="0"/>
        <v>1155000</v>
      </c>
    </row>
    <row r="6" spans="1:4" hidden="1" x14ac:dyDescent="0.3">
      <c r="A6" s="1" t="s">
        <v>48</v>
      </c>
      <c r="B6" s="1"/>
      <c r="C6" s="1"/>
      <c r="D6" s="1">
        <f t="shared" si="0"/>
        <v>0</v>
      </c>
    </row>
    <row r="7" spans="1:4" x14ac:dyDescent="0.3">
      <c r="A7" s="1" t="s">
        <v>49</v>
      </c>
      <c r="B7" s="1">
        <v>15</v>
      </c>
      <c r="C7" s="1">
        <v>6500</v>
      </c>
      <c r="D7" s="1">
        <f t="shared" si="0"/>
        <v>97500</v>
      </c>
    </row>
    <row r="8" spans="1:4" x14ac:dyDescent="0.3">
      <c r="A8" s="1" t="s">
        <v>50</v>
      </c>
      <c r="B8" s="1">
        <v>100</v>
      </c>
      <c r="C8" s="1">
        <v>6000</v>
      </c>
      <c r="D8" s="1">
        <f t="shared" si="0"/>
        <v>600000</v>
      </c>
    </row>
    <row r="9" spans="1:4" hidden="1" x14ac:dyDescent="0.3">
      <c r="A9" s="1" t="s">
        <v>121</v>
      </c>
      <c r="B9" s="1"/>
      <c r="C9" s="1"/>
      <c r="D9" s="1">
        <f t="shared" si="0"/>
        <v>0</v>
      </c>
    </row>
    <row r="10" spans="1:4" hidden="1" x14ac:dyDescent="0.3">
      <c r="A10" s="1" t="s">
        <v>51</v>
      </c>
      <c r="B10" s="1"/>
      <c r="C10" s="1"/>
      <c r="D10" s="1">
        <f t="shared" si="0"/>
        <v>0</v>
      </c>
    </row>
    <row r="11" spans="1:4" hidden="1" x14ac:dyDescent="0.3">
      <c r="A11" s="1" t="s">
        <v>51</v>
      </c>
      <c r="B11" s="1"/>
      <c r="C11" s="1"/>
      <c r="D11" s="1">
        <f t="shared" si="0"/>
        <v>0</v>
      </c>
    </row>
    <row r="12" spans="1:4" hidden="1" x14ac:dyDescent="0.3">
      <c r="A12" s="1" t="s">
        <v>52</v>
      </c>
      <c r="B12" s="1"/>
      <c r="C12" s="1"/>
      <c r="D12" s="1">
        <f t="shared" si="0"/>
        <v>0</v>
      </c>
    </row>
    <row r="13" spans="1:4" hidden="1" x14ac:dyDescent="0.3">
      <c r="A13" s="1" t="s">
        <v>52</v>
      </c>
      <c r="B13" s="1"/>
      <c r="C13" s="1"/>
      <c r="D13" s="1">
        <f t="shared" si="0"/>
        <v>0</v>
      </c>
    </row>
    <row r="14" spans="1:4" x14ac:dyDescent="0.3">
      <c r="A14" s="1" t="s">
        <v>92</v>
      </c>
      <c r="B14" s="1">
        <v>35</v>
      </c>
      <c r="C14" s="1">
        <v>11000</v>
      </c>
      <c r="D14" s="1">
        <f t="shared" si="0"/>
        <v>385000</v>
      </c>
    </row>
    <row r="15" spans="1:4" hidden="1" x14ac:dyDescent="0.3">
      <c r="A15" s="1" t="s">
        <v>116</v>
      </c>
      <c r="B15" s="1"/>
      <c r="C15" s="1"/>
      <c r="D15" s="1">
        <f t="shared" si="0"/>
        <v>0</v>
      </c>
    </row>
    <row r="16" spans="1:4" hidden="1" x14ac:dyDescent="0.3">
      <c r="A16" s="1" t="s">
        <v>110</v>
      </c>
      <c r="B16" s="1"/>
      <c r="C16" s="1"/>
      <c r="D16" s="1">
        <f t="shared" si="0"/>
        <v>0</v>
      </c>
    </row>
    <row r="17" spans="1:4" hidden="1" x14ac:dyDescent="0.3">
      <c r="A17" s="1" t="s">
        <v>524</v>
      </c>
      <c r="B17" s="1"/>
      <c r="C17" s="1"/>
      <c r="D17" s="1">
        <f t="shared" si="0"/>
        <v>0</v>
      </c>
    </row>
    <row r="18" spans="1:4" hidden="1" x14ac:dyDescent="0.3">
      <c r="A18" s="1" t="s">
        <v>18</v>
      </c>
      <c r="B18" s="1"/>
      <c r="C18" s="1"/>
      <c r="D18" s="1">
        <f t="shared" si="0"/>
        <v>0</v>
      </c>
    </row>
    <row r="19" spans="1:4" hidden="1" x14ac:dyDescent="0.3">
      <c r="A19" s="1" t="s">
        <v>19</v>
      </c>
      <c r="B19" s="1"/>
      <c r="C19" s="1"/>
      <c r="D19" s="1">
        <f t="shared" si="0"/>
        <v>0</v>
      </c>
    </row>
    <row r="20" spans="1:4" hidden="1" x14ac:dyDescent="0.3">
      <c r="A20" s="1" t="s">
        <v>19</v>
      </c>
      <c r="B20" s="1"/>
      <c r="C20" s="1"/>
      <c r="D20" s="1">
        <f t="shared" si="0"/>
        <v>0</v>
      </c>
    </row>
    <row r="21" spans="1:4" x14ac:dyDescent="0.3">
      <c r="A21" s="1" t="s">
        <v>53</v>
      </c>
      <c r="B21" s="1">
        <v>180</v>
      </c>
      <c r="C21" s="1">
        <v>25000</v>
      </c>
      <c r="D21" s="1">
        <f t="shared" si="0"/>
        <v>4500000</v>
      </c>
    </row>
    <row r="22" spans="1:4" x14ac:dyDescent="0.3">
      <c r="A22" s="1" t="s">
        <v>53</v>
      </c>
      <c r="B22" s="1">
        <v>12</v>
      </c>
      <c r="C22" s="1">
        <v>12000</v>
      </c>
      <c r="D22" s="1">
        <f t="shared" si="0"/>
        <v>144000</v>
      </c>
    </row>
    <row r="23" spans="1:4" hidden="1" x14ac:dyDescent="0.3">
      <c r="A23" s="1" t="s">
        <v>54</v>
      </c>
      <c r="B23" s="1"/>
      <c r="C23" s="1"/>
      <c r="D23" s="1">
        <f t="shared" si="0"/>
        <v>0</v>
      </c>
    </row>
    <row r="24" spans="1:4" hidden="1" x14ac:dyDescent="0.3">
      <c r="A24" s="1" t="s">
        <v>55</v>
      </c>
      <c r="B24" s="1"/>
      <c r="C24" s="1"/>
      <c r="D24" s="1">
        <f t="shared" si="0"/>
        <v>0</v>
      </c>
    </row>
    <row r="25" spans="1:4" x14ac:dyDescent="0.3">
      <c r="A25" s="1" t="s">
        <v>56</v>
      </c>
      <c r="B25" s="1">
        <v>160</v>
      </c>
      <c r="C25" s="1">
        <v>11400</v>
      </c>
      <c r="D25" s="1">
        <f t="shared" si="0"/>
        <v>1824000</v>
      </c>
    </row>
    <row r="26" spans="1:4" hidden="1" x14ac:dyDescent="0.3">
      <c r="A26" s="1" t="s">
        <v>525</v>
      </c>
      <c r="B26" s="1"/>
      <c r="C26" s="1"/>
      <c r="D26" s="1">
        <f t="shared" si="0"/>
        <v>0</v>
      </c>
    </row>
    <row r="27" spans="1:4" x14ac:dyDescent="0.3">
      <c r="A27" s="1" t="s">
        <v>103</v>
      </c>
      <c r="B27" s="1">
        <v>16</v>
      </c>
      <c r="C27" s="1">
        <v>19000</v>
      </c>
      <c r="D27" s="1">
        <f t="shared" si="0"/>
        <v>304000</v>
      </c>
    </row>
    <row r="28" spans="1:4" hidden="1" x14ac:dyDescent="0.3">
      <c r="A28" s="1" t="s">
        <v>57</v>
      </c>
      <c r="B28" s="1"/>
      <c r="C28" s="1"/>
      <c r="D28" s="1">
        <f t="shared" si="0"/>
        <v>0</v>
      </c>
    </row>
    <row r="29" spans="1:4" hidden="1" x14ac:dyDescent="0.3">
      <c r="A29" s="1" t="s">
        <v>58</v>
      </c>
      <c r="B29" s="1"/>
      <c r="C29" s="1"/>
      <c r="D29" s="1">
        <f t="shared" si="0"/>
        <v>0</v>
      </c>
    </row>
    <row r="30" spans="1:4" hidden="1" x14ac:dyDescent="0.3">
      <c r="A30" s="1" t="s">
        <v>59</v>
      </c>
      <c r="B30" s="1"/>
      <c r="C30" s="1"/>
      <c r="D30" s="1">
        <f t="shared" si="0"/>
        <v>0</v>
      </c>
    </row>
    <row r="31" spans="1:4" hidden="1" x14ac:dyDescent="0.3">
      <c r="A31" s="1" t="s">
        <v>86</v>
      </c>
      <c r="B31" s="1"/>
      <c r="C31" s="1"/>
      <c r="D31" s="1">
        <f t="shared" si="0"/>
        <v>0</v>
      </c>
    </row>
    <row r="32" spans="1:4" x14ac:dyDescent="0.3">
      <c r="A32" s="1" t="s">
        <v>60</v>
      </c>
      <c r="B32" s="1">
        <v>1560</v>
      </c>
      <c r="C32" s="1">
        <v>14000</v>
      </c>
      <c r="D32" s="1">
        <f t="shared" si="0"/>
        <v>21840000</v>
      </c>
    </row>
    <row r="33" spans="1:4" hidden="1" x14ac:dyDescent="0.3">
      <c r="A33" s="1" t="s">
        <v>60</v>
      </c>
      <c r="B33" s="1"/>
      <c r="C33" s="1"/>
      <c r="D33" s="1">
        <f t="shared" si="0"/>
        <v>0</v>
      </c>
    </row>
    <row r="34" spans="1:4" hidden="1" x14ac:dyDescent="0.3">
      <c r="A34" s="1" t="s">
        <v>60</v>
      </c>
      <c r="B34" s="1"/>
      <c r="C34" s="1"/>
      <c r="D34" s="1">
        <f t="shared" si="0"/>
        <v>0</v>
      </c>
    </row>
    <row r="35" spans="1:4" hidden="1" x14ac:dyDescent="0.3">
      <c r="A35" s="1" t="s">
        <v>61</v>
      </c>
      <c r="B35" s="1"/>
      <c r="C35" s="1"/>
      <c r="D35" s="1">
        <f t="shared" si="0"/>
        <v>0</v>
      </c>
    </row>
    <row r="36" spans="1:4" x14ac:dyDescent="0.3">
      <c r="A36" s="1" t="s">
        <v>1</v>
      </c>
      <c r="B36" s="1">
        <v>5</v>
      </c>
      <c r="C36" s="1">
        <v>18000</v>
      </c>
      <c r="D36" s="1">
        <f t="shared" si="0"/>
        <v>90000</v>
      </c>
    </row>
    <row r="37" spans="1:4" hidden="1" x14ac:dyDescent="0.3">
      <c r="A37" s="1" t="s">
        <v>1</v>
      </c>
      <c r="B37" s="1"/>
      <c r="C37" s="1"/>
      <c r="D37" s="1">
        <f t="shared" si="0"/>
        <v>0</v>
      </c>
    </row>
    <row r="38" spans="1:4" hidden="1" x14ac:dyDescent="0.3">
      <c r="A38" s="1" t="s">
        <v>2</v>
      </c>
      <c r="B38" s="1"/>
      <c r="C38" s="1"/>
      <c r="D38" s="1">
        <f t="shared" si="0"/>
        <v>0</v>
      </c>
    </row>
    <row r="39" spans="1:4" hidden="1" x14ac:dyDescent="0.3">
      <c r="A39" s="1" t="s">
        <v>2</v>
      </c>
      <c r="B39" s="1"/>
      <c r="C39" s="1"/>
      <c r="D39" s="1">
        <f t="shared" si="0"/>
        <v>0</v>
      </c>
    </row>
    <row r="40" spans="1:4" hidden="1" x14ac:dyDescent="0.3">
      <c r="A40" s="1" t="s">
        <v>62</v>
      </c>
      <c r="B40" s="1"/>
      <c r="C40" s="1"/>
      <c r="D40" s="1">
        <f t="shared" si="0"/>
        <v>0</v>
      </c>
    </row>
    <row r="41" spans="1:4" hidden="1" x14ac:dyDescent="0.3">
      <c r="A41" s="1" t="s">
        <v>63</v>
      </c>
      <c r="B41" s="1"/>
      <c r="C41" s="1"/>
      <c r="D41" s="1">
        <f t="shared" si="0"/>
        <v>0</v>
      </c>
    </row>
    <row r="42" spans="1:4" hidden="1" x14ac:dyDescent="0.3">
      <c r="A42" s="1" t="s">
        <v>24</v>
      </c>
      <c r="B42" s="1"/>
      <c r="C42" s="1"/>
      <c r="D42" s="1">
        <f t="shared" si="0"/>
        <v>0</v>
      </c>
    </row>
    <row r="43" spans="1:4" x14ac:dyDescent="0.3">
      <c r="A43" s="1" t="s">
        <v>24</v>
      </c>
      <c r="B43" s="1">
        <v>15</v>
      </c>
      <c r="C43" s="1">
        <v>28000</v>
      </c>
      <c r="D43" s="1">
        <f t="shared" si="0"/>
        <v>420000</v>
      </c>
    </row>
    <row r="44" spans="1:4" hidden="1" x14ac:dyDescent="0.3">
      <c r="A44" s="1" t="s">
        <v>25</v>
      </c>
      <c r="B44" s="1"/>
      <c r="C44" s="1"/>
      <c r="D44" s="1">
        <f t="shared" si="0"/>
        <v>0</v>
      </c>
    </row>
    <row r="45" spans="1:4" hidden="1" x14ac:dyDescent="0.3">
      <c r="A45" s="1" t="s">
        <v>25</v>
      </c>
      <c r="B45" s="1"/>
      <c r="C45" s="1"/>
      <c r="D45" s="1">
        <f t="shared" si="0"/>
        <v>0</v>
      </c>
    </row>
    <row r="46" spans="1:4" hidden="1" x14ac:dyDescent="0.3">
      <c r="A46" s="1" t="s">
        <v>26</v>
      </c>
      <c r="B46" s="1"/>
      <c r="C46" s="1"/>
      <c r="D46" s="1">
        <f t="shared" si="0"/>
        <v>0</v>
      </c>
    </row>
    <row r="47" spans="1:4" hidden="1" x14ac:dyDescent="0.3">
      <c r="A47" s="1" t="s">
        <v>26</v>
      </c>
      <c r="B47" s="1"/>
      <c r="C47" s="1"/>
      <c r="D47" s="1">
        <f t="shared" si="0"/>
        <v>0</v>
      </c>
    </row>
    <row r="48" spans="1:4" hidden="1" x14ac:dyDescent="0.3">
      <c r="A48" s="1" t="s">
        <v>26</v>
      </c>
      <c r="B48" s="1"/>
      <c r="C48" s="1"/>
      <c r="D48" s="1">
        <f t="shared" si="0"/>
        <v>0</v>
      </c>
    </row>
    <row r="49" spans="1:4" hidden="1" x14ac:dyDescent="0.3">
      <c r="A49" s="1" t="s">
        <v>27</v>
      </c>
      <c r="B49" s="1"/>
      <c r="C49" s="1"/>
      <c r="D49" s="1">
        <f t="shared" si="0"/>
        <v>0</v>
      </c>
    </row>
    <row r="50" spans="1:4" hidden="1" x14ac:dyDescent="0.3">
      <c r="A50" s="1" t="s">
        <v>28</v>
      </c>
      <c r="B50" s="1"/>
      <c r="C50" s="1"/>
      <c r="D50" s="1">
        <f t="shared" si="0"/>
        <v>0</v>
      </c>
    </row>
    <row r="51" spans="1:4" x14ac:dyDescent="0.3">
      <c r="A51" s="1" t="s">
        <v>28</v>
      </c>
      <c r="B51" s="1">
        <v>30</v>
      </c>
      <c r="C51" s="1">
        <v>15000</v>
      </c>
      <c r="D51" s="1">
        <f t="shared" si="0"/>
        <v>450000</v>
      </c>
    </row>
    <row r="52" spans="1:4" hidden="1" x14ac:dyDescent="0.3">
      <c r="A52" s="1" t="s">
        <v>120</v>
      </c>
      <c r="B52" s="1"/>
      <c r="C52" s="1"/>
      <c r="D52" s="1">
        <f t="shared" si="0"/>
        <v>0</v>
      </c>
    </row>
    <row r="53" spans="1:4" hidden="1" x14ac:dyDescent="0.3">
      <c r="A53" s="1" t="s">
        <v>64</v>
      </c>
      <c r="B53" s="1"/>
      <c r="C53" s="1"/>
      <c r="D53" s="1">
        <f t="shared" si="0"/>
        <v>0</v>
      </c>
    </row>
    <row r="54" spans="1:4" x14ac:dyDescent="0.3">
      <c r="A54" s="1" t="s">
        <v>87</v>
      </c>
      <c r="B54" s="1">
        <v>30</v>
      </c>
      <c r="C54" s="1">
        <v>13500</v>
      </c>
      <c r="D54" s="1">
        <f t="shared" si="0"/>
        <v>405000</v>
      </c>
    </row>
    <row r="55" spans="1:4" hidden="1" x14ac:dyDescent="0.3">
      <c r="A55" s="1" t="s">
        <v>3</v>
      </c>
      <c r="B55" s="1"/>
      <c r="C55" s="1"/>
      <c r="D55" s="1">
        <f t="shared" si="0"/>
        <v>0</v>
      </c>
    </row>
    <row r="56" spans="1:4" hidden="1" x14ac:dyDescent="0.3">
      <c r="A56" s="1" t="s">
        <v>4</v>
      </c>
      <c r="B56" s="1"/>
      <c r="C56" s="1"/>
      <c r="D56" s="1">
        <f t="shared" si="0"/>
        <v>0</v>
      </c>
    </row>
    <row r="57" spans="1:4" x14ac:dyDescent="0.3">
      <c r="A57" s="1" t="s">
        <v>5</v>
      </c>
      <c r="B57" s="1">
        <v>15</v>
      </c>
      <c r="C57" s="1">
        <v>6000</v>
      </c>
      <c r="D57" s="1">
        <f t="shared" si="0"/>
        <v>90000</v>
      </c>
    </row>
    <row r="58" spans="1:4" x14ac:dyDescent="0.3">
      <c r="A58" s="1" t="s">
        <v>6</v>
      </c>
      <c r="B58" s="1">
        <v>60</v>
      </c>
      <c r="C58" s="1">
        <v>16000</v>
      </c>
      <c r="D58" s="1">
        <f t="shared" si="0"/>
        <v>960000</v>
      </c>
    </row>
    <row r="59" spans="1:4" hidden="1" x14ac:dyDescent="0.3">
      <c r="A59" s="1" t="s">
        <v>6</v>
      </c>
      <c r="B59" s="1"/>
      <c r="C59" s="1"/>
      <c r="D59" s="1">
        <f t="shared" si="0"/>
        <v>0</v>
      </c>
    </row>
    <row r="60" spans="1:4" x14ac:dyDescent="0.3">
      <c r="A60" s="1" t="s">
        <v>7</v>
      </c>
      <c r="B60" s="1">
        <v>3</v>
      </c>
      <c r="C60" s="1">
        <v>44000</v>
      </c>
      <c r="D60" s="1">
        <f t="shared" si="0"/>
        <v>132000</v>
      </c>
    </row>
    <row r="61" spans="1:4" hidden="1" x14ac:dyDescent="0.3">
      <c r="A61" s="1" t="s">
        <v>538</v>
      </c>
      <c r="B61" s="1"/>
      <c r="C61" s="1"/>
      <c r="D61" s="1">
        <f t="shared" si="0"/>
        <v>0</v>
      </c>
    </row>
    <row r="62" spans="1:4" x14ac:dyDescent="0.3">
      <c r="A62" s="1" t="s">
        <v>8</v>
      </c>
      <c r="B62" s="1">
        <v>140</v>
      </c>
      <c r="C62" s="1">
        <v>24000</v>
      </c>
      <c r="D62" s="1">
        <f t="shared" si="0"/>
        <v>3360000</v>
      </c>
    </row>
    <row r="63" spans="1:4" hidden="1" x14ac:dyDescent="0.3">
      <c r="A63" s="1" t="s">
        <v>9</v>
      </c>
      <c r="B63" s="1"/>
      <c r="C63" s="1"/>
      <c r="D63" s="1">
        <f t="shared" si="0"/>
        <v>0</v>
      </c>
    </row>
    <row r="64" spans="1:4" x14ac:dyDescent="0.3">
      <c r="A64" s="1" t="s">
        <v>10</v>
      </c>
      <c r="B64" s="1">
        <v>400</v>
      </c>
      <c r="C64" s="1">
        <v>6000</v>
      </c>
      <c r="D64" s="1">
        <f t="shared" si="0"/>
        <v>2400000</v>
      </c>
    </row>
    <row r="65" spans="1:4" x14ac:dyDescent="0.3">
      <c r="A65" s="1" t="s">
        <v>119</v>
      </c>
      <c r="B65" s="1">
        <v>10</v>
      </c>
      <c r="C65" s="1">
        <v>22000</v>
      </c>
      <c r="D65" s="1">
        <f t="shared" si="0"/>
        <v>220000</v>
      </c>
    </row>
    <row r="66" spans="1:4" hidden="1" x14ac:dyDescent="0.3">
      <c r="A66" s="1" t="s">
        <v>119</v>
      </c>
      <c r="B66" s="1"/>
      <c r="C66" s="1"/>
      <c r="D66" s="1">
        <f t="shared" si="0"/>
        <v>0</v>
      </c>
    </row>
    <row r="67" spans="1:4" hidden="1" x14ac:dyDescent="0.3">
      <c r="A67" s="1" t="s">
        <v>102</v>
      </c>
      <c r="B67" s="1"/>
      <c r="C67" s="1"/>
      <c r="D67" s="1">
        <f t="shared" si="0"/>
        <v>0</v>
      </c>
    </row>
    <row r="68" spans="1:4" x14ac:dyDescent="0.3">
      <c r="A68" s="1" t="s">
        <v>12</v>
      </c>
      <c r="B68" s="1">
        <v>220</v>
      </c>
      <c r="C68" s="1">
        <v>22000</v>
      </c>
      <c r="D68" s="1">
        <f t="shared" ref="D68:D131" si="1">B68*C68</f>
        <v>4840000</v>
      </c>
    </row>
    <row r="69" spans="1:4" hidden="1" x14ac:dyDescent="0.3">
      <c r="A69" s="1" t="s">
        <v>14</v>
      </c>
      <c r="B69" s="1"/>
      <c r="C69" s="1"/>
      <c r="D69" s="1">
        <f t="shared" si="1"/>
        <v>0</v>
      </c>
    </row>
    <row r="70" spans="1:4" hidden="1" x14ac:dyDescent="0.3">
      <c r="A70" s="1" t="s">
        <v>14</v>
      </c>
      <c r="B70" s="1"/>
      <c r="C70" s="1"/>
      <c r="D70" s="1">
        <f t="shared" si="1"/>
        <v>0</v>
      </c>
    </row>
    <row r="71" spans="1:4" hidden="1" x14ac:dyDescent="0.3">
      <c r="A71" s="1" t="s">
        <v>111</v>
      </c>
      <c r="B71" s="1"/>
      <c r="C71" s="1"/>
      <c r="D71" s="1">
        <f t="shared" si="1"/>
        <v>0</v>
      </c>
    </row>
    <row r="72" spans="1:4" x14ac:dyDescent="0.3">
      <c r="A72" s="1" t="s">
        <v>15</v>
      </c>
      <c r="B72" s="1">
        <v>25</v>
      </c>
      <c r="C72" s="1">
        <v>16000</v>
      </c>
      <c r="D72" s="1">
        <f t="shared" si="1"/>
        <v>400000</v>
      </c>
    </row>
    <row r="73" spans="1:4" hidden="1" x14ac:dyDescent="0.3">
      <c r="A73" s="1" t="s">
        <v>15</v>
      </c>
      <c r="B73" s="1"/>
      <c r="C73" s="1"/>
      <c r="D73" s="1">
        <f t="shared" si="1"/>
        <v>0</v>
      </c>
    </row>
    <row r="74" spans="1:4" hidden="1" x14ac:dyDescent="0.3">
      <c r="A74" s="1" t="s">
        <v>16</v>
      </c>
      <c r="B74" s="1"/>
      <c r="C74" s="1"/>
      <c r="D74" s="1">
        <f t="shared" si="1"/>
        <v>0</v>
      </c>
    </row>
    <row r="75" spans="1:4" hidden="1" x14ac:dyDescent="0.3">
      <c r="A75" s="1" t="s">
        <v>68</v>
      </c>
      <c r="B75" s="1"/>
      <c r="C75" s="1"/>
      <c r="D75" s="1">
        <f t="shared" si="1"/>
        <v>0</v>
      </c>
    </row>
    <row r="76" spans="1:4" hidden="1" x14ac:dyDescent="0.3">
      <c r="A76" s="1" t="s">
        <v>65</v>
      </c>
      <c r="B76" s="1"/>
      <c r="C76" s="1"/>
      <c r="D76" s="1">
        <f t="shared" si="1"/>
        <v>0</v>
      </c>
    </row>
    <row r="77" spans="1:4" hidden="1" x14ac:dyDescent="0.3">
      <c r="A77" s="1" t="s">
        <v>66</v>
      </c>
      <c r="B77" s="1"/>
      <c r="C77" s="1"/>
      <c r="D77" s="1">
        <f t="shared" si="1"/>
        <v>0</v>
      </c>
    </row>
    <row r="78" spans="1:4" hidden="1" x14ac:dyDescent="0.3">
      <c r="A78" s="1" t="s">
        <v>67</v>
      </c>
      <c r="B78" s="1"/>
      <c r="C78" s="1"/>
      <c r="D78" s="1">
        <f t="shared" si="1"/>
        <v>0</v>
      </c>
    </row>
    <row r="79" spans="1:4" hidden="1" x14ac:dyDescent="0.3">
      <c r="A79" s="1" t="s">
        <v>69</v>
      </c>
      <c r="B79" s="1"/>
      <c r="C79" s="1"/>
      <c r="D79" s="1">
        <f t="shared" si="1"/>
        <v>0</v>
      </c>
    </row>
    <row r="80" spans="1:4" hidden="1" x14ac:dyDescent="0.3">
      <c r="A80" s="1" t="s">
        <v>69</v>
      </c>
      <c r="B80" s="1"/>
      <c r="C80" s="1"/>
      <c r="D80" s="1">
        <f t="shared" si="1"/>
        <v>0</v>
      </c>
    </row>
    <row r="81" spans="1:4" hidden="1" x14ac:dyDescent="0.3">
      <c r="A81" s="1" t="s">
        <v>526</v>
      </c>
      <c r="B81" s="1"/>
      <c r="C81" s="1"/>
      <c r="D81" s="1">
        <f t="shared" si="1"/>
        <v>0</v>
      </c>
    </row>
    <row r="82" spans="1:4" x14ac:dyDescent="0.3">
      <c r="A82" s="1" t="s">
        <v>70</v>
      </c>
      <c r="B82" s="1">
        <v>0.5</v>
      </c>
      <c r="C82" s="1">
        <v>70000</v>
      </c>
      <c r="D82" s="1">
        <f t="shared" si="1"/>
        <v>35000</v>
      </c>
    </row>
    <row r="83" spans="1:4" x14ac:dyDescent="0.3">
      <c r="A83" s="1" t="s">
        <v>83</v>
      </c>
      <c r="B83" s="1">
        <v>0.5</v>
      </c>
      <c r="C83" s="1">
        <v>70000</v>
      </c>
      <c r="D83" s="1">
        <f t="shared" si="1"/>
        <v>35000</v>
      </c>
    </row>
    <row r="84" spans="1:4" x14ac:dyDescent="0.3">
      <c r="A84" s="1" t="s">
        <v>71</v>
      </c>
      <c r="B84" s="1">
        <v>4</v>
      </c>
      <c r="C84" s="1">
        <v>21500</v>
      </c>
      <c r="D84" s="1">
        <f t="shared" si="1"/>
        <v>86000</v>
      </c>
    </row>
    <row r="85" spans="1:4" hidden="1" x14ac:dyDescent="0.3">
      <c r="A85" s="1" t="s">
        <v>72</v>
      </c>
      <c r="B85" s="1"/>
      <c r="C85" s="1"/>
      <c r="D85" s="1">
        <f t="shared" si="1"/>
        <v>0</v>
      </c>
    </row>
    <row r="86" spans="1:4" hidden="1" x14ac:dyDescent="0.3">
      <c r="A86" s="1" t="s">
        <v>73</v>
      </c>
      <c r="B86" s="1"/>
      <c r="C86" s="1"/>
      <c r="D86" s="1">
        <f t="shared" si="1"/>
        <v>0</v>
      </c>
    </row>
    <row r="87" spans="1:4" hidden="1" x14ac:dyDescent="0.3">
      <c r="A87" s="1" t="s">
        <v>73</v>
      </c>
      <c r="B87" s="1"/>
      <c r="C87" s="1"/>
      <c r="D87" s="1">
        <f t="shared" si="1"/>
        <v>0</v>
      </c>
    </row>
    <row r="88" spans="1:4" x14ac:dyDescent="0.3">
      <c r="A88" s="1" t="s">
        <v>74</v>
      </c>
      <c r="B88" s="1">
        <v>3</v>
      </c>
      <c r="C88" s="1">
        <v>9000</v>
      </c>
      <c r="D88" s="1">
        <f t="shared" si="1"/>
        <v>27000</v>
      </c>
    </row>
    <row r="89" spans="1:4" hidden="1" x14ac:dyDescent="0.3">
      <c r="A89" s="1" t="s">
        <v>29</v>
      </c>
      <c r="B89" s="1"/>
      <c r="C89" s="1"/>
      <c r="D89" s="1">
        <f t="shared" si="1"/>
        <v>0</v>
      </c>
    </row>
    <row r="90" spans="1:4" hidden="1" x14ac:dyDescent="0.3">
      <c r="A90" s="1" t="s">
        <v>29</v>
      </c>
      <c r="B90" s="1"/>
      <c r="C90" s="1"/>
      <c r="D90" s="1">
        <f t="shared" si="1"/>
        <v>0</v>
      </c>
    </row>
    <row r="91" spans="1:4" hidden="1" x14ac:dyDescent="0.3">
      <c r="A91" s="1" t="s">
        <v>93</v>
      </c>
      <c r="B91" s="1"/>
      <c r="C91" s="1"/>
      <c r="D91" s="1">
        <f t="shared" si="1"/>
        <v>0</v>
      </c>
    </row>
    <row r="92" spans="1:4" hidden="1" x14ac:dyDescent="0.3">
      <c r="A92" s="1" t="s">
        <v>96</v>
      </c>
      <c r="B92" s="1"/>
      <c r="C92" s="1"/>
      <c r="D92" s="1">
        <f t="shared" si="1"/>
        <v>0</v>
      </c>
    </row>
    <row r="93" spans="1:4" hidden="1" x14ac:dyDescent="0.3">
      <c r="A93" s="1" t="s">
        <v>118</v>
      </c>
      <c r="B93" s="1"/>
      <c r="C93" s="1"/>
      <c r="D93" s="1">
        <f t="shared" si="1"/>
        <v>0</v>
      </c>
    </row>
    <row r="94" spans="1:4" hidden="1" x14ac:dyDescent="0.3">
      <c r="A94" s="1" t="s">
        <v>527</v>
      </c>
      <c r="B94" s="1"/>
      <c r="C94" s="1"/>
      <c r="D94" s="1">
        <f t="shared" si="1"/>
        <v>0</v>
      </c>
    </row>
    <row r="95" spans="1:4" hidden="1" x14ac:dyDescent="0.3">
      <c r="A95" s="1" t="s">
        <v>34</v>
      </c>
      <c r="B95" s="1"/>
      <c r="C95" s="1"/>
      <c r="D95" s="1">
        <f t="shared" si="1"/>
        <v>0</v>
      </c>
    </row>
    <row r="96" spans="1:4" hidden="1" x14ac:dyDescent="0.3">
      <c r="A96" s="1" t="s">
        <v>30</v>
      </c>
      <c r="B96" s="1"/>
      <c r="C96" s="1"/>
      <c r="D96" s="1">
        <f t="shared" si="1"/>
        <v>0</v>
      </c>
    </row>
    <row r="97" spans="1:4" hidden="1" x14ac:dyDescent="0.3">
      <c r="A97" s="1" t="s">
        <v>31</v>
      </c>
      <c r="B97" s="1"/>
      <c r="C97" s="1"/>
      <c r="D97" s="1">
        <f t="shared" si="1"/>
        <v>0</v>
      </c>
    </row>
    <row r="98" spans="1:4" hidden="1" x14ac:dyDescent="0.3">
      <c r="A98" s="1" t="s">
        <v>32</v>
      </c>
      <c r="B98" s="1"/>
      <c r="C98" s="1"/>
      <c r="D98" s="1">
        <f t="shared" si="1"/>
        <v>0</v>
      </c>
    </row>
    <row r="99" spans="1:4" hidden="1" x14ac:dyDescent="0.3">
      <c r="A99" s="1" t="s">
        <v>33</v>
      </c>
      <c r="B99" s="1"/>
      <c r="C99" s="1"/>
      <c r="D99" s="1">
        <f t="shared" si="1"/>
        <v>0</v>
      </c>
    </row>
    <row r="100" spans="1:4" hidden="1" x14ac:dyDescent="0.3">
      <c r="A100" s="1" t="s">
        <v>35</v>
      </c>
      <c r="B100" s="1"/>
      <c r="C100" s="1"/>
      <c r="D100" s="1">
        <f t="shared" si="1"/>
        <v>0</v>
      </c>
    </row>
    <row r="101" spans="1:4" hidden="1" x14ac:dyDescent="0.3">
      <c r="A101" s="1" t="s">
        <v>35</v>
      </c>
      <c r="B101" s="1"/>
      <c r="C101" s="1"/>
      <c r="D101" s="1">
        <f t="shared" si="1"/>
        <v>0</v>
      </c>
    </row>
    <row r="102" spans="1:4" hidden="1" x14ac:dyDescent="0.3">
      <c r="A102" s="1" t="s">
        <v>94</v>
      </c>
      <c r="B102" s="1"/>
      <c r="C102" s="1"/>
      <c r="D102" s="1">
        <f t="shared" si="1"/>
        <v>0</v>
      </c>
    </row>
    <row r="103" spans="1:4" hidden="1" x14ac:dyDescent="0.3">
      <c r="A103" s="1" t="s">
        <v>101</v>
      </c>
      <c r="B103" s="1"/>
      <c r="C103" s="1"/>
      <c r="D103" s="1">
        <f t="shared" si="1"/>
        <v>0</v>
      </c>
    </row>
    <row r="104" spans="1:4" hidden="1" x14ac:dyDescent="0.3">
      <c r="A104" s="1" t="s">
        <v>97</v>
      </c>
      <c r="B104" s="1"/>
      <c r="C104" s="1"/>
      <c r="D104" s="1">
        <f t="shared" si="1"/>
        <v>0</v>
      </c>
    </row>
    <row r="105" spans="1:4" hidden="1" x14ac:dyDescent="0.3">
      <c r="A105" s="1" t="s">
        <v>75</v>
      </c>
      <c r="B105" s="1"/>
      <c r="C105" s="1"/>
      <c r="D105" s="1">
        <f t="shared" si="1"/>
        <v>0</v>
      </c>
    </row>
    <row r="106" spans="1:4" hidden="1" x14ac:dyDescent="0.3">
      <c r="A106" s="1" t="s">
        <v>75</v>
      </c>
      <c r="B106" s="1"/>
      <c r="C106" s="1"/>
      <c r="D106" s="1">
        <f t="shared" si="1"/>
        <v>0</v>
      </c>
    </row>
    <row r="107" spans="1:4" x14ac:dyDescent="0.3">
      <c r="A107" s="1" t="s">
        <v>76</v>
      </c>
      <c r="B107" s="1">
        <v>218</v>
      </c>
      <c r="C107" s="1">
        <v>25000</v>
      </c>
      <c r="D107" s="1">
        <f t="shared" si="1"/>
        <v>5450000</v>
      </c>
    </row>
    <row r="108" spans="1:4" hidden="1" x14ac:dyDescent="0.3">
      <c r="A108" s="1" t="s">
        <v>76</v>
      </c>
      <c r="B108" s="1"/>
      <c r="C108" s="1"/>
      <c r="D108" s="1">
        <f t="shared" si="1"/>
        <v>0</v>
      </c>
    </row>
    <row r="109" spans="1:4" x14ac:dyDescent="0.3">
      <c r="A109" s="1" t="s">
        <v>78</v>
      </c>
      <c r="B109" s="1">
        <v>98</v>
      </c>
      <c r="C109" s="1">
        <v>18000</v>
      </c>
      <c r="D109" s="1">
        <f t="shared" si="1"/>
        <v>1764000</v>
      </c>
    </row>
    <row r="110" spans="1:4" hidden="1" x14ac:dyDescent="0.3">
      <c r="A110" s="1" t="s">
        <v>78</v>
      </c>
      <c r="B110" s="1"/>
      <c r="C110" s="1"/>
      <c r="D110" s="1">
        <f t="shared" si="1"/>
        <v>0</v>
      </c>
    </row>
    <row r="111" spans="1:4" x14ac:dyDescent="0.3">
      <c r="A111" s="1" t="s">
        <v>79</v>
      </c>
      <c r="B111" s="1">
        <v>107</v>
      </c>
      <c r="C111" s="1">
        <v>20000</v>
      </c>
      <c r="D111" s="1">
        <f t="shared" si="1"/>
        <v>2140000</v>
      </c>
    </row>
    <row r="112" spans="1:4" hidden="1" x14ac:dyDescent="0.3">
      <c r="A112" s="1" t="s">
        <v>79</v>
      </c>
      <c r="B112" s="1"/>
      <c r="C112" s="1"/>
      <c r="D112" s="1">
        <f t="shared" si="1"/>
        <v>0</v>
      </c>
    </row>
    <row r="113" spans="1:4" hidden="1" x14ac:dyDescent="0.3">
      <c r="A113" s="1" t="s">
        <v>107</v>
      </c>
      <c r="B113" s="1"/>
      <c r="C113" s="1"/>
      <c r="D113" s="1">
        <f t="shared" si="1"/>
        <v>0</v>
      </c>
    </row>
    <row r="114" spans="1:4" x14ac:dyDescent="0.3">
      <c r="A114" s="1" t="s">
        <v>80</v>
      </c>
      <c r="B114" s="1">
        <v>39</v>
      </c>
      <c r="C114" s="1">
        <v>15000</v>
      </c>
      <c r="D114" s="1">
        <f t="shared" si="1"/>
        <v>585000</v>
      </c>
    </row>
    <row r="115" spans="1:4" hidden="1" x14ac:dyDescent="0.3">
      <c r="A115" s="1" t="s">
        <v>36</v>
      </c>
      <c r="B115" s="1"/>
      <c r="C115" s="1"/>
      <c r="D115" s="1">
        <f t="shared" si="1"/>
        <v>0</v>
      </c>
    </row>
    <row r="116" spans="1:4" hidden="1" x14ac:dyDescent="0.3">
      <c r="A116" s="1" t="s">
        <v>537</v>
      </c>
      <c r="B116" s="1"/>
      <c r="C116" s="1"/>
      <c r="D116" s="1">
        <f t="shared" si="1"/>
        <v>0</v>
      </c>
    </row>
    <row r="117" spans="1:4" hidden="1" x14ac:dyDescent="0.3">
      <c r="A117" s="1" t="s">
        <v>81</v>
      </c>
      <c r="B117" s="1"/>
      <c r="C117" s="1"/>
      <c r="D117" s="1">
        <f t="shared" si="1"/>
        <v>0</v>
      </c>
    </row>
    <row r="118" spans="1:4" hidden="1" x14ac:dyDescent="0.3">
      <c r="A118" s="1" t="s">
        <v>85</v>
      </c>
      <c r="B118" s="1"/>
      <c r="C118" s="1"/>
      <c r="D118" s="1">
        <f t="shared" si="1"/>
        <v>0</v>
      </c>
    </row>
    <row r="119" spans="1:4" hidden="1" x14ac:dyDescent="0.3">
      <c r="A119" s="1" t="s">
        <v>88</v>
      </c>
      <c r="B119" s="1"/>
      <c r="C119" s="1"/>
      <c r="D119" s="1">
        <f t="shared" si="1"/>
        <v>0</v>
      </c>
    </row>
    <row r="120" spans="1:4" hidden="1" x14ac:dyDescent="0.3">
      <c r="A120" s="1" t="s">
        <v>95</v>
      </c>
      <c r="B120" s="1"/>
      <c r="C120" s="1"/>
      <c r="D120" s="1">
        <f t="shared" si="1"/>
        <v>0</v>
      </c>
    </row>
    <row r="121" spans="1:4" x14ac:dyDescent="0.3">
      <c r="A121" s="1" t="s">
        <v>82</v>
      </c>
      <c r="B121" s="1">
        <v>10</v>
      </c>
      <c r="C121" s="1">
        <v>5000</v>
      </c>
      <c r="D121" s="1">
        <f t="shared" si="1"/>
        <v>50000</v>
      </c>
    </row>
    <row r="122" spans="1:4" hidden="1" x14ac:dyDescent="0.3">
      <c r="A122" s="1" t="s">
        <v>112</v>
      </c>
      <c r="B122" s="1"/>
      <c r="C122" s="1"/>
      <c r="D122" s="1">
        <f t="shared" si="1"/>
        <v>0</v>
      </c>
    </row>
    <row r="123" spans="1:4" hidden="1" x14ac:dyDescent="0.3">
      <c r="A123" s="1" t="s">
        <v>37</v>
      </c>
      <c r="B123" s="1"/>
      <c r="C123" s="1"/>
      <c r="D123" s="1">
        <f t="shared" si="1"/>
        <v>0</v>
      </c>
    </row>
    <row r="124" spans="1:4" hidden="1" x14ac:dyDescent="0.3">
      <c r="A124" s="1" t="s">
        <v>38</v>
      </c>
      <c r="B124" s="1"/>
      <c r="C124" s="1"/>
      <c r="D124" s="1">
        <f t="shared" si="1"/>
        <v>0</v>
      </c>
    </row>
    <row r="125" spans="1:4" hidden="1" x14ac:dyDescent="0.3">
      <c r="A125" s="1" t="s">
        <v>39</v>
      </c>
      <c r="B125" s="1"/>
      <c r="C125" s="1"/>
      <c r="D125" s="1">
        <f t="shared" si="1"/>
        <v>0</v>
      </c>
    </row>
    <row r="126" spans="1:4" hidden="1" x14ac:dyDescent="0.3">
      <c r="A126" s="1" t="s">
        <v>47</v>
      </c>
      <c r="B126" s="1"/>
      <c r="C126" s="1"/>
      <c r="D126" s="1">
        <f t="shared" si="1"/>
        <v>0</v>
      </c>
    </row>
    <row r="127" spans="1:4" hidden="1" x14ac:dyDescent="0.3">
      <c r="A127" s="1" t="s">
        <v>40</v>
      </c>
      <c r="B127" s="1"/>
      <c r="C127" s="1"/>
      <c r="D127" s="1">
        <f t="shared" si="1"/>
        <v>0</v>
      </c>
    </row>
    <row r="128" spans="1:4" hidden="1" x14ac:dyDescent="0.3">
      <c r="A128" s="1" t="s">
        <v>41</v>
      </c>
      <c r="B128" s="1"/>
      <c r="C128" s="1"/>
      <c r="D128" s="1">
        <f t="shared" si="1"/>
        <v>0</v>
      </c>
    </row>
    <row r="129" spans="1:4" hidden="1" x14ac:dyDescent="0.3">
      <c r="A129" s="1" t="s">
        <v>42</v>
      </c>
      <c r="B129" s="1"/>
      <c r="C129" s="1"/>
      <c r="D129" s="1">
        <f t="shared" si="1"/>
        <v>0</v>
      </c>
    </row>
    <row r="130" spans="1:4" hidden="1" x14ac:dyDescent="0.3">
      <c r="A130" s="1" t="s">
        <v>43</v>
      </c>
      <c r="B130" s="1"/>
      <c r="C130" s="1"/>
      <c r="D130" s="1">
        <f t="shared" si="1"/>
        <v>0</v>
      </c>
    </row>
    <row r="131" spans="1:4" hidden="1" x14ac:dyDescent="0.3">
      <c r="A131" s="1" t="s">
        <v>43</v>
      </c>
      <c r="B131" s="1"/>
      <c r="C131" s="1"/>
      <c r="D131" s="1">
        <f t="shared" si="1"/>
        <v>0</v>
      </c>
    </row>
    <row r="132" spans="1:4" hidden="1" x14ac:dyDescent="0.3">
      <c r="A132" s="1" t="s">
        <v>44</v>
      </c>
      <c r="B132" s="1"/>
      <c r="C132" s="1"/>
      <c r="D132" s="1">
        <f t="shared" ref="D132:D183" si="2">B132*C132</f>
        <v>0</v>
      </c>
    </row>
    <row r="133" spans="1:4" hidden="1" x14ac:dyDescent="0.3">
      <c r="A133" s="1" t="s">
        <v>115</v>
      </c>
      <c r="B133" s="1"/>
      <c r="C133" s="1"/>
      <c r="D133" s="1">
        <f t="shared" si="2"/>
        <v>0</v>
      </c>
    </row>
    <row r="134" spans="1:4" hidden="1" x14ac:dyDescent="0.3">
      <c r="A134" s="1" t="s">
        <v>45</v>
      </c>
      <c r="B134" s="1"/>
      <c r="C134" s="1"/>
      <c r="D134" s="1">
        <f t="shared" si="2"/>
        <v>0</v>
      </c>
    </row>
    <row r="135" spans="1:4" hidden="1" x14ac:dyDescent="0.3">
      <c r="A135" s="1" t="s">
        <v>46</v>
      </c>
      <c r="B135" s="1"/>
      <c r="C135" s="1"/>
      <c r="D135" s="1">
        <f t="shared" si="2"/>
        <v>0</v>
      </c>
    </row>
    <row r="136" spans="1:4" hidden="1" x14ac:dyDescent="0.3">
      <c r="A136" s="1" t="e">
        <v>#N/A</v>
      </c>
      <c r="B136" s="1"/>
      <c r="C136" s="1"/>
      <c r="D136" s="1">
        <f t="shared" si="2"/>
        <v>0</v>
      </c>
    </row>
    <row r="137" spans="1:4" hidden="1" x14ac:dyDescent="0.3">
      <c r="D137" s="1">
        <f t="shared" si="2"/>
        <v>0</v>
      </c>
    </row>
    <row r="138" spans="1:4" x14ac:dyDescent="0.3">
      <c r="D138" s="1">
        <f>SUM(D4:D121)</f>
        <v>64238500</v>
      </c>
    </row>
    <row r="139" spans="1:4" x14ac:dyDescent="0.3">
      <c r="D139" s="1"/>
    </row>
    <row r="140" spans="1:4" ht="31.2" x14ac:dyDescent="0.3">
      <c r="A140" s="48" t="s">
        <v>0</v>
      </c>
      <c r="B140" s="49" t="s">
        <v>544</v>
      </c>
      <c r="C140" s="50" t="s">
        <v>128</v>
      </c>
      <c r="D140" s="2" t="s">
        <v>129</v>
      </c>
    </row>
    <row r="141" spans="1:4" ht="15.6" hidden="1" x14ac:dyDescent="0.3">
      <c r="A141" s="51" t="s">
        <v>1</v>
      </c>
      <c r="B141" s="52"/>
      <c r="C141" s="53"/>
      <c r="D141" s="1">
        <f t="shared" si="2"/>
        <v>0</v>
      </c>
    </row>
    <row r="142" spans="1:4" ht="15.6" hidden="1" x14ac:dyDescent="0.3">
      <c r="A142" s="51" t="s">
        <v>5</v>
      </c>
      <c r="B142" s="52"/>
      <c r="C142" s="53"/>
      <c r="D142" s="1">
        <f t="shared" si="2"/>
        <v>0</v>
      </c>
    </row>
    <row r="143" spans="1:4" ht="15.6" x14ac:dyDescent="0.3">
      <c r="A143" s="51" t="s">
        <v>6</v>
      </c>
      <c r="B143" s="52">
        <v>65</v>
      </c>
      <c r="C143" s="53">
        <v>16000</v>
      </c>
      <c r="D143" s="1">
        <f t="shared" si="2"/>
        <v>1040000</v>
      </c>
    </row>
    <row r="144" spans="1:4" ht="15.6" x14ac:dyDescent="0.3">
      <c r="A144" s="51" t="s">
        <v>8</v>
      </c>
      <c r="B144" s="52">
        <v>125</v>
      </c>
      <c r="C144" s="53">
        <v>24000</v>
      </c>
      <c r="D144" s="1">
        <f t="shared" si="2"/>
        <v>3000000</v>
      </c>
    </row>
    <row r="145" spans="1:4" ht="15.6" hidden="1" x14ac:dyDescent="0.3">
      <c r="A145" s="51" t="s">
        <v>119</v>
      </c>
      <c r="B145" s="52"/>
      <c r="C145" s="53"/>
      <c r="D145" s="1">
        <f t="shared" si="2"/>
        <v>0</v>
      </c>
    </row>
    <row r="146" spans="1:4" ht="15.6" hidden="1" x14ac:dyDescent="0.3">
      <c r="A146" s="51" t="s">
        <v>12</v>
      </c>
      <c r="B146" s="52"/>
      <c r="C146" s="53"/>
      <c r="D146" s="1">
        <f t="shared" si="2"/>
        <v>0</v>
      </c>
    </row>
    <row r="147" spans="1:4" ht="15.6" hidden="1" x14ac:dyDescent="0.3">
      <c r="A147" s="51" t="s">
        <v>14</v>
      </c>
      <c r="B147" s="52"/>
      <c r="C147" s="53"/>
      <c r="D147" s="1">
        <f t="shared" si="2"/>
        <v>0</v>
      </c>
    </row>
    <row r="148" spans="1:4" ht="15.6" hidden="1" x14ac:dyDescent="0.3">
      <c r="A148" s="51" t="s">
        <v>15</v>
      </c>
      <c r="B148" s="52"/>
      <c r="C148" s="53"/>
      <c r="D148" s="1">
        <f t="shared" si="2"/>
        <v>0</v>
      </c>
    </row>
    <row r="149" spans="1:4" ht="15.6" hidden="1" x14ac:dyDescent="0.3">
      <c r="A149" s="51" t="s">
        <v>16</v>
      </c>
      <c r="B149" s="52"/>
      <c r="C149" s="53"/>
      <c r="D149" s="1">
        <f t="shared" si="2"/>
        <v>0</v>
      </c>
    </row>
    <row r="150" spans="1:4" ht="15.6" hidden="1" x14ac:dyDescent="0.3">
      <c r="A150" s="51" t="s">
        <v>110</v>
      </c>
      <c r="B150" s="52"/>
      <c r="C150" s="53"/>
      <c r="D150" s="1">
        <f t="shared" si="2"/>
        <v>0</v>
      </c>
    </row>
    <row r="151" spans="1:4" ht="15.6" hidden="1" x14ac:dyDescent="0.3">
      <c r="A151" s="51" t="s">
        <v>17</v>
      </c>
      <c r="B151" s="52"/>
      <c r="C151" s="53"/>
      <c r="D151" s="1">
        <f t="shared" si="2"/>
        <v>0</v>
      </c>
    </row>
    <row r="152" spans="1:4" ht="15.6" hidden="1" x14ac:dyDescent="0.3">
      <c r="A152" s="51" t="s">
        <v>21</v>
      </c>
      <c r="B152" s="52"/>
      <c r="C152" s="53"/>
      <c r="D152" s="1">
        <f t="shared" si="2"/>
        <v>0</v>
      </c>
    </row>
    <row r="153" spans="1:4" ht="15.6" x14ac:dyDescent="0.3">
      <c r="A153" s="51" t="s">
        <v>22</v>
      </c>
      <c r="B153" s="52">
        <v>150</v>
      </c>
      <c r="C153" s="53">
        <v>9000</v>
      </c>
      <c r="D153" s="1">
        <f t="shared" si="2"/>
        <v>1350000</v>
      </c>
    </row>
    <row r="154" spans="1:4" ht="15.6" x14ac:dyDescent="0.3">
      <c r="A154" s="51" t="s">
        <v>23</v>
      </c>
      <c r="B154" s="52">
        <v>1270</v>
      </c>
      <c r="C154" s="53">
        <v>5500</v>
      </c>
      <c r="D154" s="1">
        <f t="shared" si="2"/>
        <v>6985000</v>
      </c>
    </row>
    <row r="155" spans="1:4" ht="15.6" hidden="1" x14ac:dyDescent="0.3">
      <c r="A155" s="51" t="s">
        <v>27</v>
      </c>
      <c r="B155" s="52"/>
      <c r="C155" s="53"/>
      <c r="D155" s="1">
        <f t="shared" si="2"/>
        <v>0</v>
      </c>
    </row>
    <row r="156" spans="1:4" ht="15.6" hidden="1" x14ac:dyDescent="0.3">
      <c r="A156" s="51" t="s">
        <v>28</v>
      </c>
      <c r="B156" s="52"/>
      <c r="C156" s="53"/>
      <c r="D156" s="1">
        <f t="shared" si="2"/>
        <v>0</v>
      </c>
    </row>
    <row r="157" spans="1:4" ht="15.6" hidden="1" x14ac:dyDescent="0.3">
      <c r="A157" s="51" t="s">
        <v>29</v>
      </c>
      <c r="B157" s="52"/>
      <c r="C157" s="53"/>
      <c r="D157" s="1">
        <f t="shared" si="2"/>
        <v>0</v>
      </c>
    </row>
    <row r="158" spans="1:4" ht="15.6" hidden="1" x14ac:dyDescent="0.3">
      <c r="A158" s="51" t="s">
        <v>39</v>
      </c>
      <c r="B158" s="52"/>
      <c r="C158" s="53"/>
      <c r="D158" s="1">
        <f t="shared" si="2"/>
        <v>0</v>
      </c>
    </row>
    <row r="159" spans="1:4" ht="15.6" hidden="1" x14ac:dyDescent="0.3">
      <c r="A159" s="51" t="s">
        <v>41</v>
      </c>
      <c r="B159" s="52"/>
      <c r="C159" s="53"/>
      <c r="D159" s="1">
        <f t="shared" si="2"/>
        <v>0</v>
      </c>
    </row>
    <row r="160" spans="1:4" ht="15.6" hidden="1" x14ac:dyDescent="0.3">
      <c r="A160" s="51" t="s">
        <v>46</v>
      </c>
      <c r="B160" s="52"/>
      <c r="C160" s="53"/>
      <c r="D160" s="1">
        <f t="shared" si="2"/>
        <v>0</v>
      </c>
    </row>
    <row r="161" spans="1:4" ht="15.6" x14ac:dyDescent="0.3">
      <c r="A161" s="51" t="s">
        <v>48</v>
      </c>
      <c r="B161" s="52">
        <v>45</v>
      </c>
      <c r="C161" s="53">
        <v>10000</v>
      </c>
      <c r="D161" s="1">
        <f t="shared" si="2"/>
        <v>450000</v>
      </c>
    </row>
    <row r="162" spans="1:4" ht="15.6" x14ac:dyDescent="0.3">
      <c r="A162" s="51" t="s">
        <v>50</v>
      </c>
      <c r="B162" s="52">
        <v>850</v>
      </c>
      <c r="C162" s="53">
        <v>6000</v>
      </c>
      <c r="D162" s="1">
        <f t="shared" si="2"/>
        <v>5100000</v>
      </c>
    </row>
    <row r="163" spans="1:4" ht="15.6" hidden="1" x14ac:dyDescent="0.3">
      <c r="A163" s="51" t="s">
        <v>51</v>
      </c>
      <c r="B163" s="52"/>
      <c r="C163" s="53"/>
      <c r="D163" s="1">
        <f t="shared" si="2"/>
        <v>0</v>
      </c>
    </row>
    <row r="164" spans="1:4" ht="15.6" hidden="1" x14ac:dyDescent="0.3">
      <c r="A164" s="51" t="s">
        <v>53</v>
      </c>
      <c r="B164" s="52"/>
      <c r="C164" s="53"/>
      <c r="D164" s="1">
        <f t="shared" si="2"/>
        <v>0</v>
      </c>
    </row>
    <row r="165" spans="1:4" ht="15.6" hidden="1" x14ac:dyDescent="0.3">
      <c r="A165" s="51" t="s">
        <v>56</v>
      </c>
      <c r="B165" s="52"/>
      <c r="C165" s="53"/>
      <c r="D165" s="1">
        <f t="shared" si="2"/>
        <v>0</v>
      </c>
    </row>
    <row r="166" spans="1:4" ht="15.6" x14ac:dyDescent="0.3">
      <c r="A166" s="51" t="s">
        <v>60</v>
      </c>
      <c r="B166" s="52">
        <v>400</v>
      </c>
      <c r="C166" s="53">
        <v>15000</v>
      </c>
      <c r="D166" s="1">
        <f t="shared" si="2"/>
        <v>6000000</v>
      </c>
    </row>
    <row r="167" spans="1:4" ht="15.6" hidden="1" x14ac:dyDescent="0.3">
      <c r="A167" s="51" t="s">
        <v>62</v>
      </c>
      <c r="B167" s="52"/>
      <c r="C167" s="53"/>
      <c r="D167" s="1">
        <f t="shared" si="2"/>
        <v>0</v>
      </c>
    </row>
    <row r="168" spans="1:4" ht="15.6" hidden="1" x14ac:dyDescent="0.3">
      <c r="A168" s="51" t="s">
        <v>67</v>
      </c>
      <c r="B168" s="52"/>
      <c r="C168" s="53"/>
      <c r="D168" s="1">
        <f t="shared" si="2"/>
        <v>0</v>
      </c>
    </row>
    <row r="169" spans="1:4" ht="15.6" hidden="1" x14ac:dyDescent="0.3">
      <c r="A169" s="51" t="s">
        <v>68</v>
      </c>
      <c r="B169" s="52"/>
      <c r="C169" s="53"/>
      <c r="D169" s="1">
        <f t="shared" si="2"/>
        <v>0</v>
      </c>
    </row>
    <row r="170" spans="1:4" ht="15.6" hidden="1" x14ac:dyDescent="0.3">
      <c r="A170" s="51" t="s">
        <v>72</v>
      </c>
      <c r="B170" s="52"/>
      <c r="C170" s="53"/>
      <c r="D170" s="1">
        <f t="shared" si="2"/>
        <v>0</v>
      </c>
    </row>
    <row r="171" spans="1:4" ht="15.6" hidden="1" x14ac:dyDescent="0.3">
      <c r="A171" s="51" t="s">
        <v>76</v>
      </c>
      <c r="B171" s="52"/>
      <c r="C171" s="53"/>
      <c r="D171" s="1">
        <f t="shared" si="2"/>
        <v>0</v>
      </c>
    </row>
    <row r="172" spans="1:4" ht="15.6" hidden="1" x14ac:dyDescent="0.3">
      <c r="A172" s="51" t="s">
        <v>78</v>
      </c>
      <c r="B172" s="52"/>
      <c r="C172" s="53"/>
      <c r="D172" s="1">
        <f t="shared" si="2"/>
        <v>0</v>
      </c>
    </row>
    <row r="173" spans="1:4" ht="15.6" hidden="1" x14ac:dyDescent="0.3">
      <c r="A173" s="51" t="s">
        <v>79</v>
      </c>
      <c r="B173" s="52"/>
      <c r="C173" s="53"/>
      <c r="D173" s="1">
        <f t="shared" si="2"/>
        <v>0</v>
      </c>
    </row>
    <row r="174" spans="1:4" ht="15.6" hidden="1" x14ac:dyDescent="0.3">
      <c r="A174" s="51" t="s">
        <v>82</v>
      </c>
      <c r="B174" s="52"/>
      <c r="C174" s="53"/>
      <c r="D174" s="1">
        <f t="shared" si="2"/>
        <v>0</v>
      </c>
    </row>
    <row r="175" spans="1:4" ht="15.6" hidden="1" x14ac:dyDescent="0.3">
      <c r="A175" s="51" t="s">
        <v>87</v>
      </c>
      <c r="B175" s="52"/>
      <c r="C175" s="53"/>
      <c r="D175" s="1">
        <f t="shared" si="2"/>
        <v>0</v>
      </c>
    </row>
    <row r="176" spans="1:4" ht="15.6" hidden="1" x14ac:dyDescent="0.3">
      <c r="A176" s="51" t="s">
        <v>120</v>
      </c>
      <c r="B176" s="52"/>
      <c r="C176" s="53"/>
      <c r="D176" s="1">
        <f t="shared" si="2"/>
        <v>0</v>
      </c>
    </row>
    <row r="177" spans="1:4" ht="15.6" hidden="1" x14ac:dyDescent="0.3">
      <c r="A177" s="51" t="s">
        <v>109</v>
      </c>
      <c r="B177" s="52"/>
      <c r="C177" s="53"/>
      <c r="D177" s="1">
        <f t="shared" si="2"/>
        <v>0</v>
      </c>
    </row>
    <row r="178" spans="1:4" ht="15.6" hidden="1" x14ac:dyDescent="0.3">
      <c r="A178" s="51" t="s">
        <v>121</v>
      </c>
      <c r="B178" s="52"/>
      <c r="C178" s="53"/>
      <c r="D178" s="1">
        <f t="shared" si="2"/>
        <v>0</v>
      </c>
    </row>
    <row r="179" spans="1:4" ht="15.6" hidden="1" x14ac:dyDescent="0.3">
      <c r="A179" s="51" t="s">
        <v>111</v>
      </c>
      <c r="B179" s="52"/>
      <c r="C179" s="53"/>
      <c r="D179" s="1">
        <f t="shared" si="2"/>
        <v>0</v>
      </c>
    </row>
    <row r="180" spans="1:4" ht="15.6" x14ac:dyDescent="0.3">
      <c r="A180" s="51" t="s">
        <v>122</v>
      </c>
      <c r="B180" s="52">
        <v>38</v>
      </c>
      <c r="C180" s="53">
        <v>48000</v>
      </c>
      <c r="D180" s="1">
        <f t="shared" si="2"/>
        <v>1824000</v>
      </c>
    </row>
    <row r="181" spans="1:4" ht="15.6" hidden="1" x14ac:dyDescent="0.3">
      <c r="A181" s="51" t="s">
        <v>92</v>
      </c>
      <c r="B181" s="52"/>
      <c r="C181" s="53"/>
      <c r="D181" s="1">
        <f t="shared" si="2"/>
        <v>0</v>
      </c>
    </row>
    <row r="182" spans="1:4" ht="15.6" hidden="1" x14ac:dyDescent="0.3">
      <c r="A182" s="51" t="s">
        <v>123</v>
      </c>
      <c r="B182" s="52"/>
      <c r="C182" s="53"/>
      <c r="D182" s="1">
        <f t="shared" si="2"/>
        <v>0</v>
      </c>
    </row>
    <row r="183" spans="1:4" ht="15.6" hidden="1" x14ac:dyDescent="0.3">
      <c r="A183" s="51" t="s">
        <v>125</v>
      </c>
      <c r="B183" s="52"/>
      <c r="C183" s="53"/>
      <c r="D183" s="1">
        <f t="shared" si="2"/>
        <v>0</v>
      </c>
    </row>
    <row r="184" spans="1:4" ht="15.6" hidden="1" x14ac:dyDescent="0.3">
      <c r="A184" s="51" t="e">
        <v>#N/A</v>
      </c>
      <c r="B184" s="52"/>
      <c r="C184" s="53"/>
      <c r="D184" s="1">
        <v>6314</v>
      </c>
    </row>
    <row r="185" spans="1:4" x14ac:dyDescent="0.3">
      <c r="D185" s="3">
        <f>SUM(D143:D180)</f>
        <v>25749000</v>
      </c>
    </row>
  </sheetData>
  <autoFilter ref="A2:E184" xr:uid="{00000000-0009-0000-0000-000007000000}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3:D204"/>
  <sheetViews>
    <sheetView workbookViewId="0">
      <selection activeCell="F26" sqref="F26"/>
    </sheetView>
  </sheetViews>
  <sheetFormatPr defaultRowHeight="14.4" x14ac:dyDescent="0.3"/>
  <cols>
    <col min="1" max="1" width="34.6640625" customWidth="1"/>
    <col min="3" max="3" width="14.44140625" customWidth="1"/>
    <col min="4" max="4" width="17.5546875" customWidth="1"/>
  </cols>
  <sheetData>
    <row r="3" spans="1:4" x14ac:dyDescent="0.3">
      <c r="A3" s="59" t="s">
        <v>561</v>
      </c>
      <c r="B3" s="59"/>
      <c r="C3" s="59"/>
      <c r="D3" s="59"/>
    </row>
    <row r="4" spans="1:4" x14ac:dyDescent="0.3">
      <c r="A4" s="59" t="s">
        <v>0</v>
      </c>
      <c r="B4" s="59" t="s">
        <v>544</v>
      </c>
      <c r="C4" s="59" t="s">
        <v>128</v>
      </c>
      <c r="D4" s="59" t="s">
        <v>129</v>
      </c>
    </row>
    <row r="5" spans="1:4" x14ac:dyDescent="0.3">
      <c r="A5" t="s">
        <v>1</v>
      </c>
      <c r="B5">
        <v>91</v>
      </c>
      <c r="C5">
        <v>16000</v>
      </c>
      <c r="D5">
        <f>SUM(B5*C5)</f>
        <v>1456000</v>
      </c>
    </row>
    <row r="6" spans="1:4" hidden="1" x14ac:dyDescent="0.3">
      <c r="A6" t="s">
        <v>1</v>
      </c>
      <c r="D6">
        <f t="shared" ref="D6:D69" si="0">SUM(B6*C6)</f>
        <v>0</v>
      </c>
    </row>
    <row r="7" spans="1:4" hidden="1" x14ac:dyDescent="0.3">
      <c r="A7" t="s">
        <v>2</v>
      </c>
      <c r="D7">
        <f t="shared" si="0"/>
        <v>0</v>
      </c>
    </row>
    <row r="8" spans="1:4" hidden="1" x14ac:dyDescent="0.3">
      <c r="A8" t="s">
        <v>3</v>
      </c>
      <c r="D8">
        <f t="shared" si="0"/>
        <v>0</v>
      </c>
    </row>
    <row r="9" spans="1:4" hidden="1" x14ac:dyDescent="0.3">
      <c r="A9" t="s">
        <v>4</v>
      </c>
      <c r="D9">
        <f t="shared" si="0"/>
        <v>0</v>
      </c>
    </row>
    <row r="10" spans="1:4" hidden="1" x14ac:dyDescent="0.3">
      <c r="A10" t="s">
        <v>5</v>
      </c>
      <c r="D10">
        <f t="shared" si="0"/>
        <v>0</v>
      </c>
    </row>
    <row r="11" spans="1:4" x14ac:dyDescent="0.3">
      <c r="A11" t="s">
        <v>6</v>
      </c>
      <c r="B11">
        <v>100</v>
      </c>
      <c r="C11">
        <v>16000</v>
      </c>
      <c r="D11">
        <f t="shared" si="0"/>
        <v>1600000</v>
      </c>
    </row>
    <row r="12" spans="1:4" hidden="1" x14ac:dyDescent="0.3">
      <c r="A12" t="s">
        <v>6</v>
      </c>
      <c r="D12">
        <f t="shared" si="0"/>
        <v>0</v>
      </c>
    </row>
    <row r="13" spans="1:4" hidden="1" x14ac:dyDescent="0.3">
      <c r="A13" t="s">
        <v>7</v>
      </c>
      <c r="D13">
        <f t="shared" si="0"/>
        <v>0</v>
      </c>
    </row>
    <row r="14" spans="1:4" x14ac:dyDescent="0.3">
      <c r="A14" t="s">
        <v>8</v>
      </c>
      <c r="B14">
        <v>250</v>
      </c>
      <c r="C14">
        <v>24000</v>
      </c>
      <c r="D14">
        <f t="shared" si="0"/>
        <v>6000000</v>
      </c>
    </row>
    <row r="15" spans="1:4" hidden="1" x14ac:dyDescent="0.3">
      <c r="A15" t="s">
        <v>9</v>
      </c>
      <c r="D15">
        <f t="shared" si="0"/>
        <v>0</v>
      </c>
    </row>
    <row r="16" spans="1:4" hidden="1" x14ac:dyDescent="0.3">
      <c r="A16" t="s">
        <v>9</v>
      </c>
      <c r="D16">
        <f t="shared" si="0"/>
        <v>0</v>
      </c>
    </row>
    <row r="17" spans="1:4" x14ac:dyDescent="0.3">
      <c r="A17" t="s">
        <v>10</v>
      </c>
      <c r="B17">
        <v>60</v>
      </c>
      <c r="C17">
        <v>6000</v>
      </c>
      <c r="D17">
        <f t="shared" si="0"/>
        <v>360000</v>
      </c>
    </row>
    <row r="18" spans="1:4" hidden="1" x14ac:dyDescent="0.3">
      <c r="A18" t="s">
        <v>119</v>
      </c>
      <c r="D18">
        <f t="shared" si="0"/>
        <v>0</v>
      </c>
    </row>
    <row r="19" spans="1:4" hidden="1" x14ac:dyDescent="0.3">
      <c r="A19" t="s">
        <v>119</v>
      </c>
      <c r="D19">
        <f t="shared" si="0"/>
        <v>0</v>
      </c>
    </row>
    <row r="20" spans="1:4" x14ac:dyDescent="0.3">
      <c r="A20" t="s">
        <v>12</v>
      </c>
      <c r="B20">
        <v>60</v>
      </c>
      <c r="C20">
        <v>25000</v>
      </c>
      <c r="D20">
        <f t="shared" si="0"/>
        <v>1500000</v>
      </c>
    </row>
    <row r="21" spans="1:4" hidden="1" x14ac:dyDescent="0.3">
      <c r="A21" t="s">
        <v>12</v>
      </c>
      <c r="D21">
        <f t="shared" si="0"/>
        <v>0</v>
      </c>
    </row>
    <row r="22" spans="1:4" hidden="1" x14ac:dyDescent="0.3">
      <c r="A22" t="s">
        <v>13</v>
      </c>
      <c r="D22">
        <f t="shared" si="0"/>
        <v>0</v>
      </c>
    </row>
    <row r="23" spans="1:4" hidden="1" x14ac:dyDescent="0.3">
      <c r="A23" t="s">
        <v>14</v>
      </c>
      <c r="D23">
        <f t="shared" si="0"/>
        <v>0</v>
      </c>
    </row>
    <row r="24" spans="1:4" hidden="1" x14ac:dyDescent="0.3">
      <c r="A24" t="s">
        <v>15</v>
      </c>
      <c r="D24">
        <f t="shared" si="0"/>
        <v>0</v>
      </c>
    </row>
    <row r="25" spans="1:4" x14ac:dyDescent="0.3">
      <c r="A25" t="s">
        <v>15</v>
      </c>
      <c r="B25">
        <v>20</v>
      </c>
      <c r="C25">
        <v>16000</v>
      </c>
      <c r="D25">
        <f t="shared" si="0"/>
        <v>320000</v>
      </c>
    </row>
    <row r="26" spans="1:4" x14ac:dyDescent="0.3">
      <c r="A26" t="s">
        <v>16</v>
      </c>
      <c r="B26">
        <v>10</v>
      </c>
      <c r="C26">
        <v>15000</v>
      </c>
      <c r="D26">
        <f t="shared" si="0"/>
        <v>150000</v>
      </c>
    </row>
    <row r="27" spans="1:4" hidden="1" x14ac:dyDescent="0.3">
      <c r="A27" t="s">
        <v>18</v>
      </c>
      <c r="D27">
        <f t="shared" si="0"/>
        <v>0</v>
      </c>
    </row>
    <row r="28" spans="1:4" hidden="1" x14ac:dyDescent="0.3">
      <c r="A28" t="s">
        <v>19</v>
      </c>
      <c r="D28">
        <f t="shared" si="0"/>
        <v>0</v>
      </c>
    </row>
    <row r="29" spans="1:4" hidden="1" x14ac:dyDescent="0.3">
      <c r="A29" t="s">
        <v>19</v>
      </c>
      <c r="D29">
        <f t="shared" si="0"/>
        <v>0</v>
      </c>
    </row>
    <row r="30" spans="1:4" hidden="1" x14ac:dyDescent="0.3">
      <c r="A30" t="s">
        <v>20</v>
      </c>
      <c r="D30">
        <f t="shared" si="0"/>
        <v>0</v>
      </c>
    </row>
    <row r="31" spans="1:4" hidden="1" x14ac:dyDescent="0.3">
      <c r="A31" t="s">
        <v>21</v>
      </c>
      <c r="D31">
        <f t="shared" si="0"/>
        <v>0</v>
      </c>
    </row>
    <row r="32" spans="1:4" x14ac:dyDescent="0.3">
      <c r="A32" t="s">
        <v>22</v>
      </c>
      <c r="B32">
        <v>236</v>
      </c>
      <c r="C32">
        <v>9000</v>
      </c>
      <c r="D32">
        <f t="shared" si="0"/>
        <v>2124000</v>
      </c>
    </row>
    <row r="33" spans="1:4" x14ac:dyDescent="0.3">
      <c r="A33" t="s">
        <v>23</v>
      </c>
      <c r="B33">
        <v>150</v>
      </c>
      <c r="C33">
        <v>5500</v>
      </c>
      <c r="D33">
        <f t="shared" si="0"/>
        <v>825000</v>
      </c>
    </row>
    <row r="34" spans="1:4" hidden="1" x14ac:dyDescent="0.3">
      <c r="A34" t="s">
        <v>24</v>
      </c>
      <c r="D34">
        <f t="shared" si="0"/>
        <v>0</v>
      </c>
    </row>
    <row r="35" spans="1:4" x14ac:dyDescent="0.3">
      <c r="A35" t="s">
        <v>24</v>
      </c>
      <c r="B35">
        <v>9</v>
      </c>
      <c r="C35">
        <v>28000</v>
      </c>
      <c r="D35">
        <f t="shared" si="0"/>
        <v>252000</v>
      </c>
    </row>
    <row r="36" spans="1:4" hidden="1" x14ac:dyDescent="0.3">
      <c r="A36" t="s">
        <v>557</v>
      </c>
      <c r="D36">
        <f t="shared" si="0"/>
        <v>0</v>
      </c>
    </row>
    <row r="37" spans="1:4" hidden="1" x14ac:dyDescent="0.3">
      <c r="A37" t="s">
        <v>25</v>
      </c>
      <c r="D37">
        <f t="shared" si="0"/>
        <v>0</v>
      </c>
    </row>
    <row r="38" spans="1:4" hidden="1" x14ac:dyDescent="0.3">
      <c r="A38" t="s">
        <v>26</v>
      </c>
      <c r="D38">
        <f t="shared" si="0"/>
        <v>0</v>
      </c>
    </row>
    <row r="39" spans="1:4" hidden="1" x14ac:dyDescent="0.3">
      <c r="A39" t="s">
        <v>26</v>
      </c>
      <c r="D39">
        <f t="shared" si="0"/>
        <v>0</v>
      </c>
    </row>
    <row r="40" spans="1:4" hidden="1" x14ac:dyDescent="0.3">
      <c r="A40" t="s">
        <v>26</v>
      </c>
      <c r="D40">
        <f t="shared" si="0"/>
        <v>0</v>
      </c>
    </row>
    <row r="41" spans="1:4" hidden="1" x14ac:dyDescent="0.3">
      <c r="A41" t="s">
        <v>27</v>
      </c>
      <c r="D41">
        <f t="shared" si="0"/>
        <v>0</v>
      </c>
    </row>
    <row r="42" spans="1:4" hidden="1" x14ac:dyDescent="0.3">
      <c r="A42" t="s">
        <v>28</v>
      </c>
      <c r="D42">
        <f t="shared" si="0"/>
        <v>0</v>
      </c>
    </row>
    <row r="43" spans="1:4" hidden="1" x14ac:dyDescent="0.3">
      <c r="A43" t="s">
        <v>28</v>
      </c>
      <c r="D43">
        <f t="shared" si="0"/>
        <v>0</v>
      </c>
    </row>
    <row r="44" spans="1:4" hidden="1" x14ac:dyDescent="0.3">
      <c r="A44" t="s">
        <v>28</v>
      </c>
      <c r="D44">
        <f t="shared" si="0"/>
        <v>0</v>
      </c>
    </row>
    <row r="45" spans="1:4" hidden="1" x14ac:dyDescent="0.3">
      <c r="A45" t="s">
        <v>29</v>
      </c>
      <c r="D45">
        <f t="shared" si="0"/>
        <v>0</v>
      </c>
    </row>
    <row r="46" spans="1:4" hidden="1" x14ac:dyDescent="0.3">
      <c r="A46" t="s">
        <v>29</v>
      </c>
      <c r="D46">
        <f t="shared" si="0"/>
        <v>0</v>
      </c>
    </row>
    <row r="47" spans="1:4" hidden="1" x14ac:dyDescent="0.3">
      <c r="A47" t="s">
        <v>30</v>
      </c>
      <c r="D47">
        <f t="shared" si="0"/>
        <v>0</v>
      </c>
    </row>
    <row r="48" spans="1:4" hidden="1" x14ac:dyDescent="0.3">
      <c r="A48" t="s">
        <v>30</v>
      </c>
      <c r="D48">
        <f t="shared" si="0"/>
        <v>0</v>
      </c>
    </row>
    <row r="49" spans="1:4" hidden="1" x14ac:dyDescent="0.3">
      <c r="A49" t="s">
        <v>31</v>
      </c>
      <c r="D49">
        <f t="shared" si="0"/>
        <v>0</v>
      </c>
    </row>
    <row r="50" spans="1:4" hidden="1" x14ac:dyDescent="0.3">
      <c r="A50" t="s">
        <v>32</v>
      </c>
      <c r="D50">
        <f t="shared" si="0"/>
        <v>0</v>
      </c>
    </row>
    <row r="51" spans="1:4" hidden="1" x14ac:dyDescent="0.3">
      <c r="A51" t="s">
        <v>33</v>
      </c>
      <c r="D51">
        <f t="shared" si="0"/>
        <v>0</v>
      </c>
    </row>
    <row r="52" spans="1:4" hidden="1" x14ac:dyDescent="0.3">
      <c r="A52" t="s">
        <v>34</v>
      </c>
      <c r="D52">
        <f t="shared" si="0"/>
        <v>0</v>
      </c>
    </row>
    <row r="53" spans="1:4" hidden="1" x14ac:dyDescent="0.3">
      <c r="A53" t="s">
        <v>35</v>
      </c>
      <c r="D53">
        <f t="shared" si="0"/>
        <v>0</v>
      </c>
    </row>
    <row r="54" spans="1:4" hidden="1" x14ac:dyDescent="0.3">
      <c r="A54" t="s">
        <v>35</v>
      </c>
      <c r="D54">
        <f t="shared" si="0"/>
        <v>0</v>
      </c>
    </row>
    <row r="55" spans="1:4" hidden="1" x14ac:dyDescent="0.3">
      <c r="A55" t="s">
        <v>36</v>
      </c>
      <c r="D55">
        <f t="shared" si="0"/>
        <v>0</v>
      </c>
    </row>
    <row r="56" spans="1:4" hidden="1" x14ac:dyDescent="0.3">
      <c r="A56" t="s">
        <v>37</v>
      </c>
      <c r="D56">
        <f t="shared" si="0"/>
        <v>0</v>
      </c>
    </row>
    <row r="57" spans="1:4" hidden="1" x14ac:dyDescent="0.3">
      <c r="A57" t="s">
        <v>37</v>
      </c>
      <c r="D57">
        <f t="shared" si="0"/>
        <v>0</v>
      </c>
    </row>
    <row r="58" spans="1:4" hidden="1" x14ac:dyDescent="0.3">
      <c r="A58" t="s">
        <v>38</v>
      </c>
      <c r="D58">
        <f t="shared" si="0"/>
        <v>0</v>
      </c>
    </row>
    <row r="59" spans="1:4" hidden="1" x14ac:dyDescent="0.3">
      <c r="A59" t="s">
        <v>39</v>
      </c>
      <c r="D59">
        <f t="shared" si="0"/>
        <v>0</v>
      </c>
    </row>
    <row r="60" spans="1:4" hidden="1" x14ac:dyDescent="0.3">
      <c r="A60" t="s">
        <v>40</v>
      </c>
      <c r="D60">
        <f t="shared" si="0"/>
        <v>0</v>
      </c>
    </row>
    <row r="61" spans="1:4" hidden="1" x14ac:dyDescent="0.3">
      <c r="A61" t="s">
        <v>41</v>
      </c>
      <c r="D61">
        <f t="shared" si="0"/>
        <v>0</v>
      </c>
    </row>
    <row r="62" spans="1:4" hidden="1" x14ac:dyDescent="0.3">
      <c r="A62" t="s">
        <v>42</v>
      </c>
      <c r="D62">
        <f t="shared" si="0"/>
        <v>0</v>
      </c>
    </row>
    <row r="63" spans="1:4" x14ac:dyDescent="0.3">
      <c r="A63" t="s">
        <v>43</v>
      </c>
      <c r="B63">
        <v>0.8</v>
      </c>
      <c r="C63">
        <v>70000</v>
      </c>
      <c r="D63">
        <f t="shared" si="0"/>
        <v>56000</v>
      </c>
    </row>
    <row r="64" spans="1:4" hidden="1" x14ac:dyDescent="0.3">
      <c r="A64" t="s">
        <v>44</v>
      </c>
      <c r="D64">
        <f t="shared" si="0"/>
        <v>0</v>
      </c>
    </row>
    <row r="65" spans="1:4" hidden="1" x14ac:dyDescent="0.3">
      <c r="A65" t="s">
        <v>44</v>
      </c>
      <c r="D65">
        <f t="shared" si="0"/>
        <v>0</v>
      </c>
    </row>
    <row r="66" spans="1:4" hidden="1" x14ac:dyDescent="0.3">
      <c r="A66" t="s">
        <v>45</v>
      </c>
      <c r="D66">
        <f t="shared" si="0"/>
        <v>0</v>
      </c>
    </row>
    <row r="67" spans="1:4" hidden="1" x14ac:dyDescent="0.3">
      <c r="A67" t="s">
        <v>46</v>
      </c>
      <c r="D67">
        <f t="shared" si="0"/>
        <v>0</v>
      </c>
    </row>
    <row r="68" spans="1:4" hidden="1" x14ac:dyDescent="0.3">
      <c r="A68" t="s">
        <v>47</v>
      </c>
      <c r="D68">
        <f t="shared" si="0"/>
        <v>0</v>
      </c>
    </row>
    <row r="69" spans="1:4" hidden="1" x14ac:dyDescent="0.3">
      <c r="A69" t="s">
        <v>48</v>
      </c>
      <c r="D69">
        <f t="shared" si="0"/>
        <v>0</v>
      </c>
    </row>
    <row r="70" spans="1:4" hidden="1" x14ac:dyDescent="0.3">
      <c r="A70" t="s">
        <v>48</v>
      </c>
      <c r="D70">
        <f t="shared" ref="D70:D133" si="1">SUM(B70*C70)</f>
        <v>0</v>
      </c>
    </row>
    <row r="71" spans="1:4" x14ac:dyDescent="0.3">
      <c r="A71" t="s">
        <v>49</v>
      </c>
      <c r="B71">
        <v>10</v>
      </c>
      <c r="C71">
        <v>6500</v>
      </c>
      <c r="D71">
        <f t="shared" si="1"/>
        <v>65000</v>
      </c>
    </row>
    <row r="72" spans="1:4" x14ac:dyDescent="0.3">
      <c r="A72" t="s">
        <v>50</v>
      </c>
      <c r="B72">
        <v>120</v>
      </c>
      <c r="C72">
        <v>5500</v>
      </c>
      <c r="D72">
        <f t="shared" si="1"/>
        <v>660000</v>
      </c>
    </row>
    <row r="73" spans="1:4" hidden="1" x14ac:dyDescent="0.3">
      <c r="A73" t="s">
        <v>51</v>
      </c>
      <c r="D73">
        <f t="shared" si="1"/>
        <v>0</v>
      </c>
    </row>
    <row r="74" spans="1:4" hidden="1" x14ac:dyDescent="0.3">
      <c r="A74" t="s">
        <v>51</v>
      </c>
      <c r="D74">
        <f t="shared" si="1"/>
        <v>0</v>
      </c>
    </row>
    <row r="75" spans="1:4" x14ac:dyDescent="0.3">
      <c r="A75" t="s">
        <v>52</v>
      </c>
      <c r="B75">
        <v>35</v>
      </c>
      <c r="C75">
        <v>10000</v>
      </c>
      <c r="D75">
        <f t="shared" si="1"/>
        <v>350000</v>
      </c>
    </row>
    <row r="76" spans="1:4" hidden="1" x14ac:dyDescent="0.3">
      <c r="A76" t="s">
        <v>52</v>
      </c>
      <c r="D76">
        <f t="shared" si="1"/>
        <v>0</v>
      </c>
    </row>
    <row r="77" spans="1:4" x14ac:dyDescent="0.3">
      <c r="A77" t="s">
        <v>53</v>
      </c>
      <c r="B77">
        <v>128</v>
      </c>
      <c r="C77">
        <v>25000</v>
      </c>
      <c r="D77">
        <f t="shared" si="1"/>
        <v>3200000</v>
      </c>
    </row>
    <row r="78" spans="1:4" hidden="1" x14ac:dyDescent="0.3">
      <c r="A78" t="s">
        <v>53</v>
      </c>
      <c r="D78">
        <f t="shared" si="1"/>
        <v>0</v>
      </c>
    </row>
    <row r="79" spans="1:4" hidden="1" x14ac:dyDescent="0.3">
      <c r="A79" t="s">
        <v>54</v>
      </c>
      <c r="D79">
        <f t="shared" si="1"/>
        <v>0</v>
      </c>
    </row>
    <row r="80" spans="1:4" hidden="1" x14ac:dyDescent="0.3">
      <c r="A80" t="s">
        <v>54</v>
      </c>
      <c r="D80">
        <f t="shared" si="1"/>
        <v>0</v>
      </c>
    </row>
    <row r="81" spans="1:4" hidden="1" x14ac:dyDescent="0.3">
      <c r="A81" t="s">
        <v>55</v>
      </c>
      <c r="D81">
        <f t="shared" si="1"/>
        <v>0</v>
      </c>
    </row>
    <row r="82" spans="1:4" x14ac:dyDescent="0.3">
      <c r="A82" t="s">
        <v>56</v>
      </c>
      <c r="B82">
        <v>188</v>
      </c>
      <c r="C82">
        <v>10500</v>
      </c>
      <c r="D82">
        <f t="shared" si="1"/>
        <v>1974000</v>
      </c>
    </row>
    <row r="83" spans="1:4" hidden="1" x14ac:dyDescent="0.3">
      <c r="A83" t="s">
        <v>57</v>
      </c>
      <c r="D83">
        <f t="shared" si="1"/>
        <v>0</v>
      </c>
    </row>
    <row r="84" spans="1:4" hidden="1" x14ac:dyDescent="0.3">
      <c r="A84" t="s">
        <v>57</v>
      </c>
      <c r="D84">
        <f t="shared" si="1"/>
        <v>0</v>
      </c>
    </row>
    <row r="85" spans="1:4" hidden="1" x14ac:dyDescent="0.3">
      <c r="A85" t="s">
        <v>58</v>
      </c>
      <c r="D85">
        <f t="shared" si="1"/>
        <v>0</v>
      </c>
    </row>
    <row r="86" spans="1:4" x14ac:dyDescent="0.3">
      <c r="A86" t="s">
        <v>59</v>
      </c>
      <c r="B86">
        <v>4</v>
      </c>
      <c r="C86">
        <v>8000</v>
      </c>
      <c r="D86">
        <f t="shared" si="1"/>
        <v>32000</v>
      </c>
    </row>
    <row r="87" spans="1:4" x14ac:dyDescent="0.3">
      <c r="A87" t="s">
        <v>60</v>
      </c>
      <c r="B87">
        <v>350</v>
      </c>
      <c r="C87">
        <v>14000</v>
      </c>
      <c r="D87">
        <f t="shared" si="1"/>
        <v>4900000</v>
      </c>
    </row>
    <row r="88" spans="1:4" hidden="1" x14ac:dyDescent="0.3">
      <c r="A88" t="s">
        <v>60</v>
      </c>
      <c r="D88">
        <f t="shared" si="1"/>
        <v>0</v>
      </c>
    </row>
    <row r="89" spans="1:4" hidden="1" x14ac:dyDescent="0.3">
      <c r="A89" t="s">
        <v>60</v>
      </c>
      <c r="D89">
        <f t="shared" si="1"/>
        <v>0</v>
      </c>
    </row>
    <row r="90" spans="1:4" hidden="1" x14ac:dyDescent="0.3">
      <c r="A90" t="s">
        <v>61</v>
      </c>
      <c r="D90">
        <f t="shared" si="1"/>
        <v>0</v>
      </c>
    </row>
    <row r="91" spans="1:4" hidden="1" x14ac:dyDescent="0.3">
      <c r="A91" t="s">
        <v>62</v>
      </c>
      <c r="D91">
        <f t="shared" si="1"/>
        <v>0</v>
      </c>
    </row>
    <row r="92" spans="1:4" hidden="1" x14ac:dyDescent="0.3">
      <c r="A92" t="s">
        <v>63</v>
      </c>
      <c r="D92">
        <f t="shared" si="1"/>
        <v>0</v>
      </c>
    </row>
    <row r="93" spans="1:4" hidden="1" x14ac:dyDescent="0.3">
      <c r="A93" t="s">
        <v>64</v>
      </c>
      <c r="D93">
        <f t="shared" si="1"/>
        <v>0</v>
      </c>
    </row>
    <row r="94" spans="1:4" hidden="1" x14ac:dyDescent="0.3">
      <c r="A94" t="s">
        <v>64</v>
      </c>
      <c r="D94">
        <f t="shared" si="1"/>
        <v>0</v>
      </c>
    </row>
    <row r="95" spans="1:4" hidden="1" x14ac:dyDescent="0.3">
      <c r="A95" t="s">
        <v>65</v>
      </c>
      <c r="D95">
        <f t="shared" si="1"/>
        <v>0</v>
      </c>
    </row>
    <row r="96" spans="1:4" hidden="1" x14ac:dyDescent="0.3">
      <c r="A96" t="s">
        <v>66</v>
      </c>
      <c r="D96">
        <f t="shared" si="1"/>
        <v>0</v>
      </c>
    </row>
    <row r="97" spans="1:4" hidden="1" x14ac:dyDescent="0.3">
      <c r="A97" t="s">
        <v>67</v>
      </c>
      <c r="D97">
        <f t="shared" si="1"/>
        <v>0</v>
      </c>
    </row>
    <row r="98" spans="1:4" hidden="1" x14ac:dyDescent="0.3">
      <c r="A98" t="s">
        <v>68</v>
      </c>
      <c r="D98">
        <f t="shared" si="1"/>
        <v>0</v>
      </c>
    </row>
    <row r="99" spans="1:4" hidden="1" x14ac:dyDescent="0.3">
      <c r="A99" t="s">
        <v>69</v>
      </c>
      <c r="D99">
        <f t="shared" si="1"/>
        <v>0</v>
      </c>
    </row>
    <row r="100" spans="1:4" hidden="1" x14ac:dyDescent="0.3">
      <c r="A100" t="s">
        <v>69</v>
      </c>
      <c r="D100">
        <f t="shared" si="1"/>
        <v>0</v>
      </c>
    </row>
    <row r="101" spans="1:4" hidden="1" x14ac:dyDescent="0.3">
      <c r="A101" t="s">
        <v>70</v>
      </c>
      <c r="D101">
        <f t="shared" si="1"/>
        <v>0</v>
      </c>
    </row>
    <row r="102" spans="1:4" hidden="1" x14ac:dyDescent="0.3">
      <c r="A102" t="s">
        <v>71</v>
      </c>
      <c r="D102">
        <f t="shared" si="1"/>
        <v>0</v>
      </c>
    </row>
    <row r="103" spans="1:4" hidden="1" x14ac:dyDescent="0.3">
      <c r="A103" t="s">
        <v>72</v>
      </c>
      <c r="D103">
        <f t="shared" si="1"/>
        <v>0</v>
      </c>
    </row>
    <row r="104" spans="1:4" hidden="1" x14ac:dyDescent="0.3">
      <c r="A104" t="s">
        <v>73</v>
      </c>
      <c r="D104">
        <f t="shared" si="1"/>
        <v>0</v>
      </c>
    </row>
    <row r="105" spans="1:4" hidden="1" x14ac:dyDescent="0.3">
      <c r="A105" t="s">
        <v>73</v>
      </c>
      <c r="D105">
        <f t="shared" si="1"/>
        <v>0</v>
      </c>
    </row>
    <row r="106" spans="1:4" hidden="1" x14ac:dyDescent="0.3">
      <c r="A106" t="s">
        <v>74</v>
      </c>
      <c r="D106">
        <f t="shared" si="1"/>
        <v>0</v>
      </c>
    </row>
    <row r="107" spans="1:4" hidden="1" x14ac:dyDescent="0.3">
      <c r="A107" t="s">
        <v>75</v>
      </c>
      <c r="D107">
        <f t="shared" si="1"/>
        <v>0</v>
      </c>
    </row>
    <row r="108" spans="1:4" hidden="1" x14ac:dyDescent="0.3">
      <c r="A108" t="s">
        <v>75</v>
      </c>
      <c r="D108">
        <f t="shared" si="1"/>
        <v>0</v>
      </c>
    </row>
    <row r="109" spans="1:4" x14ac:dyDescent="0.3">
      <c r="A109" t="s">
        <v>76</v>
      </c>
      <c r="B109">
        <v>108</v>
      </c>
      <c r="C109">
        <v>25000</v>
      </c>
      <c r="D109">
        <f t="shared" si="1"/>
        <v>2700000</v>
      </c>
    </row>
    <row r="110" spans="1:4" hidden="1" x14ac:dyDescent="0.3">
      <c r="A110" t="s">
        <v>76</v>
      </c>
      <c r="D110">
        <f t="shared" si="1"/>
        <v>0</v>
      </c>
    </row>
    <row r="111" spans="1:4" hidden="1" x14ac:dyDescent="0.3">
      <c r="A111" t="s">
        <v>77</v>
      </c>
      <c r="D111">
        <f t="shared" si="1"/>
        <v>0</v>
      </c>
    </row>
    <row r="112" spans="1:4" hidden="1" x14ac:dyDescent="0.3">
      <c r="A112" t="s">
        <v>77</v>
      </c>
      <c r="D112">
        <f t="shared" si="1"/>
        <v>0</v>
      </c>
    </row>
    <row r="113" spans="1:4" x14ac:dyDescent="0.3">
      <c r="A113" t="s">
        <v>78</v>
      </c>
      <c r="B113">
        <v>110</v>
      </c>
      <c r="C113">
        <v>18000</v>
      </c>
      <c r="D113">
        <f t="shared" si="1"/>
        <v>1980000</v>
      </c>
    </row>
    <row r="114" spans="1:4" hidden="1" x14ac:dyDescent="0.3">
      <c r="A114" t="s">
        <v>78</v>
      </c>
      <c r="D114">
        <f t="shared" si="1"/>
        <v>0</v>
      </c>
    </row>
    <row r="115" spans="1:4" x14ac:dyDescent="0.3">
      <c r="A115" t="s">
        <v>79</v>
      </c>
      <c r="B115">
        <v>113</v>
      </c>
      <c r="C115">
        <v>20000</v>
      </c>
      <c r="D115">
        <f t="shared" si="1"/>
        <v>2260000</v>
      </c>
    </row>
    <row r="116" spans="1:4" hidden="1" x14ac:dyDescent="0.3">
      <c r="A116" t="s">
        <v>79</v>
      </c>
      <c r="D116">
        <f t="shared" si="1"/>
        <v>0</v>
      </c>
    </row>
    <row r="117" spans="1:4" hidden="1" x14ac:dyDescent="0.3">
      <c r="A117" t="s">
        <v>80</v>
      </c>
      <c r="D117">
        <f t="shared" si="1"/>
        <v>0</v>
      </c>
    </row>
    <row r="118" spans="1:4" hidden="1" x14ac:dyDescent="0.3">
      <c r="A118" t="s">
        <v>81</v>
      </c>
      <c r="D118">
        <f t="shared" si="1"/>
        <v>0</v>
      </c>
    </row>
    <row r="119" spans="1:4" hidden="1" x14ac:dyDescent="0.3">
      <c r="A119" t="s">
        <v>81</v>
      </c>
      <c r="D119">
        <f t="shared" si="1"/>
        <v>0</v>
      </c>
    </row>
    <row r="120" spans="1:4" x14ac:dyDescent="0.3">
      <c r="A120" t="s">
        <v>82</v>
      </c>
      <c r="B120">
        <v>135</v>
      </c>
      <c r="C120">
        <v>5000</v>
      </c>
      <c r="D120">
        <f t="shared" si="1"/>
        <v>675000</v>
      </c>
    </row>
    <row r="121" spans="1:4" hidden="1" x14ac:dyDescent="0.3">
      <c r="A121" t="s">
        <v>83</v>
      </c>
      <c r="D121">
        <f t="shared" si="1"/>
        <v>0</v>
      </c>
    </row>
    <row r="122" spans="1:4" hidden="1" x14ac:dyDescent="0.3">
      <c r="A122" t="s">
        <v>84</v>
      </c>
      <c r="D122">
        <f t="shared" si="1"/>
        <v>0</v>
      </c>
    </row>
    <row r="123" spans="1:4" hidden="1" x14ac:dyDescent="0.3">
      <c r="A123" t="s">
        <v>85</v>
      </c>
      <c r="D123">
        <f t="shared" si="1"/>
        <v>0</v>
      </c>
    </row>
    <row r="124" spans="1:4" hidden="1" x14ac:dyDescent="0.3">
      <c r="A124" t="s">
        <v>86</v>
      </c>
      <c r="D124">
        <f t="shared" si="1"/>
        <v>0</v>
      </c>
    </row>
    <row r="125" spans="1:4" x14ac:dyDescent="0.3">
      <c r="A125" t="s">
        <v>87</v>
      </c>
      <c r="B125">
        <v>70</v>
      </c>
      <c r="C125">
        <v>13500</v>
      </c>
      <c r="D125">
        <f t="shared" si="1"/>
        <v>945000</v>
      </c>
    </row>
    <row r="126" spans="1:4" hidden="1" x14ac:dyDescent="0.3">
      <c r="A126" t="s">
        <v>88</v>
      </c>
      <c r="D126">
        <f t="shared" si="1"/>
        <v>0</v>
      </c>
    </row>
    <row r="127" spans="1:4" hidden="1" x14ac:dyDescent="0.3">
      <c r="A127" t="s">
        <v>89</v>
      </c>
      <c r="D127">
        <f t="shared" si="1"/>
        <v>0</v>
      </c>
    </row>
    <row r="128" spans="1:4" hidden="1" x14ac:dyDescent="0.3">
      <c r="A128" t="s">
        <v>90</v>
      </c>
      <c r="D128">
        <f t="shared" si="1"/>
        <v>0</v>
      </c>
    </row>
    <row r="129" spans="1:4" hidden="1" x14ac:dyDescent="0.3">
      <c r="A129" t="s">
        <v>91</v>
      </c>
      <c r="D129">
        <f t="shared" si="1"/>
        <v>0</v>
      </c>
    </row>
    <row r="130" spans="1:4" hidden="1" x14ac:dyDescent="0.3">
      <c r="A130" t="s">
        <v>92</v>
      </c>
      <c r="D130">
        <f t="shared" si="1"/>
        <v>0</v>
      </c>
    </row>
    <row r="131" spans="1:4" hidden="1" x14ac:dyDescent="0.3">
      <c r="A131" t="s">
        <v>93</v>
      </c>
      <c r="D131">
        <f t="shared" si="1"/>
        <v>0</v>
      </c>
    </row>
    <row r="132" spans="1:4" hidden="1" x14ac:dyDescent="0.3">
      <c r="A132" t="s">
        <v>94</v>
      </c>
      <c r="D132">
        <f t="shared" si="1"/>
        <v>0</v>
      </c>
    </row>
    <row r="133" spans="1:4" x14ac:dyDescent="0.3">
      <c r="A133" t="s">
        <v>96</v>
      </c>
      <c r="B133">
        <v>33</v>
      </c>
      <c r="C133">
        <v>38000</v>
      </c>
      <c r="D133">
        <f t="shared" si="1"/>
        <v>1254000</v>
      </c>
    </row>
    <row r="134" spans="1:4" hidden="1" x14ac:dyDescent="0.3">
      <c r="A134" t="s">
        <v>97</v>
      </c>
      <c r="D134">
        <f t="shared" ref="D134:D198" si="2">SUM(B134*C134)</f>
        <v>0</v>
      </c>
    </row>
    <row r="135" spans="1:4" hidden="1" x14ac:dyDescent="0.3">
      <c r="A135" t="s">
        <v>98</v>
      </c>
      <c r="D135">
        <f t="shared" si="2"/>
        <v>0</v>
      </c>
    </row>
    <row r="136" spans="1:4" hidden="1" x14ac:dyDescent="0.3">
      <c r="A136" t="s">
        <v>99</v>
      </c>
      <c r="D136">
        <f t="shared" si="2"/>
        <v>0</v>
      </c>
    </row>
    <row r="137" spans="1:4" hidden="1" x14ac:dyDescent="0.3">
      <c r="A137" t="s">
        <v>100</v>
      </c>
      <c r="D137">
        <f t="shared" si="2"/>
        <v>0</v>
      </c>
    </row>
    <row r="138" spans="1:4" hidden="1" x14ac:dyDescent="0.3">
      <c r="A138" t="e">
        <v>#N/A</v>
      </c>
      <c r="D138">
        <f t="shared" si="2"/>
        <v>0</v>
      </c>
    </row>
    <row r="139" spans="1:4" hidden="1" x14ac:dyDescent="0.3">
      <c r="A139" t="s">
        <v>121</v>
      </c>
      <c r="D139">
        <f t="shared" si="2"/>
        <v>0</v>
      </c>
    </row>
    <row r="140" spans="1:4" hidden="1" x14ac:dyDescent="0.3">
      <c r="A140" t="s">
        <v>101</v>
      </c>
      <c r="D140">
        <f t="shared" si="2"/>
        <v>0</v>
      </c>
    </row>
    <row r="141" spans="1:4" hidden="1" x14ac:dyDescent="0.3">
      <c r="A141" t="s">
        <v>102</v>
      </c>
      <c r="D141">
        <f t="shared" si="2"/>
        <v>0</v>
      </c>
    </row>
    <row r="142" spans="1:4" x14ac:dyDescent="0.3">
      <c r="A142" t="s">
        <v>103</v>
      </c>
      <c r="B142">
        <v>16</v>
      </c>
      <c r="C142">
        <v>17500</v>
      </c>
      <c r="D142">
        <f t="shared" si="2"/>
        <v>280000</v>
      </c>
    </row>
    <row r="143" spans="1:4" hidden="1" x14ac:dyDescent="0.3">
      <c r="A143" t="s">
        <v>521</v>
      </c>
      <c r="D143">
        <f t="shared" si="2"/>
        <v>0</v>
      </c>
    </row>
    <row r="144" spans="1:4" hidden="1" x14ac:dyDescent="0.3">
      <c r="A144" t="s">
        <v>118</v>
      </c>
      <c r="D144">
        <f t="shared" si="2"/>
        <v>0</v>
      </c>
    </row>
    <row r="145" spans="1:4" hidden="1" x14ac:dyDescent="0.3">
      <c r="A145" t="s">
        <v>558</v>
      </c>
      <c r="D145">
        <f t="shared" si="2"/>
        <v>0</v>
      </c>
    </row>
    <row r="146" spans="1:4" x14ac:dyDescent="0.3">
      <c r="A146" t="s">
        <v>110</v>
      </c>
      <c r="B146">
        <v>3</v>
      </c>
      <c r="C146">
        <v>30000</v>
      </c>
      <c r="D146">
        <f t="shared" si="2"/>
        <v>90000</v>
      </c>
    </row>
    <row r="147" spans="1:4" hidden="1" x14ac:dyDescent="0.3">
      <c r="A147" t="s">
        <v>559</v>
      </c>
      <c r="D147">
        <f t="shared" si="2"/>
        <v>0</v>
      </c>
    </row>
    <row r="148" spans="1:4" hidden="1" x14ac:dyDescent="0.3">
      <c r="A148" t="s">
        <v>560</v>
      </c>
      <c r="D148">
        <f t="shared" si="2"/>
        <v>0</v>
      </c>
    </row>
    <row r="149" spans="1:4" hidden="1" x14ac:dyDescent="0.3">
      <c r="A149" t="s">
        <v>560</v>
      </c>
      <c r="D149">
        <f t="shared" si="2"/>
        <v>0</v>
      </c>
    </row>
    <row r="150" spans="1:4" hidden="1" x14ac:dyDescent="0.3">
      <c r="A150" t="e">
        <v>#N/A</v>
      </c>
      <c r="D150">
        <f t="shared" si="2"/>
        <v>0</v>
      </c>
    </row>
    <row r="151" spans="1:4" hidden="1" x14ac:dyDescent="0.3">
      <c r="A151" t="s">
        <v>116</v>
      </c>
      <c r="D151">
        <f t="shared" si="2"/>
        <v>0</v>
      </c>
    </row>
    <row r="152" spans="1:4" x14ac:dyDescent="0.3">
      <c r="A152" t="s">
        <v>117</v>
      </c>
      <c r="B152">
        <v>14</v>
      </c>
      <c r="C152">
        <v>16000</v>
      </c>
      <c r="D152">
        <f t="shared" si="2"/>
        <v>224000</v>
      </c>
    </row>
    <row r="153" spans="1:4" x14ac:dyDescent="0.3">
      <c r="A153" t="s">
        <v>524</v>
      </c>
      <c r="B153">
        <v>20</v>
      </c>
      <c r="C153">
        <v>30000</v>
      </c>
      <c r="D153">
        <f t="shared" si="2"/>
        <v>600000</v>
      </c>
    </row>
    <row r="154" spans="1:4" hidden="1" x14ac:dyDescent="0.3">
      <c r="A154" t="s">
        <v>527</v>
      </c>
      <c r="D154">
        <f t="shared" si="2"/>
        <v>0</v>
      </c>
    </row>
    <row r="155" spans="1:4" hidden="1" x14ac:dyDescent="0.3">
      <c r="A155" t="s">
        <v>108</v>
      </c>
      <c r="D155">
        <f t="shared" si="2"/>
        <v>0</v>
      </c>
    </row>
    <row r="156" spans="1:4" hidden="1" x14ac:dyDescent="0.3">
      <c r="A156" t="s">
        <v>540</v>
      </c>
      <c r="D156">
        <f t="shared" si="2"/>
        <v>0</v>
      </c>
    </row>
    <row r="157" spans="1:4" hidden="1" x14ac:dyDescent="0.3">
      <c r="A157" t="s">
        <v>107</v>
      </c>
      <c r="D157">
        <f t="shared" si="2"/>
        <v>0</v>
      </c>
    </row>
    <row r="158" spans="1:4" hidden="1" x14ac:dyDescent="0.3">
      <c r="A158" t="e">
        <v>#N/A</v>
      </c>
      <c r="D158">
        <f t="shared" si="2"/>
        <v>0</v>
      </c>
    </row>
    <row r="159" spans="1:4" hidden="1" x14ac:dyDescent="0.3">
      <c r="D159">
        <f t="shared" si="2"/>
        <v>0</v>
      </c>
    </row>
    <row r="160" spans="1:4" ht="15.6" hidden="1" x14ac:dyDescent="0.3">
      <c r="A160" s="72"/>
      <c r="B160" s="72"/>
      <c r="C160" s="72"/>
      <c r="D160">
        <f t="shared" si="2"/>
        <v>0</v>
      </c>
    </row>
    <row r="161" spans="1:4" ht="15.6" x14ac:dyDescent="0.3">
      <c r="A161" s="72"/>
      <c r="B161" s="72"/>
      <c r="C161" s="72"/>
      <c r="D161">
        <f>SUM(D5:D153)</f>
        <v>36832000</v>
      </c>
    </row>
    <row r="162" spans="1:4" ht="31.2" x14ac:dyDescent="0.3">
      <c r="A162" s="48" t="s">
        <v>0</v>
      </c>
      <c r="B162" s="49" t="s">
        <v>544</v>
      </c>
      <c r="C162" s="50" t="s">
        <v>128</v>
      </c>
      <c r="D162" t="s">
        <v>129</v>
      </c>
    </row>
    <row r="163" spans="1:4" ht="15.6" hidden="1" x14ac:dyDescent="0.3">
      <c r="A163" s="51" t="s">
        <v>1</v>
      </c>
      <c r="B163" s="52"/>
      <c r="C163" s="53"/>
      <c r="D163">
        <f t="shared" si="2"/>
        <v>0</v>
      </c>
    </row>
    <row r="164" spans="1:4" ht="15.6" hidden="1" x14ac:dyDescent="0.3">
      <c r="A164" s="51" t="s">
        <v>5</v>
      </c>
      <c r="B164" s="52"/>
      <c r="C164" s="53"/>
      <c r="D164">
        <f t="shared" si="2"/>
        <v>0</v>
      </c>
    </row>
    <row r="165" spans="1:4" ht="15.6" hidden="1" x14ac:dyDescent="0.3">
      <c r="A165" s="51" t="s">
        <v>6</v>
      </c>
      <c r="B165" s="52"/>
      <c r="C165" s="53"/>
      <c r="D165">
        <f t="shared" si="2"/>
        <v>0</v>
      </c>
    </row>
    <row r="166" spans="1:4" ht="15.6" x14ac:dyDescent="0.3">
      <c r="A166" s="51" t="s">
        <v>8</v>
      </c>
      <c r="B166" s="52">
        <v>45</v>
      </c>
      <c r="C166" s="53">
        <v>24000</v>
      </c>
      <c r="D166">
        <f t="shared" si="2"/>
        <v>1080000</v>
      </c>
    </row>
    <row r="167" spans="1:4" ht="15.6" hidden="1" x14ac:dyDescent="0.3">
      <c r="A167" s="51" t="s">
        <v>119</v>
      </c>
      <c r="B167" s="52"/>
      <c r="C167" s="53"/>
      <c r="D167">
        <f t="shared" si="2"/>
        <v>0</v>
      </c>
    </row>
    <row r="168" spans="1:4" ht="15.6" hidden="1" x14ac:dyDescent="0.3">
      <c r="A168" s="51" t="s">
        <v>12</v>
      </c>
      <c r="B168" s="52"/>
      <c r="C168" s="53"/>
      <c r="D168">
        <f t="shared" si="2"/>
        <v>0</v>
      </c>
    </row>
    <row r="169" spans="1:4" ht="15.6" hidden="1" x14ac:dyDescent="0.3">
      <c r="A169" s="51" t="s">
        <v>14</v>
      </c>
      <c r="B169" s="52"/>
      <c r="C169" s="53"/>
      <c r="D169">
        <f t="shared" si="2"/>
        <v>0</v>
      </c>
    </row>
    <row r="170" spans="1:4" ht="15.6" x14ac:dyDescent="0.3">
      <c r="A170" s="51" t="s">
        <v>15</v>
      </c>
      <c r="B170" s="52">
        <v>8</v>
      </c>
      <c r="C170" s="53">
        <v>16000</v>
      </c>
      <c r="D170">
        <f t="shared" si="2"/>
        <v>128000</v>
      </c>
    </row>
    <row r="171" spans="1:4" ht="15.6" hidden="1" x14ac:dyDescent="0.3">
      <c r="A171" s="51" t="s">
        <v>16</v>
      </c>
      <c r="B171" s="52"/>
      <c r="C171" s="53"/>
      <c r="D171">
        <f t="shared" si="2"/>
        <v>0</v>
      </c>
    </row>
    <row r="172" spans="1:4" ht="15.6" hidden="1" x14ac:dyDescent="0.3">
      <c r="A172" s="51" t="s">
        <v>110</v>
      </c>
      <c r="B172" s="52"/>
      <c r="C172" s="53"/>
      <c r="D172">
        <f t="shared" si="2"/>
        <v>0</v>
      </c>
    </row>
    <row r="173" spans="1:4" ht="15.6" hidden="1" x14ac:dyDescent="0.3">
      <c r="A173" s="51" t="s">
        <v>17</v>
      </c>
      <c r="B173" s="52"/>
      <c r="C173" s="53"/>
      <c r="D173">
        <f t="shared" si="2"/>
        <v>0</v>
      </c>
    </row>
    <row r="174" spans="1:4" ht="15.6" hidden="1" x14ac:dyDescent="0.3">
      <c r="A174" s="51" t="s">
        <v>21</v>
      </c>
      <c r="B174" s="52"/>
      <c r="C174" s="53"/>
      <c r="D174">
        <f t="shared" si="2"/>
        <v>0</v>
      </c>
    </row>
    <row r="175" spans="1:4" ht="15.6" hidden="1" x14ac:dyDescent="0.3">
      <c r="A175" s="51" t="s">
        <v>23</v>
      </c>
      <c r="B175" s="52"/>
      <c r="C175" s="53"/>
      <c r="D175">
        <f t="shared" si="2"/>
        <v>0</v>
      </c>
    </row>
    <row r="176" spans="1:4" ht="15.6" hidden="1" x14ac:dyDescent="0.3">
      <c r="A176" s="51" t="s">
        <v>27</v>
      </c>
      <c r="B176" s="52"/>
      <c r="C176" s="53"/>
      <c r="D176">
        <f t="shared" si="2"/>
        <v>0</v>
      </c>
    </row>
    <row r="177" spans="1:4" ht="15.6" hidden="1" x14ac:dyDescent="0.3">
      <c r="A177" s="51" t="s">
        <v>28</v>
      </c>
      <c r="B177" s="52"/>
      <c r="C177" s="53"/>
      <c r="D177">
        <f t="shared" si="2"/>
        <v>0</v>
      </c>
    </row>
    <row r="178" spans="1:4" ht="15.6" hidden="1" x14ac:dyDescent="0.3">
      <c r="A178" s="51" t="s">
        <v>29</v>
      </c>
      <c r="B178" s="52"/>
      <c r="C178" s="53"/>
      <c r="D178">
        <f t="shared" si="2"/>
        <v>0</v>
      </c>
    </row>
    <row r="179" spans="1:4" ht="15.6" hidden="1" x14ac:dyDescent="0.3">
      <c r="A179" s="51" t="s">
        <v>39</v>
      </c>
      <c r="B179" s="52"/>
      <c r="C179" s="53"/>
      <c r="D179">
        <f t="shared" si="2"/>
        <v>0</v>
      </c>
    </row>
    <row r="180" spans="1:4" ht="15.6" hidden="1" x14ac:dyDescent="0.3">
      <c r="A180" s="51" t="s">
        <v>41</v>
      </c>
      <c r="B180" s="52"/>
      <c r="C180" s="53"/>
      <c r="D180">
        <f t="shared" si="2"/>
        <v>0</v>
      </c>
    </row>
    <row r="181" spans="1:4" ht="15.6" hidden="1" x14ac:dyDescent="0.3">
      <c r="A181" s="51" t="s">
        <v>46</v>
      </c>
      <c r="B181" s="52"/>
      <c r="C181" s="53"/>
      <c r="D181">
        <f t="shared" si="2"/>
        <v>0</v>
      </c>
    </row>
    <row r="182" spans="1:4" ht="15.6" x14ac:dyDescent="0.3">
      <c r="A182" s="51" t="s">
        <v>48</v>
      </c>
      <c r="B182" s="52">
        <v>75</v>
      </c>
      <c r="C182" s="53">
        <v>10000</v>
      </c>
      <c r="D182">
        <f t="shared" si="2"/>
        <v>750000</v>
      </c>
    </row>
    <row r="183" spans="1:4" ht="15.6" x14ac:dyDescent="0.3">
      <c r="A183" s="51" t="s">
        <v>50</v>
      </c>
      <c r="B183" s="52">
        <v>840</v>
      </c>
      <c r="C183" s="53">
        <v>5500</v>
      </c>
      <c r="D183">
        <f t="shared" si="2"/>
        <v>4620000</v>
      </c>
    </row>
    <row r="184" spans="1:4" ht="15.6" hidden="1" x14ac:dyDescent="0.3">
      <c r="A184" s="51" t="s">
        <v>51</v>
      </c>
      <c r="B184" s="52"/>
      <c r="C184" s="53"/>
      <c r="D184">
        <f t="shared" si="2"/>
        <v>0</v>
      </c>
    </row>
    <row r="185" spans="1:4" ht="15.6" hidden="1" x14ac:dyDescent="0.3">
      <c r="A185" s="51" t="s">
        <v>53</v>
      </c>
      <c r="B185" s="52"/>
      <c r="C185" s="53"/>
      <c r="D185">
        <f t="shared" si="2"/>
        <v>0</v>
      </c>
    </row>
    <row r="186" spans="1:4" ht="15.6" hidden="1" x14ac:dyDescent="0.3">
      <c r="A186" s="51" t="s">
        <v>56</v>
      </c>
      <c r="B186" s="52"/>
      <c r="C186" s="53"/>
      <c r="D186">
        <f t="shared" si="2"/>
        <v>0</v>
      </c>
    </row>
    <row r="187" spans="1:4" ht="15.6" x14ac:dyDescent="0.3">
      <c r="A187" s="51" t="s">
        <v>60</v>
      </c>
      <c r="B187" s="52">
        <v>700</v>
      </c>
      <c r="C187" s="53">
        <v>14000</v>
      </c>
      <c r="D187">
        <f t="shared" si="2"/>
        <v>9800000</v>
      </c>
    </row>
    <row r="188" spans="1:4" ht="15.6" x14ac:dyDescent="0.3">
      <c r="A188" s="51" t="s">
        <v>62</v>
      </c>
      <c r="B188" s="52">
        <v>29</v>
      </c>
      <c r="C188" s="53">
        <v>9000</v>
      </c>
      <c r="D188">
        <f t="shared" si="2"/>
        <v>261000</v>
      </c>
    </row>
    <row r="189" spans="1:4" ht="15.6" hidden="1" x14ac:dyDescent="0.3">
      <c r="A189" s="51" t="s">
        <v>67</v>
      </c>
      <c r="B189" s="52"/>
      <c r="C189" s="53"/>
      <c r="D189">
        <f t="shared" si="2"/>
        <v>0</v>
      </c>
    </row>
    <row r="190" spans="1:4" ht="15.6" x14ac:dyDescent="0.3">
      <c r="A190" s="51" t="s">
        <v>68</v>
      </c>
      <c r="B190" s="52">
        <v>8</v>
      </c>
      <c r="C190" s="53">
        <v>11000</v>
      </c>
      <c r="D190">
        <f t="shared" si="2"/>
        <v>88000</v>
      </c>
    </row>
    <row r="191" spans="1:4" ht="15.6" x14ac:dyDescent="0.3">
      <c r="A191" s="51" t="s">
        <v>72</v>
      </c>
      <c r="B191" s="52">
        <v>10</v>
      </c>
      <c r="C191" s="53">
        <v>9500</v>
      </c>
      <c r="D191">
        <f t="shared" si="2"/>
        <v>95000</v>
      </c>
    </row>
    <row r="192" spans="1:4" ht="15.6" hidden="1" x14ac:dyDescent="0.3">
      <c r="A192" s="51" t="s">
        <v>76</v>
      </c>
      <c r="B192" s="52"/>
      <c r="C192" s="53"/>
      <c r="D192">
        <f t="shared" si="2"/>
        <v>0</v>
      </c>
    </row>
    <row r="193" spans="1:4" ht="15.6" hidden="1" x14ac:dyDescent="0.3">
      <c r="A193" s="51" t="s">
        <v>78</v>
      </c>
      <c r="B193" s="52"/>
      <c r="C193" s="53"/>
      <c r="D193">
        <f t="shared" si="2"/>
        <v>0</v>
      </c>
    </row>
    <row r="194" spans="1:4" ht="15.6" hidden="1" x14ac:dyDescent="0.3">
      <c r="A194" s="51" t="s">
        <v>79</v>
      </c>
      <c r="B194" s="52"/>
      <c r="C194" s="53"/>
      <c r="D194">
        <f t="shared" si="2"/>
        <v>0</v>
      </c>
    </row>
    <row r="195" spans="1:4" ht="15.6" hidden="1" x14ac:dyDescent="0.3">
      <c r="A195" s="51" t="s">
        <v>82</v>
      </c>
      <c r="B195" s="52"/>
      <c r="C195" s="53"/>
      <c r="D195">
        <f t="shared" si="2"/>
        <v>0</v>
      </c>
    </row>
    <row r="196" spans="1:4" ht="15.6" hidden="1" x14ac:dyDescent="0.3">
      <c r="A196" s="51" t="s">
        <v>87</v>
      </c>
      <c r="B196" s="52"/>
      <c r="C196" s="53"/>
      <c r="D196">
        <f t="shared" si="2"/>
        <v>0</v>
      </c>
    </row>
    <row r="197" spans="1:4" ht="15.6" hidden="1" x14ac:dyDescent="0.3">
      <c r="A197" s="51" t="s">
        <v>120</v>
      </c>
      <c r="B197" s="52"/>
      <c r="C197" s="53"/>
      <c r="D197">
        <f t="shared" si="2"/>
        <v>0</v>
      </c>
    </row>
    <row r="198" spans="1:4" ht="15.6" hidden="1" x14ac:dyDescent="0.3">
      <c r="A198" s="51" t="s">
        <v>109</v>
      </c>
      <c r="B198" s="52"/>
      <c r="C198" s="53"/>
      <c r="D198">
        <f t="shared" si="2"/>
        <v>0</v>
      </c>
    </row>
    <row r="199" spans="1:4" ht="15.6" hidden="1" x14ac:dyDescent="0.3">
      <c r="A199" s="51" t="s">
        <v>121</v>
      </c>
      <c r="B199" s="52"/>
      <c r="C199" s="53"/>
      <c r="D199">
        <f t="shared" ref="D199:D203" si="3">SUM(B199*C199)</f>
        <v>0</v>
      </c>
    </row>
    <row r="200" spans="1:4" ht="15.6" hidden="1" x14ac:dyDescent="0.3">
      <c r="A200" s="51" t="s">
        <v>111</v>
      </c>
      <c r="B200" s="52"/>
      <c r="C200" s="53"/>
      <c r="D200">
        <f t="shared" si="3"/>
        <v>0</v>
      </c>
    </row>
    <row r="201" spans="1:4" ht="15.6" hidden="1" x14ac:dyDescent="0.3">
      <c r="A201" s="51" t="s">
        <v>122</v>
      </c>
      <c r="B201" s="52"/>
      <c r="C201" s="53"/>
      <c r="D201">
        <f t="shared" si="3"/>
        <v>0</v>
      </c>
    </row>
    <row r="202" spans="1:4" ht="15.6" hidden="1" x14ac:dyDescent="0.3">
      <c r="A202" s="51" t="s">
        <v>123</v>
      </c>
      <c r="B202" s="52"/>
      <c r="C202" s="53"/>
      <c r="D202">
        <f t="shared" si="3"/>
        <v>0</v>
      </c>
    </row>
    <row r="203" spans="1:4" ht="15.6" hidden="1" x14ac:dyDescent="0.3">
      <c r="A203" s="51" t="s">
        <v>92</v>
      </c>
      <c r="B203" s="52"/>
      <c r="C203" s="53"/>
      <c r="D203">
        <f t="shared" si="3"/>
        <v>0</v>
      </c>
    </row>
    <row r="204" spans="1:4" x14ac:dyDescent="0.3">
      <c r="D204">
        <f>SUM(D166:D191)</f>
        <v>16822000</v>
      </c>
    </row>
  </sheetData>
  <autoFilter ref="A4:D203" xr:uid="{00000000-0009-0000-0000-000008000000}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120"/>
  <sheetViews>
    <sheetView workbookViewId="0">
      <selection activeCell="H61" sqref="H61"/>
    </sheetView>
  </sheetViews>
  <sheetFormatPr defaultRowHeight="14.4" x14ac:dyDescent="0.3"/>
  <cols>
    <col min="1" max="1" width="34.109375" customWidth="1"/>
    <col min="2" max="2" width="7.6640625" customWidth="1"/>
    <col min="3" max="3" width="17.33203125" customWidth="1"/>
    <col min="4" max="4" width="16.6640625" customWidth="1"/>
    <col min="5" max="5" width="21.44140625" customWidth="1"/>
  </cols>
  <sheetData>
    <row r="1" spans="1:5" x14ac:dyDescent="0.3">
      <c r="A1" s="87" t="s">
        <v>578</v>
      </c>
      <c r="B1" s="87"/>
      <c r="C1" s="88"/>
      <c r="D1" s="88"/>
      <c r="E1" s="88"/>
    </row>
    <row r="2" spans="1:5" ht="18.600000000000001" x14ac:dyDescent="0.3">
      <c r="A2" s="60" t="s">
        <v>0</v>
      </c>
      <c r="B2" s="60" t="s">
        <v>562</v>
      </c>
      <c r="C2" s="61" t="s">
        <v>523</v>
      </c>
      <c r="D2" s="82" t="s">
        <v>518</v>
      </c>
      <c r="E2" s="65" t="s">
        <v>519</v>
      </c>
    </row>
    <row r="3" spans="1:5" x14ac:dyDescent="0.3">
      <c r="A3" s="62" t="s">
        <v>1</v>
      </c>
      <c r="B3" s="62" t="s">
        <v>563</v>
      </c>
      <c r="C3" s="63">
        <v>23</v>
      </c>
      <c r="D3" s="66">
        <v>16000</v>
      </c>
      <c r="E3" s="66">
        <f>C3*D3</f>
        <v>368000</v>
      </c>
    </row>
    <row r="4" spans="1:5" ht="14.4" hidden="1" customHeight="1" x14ac:dyDescent="0.3">
      <c r="A4" s="62" t="s">
        <v>2</v>
      </c>
      <c r="B4" s="62" t="s">
        <v>564</v>
      </c>
      <c r="C4" s="63"/>
      <c r="D4" s="66"/>
      <c r="E4" s="66">
        <f t="shared" ref="E4:E68" si="0">C4*D4</f>
        <v>0</v>
      </c>
    </row>
    <row r="5" spans="1:5" ht="14.4" hidden="1" customHeight="1" x14ac:dyDescent="0.3">
      <c r="A5" s="62" t="s">
        <v>4</v>
      </c>
      <c r="B5" s="62" t="s">
        <v>565</v>
      </c>
      <c r="C5" s="63"/>
      <c r="D5" s="66"/>
      <c r="E5" s="66">
        <f t="shared" si="0"/>
        <v>0</v>
      </c>
    </row>
    <row r="6" spans="1:5" ht="14.4" hidden="1" customHeight="1" x14ac:dyDescent="0.3">
      <c r="A6" s="62" t="s">
        <v>5</v>
      </c>
      <c r="B6" s="62" t="s">
        <v>563</v>
      </c>
      <c r="C6" s="63"/>
      <c r="D6" s="66"/>
      <c r="E6" s="66">
        <f t="shared" si="0"/>
        <v>0</v>
      </c>
    </row>
    <row r="7" spans="1:5" x14ac:dyDescent="0.3">
      <c r="A7" s="62" t="s">
        <v>6</v>
      </c>
      <c r="B7" s="62" t="s">
        <v>563</v>
      </c>
      <c r="C7" s="63">
        <v>20</v>
      </c>
      <c r="D7" s="66">
        <v>16000</v>
      </c>
      <c r="E7" s="66">
        <f t="shared" si="0"/>
        <v>320000</v>
      </c>
    </row>
    <row r="8" spans="1:5" ht="14.4" hidden="1" customHeight="1" x14ac:dyDescent="0.3">
      <c r="A8" s="62" t="s">
        <v>9</v>
      </c>
      <c r="B8" s="62" t="s">
        <v>563</v>
      </c>
      <c r="C8" s="63"/>
      <c r="D8" s="66"/>
      <c r="E8" s="66">
        <f t="shared" si="0"/>
        <v>0</v>
      </c>
    </row>
    <row r="9" spans="1:5" x14ac:dyDescent="0.3">
      <c r="A9" s="62" t="s">
        <v>11</v>
      </c>
      <c r="B9" s="62" t="s">
        <v>563</v>
      </c>
      <c r="C9" s="63">
        <v>505</v>
      </c>
      <c r="D9" s="66">
        <v>26000</v>
      </c>
      <c r="E9" s="66">
        <f t="shared" si="0"/>
        <v>13130000</v>
      </c>
    </row>
    <row r="10" spans="1:5" x14ac:dyDescent="0.3">
      <c r="A10" s="62" t="s">
        <v>12</v>
      </c>
      <c r="B10" s="62" t="s">
        <v>563</v>
      </c>
      <c r="C10" s="63">
        <v>240</v>
      </c>
      <c r="D10" s="66">
        <v>25000</v>
      </c>
      <c r="E10" s="66">
        <f t="shared" si="0"/>
        <v>6000000</v>
      </c>
    </row>
    <row r="11" spans="1:5" ht="14.4" hidden="1" customHeight="1" x14ac:dyDescent="0.3">
      <c r="A11" s="62" t="s">
        <v>16</v>
      </c>
      <c r="B11" s="62" t="s">
        <v>563</v>
      </c>
      <c r="C11" s="63"/>
      <c r="D11" s="66"/>
      <c r="E11" s="66">
        <f t="shared" si="0"/>
        <v>0</v>
      </c>
    </row>
    <row r="12" spans="1:5" ht="14.4" hidden="1" customHeight="1" x14ac:dyDescent="0.3">
      <c r="A12" s="62" t="s">
        <v>18</v>
      </c>
      <c r="B12" s="62" t="s">
        <v>563</v>
      </c>
      <c r="C12" s="63"/>
      <c r="D12" s="66"/>
      <c r="E12" s="66">
        <f t="shared" si="0"/>
        <v>0</v>
      </c>
    </row>
    <row r="13" spans="1:5" ht="14.4" hidden="1" customHeight="1" x14ac:dyDescent="0.3">
      <c r="A13" s="62" t="s">
        <v>19</v>
      </c>
      <c r="B13" s="62" t="s">
        <v>563</v>
      </c>
      <c r="C13" s="63"/>
      <c r="D13" s="66"/>
      <c r="E13" s="66">
        <f t="shared" si="0"/>
        <v>0</v>
      </c>
    </row>
    <row r="14" spans="1:5" ht="14.4" hidden="1" customHeight="1" x14ac:dyDescent="0.3">
      <c r="A14" s="62" t="s">
        <v>21</v>
      </c>
      <c r="B14" s="62" t="s">
        <v>563</v>
      </c>
      <c r="C14" s="63"/>
      <c r="D14" s="66"/>
      <c r="E14" s="66">
        <f t="shared" si="0"/>
        <v>0</v>
      </c>
    </row>
    <row r="15" spans="1:5" x14ac:dyDescent="0.3">
      <c r="A15" s="62" t="s">
        <v>22</v>
      </c>
      <c r="B15" s="62" t="s">
        <v>563</v>
      </c>
      <c r="C15" s="63">
        <v>125</v>
      </c>
      <c r="D15" s="66">
        <v>12000</v>
      </c>
      <c r="E15" s="66">
        <f t="shared" si="0"/>
        <v>1500000</v>
      </c>
    </row>
    <row r="16" spans="1:5" x14ac:dyDescent="0.3">
      <c r="A16" s="62" t="s">
        <v>23</v>
      </c>
      <c r="B16" s="62" t="s">
        <v>563</v>
      </c>
      <c r="C16" s="63">
        <v>10</v>
      </c>
      <c r="D16" s="66">
        <v>5500</v>
      </c>
      <c r="E16" s="66">
        <f t="shared" si="0"/>
        <v>55000</v>
      </c>
    </row>
    <row r="17" spans="1:5" ht="14.4" hidden="1" customHeight="1" x14ac:dyDescent="0.3">
      <c r="A17" s="62" t="s">
        <v>25</v>
      </c>
      <c r="B17" s="62" t="s">
        <v>566</v>
      </c>
      <c r="C17" s="63"/>
      <c r="D17" s="66"/>
      <c r="E17" s="66">
        <f t="shared" si="0"/>
        <v>0</v>
      </c>
    </row>
    <row r="18" spans="1:5" ht="14.4" hidden="1" customHeight="1" x14ac:dyDescent="0.3">
      <c r="A18" s="62" t="s">
        <v>26</v>
      </c>
      <c r="B18" s="62" t="s">
        <v>566</v>
      </c>
      <c r="C18" s="64"/>
      <c r="D18" s="68"/>
      <c r="E18" s="66">
        <f t="shared" si="0"/>
        <v>0</v>
      </c>
    </row>
    <row r="19" spans="1:5" ht="14.4" hidden="1" customHeight="1" x14ac:dyDescent="0.3">
      <c r="A19" s="62" t="s">
        <v>26</v>
      </c>
      <c r="B19" s="62" t="s">
        <v>567</v>
      </c>
      <c r="C19" s="64"/>
      <c r="D19" s="68"/>
      <c r="E19" s="66">
        <f t="shared" si="0"/>
        <v>0</v>
      </c>
    </row>
    <row r="20" spans="1:5" x14ac:dyDescent="0.3">
      <c r="A20" s="62" t="s">
        <v>27</v>
      </c>
      <c r="B20" s="62" t="s">
        <v>563</v>
      </c>
      <c r="C20" s="64">
        <v>20</v>
      </c>
      <c r="D20" s="68">
        <v>15000</v>
      </c>
      <c r="E20" s="66">
        <f t="shared" si="0"/>
        <v>300000</v>
      </c>
    </row>
    <row r="21" spans="1:5" ht="14.4" hidden="1" customHeight="1" x14ac:dyDescent="0.3">
      <c r="A21" s="62" t="s">
        <v>28</v>
      </c>
      <c r="B21" s="62" t="s">
        <v>568</v>
      </c>
      <c r="C21" s="64"/>
      <c r="D21" s="68"/>
      <c r="E21" s="66">
        <f t="shared" si="0"/>
        <v>0</v>
      </c>
    </row>
    <row r="22" spans="1:5" ht="14.4" hidden="1" customHeight="1" x14ac:dyDescent="0.3">
      <c r="A22" s="62" t="s">
        <v>32</v>
      </c>
      <c r="B22" s="62" t="s">
        <v>566</v>
      </c>
      <c r="C22" s="64"/>
      <c r="D22" s="68"/>
      <c r="E22" s="66">
        <f t="shared" si="0"/>
        <v>0</v>
      </c>
    </row>
    <row r="23" spans="1:5" ht="14.4" hidden="1" customHeight="1" x14ac:dyDescent="0.3">
      <c r="A23" s="62" t="s">
        <v>33</v>
      </c>
      <c r="B23" s="62" t="s">
        <v>566</v>
      </c>
      <c r="C23" s="64"/>
      <c r="D23" s="68"/>
      <c r="E23" s="66">
        <f t="shared" si="0"/>
        <v>0</v>
      </c>
    </row>
    <row r="24" spans="1:5" ht="14.4" hidden="1" customHeight="1" x14ac:dyDescent="0.3">
      <c r="A24" s="62" t="s">
        <v>34</v>
      </c>
      <c r="B24" s="62" t="s">
        <v>566</v>
      </c>
      <c r="C24" s="64"/>
      <c r="D24" s="68"/>
      <c r="E24" s="66">
        <f t="shared" si="0"/>
        <v>0</v>
      </c>
    </row>
    <row r="25" spans="1:5" ht="14.4" hidden="1" customHeight="1" x14ac:dyDescent="0.3">
      <c r="A25" s="62" t="s">
        <v>35</v>
      </c>
      <c r="B25" s="62" t="s">
        <v>569</v>
      </c>
      <c r="C25" s="64"/>
      <c r="D25" s="68"/>
      <c r="E25" s="66">
        <f t="shared" si="0"/>
        <v>0</v>
      </c>
    </row>
    <row r="26" spans="1:5" ht="14.4" hidden="1" customHeight="1" x14ac:dyDescent="0.3">
      <c r="A26" s="62" t="s">
        <v>37</v>
      </c>
      <c r="B26" s="62" t="s">
        <v>563</v>
      </c>
      <c r="C26" s="64"/>
      <c r="D26" s="68"/>
      <c r="E26" s="66">
        <f t="shared" si="0"/>
        <v>0</v>
      </c>
    </row>
    <row r="27" spans="1:5" ht="14.4" hidden="1" customHeight="1" x14ac:dyDescent="0.3">
      <c r="A27" s="62" t="s">
        <v>39</v>
      </c>
      <c r="B27" s="62" t="s">
        <v>568</v>
      </c>
      <c r="C27" s="64"/>
      <c r="D27" s="68"/>
      <c r="E27" s="66">
        <f t="shared" si="0"/>
        <v>0</v>
      </c>
    </row>
    <row r="28" spans="1:5" ht="14.4" hidden="1" customHeight="1" x14ac:dyDescent="0.3">
      <c r="A28" s="62" t="s">
        <v>41</v>
      </c>
      <c r="B28" s="62" t="s">
        <v>568</v>
      </c>
      <c r="C28" s="64"/>
      <c r="D28" s="68"/>
      <c r="E28" s="66">
        <f t="shared" si="0"/>
        <v>0</v>
      </c>
    </row>
    <row r="29" spans="1:5" ht="14.4" hidden="1" customHeight="1" x14ac:dyDescent="0.3">
      <c r="A29" s="62" t="s">
        <v>42</v>
      </c>
      <c r="B29" s="62" t="s">
        <v>563</v>
      </c>
      <c r="C29" s="64"/>
      <c r="D29" s="68"/>
      <c r="E29" s="66">
        <f t="shared" si="0"/>
        <v>0</v>
      </c>
    </row>
    <row r="30" spans="1:5" ht="14.4" hidden="1" customHeight="1" x14ac:dyDescent="0.3">
      <c r="A30" s="62" t="s">
        <v>43</v>
      </c>
      <c r="B30" s="62" t="s">
        <v>566</v>
      </c>
      <c r="C30" s="64"/>
      <c r="D30" s="68"/>
      <c r="E30" s="66">
        <f t="shared" si="0"/>
        <v>0</v>
      </c>
    </row>
    <row r="31" spans="1:5" ht="14.4" hidden="1" customHeight="1" x14ac:dyDescent="0.3">
      <c r="A31" s="62" t="s">
        <v>44</v>
      </c>
      <c r="B31" s="62" t="s">
        <v>566</v>
      </c>
      <c r="C31" s="64"/>
      <c r="D31" s="68"/>
      <c r="E31" s="66">
        <f t="shared" si="0"/>
        <v>0</v>
      </c>
    </row>
    <row r="32" spans="1:5" ht="14.4" hidden="1" customHeight="1" x14ac:dyDescent="0.3">
      <c r="A32" s="62" t="s">
        <v>46</v>
      </c>
      <c r="B32" s="62" t="s">
        <v>568</v>
      </c>
      <c r="C32" s="64"/>
      <c r="D32" s="68"/>
      <c r="E32" s="66">
        <f t="shared" si="0"/>
        <v>0</v>
      </c>
    </row>
    <row r="33" spans="1:5" ht="14.4" hidden="1" customHeight="1" x14ac:dyDescent="0.3">
      <c r="A33" s="62" t="s">
        <v>47</v>
      </c>
      <c r="B33" s="62" t="s">
        <v>563</v>
      </c>
      <c r="C33" s="64"/>
      <c r="D33" s="68"/>
      <c r="E33" s="66">
        <f t="shared" si="0"/>
        <v>0</v>
      </c>
    </row>
    <row r="34" spans="1:5" ht="14.4" hidden="1" customHeight="1" x14ac:dyDescent="0.3">
      <c r="A34" s="62" t="s">
        <v>48</v>
      </c>
      <c r="B34" s="62" t="s">
        <v>563</v>
      </c>
      <c r="C34" s="64"/>
      <c r="D34" s="68"/>
      <c r="E34" s="66">
        <f t="shared" si="0"/>
        <v>0</v>
      </c>
    </row>
    <row r="35" spans="1:5" ht="14.4" hidden="1" customHeight="1" x14ac:dyDescent="0.3">
      <c r="A35" s="62" t="s">
        <v>51</v>
      </c>
      <c r="B35" s="62" t="s">
        <v>570</v>
      </c>
      <c r="C35" s="64"/>
      <c r="D35" s="68"/>
      <c r="E35" s="66">
        <f t="shared" si="0"/>
        <v>0</v>
      </c>
    </row>
    <row r="36" spans="1:5" ht="14.4" hidden="1" customHeight="1" x14ac:dyDescent="0.3">
      <c r="A36" s="62" t="s">
        <v>52</v>
      </c>
      <c r="B36" s="62" t="s">
        <v>570</v>
      </c>
      <c r="C36" s="64"/>
      <c r="D36" s="68"/>
      <c r="E36" s="66">
        <f t="shared" si="0"/>
        <v>0</v>
      </c>
    </row>
    <row r="37" spans="1:5" x14ac:dyDescent="0.3">
      <c r="A37" s="62" t="s">
        <v>53</v>
      </c>
      <c r="B37" s="62" t="s">
        <v>563</v>
      </c>
      <c r="C37" s="64">
        <v>195</v>
      </c>
      <c r="D37" s="68">
        <v>22000</v>
      </c>
      <c r="E37" s="66">
        <f t="shared" si="0"/>
        <v>4290000</v>
      </c>
    </row>
    <row r="38" spans="1:5" ht="14.4" hidden="1" customHeight="1" x14ac:dyDescent="0.3">
      <c r="A38" s="62" t="s">
        <v>54</v>
      </c>
      <c r="B38" s="62" t="s">
        <v>564</v>
      </c>
      <c r="C38" s="64"/>
      <c r="D38" s="68"/>
      <c r="E38" s="66">
        <f t="shared" si="0"/>
        <v>0</v>
      </c>
    </row>
    <row r="39" spans="1:5" ht="14.4" hidden="1" customHeight="1" x14ac:dyDescent="0.3">
      <c r="A39" s="62" t="s">
        <v>57</v>
      </c>
      <c r="B39" s="62" t="s">
        <v>565</v>
      </c>
      <c r="C39" s="64"/>
      <c r="D39" s="68"/>
      <c r="E39" s="66">
        <f t="shared" si="0"/>
        <v>0</v>
      </c>
    </row>
    <row r="40" spans="1:5" x14ac:dyDescent="0.3">
      <c r="A40" s="62" t="s">
        <v>60</v>
      </c>
      <c r="B40" s="62" t="s">
        <v>563</v>
      </c>
      <c r="C40" s="64">
        <v>745</v>
      </c>
      <c r="D40" s="68">
        <v>17000</v>
      </c>
      <c r="E40" s="66">
        <f t="shared" si="0"/>
        <v>12665000</v>
      </c>
    </row>
    <row r="41" spans="1:5" ht="14.4" hidden="1" customHeight="1" x14ac:dyDescent="0.3">
      <c r="A41" s="62" t="s">
        <v>64</v>
      </c>
      <c r="B41" s="62" t="s">
        <v>563</v>
      </c>
      <c r="C41" s="64"/>
      <c r="D41" s="68"/>
      <c r="E41" s="66">
        <f t="shared" si="0"/>
        <v>0</v>
      </c>
    </row>
    <row r="42" spans="1:5" ht="14.4" hidden="1" customHeight="1" x14ac:dyDescent="0.3">
      <c r="A42" s="62" t="s">
        <v>66</v>
      </c>
      <c r="B42" s="62" t="s">
        <v>566</v>
      </c>
      <c r="C42" s="64"/>
      <c r="D42" s="68"/>
      <c r="E42" s="66">
        <f t="shared" si="0"/>
        <v>0</v>
      </c>
    </row>
    <row r="43" spans="1:5" ht="14.4" hidden="1" customHeight="1" x14ac:dyDescent="0.3">
      <c r="A43" s="62" t="s">
        <v>68</v>
      </c>
      <c r="B43" s="62" t="s">
        <v>566</v>
      </c>
      <c r="C43" s="64"/>
      <c r="D43" s="68"/>
      <c r="E43" s="66">
        <f t="shared" si="0"/>
        <v>0</v>
      </c>
    </row>
    <row r="44" spans="1:5" ht="14.4" hidden="1" customHeight="1" x14ac:dyDescent="0.3">
      <c r="A44" s="62" t="s">
        <v>69</v>
      </c>
      <c r="B44" s="62" t="s">
        <v>563</v>
      </c>
      <c r="C44" s="64"/>
      <c r="D44" s="68"/>
      <c r="E44" s="66">
        <f t="shared" si="0"/>
        <v>0</v>
      </c>
    </row>
    <row r="45" spans="1:5" x14ac:dyDescent="0.3">
      <c r="A45" s="62" t="s">
        <v>72</v>
      </c>
      <c r="B45" s="62" t="s">
        <v>564</v>
      </c>
      <c r="C45" s="64">
        <v>5</v>
      </c>
      <c r="D45" s="68">
        <v>10000</v>
      </c>
      <c r="E45" s="66">
        <f t="shared" si="0"/>
        <v>50000</v>
      </c>
    </row>
    <row r="46" spans="1:5" ht="14.4" hidden="1" customHeight="1" x14ac:dyDescent="0.3">
      <c r="A46" s="62" t="s">
        <v>73</v>
      </c>
      <c r="B46" s="62" t="s">
        <v>563</v>
      </c>
      <c r="C46" s="64"/>
      <c r="D46" s="68"/>
      <c r="E46" s="66">
        <f t="shared" si="0"/>
        <v>0</v>
      </c>
    </row>
    <row r="47" spans="1:5" ht="14.4" hidden="1" customHeight="1" x14ac:dyDescent="0.3">
      <c r="A47" s="62" t="s">
        <v>73</v>
      </c>
      <c r="B47" s="62" t="s">
        <v>566</v>
      </c>
      <c r="C47" s="64"/>
      <c r="D47" s="68"/>
      <c r="E47" s="66">
        <f t="shared" si="0"/>
        <v>0</v>
      </c>
    </row>
    <row r="48" spans="1:5" ht="14.4" hidden="1" customHeight="1" x14ac:dyDescent="0.3">
      <c r="A48" s="62" t="s">
        <v>75</v>
      </c>
      <c r="B48" s="62" t="s">
        <v>563</v>
      </c>
      <c r="C48" s="64"/>
      <c r="D48" s="68"/>
      <c r="E48" s="66">
        <f t="shared" si="0"/>
        <v>0</v>
      </c>
    </row>
    <row r="49" spans="1:5" ht="14.4" hidden="1" customHeight="1" x14ac:dyDescent="0.3">
      <c r="A49" s="62" t="s">
        <v>76</v>
      </c>
      <c r="B49" s="62" t="s">
        <v>570</v>
      </c>
      <c r="C49" s="64"/>
      <c r="D49" s="68"/>
      <c r="E49" s="66">
        <f t="shared" si="0"/>
        <v>0</v>
      </c>
    </row>
    <row r="50" spans="1:5" ht="14.4" hidden="1" customHeight="1" x14ac:dyDescent="0.3">
      <c r="A50" s="62" t="s">
        <v>78</v>
      </c>
      <c r="B50" s="62" t="s">
        <v>570</v>
      </c>
      <c r="C50" s="64"/>
      <c r="D50" s="68"/>
      <c r="E50" s="66">
        <f t="shared" si="0"/>
        <v>0</v>
      </c>
    </row>
    <row r="51" spans="1:5" ht="14.4" hidden="1" customHeight="1" x14ac:dyDescent="0.3">
      <c r="A51" s="62" t="s">
        <v>79</v>
      </c>
      <c r="B51" s="62" t="s">
        <v>570</v>
      </c>
      <c r="C51" s="64"/>
      <c r="D51" s="68"/>
      <c r="E51" s="66">
        <f t="shared" si="0"/>
        <v>0</v>
      </c>
    </row>
    <row r="52" spans="1:5" ht="14.4" hidden="1" customHeight="1" x14ac:dyDescent="0.3">
      <c r="A52" s="62" t="s">
        <v>80</v>
      </c>
      <c r="B52" s="62" t="s">
        <v>566</v>
      </c>
      <c r="C52" s="64"/>
      <c r="D52" s="68"/>
      <c r="E52" s="66">
        <f t="shared" si="0"/>
        <v>0</v>
      </c>
    </row>
    <row r="53" spans="1:5" ht="14.4" hidden="1" customHeight="1" x14ac:dyDescent="0.3">
      <c r="A53" s="62" t="s">
        <v>81</v>
      </c>
      <c r="B53" s="62" t="s">
        <v>563</v>
      </c>
      <c r="C53" s="64"/>
      <c r="D53" s="68"/>
      <c r="E53" s="66">
        <f t="shared" si="0"/>
        <v>0</v>
      </c>
    </row>
    <row r="54" spans="1:5" ht="14.4" hidden="1" customHeight="1" x14ac:dyDescent="0.3">
      <c r="A54" s="62" t="s">
        <v>86</v>
      </c>
      <c r="B54" s="62" t="s">
        <v>565</v>
      </c>
      <c r="C54" s="64"/>
      <c r="D54" s="68"/>
      <c r="E54" s="66">
        <f t="shared" si="0"/>
        <v>0</v>
      </c>
    </row>
    <row r="55" spans="1:5" x14ac:dyDescent="0.3">
      <c r="A55" s="62" t="s">
        <v>92</v>
      </c>
      <c r="B55" s="62" t="s">
        <v>563</v>
      </c>
      <c r="C55" s="64">
        <v>35</v>
      </c>
      <c r="D55" s="68">
        <v>12500</v>
      </c>
      <c r="E55" s="66">
        <f t="shared" si="0"/>
        <v>437500</v>
      </c>
    </row>
    <row r="56" spans="1:5" ht="14.4" hidden="1" customHeight="1" x14ac:dyDescent="0.3">
      <c r="A56" s="62" t="s">
        <v>97</v>
      </c>
      <c r="B56" s="62" t="s">
        <v>564</v>
      </c>
      <c r="C56" s="64"/>
      <c r="D56" s="68"/>
      <c r="E56" s="66">
        <f t="shared" si="0"/>
        <v>0</v>
      </c>
    </row>
    <row r="57" spans="1:5" ht="14.4" hidden="1" customHeight="1" x14ac:dyDescent="0.3">
      <c r="A57" s="62" t="s">
        <v>118</v>
      </c>
      <c r="B57" s="62" t="s">
        <v>571</v>
      </c>
      <c r="C57" s="64"/>
      <c r="D57" s="68"/>
      <c r="E57" s="66">
        <f t="shared" si="0"/>
        <v>0</v>
      </c>
    </row>
    <row r="58" spans="1:5" ht="14.4" hidden="1" customHeight="1" x14ac:dyDescent="0.3">
      <c r="A58" s="62" t="s">
        <v>559</v>
      </c>
      <c r="B58" s="62" t="s">
        <v>566</v>
      </c>
      <c r="C58" s="64"/>
      <c r="D58" s="68"/>
      <c r="E58" s="66">
        <f t="shared" si="0"/>
        <v>0</v>
      </c>
    </row>
    <row r="59" spans="1:5" ht="14.4" hidden="1" customHeight="1" x14ac:dyDescent="0.3">
      <c r="A59" s="62" t="s">
        <v>560</v>
      </c>
      <c r="B59" s="62" t="s">
        <v>572</v>
      </c>
      <c r="C59" s="64"/>
      <c r="D59" s="68"/>
      <c r="E59" s="66">
        <f t="shared" si="0"/>
        <v>0</v>
      </c>
    </row>
    <row r="60" spans="1:5" ht="14.4" hidden="1" customHeight="1" x14ac:dyDescent="0.3">
      <c r="A60" s="62" t="s">
        <v>573</v>
      </c>
      <c r="B60" s="62" t="s">
        <v>572</v>
      </c>
      <c r="C60" s="64"/>
      <c r="D60" s="68"/>
      <c r="E60" s="66">
        <f t="shared" si="0"/>
        <v>0</v>
      </c>
    </row>
    <row r="61" spans="1:5" ht="14.4" customHeight="1" x14ac:dyDescent="0.3">
      <c r="A61" s="62"/>
      <c r="B61" s="62"/>
      <c r="C61" s="64"/>
      <c r="D61" s="68"/>
      <c r="E61" s="66">
        <f>SUM(E3:E55)</f>
        <v>39115500</v>
      </c>
    </row>
    <row r="62" spans="1:5" x14ac:dyDescent="0.3">
      <c r="A62" s="62" t="s">
        <v>579</v>
      </c>
      <c r="B62" s="62"/>
      <c r="C62" s="66"/>
      <c r="D62" s="68"/>
      <c r="E62" s="66">
        <f t="shared" si="0"/>
        <v>0</v>
      </c>
    </row>
    <row r="63" spans="1:5" ht="14.4" hidden="1" customHeight="1" x14ac:dyDescent="0.3">
      <c r="E63" s="66">
        <f t="shared" si="0"/>
        <v>0</v>
      </c>
    </row>
    <row r="64" spans="1:5" ht="15.6" hidden="1" customHeight="1" x14ac:dyDescent="0.3">
      <c r="A64" s="72"/>
      <c r="B64" s="72"/>
      <c r="C64" s="72"/>
      <c r="D64" s="72"/>
      <c r="E64" s="66">
        <f t="shared" si="0"/>
        <v>0</v>
      </c>
    </row>
    <row r="65" spans="1:5" ht="15.6" hidden="1" customHeight="1" x14ac:dyDescent="0.3">
      <c r="A65" s="48"/>
      <c r="B65" s="48"/>
      <c r="C65" s="49"/>
      <c r="D65" s="50"/>
      <c r="E65" s="66">
        <f t="shared" si="0"/>
        <v>0</v>
      </c>
    </row>
    <row r="66" spans="1:5" ht="15.6" x14ac:dyDescent="0.3">
      <c r="A66" s="51" t="s">
        <v>0</v>
      </c>
      <c r="B66" s="51" t="s">
        <v>562</v>
      </c>
      <c r="C66" s="52" t="s">
        <v>523</v>
      </c>
      <c r="D66" s="53" t="s">
        <v>518</v>
      </c>
      <c r="E66" s="66" t="s">
        <v>519</v>
      </c>
    </row>
    <row r="67" spans="1:5" ht="15.6" hidden="1" customHeight="1" x14ac:dyDescent="0.3">
      <c r="A67" s="51" t="s">
        <v>1</v>
      </c>
      <c r="B67" s="51" t="s">
        <v>563</v>
      </c>
      <c r="C67" s="52"/>
      <c r="D67" s="53"/>
      <c r="E67" s="66">
        <f t="shared" si="0"/>
        <v>0</v>
      </c>
    </row>
    <row r="68" spans="1:5" ht="15.6" hidden="1" customHeight="1" x14ac:dyDescent="0.3">
      <c r="A68" s="51" t="s">
        <v>117</v>
      </c>
      <c r="B68" s="51" t="s">
        <v>564</v>
      </c>
      <c r="C68" s="52"/>
      <c r="D68" s="53"/>
      <c r="E68" s="66">
        <f t="shared" si="0"/>
        <v>0</v>
      </c>
    </row>
    <row r="69" spans="1:5" ht="15.6" hidden="1" customHeight="1" x14ac:dyDescent="0.3">
      <c r="A69" s="51" t="s">
        <v>5</v>
      </c>
      <c r="B69" s="51" t="s">
        <v>563</v>
      </c>
      <c r="C69" s="52"/>
      <c r="D69" s="53"/>
      <c r="E69" s="66">
        <f t="shared" ref="E69:E119" si="1">C69*D69</f>
        <v>0</v>
      </c>
    </row>
    <row r="70" spans="1:5" ht="15.6" hidden="1" customHeight="1" x14ac:dyDescent="0.3">
      <c r="A70" s="51" t="s">
        <v>6</v>
      </c>
      <c r="B70" s="51" t="s">
        <v>563</v>
      </c>
      <c r="C70" s="52"/>
      <c r="D70" s="53"/>
      <c r="E70" s="66">
        <f t="shared" si="1"/>
        <v>0</v>
      </c>
    </row>
    <row r="71" spans="1:5" ht="15.6" hidden="1" customHeight="1" x14ac:dyDescent="0.3">
      <c r="A71" s="51" t="s">
        <v>8</v>
      </c>
      <c r="B71" s="51" t="s">
        <v>563</v>
      </c>
      <c r="C71" s="52"/>
      <c r="D71" s="53"/>
      <c r="E71" s="66">
        <f t="shared" si="1"/>
        <v>0</v>
      </c>
    </row>
    <row r="72" spans="1:5" ht="15.6" hidden="1" customHeight="1" x14ac:dyDescent="0.3">
      <c r="A72" s="51" t="s">
        <v>119</v>
      </c>
      <c r="B72" s="51" t="s">
        <v>566</v>
      </c>
      <c r="C72" s="52"/>
      <c r="D72" s="53"/>
      <c r="E72" s="66">
        <f t="shared" si="1"/>
        <v>0</v>
      </c>
    </row>
    <row r="73" spans="1:5" ht="15.6" hidden="1" customHeight="1" x14ac:dyDescent="0.3">
      <c r="A73" s="51" t="s">
        <v>12</v>
      </c>
      <c r="B73" s="51" t="s">
        <v>563</v>
      </c>
      <c r="C73" s="52"/>
      <c r="D73" s="53"/>
      <c r="E73" s="66">
        <f t="shared" si="1"/>
        <v>0</v>
      </c>
    </row>
    <row r="74" spans="1:5" ht="15.6" hidden="1" customHeight="1" x14ac:dyDescent="0.3">
      <c r="A74" s="51" t="s">
        <v>14</v>
      </c>
      <c r="B74" s="51" t="s">
        <v>566</v>
      </c>
      <c r="C74" s="52"/>
      <c r="D74" s="53"/>
      <c r="E74" s="66">
        <f t="shared" si="1"/>
        <v>0</v>
      </c>
    </row>
    <row r="75" spans="1:5" ht="15.6" x14ac:dyDescent="0.3">
      <c r="A75" s="51" t="s">
        <v>15</v>
      </c>
      <c r="B75" s="51" t="s">
        <v>563</v>
      </c>
      <c r="C75" s="52">
        <v>10</v>
      </c>
      <c r="D75" s="53">
        <v>20000</v>
      </c>
      <c r="E75" s="66">
        <f t="shared" si="1"/>
        <v>200000</v>
      </c>
    </row>
    <row r="76" spans="1:5" ht="15.6" hidden="1" customHeight="1" x14ac:dyDescent="0.3">
      <c r="A76" s="51" t="s">
        <v>16</v>
      </c>
      <c r="B76" s="51" t="s">
        <v>563</v>
      </c>
      <c r="C76" s="52"/>
      <c r="D76" s="53"/>
      <c r="E76" s="66">
        <f t="shared" si="1"/>
        <v>0</v>
      </c>
    </row>
    <row r="77" spans="1:5" ht="15.6" hidden="1" customHeight="1" x14ac:dyDescent="0.3">
      <c r="A77" s="51" t="s">
        <v>110</v>
      </c>
      <c r="B77" s="51" t="s">
        <v>563</v>
      </c>
      <c r="C77" s="52"/>
      <c r="D77" s="53"/>
      <c r="E77" s="66">
        <f t="shared" si="1"/>
        <v>0</v>
      </c>
    </row>
    <row r="78" spans="1:5" ht="15.6" hidden="1" customHeight="1" x14ac:dyDescent="0.3">
      <c r="A78" s="51" t="s">
        <v>17</v>
      </c>
      <c r="B78" s="51" t="s">
        <v>563</v>
      </c>
      <c r="C78" s="52"/>
      <c r="D78" s="53"/>
      <c r="E78" s="66">
        <f t="shared" si="1"/>
        <v>0</v>
      </c>
    </row>
    <row r="79" spans="1:5" ht="15.6" hidden="1" customHeight="1" x14ac:dyDescent="0.3">
      <c r="A79" s="51" t="s">
        <v>21</v>
      </c>
      <c r="B79" s="51" t="s">
        <v>563</v>
      </c>
      <c r="C79" s="52"/>
      <c r="D79" s="53"/>
      <c r="E79" s="66">
        <f t="shared" si="1"/>
        <v>0</v>
      </c>
    </row>
    <row r="80" spans="1:5" ht="15.6" hidden="1" customHeight="1" x14ac:dyDescent="0.3">
      <c r="A80" s="51" t="s">
        <v>22</v>
      </c>
      <c r="B80" s="51" t="s">
        <v>563</v>
      </c>
      <c r="C80" s="52"/>
      <c r="D80" s="53"/>
      <c r="E80" s="66">
        <f t="shared" si="1"/>
        <v>0</v>
      </c>
    </row>
    <row r="81" spans="1:5" ht="15.6" hidden="1" customHeight="1" x14ac:dyDescent="0.3">
      <c r="A81" s="51" t="s">
        <v>23</v>
      </c>
      <c r="B81" s="51" t="s">
        <v>563</v>
      </c>
      <c r="C81" s="52"/>
      <c r="D81" s="53"/>
      <c r="E81" s="66">
        <f t="shared" si="1"/>
        <v>0</v>
      </c>
    </row>
    <row r="82" spans="1:5" ht="15.6" hidden="1" customHeight="1" x14ac:dyDescent="0.3">
      <c r="A82" s="51" t="s">
        <v>27</v>
      </c>
      <c r="B82" s="51" t="s">
        <v>563</v>
      </c>
      <c r="C82" s="52"/>
      <c r="D82" s="53"/>
      <c r="E82" s="66">
        <f t="shared" si="1"/>
        <v>0</v>
      </c>
    </row>
    <row r="83" spans="1:5" ht="15.6" hidden="1" customHeight="1" x14ac:dyDescent="0.3">
      <c r="A83" s="51" t="s">
        <v>28</v>
      </c>
      <c r="B83" s="51" t="s">
        <v>563</v>
      </c>
      <c r="C83" s="52"/>
      <c r="D83" s="53"/>
      <c r="E83" s="66">
        <f t="shared" si="1"/>
        <v>0</v>
      </c>
    </row>
    <row r="84" spans="1:5" ht="15.6" hidden="1" customHeight="1" x14ac:dyDescent="0.3">
      <c r="A84" s="51" t="s">
        <v>29</v>
      </c>
      <c r="B84" s="51" t="s">
        <v>563</v>
      </c>
      <c r="C84" s="52"/>
      <c r="D84" s="53"/>
      <c r="E84" s="66">
        <f t="shared" si="1"/>
        <v>0</v>
      </c>
    </row>
    <row r="85" spans="1:5" ht="15.6" hidden="1" customHeight="1" x14ac:dyDescent="0.3">
      <c r="A85" s="51" t="s">
        <v>39</v>
      </c>
      <c r="B85" s="51" t="s">
        <v>568</v>
      </c>
      <c r="C85" s="52"/>
      <c r="D85" s="53"/>
      <c r="E85" s="66">
        <f t="shared" si="1"/>
        <v>0</v>
      </c>
    </row>
    <row r="86" spans="1:5" ht="15.6" hidden="1" customHeight="1" x14ac:dyDescent="0.3">
      <c r="A86" s="51" t="s">
        <v>41</v>
      </c>
      <c r="B86" s="51" t="s">
        <v>568</v>
      </c>
      <c r="C86" s="52"/>
      <c r="D86" s="53"/>
      <c r="E86" s="66">
        <f t="shared" si="1"/>
        <v>0</v>
      </c>
    </row>
    <row r="87" spans="1:5" ht="15.6" hidden="1" customHeight="1" x14ac:dyDescent="0.3">
      <c r="A87" s="51" t="s">
        <v>46</v>
      </c>
      <c r="B87" s="51" t="s">
        <v>568</v>
      </c>
      <c r="C87" s="52"/>
      <c r="D87" s="53"/>
      <c r="E87" s="66">
        <f t="shared" si="1"/>
        <v>0</v>
      </c>
    </row>
    <row r="88" spans="1:5" ht="15.6" x14ac:dyDescent="0.3">
      <c r="A88" s="51" t="s">
        <v>48</v>
      </c>
      <c r="B88" s="51" t="s">
        <v>563</v>
      </c>
      <c r="C88" s="52">
        <v>25</v>
      </c>
      <c r="D88" s="53">
        <v>10000</v>
      </c>
      <c r="E88" s="66">
        <f t="shared" si="1"/>
        <v>250000</v>
      </c>
    </row>
    <row r="89" spans="1:5" ht="15.6" x14ac:dyDescent="0.3">
      <c r="A89" s="51" t="s">
        <v>50</v>
      </c>
      <c r="B89" s="51" t="s">
        <v>563</v>
      </c>
      <c r="C89" s="52">
        <v>300</v>
      </c>
      <c r="D89" s="53">
        <v>6500</v>
      </c>
      <c r="E89" s="66">
        <f t="shared" si="1"/>
        <v>1950000</v>
      </c>
    </row>
    <row r="90" spans="1:5" ht="15.6" hidden="1" customHeight="1" x14ac:dyDescent="0.3">
      <c r="A90" s="51" t="s">
        <v>51</v>
      </c>
      <c r="B90" s="51" t="s">
        <v>563</v>
      </c>
      <c r="C90" s="52"/>
      <c r="D90" s="53"/>
      <c r="E90" s="66">
        <f t="shared" si="1"/>
        <v>0</v>
      </c>
    </row>
    <row r="91" spans="1:5" ht="15.6" hidden="1" customHeight="1" x14ac:dyDescent="0.3">
      <c r="A91" s="51" t="s">
        <v>53</v>
      </c>
      <c r="B91" s="51" t="s">
        <v>563</v>
      </c>
      <c r="C91" s="52"/>
      <c r="D91" s="53"/>
      <c r="E91" s="66">
        <f t="shared" si="1"/>
        <v>0</v>
      </c>
    </row>
    <row r="92" spans="1:5" ht="15.6" hidden="1" customHeight="1" x14ac:dyDescent="0.3">
      <c r="A92" s="51" t="s">
        <v>56</v>
      </c>
      <c r="B92" s="51" t="s">
        <v>565</v>
      </c>
      <c r="C92" s="52"/>
      <c r="D92" s="53"/>
      <c r="E92" s="66">
        <f t="shared" si="1"/>
        <v>0</v>
      </c>
    </row>
    <row r="93" spans="1:5" ht="15.6" hidden="1" customHeight="1" x14ac:dyDescent="0.3">
      <c r="A93" s="51" t="s">
        <v>60</v>
      </c>
      <c r="B93" s="51" t="s">
        <v>563</v>
      </c>
      <c r="C93" s="52"/>
      <c r="D93" s="53"/>
      <c r="E93" s="66">
        <f t="shared" si="1"/>
        <v>0</v>
      </c>
    </row>
    <row r="94" spans="1:5" ht="15.6" hidden="1" customHeight="1" x14ac:dyDescent="0.3">
      <c r="A94" s="51" t="s">
        <v>62</v>
      </c>
      <c r="B94" s="51" t="s">
        <v>563</v>
      </c>
      <c r="C94" s="52"/>
      <c r="D94" s="53"/>
      <c r="E94" s="66">
        <f t="shared" si="1"/>
        <v>0</v>
      </c>
    </row>
    <row r="95" spans="1:5" ht="15.6" x14ac:dyDescent="0.3">
      <c r="A95" s="51" t="s">
        <v>67</v>
      </c>
      <c r="B95" s="51" t="s">
        <v>566</v>
      </c>
      <c r="C95" s="52">
        <v>60</v>
      </c>
      <c r="D95" s="53">
        <v>12000</v>
      </c>
      <c r="E95" s="66">
        <f t="shared" si="1"/>
        <v>720000</v>
      </c>
    </row>
    <row r="96" spans="1:5" ht="15.6" hidden="1" customHeight="1" x14ac:dyDescent="0.3">
      <c r="A96" s="51" t="s">
        <v>68</v>
      </c>
      <c r="B96" s="51" t="s">
        <v>566</v>
      </c>
      <c r="C96" s="52"/>
      <c r="D96" s="53"/>
      <c r="E96" s="66">
        <f t="shared" si="1"/>
        <v>0</v>
      </c>
    </row>
    <row r="97" spans="1:5" ht="15.6" hidden="1" customHeight="1" x14ac:dyDescent="0.3">
      <c r="A97" s="51" t="s">
        <v>72</v>
      </c>
      <c r="B97" s="51" t="s">
        <v>564</v>
      </c>
      <c r="C97" s="52"/>
      <c r="D97" s="53"/>
      <c r="E97" s="66">
        <f t="shared" si="1"/>
        <v>0</v>
      </c>
    </row>
    <row r="98" spans="1:5" ht="15.6" hidden="1" customHeight="1" x14ac:dyDescent="0.3">
      <c r="A98" s="51" t="s">
        <v>76</v>
      </c>
      <c r="B98" s="51" t="s">
        <v>563</v>
      </c>
      <c r="C98" s="52"/>
      <c r="D98" s="53"/>
      <c r="E98" s="66">
        <f t="shared" si="1"/>
        <v>0</v>
      </c>
    </row>
    <row r="99" spans="1:5" ht="15.6" hidden="1" customHeight="1" x14ac:dyDescent="0.3">
      <c r="A99" s="51" t="s">
        <v>78</v>
      </c>
      <c r="B99" s="51" t="s">
        <v>563</v>
      </c>
      <c r="C99" s="52"/>
      <c r="D99" s="53"/>
      <c r="E99" s="66">
        <f t="shared" si="1"/>
        <v>0</v>
      </c>
    </row>
    <row r="100" spans="1:5" ht="15.6" hidden="1" customHeight="1" x14ac:dyDescent="0.3">
      <c r="A100" s="51" t="s">
        <v>79</v>
      </c>
      <c r="B100" s="51" t="s">
        <v>563</v>
      </c>
      <c r="C100" s="52"/>
      <c r="D100" s="53"/>
      <c r="E100" s="66">
        <f t="shared" si="1"/>
        <v>0</v>
      </c>
    </row>
    <row r="101" spans="1:5" ht="15.6" hidden="1" customHeight="1" x14ac:dyDescent="0.3">
      <c r="A101" s="51" t="s">
        <v>82</v>
      </c>
      <c r="B101" s="51" t="s">
        <v>563</v>
      </c>
      <c r="C101" s="52"/>
      <c r="D101" s="53"/>
      <c r="E101" s="66">
        <f t="shared" si="1"/>
        <v>0</v>
      </c>
    </row>
    <row r="102" spans="1:5" ht="15.6" hidden="1" customHeight="1" x14ac:dyDescent="0.3">
      <c r="A102" s="51" t="s">
        <v>87</v>
      </c>
      <c r="B102" s="51" t="s">
        <v>563</v>
      </c>
      <c r="C102" s="52"/>
      <c r="D102" s="53"/>
      <c r="E102" s="66">
        <f t="shared" si="1"/>
        <v>0</v>
      </c>
    </row>
    <row r="103" spans="1:5" ht="15.6" hidden="1" customHeight="1" x14ac:dyDescent="0.3">
      <c r="A103" s="51" t="s">
        <v>120</v>
      </c>
      <c r="B103" s="51" t="s">
        <v>563</v>
      </c>
      <c r="C103" s="52"/>
      <c r="D103" s="53"/>
      <c r="E103" s="66">
        <f t="shared" si="1"/>
        <v>0</v>
      </c>
    </row>
    <row r="104" spans="1:5" ht="15.6" hidden="1" customHeight="1" x14ac:dyDescent="0.3">
      <c r="A104" s="51" t="s">
        <v>109</v>
      </c>
      <c r="B104" s="51" t="s">
        <v>563</v>
      </c>
      <c r="C104" s="52"/>
      <c r="D104" s="53"/>
      <c r="E104" s="66">
        <f t="shared" si="1"/>
        <v>0</v>
      </c>
    </row>
    <row r="105" spans="1:5" ht="15.6" hidden="1" customHeight="1" x14ac:dyDescent="0.3">
      <c r="A105" s="51" t="s">
        <v>121</v>
      </c>
      <c r="B105" s="51" t="s">
        <v>563</v>
      </c>
      <c r="C105" s="52"/>
      <c r="D105" s="53"/>
      <c r="E105" s="66">
        <f t="shared" si="1"/>
        <v>0</v>
      </c>
    </row>
    <row r="106" spans="1:5" ht="15.6" hidden="1" customHeight="1" x14ac:dyDescent="0.3">
      <c r="A106" s="51" t="s">
        <v>111</v>
      </c>
      <c r="B106" s="51" t="s">
        <v>563</v>
      </c>
      <c r="C106" s="52"/>
      <c r="D106" s="53"/>
      <c r="E106" s="66">
        <f t="shared" si="1"/>
        <v>0</v>
      </c>
    </row>
    <row r="107" spans="1:5" ht="15.6" hidden="1" customHeight="1" x14ac:dyDescent="0.3">
      <c r="A107" s="51" t="s">
        <v>92</v>
      </c>
      <c r="B107" s="51" t="s">
        <v>563</v>
      </c>
      <c r="C107" s="52"/>
      <c r="D107" s="53"/>
      <c r="E107" s="66">
        <f t="shared" si="1"/>
        <v>0</v>
      </c>
    </row>
    <row r="108" spans="1:5" ht="15.6" x14ac:dyDescent="0.3">
      <c r="A108" s="51" t="s">
        <v>125</v>
      </c>
      <c r="B108" s="51" t="s">
        <v>563</v>
      </c>
      <c r="C108" s="52">
        <v>60</v>
      </c>
      <c r="D108" s="53">
        <v>8000</v>
      </c>
      <c r="E108" s="66">
        <f t="shared" si="1"/>
        <v>480000</v>
      </c>
    </row>
    <row r="109" spans="1:5" ht="15.6" hidden="1" customHeight="1" x14ac:dyDescent="0.3">
      <c r="A109" s="51" t="s">
        <v>71</v>
      </c>
      <c r="B109" s="51" t="s">
        <v>563</v>
      </c>
      <c r="C109" s="52"/>
      <c r="D109" s="53"/>
      <c r="E109" s="66">
        <f t="shared" si="1"/>
        <v>0</v>
      </c>
    </row>
    <row r="110" spans="1:5" ht="15.6" hidden="1" customHeight="1" x14ac:dyDescent="0.3">
      <c r="A110" s="51" t="s">
        <v>103</v>
      </c>
      <c r="B110" s="51" t="s">
        <v>563</v>
      </c>
      <c r="C110" s="52"/>
      <c r="D110" s="53"/>
      <c r="E110" s="66">
        <f t="shared" si="1"/>
        <v>0</v>
      </c>
    </row>
    <row r="111" spans="1:5" ht="15.6" hidden="1" customHeight="1" x14ac:dyDescent="0.3">
      <c r="A111" s="51" t="s">
        <v>107</v>
      </c>
      <c r="B111" s="51" t="s">
        <v>563</v>
      </c>
      <c r="C111" s="52"/>
      <c r="D111" s="53"/>
      <c r="E111" s="66">
        <f t="shared" si="1"/>
        <v>0</v>
      </c>
    </row>
    <row r="112" spans="1:5" ht="15.6" hidden="1" customHeight="1" x14ac:dyDescent="0.3">
      <c r="A112" s="51" t="s">
        <v>52</v>
      </c>
      <c r="B112" s="51" t="s">
        <v>563</v>
      </c>
      <c r="C112" s="52"/>
      <c r="D112" s="53"/>
      <c r="E112" s="66">
        <f t="shared" si="1"/>
        <v>0</v>
      </c>
    </row>
    <row r="113" spans="1:5" ht="15.6" hidden="1" customHeight="1" x14ac:dyDescent="0.3">
      <c r="A113" s="51" t="s">
        <v>65</v>
      </c>
      <c r="B113" s="51" t="s">
        <v>563</v>
      </c>
      <c r="C113" s="52"/>
      <c r="D113" s="53"/>
      <c r="E113" s="66">
        <f t="shared" si="1"/>
        <v>0</v>
      </c>
    </row>
    <row r="114" spans="1:5" ht="15.6" hidden="1" customHeight="1" x14ac:dyDescent="0.3">
      <c r="A114" s="51" t="s">
        <v>2</v>
      </c>
      <c r="B114" s="51" t="s">
        <v>563</v>
      </c>
      <c r="C114" s="52"/>
      <c r="D114" s="53"/>
      <c r="E114" s="66">
        <f t="shared" si="1"/>
        <v>0</v>
      </c>
    </row>
    <row r="115" spans="1:5" ht="15.6" hidden="1" customHeight="1" x14ac:dyDescent="0.3">
      <c r="A115" s="51" t="s">
        <v>30</v>
      </c>
      <c r="B115" s="51" t="s">
        <v>563</v>
      </c>
      <c r="C115" s="52"/>
      <c r="D115" s="53"/>
      <c r="E115" s="66">
        <f t="shared" si="1"/>
        <v>0</v>
      </c>
    </row>
    <row r="116" spans="1:5" ht="15.6" hidden="1" customHeight="1" x14ac:dyDescent="0.3">
      <c r="A116" s="51" t="s">
        <v>38</v>
      </c>
      <c r="B116" s="51" t="s">
        <v>563</v>
      </c>
      <c r="C116" s="52"/>
      <c r="D116" s="53"/>
      <c r="E116" s="66">
        <f t="shared" si="1"/>
        <v>0</v>
      </c>
    </row>
    <row r="117" spans="1:5" ht="15.6" hidden="1" customHeight="1" x14ac:dyDescent="0.3">
      <c r="A117" s="51" t="s">
        <v>40</v>
      </c>
      <c r="B117" s="51" t="s">
        <v>563</v>
      </c>
      <c r="C117" s="52"/>
      <c r="D117" s="53"/>
      <c r="E117" s="66">
        <f t="shared" si="1"/>
        <v>0</v>
      </c>
    </row>
    <row r="118" spans="1:5" ht="15.6" hidden="1" customHeight="1" x14ac:dyDescent="0.3">
      <c r="A118" s="72" t="e">
        <v>#N/A</v>
      </c>
      <c r="B118" s="72">
        <v>0</v>
      </c>
      <c r="C118" s="72"/>
      <c r="D118" s="72"/>
      <c r="E118" s="66">
        <f t="shared" si="1"/>
        <v>0</v>
      </c>
    </row>
    <row r="119" spans="1:5" ht="15.6" x14ac:dyDescent="0.3">
      <c r="A119" t="s">
        <v>507</v>
      </c>
      <c r="B119" t="s">
        <v>563</v>
      </c>
      <c r="C119">
        <v>22</v>
      </c>
      <c r="D119" s="96">
        <v>48000</v>
      </c>
      <c r="E119" s="66">
        <f t="shared" si="1"/>
        <v>1056000</v>
      </c>
    </row>
    <row r="120" spans="1:5" x14ac:dyDescent="0.3">
      <c r="E120" s="83">
        <f>SUM(E75:E119)</f>
        <v>4656000</v>
      </c>
    </row>
  </sheetData>
  <autoFilter ref="A2:E119" xr:uid="{00000000-0009-0000-0000-000009000000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219"/>
  <sheetViews>
    <sheetView workbookViewId="0">
      <selection activeCell="G220" sqref="G220"/>
    </sheetView>
  </sheetViews>
  <sheetFormatPr defaultRowHeight="14.4" x14ac:dyDescent="0.3"/>
  <cols>
    <col min="1" max="1" width="39" customWidth="1"/>
    <col min="3" max="3" width="15.5546875" customWidth="1"/>
    <col min="4" max="4" width="18.88671875" customWidth="1"/>
  </cols>
  <sheetData>
    <row r="1" spans="1:4" x14ac:dyDescent="0.3">
      <c r="A1" t="s">
        <v>582</v>
      </c>
    </row>
    <row r="2" spans="1:4" ht="37.200000000000003" x14ac:dyDescent="0.3">
      <c r="A2" s="60" t="s">
        <v>580</v>
      </c>
      <c r="B2" s="61" t="s">
        <v>544</v>
      </c>
      <c r="C2" s="82" t="s">
        <v>518</v>
      </c>
      <c r="D2" s="65" t="s">
        <v>519</v>
      </c>
    </row>
    <row r="3" spans="1:4" hidden="1" x14ac:dyDescent="0.3">
      <c r="A3" s="62" t="s">
        <v>21</v>
      </c>
      <c r="B3" s="63"/>
      <c r="C3" s="66"/>
      <c r="D3" s="66">
        <f>B3*C3</f>
        <v>0</v>
      </c>
    </row>
    <row r="4" spans="1:4" hidden="1" x14ac:dyDescent="0.3">
      <c r="A4" s="62" t="s">
        <v>22</v>
      </c>
      <c r="B4" s="63"/>
      <c r="C4" s="66"/>
      <c r="D4" s="66">
        <f t="shared" ref="D4:D67" si="0">B4*C4</f>
        <v>0</v>
      </c>
    </row>
    <row r="5" spans="1:4" hidden="1" x14ac:dyDescent="0.3">
      <c r="A5" s="62" t="s">
        <v>23</v>
      </c>
      <c r="B5" s="63"/>
      <c r="C5" s="66"/>
      <c r="D5" s="66">
        <f t="shared" si="0"/>
        <v>0</v>
      </c>
    </row>
    <row r="6" spans="1:4" hidden="1" x14ac:dyDescent="0.3">
      <c r="A6" s="62" t="s">
        <v>48</v>
      </c>
      <c r="B6" s="64"/>
      <c r="C6" s="68"/>
      <c r="D6" s="66">
        <f t="shared" si="0"/>
        <v>0</v>
      </c>
    </row>
    <row r="7" spans="1:4" hidden="1" x14ac:dyDescent="0.3">
      <c r="A7" s="62" t="s">
        <v>48</v>
      </c>
      <c r="B7" s="64"/>
      <c r="C7" s="68"/>
      <c r="D7" s="66">
        <f t="shared" si="0"/>
        <v>0</v>
      </c>
    </row>
    <row r="8" spans="1:4" hidden="1" x14ac:dyDescent="0.3">
      <c r="A8" s="62" t="s">
        <v>49</v>
      </c>
      <c r="B8" s="64"/>
      <c r="C8" s="68"/>
      <c r="D8" s="66">
        <f t="shared" si="0"/>
        <v>0</v>
      </c>
    </row>
    <row r="9" spans="1:4" x14ac:dyDescent="0.3">
      <c r="A9" s="62" t="s">
        <v>50</v>
      </c>
      <c r="B9" s="64">
        <v>50</v>
      </c>
      <c r="C9" s="68">
        <v>6500</v>
      </c>
      <c r="D9" s="66">
        <f t="shared" si="0"/>
        <v>325000</v>
      </c>
    </row>
    <row r="10" spans="1:4" hidden="1" x14ac:dyDescent="0.3">
      <c r="A10" s="62" t="s">
        <v>84</v>
      </c>
      <c r="B10" s="64"/>
      <c r="C10" s="68"/>
      <c r="D10" s="66">
        <f t="shared" si="0"/>
        <v>0</v>
      </c>
    </row>
    <row r="11" spans="1:4" hidden="1" x14ac:dyDescent="0.3">
      <c r="A11" s="62" t="s">
        <v>121</v>
      </c>
      <c r="B11" s="64"/>
      <c r="C11" s="68"/>
      <c r="D11" s="66">
        <f t="shared" si="0"/>
        <v>0</v>
      </c>
    </row>
    <row r="12" spans="1:4" hidden="1" x14ac:dyDescent="0.3">
      <c r="A12" s="62" t="s">
        <v>51</v>
      </c>
      <c r="B12" s="64"/>
      <c r="C12" s="68"/>
      <c r="D12" s="66">
        <f t="shared" si="0"/>
        <v>0</v>
      </c>
    </row>
    <row r="13" spans="1:4" hidden="1" x14ac:dyDescent="0.3">
      <c r="A13" s="62" t="s">
        <v>51</v>
      </c>
      <c r="B13" s="64"/>
      <c r="C13" s="68"/>
      <c r="D13" s="66">
        <f t="shared" si="0"/>
        <v>0</v>
      </c>
    </row>
    <row r="14" spans="1:4" hidden="1" x14ac:dyDescent="0.3">
      <c r="A14" s="62" t="s">
        <v>52</v>
      </c>
      <c r="B14" s="64"/>
      <c r="C14" s="68"/>
      <c r="D14" s="66">
        <f t="shared" si="0"/>
        <v>0</v>
      </c>
    </row>
    <row r="15" spans="1:4" hidden="1" x14ac:dyDescent="0.3">
      <c r="A15" s="62" t="s">
        <v>52</v>
      </c>
      <c r="B15" s="64"/>
      <c r="C15" s="68"/>
      <c r="D15" s="66">
        <f t="shared" si="0"/>
        <v>0</v>
      </c>
    </row>
    <row r="16" spans="1:4" hidden="1" x14ac:dyDescent="0.3">
      <c r="A16" s="62" t="s">
        <v>90</v>
      </c>
      <c r="B16" s="64"/>
      <c r="C16" s="68"/>
      <c r="D16" s="66">
        <f t="shared" si="0"/>
        <v>0</v>
      </c>
    </row>
    <row r="17" spans="1:4" hidden="1" x14ac:dyDescent="0.3">
      <c r="A17" s="62" t="s">
        <v>574</v>
      </c>
      <c r="B17" s="64"/>
      <c r="C17" s="68"/>
      <c r="D17" s="66">
        <f t="shared" si="0"/>
        <v>0</v>
      </c>
    </row>
    <row r="18" spans="1:4" x14ac:dyDescent="0.3">
      <c r="A18" s="62" t="s">
        <v>92</v>
      </c>
      <c r="B18" s="64">
        <v>110</v>
      </c>
      <c r="C18" s="68">
        <v>12500</v>
      </c>
      <c r="D18" s="66">
        <f t="shared" si="0"/>
        <v>1375000</v>
      </c>
    </row>
    <row r="19" spans="1:4" hidden="1" x14ac:dyDescent="0.3">
      <c r="A19" s="62" t="s">
        <v>91</v>
      </c>
      <c r="B19" s="64"/>
      <c r="C19" s="68"/>
      <c r="D19" s="66">
        <f t="shared" si="0"/>
        <v>0</v>
      </c>
    </row>
    <row r="20" spans="1:4" hidden="1" x14ac:dyDescent="0.3">
      <c r="A20" s="62" t="s">
        <v>116</v>
      </c>
      <c r="B20" s="64"/>
      <c r="C20" s="68"/>
      <c r="D20" s="66">
        <f t="shared" si="0"/>
        <v>0</v>
      </c>
    </row>
    <row r="21" spans="1:4" hidden="1" x14ac:dyDescent="0.3">
      <c r="A21" s="62" t="s">
        <v>110</v>
      </c>
      <c r="B21" s="64"/>
      <c r="C21" s="68"/>
      <c r="D21" s="66">
        <f t="shared" si="0"/>
        <v>0</v>
      </c>
    </row>
    <row r="22" spans="1:4" hidden="1" x14ac:dyDescent="0.3">
      <c r="A22" s="62" t="s">
        <v>524</v>
      </c>
      <c r="B22" s="64"/>
      <c r="C22" s="68"/>
      <c r="D22" s="66">
        <f t="shared" si="0"/>
        <v>0</v>
      </c>
    </row>
    <row r="23" spans="1:4" hidden="1" x14ac:dyDescent="0.3">
      <c r="A23" s="62" t="s">
        <v>18</v>
      </c>
      <c r="B23" s="63"/>
      <c r="C23" s="66"/>
      <c r="D23" s="66">
        <f t="shared" si="0"/>
        <v>0</v>
      </c>
    </row>
    <row r="24" spans="1:4" hidden="1" x14ac:dyDescent="0.3">
      <c r="A24" s="62" t="s">
        <v>19</v>
      </c>
      <c r="B24" s="63"/>
      <c r="C24" s="66"/>
      <c r="D24" s="66">
        <f t="shared" si="0"/>
        <v>0</v>
      </c>
    </row>
    <row r="25" spans="1:4" hidden="1" x14ac:dyDescent="0.3">
      <c r="A25" s="62" t="s">
        <v>19</v>
      </c>
      <c r="B25" s="63"/>
      <c r="C25" s="66"/>
      <c r="D25" s="66">
        <f t="shared" si="0"/>
        <v>0</v>
      </c>
    </row>
    <row r="26" spans="1:4" hidden="1" x14ac:dyDescent="0.3">
      <c r="A26" s="62" t="s">
        <v>53</v>
      </c>
      <c r="B26" s="64"/>
      <c r="C26" s="68"/>
      <c r="D26" s="66">
        <f t="shared" si="0"/>
        <v>0</v>
      </c>
    </row>
    <row r="27" spans="1:4" hidden="1" x14ac:dyDescent="0.3">
      <c r="A27" s="62" t="s">
        <v>53</v>
      </c>
      <c r="B27" s="64"/>
      <c r="C27" s="68"/>
      <c r="D27" s="66">
        <f t="shared" si="0"/>
        <v>0</v>
      </c>
    </row>
    <row r="28" spans="1:4" hidden="1" x14ac:dyDescent="0.3">
      <c r="A28" s="62" t="s">
        <v>54</v>
      </c>
      <c r="B28" s="64"/>
      <c r="C28" s="68"/>
      <c r="D28" s="66">
        <f t="shared" si="0"/>
        <v>0</v>
      </c>
    </row>
    <row r="29" spans="1:4" hidden="1" x14ac:dyDescent="0.3">
      <c r="A29" s="62" t="s">
        <v>54</v>
      </c>
      <c r="B29" s="64"/>
      <c r="C29" s="68"/>
      <c r="D29" s="66">
        <f t="shared" si="0"/>
        <v>0</v>
      </c>
    </row>
    <row r="30" spans="1:4" hidden="1" x14ac:dyDescent="0.3">
      <c r="A30" s="62" t="s">
        <v>55</v>
      </c>
      <c r="B30" s="64"/>
      <c r="C30" s="68"/>
      <c r="D30" s="66">
        <f t="shared" si="0"/>
        <v>0</v>
      </c>
    </row>
    <row r="31" spans="1:4" hidden="1" x14ac:dyDescent="0.3">
      <c r="A31" s="62" t="s">
        <v>56</v>
      </c>
      <c r="B31" s="64"/>
      <c r="C31" s="68"/>
      <c r="D31" s="66">
        <f t="shared" si="0"/>
        <v>0</v>
      </c>
    </row>
    <row r="32" spans="1:4" hidden="1" x14ac:dyDescent="0.3">
      <c r="A32" s="62" t="s">
        <v>525</v>
      </c>
      <c r="B32" s="64"/>
      <c r="C32" s="68"/>
      <c r="D32" s="66">
        <f t="shared" si="0"/>
        <v>0</v>
      </c>
    </row>
    <row r="33" spans="1:4" hidden="1" x14ac:dyDescent="0.3">
      <c r="A33" s="62" t="s">
        <v>103</v>
      </c>
      <c r="B33" s="64"/>
      <c r="C33" s="68"/>
      <c r="D33" s="66">
        <f t="shared" si="0"/>
        <v>0</v>
      </c>
    </row>
    <row r="34" spans="1:4" hidden="1" x14ac:dyDescent="0.3">
      <c r="A34" s="62" t="s">
        <v>57</v>
      </c>
      <c r="B34" s="64"/>
      <c r="C34" s="68"/>
      <c r="D34" s="66">
        <f t="shared" si="0"/>
        <v>0</v>
      </c>
    </row>
    <row r="35" spans="1:4" hidden="1" x14ac:dyDescent="0.3">
      <c r="A35" s="62" t="s">
        <v>57</v>
      </c>
      <c r="B35" s="64"/>
      <c r="C35" s="68"/>
      <c r="D35" s="66">
        <f t="shared" si="0"/>
        <v>0</v>
      </c>
    </row>
    <row r="36" spans="1:4" hidden="1" x14ac:dyDescent="0.3">
      <c r="A36" s="62" t="s">
        <v>58</v>
      </c>
      <c r="B36" s="64"/>
      <c r="C36" s="68"/>
      <c r="D36" s="66">
        <f t="shared" si="0"/>
        <v>0</v>
      </c>
    </row>
    <row r="37" spans="1:4" hidden="1" x14ac:dyDescent="0.3">
      <c r="A37" s="62" t="s">
        <v>59</v>
      </c>
      <c r="B37" s="64"/>
      <c r="C37" s="68"/>
      <c r="D37" s="66">
        <f t="shared" si="0"/>
        <v>0</v>
      </c>
    </row>
    <row r="38" spans="1:4" hidden="1" x14ac:dyDescent="0.3">
      <c r="A38" s="62" t="s">
        <v>86</v>
      </c>
      <c r="B38" s="64"/>
      <c r="C38" s="68"/>
      <c r="D38" s="66">
        <f t="shared" si="0"/>
        <v>0</v>
      </c>
    </row>
    <row r="39" spans="1:4" hidden="1" x14ac:dyDescent="0.3">
      <c r="A39" s="62" t="s">
        <v>60</v>
      </c>
      <c r="B39" s="64"/>
      <c r="C39" s="68"/>
      <c r="D39" s="66">
        <f t="shared" si="0"/>
        <v>0</v>
      </c>
    </row>
    <row r="40" spans="1:4" hidden="1" x14ac:dyDescent="0.3">
      <c r="A40" s="62" t="s">
        <v>60</v>
      </c>
      <c r="B40" s="64"/>
      <c r="C40" s="68"/>
      <c r="D40" s="66">
        <f t="shared" si="0"/>
        <v>0</v>
      </c>
    </row>
    <row r="41" spans="1:4" hidden="1" x14ac:dyDescent="0.3">
      <c r="A41" s="62" t="s">
        <v>60</v>
      </c>
      <c r="B41" s="64"/>
      <c r="C41" s="68"/>
      <c r="D41" s="66">
        <f t="shared" si="0"/>
        <v>0</v>
      </c>
    </row>
    <row r="42" spans="1:4" hidden="1" x14ac:dyDescent="0.3">
      <c r="A42" s="62" t="s">
        <v>61</v>
      </c>
      <c r="B42" s="64"/>
      <c r="C42" s="68"/>
      <c r="D42" s="66">
        <f t="shared" si="0"/>
        <v>0</v>
      </c>
    </row>
    <row r="43" spans="1:4" hidden="1" x14ac:dyDescent="0.3">
      <c r="A43" s="62" t="s">
        <v>1</v>
      </c>
      <c r="B43" s="63"/>
      <c r="C43" s="66"/>
      <c r="D43" s="66">
        <f t="shared" si="0"/>
        <v>0</v>
      </c>
    </row>
    <row r="44" spans="1:4" hidden="1" x14ac:dyDescent="0.3">
      <c r="A44" s="62" t="s">
        <v>1</v>
      </c>
      <c r="B44" s="63"/>
      <c r="C44" s="66"/>
      <c r="D44" s="66">
        <f t="shared" si="0"/>
        <v>0</v>
      </c>
    </row>
    <row r="45" spans="1:4" hidden="1" x14ac:dyDescent="0.3">
      <c r="A45" s="62" t="s">
        <v>2</v>
      </c>
      <c r="B45" s="63"/>
      <c r="C45" s="66"/>
      <c r="D45" s="66">
        <f t="shared" si="0"/>
        <v>0</v>
      </c>
    </row>
    <row r="46" spans="1:4" hidden="1" x14ac:dyDescent="0.3">
      <c r="A46" s="62" t="s">
        <v>2</v>
      </c>
      <c r="B46" s="63"/>
      <c r="C46" s="66"/>
      <c r="D46" s="66">
        <f t="shared" si="0"/>
        <v>0</v>
      </c>
    </row>
    <row r="47" spans="1:4" hidden="1" x14ac:dyDescent="0.3">
      <c r="A47" s="62" t="s">
        <v>62</v>
      </c>
      <c r="B47" s="64"/>
      <c r="C47" s="68"/>
      <c r="D47" s="66">
        <f t="shared" si="0"/>
        <v>0</v>
      </c>
    </row>
    <row r="48" spans="1:4" hidden="1" x14ac:dyDescent="0.3">
      <c r="A48" s="62" t="s">
        <v>63</v>
      </c>
      <c r="B48" s="64"/>
      <c r="C48" s="68"/>
      <c r="D48" s="66">
        <f t="shared" si="0"/>
        <v>0</v>
      </c>
    </row>
    <row r="49" spans="1:4" hidden="1" x14ac:dyDescent="0.3">
      <c r="A49" s="62" t="s">
        <v>558</v>
      </c>
      <c r="B49" s="64"/>
      <c r="C49" s="68"/>
      <c r="D49" s="66">
        <f t="shared" si="0"/>
        <v>0</v>
      </c>
    </row>
    <row r="50" spans="1:4" hidden="1" x14ac:dyDescent="0.3">
      <c r="A50" s="62" t="s">
        <v>24</v>
      </c>
      <c r="B50" s="63"/>
      <c r="C50" s="66"/>
      <c r="D50" s="66">
        <f t="shared" si="0"/>
        <v>0</v>
      </c>
    </row>
    <row r="51" spans="1:4" hidden="1" x14ac:dyDescent="0.3">
      <c r="A51" s="62" t="s">
        <v>24</v>
      </c>
      <c r="B51" s="63"/>
      <c r="C51" s="66"/>
      <c r="D51" s="66">
        <f t="shared" si="0"/>
        <v>0</v>
      </c>
    </row>
    <row r="52" spans="1:4" hidden="1" x14ac:dyDescent="0.3">
      <c r="A52" s="62" t="s">
        <v>557</v>
      </c>
      <c r="B52" s="63"/>
      <c r="C52" s="66"/>
      <c r="D52" s="66">
        <f t="shared" si="0"/>
        <v>0</v>
      </c>
    </row>
    <row r="53" spans="1:4" hidden="1" x14ac:dyDescent="0.3">
      <c r="A53" s="62" t="s">
        <v>25</v>
      </c>
      <c r="B53" s="63"/>
      <c r="C53" s="66"/>
      <c r="D53" s="66">
        <f t="shared" si="0"/>
        <v>0</v>
      </c>
    </row>
    <row r="54" spans="1:4" hidden="1" x14ac:dyDescent="0.3">
      <c r="A54" s="62" t="s">
        <v>26</v>
      </c>
      <c r="B54" s="63"/>
      <c r="C54" s="66"/>
      <c r="D54" s="66">
        <f t="shared" si="0"/>
        <v>0</v>
      </c>
    </row>
    <row r="55" spans="1:4" hidden="1" x14ac:dyDescent="0.3">
      <c r="A55" s="62" t="s">
        <v>26</v>
      </c>
      <c r="B55" s="63"/>
      <c r="C55" s="66"/>
      <c r="D55" s="66">
        <f t="shared" si="0"/>
        <v>0</v>
      </c>
    </row>
    <row r="56" spans="1:4" hidden="1" x14ac:dyDescent="0.3">
      <c r="A56" s="62" t="s">
        <v>26</v>
      </c>
      <c r="B56" s="63"/>
      <c r="C56" s="66"/>
      <c r="D56" s="66">
        <f t="shared" si="0"/>
        <v>0</v>
      </c>
    </row>
    <row r="57" spans="1:4" hidden="1" x14ac:dyDescent="0.3">
      <c r="A57" s="62" t="s">
        <v>573</v>
      </c>
      <c r="B57" s="64"/>
      <c r="C57" s="68"/>
      <c r="D57" s="66">
        <f t="shared" si="0"/>
        <v>0</v>
      </c>
    </row>
    <row r="58" spans="1:4" hidden="1" x14ac:dyDescent="0.3">
      <c r="A58" s="62" t="s">
        <v>573</v>
      </c>
      <c r="B58" s="64"/>
      <c r="C58" s="68"/>
      <c r="D58" s="66">
        <f t="shared" si="0"/>
        <v>0</v>
      </c>
    </row>
    <row r="59" spans="1:4" hidden="1" x14ac:dyDescent="0.3">
      <c r="A59" s="62" t="s">
        <v>27</v>
      </c>
      <c r="B59" s="63"/>
      <c r="C59" s="66"/>
      <c r="D59" s="66">
        <f t="shared" si="0"/>
        <v>0</v>
      </c>
    </row>
    <row r="60" spans="1:4" hidden="1" x14ac:dyDescent="0.3">
      <c r="A60" s="62" t="s">
        <v>560</v>
      </c>
      <c r="B60" s="64"/>
      <c r="C60" s="68"/>
      <c r="D60" s="66">
        <f t="shared" si="0"/>
        <v>0</v>
      </c>
    </row>
    <row r="61" spans="1:4" hidden="1" x14ac:dyDescent="0.3">
      <c r="A61" s="62" t="s">
        <v>560</v>
      </c>
      <c r="B61" s="64"/>
      <c r="C61" s="68"/>
      <c r="D61" s="66">
        <f t="shared" si="0"/>
        <v>0</v>
      </c>
    </row>
    <row r="62" spans="1:4" hidden="1" x14ac:dyDescent="0.3">
      <c r="A62" s="62" t="s">
        <v>28</v>
      </c>
      <c r="B62" s="64"/>
      <c r="C62" s="68"/>
      <c r="D62" s="66">
        <f t="shared" si="0"/>
        <v>0</v>
      </c>
    </row>
    <row r="63" spans="1:4" hidden="1" x14ac:dyDescent="0.3">
      <c r="A63" s="62" t="s">
        <v>28</v>
      </c>
      <c r="B63" s="64"/>
      <c r="C63" s="68"/>
      <c r="D63" s="66">
        <f t="shared" si="0"/>
        <v>0</v>
      </c>
    </row>
    <row r="64" spans="1:4" hidden="1" x14ac:dyDescent="0.3">
      <c r="A64" s="62" t="s">
        <v>28</v>
      </c>
      <c r="B64" s="64"/>
      <c r="C64" s="68"/>
      <c r="D64" s="66">
        <f t="shared" si="0"/>
        <v>0</v>
      </c>
    </row>
    <row r="65" spans="1:4" hidden="1" x14ac:dyDescent="0.3">
      <c r="A65" s="62" t="s">
        <v>64</v>
      </c>
      <c r="B65" s="64"/>
      <c r="C65" s="68"/>
      <c r="D65" s="66">
        <f t="shared" si="0"/>
        <v>0</v>
      </c>
    </row>
    <row r="66" spans="1:4" hidden="1" x14ac:dyDescent="0.3">
      <c r="A66" s="62" t="s">
        <v>64</v>
      </c>
      <c r="B66" s="64"/>
      <c r="C66" s="68"/>
      <c r="D66" s="66">
        <f t="shared" si="0"/>
        <v>0</v>
      </c>
    </row>
    <row r="67" spans="1:4" hidden="1" x14ac:dyDescent="0.3">
      <c r="A67" s="62" t="s">
        <v>87</v>
      </c>
      <c r="B67" s="64"/>
      <c r="C67" s="68"/>
      <c r="D67" s="66">
        <f t="shared" si="0"/>
        <v>0</v>
      </c>
    </row>
    <row r="68" spans="1:4" hidden="1" x14ac:dyDescent="0.3">
      <c r="A68" s="62" t="s">
        <v>3</v>
      </c>
      <c r="B68" s="63"/>
      <c r="C68" s="66"/>
      <c r="D68" s="66">
        <f t="shared" ref="D68:D131" si="1">B68*C68</f>
        <v>0</v>
      </c>
    </row>
    <row r="69" spans="1:4" hidden="1" x14ac:dyDescent="0.3">
      <c r="A69" s="62" t="s">
        <v>4</v>
      </c>
      <c r="B69" s="63"/>
      <c r="C69" s="66"/>
      <c r="D69" s="66">
        <f t="shared" si="1"/>
        <v>0</v>
      </c>
    </row>
    <row r="70" spans="1:4" hidden="1" x14ac:dyDescent="0.3">
      <c r="A70" s="62" t="s">
        <v>117</v>
      </c>
      <c r="B70" s="64"/>
      <c r="C70" s="68"/>
      <c r="D70" s="66">
        <f t="shared" si="1"/>
        <v>0</v>
      </c>
    </row>
    <row r="71" spans="1:4" hidden="1" x14ac:dyDescent="0.3">
      <c r="A71" s="62" t="s">
        <v>5</v>
      </c>
      <c r="B71" s="63"/>
      <c r="C71" s="66"/>
      <c r="D71" s="66">
        <f t="shared" si="1"/>
        <v>0</v>
      </c>
    </row>
    <row r="72" spans="1:4" hidden="1" x14ac:dyDescent="0.3">
      <c r="A72" s="62" t="s">
        <v>6</v>
      </c>
      <c r="B72" s="63"/>
      <c r="C72" s="66"/>
      <c r="D72" s="66">
        <f t="shared" si="1"/>
        <v>0</v>
      </c>
    </row>
    <row r="73" spans="1:4" hidden="1" x14ac:dyDescent="0.3">
      <c r="A73" s="62" t="s">
        <v>6</v>
      </c>
      <c r="B73" s="63"/>
      <c r="C73" s="66"/>
      <c r="D73" s="66">
        <f t="shared" si="1"/>
        <v>0</v>
      </c>
    </row>
    <row r="74" spans="1:4" hidden="1" x14ac:dyDescent="0.3">
      <c r="A74" s="62" t="s">
        <v>7</v>
      </c>
      <c r="B74" s="63"/>
      <c r="C74" s="66"/>
      <c r="D74" s="66">
        <f t="shared" si="1"/>
        <v>0</v>
      </c>
    </row>
    <row r="75" spans="1:4" hidden="1" x14ac:dyDescent="0.3">
      <c r="A75" s="62" t="s">
        <v>538</v>
      </c>
      <c r="B75" s="64"/>
      <c r="C75" s="68"/>
      <c r="D75" s="66">
        <f t="shared" si="1"/>
        <v>0</v>
      </c>
    </row>
    <row r="76" spans="1:4" hidden="1" x14ac:dyDescent="0.3">
      <c r="A76" s="62" t="s">
        <v>8</v>
      </c>
      <c r="B76" s="63"/>
      <c r="C76" s="66"/>
      <c r="D76" s="66">
        <f t="shared" si="1"/>
        <v>0</v>
      </c>
    </row>
    <row r="77" spans="1:4" hidden="1" x14ac:dyDescent="0.3">
      <c r="A77" s="62" t="s">
        <v>9</v>
      </c>
      <c r="B77" s="63"/>
      <c r="C77" s="66"/>
      <c r="D77" s="66">
        <f t="shared" si="1"/>
        <v>0</v>
      </c>
    </row>
    <row r="78" spans="1:4" hidden="1" x14ac:dyDescent="0.3">
      <c r="A78" s="62" t="s">
        <v>9</v>
      </c>
      <c r="B78" s="63"/>
      <c r="C78" s="66"/>
      <c r="D78" s="66">
        <f t="shared" si="1"/>
        <v>0</v>
      </c>
    </row>
    <row r="79" spans="1:4" hidden="1" x14ac:dyDescent="0.3">
      <c r="A79" s="62" t="s">
        <v>10</v>
      </c>
      <c r="B79" s="63"/>
      <c r="C79" s="66"/>
      <c r="D79" s="66">
        <f t="shared" si="1"/>
        <v>0</v>
      </c>
    </row>
    <row r="80" spans="1:4" hidden="1" x14ac:dyDescent="0.3">
      <c r="A80" s="62" t="s">
        <v>102</v>
      </c>
      <c r="B80" s="64"/>
      <c r="C80" s="68"/>
      <c r="D80" s="66">
        <f t="shared" si="1"/>
        <v>0</v>
      </c>
    </row>
    <row r="81" spans="1:4" hidden="1" x14ac:dyDescent="0.3">
      <c r="A81" s="62" t="s">
        <v>11</v>
      </c>
      <c r="B81" s="63"/>
      <c r="C81" s="66"/>
      <c r="D81" s="66">
        <f t="shared" si="1"/>
        <v>0</v>
      </c>
    </row>
    <row r="82" spans="1:4" hidden="1" x14ac:dyDescent="0.3">
      <c r="A82" s="62" t="s">
        <v>11</v>
      </c>
      <c r="B82" s="63"/>
      <c r="C82" s="66"/>
      <c r="D82" s="66">
        <f t="shared" si="1"/>
        <v>0</v>
      </c>
    </row>
    <row r="83" spans="1:4" hidden="1" x14ac:dyDescent="0.3">
      <c r="A83" s="62" t="s">
        <v>12</v>
      </c>
      <c r="B83" s="63"/>
      <c r="C83" s="66"/>
      <c r="D83" s="66">
        <f t="shared" si="1"/>
        <v>0</v>
      </c>
    </row>
    <row r="84" spans="1:4" hidden="1" x14ac:dyDescent="0.3">
      <c r="A84" s="62" t="s">
        <v>12</v>
      </c>
      <c r="B84" s="63"/>
      <c r="C84" s="66"/>
      <c r="D84" s="66">
        <f t="shared" si="1"/>
        <v>0</v>
      </c>
    </row>
    <row r="85" spans="1:4" hidden="1" x14ac:dyDescent="0.3">
      <c r="A85" s="62" t="s">
        <v>13</v>
      </c>
      <c r="B85" s="63"/>
      <c r="C85" s="66"/>
      <c r="D85" s="66">
        <f t="shared" si="1"/>
        <v>0</v>
      </c>
    </row>
    <row r="86" spans="1:4" hidden="1" x14ac:dyDescent="0.3">
      <c r="A86" s="62" t="s">
        <v>14</v>
      </c>
      <c r="B86" s="63"/>
      <c r="C86" s="66"/>
      <c r="D86" s="66">
        <f t="shared" si="1"/>
        <v>0</v>
      </c>
    </row>
    <row r="87" spans="1:4" hidden="1" x14ac:dyDescent="0.3">
      <c r="A87" s="62" t="s">
        <v>15</v>
      </c>
      <c r="B87" s="63"/>
      <c r="C87" s="66"/>
      <c r="D87" s="66">
        <f t="shared" si="1"/>
        <v>0</v>
      </c>
    </row>
    <row r="88" spans="1:4" hidden="1" x14ac:dyDescent="0.3">
      <c r="A88" s="62" t="s">
        <v>15</v>
      </c>
      <c r="B88" s="63"/>
      <c r="C88" s="66"/>
      <c r="D88" s="66">
        <f t="shared" si="1"/>
        <v>0</v>
      </c>
    </row>
    <row r="89" spans="1:4" hidden="1" x14ac:dyDescent="0.3">
      <c r="A89" s="62" t="s">
        <v>521</v>
      </c>
      <c r="B89" s="64"/>
      <c r="C89" s="68"/>
      <c r="D89" s="66">
        <f t="shared" si="1"/>
        <v>0</v>
      </c>
    </row>
    <row r="90" spans="1:4" hidden="1" x14ac:dyDescent="0.3">
      <c r="A90" s="62" t="s">
        <v>16</v>
      </c>
      <c r="B90" s="63"/>
      <c r="C90" s="66"/>
      <c r="D90" s="66">
        <f t="shared" si="1"/>
        <v>0</v>
      </c>
    </row>
    <row r="91" spans="1:4" hidden="1" x14ac:dyDescent="0.3">
      <c r="A91" s="62" t="s">
        <v>68</v>
      </c>
      <c r="B91" s="64"/>
      <c r="C91" s="68"/>
      <c r="D91" s="66">
        <f t="shared" si="1"/>
        <v>0</v>
      </c>
    </row>
    <row r="92" spans="1:4" hidden="1" x14ac:dyDescent="0.3">
      <c r="A92" s="62" t="s">
        <v>65</v>
      </c>
      <c r="B92" s="64"/>
      <c r="C92" s="68"/>
      <c r="D92" s="66">
        <f t="shared" si="1"/>
        <v>0</v>
      </c>
    </row>
    <row r="93" spans="1:4" hidden="1" x14ac:dyDescent="0.3">
      <c r="A93" s="62" t="s">
        <v>66</v>
      </c>
      <c r="B93" s="64"/>
      <c r="C93" s="68"/>
      <c r="D93" s="66">
        <f t="shared" si="1"/>
        <v>0</v>
      </c>
    </row>
    <row r="94" spans="1:4" hidden="1" x14ac:dyDescent="0.3">
      <c r="A94" s="94" t="s">
        <v>67</v>
      </c>
      <c r="B94" s="95"/>
      <c r="C94" s="95"/>
      <c r="D94" s="66">
        <f t="shared" si="1"/>
        <v>0</v>
      </c>
    </row>
    <row r="95" spans="1:4" hidden="1" x14ac:dyDescent="0.3">
      <c r="A95" s="62" t="s">
        <v>69</v>
      </c>
      <c r="B95" s="64"/>
      <c r="C95" s="68"/>
      <c r="D95" s="66">
        <f t="shared" si="1"/>
        <v>0</v>
      </c>
    </row>
    <row r="96" spans="1:4" hidden="1" x14ac:dyDescent="0.3">
      <c r="A96" s="62" t="s">
        <v>69</v>
      </c>
      <c r="B96" s="64"/>
      <c r="C96" s="68"/>
      <c r="D96" s="66">
        <f t="shared" si="1"/>
        <v>0</v>
      </c>
    </row>
    <row r="97" spans="1:4" hidden="1" x14ac:dyDescent="0.3">
      <c r="A97" s="62" t="s">
        <v>70</v>
      </c>
      <c r="B97" s="64"/>
      <c r="C97" s="68"/>
      <c r="D97" s="66">
        <f t="shared" si="1"/>
        <v>0</v>
      </c>
    </row>
    <row r="98" spans="1:4" hidden="1" x14ac:dyDescent="0.3">
      <c r="A98" s="62" t="s">
        <v>83</v>
      </c>
      <c r="B98" s="64"/>
      <c r="C98" s="68"/>
      <c r="D98" s="66">
        <f t="shared" si="1"/>
        <v>0</v>
      </c>
    </row>
    <row r="99" spans="1:4" hidden="1" x14ac:dyDescent="0.3">
      <c r="A99" s="62" t="s">
        <v>98</v>
      </c>
      <c r="B99" s="64"/>
      <c r="C99" s="68"/>
      <c r="D99" s="66">
        <f t="shared" si="1"/>
        <v>0</v>
      </c>
    </row>
    <row r="100" spans="1:4" hidden="1" x14ac:dyDescent="0.3">
      <c r="A100" s="62" t="s">
        <v>71</v>
      </c>
      <c r="B100" s="64"/>
      <c r="C100" s="68"/>
      <c r="D100" s="66">
        <f t="shared" si="1"/>
        <v>0</v>
      </c>
    </row>
    <row r="101" spans="1:4" hidden="1" x14ac:dyDescent="0.3">
      <c r="A101" s="62" t="s">
        <v>72</v>
      </c>
      <c r="B101" s="64"/>
      <c r="C101" s="68"/>
      <c r="D101" s="66">
        <f t="shared" si="1"/>
        <v>0</v>
      </c>
    </row>
    <row r="102" spans="1:4" hidden="1" x14ac:dyDescent="0.3">
      <c r="A102" s="62" t="s">
        <v>73</v>
      </c>
      <c r="B102" s="64"/>
      <c r="C102" s="68"/>
      <c r="D102" s="66">
        <f t="shared" si="1"/>
        <v>0</v>
      </c>
    </row>
    <row r="103" spans="1:4" hidden="1" x14ac:dyDescent="0.3">
      <c r="A103" s="62" t="s">
        <v>73</v>
      </c>
      <c r="B103" s="64"/>
      <c r="C103" s="68"/>
      <c r="D103" s="66">
        <f t="shared" si="1"/>
        <v>0</v>
      </c>
    </row>
    <row r="104" spans="1:4" hidden="1" x14ac:dyDescent="0.3">
      <c r="A104" s="62" t="s">
        <v>74</v>
      </c>
      <c r="B104" s="64"/>
      <c r="C104" s="68"/>
      <c r="D104" s="66">
        <f t="shared" si="1"/>
        <v>0</v>
      </c>
    </row>
    <row r="105" spans="1:4" hidden="1" x14ac:dyDescent="0.3">
      <c r="A105" s="62" t="s">
        <v>29</v>
      </c>
      <c r="B105" s="64"/>
      <c r="C105" s="68"/>
      <c r="D105" s="66">
        <f t="shared" si="1"/>
        <v>0</v>
      </c>
    </row>
    <row r="106" spans="1:4" hidden="1" x14ac:dyDescent="0.3">
      <c r="A106" s="62" t="s">
        <v>29</v>
      </c>
      <c r="B106" s="64"/>
      <c r="C106" s="68"/>
      <c r="D106" s="66">
        <f t="shared" si="1"/>
        <v>0</v>
      </c>
    </row>
    <row r="107" spans="1:4" hidden="1" x14ac:dyDescent="0.3">
      <c r="A107" s="62" t="s">
        <v>93</v>
      </c>
      <c r="B107" s="64"/>
      <c r="C107" s="68"/>
      <c r="D107" s="66">
        <f t="shared" si="1"/>
        <v>0</v>
      </c>
    </row>
    <row r="108" spans="1:4" hidden="1" x14ac:dyDescent="0.3">
      <c r="A108" s="62" t="s">
        <v>20</v>
      </c>
      <c r="B108" s="63"/>
      <c r="C108" s="66"/>
      <c r="D108" s="66">
        <f t="shared" si="1"/>
        <v>0</v>
      </c>
    </row>
    <row r="109" spans="1:4" hidden="1" x14ac:dyDescent="0.3">
      <c r="A109" s="62" t="s">
        <v>96</v>
      </c>
      <c r="B109" s="64"/>
      <c r="C109" s="68"/>
      <c r="D109" s="66">
        <f t="shared" si="1"/>
        <v>0</v>
      </c>
    </row>
    <row r="110" spans="1:4" hidden="1" x14ac:dyDescent="0.3">
      <c r="A110" s="62" t="s">
        <v>118</v>
      </c>
      <c r="B110" s="64"/>
      <c r="C110" s="68"/>
      <c r="D110" s="66">
        <f t="shared" si="1"/>
        <v>0</v>
      </c>
    </row>
    <row r="111" spans="1:4" hidden="1" x14ac:dyDescent="0.3">
      <c r="A111" s="62" t="s">
        <v>527</v>
      </c>
      <c r="B111" s="64"/>
      <c r="C111" s="68"/>
      <c r="D111" s="66">
        <f t="shared" si="1"/>
        <v>0</v>
      </c>
    </row>
    <row r="112" spans="1:4" hidden="1" x14ac:dyDescent="0.3">
      <c r="A112" s="62" t="s">
        <v>34</v>
      </c>
      <c r="B112" s="64"/>
      <c r="C112" s="68"/>
      <c r="D112" s="66">
        <f t="shared" si="1"/>
        <v>0</v>
      </c>
    </row>
    <row r="113" spans="1:4" hidden="1" x14ac:dyDescent="0.3">
      <c r="A113" s="62" t="s">
        <v>30</v>
      </c>
      <c r="B113" s="64"/>
      <c r="C113" s="68"/>
      <c r="D113" s="66">
        <f t="shared" si="1"/>
        <v>0</v>
      </c>
    </row>
    <row r="114" spans="1:4" hidden="1" x14ac:dyDescent="0.3">
      <c r="A114" s="62" t="s">
        <v>30</v>
      </c>
      <c r="B114" s="64"/>
      <c r="C114" s="68"/>
      <c r="D114" s="66">
        <f t="shared" si="1"/>
        <v>0</v>
      </c>
    </row>
    <row r="115" spans="1:4" hidden="1" x14ac:dyDescent="0.3">
      <c r="A115" s="62" t="s">
        <v>31</v>
      </c>
      <c r="B115" s="64"/>
      <c r="C115" s="68"/>
      <c r="D115" s="66">
        <f t="shared" si="1"/>
        <v>0</v>
      </c>
    </row>
    <row r="116" spans="1:4" hidden="1" x14ac:dyDescent="0.3">
      <c r="A116" s="62" t="s">
        <v>32</v>
      </c>
      <c r="B116" s="64"/>
      <c r="C116" s="68"/>
      <c r="D116" s="66">
        <f t="shared" si="1"/>
        <v>0</v>
      </c>
    </row>
    <row r="117" spans="1:4" hidden="1" x14ac:dyDescent="0.3">
      <c r="A117" s="62" t="s">
        <v>33</v>
      </c>
      <c r="B117" s="64"/>
      <c r="C117" s="68"/>
      <c r="D117" s="66">
        <f t="shared" si="1"/>
        <v>0</v>
      </c>
    </row>
    <row r="118" spans="1:4" hidden="1" x14ac:dyDescent="0.3">
      <c r="A118" s="62" t="s">
        <v>33</v>
      </c>
      <c r="B118" s="64"/>
      <c r="C118" s="68"/>
      <c r="D118" s="66">
        <f t="shared" si="1"/>
        <v>0</v>
      </c>
    </row>
    <row r="119" spans="1:4" hidden="1" x14ac:dyDescent="0.3">
      <c r="A119" s="62" t="s">
        <v>575</v>
      </c>
      <c r="B119" s="64"/>
      <c r="C119" s="68"/>
      <c r="D119" s="66">
        <f t="shared" si="1"/>
        <v>0</v>
      </c>
    </row>
    <row r="120" spans="1:4" hidden="1" x14ac:dyDescent="0.3">
      <c r="A120" s="62" t="s">
        <v>35</v>
      </c>
      <c r="B120" s="64"/>
      <c r="C120" s="68"/>
      <c r="D120" s="66">
        <f t="shared" si="1"/>
        <v>0</v>
      </c>
    </row>
    <row r="121" spans="1:4" hidden="1" x14ac:dyDescent="0.3">
      <c r="A121" s="62" t="s">
        <v>35</v>
      </c>
      <c r="B121" s="64"/>
      <c r="C121" s="68"/>
      <c r="D121" s="66">
        <f t="shared" si="1"/>
        <v>0</v>
      </c>
    </row>
    <row r="122" spans="1:4" hidden="1" x14ac:dyDescent="0.3">
      <c r="A122" s="62" t="s">
        <v>99</v>
      </c>
      <c r="B122" s="64"/>
      <c r="C122" s="68"/>
      <c r="D122" s="66">
        <f t="shared" si="1"/>
        <v>0</v>
      </c>
    </row>
    <row r="123" spans="1:4" hidden="1" x14ac:dyDescent="0.3">
      <c r="A123" s="62" t="s">
        <v>94</v>
      </c>
      <c r="B123" s="64"/>
      <c r="C123" s="68"/>
      <c r="D123" s="66">
        <f t="shared" si="1"/>
        <v>0</v>
      </c>
    </row>
    <row r="124" spans="1:4" hidden="1" x14ac:dyDescent="0.3">
      <c r="A124" s="62" t="s">
        <v>101</v>
      </c>
      <c r="B124" s="64"/>
      <c r="C124" s="68"/>
      <c r="D124" s="66">
        <f t="shared" si="1"/>
        <v>0</v>
      </c>
    </row>
    <row r="125" spans="1:4" hidden="1" x14ac:dyDescent="0.3">
      <c r="A125" s="62" t="s">
        <v>97</v>
      </c>
      <c r="B125" s="64"/>
      <c r="C125" s="68"/>
      <c r="D125" s="66">
        <f t="shared" si="1"/>
        <v>0</v>
      </c>
    </row>
    <row r="126" spans="1:4" hidden="1" x14ac:dyDescent="0.3">
      <c r="A126" s="62" t="s">
        <v>75</v>
      </c>
      <c r="B126" s="64"/>
      <c r="C126" s="68"/>
      <c r="D126" s="66">
        <f t="shared" si="1"/>
        <v>0</v>
      </c>
    </row>
    <row r="127" spans="1:4" hidden="1" x14ac:dyDescent="0.3">
      <c r="A127" s="62" t="s">
        <v>75</v>
      </c>
      <c r="B127" s="64"/>
      <c r="C127" s="68"/>
      <c r="D127" s="66">
        <f t="shared" si="1"/>
        <v>0</v>
      </c>
    </row>
    <row r="128" spans="1:4" hidden="1" x14ac:dyDescent="0.3">
      <c r="A128" s="62" t="s">
        <v>76</v>
      </c>
      <c r="B128" s="64"/>
      <c r="C128" s="68"/>
      <c r="D128" s="66">
        <f t="shared" si="1"/>
        <v>0</v>
      </c>
    </row>
    <row r="129" spans="1:4" hidden="1" x14ac:dyDescent="0.3">
      <c r="A129" s="62" t="s">
        <v>76</v>
      </c>
      <c r="B129" s="64"/>
      <c r="C129" s="68"/>
      <c r="D129" s="66">
        <f t="shared" si="1"/>
        <v>0</v>
      </c>
    </row>
    <row r="130" spans="1:4" hidden="1" x14ac:dyDescent="0.3">
      <c r="A130" s="62" t="s">
        <v>77</v>
      </c>
      <c r="B130" s="64"/>
      <c r="C130" s="68"/>
      <c r="D130" s="66">
        <f t="shared" si="1"/>
        <v>0</v>
      </c>
    </row>
    <row r="131" spans="1:4" hidden="1" x14ac:dyDescent="0.3">
      <c r="A131" s="62" t="s">
        <v>77</v>
      </c>
      <c r="B131" s="64"/>
      <c r="C131" s="68"/>
      <c r="D131" s="66">
        <f t="shared" si="1"/>
        <v>0</v>
      </c>
    </row>
    <row r="132" spans="1:4" hidden="1" x14ac:dyDescent="0.3">
      <c r="A132" s="62" t="s">
        <v>78</v>
      </c>
      <c r="B132" s="64"/>
      <c r="C132" s="68"/>
      <c r="D132" s="66">
        <f t="shared" ref="D132:D196" si="2">B132*C132</f>
        <v>0</v>
      </c>
    </row>
    <row r="133" spans="1:4" hidden="1" x14ac:dyDescent="0.3">
      <c r="A133" s="62" t="s">
        <v>78</v>
      </c>
      <c r="B133" s="64"/>
      <c r="C133" s="68"/>
      <c r="D133" s="66">
        <f t="shared" si="2"/>
        <v>0</v>
      </c>
    </row>
    <row r="134" spans="1:4" hidden="1" x14ac:dyDescent="0.3">
      <c r="A134" s="62" t="s">
        <v>79</v>
      </c>
      <c r="B134" s="64"/>
      <c r="C134" s="68"/>
      <c r="D134" s="66">
        <f t="shared" si="2"/>
        <v>0</v>
      </c>
    </row>
    <row r="135" spans="1:4" hidden="1" x14ac:dyDescent="0.3">
      <c r="A135" s="62" t="s">
        <v>79</v>
      </c>
      <c r="B135" s="64"/>
      <c r="C135" s="68"/>
      <c r="D135" s="66">
        <f t="shared" si="2"/>
        <v>0</v>
      </c>
    </row>
    <row r="136" spans="1:4" hidden="1" x14ac:dyDescent="0.3">
      <c r="A136" s="62" t="s">
        <v>107</v>
      </c>
      <c r="B136" s="64"/>
      <c r="C136" s="68"/>
      <c r="D136" s="66">
        <f t="shared" si="2"/>
        <v>0</v>
      </c>
    </row>
    <row r="137" spans="1:4" hidden="1" x14ac:dyDescent="0.3">
      <c r="A137" s="62" t="s">
        <v>80</v>
      </c>
      <c r="B137" s="64"/>
      <c r="C137" s="68"/>
      <c r="D137" s="66">
        <f t="shared" si="2"/>
        <v>0</v>
      </c>
    </row>
    <row r="138" spans="1:4" hidden="1" x14ac:dyDescent="0.3">
      <c r="A138" s="62" t="s">
        <v>559</v>
      </c>
      <c r="B138" s="64"/>
      <c r="C138" s="68"/>
      <c r="D138" s="66">
        <f t="shared" si="2"/>
        <v>0</v>
      </c>
    </row>
    <row r="139" spans="1:4" hidden="1" x14ac:dyDescent="0.3">
      <c r="A139" s="62" t="s">
        <v>559</v>
      </c>
      <c r="B139" s="64"/>
      <c r="C139" s="68"/>
      <c r="D139" s="66">
        <f t="shared" si="2"/>
        <v>0</v>
      </c>
    </row>
    <row r="140" spans="1:4" hidden="1" x14ac:dyDescent="0.3">
      <c r="A140" s="62" t="s">
        <v>36</v>
      </c>
      <c r="B140" s="64"/>
      <c r="C140" s="68"/>
      <c r="D140" s="66">
        <f t="shared" si="2"/>
        <v>0</v>
      </c>
    </row>
    <row r="141" spans="1:4" hidden="1" x14ac:dyDescent="0.3">
      <c r="A141" s="62" t="s">
        <v>100</v>
      </c>
      <c r="B141" s="64"/>
      <c r="C141" s="68"/>
      <c r="D141" s="66">
        <f t="shared" si="2"/>
        <v>0</v>
      </c>
    </row>
    <row r="142" spans="1:4" hidden="1" x14ac:dyDescent="0.3">
      <c r="A142" s="62" t="s">
        <v>576</v>
      </c>
      <c r="B142" s="64"/>
      <c r="C142" s="68"/>
      <c r="D142" s="66">
        <f t="shared" si="2"/>
        <v>0</v>
      </c>
    </row>
    <row r="143" spans="1:4" hidden="1" x14ac:dyDescent="0.3">
      <c r="A143" s="62" t="s">
        <v>577</v>
      </c>
      <c r="B143" s="64"/>
      <c r="C143" s="68"/>
      <c r="D143" s="66">
        <f t="shared" si="2"/>
        <v>0</v>
      </c>
    </row>
    <row r="144" spans="1:4" hidden="1" x14ac:dyDescent="0.3">
      <c r="A144" s="62" t="s">
        <v>81</v>
      </c>
      <c r="B144" s="64"/>
      <c r="C144" s="68"/>
      <c r="D144" s="66">
        <f t="shared" si="2"/>
        <v>0</v>
      </c>
    </row>
    <row r="145" spans="1:4" hidden="1" x14ac:dyDescent="0.3">
      <c r="A145" s="62" t="s">
        <v>81</v>
      </c>
      <c r="B145" s="64"/>
      <c r="C145" s="68"/>
      <c r="D145" s="66">
        <f t="shared" si="2"/>
        <v>0</v>
      </c>
    </row>
    <row r="146" spans="1:4" hidden="1" x14ac:dyDescent="0.3">
      <c r="A146" s="62" t="s">
        <v>85</v>
      </c>
      <c r="B146" s="64"/>
      <c r="C146" s="68"/>
      <c r="D146" s="66">
        <f t="shared" si="2"/>
        <v>0</v>
      </c>
    </row>
    <row r="147" spans="1:4" hidden="1" x14ac:dyDescent="0.3">
      <c r="A147" s="62" t="s">
        <v>88</v>
      </c>
      <c r="B147" s="64"/>
      <c r="C147" s="68"/>
      <c r="D147" s="66">
        <f t="shared" si="2"/>
        <v>0</v>
      </c>
    </row>
    <row r="148" spans="1:4" hidden="1" x14ac:dyDescent="0.3">
      <c r="A148" s="62" t="s">
        <v>89</v>
      </c>
      <c r="B148" s="64"/>
      <c r="C148" s="68"/>
      <c r="D148" s="66">
        <f t="shared" si="2"/>
        <v>0</v>
      </c>
    </row>
    <row r="149" spans="1:4" hidden="1" x14ac:dyDescent="0.3">
      <c r="A149" s="62" t="s">
        <v>82</v>
      </c>
      <c r="B149" s="64"/>
      <c r="C149" s="68"/>
      <c r="D149" s="66">
        <f t="shared" si="2"/>
        <v>0</v>
      </c>
    </row>
    <row r="150" spans="1:4" hidden="1" x14ac:dyDescent="0.3">
      <c r="A150" s="62" t="s">
        <v>545</v>
      </c>
      <c r="B150" s="64"/>
      <c r="C150" s="68"/>
      <c r="D150" s="66">
        <f t="shared" si="2"/>
        <v>0</v>
      </c>
    </row>
    <row r="151" spans="1:4" hidden="1" x14ac:dyDescent="0.3">
      <c r="A151" s="62" t="s">
        <v>37</v>
      </c>
      <c r="B151" s="64"/>
      <c r="C151" s="68"/>
      <c r="D151" s="66">
        <f t="shared" si="2"/>
        <v>0</v>
      </c>
    </row>
    <row r="152" spans="1:4" hidden="1" x14ac:dyDescent="0.3">
      <c r="A152" s="62" t="s">
        <v>37</v>
      </c>
      <c r="B152" s="64"/>
      <c r="C152" s="68"/>
      <c r="D152" s="66">
        <f t="shared" si="2"/>
        <v>0</v>
      </c>
    </row>
    <row r="153" spans="1:4" hidden="1" x14ac:dyDescent="0.3">
      <c r="A153" s="62" t="s">
        <v>38</v>
      </c>
      <c r="B153" s="64"/>
      <c r="C153" s="68"/>
      <c r="D153" s="66">
        <f t="shared" si="2"/>
        <v>0</v>
      </c>
    </row>
    <row r="154" spans="1:4" hidden="1" x14ac:dyDescent="0.3">
      <c r="A154" s="62" t="s">
        <v>39</v>
      </c>
      <c r="B154" s="64"/>
      <c r="C154" s="68"/>
      <c r="D154" s="66">
        <f t="shared" si="2"/>
        <v>0</v>
      </c>
    </row>
    <row r="155" spans="1:4" hidden="1" x14ac:dyDescent="0.3">
      <c r="A155" s="62" t="s">
        <v>47</v>
      </c>
      <c r="B155" s="64"/>
      <c r="C155" s="68"/>
      <c r="D155" s="66">
        <f t="shared" si="2"/>
        <v>0</v>
      </c>
    </row>
    <row r="156" spans="1:4" hidden="1" x14ac:dyDescent="0.3">
      <c r="A156" s="62" t="s">
        <v>40</v>
      </c>
      <c r="B156" s="64"/>
      <c r="C156" s="68"/>
      <c r="D156" s="66">
        <f t="shared" si="2"/>
        <v>0</v>
      </c>
    </row>
    <row r="157" spans="1:4" hidden="1" x14ac:dyDescent="0.3">
      <c r="A157" s="62" t="s">
        <v>41</v>
      </c>
      <c r="B157" s="64"/>
      <c r="C157" s="68"/>
      <c r="D157" s="66">
        <f t="shared" si="2"/>
        <v>0</v>
      </c>
    </row>
    <row r="158" spans="1:4" hidden="1" x14ac:dyDescent="0.3">
      <c r="A158" s="62" t="s">
        <v>42</v>
      </c>
      <c r="B158" s="64"/>
      <c r="C158" s="68"/>
      <c r="D158" s="66">
        <f t="shared" si="2"/>
        <v>0</v>
      </c>
    </row>
    <row r="159" spans="1:4" hidden="1" x14ac:dyDescent="0.3">
      <c r="A159" s="62" t="s">
        <v>43</v>
      </c>
      <c r="B159" s="64"/>
      <c r="C159" s="68"/>
      <c r="D159" s="66">
        <f t="shared" si="2"/>
        <v>0</v>
      </c>
    </row>
    <row r="160" spans="1:4" hidden="1" x14ac:dyDescent="0.3">
      <c r="A160" s="62" t="s">
        <v>44</v>
      </c>
      <c r="B160" s="64"/>
      <c r="C160" s="68"/>
      <c r="D160" s="66">
        <f t="shared" si="2"/>
        <v>0</v>
      </c>
    </row>
    <row r="161" spans="1:4" hidden="1" x14ac:dyDescent="0.3">
      <c r="A161" s="62" t="s">
        <v>44</v>
      </c>
      <c r="B161" s="64"/>
      <c r="C161" s="68"/>
      <c r="D161" s="66">
        <f t="shared" si="2"/>
        <v>0</v>
      </c>
    </row>
    <row r="162" spans="1:4" hidden="1" x14ac:dyDescent="0.3">
      <c r="A162" s="62" t="s">
        <v>45</v>
      </c>
      <c r="B162" s="64"/>
      <c r="C162" s="68"/>
      <c r="D162" s="66">
        <f t="shared" si="2"/>
        <v>0</v>
      </c>
    </row>
    <row r="163" spans="1:4" hidden="1" x14ac:dyDescent="0.3">
      <c r="A163" s="62" t="s">
        <v>46</v>
      </c>
      <c r="B163" s="64"/>
      <c r="C163" s="68"/>
      <c r="D163" s="66">
        <f t="shared" si="2"/>
        <v>0</v>
      </c>
    </row>
    <row r="164" spans="1:4" hidden="1" x14ac:dyDescent="0.3">
      <c r="A164" s="62" t="e">
        <v>#N/A</v>
      </c>
      <c r="B164" s="64"/>
      <c r="C164" s="68"/>
      <c r="D164" s="66">
        <f t="shared" si="2"/>
        <v>0</v>
      </c>
    </row>
    <row r="165" spans="1:4" hidden="1" x14ac:dyDescent="0.3">
      <c r="D165" s="66">
        <f t="shared" si="2"/>
        <v>0</v>
      </c>
    </row>
    <row r="166" spans="1:4" x14ac:dyDescent="0.3">
      <c r="D166" s="66">
        <f>SUM(D9:D18)</f>
        <v>1700000</v>
      </c>
    </row>
    <row r="167" spans="1:4" ht="31.2" x14ac:dyDescent="0.3">
      <c r="A167" s="48" t="s">
        <v>581</v>
      </c>
      <c r="B167" s="49" t="s">
        <v>544</v>
      </c>
      <c r="C167" s="50" t="s">
        <v>518</v>
      </c>
      <c r="D167" s="66" t="s">
        <v>519</v>
      </c>
    </row>
    <row r="168" spans="1:4" ht="15.6" hidden="1" x14ac:dyDescent="0.3">
      <c r="A168" s="51" t="s">
        <v>21</v>
      </c>
      <c r="B168" s="52"/>
      <c r="C168" s="53"/>
      <c r="D168" s="66">
        <f t="shared" si="2"/>
        <v>0</v>
      </c>
    </row>
    <row r="169" spans="1:4" ht="15.6" hidden="1" x14ac:dyDescent="0.3">
      <c r="A169" s="51" t="s">
        <v>22</v>
      </c>
      <c r="B169" s="52"/>
      <c r="C169" s="53"/>
      <c r="D169" s="66">
        <f t="shared" si="2"/>
        <v>0</v>
      </c>
    </row>
    <row r="170" spans="1:4" ht="15.6" hidden="1" x14ac:dyDescent="0.3">
      <c r="A170" s="51" t="s">
        <v>23</v>
      </c>
      <c r="B170" s="52"/>
      <c r="C170" s="53"/>
      <c r="D170" s="66">
        <f t="shared" si="2"/>
        <v>0</v>
      </c>
    </row>
    <row r="171" spans="1:4" ht="15.6" hidden="1" x14ac:dyDescent="0.3">
      <c r="A171" s="51" t="s">
        <v>48</v>
      </c>
      <c r="B171" s="52"/>
      <c r="C171" s="53"/>
      <c r="D171" s="66">
        <f t="shared" si="2"/>
        <v>0</v>
      </c>
    </row>
    <row r="172" spans="1:4" ht="15.6" hidden="1" x14ac:dyDescent="0.3">
      <c r="A172" s="51" t="s">
        <v>50</v>
      </c>
      <c r="B172" s="52"/>
      <c r="C172" s="53"/>
      <c r="D172" s="66">
        <f t="shared" si="2"/>
        <v>0</v>
      </c>
    </row>
    <row r="173" spans="1:4" ht="15.6" hidden="1" x14ac:dyDescent="0.3">
      <c r="A173" s="51" t="s">
        <v>121</v>
      </c>
      <c r="B173" s="52"/>
      <c r="C173" s="53"/>
      <c r="D173" s="66">
        <f t="shared" si="2"/>
        <v>0</v>
      </c>
    </row>
    <row r="174" spans="1:4" ht="15.6" hidden="1" x14ac:dyDescent="0.3">
      <c r="A174" s="51" t="s">
        <v>51</v>
      </c>
      <c r="B174" s="52"/>
      <c r="C174" s="53"/>
      <c r="D174" s="66">
        <f t="shared" si="2"/>
        <v>0</v>
      </c>
    </row>
    <row r="175" spans="1:4" ht="15.6" hidden="1" x14ac:dyDescent="0.3">
      <c r="A175" s="51" t="s">
        <v>52</v>
      </c>
      <c r="B175" s="52"/>
      <c r="C175" s="53"/>
      <c r="D175" s="66">
        <f t="shared" si="2"/>
        <v>0</v>
      </c>
    </row>
    <row r="176" spans="1:4" ht="15.6" hidden="1" x14ac:dyDescent="0.3">
      <c r="A176" s="51" t="s">
        <v>92</v>
      </c>
      <c r="B176" s="52"/>
      <c r="C176" s="53"/>
      <c r="D176" s="66">
        <f t="shared" si="2"/>
        <v>0</v>
      </c>
    </row>
    <row r="177" spans="1:4" ht="15.6" hidden="1" x14ac:dyDescent="0.3">
      <c r="A177" s="51" t="s">
        <v>110</v>
      </c>
      <c r="B177" s="52"/>
      <c r="C177" s="53"/>
      <c r="D177" s="66">
        <f t="shared" si="2"/>
        <v>0</v>
      </c>
    </row>
    <row r="178" spans="1:4" ht="15.6" hidden="1" x14ac:dyDescent="0.3">
      <c r="A178" s="51" t="s">
        <v>17</v>
      </c>
      <c r="B178" s="52"/>
      <c r="C178" s="53"/>
      <c r="D178" s="66">
        <f t="shared" si="2"/>
        <v>0</v>
      </c>
    </row>
    <row r="179" spans="1:4" ht="15.6" hidden="1" x14ac:dyDescent="0.3">
      <c r="A179" s="51" t="s">
        <v>53</v>
      </c>
      <c r="B179" s="52"/>
      <c r="C179" s="53"/>
      <c r="D179" s="66">
        <f t="shared" si="2"/>
        <v>0</v>
      </c>
    </row>
    <row r="180" spans="1:4" ht="15.6" hidden="1" x14ac:dyDescent="0.3">
      <c r="A180" s="51" t="s">
        <v>56</v>
      </c>
      <c r="B180" s="52"/>
      <c r="C180" s="53"/>
      <c r="D180" s="66">
        <f t="shared" si="2"/>
        <v>0</v>
      </c>
    </row>
    <row r="181" spans="1:4" ht="15.6" hidden="1" x14ac:dyDescent="0.3">
      <c r="A181" s="51" t="s">
        <v>103</v>
      </c>
      <c r="B181" s="52"/>
      <c r="C181" s="53"/>
      <c r="D181" s="66">
        <f t="shared" si="2"/>
        <v>0</v>
      </c>
    </row>
    <row r="182" spans="1:4" ht="15.6" hidden="1" x14ac:dyDescent="0.3">
      <c r="A182" s="51" t="s">
        <v>60</v>
      </c>
      <c r="B182" s="52"/>
      <c r="C182" s="53"/>
      <c r="D182" s="66">
        <f t="shared" si="2"/>
        <v>0</v>
      </c>
    </row>
    <row r="183" spans="1:4" ht="15.6" hidden="1" x14ac:dyDescent="0.3">
      <c r="A183" s="51" t="s">
        <v>1</v>
      </c>
      <c r="B183" s="52"/>
      <c r="C183" s="53"/>
      <c r="D183" s="66">
        <f t="shared" si="2"/>
        <v>0</v>
      </c>
    </row>
    <row r="184" spans="1:4" ht="15.6" hidden="1" x14ac:dyDescent="0.3">
      <c r="A184" s="51" t="s">
        <v>2</v>
      </c>
      <c r="B184" s="52"/>
      <c r="C184" s="53"/>
      <c r="D184" s="66">
        <f t="shared" si="2"/>
        <v>0</v>
      </c>
    </row>
    <row r="185" spans="1:4" ht="15.6" hidden="1" x14ac:dyDescent="0.3">
      <c r="A185" s="51" t="s">
        <v>62</v>
      </c>
      <c r="B185" s="52"/>
      <c r="C185" s="53"/>
      <c r="D185" s="66">
        <f t="shared" si="2"/>
        <v>0</v>
      </c>
    </row>
    <row r="186" spans="1:4" ht="15.6" hidden="1" x14ac:dyDescent="0.3">
      <c r="A186" s="51" t="s">
        <v>27</v>
      </c>
      <c r="B186" s="52"/>
      <c r="C186" s="53"/>
      <c r="D186" s="66">
        <f t="shared" si="2"/>
        <v>0</v>
      </c>
    </row>
    <row r="187" spans="1:4" ht="15.6" hidden="1" x14ac:dyDescent="0.3">
      <c r="A187" s="51" t="s">
        <v>109</v>
      </c>
      <c r="B187" s="52"/>
      <c r="C187" s="53"/>
      <c r="D187" s="66">
        <f t="shared" si="2"/>
        <v>0</v>
      </c>
    </row>
    <row r="188" spans="1:4" ht="15.6" hidden="1" x14ac:dyDescent="0.3">
      <c r="A188" s="51" t="s">
        <v>28</v>
      </c>
      <c r="B188" s="52"/>
      <c r="C188" s="53"/>
      <c r="D188" s="66">
        <f t="shared" si="2"/>
        <v>0</v>
      </c>
    </row>
    <row r="189" spans="1:4" ht="15.6" hidden="1" x14ac:dyDescent="0.3">
      <c r="A189" s="51" t="s">
        <v>120</v>
      </c>
      <c r="B189" s="52"/>
      <c r="C189" s="53"/>
      <c r="D189" s="66">
        <f t="shared" si="2"/>
        <v>0</v>
      </c>
    </row>
    <row r="190" spans="1:4" ht="15.6" hidden="1" x14ac:dyDescent="0.3">
      <c r="A190" s="51" t="s">
        <v>87</v>
      </c>
      <c r="B190" s="52"/>
      <c r="C190" s="53"/>
      <c r="D190" s="66">
        <f t="shared" si="2"/>
        <v>0</v>
      </c>
    </row>
    <row r="191" spans="1:4" ht="15.6" hidden="1" x14ac:dyDescent="0.3">
      <c r="A191" s="51" t="s">
        <v>117</v>
      </c>
      <c r="B191" s="52"/>
      <c r="C191" s="53"/>
      <c r="D191" s="66">
        <f t="shared" si="2"/>
        <v>0</v>
      </c>
    </row>
    <row r="192" spans="1:4" ht="15.6" hidden="1" x14ac:dyDescent="0.3">
      <c r="A192" s="51" t="s">
        <v>5</v>
      </c>
      <c r="B192" s="52"/>
      <c r="C192" s="53"/>
      <c r="D192" s="66">
        <f t="shared" si="2"/>
        <v>0</v>
      </c>
    </row>
    <row r="193" spans="1:4" ht="15.6" hidden="1" x14ac:dyDescent="0.3">
      <c r="A193" s="51" t="s">
        <v>6</v>
      </c>
      <c r="B193" s="52"/>
      <c r="C193" s="53"/>
      <c r="D193" s="66">
        <f t="shared" si="2"/>
        <v>0</v>
      </c>
    </row>
    <row r="194" spans="1:4" ht="15.6" hidden="1" x14ac:dyDescent="0.3">
      <c r="A194" s="51" t="s">
        <v>8</v>
      </c>
      <c r="B194" s="52"/>
      <c r="C194" s="53"/>
      <c r="D194" s="66">
        <f t="shared" si="2"/>
        <v>0</v>
      </c>
    </row>
    <row r="195" spans="1:4" ht="15.6" hidden="1" x14ac:dyDescent="0.3">
      <c r="A195" s="51" t="s">
        <v>119</v>
      </c>
      <c r="B195" s="52"/>
      <c r="C195" s="53"/>
      <c r="D195" s="66">
        <f t="shared" si="2"/>
        <v>0</v>
      </c>
    </row>
    <row r="196" spans="1:4" ht="15.6" x14ac:dyDescent="0.3">
      <c r="A196" s="51" t="s">
        <v>12</v>
      </c>
      <c r="B196" s="52">
        <v>150</v>
      </c>
      <c r="C196" s="53">
        <v>27000</v>
      </c>
      <c r="D196" s="66">
        <f t="shared" si="2"/>
        <v>4050000</v>
      </c>
    </row>
    <row r="197" spans="1:4" ht="15.6" hidden="1" x14ac:dyDescent="0.3">
      <c r="A197" s="51" t="s">
        <v>14</v>
      </c>
      <c r="B197" s="52"/>
      <c r="C197" s="53"/>
      <c r="D197" s="66">
        <f t="shared" ref="D197:D219" si="3">B197*C197</f>
        <v>0</v>
      </c>
    </row>
    <row r="198" spans="1:4" ht="15.6" hidden="1" x14ac:dyDescent="0.3">
      <c r="A198" s="51" t="s">
        <v>111</v>
      </c>
      <c r="B198" s="52"/>
      <c r="C198" s="53"/>
      <c r="D198" s="66">
        <f t="shared" si="3"/>
        <v>0</v>
      </c>
    </row>
    <row r="199" spans="1:4" ht="15.6" hidden="1" x14ac:dyDescent="0.3">
      <c r="A199" s="51" t="s">
        <v>15</v>
      </c>
      <c r="B199" s="52"/>
      <c r="C199" s="53"/>
      <c r="D199" s="66">
        <f t="shared" si="3"/>
        <v>0</v>
      </c>
    </row>
    <row r="200" spans="1:4" ht="15.6" hidden="1" x14ac:dyDescent="0.3">
      <c r="A200" s="51" t="s">
        <v>16</v>
      </c>
      <c r="B200" s="52"/>
      <c r="C200" s="53"/>
      <c r="D200" s="66">
        <f t="shared" si="3"/>
        <v>0</v>
      </c>
    </row>
    <row r="201" spans="1:4" ht="15.6" hidden="1" x14ac:dyDescent="0.3">
      <c r="A201" s="51" t="s">
        <v>68</v>
      </c>
      <c r="B201" s="52"/>
      <c r="C201" s="53"/>
      <c r="D201" s="66">
        <f t="shared" si="3"/>
        <v>0</v>
      </c>
    </row>
    <row r="202" spans="1:4" ht="15.6" hidden="1" x14ac:dyDescent="0.3">
      <c r="A202" s="51" t="s">
        <v>65</v>
      </c>
      <c r="B202" s="52"/>
      <c r="C202" s="53"/>
      <c r="D202" s="66">
        <f t="shared" si="3"/>
        <v>0</v>
      </c>
    </row>
    <row r="203" spans="1:4" ht="15.6" hidden="1" x14ac:dyDescent="0.3">
      <c r="A203" s="51" t="s">
        <v>67</v>
      </c>
      <c r="B203" s="52"/>
      <c r="C203" s="53"/>
      <c r="D203" s="66">
        <f t="shared" si="3"/>
        <v>0</v>
      </c>
    </row>
    <row r="204" spans="1:4" ht="15.6" hidden="1" x14ac:dyDescent="0.3">
      <c r="A204" s="51" t="s">
        <v>71</v>
      </c>
      <c r="B204" s="52"/>
      <c r="C204" s="53"/>
      <c r="D204" s="66">
        <f t="shared" si="3"/>
        <v>0</v>
      </c>
    </row>
    <row r="205" spans="1:4" ht="15.6" hidden="1" x14ac:dyDescent="0.3">
      <c r="A205" s="51" t="s">
        <v>72</v>
      </c>
      <c r="B205" s="52"/>
      <c r="C205" s="53"/>
      <c r="D205" s="66">
        <f t="shared" si="3"/>
        <v>0</v>
      </c>
    </row>
    <row r="206" spans="1:4" ht="15.6" hidden="1" x14ac:dyDescent="0.3">
      <c r="A206" s="51" t="s">
        <v>29</v>
      </c>
      <c r="B206" s="52"/>
      <c r="C206" s="53"/>
      <c r="D206" s="66">
        <f t="shared" si="3"/>
        <v>0</v>
      </c>
    </row>
    <row r="207" spans="1:4" ht="15.6" hidden="1" x14ac:dyDescent="0.3">
      <c r="A207" s="51" t="s">
        <v>123</v>
      </c>
      <c r="B207" s="52"/>
      <c r="C207" s="53"/>
      <c r="D207" s="66">
        <f t="shared" si="3"/>
        <v>0</v>
      </c>
    </row>
    <row r="208" spans="1:4" ht="15.6" hidden="1" x14ac:dyDescent="0.3">
      <c r="A208" s="51" t="s">
        <v>30</v>
      </c>
      <c r="B208" s="52"/>
      <c r="C208" s="53"/>
      <c r="D208" s="66">
        <f t="shared" si="3"/>
        <v>0</v>
      </c>
    </row>
    <row r="209" spans="1:4" ht="15.6" hidden="1" x14ac:dyDescent="0.3">
      <c r="A209" s="51" t="s">
        <v>76</v>
      </c>
      <c r="B209" s="52"/>
      <c r="C209" s="53"/>
      <c r="D209" s="66">
        <f t="shared" si="3"/>
        <v>0</v>
      </c>
    </row>
    <row r="210" spans="1:4" ht="15.6" hidden="1" x14ac:dyDescent="0.3">
      <c r="A210" s="51" t="s">
        <v>78</v>
      </c>
      <c r="B210" s="52"/>
      <c r="C210" s="53"/>
      <c r="D210" s="66">
        <f t="shared" si="3"/>
        <v>0</v>
      </c>
    </row>
    <row r="211" spans="1:4" ht="15.6" hidden="1" x14ac:dyDescent="0.3">
      <c r="A211" s="51" t="s">
        <v>79</v>
      </c>
      <c r="B211" s="52"/>
      <c r="C211" s="53"/>
      <c r="D211" s="66">
        <f t="shared" si="3"/>
        <v>0</v>
      </c>
    </row>
    <row r="212" spans="1:4" ht="15.6" hidden="1" x14ac:dyDescent="0.3">
      <c r="A212" s="51" t="s">
        <v>107</v>
      </c>
      <c r="B212" s="52"/>
      <c r="C212" s="53"/>
      <c r="D212" s="66">
        <f t="shared" si="3"/>
        <v>0</v>
      </c>
    </row>
    <row r="213" spans="1:4" ht="15.6" hidden="1" x14ac:dyDescent="0.3">
      <c r="A213" s="51" t="s">
        <v>82</v>
      </c>
      <c r="B213" s="52"/>
      <c r="C213" s="53"/>
      <c r="D213" s="66">
        <f t="shared" si="3"/>
        <v>0</v>
      </c>
    </row>
    <row r="214" spans="1:4" ht="15.6" hidden="1" x14ac:dyDescent="0.3">
      <c r="A214" s="51" t="s">
        <v>38</v>
      </c>
      <c r="B214" s="52"/>
      <c r="C214" s="53"/>
      <c r="D214" s="66">
        <f t="shared" si="3"/>
        <v>0</v>
      </c>
    </row>
    <row r="215" spans="1:4" ht="15.6" hidden="1" x14ac:dyDescent="0.3">
      <c r="A215" s="51" t="s">
        <v>39</v>
      </c>
      <c r="B215" s="52"/>
      <c r="C215" s="53"/>
      <c r="D215" s="66">
        <f t="shared" si="3"/>
        <v>0</v>
      </c>
    </row>
    <row r="216" spans="1:4" ht="15.6" hidden="1" x14ac:dyDescent="0.3">
      <c r="A216" s="51" t="s">
        <v>40</v>
      </c>
      <c r="B216" s="52"/>
      <c r="C216" s="53"/>
      <c r="D216" s="66">
        <f t="shared" si="3"/>
        <v>0</v>
      </c>
    </row>
    <row r="217" spans="1:4" ht="15.6" hidden="1" x14ac:dyDescent="0.3">
      <c r="A217" s="51" t="s">
        <v>41</v>
      </c>
      <c r="B217" s="52"/>
      <c r="C217" s="53"/>
      <c r="D217" s="66">
        <f t="shared" si="3"/>
        <v>0</v>
      </c>
    </row>
    <row r="218" spans="1:4" ht="15.6" hidden="1" x14ac:dyDescent="0.3">
      <c r="A218" s="51" t="s">
        <v>46</v>
      </c>
      <c r="B218" s="52"/>
      <c r="C218" s="53"/>
      <c r="D218" s="66">
        <f t="shared" si="3"/>
        <v>0</v>
      </c>
    </row>
    <row r="219" spans="1:4" ht="15.6" hidden="1" x14ac:dyDescent="0.3">
      <c r="A219" s="51" t="e">
        <v>#N/A</v>
      </c>
      <c r="B219" s="52"/>
      <c r="C219" s="53"/>
      <c r="D219" s="66">
        <f t="shared" si="3"/>
        <v>0</v>
      </c>
    </row>
  </sheetData>
  <autoFilter ref="A2:E219" xr:uid="{00000000-0009-0000-0000-00000A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B2:E159"/>
  <sheetViews>
    <sheetView workbookViewId="0">
      <selection activeCell="K41" sqref="K41"/>
    </sheetView>
  </sheetViews>
  <sheetFormatPr defaultRowHeight="14.4" x14ac:dyDescent="0.3"/>
  <cols>
    <col min="2" max="2" width="26.109375" customWidth="1"/>
    <col min="3" max="3" width="15.5546875" customWidth="1"/>
    <col min="4" max="4" width="14.6640625" customWidth="1"/>
    <col min="5" max="5" width="20.88671875" customWidth="1"/>
  </cols>
  <sheetData>
    <row r="2" spans="2:5" x14ac:dyDescent="0.3">
      <c r="B2" t="s">
        <v>584</v>
      </c>
    </row>
    <row r="3" spans="2:5" ht="37.200000000000003" x14ac:dyDescent="0.3">
      <c r="B3" s="60" t="s">
        <v>0</v>
      </c>
      <c r="C3" s="61" t="s">
        <v>544</v>
      </c>
      <c r="D3" s="82" t="s">
        <v>518</v>
      </c>
      <c r="E3" s="65" t="s">
        <v>519</v>
      </c>
    </row>
    <row r="4" spans="2:5" hidden="1" x14ac:dyDescent="0.3">
      <c r="B4" s="62" t="s">
        <v>21</v>
      </c>
      <c r="C4" s="63">
        <f>_xlfn.IFNA(LOOKUP(1,1/([1]Sheet3!$A$2:$A$9='[1]CHIA ĐƠN'!F31)/([1]Sheet3!$B$2:$B$9='[1]CHIA ĐƠN'!#REF!),[1]Sheet3!$C$2:$C$9),)</f>
        <v>0</v>
      </c>
      <c r="D4" s="66"/>
      <c r="E4" s="66">
        <v>0</v>
      </c>
    </row>
    <row r="5" spans="2:5" x14ac:dyDescent="0.3">
      <c r="B5" s="62" t="s">
        <v>22</v>
      </c>
      <c r="C5" s="63">
        <v>100</v>
      </c>
      <c r="D5" s="66">
        <v>12000</v>
      </c>
      <c r="E5" s="66">
        <f>C5*D5</f>
        <v>1200000</v>
      </c>
    </row>
    <row r="6" spans="2:5" x14ac:dyDescent="0.3">
      <c r="B6" s="62" t="s">
        <v>23</v>
      </c>
      <c r="C6" s="63">
        <f>1090+30</f>
        <v>1120</v>
      </c>
      <c r="D6" s="66">
        <v>6500</v>
      </c>
      <c r="E6" s="66">
        <f>C6*D6</f>
        <v>7280000</v>
      </c>
    </row>
    <row r="7" spans="2:5" hidden="1" x14ac:dyDescent="0.3">
      <c r="B7" s="62" t="s">
        <v>48</v>
      </c>
      <c r="C7" s="63">
        <f>_xlfn.IFNA(LOOKUP(1,1/([1]Sheet3!$A$2:$A$9='[1]CHIA ĐƠN'!F69)/([1]Sheet3!$B$2:$B$9='[1]CHIA ĐƠN'!#REF!),[1]Sheet3!$C$2:$C$9),)</f>
        <v>0</v>
      </c>
      <c r="D7" s="68"/>
      <c r="E7" s="66">
        <v>0</v>
      </c>
    </row>
    <row r="8" spans="2:5" hidden="1" x14ac:dyDescent="0.3">
      <c r="B8" s="62" t="s">
        <v>48</v>
      </c>
      <c r="C8" s="63">
        <f>_xlfn.IFNA(LOOKUP(1,1/([1]Sheet3!$A$2:$A$9='[1]CHIA ĐƠN'!F70)/([1]Sheet3!$B$2:$B$9='[1]CHIA ĐƠN'!#REF!),[1]Sheet3!$C$2:$C$9),)</f>
        <v>0</v>
      </c>
      <c r="D8" s="68"/>
      <c r="E8" s="66">
        <v>0</v>
      </c>
    </row>
    <row r="9" spans="2:5" hidden="1" x14ac:dyDescent="0.3">
      <c r="B9" s="62" t="s">
        <v>49</v>
      </c>
      <c r="C9" s="63">
        <f>_xlfn.IFNA(LOOKUP(1,1/([1]Sheet3!$A$2:$A$9='[1]CHIA ĐƠN'!F71)/([1]Sheet3!$B$2:$B$9='[1]CHIA ĐƠN'!#REF!),[1]Sheet3!$C$2:$C$9),)</f>
        <v>0</v>
      </c>
      <c r="D9" s="68"/>
      <c r="E9" s="66">
        <v>0</v>
      </c>
    </row>
    <row r="10" spans="2:5" x14ac:dyDescent="0.3">
      <c r="B10" s="62" t="s">
        <v>50</v>
      </c>
      <c r="C10" s="63">
        <f>75+90+45</f>
        <v>210</v>
      </c>
      <c r="D10" s="68">
        <v>6500</v>
      </c>
      <c r="E10" s="66">
        <f>C10*D10</f>
        <v>1365000</v>
      </c>
    </row>
    <row r="11" spans="2:5" hidden="1" x14ac:dyDescent="0.3">
      <c r="B11" s="62" t="s">
        <v>84</v>
      </c>
      <c r="C11" s="63">
        <f>_xlfn.IFNA(LOOKUP(1,1/([1]Sheet3!$A$2:$A$9='[1]CHIA ĐƠN'!F121)/([1]Sheet3!$B$2:$B$9='[1]CHIA ĐƠN'!#REF!),[1]Sheet3!$C$2:$C$9),)</f>
        <v>0</v>
      </c>
      <c r="D11" s="68"/>
      <c r="E11" s="66">
        <v>0</v>
      </c>
    </row>
    <row r="12" spans="2:5" hidden="1" x14ac:dyDescent="0.3">
      <c r="B12" s="62" t="s">
        <v>121</v>
      </c>
      <c r="C12" s="63">
        <f>_xlfn.IFNA(LOOKUP(1,1/([1]Sheet3!$A$2:$A$9='[1]CHIA ĐƠN'!F137)/([1]Sheet3!$B$2:$B$9='[1]CHIA ĐƠN'!#REF!),[1]Sheet3!$C$2:$C$9),)</f>
        <v>0</v>
      </c>
      <c r="D12" s="68"/>
      <c r="E12" s="66">
        <v>0</v>
      </c>
    </row>
    <row r="13" spans="2:5" x14ac:dyDescent="0.3">
      <c r="B13" s="62" t="s">
        <v>51</v>
      </c>
      <c r="C13" s="63">
        <v>26</v>
      </c>
      <c r="D13" s="68">
        <v>20000</v>
      </c>
      <c r="E13" s="66">
        <f>C13*D13</f>
        <v>520000</v>
      </c>
    </row>
    <row r="14" spans="2:5" hidden="1" x14ac:dyDescent="0.3">
      <c r="B14" s="62" t="s">
        <v>51</v>
      </c>
      <c r="C14" s="63">
        <f>_xlfn.IFNA(LOOKUP(1,1/([1]Sheet3!$A$2:$A$9='[1]CHIA ĐƠN'!F74)/([1]Sheet3!$B$2:$B$9='[1]CHIA ĐƠN'!#REF!),[1]Sheet3!$C$2:$C$9),)</f>
        <v>0</v>
      </c>
      <c r="D14" s="68"/>
      <c r="E14" s="66">
        <v>200</v>
      </c>
    </row>
    <row r="15" spans="2:5" hidden="1" x14ac:dyDescent="0.3">
      <c r="B15" s="62" t="s">
        <v>52</v>
      </c>
      <c r="C15" s="63">
        <f>_xlfn.IFNA(LOOKUP(1,1/([1]Sheet3!$A$2:$A$9='[1]CHIA ĐƠN'!F75)/([1]Sheet3!$B$2:$B$9='[1]CHIA ĐƠN'!#REF!),[1]Sheet3!$C$2:$C$9),)</f>
        <v>0</v>
      </c>
      <c r="D15" s="68"/>
      <c r="E15" s="66">
        <v>0</v>
      </c>
    </row>
    <row r="16" spans="2:5" hidden="1" x14ac:dyDescent="0.3">
      <c r="B16" s="62" t="s">
        <v>52</v>
      </c>
      <c r="C16" s="63">
        <f>_xlfn.IFNA(LOOKUP(1,1/([1]Sheet3!$A$2:$A$9='[1]CHIA ĐƠN'!F76)/([1]Sheet3!$B$2:$B$9='[1]CHIA ĐƠN'!#REF!),[1]Sheet3!$C$2:$C$9),)</f>
        <v>0</v>
      </c>
      <c r="D16" s="68"/>
      <c r="E16" s="66">
        <v>100</v>
      </c>
    </row>
    <row r="17" spans="2:5" hidden="1" x14ac:dyDescent="0.3">
      <c r="B17" s="62" t="s">
        <v>90</v>
      </c>
      <c r="C17" s="63">
        <f>_xlfn.IFNA(LOOKUP(1,1/([1]Sheet3!$A$2:$A$9='[1]CHIA ĐƠN'!F127)/([1]Sheet3!$B$2:$B$9='[1]CHIA ĐƠN'!#REF!),[1]Sheet3!$C$2:$C$9),)</f>
        <v>0</v>
      </c>
      <c r="D17" s="68"/>
      <c r="E17" s="66">
        <v>0</v>
      </c>
    </row>
    <row r="18" spans="2:5" hidden="1" x14ac:dyDescent="0.3">
      <c r="B18" s="62" t="s">
        <v>92</v>
      </c>
      <c r="C18" s="63">
        <f>_xlfn.IFNA(LOOKUP(1,1/([1]Sheet3!$A$2:$A$9='[1]CHIA ĐƠN'!F129)/([1]Sheet3!$B$2:$B$9='[1]CHIA ĐƠN'!#REF!),[1]Sheet3!$C$2:$C$9),)</f>
        <v>0</v>
      </c>
      <c r="D18" s="68"/>
      <c r="E18" s="66">
        <v>50</v>
      </c>
    </row>
    <row r="19" spans="2:5" hidden="1" x14ac:dyDescent="0.3">
      <c r="B19" s="62" t="s">
        <v>91</v>
      </c>
      <c r="C19" s="63">
        <f>_xlfn.IFNA(LOOKUP(1,1/([1]Sheet3!$A$2:$A$9='[1]CHIA ĐƠN'!F128)/([1]Sheet3!$B$2:$B$9='[1]CHIA ĐƠN'!#REF!),[1]Sheet3!$C$2:$C$9),)</f>
        <v>0</v>
      </c>
      <c r="D19" s="68"/>
      <c r="E19" s="66">
        <v>0</v>
      </c>
    </row>
    <row r="20" spans="2:5" x14ac:dyDescent="0.3">
      <c r="B20" s="62" t="s">
        <v>110</v>
      </c>
      <c r="C20" s="63">
        <v>10</v>
      </c>
      <c r="D20" s="68">
        <v>27000</v>
      </c>
      <c r="E20" s="66">
        <f>C20*D20</f>
        <v>270000</v>
      </c>
    </row>
    <row r="21" spans="2:5" hidden="1" x14ac:dyDescent="0.3">
      <c r="B21" s="62" t="s">
        <v>524</v>
      </c>
      <c r="C21" s="63">
        <f>_xlfn.IFNA(LOOKUP(1,1/([1]Sheet3!$A$2:$A$9='[1]CHIA ĐƠN'!F157)/([1]Sheet3!$B$2:$B$9='[1]CHIA ĐƠN'!#REF!),[1]Sheet3!$C$2:$C$9),)</f>
        <v>0</v>
      </c>
      <c r="D21" s="68"/>
      <c r="E21" s="66">
        <v>0</v>
      </c>
    </row>
    <row r="22" spans="2:5" hidden="1" x14ac:dyDescent="0.3">
      <c r="B22" s="62" t="s">
        <v>18</v>
      </c>
      <c r="C22" s="63">
        <f>_xlfn.IFNA(LOOKUP(1,1/([1]Sheet3!$A$2:$A$9='[1]CHIA ĐƠN'!F27)/([1]Sheet3!$B$2:$B$9='[1]CHIA ĐƠN'!#REF!),[1]Sheet3!$C$2:$C$9),)</f>
        <v>0</v>
      </c>
      <c r="D22" s="66"/>
      <c r="E22" s="66">
        <v>0</v>
      </c>
    </row>
    <row r="23" spans="2:5" hidden="1" x14ac:dyDescent="0.3">
      <c r="B23" s="62" t="s">
        <v>19</v>
      </c>
      <c r="C23" s="63">
        <f>_xlfn.IFNA(LOOKUP(1,1/([1]Sheet3!$A$2:$A$9='[1]CHIA ĐƠN'!F28)/([1]Sheet3!$B$2:$B$9='[1]CHIA ĐƠN'!#REF!),[1]Sheet3!$C$2:$C$9),)</f>
        <v>0</v>
      </c>
      <c r="D23" s="66"/>
      <c r="E23" s="66">
        <v>0</v>
      </c>
    </row>
    <row r="24" spans="2:5" hidden="1" x14ac:dyDescent="0.3">
      <c r="B24" s="62" t="s">
        <v>19</v>
      </c>
      <c r="C24" s="63">
        <f>_xlfn.IFNA(LOOKUP(1,1/([1]Sheet3!$A$2:$A$9='[1]CHIA ĐƠN'!F29)/([1]Sheet3!$B$2:$B$9='[1]CHIA ĐƠN'!#REF!),[1]Sheet3!$C$2:$C$9),)</f>
        <v>0</v>
      </c>
      <c r="D24" s="66"/>
      <c r="E24" s="66">
        <v>0</v>
      </c>
    </row>
    <row r="25" spans="2:5" x14ac:dyDescent="0.3">
      <c r="B25" s="62" t="s">
        <v>53</v>
      </c>
      <c r="C25" s="63">
        <f>10+40+30+40+120+60+60+40</f>
        <v>400</v>
      </c>
      <c r="D25" s="68">
        <v>22000</v>
      </c>
      <c r="E25" s="66">
        <f>C25*D25</f>
        <v>8800000</v>
      </c>
    </row>
    <row r="26" spans="2:5" hidden="1" x14ac:dyDescent="0.3">
      <c r="B26" s="62" t="s">
        <v>53</v>
      </c>
      <c r="C26" s="63">
        <f>_xlfn.IFNA(LOOKUP(1,1/([1]Sheet3!$A$2:$A$9='[1]CHIA ĐƠN'!F78)/([1]Sheet3!$B$2:$B$9='[1]CHIA ĐƠN'!#REF!),[1]Sheet3!$C$2:$C$9),)</f>
        <v>0</v>
      </c>
      <c r="D26" s="68"/>
      <c r="E26" s="66">
        <v>20</v>
      </c>
    </row>
    <row r="27" spans="2:5" hidden="1" x14ac:dyDescent="0.3">
      <c r="B27" s="62" t="s">
        <v>54</v>
      </c>
      <c r="C27" s="63">
        <f>_xlfn.IFNA(LOOKUP(1,1/([1]Sheet3!$A$2:$A$9='[1]CHIA ĐƠN'!F79)/([1]Sheet3!$B$2:$B$9='[1]CHIA ĐƠN'!#REF!),[1]Sheet3!$C$2:$C$9),)</f>
        <v>0</v>
      </c>
      <c r="D27" s="68"/>
      <c r="E27" s="66">
        <v>0</v>
      </c>
    </row>
    <row r="28" spans="2:5" hidden="1" x14ac:dyDescent="0.3">
      <c r="B28" s="62" t="s">
        <v>55</v>
      </c>
      <c r="C28" s="63">
        <f>_xlfn.IFNA(LOOKUP(1,1/([1]Sheet3!$A$2:$A$9='[1]CHIA ĐƠN'!F80)/([1]Sheet3!$B$2:$B$9='[1]CHIA ĐƠN'!#REF!),[1]Sheet3!$C$2:$C$9),)</f>
        <v>0</v>
      </c>
      <c r="D28" s="68"/>
      <c r="E28" s="66">
        <v>0</v>
      </c>
    </row>
    <row r="29" spans="2:5" hidden="1" x14ac:dyDescent="0.3">
      <c r="B29" s="62" t="s">
        <v>106</v>
      </c>
      <c r="C29" s="63">
        <f>_xlfn.IFNA(LOOKUP(1,1/([1]Sheet3!$A$2:$A$9='[1]CHIA ĐƠN'!F148)/([1]Sheet3!$B$2:$B$9='[1]CHIA ĐƠN'!#REF!),[1]Sheet3!$C$2:$C$9),)</f>
        <v>0</v>
      </c>
      <c r="D29" s="68"/>
      <c r="E29" s="66">
        <v>0</v>
      </c>
    </row>
    <row r="30" spans="2:5" hidden="1" x14ac:dyDescent="0.3">
      <c r="B30" s="62" t="s">
        <v>56</v>
      </c>
      <c r="C30" s="63">
        <f>_xlfn.IFNA(LOOKUP(1,1/([1]Sheet3!$A$2:$A$9='[1]CHIA ĐƠN'!F81)/([1]Sheet3!$B$2:$B$9='[1]CHIA ĐƠN'!#REF!),[1]Sheet3!$C$2:$C$9),)</f>
        <v>0</v>
      </c>
      <c r="D30" s="68"/>
      <c r="E30" s="66">
        <v>150</v>
      </c>
    </row>
    <row r="31" spans="2:5" x14ac:dyDescent="0.3">
      <c r="B31" s="62" t="s">
        <v>103</v>
      </c>
      <c r="C31" s="63">
        <v>9</v>
      </c>
      <c r="D31" s="68">
        <v>17500</v>
      </c>
      <c r="E31" s="66">
        <f>C31*D31</f>
        <v>157500</v>
      </c>
    </row>
    <row r="32" spans="2:5" hidden="1" x14ac:dyDescent="0.3">
      <c r="B32" s="62" t="s">
        <v>57</v>
      </c>
      <c r="C32" s="63">
        <f>_xlfn.IFNA(LOOKUP(1,1/([1]Sheet3!$A$2:$A$9='[1]CHIA ĐƠN'!F82)/([1]Sheet3!$B$2:$B$9='[1]CHIA ĐƠN'!#REF!),[1]Sheet3!$C$2:$C$9),)</f>
        <v>0</v>
      </c>
      <c r="D32" s="68"/>
      <c r="E32" s="66">
        <v>0</v>
      </c>
    </row>
    <row r="33" spans="2:5" hidden="1" x14ac:dyDescent="0.3">
      <c r="B33" s="62" t="s">
        <v>57</v>
      </c>
      <c r="C33" s="63">
        <f>_xlfn.IFNA(LOOKUP(1,1/([1]Sheet3!$A$2:$A$9='[1]CHIA ĐƠN'!F83)/([1]Sheet3!$B$2:$B$9='[1]CHIA ĐƠN'!#REF!),[1]Sheet3!$C$2:$C$9),)</f>
        <v>0</v>
      </c>
      <c r="D33" s="68"/>
      <c r="E33" s="66">
        <v>0</v>
      </c>
    </row>
    <row r="34" spans="2:5" hidden="1" x14ac:dyDescent="0.3">
      <c r="B34" s="62" t="s">
        <v>58</v>
      </c>
      <c r="C34" s="63">
        <f>_xlfn.IFNA(LOOKUP(1,1/([1]Sheet3!$A$2:$A$9='[1]CHIA ĐƠN'!F84)/([1]Sheet3!$B$2:$B$9='[1]CHIA ĐƠN'!#REF!),[1]Sheet3!$C$2:$C$9),)</f>
        <v>0</v>
      </c>
      <c r="D34" s="68"/>
      <c r="E34" s="66">
        <v>0</v>
      </c>
    </row>
    <row r="35" spans="2:5" hidden="1" x14ac:dyDescent="0.3">
      <c r="B35" s="62" t="s">
        <v>59</v>
      </c>
      <c r="C35" s="63">
        <f>_xlfn.IFNA(LOOKUP(1,1/([1]Sheet3!$A$2:$A$9='[1]CHIA ĐƠN'!F85)/([1]Sheet3!$B$2:$B$9='[1]CHIA ĐƠN'!#REF!),[1]Sheet3!$C$2:$C$9),)</f>
        <v>0</v>
      </c>
      <c r="D35" s="68"/>
      <c r="E35" s="66">
        <v>0</v>
      </c>
    </row>
    <row r="36" spans="2:5" hidden="1" x14ac:dyDescent="0.3">
      <c r="B36" s="62" t="s">
        <v>86</v>
      </c>
      <c r="C36" s="63">
        <f>_xlfn.IFNA(LOOKUP(1,1/([1]Sheet3!$A$2:$A$9='[1]CHIA ĐƠN'!F123)/([1]Sheet3!$B$2:$B$9='[1]CHIA ĐƠN'!#REF!),[1]Sheet3!$C$2:$C$9),)</f>
        <v>0</v>
      </c>
      <c r="D36" s="68"/>
      <c r="E36" s="66">
        <v>0</v>
      </c>
    </row>
    <row r="37" spans="2:5" x14ac:dyDescent="0.3">
      <c r="B37" s="62" t="s">
        <v>60</v>
      </c>
      <c r="C37" s="63">
        <f>220+220+200+240</f>
        <v>880</v>
      </c>
      <c r="D37" s="68">
        <v>17000</v>
      </c>
      <c r="E37" s="66">
        <f>C37*D37</f>
        <v>14960000</v>
      </c>
    </row>
    <row r="38" spans="2:5" hidden="1" x14ac:dyDescent="0.3">
      <c r="B38" s="62" t="s">
        <v>60</v>
      </c>
      <c r="C38" s="63">
        <f>_xlfn.IFNA(LOOKUP(1,1/([1]Sheet3!$A$2:$A$9='[1]CHIA ĐƠN'!F87)/([1]Sheet3!$B$2:$B$9='[1]CHIA ĐƠN'!#REF!),[1]Sheet3!$C$2:$C$9),)</f>
        <v>0</v>
      </c>
      <c r="D38" s="68"/>
      <c r="E38" s="66">
        <v>100</v>
      </c>
    </row>
    <row r="39" spans="2:5" hidden="1" x14ac:dyDescent="0.3">
      <c r="B39" s="62" t="s">
        <v>60</v>
      </c>
      <c r="C39" s="63"/>
      <c r="D39" s="68"/>
      <c r="E39" s="66">
        <v>0</v>
      </c>
    </row>
    <row r="40" spans="2:5" hidden="1" x14ac:dyDescent="0.3">
      <c r="B40" s="62" t="s">
        <v>61</v>
      </c>
      <c r="C40" s="63">
        <f>_xlfn.IFNA(LOOKUP(1,1/([1]Sheet3!$A$2:$A$9='[1]CHIA ĐƠN'!F89)/([1]Sheet3!$B$2:$B$9='[1]CHIA ĐƠN'!#REF!),[1]Sheet3!$C$2:$C$9),)</f>
        <v>0</v>
      </c>
      <c r="D40" s="68"/>
      <c r="E40" s="66">
        <v>0</v>
      </c>
    </row>
    <row r="41" spans="2:5" x14ac:dyDescent="0.3">
      <c r="B41" s="62" t="s">
        <v>1</v>
      </c>
      <c r="C41" s="63">
        <v>58</v>
      </c>
      <c r="D41" s="66">
        <v>16000</v>
      </c>
      <c r="E41" s="66">
        <f>C41*D41</f>
        <v>928000</v>
      </c>
    </row>
    <row r="42" spans="2:5" hidden="1" x14ac:dyDescent="0.3">
      <c r="B42" s="62" t="s">
        <v>1</v>
      </c>
      <c r="C42" s="63">
        <f>_xlfn.IFNA(LOOKUP(1,1/([1]Sheet3!$A$2:$A$9='[1]CHIA ĐƠN'!F5)/([1]Sheet3!$B$2:$B$9='[1]CHIA ĐƠN'!#REF!),[1]Sheet3!$C$2:$C$9),)</f>
        <v>0</v>
      </c>
      <c r="D42" s="66"/>
      <c r="E42" s="66">
        <v>0</v>
      </c>
    </row>
    <row r="43" spans="2:5" hidden="1" x14ac:dyDescent="0.3">
      <c r="B43" s="62" t="s">
        <v>2</v>
      </c>
      <c r="C43" s="63"/>
      <c r="D43" s="66"/>
      <c r="E43" s="66">
        <v>0</v>
      </c>
    </row>
    <row r="44" spans="2:5" hidden="1" x14ac:dyDescent="0.3">
      <c r="B44" s="62" t="s">
        <v>2</v>
      </c>
      <c r="C44" s="63">
        <f>_xlfn.IFNA(LOOKUP(1,1/([1]Sheet3!$A$2:$A$9='[1]CHIA ĐƠN'!F7)/([1]Sheet3!$B$2:$B$9='[1]CHIA ĐƠN'!#REF!),[1]Sheet3!$C$2:$C$9),)</f>
        <v>0</v>
      </c>
      <c r="D44" s="66"/>
      <c r="E44" s="66">
        <v>0</v>
      </c>
    </row>
    <row r="45" spans="2:5" hidden="1" x14ac:dyDescent="0.3">
      <c r="B45" s="62" t="s">
        <v>62</v>
      </c>
      <c r="C45" s="63">
        <f>_xlfn.IFNA(LOOKUP(1,1/([1]Sheet3!$A$2:$A$9='[1]CHIA ĐƠN'!F90)/([1]Sheet3!$B$2:$B$9='[1]CHIA ĐƠN'!#REF!),[1]Sheet3!$C$2:$C$9),)</f>
        <v>0</v>
      </c>
      <c r="D45" s="68"/>
      <c r="E45" s="66">
        <v>0</v>
      </c>
    </row>
    <row r="46" spans="2:5" hidden="1" x14ac:dyDescent="0.3">
      <c r="B46" s="62" t="s">
        <v>63</v>
      </c>
      <c r="C46" s="63">
        <f>_xlfn.IFNA(LOOKUP(1,1/([1]Sheet3!$A$2:$A$9='[1]CHIA ĐƠN'!F91)/([1]Sheet3!$B$2:$B$9='[1]CHIA ĐƠN'!#REF!),[1]Sheet3!$C$2:$C$9),)</f>
        <v>0</v>
      </c>
      <c r="D46" s="68"/>
      <c r="E46" s="66">
        <v>0</v>
      </c>
    </row>
    <row r="47" spans="2:5" hidden="1" x14ac:dyDescent="0.3">
      <c r="B47" s="62" t="s">
        <v>583</v>
      </c>
      <c r="C47" s="63">
        <f>_xlfn.IFNA(LOOKUP(1,1/([1]Sheet3!$A$2:$A$9='[1]CHIA ĐƠN'!F149)/([1]Sheet3!$B$2:$B$9='[1]CHIA ĐƠN'!#REF!),[1]Sheet3!$C$2:$C$9),)</f>
        <v>0</v>
      </c>
      <c r="D47" s="68"/>
      <c r="E47" s="66">
        <v>0</v>
      </c>
    </row>
    <row r="48" spans="2:5" hidden="1" x14ac:dyDescent="0.3">
      <c r="B48" s="62" t="s">
        <v>24</v>
      </c>
      <c r="C48" s="63">
        <f>_xlfn.IFNA(LOOKUP(1,1/([1]Sheet3!$A$2:$A$9='[1]CHIA ĐƠN'!F34)/([1]Sheet3!$B$2:$B$9='[1]CHIA ĐƠN'!#REF!),[1]Sheet3!$C$2:$C$9),)</f>
        <v>0</v>
      </c>
      <c r="D48" s="66"/>
      <c r="E48" s="66">
        <v>0</v>
      </c>
    </row>
    <row r="49" spans="2:5" hidden="1" x14ac:dyDescent="0.3">
      <c r="B49" s="62" t="s">
        <v>24</v>
      </c>
      <c r="C49" s="63">
        <f>_xlfn.IFNA(LOOKUP(1,1/([1]Sheet3!$A$2:$A$9='[1]CHIA ĐƠN'!F35)/([1]Sheet3!$B$2:$B$9='[1]CHIA ĐƠN'!#REF!),[1]Sheet3!$C$2:$C$9),)</f>
        <v>0</v>
      </c>
      <c r="D49" s="66"/>
      <c r="E49" s="66">
        <v>10</v>
      </c>
    </row>
    <row r="50" spans="2:5" hidden="1" x14ac:dyDescent="0.3">
      <c r="B50" s="62" t="s">
        <v>557</v>
      </c>
      <c r="C50" s="63">
        <f>_xlfn.IFNA(LOOKUP(1,1/([1]Sheet3!$A$2:$A$9='[1]CHIA ĐƠN'!F36)/([1]Sheet3!$B$2:$B$9='[1]CHIA ĐƠN'!#REF!),[1]Sheet3!$C$2:$C$9),)</f>
        <v>0</v>
      </c>
      <c r="D50" s="66"/>
      <c r="E50" s="66">
        <v>0</v>
      </c>
    </row>
    <row r="51" spans="2:5" hidden="1" x14ac:dyDescent="0.3">
      <c r="B51" s="62" t="s">
        <v>25</v>
      </c>
      <c r="C51" s="63">
        <f>_xlfn.IFNA(LOOKUP(1,1/([1]Sheet3!$A$2:$A$9='[1]CHIA ĐƠN'!F37)/([1]Sheet3!$B$2:$B$9='[1]CHIA ĐƠN'!#REF!),[1]Sheet3!$C$2:$C$9),)</f>
        <v>0</v>
      </c>
      <c r="D51" s="66"/>
      <c r="E51" s="66">
        <v>0</v>
      </c>
    </row>
    <row r="52" spans="2:5" hidden="1" x14ac:dyDescent="0.3">
      <c r="B52" s="62" t="s">
        <v>25</v>
      </c>
      <c r="C52" s="63">
        <f>_xlfn.IFNA(LOOKUP(1,1/([1]Sheet3!$A$2:$A$9='[1]CHIA ĐƠN'!F38)/([1]Sheet3!$B$2:$B$9='[1]CHIA ĐƠN'!#REF!),[1]Sheet3!$C$2:$C$9),)</f>
        <v>0</v>
      </c>
      <c r="D52" s="66"/>
      <c r="E52" s="66">
        <v>0</v>
      </c>
    </row>
    <row r="53" spans="2:5" hidden="1" x14ac:dyDescent="0.3">
      <c r="B53" s="62" t="s">
        <v>26</v>
      </c>
      <c r="C53" s="63">
        <f>_xlfn.IFNA(LOOKUP(1,1/([1]Sheet3!$A$2:$A$9='[1]CHIA ĐƠN'!F39)/([1]Sheet3!$B$2:$B$9='[1]CHIA ĐƠN'!#REF!),[1]Sheet3!$C$2:$C$9),)</f>
        <v>0</v>
      </c>
      <c r="D53" s="66"/>
      <c r="E53" s="66">
        <v>0</v>
      </c>
    </row>
    <row r="54" spans="2:5" hidden="1" x14ac:dyDescent="0.3">
      <c r="B54" s="62" t="s">
        <v>26</v>
      </c>
      <c r="C54" s="63">
        <f>_xlfn.IFNA(LOOKUP(1,1/([1]Sheet3!$A$2:$A$9='[1]CHIA ĐƠN'!F40)/([1]Sheet3!$B$2:$B$9='[1]CHIA ĐƠN'!#REF!),[1]Sheet3!$C$2:$C$9),)</f>
        <v>0</v>
      </c>
      <c r="D54" s="66"/>
      <c r="E54" s="66">
        <v>0</v>
      </c>
    </row>
    <row r="55" spans="2:5" hidden="1" x14ac:dyDescent="0.3">
      <c r="B55" s="62" t="s">
        <v>26</v>
      </c>
      <c r="C55" s="63">
        <f>_xlfn.IFNA(LOOKUP(1,1/([1]Sheet3!$A$2:$A$9='[1]CHIA ĐƠN'!F41)/([1]Sheet3!$B$2:$B$9='[1]CHIA ĐƠN'!#REF!),[1]Sheet3!$C$2:$C$9),)</f>
        <v>0</v>
      </c>
      <c r="D55" s="66"/>
      <c r="E55" s="66">
        <v>0</v>
      </c>
    </row>
    <row r="56" spans="2:5" hidden="1" x14ac:dyDescent="0.3">
      <c r="B56" s="62" t="s">
        <v>573</v>
      </c>
      <c r="C56" s="63">
        <f>_xlfn.IFNA(LOOKUP(1,1/([1]Sheet3!$A$2:$A$9='[1]CHIA ĐƠN'!F146)/([1]Sheet3!$B$2:$B$9='[1]CHIA ĐƠN'!#REF!),[1]Sheet3!$C$2:$C$9),)</f>
        <v>0</v>
      </c>
      <c r="D56" s="68"/>
      <c r="E56" s="66">
        <v>0</v>
      </c>
    </row>
    <row r="57" spans="2:5" hidden="1" x14ac:dyDescent="0.3">
      <c r="B57" s="62" t="s">
        <v>573</v>
      </c>
      <c r="C57" s="63">
        <f>_xlfn.IFNA(LOOKUP(1,1/([1]Sheet3!$A$2:$A$9='[1]CHIA ĐƠN'!F147)/([1]Sheet3!$B$2:$B$9='[1]CHIA ĐƠN'!#REF!),[1]Sheet3!$C$2:$C$9),)</f>
        <v>0</v>
      </c>
      <c r="D57" s="68"/>
      <c r="E57" s="66">
        <v>0</v>
      </c>
    </row>
    <row r="58" spans="2:5" x14ac:dyDescent="0.3">
      <c r="B58" s="62" t="s">
        <v>27</v>
      </c>
      <c r="C58" s="63">
        <f>370+20</f>
        <v>390</v>
      </c>
      <c r="D58" s="68">
        <v>14000</v>
      </c>
      <c r="E58" s="66">
        <f>C58*D58</f>
        <v>5460000</v>
      </c>
    </row>
    <row r="59" spans="2:5" hidden="1" x14ac:dyDescent="0.3">
      <c r="B59" s="62" t="s">
        <v>109</v>
      </c>
      <c r="C59" s="63">
        <f>_xlfn.IFNA(LOOKUP(1,1/([1]Sheet3!$A$2:$A$9='[1]CHIA ĐƠN'!F152)/([1]Sheet3!$B$2:$B$9='[1]CHIA ĐƠN'!#REF!),[1]Sheet3!$C$2:$C$9),)</f>
        <v>0</v>
      </c>
      <c r="D59" s="68"/>
      <c r="E59" s="66">
        <v>0</v>
      </c>
    </row>
    <row r="60" spans="2:5" hidden="1" x14ac:dyDescent="0.3">
      <c r="B60" s="62" t="s">
        <v>560</v>
      </c>
      <c r="C60" s="63">
        <f>_xlfn.IFNA(LOOKUP(1,1/([1]Sheet3!$A$2:$A$9='[1]CHIA ĐƠN'!F144)/([1]Sheet3!$B$2:$B$9='[1]CHIA ĐƠN'!#REF!),[1]Sheet3!$C$2:$C$9),)</f>
        <v>0</v>
      </c>
      <c r="D60" s="68"/>
      <c r="E60" s="66">
        <v>0</v>
      </c>
    </row>
    <row r="61" spans="2:5" hidden="1" x14ac:dyDescent="0.3">
      <c r="B61" s="62" t="s">
        <v>560</v>
      </c>
      <c r="C61" s="63">
        <f>_xlfn.IFNA(LOOKUP(1,1/([1]Sheet3!$A$2:$A$9='[1]CHIA ĐƠN'!F145)/([1]Sheet3!$B$2:$B$9='[1]CHIA ĐƠN'!#REF!),[1]Sheet3!$C$2:$C$9),)</f>
        <v>0</v>
      </c>
      <c r="D61" s="68"/>
      <c r="E61" s="66">
        <v>0</v>
      </c>
    </row>
    <row r="62" spans="2:5" hidden="1" x14ac:dyDescent="0.3">
      <c r="B62" s="62" t="s">
        <v>28</v>
      </c>
      <c r="C62" s="63">
        <f>_xlfn.IFNA(LOOKUP(1,1/([1]Sheet3!$A$2:$A$9='[1]CHIA ĐƠN'!F43)/([1]Sheet3!$B$2:$B$9='[1]CHIA ĐƠN'!#REF!),[1]Sheet3!$C$2:$C$9),)</f>
        <v>0</v>
      </c>
      <c r="D62" s="68"/>
      <c r="E62" s="66">
        <v>50</v>
      </c>
    </row>
    <row r="63" spans="2:5" hidden="1" x14ac:dyDescent="0.3">
      <c r="B63" s="62" t="s">
        <v>28</v>
      </c>
      <c r="C63" s="63">
        <f>_xlfn.IFNA(LOOKUP(1,1/([1]Sheet3!$A$2:$A$9='[1]CHIA ĐƠN'!F44)/([1]Sheet3!$B$2:$B$9='[1]CHIA ĐƠN'!#REF!),[1]Sheet3!$C$2:$C$9),)</f>
        <v>0</v>
      </c>
      <c r="D63" s="68"/>
      <c r="E63" s="66">
        <v>0</v>
      </c>
    </row>
    <row r="64" spans="2:5" hidden="1" x14ac:dyDescent="0.3">
      <c r="B64" s="62" t="s">
        <v>28</v>
      </c>
      <c r="C64" s="63">
        <f>_xlfn.IFNA(LOOKUP(1,1/([1]Sheet3!$A$2:$A$9='[1]CHIA ĐƠN'!F45)/([1]Sheet3!$B$2:$B$9='[1]CHIA ĐƠN'!#REF!),[1]Sheet3!$C$2:$C$9),)</f>
        <v>0</v>
      </c>
      <c r="D64" s="68"/>
      <c r="E64" s="66">
        <v>0</v>
      </c>
    </row>
    <row r="65" spans="2:5" hidden="1" x14ac:dyDescent="0.3">
      <c r="B65" s="62" t="s">
        <v>64</v>
      </c>
      <c r="C65" s="63">
        <f>_xlfn.IFNA(LOOKUP(1,1/([1]Sheet3!$A$2:$A$9='[1]CHIA ĐƠN'!F92)/([1]Sheet3!$B$2:$B$9='[1]CHIA ĐƠN'!#REF!),[1]Sheet3!$C$2:$C$9),)</f>
        <v>0</v>
      </c>
      <c r="D65" s="68"/>
      <c r="E65" s="66">
        <v>0</v>
      </c>
    </row>
    <row r="66" spans="2:5" hidden="1" x14ac:dyDescent="0.3">
      <c r="B66" s="62" t="s">
        <v>64</v>
      </c>
      <c r="C66" s="63">
        <f>_xlfn.IFNA(LOOKUP(1,1/([1]Sheet3!$A$2:$A$9='[1]CHIA ĐƠN'!F93)/([1]Sheet3!$B$2:$B$9='[1]CHIA ĐƠN'!#REF!),[1]Sheet3!$C$2:$C$9),)</f>
        <v>0</v>
      </c>
      <c r="D66" s="68"/>
      <c r="E66" s="66">
        <v>0</v>
      </c>
    </row>
    <row r="67" spans="2:5" x14ac:dyDescent="0.3">
      <c r="B67" s="62" t="s">
        <v>87</v>
      </c>
      <c r="C67" s="63">
        <f>100+50+70</f>
        <v>220</v>
      </c>
      <c r="D67" s="68">
        <v>13000</v>
      </c>
      <c r="E67" s="66">
        <f>C67*D67</f>
        <v>2860000</v>
      </c>
    </row>
    <row r="68" spans="2:5" hidden="1" x14ac:dyDescent="0.3">
      <c r="B68" s="62" t="s">
        <v>3</v>
      </c>
      <c r="C68" s="63">
        <f>_xlfn.IFNA(LOOKUP(1,1/([1]Sheet3!$A$2:$A$9='[1]CHIA ĐƠN'!F8)/([1]Sheet3!$B$2:$B$9='[1]CHIA ĐƠN'!#REF!),[1]Sheet3!$C$2:$C$9),)</f>
        <v>0</v>
      </c>
      <c r="D68" s="66"/>
      <c r="E68" s="66">
        <v>0</v>
      </c>
    </row>
    <row r="69" spans="2:5" hidden="1" x14ac:dyDescent="0.3">
      <c r="B69" s="62" t="s">
        <v>4</v>
      </c>
      <c r="C69" s="63">
        <f>_xlfn.IFNA(LOOKUP(1,1/([1]Sheet3!$A$2:$A$9='[1]CHIA ĐƠN'!F9)/([1]Sheet3!$B$2:$B$9='[1]CHIA ĐƠN'!#REF!),[1]Sheet3!$C$2:$C$9),)</f>
        <v>0</v>
      </c>
      <c r="D69" s="66"/>
      <c r="E69" s="66">
        <v>0</v>
      </c>
    </row>
    <row r="70" spans="2:5" x14ac:dyDescent="0.3">
      <c r="B70" s="62" t="s">
        <v>5</v>
      </c>
      <c r="C70" s="63">
        <f>330+110</f>
        <v>440</v>
      </c>
      <c r="D70" s="66">
        <v>6000</v>
      </c>
      <c r="E70" s="66">
        <f t="shared" ref="E70:E71" si="0">C70*D70</f>
        <v>2640000</v>
      </c>
    </row>
    <row r="71" spans="2:5" x14ac:dyDescent="0.3">
      <c r="B71" s="62" t="s">
        <v>6</v>
      </c>
      <c r="C71" s="63">
        <f>20+20+20+70</f>
        <v>130</v>
      </c>
      <c r="D71" s="66">
        <v>16000</v>
      </c>
      <c r="E71" s="66">
        <f t="shared" si="0"/>
        <v>2080000</v>
      </c>
    </row>
    <row r="72" spans="2:5" hidden="1" x14ac:dyDescent="0.3">
      <c r="B72" s="62" t="s">
        <v>6</v>
      </c>
      <c r="C72" s="63">
        <f>_xlfn.IFNA(LOOKUP(1,1/([1]Sheet3!$A$2:$A$9='[1]CHIA ĐƠN'!F12)/([1]Sheet3!$B$2:$B$9='[1]CHIA ĐƠN'!#REF!),[1]Sheet3!$C$2:$C$9),)</f>
        <v>0</v>
      </c>
      <c r="D72" s="66"/>
      <c r="E72" s="66">
        <v>0</v>
      </c>
    </row>
    <row r="73" spans="2:5" x14ac:dyDescent="0.3">
      <c r="B73" s="62" t="s">
        <v>7</v>
      </c>
      <c r="C73" s="63">
        <v>3</v>
      </c>
      <c r="D73" s="66">
        <v>44000</v>
      </c>
      <c r="E73" s="66">
        <f t="shared" ref="E73:E74" si="1">C73*D73</f>
        <v>132000</v>
      </c>
    </row>
    <row r="74" spans="2:5" x14ac:dyDescent="0.3">
      <c r="B74" s="62" t="s">
        <v>8</v>
      </c>
      <c r="C74" s="63">
        <f>180+40+60</f>
        <v>280</v>
      </c>
      <c r="D74" s="66">
        <v>24000</v>
      </c>
      <c r="E74" s="66">
        <f t="shared" si="1"/>
        <v>6720000</v>
      </c>
    </row>
    <row r="75" spans="2:5" hidden="1" x14ac:dyDescent="0.3">
      <c r="B75" s="62" t="s">
        <v>9</v>
      </c>
      <c r="C75" s="63">
        <f>_xlfn.IFNA(LOOKUP(1,1/([1]Sheet3!$A$2:$A$9='[1]CHIA ĐƠN'!F15)/([1]Sheet3!$B$2:$B$9='[1]CHIA ĐƠN'!#REF!),[1]Sheet3!$C$2:$C$9),)</f>
        <v>0</v>
      </c>
      <c r="D75" s="66"/>
      <c r="E75" s="66">
        <v>0</v>
      </c>
    </row>
    <row r="76" spans="2:5" hidden="1" x14ac:dyDescent="0.3">
      <c r="B76" s="62" t="s">
        <v>9</v>
      </c>
      <c r="C76" s="63">
        <f>_xlfn.IFNA(LOOKUP(1,1/([1]Sheet3!$A$2:$A$9='[1]CHIA ĐƠN'!F16)/([1]Sheet3!$B$2:$B$9='[1]CHIA ĐƠN'!#REF!),[1]Sheet3!$C$2:$C$9),)</f>
        <v>0</v>
      </c>
      <c r="D76" s="66"/>
      <c r="E76" s="66">
        <v>0</v>
      </c>
    </row>
    <row r="77" spans="2:5" hidden="1" x14ac:dyDescent="0.3">
      <c r="B77" s="62" t="s">
        <v>10</v>
      </c>
      <c r="C77" s="63">
        <f>_xlfn.IFNA(LOOKUP(1,1/([1]Sheet3!$A$2:$A$9='[1]CHIA ĐƠN'!F17)/([1]Sheet3!$B$2:$B$9='[1]CHIA ĐƠN'!#REF!),[1]Sheet3!$C$2:$C$9),)</f>
        <v>0</v>
      </c>
      <c r="D77" s="66"/>
      <c r="E77" s="66">
        <v>60</v>
      </c>
    </row>
    <row r="78" spans="2:5" x14ac:dyDescent="0.3">
      <c r="B78" s="62" t="s">
        <v>102</v>
      </c>
      <c r="C78" s="63">
        <f>140+30</f>
        <v>170</v>
      </c>
      <c r="D78" s="68">
        <v>26000</v>
      </c>
      <c r="E78" s="66">
        <f t="shared" ref="E78:E79" si="2">C78*D78</f>
        <v>4420000</v>
      </c>
    </row>
    <row r="79" spans="2:5" x14ac:dyDescent="0.3">
      <c r="B79" s="62" t="s">
        <v>11</v>
      </c>
      <c r="C79" s="63">
        <f>30+450+180+30</f>
        <v>690</v>
      </c>
      <c r="D79" s="66">
        <v>26000</v>
      </c>
      <c r="E79" s="66">
        <f t="shared" si="2"/>
        <v>17940000</v>
      </c>
    </row>
    <row r="80" spans="2:5" hidden="1" x14ac:dyDescent="0.3">
      <c r="B80" s="62" t="s">
        <v>11</v>
      </c>
      <c r="C80" s="63">
        <f>_xlfn.IFNA(LOOKUP(1,1/([1]Sheet3!$A$2:$A$9='[1]CHIA ĐƠN'!F19)/([1]Sheet3!$B$2:$B$9='[1]CHIA ĐƠN'!#REF!),[1]Sheet3!$C$2:$C$9),)</f>
        <v>0</v>
      </c>
      <c r="D80" s="66"/>
      <c r="E80" s="66">
        <v>0</v>
      </c>
    </row>
    <row r="81" spans="2:5" x14ac:dyDescent="0.3">
      <c r="B81" s="62" t="s">
        <v>12</v>
      </c>
      <c r="C81" s="63">
        <f>100+700+1200+700+320</f>
        <v>3020</v>
      </c>
      <c r="D81" s="66">
        <v>27000</v>
      </c>
      <c r="E81" s="66">
        <f>C81*D81</f>
        <v>81540000</v>
      </c>
    </row>
    <row r="82" spans="2:5" hidden="1" x14ac:dyDescent="0.3">
      <c r="B82" s="62" t="s">
        <v>12</v>
      </c>
      <c r="C82" s="63">
        <f>_xlfn.IFNA(LOOKUP(1,1/([1]Sheet3!$A$2:$A$9='[1]CHIA ĐƠN'!F21)/([1]Sheet3!$B$2:$B$9='[1]CHIA ĐƠN'!#REF!),[1]Sheet3!$C$2:$C$9),)</f>
        <v>0</v>
      </c>
      <c r="D82" s="66"/>
      <c r="E82" s="66">
        <v>0</v>
      </c>
    </row>
    <row r="83" spans="2:5" hidden="1" x14ac:dyDescent="0.3">
      <c r="B83" s="62" t="s">
        <v>14</v>
      </c>
      <c r="C83" s="63">
        <f>_xlfn.IFNA(LOOKUP(1,1/([1]Sheet3!$A$2:$A$9='[1]CHIA ĐƠN'!F22)/([1]Sheet3!$B$2:$B$9='[1]CHIA ĐƠN'!#REF!),[1]Sheet3!$C$2:$C$9),)</f>
        <v>0</v>
      </c>
      <c r="D83" s="66"/>
      <c r="E83" s="66">
        <v>0</v>
      </c>
    </row>
    <row r="84" spans="2:5" hidden="1" x14ac:dyDescent="0.3">
      <c r="B84" s="62" t="s">
        <v>14</v>
      </c>
      <c r="C84" s="63">
        <f>_xlfn.IFNA(LOOKUP(1,1/([1]Sheet3!$A$2:$A$9='[1]CHIA ĐƠN'!F23)/([1]Sheet3!$B$2:$B$9='[1]CHIA ĐƠN'!#REF!),[1]Sheet3!$C$2:$C$9),)</f>
        <v>0</v>
      </c>
      <c r="D84" s="66"/>
      <c r="E84" s="66">
        <v>0</v>
      </c>
    </row>
    <row r="85" spans="2:5" hidden="1" x14ac:dyDescent="0.3">
      <c r="B85" s="62" t="s">
        <v>111</v>
      </c>
      <c r="C85" s="63">
        <f>_xlfn.IFNA(LOOKUP(1,1/([1]Sheet3!$A$2:$A$9='[1]CHIA ĐƠN'!F154)/([1]Sheet3!$B$2:$B$9='[1]CHIA ĐƠN'!#REF!),[1]Sheet3!$C$2:$C$9),)</f>
        <v>0</v>
      </c>
      <c r="D85" s="68"/>
      <c r="E85" s="66">
        <v>0</v>
      </c>
    </row>
    <row r="86" spans="2:5" hidden="1" x14ac:dyDescent="0.3">
      <c r="B86" s="62" t="s">
        <v>15</v>
      </c>
      <c r="C86" s="63"/>
      <c r="D86" s="66"/>
      <c r="E86" s="66">
        <v>150</v>
      </c>
    </row>
    <row r="87" spans="2:5" x14ac:dyDescent="0.3">
      <c r="B87" s="62" t="s">
        <v>15</v>
      </c>
      <c r="C87" s="63">
        <f>10+15+45</f>
        <v>70</v>
      </c>
      <c r="D87" s="66">
        <v>20000</v>
      </c>
      <c r="E87" s="66">
        <f>C87*D87</f>
        <v>1400000</v>
      </c>
    </row>
    <row r="88" spans="2:5" hidden="1" x14ac:dyDescent="0.3">
      <c r="B88" s="62" t="s">
        <v>521</v>
      </c>
      <c r="C88" s="63">
        <f>_xlfn.IFNA(LOOKUP(1,1/([1]Sheet3!$A$2:$A$9='[1]CHIA ĐƠN'!F150)/([1]Sheet3!$B$2:$B$9='[1]CHIA ĐƠN'!#REF!),[1]Sheet3!$C$2:$C$9),)</f>
        <v>0</v>
      </c>
      <c r="D88" s="68"/>
      <c r="E88" s="66">
        <v>0</v>
      </c>
    </row>
    <row r="89" spans="2:5" x14ac:dyDescent="0.3">
      <c r="B89" s="62" t="s">
        <v>16</v>
      </c>
      <c r="C89" s="63">
        <v>70</v>
      </c>
      <c r="D89" s="66">
        <v>15000</v>
      </c>
      <c r="E89" s="66">
        <f t="shared" ref="E89:E90" si="3">C89*D89</f>
        <v>1050000</v>
      </c>
    </row>
    <row r="90" spans="2:5" x14ac:dyDescent="0.3">
      <c r="B90" s="62" t="s">
        <v>68</v>
      </c>
      <c r="C90" s="63">
        <v>25</v>
      </c>
      <c r="D90" s="68">
        <v>11000</v>
      </c>
      <c r="E90" s="66">
        <f t="shared" si="3"/>
        <v>275000</v>
      </c>
    </row>
    <row r="91" spans="2:5" hidden="1" x14ac:dyDescent="0.3">
      <c r="B91" s="62" t="s">
        <v>65</v>
      </c>
      <c r="C91" s="63">
        <f>_xlfn.IFNA(LOOKUP(1,1/([1]Sheet3!$A$2:$A$9='[1]CHIA ĐƠN'!F94)/([1]Sheet3!$B$2:$B$9='[1]CHIA ĐƠN'!#REF!),[1]Sheet3!$C$2:$C$9),)</f>
        <v>0</v>
      </c>
      <c r="D91" s="68"/>
      <c r="E91" s="66">
        <v>0</v>
      </c>
    </row>
    <row r="92" spans="2:5" hidden="1" x14ac:dyDescent="0.3">
      <c r="B92" s="62" t="s">
        <v>66</v>
      </c>
      <c r="C92" s="63">
        <f>_xlfn.IFNA(LOOKUP(1,1/([1]Sheet3!$A$2:$A$9='[1]CHIA ĐƠN'!F95)/([1]Sheet3!$B$2:$B$9='[1]CHIA ĐƠN'!#REF!),[1]Sheet3!$C$2:$C$9),)</f>
        <v>0</v>
      </c>
      <c r="D92" s="68"/>
      <c r="E92" s="66">
        <v>0</v>
      </c>
    </row>
    <row r="93" spans="2:5" x14ac:dyDescent="0.3">
      <c r="B93" s="62" t="s">
        <v>67</v>
      </c>
      <c r="C93" s="63">
        <v>45</v>
      </c>
      <c r="D93" s="68">
        <v>17000</v>
      </c>
      <c r="E93" s="66">
        <f>C93*D93</f>
        <v>765000</v>
      </c>
    </row>
    <row r="94" spans="2:5" hidden="1" x14ac:dyDescent="0.3">
      <c r="B94" s="62" t="s">
        <v>69</v>
      </c>
      <c r="C94" s="63">
        <f>_xlfn.IFNA(LOOKUP(1,1/([1]Sheet3!$A$2:$A$9='[1]CHIA ĐƠN'!F98)/([1]Sheet3!$B$2:$B$9='[1]CHIA ĐƠN'!#REF!),[1]Sheet3!$C$2:$C$9),)</f>
        <v>0</v>
      </c>
      <c r="D94" s="68"/>
      <c r="E94" s="66">
        <v>0</v>
      </c>
    </row>
    <row r="95" spans="2:5" hidden="1" x14ac:dyDescent="0.3">
      <c r="B95" s="62" t="s">
        <v>69</v>
      </c>
      <c r="C95" s="63">
        <f>_xlfn.IFNA(LOOKUP(1,1/([1]Sheet3!$A$2:$A$9='[1]CHIA ĐƠN'!F99)/([1]Sheet3!$B$2:$B$9='[1]CHIA ĐƠN'!#REF!),[1]Sheet3!$C$2:$C$9),)</f>
        <v>0</v>
      </c>
      <c r="D95" s="68"/>
      <c r="E95" s="66">
        <v>0</v>
      </c>
    </row>
    <row r="96" spans="2:5" hidden="1" x14ac:dyDescent="0.3">
      <c r="B96" s="62" t="s">
        <v>526</v>
      </c>
      <c r="C96" s="63">
        <f>_xlfn.IFNA(LOOKUP(1,1/([1]Sheet3!$A$2:$A$9='[1]CHIA ĐƠN'!F156)/([1]Sheet3!$B$2:$B$9='[1]CHIA ĐƠN'!#REF!),[1]Sheet3!$C$2:$C$9),)</f>
        <v>0</v>
      </c>
      <c r="D96" s="68"/>
      <c r="E96" s="66">
        <v>0</v>
      </c>
    </row>
    <row r="97" spans="2:5" hidden="1" x14ac:dyDescent="0.3">
      <c r="B97" s="62" t="s">
        <v>70</v>
      </c>
      <c r="C97" s="63">
        <f>_xlfn.IFNA(LOOKUP(1,1/([1]Sheet3!$A$2:$A$9='[1]CHIA ĐƠN'!F100)/([1]Sheet3!$B$2:$B$9='[1]CHIA ĐƠN'!#REF!),[1]Sheet3!$C$2:$C$9),)</f>
        <v>0</v>
      </c>
      <c r="D97" s="68"/>
      <c r="E97" s="66">
        <v>0</v>
      </c>
    </row>
    <row r="98" spans="2:5" hidden="1" x14ac:dyDescent="0.3">
      <c r="B98" s="62" t="s">
        <v>83</v>
      </c>
      <c r="C98" s="63">
        <f>_xlfn.IFNA(LOOKUP(1,1/([1]Sheet3!$A$2:$A$9='[1]CHIA ĐƠN'!F120)/([1]Sheet3!$B$2:$B$9='[1]CHIA ĐƠN'!#REF!),[1]Sheet3!$C$2:$C$9),)</f>
        <v>0</v>
      </c>
      <c r="D98" s="68"/>
      <c r="E98" s="66">
        <v>0</v>
      </c>
    </row>
    <row r="99" spans="2:5" hidden="1" x14ac:dyDescent="0.3">
      <c r="B99" s="62" t="s">
        <v>98</v>
      </c>
      <c r="C99" s="63">
        <f>_xlfn.IFNA(LOOKUP(1,1/([1]Sheet3!$A$2:$A$9='[1]CHIA ĐƠN'!F134)/([1]Sheet3!$B$2:$B$9='[1]CHIA ĐƠN'!#REF!),[1]Sheet3!$C$2:$C$9),)</f>
        <v>0</v>
      </c>
      <c r="D99" s="68"/>
      <c r="E99" s="66">
        <v>0</v>
      </c>
    </row>
    <row r="100" spans="2:5" hidden="1" x14ac:dyDescent="0.3">
      <c r="B100" s="62" t="s">
        <v>71</v>
      </c>
      <c r="C100" s="63">
        <f>_xlfn.IFNA(LOOKUP(1,1/([1]Sheet3!$A$2:$A$9='[1]CHIA ĐƠN'!F101)/([1]Sheet3!$B$2:$B$9='[1]CHIA ĐƠN'!#REF!),[1]Sheet3!$C$2:$C$9),)</f>
        <v>0</v>
      </c>
      <c r="D100" s="68"/>
      <c r="E100" s="66">
        <v>0</v>
      </c>
    </row>
    <row r="101" spans="2:5" hidden="1" x14ac:dyDescent="0.3">
      <c r="B101" s="62" t="s">
        <v>72</v>
      </c>
      <c r="C101" s="63">
        <f>_xlfn.IFNA(LOOKUP(1,1/([1]Sheet3!$A$2:$A$9='[1]CHIA ĐƠN'!F102)/([1]Sheet3!$B$2:$B$9='[1]CHIA ĐƠN'!#REF!),[1]Sheet3!$C$2:$C$9),)</f>
        <v>0</v>
      </c>
      <c r="D101" s="68"/>
      <c r="E101" s="66">
        <v>200</v>
      </c>
    </row>
    <row r="102" spans="2:5" hidden="1" x14ac:dyDescent="0.3">
      <c r="B102" s="62" t="s">
        <v>73</v>
      </c>
      <c r="C102" s="63">
        <f>_xlfn.IFNA(LOOKUP(1,1/([1]Sheet3!$A$2:$A$9='[1]CHIA ĐƠN'!F103)/([1]Sheet3!$B$2:$B$9='[1]CHIA ĐƠN'!#REF!),[1]Sheet3!$C$2:$C$9),)</f>
        <v>0</v>
      </c>
      <c r="D102" s="68"/>
      <c r="E102" s="66">
        <v>0</v>
      </c>
    </row>
    <row r="103" spans="2:5" hidden="1" x14ac:dyDescent="0.3">
      <c r="B103" s="62" t="s">
        <v>73</v>
      </c>
      <c r="C103" s="63">
        <f>_xlfn.IFNA(LOOKUP(1,1/([1]Sheet3!$A$2:$A$9='[1]CHIA ĐƠN'!F104)/([1]Sheet3!$B$2:$B$9='[1]CHIA ĐƠN'!#REF!),[1]Sheet3!$C$2:$C$9),)</f>
        <v>0</v>
      </c>
      <c r="D103" s="68"/>
      <c r="E103" s="66">
        <v>0</v>
      </c>
    </row>
    <row r="104" spans="2:5" x14ac:dyDescent="0.3">
      <c r="B104" s="62" t="s">
        <v>74</v>
      </c>
      <c r="C104" s="63">
        <v>15</v>
      </c>
      <c r="D104" s="68">
        <v>10000</v>
      </c>
      <c r="E104" s="66">
        <f>C104*D104</f>
        <v>150000</v>
      </c>
    </row>
    <row r="105" spans="2:5" hidden="1" x14ac:dyDescent="0.3">
      <c r="B105" s="62" t="s">
        <v>29</v>
      </c>
      <c r="C105" s="63">
        <f>_xlfn.IFNA(LOOKUP(1,1/([1]Sheet3!$A$2:$A$9='[1]CHIA ĐƠN'!F46)/([1]Sheet3!$B$2:$B$9='[1]CHIA ĐƠN'!#REF!),[1]Sheet3!$C$2:$C$9),)</f>
        <v>0</v>
      </c>
      <c r="D105" s="68"/>
      <c r="E105" s="66">
        <v>200</v>
      </c>
    </row>
    <row r="106" spans="2:5" x14ac:dyDescent="0.3">
      <c r="B106" s="62" t="s">
        <v>29</v>
      </c>
      <c r="C106" s="63">
        <v>30</v>
      </c>
      <c r="D106" s="68">
        <v>35000</v>
      </c>
      <c r="E106" s="66">
        <f>C106*D106</f>
        <v>1050000</v>
      </c>
    </row>
    <row r="107" spans="2:5" hidden="1" x14ac:dyDescent="0.3">
      <c r="B107" s="62" t="s">
        <v>93</v>
      </c>
      <c r="C107" s="63">
        <f>_xlfn.IFNA(LOOKUP(1,1/([1]Sheet3!$A$2:$A$9='[1]CHIA ĐƠN'!F130)/([1]Sheet3!$B$2:$B$9='[1]CHIA ĐƠN'!#REF!),[1]Sheet3!$C$2:$C$9),)</f>
        <v>0</v>
      </c>
      <c r="D107" s="68"/>
      <c r="E107" s="66">
        <v>500</v>
      </c>
    </row>
    <row r="108" spans="2:5" hidden="1" x14ac:dyDescent="0.3">
      <c r="B108" s="62" t="s">
        <v>20</v>
      </c>
      <c r="C108" s="63">
        <f>_xlfn.IFNA(LOOKUP(1,1/([1]Sheet3!$A$2:$A$9='[1]CHIA ĐƠN'!F30)/([1]Sheet3!$B$2:$B$9='[1]CHIA ĐƠN'!#REF!),[1]Sheet3!$C$2:$C$9),)</f>
        <v>0</v>
      </c>
      <c r="D108" s="66"/>
      <c r="E108" s="66">
        <v>0</v>
      </c>
    </row>
    <row r="109" spans="2:5" hidden="1" x14ac:dyDescent="0.3">
      <c r="B109" s="62" t="s">
        <v>96</v>
      </c>
      <c r="C109" s="63">
        <f>_xlfn.IFNA(LOOKUP(1,1/([1]Sheet3!$A$2:$A$9='[1]CHIA ĐƠN'!F132)/([1]Sheet3!$B$2:$B$9='[1]CHIA ĐƠN'!#REF!),[1]Sheet3!$C$2:$C$9),)</f>
        <v>0</v>
      </c>
      <c r="D109" s="68"/>
      <c r="E109" s="66">
        <v>0</v>
      </c>
    </row>
    <row r="110" spans="2:5" hidden="1" x14ac:dyDescent="0.3">
      <c r="B110" s="62" t="s">
        <v>118</v>
      </c>
      <c r="C110" s="63">
        <f>_xlfn.IFNA(LOOKUP(1,1/([1]Sheet3!$A$2:$A$9='[1]CHIA ĐƠN'!F141)/([1]Sheet3!$B$2:$B$9='[1]CHIA ĐƠN'!#REF!),[1]Sheet3!$C$2:$C$9),)</f>
        <v>0</v>
      </c>
      <c r="D110" s="68"/>
      <c r="E110" s="66">
        <v>0</v>
      </c>
    </row>
    <row r="111" spans="2:5" hidden="1" x14ac:dyDescent="0.3">
      <c r="B111" s="62" t="s">
        <v>34</v>
      </c>
      <c r="C111" s="63">
        <f>_xlfn.IFNA(LOOKUP(1,1/([1]Sheet3!$A$2:$A$9='[1]CHIA ĐƠN'!F53)/([1]Sheet3!$B$2:$B$9='[1]CHIA ĐƠN'!#REF!),[1]Sheet3!$C$2:$C$9),)</f>
        <v>0</v>
      </c>
      <c r="D111" s="68"/>
      <c r="E111" s="66">
        <v>0</v>
      </c>
    </row>
    <row r="112" spans="2:5" hidden="1" x14ac:dyDescent="0.3">
      <c r="B112" s="62" t="s">
        <v>30</v>
      </c>
      <c r="C112" s="63">
        <f>_xlfn.IFNA(LOOKUP(1,1/([1]Sheet3!$A$2:$A$9='[1]CHIA ĐƠN'!F48)/([1]Sheet3!$B$2:$B$9='[1]CHIA ĐƠN'!#REF!),[1]Sheet3!$C$2:$C$9),)</f>
        <v>0</v>
      </c>
      <c r="D112" s="68"/>
      <c r="E112" s="66">
        <v>0</v>
      </c>
    </row>
    <row r="113" spans="2:5" hidden="1" x14ac:dyDescent="0.3">
      <c r="B113" s="62" t="s">
        <v>30</v>
      </c>
      <c r="C113" s="63">
        <f>_xlfn.IFNA(LOOKUP(1,1/([1]Sheet3!$A$2:$A$9='[1]CHIA ĐƠN'!F49)/([1]Sheet3!$B$2:$B$9='[1]CHIA ĐƠN'!#REF!),[1]Sheet3!$C$2:$C$9),)</f>
        <v>0</v>
      </c>
      <c r="D113" s="68"/>
      <c r="E113" s="66">
        <v>0</v>
      </c>
    </row>
    <row r="114" spans="2:5" hidden="1" x14ac:dyDescent="0.3">
      <c r="B114" s="62" t="s">
        <v>31</v>
      </c>
      <c r="C114" s="63">
        <f>_xlfn.IFNA(LOOKUP(1,1/([1]Sheet3!$A$2:$A$9='[1]CHIA ĐƠN'!F50)/([1]Sheet3!$B$2:$B$9='[1]CHIA ĐƠN'!#REF!),[1]Sheet3!$C$2:$C$9),)</f>
        <v>0</v>
      </c>
      <c r="D114" s="68"/>
      <c r="E114" s="66">
        <v>0</v>
      </c>
    </row>
    <row r="115" spans="2:5" hidden="1" x14ac:dyDescent="0.3">
      <c r="B115" s="62" t="s">
        <v>32</v>
      </c>
      <c r="C115" s="63">
        <f>_xlfn.IFNA(LOOKUP(1,1/([1]Sheet3!$A$2:$A$9='[1]CHIA ĐƠN'!F51)/([1]Sheet3!$B$2:$B$9='[1]CHIA ĐƠN'!#REF!),[1]Sheet3!$C$2:$C$9),)</f>
        <v>0</v>
      </c>
      <c r="D115" s="68"/>
      <c r="E115" s="66">
        <v>0</v>
      </c>
    </row>
    <row r="116" spans="2:5" hidden="1" x14ac:dyDescent="0.3">
      <c r="B116" s="62" t="s">
        <v>33</v>
      </c>
      <c r="C116" s="63">
        <f>_xlfn.IFNA(LOOKUP(1,1/([1]Sheet3!$A$2:$A$9='[1]CHIA ĐƠN'!F52)/([1]Sheet3!$B$2:$B$9='[1]CHIA ĐƠN'!#REF!),[1]Sheet3!$C$2:$C$9),)</f>
        <v>0</v>
      </c>
      <c r="D116" s="68"/>
      <c r="E116" s="66">
        <v>0</v>
      </c>
    </row>
    <row r="117" spans="2:5" hidden="1" x14ac:dyDescent="0.3">
      <c r="B117" s="62" t="s">
        <v>35</v>
      </c>
      <c r="C117" s="63">
        <f>_xlfn.IFNA(LOOKUP(1,1/([1]Sheet3!$A$2:$A$9='[1]CHIA ĐƠN'!F54)/([1]Sheet3!$B$2:$B$9='[1]CHIA ĐƠN'!#REF!),[1]Sheet3!$C$2:$C$9),)</f>
        <v>0</v>
      </c>
      <c r="D117" s="68"/>
      <c r="E117" s="66">
        <v>0</v>
      </c>
    </row>
    <row r="118" spans="2:5" hidden="1" x14ac:dyDescent="0.3">
      <c r="B118" s="62" t="s">
        <v>99</v>
      </c>
      <c r="C118" s="63">
        <f>_xlfn.IFNA(LOOKUP(1,1/([1]Sheet3!$A$2:$A$9='[1]CHIA ĐƠN'!F135)/([1]Sheet3!$B$2:$B$9='[1]CHIA ĐƠN'!#REF!),[1]Sheet3!$C$2:$C$9),)</f>
        <v>0</v>
      </c>
      <c r="D118" s="68"/>
      <c r="E118" s="66">
        <v>0</v>
      </c>
    </row>
    <row r="119" spans="2:5" hidden="1" x14ac:dyDescent="0.3">
      <c r="B119" s="62" t="s">
        <v>94</v>
      </c>
      <c r="C119" s="63">
        <f>_xlfn.IFNA(LOOKUP(1,1/([1]Sheet3!$A$2:$A$9='[1]CHIA ĐƠN'!F131)/([1]Sheet3!$B$2:$B$9='[1]CHIA ĐƠN'!#REF!),[1]Sheet3!$C$2:$C$9),)</f>
        <v>0</v>
      </c>
      <c r="D119" s="68"/>
      <c r="E119" s="66">
        <v>0</v>
      </c>
    </row>
    <row r="120" spans="2:5" hidden="1" x14ac:dyDescent="0.3">
      <c r="B120" s="62" t="s">
        <v>101</v>
      </c>
      <c r="C120" s="63">
        <f>_xlfn.IFNA(LOOKUP(1,1/([1]Sheet3!$A$2:$A$9='[1]CHIA ĐƠN'!F138)/([1]Sheet3!$B$2:$B$9='[1]CHIA ĐƠN'!#REF!),[1]Sheet3!$C$2:$C$9),)</f>
        <v>0</v>
      </c>
      <c r="D120" s="68"/>
      <c r="E120" s="66">
        <v>70</v>
      </c>
    </row>
    <row r="121" spans="2:5" hidden="1" x14ac:dyDescent="0.3">
      <c r="B121" s="62" t="s">
        <v>97</v>
      </c>
      <c r="C121" s="63">
        <f>_xlfn.IFNA(LOOKUP(1,1/([1]Sheet3!$A$2:$A$9='[1]CHIA ĐƠN'!F133)/([1]Sheet3!$B$2:$B$9='[1]CHIA ĐƠN'!#REF!),[1]Sheet3!$C$2:$C$9),)</f>
        <v>0</v>
      </c>
      <c r="D121" s="68"/>
      <c r="E121" s="66">
        <v>0</v>
      </c>
    </row>
    <row r="122" spans="2:5" hidden="1" x14ac:dyDescent="0.3">
      <c r="B122" s="62" t="s">
        <v>75</v>
      </c>
      <c r="C122" s="63">
        <f>_xlfn.IFNA(LOOKUP(1,1/([1]Sheet3!$A$2:$A$9='[1]CHIA ĐƠN'!F106)/([1]Sheet3!$B$2:$B$9='[1]CHIA ĐƠN'!#REF!),[1]Sheet3!$C$2:$C$9),)</f>
        <v>0</v>
      </c>
      <c r="D122" s="68"/>
      <c r="E122" s="66">
        <v>0</v>
      </c>
    </row>
    <row r="123" spans="2:5" hidden="1" x14ac:dyDescent="0.3">
      <c r="B123" s="62" t="s">
        <v>75</v>
      </c>
      <c r="C123" s="63">
        <f>_xlfn.IFNA(LOOKUP(1,1/([1]Sheet3!$A$2:$A$9='[1]CHIA ĐƠN'!F107)/([1]Sheet3!$B$2:$B$9='[1]CHIA ĐƠN'!#REF!),[1]Sheet3!$C$2:$C$9),)</f>
        <v>0</v>
      </c>
      <c r="D123" s="68"/>
      <c r="E123" s="66">
        <v>0</v>
      </c>
    </row>
    <row r="124" spans="2:5" hidden="1" x14ac:dyDescent="0.3">
      <c r="B124" s="62" t="s">
        <v>76</v>
      </c>
      <c r="C124" s="63"/>
      <c r="D124" s="68"/>
      <c r="E124" s="66">
        <v>30</v>
      </c>
    </row>
    <row r="125" spans="2:5" hidden="1" x14ac:dyDescent="0.3">
      <c r="B125" s="62" t="s">
        <v>76</v>
      </c>
      <c r="C125" s="63">
        <f>_xlfn.IFNA(LOOKUP(1,1/([1]Sheet3!$A$2:$A$9='[1]CHIA ĐƠN'!F109)/([1]Sheet3!$B$2:$B$9='[1]CHIA ĐƠN'!#REF!),[1]Sheet3!$C$2:$C$9),)</f>
        <v>0</v>
      </c>
      <c r="D125" s="68"/>
      <c r="E125" s="66">
        <v>400</v>
      </c>
    </row>
    <row r="126" spans="2:5" hidden="1" x14ac:dyDescent="0.3">
      <c r="B126" s="62" t="s">
        <v>77</v>
      </c>
      <c r="C126" s="63">
        <f>_xlfn.IFNA(LOOKUP(1,1/([1]Sheet3!$A$2:$A$9='[1]CHIA ĐƠN'!F110)/([1]Sheet3!$B$2:$B$9='[1]CHIA ĐƠN'!#REF!),[1]Sheet3!$C$2:$C$9),)</f>
        <v>0</v>
      </c>
      <c r="D126" s="68"/>
      <c r="E126" s="66">
        <v>0</v>
      </c>
    </row>
    <row r="127" spans="2:5" hidden="1" x14ac:dyDescent="0.3">
      <c r="B127" s="62" t="s">
        <v>77</v>
      </c>
      <c r="C127" s="63">
        <f>_xlfn.IFNA(LOOKUP(1,1/([1]Sheet3!$A$2:$A$9='[1]CHIA ĐƠN'!F111)/([1]Sheet3!$B$2:$B$9='[1]CHIA ĐƠN'!#REF!),[1]Sheet3!$C$2:$C$9),)</f>
        <v>0</v>
      </c>
      <c r="D127" s="68"/>
      <c r="E127" s="66">
        <v>0</v>
      </c>
    </row>
    <row r="128" spans="2:5" x14ac:dyDescent="0.3">
      <c r="B128" s="62" t="s">
        <v>78</v>
      </c>
      <c r="C128" s="63">
        <f>80+20+20+25+12</f>
        <v>157</v>
      </c>
      <c r="D128" s="68">
        <v>18000</v>
      </c>
      <c r="E128" s="66">
        <f>C128*D128</f>
        <v>2826000</v>
      </c>
    </row>
    <row r="129" spans="2:5" hidden="1" x14ac:dyDescent="0.3">
      <c r="B129" s="62" t="s">
        <v>78</v>
      </c>
      <c r="C129" s="63">
        <f>_xlfn.IFNA(LOOKUP(1,1/([1]Sheet3!$A$2:$A$9='[1]CHIA ĐƠN'!F113)/([1]Sheet3!$B$2:$B$9='[1]CHIA ĐƠN'!#REF!),[1]Sheet3!$C$2:$C$9),)</f>
        <v>0</v>
      </c>
      <c r="D129" s="68"/>
      <c r="E129" s="66">
        <v>100</v>
      </c>
    </row>
    <row r="130" spans="2:5" x14ac:dyDescent="0.3">
      <c r="B130" s="62" t="s">
        <v>79</v>
      </c>
      <c r="C130" s="63">
        <f>200+10</f>
        <v>210</v>
      </c>
      <c r="D130" s="68">
        <v>20000</v>
      </c>
      <c r="E130" s="66">
        <f>C130*D130</f>
        <v>4200000</v>
      </c>
    </row>
    <row r="131" spans="2:5" hidden="1" x14ac:dyDescent="0.3">
      <c r="B131" s="62" t="s">
        <v>79</v>
      </c>
      <c r="C131" s="63">
        <f>_xlfn.IFNA(LOOKUP(1,1/([1]Sheet3!$A$2:$A$9='[1]CHIA ĐƠN'!F115)/([1]Sheet3!$B$2:$B$9='[1]CHIA ĐƠN'!#REF!),[1]Sheet3!$C$2:$C$9),)</f>
        <v>0</v>
      </c>
      <c r="D131" s="68"/>
      <c r="E131" s="66">
        <v>80</v>
      </c>
    </row>
    <row r="132" spans="2:5" hidden="1" x14ac:dyDescent="0.3">
      <c r="B132" s="62" t="s">
        <v>107</v>
      </c>
      <c r="C132" s="63">
        <f>_xlfn.IFNA(LOOKUP(1,1/([1]Sheet3!$A$2:$A$9='[1]CHIA ĐƠN'!F151)/([1]Sheet3!$B$2:$B$9='[1]CHIA ĐƠN'!#REF!),[1]Sheet3!$C$2:$C$9),)</f>
        <v>0</v>
      </c>
      <c r="D132" s="68"/>
      <c r="E132" s="66">
        <v>0</v>
      </c>
    </row>
    <row r="133" spans="2:5" hidden="1" x14ac:dyDescent="0.3">
      <c r="B133" s="62" t="s">
        <v>80</v>
      </c>
      <c r="C133" s="63">
        <f>_xlfn.IFNA(LOOKUP(1,1/([1]Sheet3!$A$2:$A$9='[1]CHIA ĐƠN'!F116)/([1]Sheet3!$B$2:$B$9='[1]CHIA ĐƠN'!#REF!),[1]Sheet3!$C$2:$C$9),)</f>
        <v>0</v>
      </c>
      <c r="D133" s="68"/>
      <c r="E133" s="66">
        <v>0</v>
      </c>
    </row>
    <row r="134" spans="2:5" hidden="1" x14ac:dyDescent="0.3">
      <c r="B134" s="62" t="s">
        <v>559</v>
      </c>
      <c r="C134" s="63">
        <f>_xlfn.IFNA(LOOKUP(1,1/([1]Sheet3!$A$2:$A$9='[1]CHIA ĐƠN'!F142)/([1]Sheet3!$B$2:$B$9='[1]CHIA ĐƠN'!#REF!),[1]Sheet3!$C$2:$C$9),)</f>
        <v>0</v>
      </c>
      <c r="D134" s="68"/>
      <c r="E134" s="66">
        <v>0</v>
      </c>
    </row>
    <row r="135" spans="2:5" hidden="1" x14ac:dyDescent="0.3">
      <c r="B135" s="62" t="s">
        <v>559</v>
      </c>
      <c r="C135" s="63">
        <f>_xlfn.IFNA(LOOKUP(1,1/([1]Sheet3!$A$2:$A$9='[1]CHIA ĐƠN'!F143)/([1]Sheet3!$B$2:$B$9='[1]CHIA ĐƠN'!#REF!),[1]Sheet3!$C$2:$C$9),)</f>
        <v>0</v>
      </c>
      <c r="D135" s="68"/>
      <c r="E135" s="66">
        <v>0</v>
      </c>
    </row>
    <row r="136" spans="2:5" hidden="1" x14ac:dyDescent="0.3">
      <c r="B136" s="62" t="s">
        <v>36</v>
      </c>
      <c r="C136" s="63">
        <f>_xlfn.IFNA(LOOKUP(1,1/([1]Sheet3!$A$2:$A$9='[1]CHIA ĐƠN'!F55)/([1]Sheet3!$B$2:$B$9='[1]CHIA ĐƠN'!#REF!),[1]Sheet3!$C$2:$C$9),)</f>
        <v>0</v>
      </c>
      <c r="D136" s="68"/>
      <c r="E136" s="66">
        <v>0</v>
      </c>
    </row>
    <row r="137" spans="2:5" hidden="1" x14ac:dyDescent="0.3">
      <c r="B137" s="62" t="s">
        <v>100</v>
      </c>
      <c r="C137" s="63">
        <f>_xlfn.IFNA(LOOKUP(1,1/([1]Sheet3!$A$2:$A$9='[1]CHIA ĐƠN'!F136)/([1]Sheet3!$B$2:$B$9='[1]CHIA ĐƠN'!#REF!),[1]Sheet3!$C$2:$C$9),)</f>
        <v>0</v>
      </c>
      <c r="D137" s="68"/>
      <c r="E137" s="66">
        <v>0</v>
      </c>
    </row>
    <row r="138" spans="2:5" hidden="1" x14ac:dyDescent="0.3">
      <c r="B138" s="62" t="s">
        <v>81</v>
      </c>
      <c r="C138" s="63">
        <f>_xlfn.IFNA(LOOKUP(1,1/([1]Sheet3!$A$2:$A$9='[1]CHIA ĐƠN'!F117)/([1]Sheet3!$B$2:$B$9='[1]CHIA ĐƠN'!#REF!),[1]Sheet3!$C$2:$C$9),)</f>
        <v>0</v>
      </c>
      <c r="D138" s="68"/>
      <c r="E138" s="66">
        <v>0</v>
      </c>
    </row>
    <row r="139" spans="2:5" hidden="1" x14ac:dyDescent="0.3">
      <c r="B139" s="62" t="s">
        <v>81</v>
      </c>
      <c r="C139" s="63">
        <f>_xlfn.IFNA(LOOKUP(1,1/([1]Sheet3!$A$2:$A$9='[1]CHIA ĐƠN'!F118)/([1]Sheet3!$B$2:$B$9='[1]CHIA ĐƠN'!#REF!),[1]Sheet3!$C$2:$C$9),)</f>
        <v>0</v>
      </c>
      <c r="D139" s="68"/>
      <c r="E139" s="66">
        <v>0</v>
      </c>
    </row>
    <row r="140" spans="2:5" hidden="1" x14ac:dyDescent="0.3">
      <c r="B140" s="62" t="s">
        <v>85</v>
      </c>
      <c r="C140" s="63">
        <f>_xlfn.IFNA(LOOKUP(1,1/([1]Sheet3!$A$2:$A$9='[1]CHIA ĐƠN'!F122)/([1]Sheet3!$B$2:$B$9='[1]CHIA ĐƠN'!#REF!),[1]Sheet3!$C$2:$C$9),)</f>
        <v>0</v>
      </c>
      <c r="D140" s="68"/>
      <c r="E140" s="66">
        <v>0</v>
      </c>
    </row>
    <row r="141" spans="2:5" hidden="1" x14ac:dyDescent="0.3">
      <c r="B141" s="62" t="s">
        <v>88</v>
      </c>
      <c r="C141" s="63">
        <f>_xlfn.IFNA(LOOKUP(1,1/([1]Sheet3!$A$2:$A$9='[1]CHIA ĐƠN'!F125)/([1]Sheet3!$B$2:$B$9='[1]CHIA ĐƠN'!#REF!),[1]Sheet3!$C$2:$C$9),)</f>
        <v>0</v>
      </c>
      <c r="D141" s="68"/>
      <c r="E141" s="66">
        <v>0</v>
      </c>
    </row>
    <row r="142" spans="2:5" hidden="1" x14ac:dyDescent="0.3">
      <c r="B142" s="62" t="s">
        <v>89</v>
      </c>
      <c r="C142" s="63">
        <f>_xlfn.IFNA(LOOKUP(1,1/([1]Sheet3!$A$2:$A$9='[1]CHIA ĐƠN'!F126)/([1]Sheet3!$B$2:$B$9='[1]CHIA ĐƠN'!#REF!),[1]Sheet3!$C$2:$C$9),)</f>
        <v>0</v>
      </c>
      <c r="D142" s="68"/>
      <c r="E142" s="66">
        <v>0</v>
      </c>
    </row>
    <row r="143" spans="2:5" x14ac:dyDescent="0.3">
      <c r="B143" s="62" t="s">
        <v>82</v>
      </c>
      <c r="C143" s="63">
        <f>150+20+90+1120+190</f>
        <v>1570</v>
      </c>
      <c r="D143" s="68">
        <v>9000</v>
      </c>
      <c r="E143" s="66">
        <f>C143*D143</f>
        <v>14130000</v>
      </c>
    </row>
    <row r="144" spans="2:5" hidden="1" x14ac:dyDescent="0.3">
      <c r="B144" s="62" t="s">
        <v>112</v>
      </c>
      <c r="C144" s="63">
        <f>_xlfn.IFNA(LOOKUP(1,1/([1]Sheet3!$A$2:$A$9='[1]CHIA ĐƠN'!F155)/([1]Sheet3!$B$2:$B$9='[1]CHIA ĐƠN'!#REF!),[1]Sheet3!$C$2:$C$9),)</f>
        <v>0</v>
      </c>
      <c r="D144" s="68"/>
      <c r="E144" s="66">
        <v>0</v>
      </c>
    </row>
    <row r="145" spans="2:5" hidden="1" x14ac:dyDescent="0.3">
      <c r="B145" s="62" t="s">
        <v>37</v>
      </c>
      <c r="C145" s="63">
        <f>_xlfn.IFNA(LOOKUP(1,1/([1]Sheet3!$A$2:$A$9='[1]CHIA ĐƠN'!F56)/([1]Sheet3!$B$2:$B$9='[1]CHIA ĐƠN'!#REF!),[1]Sheet3!$C$2:$C$9),)</f>
        <v>0</v>
      </c>
      <c r="D145" s="68"/>
      <c r="E145" s="66">
        <v>0</v>
      </c>
    </row>
    <row r="146" spans="2:5" hidden="1" x14ac:dyDescent="0.3">
      <c r="B146" s="62" t="s">
        <v>37</v>
      </c>
      <c r="C146" s="63">
        <f>_xlfn.IFNA(LOOKUP(1,1/([1]Sheet3!$A$2:$A$9='[1]CHIA ĐƠN'!F57)/([1]Sheet3!$B$2:$B$9='[1]CHIA ĐƠN'!#REF!),[1]Sheet3!$C$2:$C$9),)</f>
        <v>0</v>
      </c>
      <c r="D146" s="68"/>
      <c r="E146" s="66">
        <v>0</v>
      </c>
    </row>
    <row r="147" spans="2:5" hidden="1" x14ac:dyDescent="0.3">
      <c r="B147" s="62" t="s">
        <v>38</v>
      </c>
      <c r="C147" s="63">
        <f>_xlfn.IFNA(LOOKUP(1,1/([1]Sheet3!$A$2:$A$9='[1]CHIA ĐƠN'!F58)/([1]Sheet3!$B$2:$B$9='[1]CHIA ĐƠN'!#REF!),[1]Sheet3!$C$2:$C$9),)</f>
        <v>0</v>
      </c>
      <c r="D147" s="68"/>
      <c r="E147" s="66">
        <v>30</v>
      </c>
    </row>
    <row r="148" spans="2:5" hidden="1" x14ac:dyDescent="0.3">
      <c r="B148" s="62" t="s">
        <v>39</v>
      </c>
      <c r="C148" s="63">
        <f>_xlfn.IFNA(LOOKUP(1,1/([1]Sheet3!$A$2:$A$9='[1]CHIA ĐƠN'!F59)/([1]Sheet3!$B$2:$B$9='[1]CHIA ĐƠN'!#REF!),[1]Sheet3!$C$2:$C$9),)</f>
        <v>0</v>
      </c>
      <c r="D148" s="68"/>
      <c r="E148" s="66">
        <v>0</v>
      </c>
    </row>
    <row r="149" spans="2:5" hidden="1" x14ac:dyDescent="0.3">
      <c r="B149" s="62" t="s">
        <v>47</v>
      </c>
      <c r="C149" s="63">
        <f>_xlfn.IFNA(LOOKUP(1,1/([1]Sheet3!$A$2:$A$9='[1]CHIA ĐƠN'!F68)/([1]Sheet3!$B$2:$B$9='[1]CHIA ĐƠN'!#REF!),[1]Sheet3!$C$2:$C$9),)</f>
        <v>0</v>
      </c>
      <c r="D149" s="68"/>
      <c r="E149" s="66">
        <v>0</v>
      </c>
    </row>
    <row r="150" spans="2:5" hidden="1" x14ac:dyDescent="0.3">
      <c r="B150" s="62" t="s">
        <v>40</v>
      </c>
      <c r="C150" s="63">
        <f>_xlfn.IFNA(LOOKUP(1,1/([1]Sheet3!$A$2:$A$9='[1]CHIA ĐƠN'!F60)/([1]Sheet3!$B$2:$B$9='[1]CHIA ĐƠN'!#REF!),[1]Sheet3!$C$2:$C$9),)</f>
        <v>0</v>
      </c>
      <c r="D150" s="68"/>
      <c r="E150" s="66">
        <v>0</v>
      </c>
    </row>
    <row r="151" spans="2:5" hidden="1" x14ac:dyDescent="0.3">
      <c r="B151" s="62" t="s">
        <v>41</v>
      </c>
      <c r="C151" s="63">
        <f>_xlfn.IFNA(LOOKUP(1,1/([1]Sheet3!$A$2:$A$9='[1]CHIA ĐƠN'!F61)/([1]Sheet3!$B$2:$B$9='[1]CHIA ĐƠN'!#REF!),[1]Sheet3!$C$2:$C$9),)</f>
        <v>0</v>
      </c>
      <c r="D151" s="68"/>
      <c r="E151" s="66">
        <v>0</v>
      </c>
    </row>
    <row r="152" spans="2:5" hidden="1" x14ac:dyDescent="0.3">
      <c r="B152" s="62" t="s">
        <v>42</v>
      </c>
      <c r="C152" s="63">
        <f>_xlfn.IFNA(LOOKUP(1,1/([1]Sheet3!$A$2:$A$9='[1]CHIA ĐƠN'!F62)/([1]Sheet3!$B$2:$B$9='[1]CHIA ĐƠN'!#REF!),[1]Sheet3!$C$2:$C$9),)</f>
        <v>0</v>
      </c>
      <c r="D152" s="68"/>
      <c r="E152" s="66">
        <v>0</v>
      </c>
    </row>
    <row r="153" spans="2:5" hidden="1" x14ac:dyDescent="0.3">
      <c r="B153" s="62" t="s">
        <v>43</v>
      </c>
      <c r="C153" s="63">
        <f>_xlfn.IFNA(LOOKUP(1,1/([1]Sheet3!$A$2:$A$9='[1]CHIA ĐƠN'!F63)/([1]Sheet3!$B$2:$B$9='[1]CHIA ĐƠN'!#REF!),[1]Sheet3!$C$2:$C$9),)</f>
        <v>0</v>
      </c>
      <c r="D153" s="68"/>
      <c r="E153" s="66">
        <v>0</v>
      </c>
    </row>
    <row r="154" spans="2:5" hidden="1" x14ac:dyDescent="0.3">
      <c r="B154" s="62" t="s">
        <v>43</v>
      </c>
      <c r="C154" s="63">
        <f>_xlfn.IFNA(LOOKUP(1,1/([1]Sheet3!$A$2:$A$9='[1]CHIA ĐƠN'!F64)/([1]Sheet3!$B$2:$B$9='[1]CHIA ĐƠN'!#REF!),[1]Sheet3!$C$2:$C$9),)</f>
        <v>0</v>
      </c>
      <c r="D154" s="68"/>
      <c r="E154" s="66">
        <v>0</v>
      </c>
    </row>
    <row r="155" spans="2:5" hidden="1" x14ac:dyDescent="0.3">
      <c r="B155" s="62" t="s">
        <v>44</v>
      </c>
      <c r="C155" s="63">
        <f>_xlfn.IFNA(LOOKUP(1,1/([1]Sheet3!$A$2:$A$9='[1]CHIA ĐƠN'!F65)/([1]Sheet3!$B$2:$B$9='[1]CHIA ĐƠN'!#REF!),[1]Sheet3!$C$2:$C$9),)</f>
        <v>0</v>
      </c>
      <c r="D155" s="68"/>
      <c r="E155" s="66">
        <v>0</v>
      </c>
    </row>
    <row r="156" spans="2:5" hidden="1" x14ac:dyDescent="0.3">
      <c r="B156" s="62" t="s">
        <v>115</v>
      </c>
      <c r="C156" s="63">
        <f>_xlfn.IFNA(LOOKUP(1,1/([1]Sheet3!$A$2:$A$9='[1]CHIA ĐƠN'!F158)/([1]Sheet3!$B$2:$B$9='[1]CHIA ĐƠN'!#REF!),[1]Sheet3!$C$2:$C$9),)</f>
        <v>0</v>
      </c>
      <c r="D156" s="68"/>
      <c r="E156" s="66">
        <v>0</v>
      </c>
    </row>
    <row r="157" spans="2:5" hidden="1" x14ac:dyDescent="0.3">
      <c r="B157" s="62" t="s">
        <v>45</v>
      </c>
      <c r="C157" s="63">
        <f>_xlfn.IFNA(LOOKUP(1,1/([1]Sheet3!$A$2:$A$9='[1]CHIA ĐƠN'!F66)/([1]Sheet3!$B$2:$B$9='[1]CHIA ĐƠN'!#REF!),[1]Sheet3!$C$2:$C$9),)</f>
        <v>0</v>
      </c>
      <c r="D157" s="68"/>
      <c r="E157" s="66">
        <v>0</v>
      </c>
    </row>
    <row r="158" spans="2:5" hidden="1" x14ac:dyDescent="0.3">
      <c r="B158" s="62" t="s">
        <v>46</v>
      </c>
      <c r="C158" s="63">
        <f>_xlfn.IFNA(LOOKUP(1,1/([1]Sheet3!$A$2:$A$9='[1]CHIA ĐƠN'!F67)/([1]Sheet3!$B$2:$B$9='[1]CHIA ĐƠN'!#REF!),[1]Sheet3!$C$2:$C$9),)</f>
        <v>0</v>
      </c>
      <c r="D158" s="68"/>
      <c r="E158" s="66">
        <v>0</v>
      </c>
    </row>
    <row r="159" spans="2:5" x14ac:dyDescent="0.3">
      <c r="E159" s="83">
        <f>SUM(E5:E143)</f>
        <v>185120970</v>
      </c>
    </row>
  </sheetData>
  <autoFilter ref="A3:I158" xr:uid="{00000000-0009-0000-0000-00000B000000}">
    <filterColumn colId="2">
      <filters>
        <filter val="1,120"/>
        <filter val="1,570"/>
        <filter val="10"/>
        <filter val="100"/>
        <filter val="130"/>
        <filter val="15"/>
        <filter val="157"/>
        <filter val="170"/>
        <filter val="210"/>
        <filter val="220"/>
        <filter val="25"/>
        <filter val="26"/>
        <filter val="280"/>
        <filter val="3"/>
        <filter val="3,020"/>
        <filter val="30"/>
        <filter val="390"/>
        <filter val="400"/>
        <filter val="440"/>
        <filter val="45"/>
        <filter val="58"/>
        <filter val="690"/>
        <filter val="70"/>
        <filter val="880"/>
        <filter val="9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2:D158"/>
  <sheetViews>
    <sheetView workbookViewId="0">
      <selection activeCell="G10" sqref="G10"/>
    </sheetView>
  </sheetViews>
  <sheetFormatPr defaultRowHeight="14.4" x14ac:dyDescent="0.3"/>
  <cols>
    <col min="1" max="1" width="35" customWidth="1"/>
    <col min="2" max="2" width="18.6640625" customWidth="1"/>
    <col min="3" max="3" width="14.44140625" customWidth="1"/>
    <col min="4" max="4" width="24.44140625" customWidth="1"/>
  </cols>
  <sheetData>
    <row r="2" spans="1:4" ht="50.4" customHeight="1" x14ac:dyDescent="0.3">
      <c r="A2" s="60" t="s">
        <v>0</v>
      </c>
      <c r="B2" s="61" t="s">
        <v>544</v>
      </c>
      <c r="C2" s="82" t="s">
        <v>518</v>
      </c>
      <c r="D2" s="65" t="s">
        <v>519</v>
      </c>
    </row>
    <row r="3" spans="1:4" hidden="1" x14ac:dyDescent="0.3">
      <c r="A3" s="62" t="s">
        <v>21</v>
      </c>
      <c r="B3" s="63">
        <v>0</v>
      </c>
      <c r="C3" s="66"/>
      <c r="D3" s="66">
        <f>B3*C3</f>
        <v>0</v>
      </c>
    </row>
    <row r="4" spans="1:4" x14ac:dyDescent="0.3">
      <c r="A4" s="62" t="s">
        <v>22</v>
      </c>
      <c r="B4" s="63">
        <v>18</v>
      </c>
      <c r="C4" s="66">
        <v>9000</v>
      </c>
      <c r="D4" s="66">
        <f t="shared" ref="D4:D67" si="0">B4*C4</f>
        <v>162000</v>
      </c>
    </row>
    <row r="5" spans="1:4" x14ac:dyDescent="0.3">
      <c r="A5" s="62" t="s">
        <v>23</v>
      </c>
      <c r="B5" s="63">
        <v>1905</v>
      </c>
      <c r="C5" s="66">
        <v>6500</v>
      </c>
      <c r="D5" s="66">
        <f t="shared" si="0"/>
        <v>12382500</v>
      </c>
    </row>
    <row r="6" spans="1:4" hidden="1" x14ac:dyDescent="0.3">
      <c r="A6" s="62" t="s">
        <v>49</v>
      </c>
      <c r="B6" s="63">
        <v>0</v>
      </c>
      <c r="C6" s="68"/>
      <c r="D6" s="66">
        <f t="shared" si="0"/>
        <v>0</v>
      </c>
    </row>
    <row r="7" spans="1:4" x14ac:dyDescent="0.3">
      <c r="A7" s="62" t="s">
        <v>50</v>
      </c>
      <c r="B7" s="63">
        <v>70</v>
      </c>
      <c r="C7" s="68">
        <v>7000</v>
      </c>
      <c r="D7" s="66">
        <f t="shared" si="0"/>
        <v>490000</v>
      </c>
    </row>
    <row r="8" spans="1:4" hidden="1" x14ac:dyDescent="0.3">
      <c r="A8" s="62" t="s">
        <v>51</v>
      </c>
      <c r="B8" s="63">
        <v>0</v>
      </c>
      <c r="C8" s="68"/>
      <c r="D8" s="66">
        <f t="shared" si="0"/>
        <v>0</v>
      </c>
    </row>
    <row r="9" spans="1:4" hidden="1" x14ac:dyDescent="0.3">
      <c r="A9" s="62" t="s">
        <v>51</v>
      </c>
      <c r="B9" s="63">
        <v>0</v>
      </c>
      <c r="C9" s="68"/>
      <c r="D9" s="66">
        <f t="shared" si="0"/>
        <v>0</v>
      </c>
    </row>
    <row r="10" spans="1:4" x14ac:dyDescent="0.3">
      <c r="A10" s="62" t="s">
        <v>52</v>
      </c>
      <c r="B10" s="63">
        <v>35</v>
      </c>
      <c r="C10" s="68">
        <v>12000</v>
      </c>
      <c r="D10" s="66">
        <f t="shared" si="0"/>
        <v>420000</v>
      </c>
    </row>
    <row r="11" spans="1:4" hidden="1" x14ac:dyDescent="0.3">
      <c r="A11" s="62" t="s">
        <v>52</v>
      </c>
      <c r="B11" s="63"/>
      <c r="C11" s="68"/>
      <c r="D11" s="66">
        <f t="shared" si="0"/>
        <v>0</v>
      </c>
    </row>
    <row r="12" spans="1:4" hidden="1" x14ac:dyDescent="0.3">
      <c r="A12" s="62" t="s">
        <v>90</v>
      </c>
      <c r="B12" s="63">
        <v>0</v>
      </c>
      <c r="C12" s="68"/>
      <c r="D12" s="66">
        <f t="shared" si="0"/>
        <v>0</v>
      </c>
    </row>
    <row r="13" spans="1:4" hidden="1" x14ac:dyDescent="0.3">
      <c r="A13" s="62" t="s">
        <v>92</v>
      </c>
      <c r="B13" s="63">
        <v>0</v>
      </c>
      <c r="C13" s="68"/>
      <c r="D13" s="66">
        <f t="shared" si="0"/>
        <v>0</v>
      </c>
    </row>
    <row r="14" spans="1:4" hidden="1" x14ac:dyDescent="0.3">
      <c r="A14" s="62" t="s">
        <v>116</v>
      </c>
      <c r="B14" s="63">
        <v>0</v>
      </c>
      <c r="C14" s="68"/>
      <c r="D14" s="66">
        <f t="shared" si="0"/>
        <v>0</v>
      </c>
    </row>
    <row r="15" spans="1:4" hidden="1" x14ac:dyDescent="0.3">
      <c r="A15" s="62" t="s">
        <v>110</v>
      </c>
      <c r="B15" s="63">
        <v>0</v>
      </c>
      <c r="C15" s="68"/>
      <c r="D15" s="66">
        <f t="shared" si="0"/>
        <v>0</v>
      </c>
    </row>
    <row r="16" spans="1:4" hidden="1" x14ac:dyDescent="0.3">
      <c r="A16" s="62" t="s">
        <v>524</v>
      </c>
      <c r="B16" s="63">
        <v>0</v>
      </c>
      <c r="C16" s="68"/>
      <c r="D16" s="66">
        <f t="shared" si="0"/>
        <v>0</v>
      </c>
    </row>
    <row r="17" spans="1:4" hidden="1" x14ac:dyDescent="0.3">
      <c r="A17" s="62" t="s">
        <v>18</v>
      </c>
      <c r="B17" s="63">
        <v>0</v>
      </c>
      <c r="C17" s="66"/>
      <c r="D17" s="66">
        <f t="shared" si="0"/>
        <v>0</v>
      </c>
    </row>
    <row r="18" spans="1:4" hidden="1" x14ac:dyDescent="0.3">
      <c r="A18" s="62" t="s">
        <v>19</v>
      </c>
      <c r="B18" s="63">
        <v>0</v>
      </c>
      <c r="C18" s="66"/>
      <c r="D18" s="66">
        <f t="shared" si="0"/>
        <v>0</v>
      </c>
    </row>
    <row r="19" spans="1:4" hidden="1" x14ac:dyDescent="0.3">
      <c r="A19" s="62" t="s">
        <v>19</v>
      </c>
      <c r="B19" s="63">
        <v>0</v>
      </c>
      <c r="C19" s="66"/>
      <c r="D19" s="66">
        <f t="shared" si="0"/>
        <v>0</v>
      </c>
    </row>
    <row r="20" spans="1:4" x14ac:dyDescent="0.3">
      <c r="A20" s="62" t="s">
        <v>53</v>
      </c>
      <c r="B20" s="63">
        <v>385</v>
      </c>
      <c r="C20" s="68">
        <v>22000</v>
      </c>
      <c r="D20" s="66">
        <f t="shared" si="0"/>
        <v>8470000</v>
      </c>
    </row>
    <row r="21" spans="1:4" hidden="1" x14ac:dyDescent="0.3">
      <c r="A21" s="62" t="s">
        <v>53</v>
      </c>
      <c r="B21" s="63"/>
      <c r="C21" s="68"/>
      <c r="D21" s="66">
        <f t="shared" si="0"/>
        <v>0</v>
      </c>
    </row>
    <row r="22" spans="1:4" x14ac:dyDescent="0.3">
      <c r="A22" s="62" t="s">
        <v>54</v>
      </c>
      <c r="B22" s="63">
        <v>46</v>
      </c>
      <c r="C22" s="68">
        <v>22000</v>
      </c>
      <c r="D22" s="66">
        <f t="shared" si="0"/>
        <v>1012000</v>
      </c>
    </row>
    <row r="23" spans="1:4" hidden="1" x14ac:dyDescent="0.3">
      <c r="A23" s="62" t="s">
        <v>55</v>
      </c>
      <c r="B23" s="63">
        <v>0</v>
      </c>
      <c r="C23" s="68"/>
      <c r="D23" s="66">
        <f t="shared" si="0"/>
        <v>0</v>
      </c>
    </row>
    <row r="24" spans="1:4" x14ac:dyDescent="0.3">
      <c r="A24" s="62" t="s">
        <v>56</v>
      </c>
      <c r="B24" s="63">
        <v>95</v>
      </c>
      <c r="C24" s="68">
        <v>10500</v>
      </c>
      <c r="D24" s="66">
        <f t="shared" si="0"/>
        <v>997500</v>
      </c>
    </row>
    <row r="25" spans="1:4" x14ac:dyDescent="0.3">
      <c r="A25" s="62" t="s">
        <v>103</v>
      </c>
      <c r="B25" s="63">
        <v>5</v>
      </c>
      <c r="C25" s="68">
        <v>17500</v>
      </c>
      <c r="D25" s="66">
        <f t="shared" si="0"/>
        <v>87500</v>
      </c>
    </row>
    <row r="26" spans="1:4" hidden="1" x14ac:dyDescent="0.3">
      <c r="A26" s="62" t="s">
        <v>57</v>
      </c>
      <c r="B26" s="63">
        <v>0</v>
      </c>
      <c r="C26" s="68"/>
      <c r="D26" s="66">
        <f t="shared" si="0"/>
        <v>0</v>
      </c>
    </row>
    <row r="27" spans="1:4" hidden="1" x14ac:dyDescent="0.3">
      <c r="A27" s="62" t="s">
        <v>58</v>
      </c>
      <c r="B27" s="63">
        <v>0</v>
      </c>
      <c r="C27" s="68"/>
      <c r="D27" s="66">
        <f t="shared" si="0"/>
        <v>0</v>
      </c>
    </row>
    <row r="28" spans="1:4" x14ac:dyDescent="0.3">
      <c r="A28" s="62" t="s">
        <v>59</v>
      </c>
      <c r="B28" s="63">
        <v>100</v>
      </c>
      <c r="C28" s="68">
        <v>8000</v>
      </c>
      <c r="D28" s="66">
        <f t="shared" si="0"/>
        <v>800000</v>
      </c>
    </row>
    <row r="29" spans="1:4" hidden="1" x14ac:dyDescent="0.3">
      <c r="A29" s="62" t="s">
        <v>86</v>
      </c>
      <c r="B29" s="63">
        <v>0</v>
      </c>
      <c r="C29" s="68"/>
      <c r="D29" s="66">
        <f t="shared" si="0"/>
        <v>0</v>
      </c>
    </row>
    <row r="30" spans="1:4" x14ac:dyDescent="0.3">
      <c r="A30" s="62" t="s">
        <v>60</v>
      </c>
      <c r="B30" s="63">
        <v>970</v>
      </c>
      <c r="C30" s="68">
        <v>16000</v>
      </c>
      <c r="D30" s="66">
        <f t="shared" si="0"/>
        <v>15520000</v>
      </c>
    </row>
    <row r="31" spans="1:4" hidden="1" x14ac:dyDescent="0.3">
      <c r="A31" s="62" t="s">
        <v>60</v>
      </c>
      <c r="B31" s="63"/>
      <c r="C31" s="68"/>
      <c r="D31" s="66">
        <f t="shared" si="0"/>
        <v>0</v>
      </c>
    </row>
    <row r="32" spans="1:4" hidden="1" x14ac:dyDescent="0.3">
      <c r="A32" s="62" t="s">
        <v>60</v>
      </c>
      <c r="B32" s="63"/>
      <c r="C32" s="68"/>
      <c r="D32" s="66">
        <f t="shared" si="0"/>
        <v>0</v>
      </c>
    </row>
    <row r="33" spans="1:4" x14ac:dyDescent="0.3">
      <c r="A33" s="62" t="s">
        <v>61</v>
      </c>
      <c r="B33" s="63">
        <v>180</v>
      </c>
      <c r="C33" s="68">
        <v>17000</v>
      </c>
      <c r="D33" s="66">
        <f t="shared" si="0"/>
        <v>3060000</v>
      </c>
    </row>
    <row r="34" spans="1:4" hidden="1" x14ac:dyDescent="0.3">
      <c r="A34" s="62" t="s">
        <v>1</v>
      </c>
      <c r="B34" s="63">
        <v>0</v>
      </c>
      <c r="C34" s="66"/>
      <c r="D34" s="66">
        <f t="shared" si="0"/>
        <v>0</v>
      </c>
    </row>
    <row r="35" spans="1:4" hidden="1" x14ac:dyDescent="0.3">
      <c r="A35" s="62" t="s">
        <v>1</v>
      </c>
      <c r="B35" s="63">
        <v>0</v>
      </c>
      <c r="C35" s="66"/>
      <c r="D35" s="66">
        <f t="shared" si="0"/>
        <v>0</v>
      </c>
    </row>
    <row r="36" spans="1:4" hidden="1" x14ac:dyDescent="0.3">
      <c r="A36" s="62" t="s">
        <v>2</v>
      </c>
      <c r="B36" s="63">
        <v>0</v>
      </c>
      <c r="C36" s="66"/>
      <c r="D36" s="66">
        <f t="shared" si="0"/>
        <v>0</v>
      </c>
    </row>
    <row r="37" spans="1:4" hidden="1" x14ac:dyDescent="0.3">
      <c r="A37" s="62" t="s">
        <v>62</v>
      </c>
      <c r="B37" s="63">
        <v>0</v>
      </c>
      <c r="C37" s="68"/>
      <c r="D37" s="66">
        <f t="shared" si="0"/>
        <v>0</v>
      </c>
    </row>
    <row r="38" spans="1:4" hidden="1" x14ac:dyDescent="0.3">
      <c r="A38" s="62" t="s">
        <v>63</v>
      </c>
      <c r="B38" s="63">
        <v>0</v>
      </c>
      <c r="C38" s="68"/>
      <c r="D38" s="66">
        <f t="shared" si="0"/>
        <v>0</v>
      </c>
    </row>
    <row r="39" spans="1:4" hidden="1" x14ac:dyDescent="0.3">
      <c r="A39" s="62" t="s">
        <v>24</v>
      </c>
      <c r="B39" s="63">
        <v>0</v>
      </c>
      <c r="C39" s="66"/>
      <c r="D39" s="66">
        <f t="shared" si="0"/>
        <v>0</v>
      </c>
    </row>
    <row r="40" spans="1:4" hidden="1" x14ac:dyDescent="0.3">
      <c r="A40" s="62" t="s">
        <v>24</v>
      </c>
      <c r="B40" s="63">
        <v>0</v>
      </c>
      <c r="C40" s="66"/>
      <c r="D40" s="66">
        <f t="shared" si="0"/>
        <v>0</v>
      </c>
    </row>
    <row r="41" spans="1:4" hidden="1" x14ac:dyDescent="0.3">
      <c r="A41" s="62" t="s">
        <v>25</v>
      </c>
      <c r="B41" s="63">
        <v>0</v>
      </c>
      <c r="C41" s="66"/>
      <c r="D41" s="66">
        <f t="shared" si="0"/>
        <v>0</v>
      </c>
    </row>
    <row r="42" spans="1:4" hidden="1" x14ac:dyDescent="0.3">
      <c r="A42" s="62" t="s">
        <v>26</v>
      </c>
      <c r="B42" s="63">
        <v>0</v>
      </c>
      <c r="C42" s="66"/>
      <c r="D42" s="66">
        <f t="shared" si="0"/>
        <v>0</v>
      </c>
    </row>
    <row r="43" spans="1:4" x14ac:dyDescent="0.3">
      <c r="A43" s="62" t="s">
        <v>27</v>
      </c>
      <c r="B43" s="63">
        <v>45</v>
      </c>
      <c r="C43" s="66">
        <v>13000</v>
      </c>
      <c r="D43" s="66">
        <f t="shared" si="0"/>
        <v>585000</v>
      </c>
    </row>
    <row r="44" spans="1:4" hidden="1" x14ac:dyDescent="0.3">
      <c r="A44" s="62" t="s">
        <v>109</v>
      </c>
      <c r="B44" s="63">
        <v>0</v>
      </c>
      <c r="C44" s="68"/>
      <c r="D44" s="66">
        <f t="shared" si="0"/>
        <v>0</v>
      </c>
    </row>
    <row r="45" spans="1:4" x14ac:dyDescent="0.3">
      <c r="A45" s="62" t="s">
        <v>28</v>
      </c>
      <c r="B45" s="63">
        <v>80</v>
      </c>
      <c r="C45" s="66">
        <v>15000</v>
      </c>
      <c r="D45" s="66">
        <f t="shared" si="0"/>
        <v>1200000</v>
      </c>
    </row>
    <row r="46" spans="1:4" hidden="1" x14ac:dyDescent="0.3">
      <c r="A46" s="62" t="s">
        <v>28</v>
      </c>
      <c r="B46" s="63"/>
      <c r="C46" s="66"/>
      <c r="D46" s="66">
        <f t="shared" si="0"/>
        <v>0</v>
      </c>
    </row>
    <row r="47" spans="1:4" hidden="1" x14ac:dyDescent="0.3">
      <c r="A47" s="62" t="s">
        <v>120</v>
      </c>
      <c r="B47" s="63">
        <v>0</v>
      </c>
      <c r="C47" s="68"/>
      <c r="D47" s="66">
        <f t="shared" si="0"/>
        <v>0</v>
      </c>
    </row>
    <row r="48" spans="1:4" x14ac:dyDescent="0.3">
      <c r="A48" s="62" t="s">
        <v>87</v>
      </c>
      <c r="B48" s="63">
        <v>225</v>
      </c>
      <c r="C48" s="68">
        <v>13000</v>
      </c>
      <c r="D48" s="66">
        <f t="shared" si="0"/>
        <v>2925000</v>
      </c>
    </row>
    <row r="49" spans="1:4" hidden="1" x14ac:dyDescent="0.3">
      <c r="A49" s="62" t="s">
        <v>3</v>
      </c>
      <c r="B49" s="63">
        <v>0</v>
      </c>
      <c r="C49" s="97"/>
      <c r="D49" s="66">
        <f t="shared" si="0"/>
        <v>0</v>
      </c>
    </row>
    <row r="50" spans="1:4" hidden="1" x14ac:dyDescent="0.3">
      <c r="A50" s="62" t="s">
        <v>4</v>
      </c>
      <c r="B50" s="63">
        <v>0</v>
      </c>
      <c r="C50" s="66"/>
      <c r="D50" s="66">
        <f t="shared" si="0"/>
        <v>0</v>
      </c>
    </row>
    <row r="51" spans="1:4" x14ac:dyDescent="0.3">
      <c r="A51" s="62" t="s">
        <v>117</v>
      </c>
      <c r="B51" s="63">
        <v>12</v>
      </c>
      <c r="C51" s="98">
        <v>16000</v>
      </c>
      <c r="D51" s="66">
        <f t="shared" si="0"/>
        <v>192000</v>
      </c>
    </row>
    <row r="52" spans="1:4" hidden="1" x14ac:dyDescent="0.3">
      <c r="A52" s="62" t="s">
        <v>5</v>
      </c>
      <c r="B52" s="63">
        <v>0</v>
      </c>
      <c r="C52" s="66"/>
      <c r="D52" s="66">
        <f t="shared" si="0"/>
        <v>0</v>
      </c>
    </row>
    <row r="53" spans="1:4" x14ac:dyDescent="0.3">
      <c r="A53" s="62" t="s">
        <v>6</v>
      </c>
      <c r="B53" s="63">
        <v>115</v>
      </c>
      <c r="C53" s="66">
        <v>16000</v>
      </c>
      <c r="D53" s="66">
        <f t="shared" si="0"/>
        <v>1840000</v>
      </c>
    </row>
    <row r="54" spans="1:4" hidden="1" x14ac:dyDescent="0.3">
      <c r="A54" s="62" t="s">
        <v>6</v>
      </c>
      <c r="B54" s="63"/>
      <c r="C54" s="66"/>
      <c r="D54" s="66">
        <f t="shared" si="0"/>
        <v>0</v>
      </c>
    </row>
    <row r="55" spans="1:4" x14ac:dyDescent="0.3">
      <c r="A55" s="62" t="s">
        <v>7</v>
      </c>
      <c r="B55" s="63">
        <v>4</v>
      </c>
      <c r="C55" s="66">
        <v>44000</v>
      </c>
      <c r="D55" s="66">
        <f t="shared" si="0"/>
        <v>176000</v>
      </c>
    </row>
    <row r="56" spans="1:4" hidden="1" x14ac:dyDescent="0.3">
      <c r="A56" s="62" t="s">
        <v>538</v>
      </c>
      <c r="B56" s="63">
        <v>0</v>
      </c>
      <c r="C56" s="68"/>
      <c r="D56" s="66">
        <f t="shared" si="0"/>
        <v>0</v>
      </c>
    </row>
    <row r="57" spans="1:4" x14ac:dyDescent="0.3">
      <c r="A57" s="62" t="s">
        <v>8</v>
      </c>
      <c r="B57" s="63">
        <v>45</v>
      </c>
      <c r="C57" s="66">
        <v>24000</v>
      </c>
      <c r="D57" s="66">
        <f t="shared" si="0"/>
        <v>1080000</v>
      </c>
    </row>
    <row r="58" spans="1:4" hidden="1" x14ac:dyDescent="0.3">
      <c r="A58" s="62" t="s">
        <v>10</v>
      </c>
      <c r="B58" s="63">
        <v>0</v>
      </c>
      <c r="C58" s="66"/>
      <c r="D58" s="66">
        <f t="shared" si="0"/>
        <v>0</v>
      </c>
    </row>
    <row r="59" spans="1:4" x14ac:dyDescent="0.3">
      <c r="A59" s="62" t="s">
        <v>102</v>
      </c>
      <c r="B59" s="63">
        <v>220</v>
      </c>
      <c r="C59" s="68">
        <v>26000</v>
      </c>
      <c r="D59" s="66">
        <f t="shared" si="0"/>
        <v>5720000</v>
      </c>
    </row>
    <row r="60" spans="1:4" x14ac:dyDescent="0.3">
      <c r="A60" s="62" t="s">
        <v>11</v>
      </c>
      <c r="B60" s="63">
        <v>320</v>
      </c>
      <c r="C60" s="66">
        <v>26000</v>
      </c>
      <c r="D60" s="66">
        <f t="shared" si="0"/>
        <v>8320000</v>
      </c>
    </row>
    <row r="61" spans="1:4" x14ac:dyDescent="0.3">
      <c r="A61" s="62" t="s">
        <v>12</v>
      </c>
      <c r="B61" s="63">
        <v>2340</v>
      </c>
      <c r="C61" s="66">
        <v>27000</v>
      </c>
      <c r="D61" s="66">
        <f t="shared" si="0"/>
        <v>63180000</v>
      </c>
    </row>
    <row r="62" spans="1:4" hidden="1" x14ac:dyDescent="0.3">
      <c r="A62" s="62" t="s">
        <v>14</v>
      </c>
      <c r="B62" s="63">
        <v>0</v>
      </c>
      <c r="C62" s="66"/>
      <c r="D62" s="66">
        <f t="shared" si="0"/>
        <v>0</v>
      </c>
    </row>
    <row r="63" spans="1:4" x14ac:dyDescent="0.3">
      <c r="A63" s="62" t="s">
        <v>15</v>
      </c>
      <c r="B63" s="63">
        <v>10</v>
      </c>
      <c r="C63" s="66">
        <v>16000</v>
      </c>
      <c r="D63" s="66">
        <f t="shared" si="0"/>
        <v>160000</v>
      </c>
    </row>
    <row r="64" spans="1:4" hidden="1" x14ac:dyDescent="0.3">
      <c r="A64" s="62" t="s">
        <v>15</v>
      </c>
      <c r="B64" s="63"/>
      <c r="C64" s="66"/>
      <c r="D64" s="66">
        <f t="shared" si="0"/>
        <v>0</v>
      </c>
    </row>
    <row r="65" spans="1:4" x14ac:dyDescent="0.3">
      <c r="A65" s="62" t="s">
        <v>16</v>
      </c>
      <c r="B65" s="63">
        <v>30</v>
      </c>
      <c r="C65" s="66">
        <v>16000</v>
      </c>
      <c r="D65" s="66">
        <f t="shared" si="0"/>
        <v>480000</v>
      </c>
    </row>
    <row r="66" spans="1:4" hidden="1" x14ac:dyDescent="0.3">
      <c r="A66" s="62" t="s">
        <v>68</v>
      </c>
      <c r="B66" s="63">
        <v>0</v>
      </c>
      <c r="C66" s="68"/>
      <c r="D66" s="66">
        <f t="shared" si="0"/>
        <v>0</v>
      </c>
    </row>
    <row r="67" spans="1:4" hidden="1" x14ac:dyDescent="0.3">
      <c r="A67" s="62" t="s">
        <v>65</v>
      </c>
      <c r="B67" s="63">
        <v>0</v>
      </c>
      <c r="C67" s="68"/>
      <c r="D67" s="66">
        <f t="shared" si="0"/>
        <v>0</v>
      </c>
    </row>
    <row r="68" spans="1:4" hidden="1" x14ac:dyDescent="0.3">
      <c r="A68" s="62" t="s">
        <v>67</v>
      </c>
      <c r="B68" s="63">
        <v>0</v>
      </c>
      <c r="C68" s="68"/>
      <c r="D68" s="66">
        <f t="shared" ref="D68:D132" si="1">B68*C68</f>
        <v>0</v>
      </c>
    </row>
    <row r="69" spans="1:4" hidden="1" x14ac:dyDescent="0.3">
      <c r="A69" s="62" t="s">
        <v>69</v>
      </c>
      <c r="B69" s="63">
        <v>0</v>
      </c>
      <c r="C69" s="68"/>
      <c r="D69" s="66">
        <f t="shared" si="1"/>
        <v>0</v>
      </c>
    </row>
    <row r="70" spans="1:4" hidden="1" x14ac:dyDescent="0.3">
      <c r="A70" s="62" t="s">
        <v>70</v>
      </c>
      <c r="B70" s="63">
        <v>0</v>
      </c>
      <c r="C70" s="68"/>
      <c r="D70" s="66">
        <f t="shared" si="1"/>
        <v>0</v>
      </c>
    </row>
    <row r="71" spans="1:4" hidden="1" x14ac:dyDescent="0.3">
      <c r="A71" s="62" t="s">
        <v>83</v>
      </c>
      <c r="B71" s="63">
        <v>0</v>
      </c>
      <c r="C71" s="68"/>
      <c r="D71" s="66">
        <f t="shared" si="1"/>
        <v>0</v>
      </c>
    </row>
    <row r="72" spans="1:4" x14ac:dyDescent="0.3">
      <c r="A72" s="62" t="s">
        <v>72</v>
      </c>
      <c r="B72" s="63">
        <v>280</v>
      </c>
      <c r="C72" s="68">
        <v>10000</v>
      </c>
      <c r="D72" s="66">
        <f t="shared" si="1"/>
        <v>2800000</v>
      </c>
    </row>
    <row r="73" spans="1:4" x14ac:dyDescent="0.3">
      <c r="A73" s="62" t="s">
        <v>73</v>
      </c>
      <c r="B73" s="63">
        <v>10</v>
      </c>
      <c r="C73" s="68">
        <v>14000</v>
      </c>
      <c r="D73" s="66">
        <f t="shared" si="1"/>
        <v>140000</v>
      </c>
    </row>
    <row r="74" spans="1:4" x14ac:dyDescent="0.3">
      <c r="A74" s="62" t="s">
        <v>74</v>
      </c>
      <c r="B74" s="63">
        <v>20</v>
      </c>
      <c r="C74" s="68">
        <v>11000</v>
      </c>
      <c r="D74" s="66">
        <f t="shared" si="1"/>
        <v>220000</v>
      </c>
    </row>
    <row r="75" spans="1:4" hidden="1" x14ac:dyDescent="0.3">
      <c r="A75" s="62" t="s">
        <v>29</v>
      </c>
      <c r="B75" s="63">
        <v>0</v>
      </c>
      <c r="C75" s="68"/>
      <c r="D75" s="66">
        <f t="shared" si="1"/>
        <v>0</v>
      </c>
    </row>
    <row r="76" spans="1:4" hidden="1" x14ac:dyDescent="0.3">
      <c r="A76" s="62" t="s">
        <v>29</v>
      </c>
      <c r="B76" s="63">
        <v>0</v>
      </c>
      <c r="C76" s="68"/>
      <c r="D76" s="66">
        <f t="shared" si="1"/>
        <v>0</v>
      </c>
    </row>
    <row r="77" spans="1:4" x14ac:dyDescent="0.3">
      <c r="A77" s="62" t="s">
        <v>93</v>
      </c>
      <c r="B77" s="63">
        <v>720</v>
      </c>
      <c r="C77" s="68">
        <v>24000</v>
      </c>
      <c r="D77" s="66">
        <f t="shared" si="1"/>
        <v>17280000</v>
      </c>
    </row>
    <row r="78" spans="1:4" x14ac:dyDescent="0.3">
      <c r="A78" s="62" t="s">
        <v>96</v>
      </c>
      <c r="B78" s="63">
        <v>200</v>
      </c>
      <c r="C78" s="68">
        <v>43000</v>
      </c>
      <c r="D78" s="66">
        <f t="shared" si="1"/>
        <v>8600000</v>
      </c>
    </row>
    <row r="79" spans="1:4" hidden="1" x14ac:dyDescent="0.3">
      <c r="A79" s="62" t="s">
        <v>118</v>
      </c>
      <c r="B79" s="63">
        <v>0</v>
      </c>
      <c r="C79" s="68"/>
      <c r="D79" s="66">
        <f t="shared" si="1"/>
        <v>0</v>
      </c>
    </row>
    <row r="80" spans="1:4" hidden="1" x14ac:dyDescent="0.3">
      <c r="A80" s="62" t="s">
        <v>30</v>
      </c>
      <c r="B80" s="63">
        <v>0</v>
      </c>
      <c r="C80" s="68"/>
      <c r="D80" s="66">
        <f t="shared" si="1"/>
        <v>0</v>
      </c>
    </row>
    <row r="81" spans="1:4" hidden="1" x14ac:dyDescent="0.3">
      <c r="A81" s="62" t="s">
        <v>30</v>
      </c>
      <c r="B81" s="63">
        <v>0</v>
      </c>
      <c r="C81" s="68"/>
      <c r="D81" s="66">
        <f t="shared" si="1"/>
        <v>0</v>
      </c>
    </row>
    <row r="82" spans="1:4" x14ac:dyDescent="0.3">
      <c r="A82" s="62" t="s">
        <v>31</v>
      </c>
      <c r="B82" s="63">
        <v>1</v>
      </c>
      <c r="C82" s="68">
        <v>14000</v>
      </c>
      <c r="D82" s="66">
        <f t="shared" si="1"/>
        <v>14000</v>
      </c>
    </row>
    <row r="83" spans="1:4" hidden="1" x14ac:dyDescent="0.3">
      <c r="A83" s="62" t="s">
        <v>33</v>
      </c>
      <c r="B83" s="63">
        <v>0</v>
      </c>
      <c r="C83" s="68"/>
      <c r="D83" s="66">
        <f t="shared" si="1"/>
        <v>0</v>
      </c>
    </row>
    <row r="84" spans="1:4" hidden="1" x14ac:dyDescent="0.3">
      <c r="A84" s="62" t="s">
        <v>94</v>
      </c>
      <c r="B84" s="63">
        <v>0</v>
      </c>
      <c r="C84" s="68"/>
      <c r="D84" s="66">
        <f t="shared" si="1"/>
        <v>0</v>
      </c>
    </row>
    <row r="85" spans="1:4" hidden="1" x14ac:dyDescent="0.3">
      <c r="A85" s="62" t="s">
        <v>101</v>
      </c>
      <c r="B85" s="63">
        <v>0</v>
      </c>
      <c r="C85" s="68"/>
      <c r="D85" s="66">
        <f t="shared" si="1"/>
        <v>0</v>
      </c>
    </row>
    <row r="86" spans="1:4" hidden="1" x14ac:dyDescent="0.3">
      <c r="A86" s="62" t="s">
        <v>97</v>
      </c>
      <c r="B86" s="63">
        <v>0</v>
      </c>
      <c r="C86" s="68"/>
      <c r="D86" s="66">
        <f t="shared" si="1"/>
        <v>0</v>
      </c>
    </row>
    <row r="87" spans="1:4" hidden="1" x14ac:dyDescent="0.3">
      <c r="A87" s="62" t="s">
        <v>75</v>
      </c>
      <c r="B87" s="63">
        <v>0</v>
      </c>
      <c r="C87" s="68"/>
      <c r="D87" s="66">
        <f t="shared" si="1"/>
        <v>0</v>
      </c>
    </row>
    <row r="88" spans="1:4" x14ac:dyDescent="0.3">
      <c r="A88" s="62" t="s">
        <v>76</v>
      </c>
      <c r="B88" s="63">
        <v>80</v>
      </c>
      <c r="C88" s="68">
        <v>30000</v>
      </c>
      <c r="D88" s="66">
        <f t="shared" si="1"/>
        <v>2400000</v>
      </c>
    </row>
    <row r="89" spans="1:4" hidden="1" x14ac:dyDescent="0.3">
      <c r="A89" s="62" t="s">
        <v>76</v>
      </c>
      <c r="B89" s="63"/>
      <c r="C89" s="68"/>
      <c r="D89" s="66">
        <f t="shared" si="1"/>
        <v>0</v>
      </c>
    </row>
    <row r="90" spans="1:4" x14ac:dyDescent="0.3">
      <c r="A90" s="62" t="s">
        <v>78</v>
      </c>
      <c r="B90" s="63">
        <v>155</v>
      </c>
      <c r="C90" s="68">
        <v>20000</v>
      </c>
      <c r="D90" s="66">
        <f t="shared" si="1"/>
        <v>3100000</v>
      </c>
    </row>
    <row r="91" spans="1:4" hidden="1" x14ac:dyDescent="0.3">
      <c r="A91" s="62" t="s">
        <v>78</v>
      </c>
      <c r="B91" s="63"/>
      <c r="C91" s="68"/>
      <c r="D91" s="66">
        <f t="shared" si="1"/>
        <v>0</v>
      </c>
    </row>
    <row r="92" spans="1:4" x14ac:dyDescent="0.3">
      <c r="A92" s="62" t="s">
        <v>79</v>
      </c>
      <c r="B92" s="63">
        <v>190</v>
      </c>
      <c r="C92" s="68">
        <v>20000</v>
      </c>
      <c r="D92" s="66">
        <f t="shared" si="1"/>
        <v>3800000</v>
      </c>
    </row>
    <row r="93" spans="1:4" hidden="1" x14ac:dyDescent="0.3">
      <c r="A93" s="62" t="s">
        <v>79</v>
      </c>
      <c r="B93" s="63"/>
      <c r="C93" s="68"/>
      <c r="D93" s="66">
        <f t="shared" si="1"/>
        <v>0</v>
      </c>
    </row>
    <row r="94" spans="1:4" hidden="1" x14ac:dyDescent="0.3">
      <c r="A94" s="62" t="s">
        <v>80</v>
      </c>
      <c r="B94" s="63">
        <v>0</v>
      </c>
      <c r="C94" s="68"/>
      <c r="D94" s="66">
        <f t="shared" si="1"/>
        <v>0</v>
      </c>
    </row>
    <row r="95" spans="1:4" hidden="1" x14ac:dyDescent="0.3">
      <c r="A95" s="62" t="s">
        <v>36</v>
      </c>
      <c r="B95" s="63">
        <v>0</v>
      </c>
      <c r="C95" s="68"/>
      <c r="D95" s="66">
        <f t="shared" si="1"/>
        <v>0</v>
      </c>
    </row>
    <row r="96" spans="1:4" hidden="1" x14ac:dyDescent="0.3">
      <c r="A96" s="62" t="s">
        <v>537</v>
      </c>
      <c r="B96" s="63">
        <v>0</v>
      </c>
      <c r="C96" s="68"/>
      <c r="D96" s="66">
        <f t="shared" si="1"/>
        <v>0</v>
      </c>
    </row>
    <row r="97" spans="1:4" hidden="1" x14ac:dyDescent="0.3">
      <c r="A97" s="62" t="s">
        <v>81</v>
      </c>
      <c r="B97" s="63">
        <v>0</v>
      </c>
      <c r="C97" s="68"/>
      <c r="D97" s="66">
        <f t="shared" si="1"/>
        <v>0</v>
      </c>
    </row>
    <row r="98" spans="1:4" hidden="1" x14ac:dyDescent="0.3">
      <c r="A98" s="62" t="s">
        <v>85</v>
      </c>
      <c r="B98" s="63">
        <v>0</v>
      </c>
      <c r="C98" s="68"/>
      <c r="D98" s="66">
        <f t="shared" si="1"/>
        <v>0</v>
      </c>
    </row>
    <row r="99" spans="1:4" hidden="1" x14ac:dyDescent="0.3">
      <c r="A99" s="62" t="s">
        <v>88</v>
      </c>
      <c r="B99" s="63">
        <v>0</v>
      </c>
      <c r="C99" s="68"/>
      <c r="D99" s="66">
        <f t="shared" si="1"/>
        <v>0</v>
      </c>
    </row>
    <row r="100" spans="1:4" x14ac:dyDescent="0.3">
      <c r="A100" s="62" t="s">
        <v>82</v>
      </c>
      <c r="B100" s="63">
        <v>980</v>
      </c>
      <c r="C100" s="68">
        <v>7000</v>
      </c>
      <c r="D100" s="66">
        <f t="shared" si="1"/>
        <v>6860000</v>
      </c>
    </row>
    <row r="101" spans="1:4" hidden="1" x14ac:dyDescent="0.3">
      <c r="A101" s="62" t="s">
        <v>37</v>
      </c>
      <c r="B101" s="63">
        <v>0</v>
      </c>
      <c r="C101" s="68"/>
      <c r="D101" s="66">
        <f t="shared" si="1"/>
        <v>0</v>
      </c>
    </row>
    <row r="102" spans="1:4" hidden="1" x14ac:dyDescent="0.3">
      <c r="A102" s="62" t="s">
        <v>585</v>
      </c>
      <c r="B102" s="63">
        <v>0</v>
      </c>
      <c r="C102" s="68"/>
      <c r="D102" s="66">
        <f t="shared" si="1"/>
        <v>0</v>
      </c>
    </row>
    <row r="103" spans="1:4" hidden="1" x14ac:dyDescent="0.3">
      <c r="A103" s="62" t="s">
        <v>38</v>
      </c>
      <c r="B103" s="63">
        <v>0</v>
      </c>
      <c r="C103" s="68"/>
      <c r="D103" s="66">
        <f t="shared" si="1"/>
        <v>0</v>
      </c>
    </row>
    <row r="104" spans="1:4" hidden="1" x14ac:dyDescent="0.3">
      <c r="A104" s="62" t="s">
        <v>39</v>
      </c>
      <c r="B104" s="63">
        <v>0</v>
      </c>
      <c r="C104" s="68"/>
      <c r="D104" s="66">
        <f t="shared" si="1"/>
        <v>0</v>
      </c>
    </row>
    <row r="105" spans="1:4" hidden="1" x14ac:dyDescent="0.3">
      <c r="A105" s="62" t="s">
        <v>40</v>
      </c>
      <c r="B105" s="63">
        <v>0</v>
      </c>
      <c r="C105" s="68"/>
      <c r="D105" s="66">
        <f t="shared" si="1"/>
        <v>0</v>
      </c>
    </row>
    <row r="106" spans="1:4" hidden="1" x14ac:dyDescent="0.3">
      <c r="A106" s="62" t="s">
        <v>41</v>
      </c>
      <c r="B106" s="63">
        <v>0</v>
      </c>
      <c r="C106" s="68"/>
      <c r="D106" s="66">
        <f t="shared" si="1"/>
        <v>0</v>
      </c>
    </row>
    <row r="107" spans="1:4" hidden="1" x14ac:dyDescent="0.3">
      <c r="A107" s="62" t="s">
        <v>45</v>
      </c>
      <c r="B107" s="63">
        <v>0</v>
      </c>
      <c r="C107" s="68"/>
      <c r="D107" s="66">
        <f t="shared" si="1"/>
        <v>0</v>
      </c>
    </row>
    <row r="108" spans="1:4" hidden="1" x14ac:dyDescent="0.3">
      <c r="A108" s="62" t="s">
        <v>46</v>
      </c>
      <c r="B108" s="63">
        <v>0</v>
      </c>
      <c r="C108" s="68"/>
      <c r="D108" s="66">
        <f t="shared" si="1"/>
        <v>0</v>
      </c>
    </row>
    <row r="109" spans="1:4" hidden="1" x14ac:dyDescent="0.3">
      <c r="A109" s="62" t="e">
        <v>#N/A</v>
      </c>
      <c r="B109" s="64"/>
      <c r="C109" s="68"/>
      <c r="D109" s="66">
        <f t="shared" si="1"/>
        <v>0</v>
      </c>
    </row>
    <row r="110" spans="1:4" hidden="1" x14ac:dyDescent="0.3">
      <c r="D110" s="66">
        <f t="shared" si="1"/>
        <v>0</v>
      </c>
    </row>
    <row r="111" spans="1:4" x14ac:dyDescent="0.3">
      <c r="D111" s="66">
        <f>SUM(D4:D100)</f>
        <v>174473500</v>
      </c>
    </row>
    <row r="112" spans="1:4" x14ac:dyDescent="0.3">
      <c r="A112" t="s">
        <v>0</v>
      </c>
      <c r="B112" t="s">
        <v>544</v>
      </c>
      <c r="C112" t="s">
        <v>518</v>
      </c>
      <c r="D112" s="66" t="s">
        <v>519</v>
      </c>
    </row>
    <row r="113" spans="1:4" hidden="1" x14ac:dyDescent="0.3">
      <c r="A113" t="s">
        <v>21</v>
      </c>
      <c r="D113" s="66">
        <f t="shared" si="1"/>
        <v>0</v>
      </c>
    </row>
    <row r="114" spans="1:4" hidden="1" x14ac:dyDescent="0.3">
      <c r="A114" t="s">
        <v>22</v>
      </c>
      <c r="D114" s="66">
        <f t="shared" si="1"/>
        <v>0</v>
      </c>
    </row>
    <row r="115" spans="1:4" hidden="1" x14ac:dyDescent="0.3">
      <c r="A115" t="s">
        <v>23</v>
      </c>
      <c r="D115" s="66">
        <f t="shared" si="1"/>
        <v>0</v>
      </c>
    </row>
    <row r="116" spans="1:4" x14ac:dyDescent="0.3">
      <c r="A116" t="s">
        <v>48</v>
      </c>
      <c r="B116">
        <v>230</v>
      </c>
      <c r="C116" s="99">
        <v>14000</v>
      </c>
      <c r="D116" s="66">
        <f t="shared" si="1"/>
        <v>3220000</v>
      </c>
    </row>
    <row r="117" spans="1:4" hidden="1" x14ac:dyDescent="0.3">
      <c r="A117" t="s">
        <v>50</v>
      </c>
      <c r="D117" s="66">
        <f t="shared" si="1"/>
        <v>0</v>
      </c>
    </row>
    <row r="118" spans="1:4" x14ac:dyDescent="0.3">
      <c r="A118" t="s">
        <v>121</v>
      </c>
      <c r="B118">
        <v>2</v>
      </c>
      <c r="C118" s="99">
        <v>30000</v>
      </c>
      <c r="D118" s="66">
        <f t="shared" si="1"/>
        <v>60000</v>
      </c>
    </row>
    <row r="119" spans="1:4" hidden="1" x14ac:dyDescent="0.3">
      <c r="A119" t="s">
        <v>51</v>
      </c>
      <c r="D119" s="66">
        <f t="shared" si="1"/>
        <v>0</v>
      </c>
    </row>
    <row r="120" spans="1:4" hidden="1" x14ac:dyDescent="0.3">
      <c r="A120" t="s">
        <v>92</v>
      </c>
      <c r="D120" s="66">
        <f t="shared" si="1"/>
        <v>0</v>
      </c>
    </row>
    <row r="121" spans="1:4" hidden="1" x14ac:dyDescent="0.3">
      <c r="A121" t="s">
        <v>110</v>
      </c>
      <c r="D121" s="66">
        <f t="shared" si="1"/>
        <v>0</v>
      </c>
    </row>
    <row r="122" spans="1:4" hidden="1" x14ac:dyDescent="0.3">
      <c r="A122" t="s">
        <v>17</v>
      </c>
      <c r="D122" s="66">
        <f t="shared" si="1"/>
        <v>0</v>
      </c>
    </row>
    <row r="123" spans="1:4" hidden="1" x14ac:dyDescent="0.3">
      <c r="A123" t="s">
        <v>53</v>
      </c>
      <c r="D123" s="66">
        <f t="shared" si="1"/>
        <v>0</v>
      </c>
    </row>
    <row r="124" spans="1:4" hidden="1" x14ac:dyDescent="0.3">
      <c r="A124" t="s">
        <v>56</v>
      </c>
      <c r="D124" s="66">
        <f t="shared" si="1"/>
        <v>0</v>
      </c>
    </row>
    <row r="125" spans="1:4" hidden="1" x14ac:dyDescent="0.3">
      <c r="A125" t="s">
        <v>60</v>
      </c>
      <c r="D125" s="66">
        <f t="shared" si="1"/>
        <v>0</v>
      </c>
    </row>
    <row r="126" spans="1:4" hidden="1" x14ac:dyDescent="0.3">
      <c r="A126" t="s">
        <v>1</v>
      </c>
      <c r="D126" s="66">
        <f t="shared" si="1"/>
        <v>0</v>
      </c>
    </row>
    <row r="127" spans="1:4" hidden="1" x14ac:dyDescent="0.3">
      <c r="A127" t="s">
        <v>62</v>
      </c>
      <c r="D127" s="66">
        <f t="shared" si="1"/>
        <v>0</v>
      </c>
    </row>
    <row r="128" spans="1:4" hidden="1" x14ac:dyDescent="0.3">
      <c r="A128" t="s">
        <v>27</v>
      </c>
      <c r="D128" s="66">
        <f t="shared" si="1"/>
        <v>0</v>
      </c>
    </row>
    <row r="129" spans="1:4" hidden="1" x14ac:dyDescent="0.3">
      <c r="A129" t="s">
        <v>109</v>
      </c>
      <c r="D129" s="66">
        <f t="shared" si="1"/>
        <v>0</v>
      </c>
    </row>
    <row r="130" spans="1:4" hidden="1" x14ac:dyDescent="0.3">
      <c r="A130" t="s">
        <v>28</v>
      </c>
      <c r="D130" s="66">
        <f t="shared" si="1"/>
        <v>0</v>
      </c>
    </row>
    <row r="131" spans="1:4" x14ac:dyDescent="0.3">
      <c r="A131" t="s">
        <v>120</v>
      </c>
      <c r="B131">
        <v>9</v>
      </c>
      <c r="C131" s="99">
        <v>25000</v>
      </c>
      <c r="D131" s="66">
        <f t="shared" si="1"/>
        <v>225000</v>
      </c>
    </row>
    <row r="132" spans="1:4" hidden="1" x14ac:dyDescent="0.3">
      <c r="A132" t="s">
        <v>87</v>
      </c>
      <c r="D132" s="66">
        <f t="shared" si="1"/>
        <v>0</v>
      </c>
    </row>
    <row r="133" spans="1:4" hidden="1" x14ac:dyDescent="0.3">
      <c r="A133" t="s">
        <v>117</v>
      </c>
      <c r="D133" s="66">
        <f t="shared" ref="D133:D157" si="2">B133*C133</f>
        <v>0</v>
      </c>
    </row>
    <row r="134" spans="1:4" hidden="1" x14ac:dyDescent="0.3">
      <c r="A134" t="s">
        <v>5</v>
      </c>
      <c r="D134" s="66">
        <f t="shared" si="2"/>
        <v>0</v>
      </c>
    </row>
    <row r="135" spans="1:4" hidden="1" x14ac:dyDescent="0.3">
      <c r="A135" t="s">
        <v>6</v>
      </c>
      <c r="D135" s="66">
        <f t="shared" si="2"/>
        <v>0</v>
      </c>
    </row>
    <row r="136" spans="1:4" hidden="1" x14ac:dyDescent="0.3">
      <c r="A136" t="s">
        <v>8</v>
      </c>
      <c r="D136" s="66">
        <f t="shared" si="2"/>
        <v>0</v>
      </c>
    </row>
    <row r="137" spans="1:4" hidden="1" x14ac:dyDescent="0.3">
      <c r="A137" t="s">
        <v>119</v>
      </c>
      <c r="D137" s="66">
        <f t="shared" si="2"/>
        <v>0</v>
      </c>
    </row>
    <row r="138" spans="1:4" hidden="1" x14ac:dyDescent="0.3">
      <c r="A138" t="s">
        <v>12</v>
      </c>
      <c r="D138" s="66">
        <f t="shared" si="2"/>
        <v>0</v>
      </c>
    </row>
    <row r="139" spans="1:4" hidden="1" x14ac:dyDescent="0.3">
      <c r="A139" t="s">
        <v>14</v>
      </c>
      <c r="D139" s="66">
        <f t="shared" si="2"/>
        <v>0</v>
      </c>
    </row>
    <row r="140" spans="1:4" x14ac:dyDescent="0.3">
      <c r="A140" t="s">
        <v>111</v>
      </c>
      <c r="B140">
        <v>10</v>
      </c>
      <c r="C140" s="99">
        <v>27000</v>
      </c>
      <c r="D140" s="66">
        <f t="shared" si="2"/>
        <v>270000</v>
      </c>
    </row>
    <row r="141" spans="1:4" hidden="1" x14ac:dyDescent="0.3">
      <c r="A141" t="s">
        <v>15</v>
      </c>
      <c r="D141" s="66">
        <f t="shared" si="2"/>
        <v>0</v>
      </c>
    </row>
    <row r="142" spans="1:4" hidden="1" x14ac:dyDescent="0.3">
      <c r="A142" t="s">
        <v>15</v>
      </c>
      <c r="D142" s="66">
        <f t="shared" si="2"/>
        <v>0</v>
      </c>
    </row>
    <row r="143" spans="1:4" hidden="1" x14ac:dyDescent="0.3">
      <c r="A143" t="s">
        <v>16</v>
      </c>
      <c r="D143" s="66">
        <f t="shared" si="2"/>
        <v>0</v>
      </c>
    </row>
    <row r="144" spans="1:4" x14ac:dyDescent="0.3">
      <c r="A144" t="s">
        <v>68</v>
      </c>
      <c r="B144">
        <v>25</v>
      </c>
      <c r="C144" s="99">
        <v>13000</v>
      </c>
      <c r="D144" s="66">
        <f t="shared" si="2"/>
        <v>325000</v>
      </c>
    </row>
    <row r="145" spans="1:4" x14ac:dyDescent="0.3">
      <c r="A145" t="s">
        <v>67</v>
      </c>
      <c r="B145">
        <v>20</v>
      </c>
      <c r="C145" s="99">
        <v>17000</v>
      </c>
      <c r="D145" s="66">
        <f t="shared" si="2"/>
        <v>340000</v>
      </c>
    </row>
    <row r="146" spans="1:4" x14ac:dyDescent="0.3">
      <c r="A146" t="s">
        <v>72</v>
      </c>
      <c r="B146">
        <v>250</v>
      </c>
      <c r="C146" s="99">
        <v>10000</v>
      </c>
      <c r="D146" s="66">
        <f t="shared" si="2"/>
        <v>2500000</v>
      </c>
    </row>
    <row r="147" spans="1:4" hidden="1" x14ac:dyDescent="0.3">
      <c r="A147" t="s">
        <v>29</v>
      </c>
      <c r="D147" s="66">
        <f t="shared" si="2"/>
        <v>0</v>
      </c>
    </row>
    <row r="148" spans="1:4" x14ac:dyDescent="0.3">
      <c r="A148" t="s">
        <v>122</v>
      </c>
      <c r="B148">
        <v>45</v>
      </c>
      <c r="C148" s="99">
        <v>50000</v>
      </c>
      <c r="D148" s="66">
        <f t="shared" si="2"/>
        <v>2250000</v>
      </c>
    </row>
    <row r="149" spans="1:4" hidden="1" x14ac:dyDescent="0.3">
      <c r="A149" t="s">
        <v>76</v>
      </c>
      <c r="D149" s="66">
        <f t="shared" si="2"/>
        <v>0</v>
      </c>
    </row>
    <row r="150" spans="1:4" hidden="1" x14ac:dyDescent="0.3">
      <c r="A150" t="s">
        <v>78</v>
      </c>
      <c r="D150" s="66">
        <f t="shared" si="2"/>
        <v>0</v>
      </c>
    </row>
    <row r="151" spans="1:4" hidden="1" x14ac:dyDescent="0.3">
      <c r="A151" t="s">
        <v>79</v>
      </c>
      <c r="D151" s="66">
        <f t="shared" si="2"/>
        <v>0</v>
      </c>
    </row>
    <row r="152" spans="1:4" hidden="1" x14ac:dyDescent="0.3">
      <c r="A152" t="s">
        <v>82</v>
      </c>
      <c r="D152" s="66">
        <f t="shared" si="2"/>
        <v>0</v>
      </c>
    </row>
    <row r="153" spans="1:4" hidden="1" x14ac:dyDescent="0.3">
      <c r="A153" t="s">
        <v>39</v>
      </c>
      <c r="D153" s="66">
        <f t="shared" si="2"/>
        <v>0</v>
      </c>
    </row>
    <row r="154" spans="1:4" hidden="1" x14ac:dyDescent="0.3">
      <c r="A154" t="s">
        <v>41</v>
      </c>
      <c r="D154" s="66">
        <f t="shared" si="2"/>
        <v>0</v>
      </c>
    </row>
    <row r="155" spans="1:4" hidden="1" x14ac:dyDescent="0.3">
      <c r="A155" t="s">
        <v>46</v>
      </c>
      <c r="D155" s="66">
        <f t="shared" si="2"/>
        <v>0</v>
      </c>
    </row>
    <row r="156" spans="1:4" hidden="1" x14ac:dyDescent="0.3">
      <c r="A156" t="e">
        <v>#N/A</v>
      </c>
      <c r="D156" s="66">
        <f t="shared" si="2"/>
        <v>0</v>
      </c>
    </row>
    <row r="157" spans="1:4" x14ac:dyDescent="0.3">
      <c r="A157" t="s">
        <v>243</v>
      </c>
      <c r="B157">
        <v>60</v>
      </c>
      <c r="C157" s="99">
        <v>8000</v>
      </c>
      <c r="D157" s="66">
        <f t="shared" si="2"/>
        <v>480000</v>
      </c>
    </row>
    <row r="158" spans="1:4" x14ac:dyDescent="0.3">
      <c r="D158" s="83">
        <f>SUM(D116:D157)</f>
        <v>9670000</v>
      </c>
    </row>
  </sheetData>
  <autoFilter ref="A2:D157" xr:uid="{00000000-0009-0000-0000-00000C000000}">
    <filterColumn colId="1">
      <filters>
        <filter val="1"/>
        <filter val="1,905"/>
        <filter val="10"/>
        <filter val="100"/>
        <filter val="115"/>
        <filter val="12"/>
        <filter val="155"/>
        <filter val="18"/>
        <filter val="180"/>
        <filter val="190"/>
        <filter val="2"/>
        <filter val="2,340"/>
        <filter val="20"/>
        <filter val="200"/>
        <filter val="220"/>
        <filter val="225"/>
        <filter val="230"/>
        <filter val="25"/>
        <filter val="250"/>
        <filter val="280"/>
        <filter val="30"/>
        <filter val="320"/>
        <filter val="35"/>
        <filter val="385"/>
        <filter val="4"/>
        <filter val="45"/>
        <filter val="46"/>
        <filter val="5"/>
        <filter val="60"/>
        <filter val="70"/>
        <filter val="720"/>
        <filter val="80"/>
        <filter val="9"/>
        <filter val="95"/>
        <filter val="970"/>
        <filter val="980"/>
        <filter val="Tồn_x000a_ĐL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174"/>
  <sheetViews>
    <sheetView topLeftCell="A58" workbookViewId="0">
      <selection activeCell="F17" sqref="F17"/>
    </sheetView>
  </sheetViews>
  <sheetFormatPr defaultRowHeight="14.4" x14ac:dyDescent="0.3"/>
  <cols>
    <col min="1" max="1" width="34.44140625" customWidth="1"/>
    <col min="2" max="2" width="12.88671875" customWidth="1"/>
    <col min="3" max="3" width="15" customWidth="1"/>
    <col min="4" max="4" width="19.5546875" customWidth="1"/>
  </cols>
  <sheetData>
    <row r="1" spans="1:4" x14ac:dyDescent="0.3">
      <c r="A1" t="s">
        <v>588</v>
      </c>
    </row>
    <row r="2" spans="1:4" ht="34.950000000000003" customHeight="1" x14ac:dyDescent="0.3">
      <c r="A2" s="60" t="s">
        <v>0</v>
      </c>
      <c r="B2" s="61" t="s">
        <v>544</v>
      </c>
      <c r="C2" s="82" t="s">
        <v>518</v>
      </c>
      <c r="D2" s="65" t="s">
        <v>519</v>
      </c>
    </row>
    <row r="3" spans="1:4" hidden="1" x14ac:dyDescent="0.3">
      <c r="A3" s="62" t="s">
        <v>21</v>
      </c>
      <c r="B3" s="63"/>
      <c r="C3" s="66"/>
      <c r="D3" s="66">
        <f>B3*C3</f>
        <v>0</v>
      </c>
    </row>
    <row r="4" spans="1:4" x14ac:dyDescent="0.3">
      <c r="A4" s="62" t="s">
        <v>22</v>
      </c>
      <c r="B4" s="63">
        <v>96</v>
      </c>
      <c r="C4" s="66">
        <v>9000</v>
      </c>
      <c r="D4" s="66">
        <f t="shared" ref="D4:D67" si="0">B4*C4</f>
        <v>864000</v>
      </c>
    </row>
    <row r="5" spans="1:4" x14ac:dyDescent="0.3">
      <c r="A5" s="62" t="s">
        <v>23</v>
      </c>
      <c r="B5" s="63">
        <v>620</v>
      </c>
      <c r="C5" s="66">
        <v>6500</v>
      </c>
      <c r="D5" s="66">
        <f t="shared" si="0"/>
        <v>4030000</v>
      </c>
    </row>
    <row r="6" spans="1:4" hidden="1" x14ac:dyDescent="0.3">
      <c r="A6" s="62" t="s">
        <v>49</v>
      </c>
      <c r="B6" s="64"/>
      <c r="C6" s="68"/>
      <c r="D6" s="66">
        <f t="shared" si="0"/>
        <v>0</v>
      </c>
    </row>
    <row r="7" spans="1:4" x14ac:dyDescent="0.3">
      <c r="A7" s="62" t="s">
        <v>50</v>
      </c>
      <c r="B7" s="64">
        <v>490</v>
      </c>
      <c r="C7" s="68">
        <v>7000</v>
      </c>
      <c r="D7" s="66">
        <f t="shared" si="0"/>
        <v>3430000</v>
      </c>
    </row>
    <row r="8" spans="1:4" hidden="1" x14ac:dyDescent="0.3">
      <c r="A8" s="62" t="s">
        <v>84</v>
      </c>
      <c r="B8" s="64"/>
      <c r="C8" s="68"/>
      <c r="D8" s="66">
        <f t="shared" si="0"/>
        <v>0</v>
      </c>
    </row>
    <row r="9" spans="1:4" x14ac:dyDescent="0.3">
      <c r="A9" s="62" t="s">
        <v>51</v>
      </c>
      <c r="B9" s="64">
        <v>45</v>
      </c>
      <c r="C9" s="68">
        <v>22000</v>
      </c>
      <c r="D9" s="66">
        <f t="shared" si="0"/>
        <v>990000</v>
      </c>
    </row>
    <row r="10" spans="1:4" hidden="1" x14ac:dyDescent="0.3">
      <c r="A10" s="62" t="s">
        <v>51</v>
      </c>
      <c r="B10" s="64"/>
      <c r="C10" s="68"/>
      <c r="D10" s="66">
        <f t="shared" si="0"/>
        <v>0</v>
      </c>
    </row>
    <row r="11" spans="1:4" x14ac:dyDescent="0.3">
      <c r="A11" s="62" t="s">
        <v>52</v>
      </c>
      <c r="B11" s="64">
        <v>20</v>
      </c>
      <c r="C11" s="68">
        <v>10000</v>
      </c>
      <c r="D11" s="66">
        <f t="shared" si="0"/>
        <v>200000</v>
      </c>
    </row>
    <row r="12" spans="1:4" hidden="1" x14ac:dyDescent="0.3">
      <c r="A12" s="62" t="s">
        <v>52</v>
      </c>
      <c r="B12" s="64"/>
      <c r="C12" s="68"/>
      <c r="D12" s="66">
        <f t="shared" si="0"/>
        <v>0</v>
      </c>
    </row>
    <row r="13" spans="1:4" hidden="1" x14ac:dyDescent="0.3">
      <c r="A13" s="62" t="s">
        <v>90</v>
      </c>
      <c r="B13" s="64"/>
      <c r="C13" s="68"/>
      <c r="D13" s="66">
        <f t="shared" si="0"/>
        <v>0</v>
      </c>
    </row>
    <row r="14" spans="1:4" x14ac:dyDescent="0.3">
      <c r="A14" s="62" t="s">
        <v>92</v>
      </c>
      <c r="B14" s="64">
        <v>3</v>
      </c>
      <c r="C14" s="68">
        <v>12500</v>
      </c>
      <c r="D14" s="66">
        <f t="shared" si="0"/>
        <v>37500</v>
      </c>
    </row>
    <row r="15" spans="1:4" hidden="1" x14ac:dyDescent="0.3">
      <c r="A15" s="62" t="s">
        <v>110</v>
      </c>
      <c r="B15" s="64"/>
      <c r="C15" s="68"/>
      <c r="D15" s="66">
        <f t="shared" si="0"/>
        <v>0</v>
      </c>
    </row>
    <row r="16" spans="1:4" x14ac:dyDescent="0.3">
      <c r="A16" s="62" t="s">
        <v>524</v>
      </c>
      <c r="B16" s="64">
        <v>33</v>
      </c>
      <c r="C16" s="68">
        <v>34000</v>
      </c>
      <c r="D16" s="66">
        <f t="shared" si="0"/>
        <v>1122000</v>
      </c>
    </row>
    <row r="17" spans="1:4" x14ac:dyDescent="0.3">
      <c r="A17" s="62" t="s">
        <v>18</v>
      </c>
      <c r="B17" s="63">
        <v>26</v>
      </c>
      <c r="C17" s="66">
        <v>42000</v>
      </c>
      <c r="D17" s="66">
        <f t="shared" si="0"/>
        <v>1092000</v>
      </c>
    </row>
    <row r="18" spans="1:4" hidden="1" x14ac:dyDescent="0.3">
      <c r="A18" s="62" t="s">
        <v>19</v>
      </c>
      <c r="B18" s="63"/>
      <c r="C18" s="66"/>
      <c r="D18" s="66">
        <f t="shared" si="0"/>
        <v>0</v>
      </c>
    </row>
    <row r="19" spans="1:4" x14ac:dyDescent="0.3">
      <c r="A19" s="62" t="s">
        <v>19</v>
      </c>
      <c r="B19" s="63">
        <v>26</v>
      </c>
      <c r="C19" s="66">
        <v>53000</v>
      </c>
      <c r="D19" s="66">
        <f t="shared" si="0"/>
        <v>1378000</v>
      </c>
    </row>
    <row r="20" spans="1:4" x14ac:dyDescent="0.3">
      <c r="A20" s="62" t="s">
        <v>53</v>
      </c>
      <c r="B20" s="64">
        <v>235</v>
      </c>
      <c r="C20" s="68">
        <v>24000</v>
      </c>
      <c r="D20" s="66">
        <f t="shared" si="0"/>
        <v>5640000</v>
      </c>
    </row>
    <row r="21" spans="1:4" hidden="1" x14ac:dyDescent="0.3">
      <c r="A21" s="62" t="s">
        <v>53</v>
      </c>
      <c r="B21" s="64"/>
      <c r="C21" s="68"/>
      <c r="D21" s="66">
        <f t="shared" si="0"/>
        <v>0</v>
      </c>
    </row>
    <row r="22" spans="1:4" hidden="1" x14ac:dyDescent="0.3">
      <c r="A22" s="62" t="s">
        <v>54</v>
      </c>
      <c r="B22" s="64"/>
      <c r="C22" s="68"/>
      <c r="D22" s="66">
        <f t="shared" si="0"/>
        <v>0</v>
      </c>
    </row>
    <row r="23" spans="1:4" hidden="1" x14ac:dyDescent="0.3">
      <c r="A23" s="62" t="s">
        <v>55</v>
      </c>
      <c r="B23" s="64"/>
      <c r="C23" s="68"/>
      <c r="D23" s="66">
        <f t="shared" si="0"/>
        <v>0</v>
      </c>
    </row>
    <row r="24" spans="1:4" x14ac:dyDescent="0.3">
      <c r="A24" s="62" t="s">
        <v>56</v>
      </c>
      <c r="B24" s="64">
        <v>105</v>
      </c>
      <c r="C24" s="68">
        <v>10500</v>
      </c>
      <c r="D24" s="66">
        <f t="shared" si="0"/>
        <v>1102500</v>
      </c>
    </row>
    <row r="25" spans="1:4" x14ac:dyDescent="0.3">
      <c r="A25" s="62" t="s">
        <v>103</v>
      </c>
      <c r="B25" s="64">
        <v>22.5</v>
      </c>
      <c r="C25" s="68">
        <v>17500</v>
      </c>
      <c r="D25" s="66">
        <f t="shared" si="0"/>
        <v>393750</v>
      </c>
    </row>
    <row r="26" spans="1:4" hidden="1" x14ac:dyDescent="0.3">
      <c r="A26" s="62" t="s">
        <v>57</v>
      </c>
      <c r="B26" s="64"/>
      <c r="C26" s="68"/>
      <c r="D26" s="66">
        <f t="shared" si="0"/>
        <v>0</v>
      </c>
    </row>
    <row r="27" spans="1:4" hidden="1" x14ac:dyDescent="0.3">
      <c r="A27" s="62" t="s">
        <v>58</v>
      </c>
      <c r="B27" s="64"/>
      <c r="C27" s="68"/>
      <c r="D27" s="66">
        <f t="shared" si="0"/>
        <v>0</v>
      </c>
    </row>
    <row r="28" spans="1:4" x14ac:dyDescent="0.3">
      <c r="A28" s="62" t="s">
        <v>59</v>
      </c>
      <c r="B28" s="64">
        <v>67</v>
      </c>
      <c r="C28" s="68">
        <v>8000</v>
      </c>
      <c r="D28" s="66">
        <f t="shared" si="0"/>
        <v>536000</v>
      </c>
    </row>
    <row r="29" spans="1:4" x14ac:dyDescent="0.3">
      <c r="A29" s="62" t="s">
        <v>86</v>
      </c>
      <c r="B29" s="64">
        <v>200</v>
      </c>
      <c r="C29" s="68">
        <v>9500</v>
      </c>
      <c r="D29" s="66">
        <f t="shared" si="0"/>
        <v>1900000</v>
      </c>
    </row>
    <row r="30" spans="1:4" x14ac:dyDescent="0.3">
      <c r="A30" s="62" t="s">
        <v>60</v>
      </c>
      <c r="B30" s="64">
        <v>730</v>
      </c>
      <c r="C30" s="68">
        <v>17000</v>
      </c>
      <c r="D30" s="66">
        <f t="shared" si="0"/>
        <v>12410000</v>
      </c>
    </row>
    <row r="31" spans="1:4" hidden="1" x14ac:dyDescent="0.3">
      <c r="A31" s="62" t="s">
        <v>60</v>
      </c>
      <c r="B31" s="64"/>
      <c r="C31" s="68"/>
      <c r="D31" s="66">
        <f t="shared" si="0"/>
        <v>0</v>
      </c>
    </row>
    <row r="32" spans="1:4" hidden="1" x14ac:dyDescent="0.3">
      <c r="A32" s="62" t="s">
        <v>60</v>
      </c>
      <c r="B32" s="64"/>
      <c r="C32" s="68"/>
      <c r="D32" s="66">
        <f t="shared" si="0"/>
        <v>0</v>
      </c>
    </row>
    <row r="33" spans="1:4" x14ac:dyDescent="0.3">
      <c r="A33" s="62" t="s">
        <v>61</v>
      </c>
      <c r="B33" s="64">
        <v>140</v>
      </c>
      <c r="C33" s="68">
        <v>17000</v>
      </c>
      <c r="D33" s="66">
        <f t="shared" si="0"/>
        <v>2380000</v>
      </c>
    </row>
    <row r="34" spans="1:4" x14ac:dyDescent="0.3">
      <c r="A34" s="62" t="s">
        <v>1</v>
      </c>
      <c r="B34" s="63">
        <v>145</v>
      </c>
      <c r="C34" s="66">
        <v>16000</v>
      </c>
      <c r="D34" s="66">
        <f t="shared" si="0"/>
        <v>2320000</v>
      </c>
    </row>
    <row r="35" spans="1:4" hidden="1" x14ac:dyDescent="0.3">
      <c r="A35" s="62" t="s">
        <v>1</v>
      </c>
      <c r="B35" s="63"/>
      <c r="C35" s="66"/>
      <c r="D35" s="66">
        <f t="shared" si="0"/>
        <v>0</v>
      </c>
    </row>
    <row r="36" spans="1:4" x14ac:dyDescent="0.3">
      <c r="A36" s="62" t="s">
        <v>2</v>
      </c>
      <c r="B36" s="63">
        <v>2</v>
      </c>
      <c r="C36" s="66">
        <v>75000</v>
      </c>
      <c r="D36" s="66">
        <f t="shared" si="0"/>
        <v>150000</v>
      </c>
    </row>
    <row r="37" spans="1:4" x14ac:dyDescent="0.3">
      <c r="A37" s="62" t="s">
        <v>62</v>
      </c>
      <c r="B37" s="64">
        <v>3</v>
      </c>
      <c r="C37" s="68">
        <v>9000</v>
      </c>
      <c r="D37" s="66">
        <f t="shared" si="0"/>
        <v>27000</v>
      </c>
    </row>
    <row r="38" spans="1:4" hidden="1" x14ac:dyDescent="0.3">
      <c r="A38" s="62" t="s">
        <v>63</v>
      </c>
      <c r="B38" s="64"/>
      <c r="C38" s="68"/>
      <c r="D38" s="66">
        <f t="shared" si="0"/>
        <v>0</v>
      </c>
    </row>
    <row r="39" spans="1:4" x14ac:dyDescent="0.3">
      <c r="A39" s="62" t="s">
        <v>24</v>
      </c>
      <c r="B39" s="63">
        <v>12</v>
      </c>
      <c r="C39" s="66">
        <v>26000</v>
      </c>
      <c r="D39" s="66">
        <f t="shared" si="0"/>
        <v>312000</v>
      </c>
    </row>
    <row r="40" spans="1:4" hidden="1" x14ac:dyDescent="0.3">
      <c r="A40" s="62" t="s">
        <v>24</v>
      </c>
      <c r="B40" s="63"/>
      <c r="C40" s="66"/>
      <c r="D40" s="66">
        <f t="shared" si="0"/>
        <v>0</v>
      </c>
    </row>
    <row r="41" spans="1:4" hidden="1" x14ac:dyDescent="0.3">
      <c r="A41" s="62" t="s">
        <v>557</v>
      </c>
      <c r="B41" s="63"/>
      <c r="C41" s="66"/>
      <c r="D41" s="66">
        <f t="shared" si="0"/>
        <v>0</v>
      </c>
    </row>
    <row r="42" spans="1:4" x14ac:dyDescent="0.3">
      <c r="A42" s="62" t="s">
        <v>25</v>
      </c>
      <c r="B42" s="63">
        <v>5</v>
      </c>
      <c r="C42" s="66">
        <v>25000</v>
      </c>
      <c r="D42" s="66">
        <f t="shared" si="0"/>
        <v>125000</v>
      </c>
    </row>
    <row r="43" spans="1:4" hidden="1" x14ac:dyDescent="0.3">
      <c r="A43" s="62" t="s">
        <v>26</v>
      </c>
      <c r="B43" s="63"/>
      <c r="C43" s="66"/>
      <c r="D43" s="66">
        <f t="shared" si="0"/>
        <v>0</v>
      </c>
    </row>
    <row r="44" spans="1:4" hidden="1" x14ac:dyDescent="0.3">
      <c r="A44" s="62" t="s">
        <v>26</v>
      </c>
      <c r="B44" s="63"/>
      <c r="C44" s="66"/>
      <c r="D44" s="66">
        <f t="shared" si="0"/>
        <v>0</v>
      </c>
    </row>
    <row r="45" spans="1:4" hidden="1" x14ac:dyDescent="0.3">
      <c r="A45" s="62" t="s">
        <v>26</v>
      </c>
      <c r="B45" s="63"/>
      <c r="C45" s="66"/>
      <c r="D45" s="66">
        <f t="shared" si="0"/>
        <v>0</v>
      </c>
    </row>
    <row r="46" spans="1:4" hidden="1" x14ac:dyDescent="0.3">
      <c r="A46" s="62" t="s">
        <v>573</v>
      </c>
      <c r="B46" s="64"/>
      <c r="C46" s="68"/>
      <c r="D46" s="66">
        <f t="shared" si="0"/>
        <v>0</v>
      </c>
    </row>
    <row r="47" spans="1:4" hidden="1" x14ac:dyDescent="0.3">
      <c r="A47" s="62" t="s">
        <v>573</v>
      </c>
      <c r="B47" s="64"/>
      <c r="C47" s="68"/>
      <c r="D47" s="66">
        <f t="shared" si="0"/>
        <v>0</v>
      </c>
    </row>
    <row r="48" spans="1:4" hidden="1" x14ac:dyDescent="0.3">
      <c r="A48" s="62" t="s">
        <v>27</v>
      </c>
      <c r="B48" s="63"/>
      <c r="C48" s="66"/>
      <c r="D48" s="66">
        <f t="shared" si="0"/>
        <v>0</v>
      </c>
    </row>
    <row r="49" spans="1:4" hidden="1" x14ac:dyDescent="0.3">
      <c r="A49" s="62" t="s">
        <v>560</v>
      </c>
      <c r="B49" s="64"/>
      <c r="C49" s="68"/>
      <c r="D49" s="66">
        <f t="shared" si="0"/>
        <v>0</v>
      </c>
    </row>
    <row r="50" spans="1:4" hidden="1" x14ac:dyDescent="0.3">
      <c r="A50" s="62" t="s">
        <v>560</v>
      </c>
      <c r="B50" s="64"/>
      <c r="C50" s="68"/>
      <c r="D50" s="66">
        <f t="shared" si="0"/>
        <v>0</v>
      </c>
    </row>
    <row r="51" spans="1:4" hidden="1" x14ac:dyDescent="0.3">
      <c r="A51" s="62" t="s">
        <v>28</v>
      </c>
      <c r="B51" s="63"/>
      <c r="C51" s="66"/>
      <c r="D51" s="66">
        <f t="shared" si="0"/>
        <v>0</v>
      </c>
    </row>
    <row r="52" spans="1:4" x14ac:dyDescent="0.3">
      <c r="A52" s="62" t="s">
        <v>28</v>
      </c>
      <c r="B52" s="63">
        <v>30</v>
      </c>
      <c r="C52" s="66">
        <v>15000</v>
      </c>
      <c r="D52" s="66">
        <f t="shared" si="0"/>
        <v>450000</v>
      </c>
    </row>
    <row r="53" spans="1:4" x14ac:dyDescent="0.3">
      <c r="A53" s="62" t="s">
        <v>64</v>
      </c>
      <c r="B53" s="64">
        <v>28</v>
      </c>
      <c r="C53" s="68">
        <v>19000</v>
      </c>
      <c r="D53" s="66">
        <f t="shared" si="0"/>
        <v>532000</v>
      </c>
    </row>
    <row r="54" spans="1:4" hidden="1" x14ac:dyDescent="0.3">
      <c r="A54" s="62" t="s">
        <v>87</v>
      </c>
      <c r="B54" s="64"/>
      <c r="C54" s="68"/>
      <c r="D54" s="66">
        <f t="shared" si="0"/>
        <v>0</v>
      </c>
    </row>
    <row r="55" spans="1:4" x14ac:dyDescent="0.3">
      <c r="A55" s="62" t="s">
        <v>4</v>
      </c>
      <c r="B55" s="63">
        <v>15</v>
      </c>
      <c r="C55" s="66">
        <v>8000</v>
      </c>
      <c r="D55" s="66">
        <f t="shared" si="0"/>
        <v>120000</v>
      </c>
    </row>
    <row r="56" spans="1:4" x14ac:dyDescent="0.3">
      <c r="A56" s="100" t="s">
        <v>586</v>
      </c>
      <c r="B56" s="64">
        <v>12</v>
      </c>
      <c r="C56" s="68">
        <v>16000</v>
      </c>
      <c r="D56" s="66">
        <f t="shared" si="0"/>
        <v>192000</v>
      </c>
    </row>
    <row r="57" spans="1:4" x14ac:dyDescent="0.3">
      <c r="A57" s="62" t="s">
        <v>5</v>
      </c>
      <c r="B57" s="63">
        <v>10</v>
      </c>
      <c r="C57" s="66">
        <v>7000</v>
      </c>
      <c r="D57" s="66">
        <f t="shared" si="0"/>
        <v>70000</v>
      </c>
    </row>
    <row r="58" spans="1:4" x14ac:dyDescent="0.3">
      <c r="A58" s="62" t="s">
        <v>6</v>
      </c>
      <c r="B58" s="63">
        <v>90</v>
      </c>
      <c r="C58" s="66">
        <v>16000</v>
      </c>
      <c r="D58" s="66">
        <f t="shared" si="0"/>
        <v>1440000</v>
      </c>
    </row>
    <row r="59" spans="1:4" hidden="1" x14ac:dyDescent="0.3">
      <c r="A59" s="62" t="s">
        <v>6</v>
      </c>
      <c r="B59" s="63"/>
      <c r="C59" s="66"/>
      <c r="D59" s="66">
        <f t="shared" si="0"/>
        <v>0</v>
      </c>
    </row>
    <row r="60" spans="1:4" x14ac:dyDescent="0.3">
      <c r="A60" s="62" t="s">
        <v>7</v>
      </c>
      <c r="B60" s="63">
        <v>4</v>
      </c>
      <c r="C60" s="66">
        <v>44000</v>
      </c>
      <c r="D60" s="66">
        <f t="shared" si="0"/>
        <v>176000</v>
      </c>
    </row>
    <row r="61" spans="1:4" x14ac:dyDescent="0.3">
      <c r="A61" s="62" t="s">
        <v>8</v>
      </c>
      <c r="B61" s="63">
        <v>50</v>
      </c>
      <c r="C61" s="66">
        <v>24000</v>
      </c>
      <c r="D61" s="66">
        <f t="shared" si="0"/>
        <v>1200000</v>
      </c>
    </row>
    <row r="62" spans="1:4" hidden="1" x14ac:dyDescent="0.3">
      <c r="A62" s="62" t="s">
        <v>10</v>
      </c>
      <c r="B62" s="63"/>
      <c r="C62" s="66"/>
      <c r="D62" s="66">
        <f t="shared" si="0"/>
        <v>0</v>
      </c>
    </row>
    <row r="63" spans="1:4" x14ac:dyDescent="0.3">
      <c r="A63" s="62" t="s">
        <v>102</v>
      </c>
      <c r="B63" s="64">
        <v>200</v>
      </c>
      <c r="C63" s="68">
        <v>26000</v>
      </c>
      <c r="D63" s="66">
        <f t="shared" si="0"/>
        <v>5200000</v>
      </c>
    </row>
    <row r="64" spans="1:4" x14ac:dyDescent="0.3">
      <c r="A64" s="62" t="s">
        <v>11</v>
      </c>
      <c r="B64" s="63">
        <v>890</v>
      </c>
      <c r="C64" s="66">
        <v>24000</v>
      </c>
      <c r="D64" s="66">
        <f t="shared" si="0"/>
        <v>21360000</v>
      </c>
    </row>
    <row r="65" spans="1:4" hidden="1" x14ac:dyDescent="0.3">
      <c r="A65" s="62" t="s">
        <v>11</v>
      </c>
      <c r="B65" s="63"/>
      <c r="C65" s="66"/>
      <c r="D65" s="66">
        <f t="shared" si="0"/>
        <v>0</v>
      </c>
    </row>
    <row r="66" spans="1:4" x14ac:dyDescent="0.3">
      <c r="A66" s="62" t="s">
        <v>12</v>
      </c>
      <c r="B66" s="63">
        <v>1600</v>
      </c>
      <c r="C66" s="66">
        <v>27000</v>
      </c>
      <c r="D66" s="66">
        <f t="shared" si="0"/>
        <v>43200000</v>
      </c>
    </row>
    <row r="67" spans="1:4" hidden="1" x14ac:dyDescent="0.3">
      <c r="A67" s="62" t="s">
        <v>12</v>
      </c>
      <c r="B67" s="63"/>
      <c r="C67" s="66"/>
      <c r="D67" s="66">
        <f t="shared" si="0"/>
        <v>0</v>
      </c>
    </row>
    <row r="68" spans="1:4" hidden="1" x14ac:dyDescent="0.3">
      <c r="A68" s="62" t="s">
        <v>14</v>
      </c>
      <c r="B68" s="63"/>
      <c r="C68" s="66"/>
      <c r="D68" s="66">
        <f t="shared" ref="D68:D133" si="1">B68*C68</f>
        <v>0</v>
      </c>
    </row>
    <row r="69" spans="1:4" hidden="1" x14ac:dyDescent="0.3">
      <c r="A69" s="62" t="s">
        <v>15</v>
      </c>
      <c r="B69" s="63"/>
      <c r="C69" s="66"/>
      <c r="D69" s="66">
        <f t="shared" si="1"/>
        <v>0</v>
      </c>
    </row>
    <row r="70" spans="1:4" x14ac:dyDescent="0.3">
      <c r="A70" s="62" t="s">
        <v>15</v>
      </c>
      <c r="B70" s="63">
        <v>24</v>
      </c>
      <c r="C70" s="66">
        <v>20000</v>
      </c>
      <c r="D70" s="66">
        <f t="shared" si="1"/>
        <v>480000</v>
      </c>
    </row>
    <row r="71" spans="1:4" x14ac:dyDescent="0.3">
      <c r="A71" s="62" t="s">
        <v>16</v>
      </c>
      <c r="B71" s="63">
        <v>120</v>
      </c>
      <c r="C71" s="66">
        <v>17000</v>
      </c>
      <c r="D71" s="66">
        <f t="shared" si="1"/>
        <v>2040000</v>
      </c>
    </row>
    <row r="72" spans="1:4" x14ac:dyDescent="0.3">
      <c r="A72" s="62" t="s">
        <v>68</v>
      </c>
      <c r="B72" s="64">
        <v>6</v>
      </c>
      <c r="C72" s="68">
        <v>12000</v>
      </c>
      <c r="D72" s="66">
        <f t="shared" si="1"/>
        <v>72000</v>
      </c>
    </row>
    <row r="73" spans="1:4" hidden="1" x14ac:dyDescent="0.3">
      <c r="A73" s="62" t="s">
        <v>65</v>
      </c>
      <c r="B73" s="64"/>
      <c r="C73" s="68"/>
      <c r="D73" s="66">
        <f t="shared" si="1"/>
        <v>0</v>
      </c>
    </row>
    <row r="74" spans="1:4" hidden="1" x14ac:dyDescent="0.3">
      <c r="A74" s="62" t="s">
        <v>66</v>
      </c>
      <c r="B74" s="64"/>
      <c r="C74" s="68"/>
      <c r="D74" s="66">
        <f t="shared" si="1"/>
        <v>0</v>
      </c>
    </row>
    <row r="75" spans="1:4" hidden="1" x14ac:dyDescent="0.3">
      <c r="A75" s="62" t="s">
        <v>67</v>
      </c>
      <c r="B75" s="64"/>
      <c r="C75" s="68"/>
      <c r="D75" s="66">
        <f t="shared" si="1"/>
        <v>0</v>
      </c>
    </row>
    <row r="76" spans="1:4" hidden="1" x14ac:dyDescent="0.3">
      <c r="A76" s="62" t="s">
        <v>69</v>
      </c>
      <c r="B76" s="64"/>
      <c r="C76" s="68"/>
      <c r="D76" s="66">
        <f t="shared" si="1"/>
        <v>0</v>
      </c>
    </row>
    <row r="77" spans="1:4" hidden="1" x14ac:dyDescent="0.3">
      <c r="A77" s="62" t="s">
        <v>69</v>
      </c>
      <c r="B77" s="64"/>
      <c r="C77" s="68"/>
      <c r="D77" s="66">
        <f t="shared" si="1"/>
        <v>0</v>
      </c>
    </row>
    <row r="78" spans="1:4" hidden="1" x14ac:dyDescent="0.3">
      <c r="A78" s="62" t="s">
        <v>70</v>
      </c>
      <c r="B78" s="64"/>
      <c r="C78" s="68"/>
      <c r="D78" s="66">
        <f t="shared" si="1"/>
        <v>0</v>
      </c>
    </row>
    <row r="79" spans="1:4" hidden="1" x14ac:dyDescent="0.3">
      <c r="A79" s="62" t="s">
        <v>83</v>
      </c>
      <c r="B79" s="64"/>
      <c r="C79" s="68"/>
      <c r="D79" s="66">
        <f t="shared" si="1"/>
        <v>0</v>
      </c>
    </row>
    <row r="80" spans="1:4" x14ac:dyDescent="0.3">
      <c r="A80" s="62" t="s">
        <v>71</v>
      </c>
      <c r="B80" s="64">
        <v>60</v>
      </c>
      <c r="C80" s="68">
        <v>20000</v>
      </c>
      <c r="D80" s="66">
        <f t="shared" si="1"/>
        <v>1200000</v>
      </c>
    </row>
    <row r="81" spans="1:4" x14ac:dyDescent="0.3">
      <c r="A81" s="62" t="s">
        <v>72</v>
      </c>
      <c r="B81" s="64">
        <v>660</v>
      </c>
      <c r="C81" s="68">
        <v>11000</v>
      </c>
      <c r="D81" s="66">
        <f t="shared" si="1"/>
        <v>7260000</v>
      </c>
    </row>
    <row r="82" spans="1:4" x14ac:dyDescent="0.3">
      <c r="A82" s="62" t="s">
        <v>73</v>
      </c>
      <c r="B82" s="64">
        <v>4</v>
      </c>
      <c r="C82" s="68">
        <v>14000</v>
      </c>
      <c r="D82" s="66">
        <f t="shared" si="1"/>
        <v>56000</v>
      </c>
    </row>
    <row r="83" spans="1:4" hidden="1" x14ac:dyDescent="0.3">
      <c r="A83" s="62" t="s">
        <v>73</v>
      </c>
      <c r="B83" s="64"/>
      <c r="C83" s="68"/>
      <c r="D83" s="66">
        <f t="shared" si="1"/>
        <v>0</v>
      </c>
    </row>
    <row r="84" spans="1:4" x14ac:dyDescent="0.3">
      <c r="A84" s="62" t="s">
        <v>74</v>
      </c>
      <c r="B84" s="64">
        <v>23</v>
      </c>
      <c r="C84" s="68">
        <v>10000</v>
      </c>
      <c r="D84" s="66">
        <f t="shared" si="1"/>
        <v>230000</v>
      </c>
    </row>
    <row r="85" spans="1:4" hidden="1" x14ac:dyDescent="0.3">
      <c r="A85" s="62" t="s">
        <v>29</v>
      </c>
      <c r="B85" s="63"/>
      <c r="C85" s="66"/>
      <c r="D85" s="66">
        <f t="shared" si="1"/>
        <v>0</v>
      </c>
    </row>
    <row r="86" spans="1:4" x14ac:dyDescent="0.3">
      <c r="A86" s="62" t="s">
        <v>29</v>
      </c>
      <c r="B86" s="63">
        <v>28</v>
      </c>
      <c r="C86" s="66">
        <v>35000</v>
      </c>
      <c r="D86" s="66">
        <f t="shared" si="1"/>
        <v>980000</v>
      </c>
    </row>
    <row r="87" spans="1:4" x14ac:dyDescent="0.3">
      <c r="A87" s="62" t="s">
        <v>93</v>
      </c>
      <c r="B87" s="64">
        <v>545</v>
      </c>
      <c r="C87" s="68">
        <v>24000</v>
      </c>
      <c r="D87" s="66">
        <f t="shared" si="1"/>
        <v>13080000</v>
      </c>
    </row>
    <row r="88" spans="1:4" x14ac:dyDescent="0.3">
      <c r="A88" s="62" t="s">
        <v>96</v>
      </c>
      <c r="B88" s="64">
        <v>30</v>
      </c>
      <c r="C88" s="68">
        <v>40000</v>
      </c>
      <c r="D88" s="66">
        <f t="shared" si="1"/>
        <v>1200000</v>
      </c>
    </row>
    <row r="89" spans="1:4" hidden="1" x14ac:dyDescent="0.3">
      <c r="A89" s="62" t="s">
        <v>34</v>
      </c>
      <c r="B89" s="64"/>
      <c r="C89" s="68"/>
      <c r="D89" s="66">
        <f t="shared" si="1"/>
        <v>0</v>
      </c>
    </row>
    <row r="90" spans="1:4" x14ac:dyDescent="0.3">
      <c r="A90" s="62" t="s">
        <v>30</v>
      </c>
      <c r="B90" s="63">
        <v>48</v>
      </c>
      <c r="C90" s="66">
        <v>3750</v>
      </c>
      <c r="D90" s="66">
        <f t="shared" si="1"/>
        <v>180000</v>
      </c>
    </row>
    <row r="91" spans="1:4" x14ac:dyDescent="0.3">
      <c r="A91" s="62" t="s">
        <v>31</v>
      </c>
      <c r="B91" s="63">
        <v>1</v>
      </c>
      <c r="C91" s="66">
        <v>14000</v>
      </c>
      <c r="D91" s="66">
        <f t="shared" si="1"/>
        <v>14000</v>
      </c>
    </row>
    <row r="92" spans="1:4" hidden="1" x14ac:dyDescent="0.3">
      <c r="A92" s="62" t="s">
        <v>35</v>
      </c>
      <c r="B92" s="64"/>
      <c r="C92" s="68"/>
      <c r="D92" s="66">
        <f t="shared" si="1"/>
        <v>0</v>
      </c>
    </row>
    <row r="93" spans="1:4" hidden="1" x14ac:dyDescent="0.3">
      <c r="A93" s="62" t="s">
        <v>94</v>
      </c>
      <c r="B93" s="64"/>
      <c r="C93" s="68"/>
      <c r="D93" s="66">
        <f t="shared" si="1"/>
        <v>0</v>
      </c>
    </row>
    <row r="94" spans="1:4" hidden="1" x14ac:dyDescent="0.3">
      <c r="A94" s="62" t="s">
        <v>101</v>
      </c>
      <c r="B94" s="64"/>
      <c r="C94" s="68"/>
      <c r="D94" s="66">
        <f t="shared" si="1"/>
        <v>0</v>
      </c>
    </row>
    <row r="95" spans="1:4" hidden="1" x14ac:dyDescent="0.3">
      <c r="A95" s="62" t="s">
        <v>97</v>
      </c>
      <c r="B95" s="64"/>
      <c r="C95" s="68"/>
      <c r="D95" s="66">
        <f t="shared" si="1"/>
        <v>0</v>
      </c>
    </row>
    <row r="96" spans="1:4" x14ac:dyDescent="0.3">
      <c r="A96" s="62" t="s">
        <v>75</v>
      </c>
      <c r="B96" s="64">
        <v>7.2</v>
      </c>
      <c r="C96" s="68">
        <v>40000</v>
      </c>
      <c r="D96" s="66">
        <f t="shared" si="1"/>
        <v>288000</v>
      </c>
    </row>
    <row r="97" spans="1:4" hidden="1" x14ac:dyDescent="0.3">
      <c r="A97" s="62" t="s">
        <v>75</v>
      </c>
      <c r="B97" s="64"/>
      <c r="C97" s="68"/>
      <c r="D97" s="66">
        <f t="shared" si="1"/>
        <v>0</v>
      </c>
    </row>
    <row r="98" spans="1:4" x14ac:dyDescent="0.3">
      <c r="A98" s="62" t="s">
        <v>76</v>
      </c>
      <c r="B98" s="64">
        <v>50</v>
      </c>
      <c r="C98" s="68">
        <v>30000</v>
      </c>
      <c r="D98" s="66">
        <f t="shared" si="1"/>
        <v>1500000</v>
      </c>
    </row>
    <row r="99" spans="1:4" hidden="1" x14ac:dyDescent="0.3">
      <c r="A99" s="62" t="s">
        <v>76</v>
      </c>
      <c r="B99" s="64"/>
      <c r="C99" s="68"/>
      <c r="D99" s="66">
        <f t="shared" si="1"/>
        <v>0</v>
      </c>
    </row>
    <row r="100" spans="1:4" hidden="1" x14ac:dyDescent="0.3">
      <c r="A100" s="62" t="s">
        <v>77</v>
      </c>
      <c r="B100" s="64"/>
      <c r="C100" s="68"/>
      <c r="D100" s="66">
        <f t="shared" si="1"/>
        <v>0</v>
      </c>
    </row>
    <row r="101" spans="1:4" hidden="1" x14ac:dyDescent="0.3">
      <c r="A101" s="62" t="s">
        <v>77</v>
      </c>
      <c r="B101" s="64"/>
      <c r="C101" s="68"/>
      <c r="D101" s="66">
        <f t="shared" si="1"/>
        <v>0</v>
      </c>
    </row>
    <row r="102" spans="1:4" x14ac:dyDescent="0.3">
      <c r="A102" s="62" t="s">
        <v>78</v>
      </c>
      <c r="B102" s="64">
        <v>140</v>
      </c>
      <c r="C102" s="68">
        <v>20000</v>
      </c>
      <c r="D102" s="66">
        <f t="shared" si="1"/>
        <v>2800000</v>
      </c>
    </row>
    <row r="103" spans="1:4" hidden="1" x14ac:dyDescent="0.3">
      <c r="A103" s="62" t="s">
        <v>78</v>
      </c>
      <c r="B103" s="64"/>
      <c r="C103" s="68"/>
      <c r="D103" s="66">
        <f t="shared" si="1"/>
        <v>0</v>
      </c>
    </row>
    <row r="104" spans="1:4" x14ac:dyDescent="0.3">
      <c r="A104" s="62" t="s">
        <v>79</v>
      </c>
      <c r="B104" s="64">
        <v>127</v>
      </c>
      <c r="C104" s="68">
        <v>20000</v>
      </c>
      <c r="D104" s="66">
        <f t="shared" si="1"/>
        <v>2540000</v>
      </c>
    </row>
    <row r="105" spans="1:4" hidden="1" x14ac:dyDescent="0.3">
      <c r="A105" s="62" t="s">
        <v>79</v>
      </c>
      <c r="B105" s="64"/>
      <c r="C105" s="68"/>
      <c r="D105" s="66">
        <f t="shared" si="1"/>
        <v>0</v>
      </c>
    </row>
    <row r="106" spans="1:4" x14ac:dyDescent="0.3">
      <c r="A106" s="62" t="s">
        <v>80</v>
      </c>
      <c r="B106" s="64">
        <v>35</v>
      </c>
      <c r="C106" s="68">
        <v>16000</v>
      </c>
      <c r="D106" s="66">
        <f t="shared" si="1"/>
        <v>560000</v>
      </c>
    </row>
    <row r="107" spans="1:4" x14ac:dyDescent="0.3">
      <c r="A107" s="100" t="s">
        <v>587</v>
      </c>
      <c r="B107" s="64">
        <v>30</v>
      </c>
      <c r="C107" s="68">
        <v>15000</v>
      </c>
      <c r="D107" s="66">
        <f t="shared" si="1"/>
        <v>450000</v>
      </c>
    </row>
    <row r="108" spans="1:4" hidden="1" x14ac:dyDescent="0.3">
      <c r="A108" s="62" t="s">
        <v>559</v>
      </c>
      <c r="B108" s="64"/>
      <c r="C108" s="68"/>
      <c r="D108" s="66">
        <f t="shared" si="1"/>
        <v>0</v>
      </c>
    </row>
    <row r="109" spans="1:4" hidden="1" x14ac:dyDescent="0.3">
      <c r="A109" s="62" t="s">
        <v>559</v>
      </c>
      <c r="B109" s="64"/>
      <c r="C109" s="68"/>
      <c r="D109" s="66">
        <f t="shared" si="1"/>
        <v>0</v>
      </c>
    </row>
    <row r="110" spans="1:4" x14ac:dyDescent="0.3">
      <c r="A110" s="100" t="s">
        <v>36</v>
      </c>
      <c r="B110" s="64">
        <v>10</v>
      </c>
      <c r="C110" s="68">
        <v>26000</v>
      </c>
      <c r="D110" s="66">
        <f t="shared" si="1"/>
        <v>260000</v>
      </c>
    </row>
    <row r="111" spans="1:4" x14ac:dyDescent="0.3">
      <c r="A111" s="62" t="s">
        <v>81</v>
      </c>
      <c r="B111" s="64">
        <v>4</v>
      </c>
      <c r="C111" s="68">
        <v>48000</v>
      </c>
      <c r="D111" s="66">
        <f t="shared" si="1"/>
        <v>192000</v>
      </c>
    </row>
    <row r="112" spans="1:4" hidden="1" x14ac:dyDescent="0.3">
      <c r="A112" s="62" t="s">
        <v>85</v>
      </c>
      <c r="B112" s="64"/>
      <c r="C112" s="68"/>
      <c r="D112" s="66">
        <f t="shared" si="1"/>
        <v>0</v>
      </c>
    </row>
    <row r="113" spans="1:4" hidden="1" x14ac:dyDescent="0.3">
      <c r="A113" s="62" t="s">
        <v>88</v>
      </c>
      <c r="B113" s="64"/>
      <c r="C113" s="68"/>
      <c r="D113" s="66">
        <f t="shared" si="1"/>
        <v>0</v>
      </c>
    </row>
    <row r="114" spans="1:4" x14ac:dyDescent="0.3">
      <c r="A114" s="62" t="s">
        <v>82</v>
      </c>
      <c r="B114" s="64">
        <v>530</v>
      </c>
      <c r="C114" s="68">
        <v>7000</v>
      </c>
      <c r="D114" s="66">
        <f t="shared" si="1"/>
        <v>3710000</v>
      </c>
    </row>
    <row r="115" spans="1:4" x14ac:dyDescent="0.3">
      <c r="A115" s="62" t="s">
        <v>37</v>
      </c>
      <c r="B115" s="64">
        <v>9</v>
      </c>
      <c r="C115" s="68">
        <v>35000</v>
      </c>
      <c r="D115" s="66">
        <f t="shared" si="1"/>
        <v>315000</v>
      </c>
    </row>
    <row r="116" spans="1:4" hidden="1" x14ac:dyDescent="0.3">
      <c r="A116" s="62" t="s">
        <v>37</v>
      </c>
      <c r="B116" s="64"/>
      <c r="C116" s="68"/>
      <c r="D116" s="66">
        <f t="shared" si="1"/>
        <v>0</v>
      </c>
    </row>
    <row r="117" spans="1:4" hidden="1" x14ac:dyDescent="0.3">
      <c r="A117" s="62" t="s">
        <v>38</v>
      </c>
      <c r="B117" s="64"/>
      <c r="C117" s="68"/>
      <c r="D117" s="66">
        <f t="shared" si="1"/>
        <v>0</v>
      </c>
    </row>
    <row r="118" spans="1:4" hidden="1" x14ac:dyDescent="0.3">
      <c r="A118" s="62" t="s">
        <v>39</v>
      </c>
      <c r="B118" s="64"/>
      <c r="C118" s="68"/>
      <c r="D118" s="66">
        <f t="shared" si="1"/>
        <v>0</v>
      </c>
    </row>
    <row r="119" spans="1:4" hidden="1" x14ac:dyDescent="0.3">
      <c r="A119" s="62" t="s">
        <v>47</v>
      </c>
      <c r="B119" s="64"/>
      <c r="C119" s="68"/>
      <c r="D119" s="66">
        <f t="shared" si="1"/>
        <v>0</v>
      </c>
    </row>
    <row r="120" spans="1:4" hidden="1" x14ac:dyDescent="0.3">
      <c r="A120" s="62" t="s">
        <v>40</v>
      </c>
      <c r="B120" s="64"/>
      <c r="C120" s="68"/>
      <c r="D120" s="66">
        <f t="shared" si="1"/>
        <v>0</v>
      </c>
    </row>
    <row r="121" spans="1:4" hidden="1" x14ac:dyDescent="0.3">
      <c r="A121" s="62" t="s">
        <v>41</v>
      </c>
      <c r="B121" s="64"/>
      <c r="C121" s="68"/>
      <c r="D121" s="66">
        <f t="shared" si="1"/>
        <v>0</v>
      </c>
    </row>
    <row r="122" spans="1:4" hidden="1" x14ac:dyDescent="0.3">
      <c r="A122" s="62" t="s">
        <v>42</v>
      </c>
      <c r="B122" s="64"/>
      <c r="C122" s="68"/>
      <c r="D122" s="66">
        <f t="shared" si="1"/>
        <v>0</v>
      </c>
    </row>
    <row r="123" spans="1:4" hidden="1" x14ac:dyDescent="0.3">
      <c r="A123" s="62" t="s">
        <v>43</v>
      </c>
      <c r="B123" s="64"/>
      <c r="C123" s="68"/>
      <c r="D123" s="66">
        <f t="shared" si="1"/>
        <v>0</v>
      </c>
    </row>
    <row r="124" spans="1:4" hidden="1" x14ac:dyDescent="0.3">
      <c r="A124" s="62" t="s">
        <v>44</v>
      </c>
      <c r="B124" s="64"/>
      <c r="C124" s="68"/>
      <c r="D124" s="66">
        <f t="shared" si="1"/>
        <v>0</v>
      </c>
    </row>
    <row r="125" spans="1:4" hidden="1" x14ac:dyDescent="0.3">
      <c r="A125" s="62" t="s">
        <v>45</v>
      </c>
      <c r="B125" s="64"/>
      <c r="C125" s="68"/>
      <c r="D125" s="66">
        <f t="shared" si="1"/>
        <v>0</v>
      </c>
    </row>
    <row r="126" spans="1:4" hidden="1" x14ac:dyDescent="0.3">
      <c r="A126" s="62" t="s">
        <v>46</v>
      </c>
      <c r="B126" s="64"/>
      <c r="C126" s="68"/>
      <c r="D126" s="66">
        <f t="shared" si="1"/>
        <v>0</v>
      </c>
    </row>
    <row r="127" spans="1:4" hidden="1" x14ac:dyDescent="0.3">
      <c r="D127" s="66">
        <f t="shared" si="1"/>
        <v>0</v>
      </c>
    </row>
    <row r="128" spans="1:4" x14ac:dyDescent="0.3">
      <c r="D128" s="66">
        <f>SUM(D4:D115)</f>
        <v>153786750</v>
      </c>
    </row>
    <row r="129" spans="1:4" x14ac:dyDescent="0.3">
      <c r="D129" s="66"/>
    </row>
    <row r="130" spans="1:4" x14ac:dyDescent="0.3">
      <c r="A130" t="s">
        <v>0</v>
      </c>
      <c r="B130" t="s">
        <v>544</v>
      </c>
      <c r="C130" t="s">
        <v>128</v>
      </c>
      <c r="D130" s="66" t="s">
        <v>129</v>
      </c>
    </row>
    <row r="131" spans="1:4" hidden="1" x14ac:dyDescent="0.3">
      <c r="A131" t="s">
        <v>21</v>
      </c>
      <c r="D131" s="66">
        <f t="shared" si="1"/>
        <v>0</v>
      </c>
    </row>
    <row r="132" spans="1:4" hidden="1" x14ac:dyDescent="0.3">
      <c r="A132" t="s">
        <v>22</v>
      </c>
      <c r="D132" s="66">
        <f t="shared" si="1"/>
        <v>0</v>
      </c>
    </row>
    <row r="133" spans="1:4" x14ac:dyDescent="0.3">
      <c r="A133" t="s">
        <v>23</v>
      </c>
      <c r="B133">
        <v>1000</v>
      </c>
      <c r="C133">
        <v>6500</v>
      </c>
      <c r="D133" s="66">
        <f t="shared" si="1"/>
        <v>6500000</v>
      </c>
    </row>
    <row r="134" spans="1:4" x14ac:dyDescent="0.3">
      <c r="A134" t="s">
        <v>48</v>
      </c>
      <c r="B134">
        <v>240</v>
      </c>
      <c r="C134">
        <v>12000</v>
      </c>
      <c r="D134" s="66">
        <f t="shared" ref="D134:D173" si="2">B134*C134</f>
        <v>2880000</v>
      </c>
    </row>
    <row r="135" spans="1:4" hidden="1" x14ac:dyDescent="0.3">
      <c r="A135" t="s">
        <v>50</v>
      </c>
      <c r="D135" s="66">
        <f t="shared" si="2"/>
        <v>0</v>
      </c>
    </row>
    <row r="136" spans="1:4" x14ac:dyDescent="0.3">
      <c r="A136" t="s">
        <v>121</v>
      </c>
      <c r="B136">
        <v>2</v>
      </c>
      <c r="C136">
        <v>32000</v>
      </c>
      <c r="D136" s="66">
        <f t="shared" si="2"/>
        <v>64000</v>
      </c>
    </row>
    <row r="137" spans="1:4" hidden="1" x14ac:dyDescent="0.3">
      <c r="A137" t="s">
        <v>51</v>
      </c>
      <c r="D137" s="66">
        <f t="shared" si="2"/>
        <v>0</v>
      </c>
    </row>
    <row r="138" spans="1:4" hidden="1" x14ac:dyDescent="0.3">
      <c r="A138" t="s">
        <v>92</v>
      </c>
      <c r="D138" s="66">
        <f t="shared" si="2"/>
        <v>0</v>
      </c>
    </row>
    <row r="139" spans="1:4" hidden="1" x14ac:dyDescent="0.3">
      <c r="A139" t="s">
        <v>110</v>
      </c>
      <c r="D139" s="66">
        <f t="shared" si="2"/>
        <v>0</v>
      </c>
    </row>
    <row r="140" spans="1:4" hidden="1" x14ac:dyDescent="0.3">
      <c r="A140" t="s">
        <v>17</v>
      </c>
      <c r="D140" s="66">
        <f t="shared" si="2"/>
        <v>0</v>
      </c>
    </row>
    <row r="141" spans="1:4" hidden="1" x14ac:dyDescent="0.3">
      <c r="A141" t="s">
        <v>53</v>
      </c>
      <c r="D141" s="66">
        <f t="shared" si="2"/>
        <v>0</v>
      </c>
    </row>
    <row r="142" spans="1:4" hidden="1" x14ac:dyDescent="0.3">
      <c r="A142" t="s">
        <v>56</v>
      </c>
      <c r="D142" s="66">
        <f t="shared" si="2"/>
        <v>0</v>
      </c>
    </row>
    <row r="143" spans="1:4" hidden="1" x14ac:dyDescent="0.3">
      <c r="A143" t="s">
        <v>60</v>
      </c>
      <c r="D143" s="66">
        <f t="shared" si="2"/>
        <v>0</v>
      </c>
    </row>
    <row r="144" spans="1:4" hidden="1" x14ac:dyDescent="0.3">
      <c r="A144" t="s">
        <v>1</v>
      </c>
      <c r="D144" s="66">
        <f t="shared" si="2"/>
        <v>0</v>
      </c>
    </row>
    <row r="145" spans="1:4" hidden="1" x14ac:dyDescent="0.3">
      <c r="A145" t="s">
        <v>62</v>
      </c>
      <c r="D145" s="66">
        <f t="shared" si="2"/>
        <v>0</v>
      </c>
    </row>
    <row r="146" spans="1:4" hidden="1" x14ac:dyDescent="0.3">
      <c r="A146" t="s">
        <v>27</v>
      </c>
      <c r="D146" s="66">
        <f t="shared" si="2"/>
        <v>0</v>
      </c>
    </row>
    <row r="147" spans="1:4" x14ac:dyDescent="0.3">
      <c r="A147" t="s">
        <v>109</v>
      </c>
      <c r="B147">
        <v>1.5</v>
      </c>
      <c r="C147">
        <v>18000</v>
      </c>
      <c r="D147" s="66">
        <f t="shared" si="2"/>
        <v>27000</v>
      </c>
    </row>
    <row r="148" spans="1:4" hidden="1" x14ac:dyDescent="0.3">
      <c r="A148" t="s">
        <v>28</v>
      </c>
      <c r="D148" s="66">
        <f t="shared" si="2"/>
        <v>0</v>
      </c>
    </row>
    <row r="149" spans="1:4" x14ac:dyDescent="0.3">
      <c r="A149" t="s">
        <v>120</v>
      </c>
      <c r="B149">
        <v>7</v>
      </c>
      <c r="C149">
        <v>25000</v>
      </c>
      <c r="D149" s="66">
        <f t="shared" si="2"/>
        <v>175000</v>
      </c>
    </row>
    <row r="150" spans="1:4" x14ac:dyDescent="0.3">
      <c r="A150" t="s">
        <v>87</v>
      </c>
      <c r="B150">
        <v>82</v>
      </c>
      <c r="C150">
        <v>13000</v>
      </c>
      <c r="D150" s="66">
        <f t="shared" si="2"/>
        <v>1066000</v>
      </c>
    </row>
    <row r="151" spans="1:4" hidden="1" x14ac:dyDescent="0.3">
      <c r="A151" t="s">
        <v>5</v>
      </c>
      <c r="D151" s="66">
        <f t="shared" si="2"/>
        <v>0</v>
      </c>
    </row>
    <row r="152" spans="1:4" hidden="1" x14ac:dyDescent="0.3">
      <c r="A152" t="s">
        <v>6</v>
      </c>
      <c r="D152" s="66">
        <f t="shared" si="2"/>
        <v>0</v>
      </c>
    </row>
    <row r="153" spans="1:4" hidden="1" x14ac:dyDescent="0.3">
      <c r="A153" t="s">
        <v>8</v>
      </c>
      <c r="D153" s="66">
        <f t="shared" si="2"/>
        <v>0</v>
      </c>
    </row>
    <row r="154" spans="1:4" hidden="1" x14ac:dyDescent="0.3">
      <c r="A154" t="s">
        <v>119</v>
      </c>
      <c r="D154" s="66">
        <f t="shared" si="2"/>
        <v>0</v>
      </c>
    </row>
    <row r="155" spans="1:4" hidden="1" x14ac:dyDescent="0.3">
      <c r="A155" t="s">
        <v>12</v>
      </c>
      <c r="D155" s="66">
        <f t="shared" si="2"/>
        <v>0</v>
      </c>
    </row>
    <row r="156" spans="1:4" hidden="1" x14ac:dyDescent="0.3">
      <c r="A156" t="s">
        <v>14</v>
      </c>
      <c r="D156" s="66">
        <f t="shared" si="2"/>
        <v>0</v>
      </c>
    </row>
    <row r="157" spans="1:4" x14ac:dyDescent="0.3">
      <c r="A157" t="s">
        <v>111</v>
      </c>
      <c r="B157">
        <v>10</v>
      </c>
      <c r="C157">
        <v>27000</v>
      </c>
      <c r="D157" s="66">
        <f t="shared" si="2"/>
        <v>270000</v>
      </c>
    </row>
    <row r="158" spans="1:4" hidden="1" x14ac:dyDescent="0.3">
      <c r="A158" t="s">
        <v>15</v>
      </c>
      <c r="D158" s="66">
        <f t="shared" si="2"/>
        <v>0</v>
      </c>
    </row>
    <row r="159" spans="1:4" hidden="1" x14ac:dyDescent="0.3">
      <c r="A159" t="s">
        <v>15</v>
      </c>
      <c r="D159" s="66">
        <f t="shared" si="2"/>
        <v>0</v>
      </c>
    </row>
    <row r="160" spans="1:4" hidden="1" x14ac:dyDescent="0.3">
      <c r="A160" t="s">
        <v>16</v>
      </c>
      <c r="D160" s="66">
        <f t="shared" si="2"/>
        <v>0</v>
      </c>
    </row>
    <row r="161" spans="1:4" x14ac:dyDescent="0.3">
      <c r="A161" t="s">
        <v>68</v>
      </c>
      <c r="B161">
        <v>28</v>
      </c>
      <c r="C161">
        <v>12000</v>
      </c>
      <c r="D161" s="66">
        <f t="shared" si="2"/>
        <v>336000</v>
      </c>
    </row>
    <row r="162" spans="1:4" x14ac:dyDescent="0.3">
      <c r="A162" t="s">
        <v>67</v>
      </c>
      <c r="B162">
        <v>12</v>
      </c>
      <c r="C162">
        <v>11000</v>
      </c>
      <c r="D162" s="66">
        <f t="shared" si="2"/>
        <v>132000</v>
      </c>
    </row>
    <row r="163" spans="1:4" x14ac:dyDescent="0.3">
      <c r="A163" t="s">
        <v>72</v>
      </c>
      <c r="B163">
        <v>395</v>
      </c>
      <c r="C163">
        <v>11000</v>
      </c>
      <c r="D163" s="66">
        <f t="shared" si="2"/>
        <v>4345000</v>
      </c>
    </row>
    <row r="164" spans="1:4" hidden="1" x14ac:dyDescent="0.3">
      <c r="A164" t="s">
        <v>29</v>
      </c>
      <c r="D164" s="66">
        <f t="shared" si="2"/>
        <v>0</v>
      </c>
    </row>
    <row r="165" spans="1:4" hidden="1" x14ac:dyDescent="0.3">
      <c r="A165" t="s">
        <v>123</v>
      </c>
      <c r="D165" s="66">
        <f t="shared" si="2"/>
        <v>0</v>
      </c>
    </row>
    <row r="166" spans="1:4" x14ac:dyDescent="0.3">
      <c r="A166" t="s">
        <v>122</v>
      </c>
      <c r="B166">
        <v>16</v>
      </c>
      <c r="C166">
        <v>50000</v>
      </c>
      <c r="D166" s="66">
        <f t="shared" si="2"/>
        <v>800000</v>
      </c>
    </row>
    <row r="167" spans="1:4" hidden="1" x14ac:dyDescent="0.3">
      <c r="A167" t="s">
        <v>76</v>
      </c>
      <c r="D167" s="66">
        <f t="shared" si="2"/>
        <v>0</v>
      </c>
    </row>
    <row r="168" spans="1:4" hidden="1" x14ac:dyDescent="0.3">
      <c r="A168" t="s">
        <v>78</v>
      </c>
      <c r="D168" s="66">
        <f t="shared" si="2"/>
        <v>0</v>
      </c>
    </row>
    <row r="169" spans="1:4" hidden="1" x14ac:dyDescent="0.3">
      <c r="A169" t="s">
        <v>79</v>
      </c>
      <c r="D169" s="66">
        <f t="shared" si="2"/>
        <v>0</v>
      </c>
    </row>
    <row r="170" spans="1:4" hidden="1" x14ac:dyDescent="0.3">
      <c r="A170" t="s">
        <v>82</v>
      </c>
      <c r="D170" s="66">
        <f t="shared" si="2"/>
        <v>0</v>
      </c>
    </row>
    <row r="171" spans="1:4" hidden="1" x14ac:dyDescent="0.3">
      <c r="A171" t="s">
        <v>39</v>
      </c>
      <c r="D171" s="66">
        <f t="shared" si="2"/>
        <v>0</v>
      </c>
    </row>
    <row r="172" spans="1:4" hidden="1" x14ac:dyDescent="0.3">
      <c r="A172" t="s">
        <v>41</v>
      </c>
      <c r="D172" s="66">
        <f t="shared" si="2"/>
        <v>0</v>
      </c>
    </row>
    <row r="173" spans="1:4" hidden="1" x14ac:dyDescent="0.3">
      <c r="A173" t="s">
        <v>46</v>
      </c>
      <c r="D173" s="66">
        <f t="shared" si="2"/>
        <v>0</v>
      </c>
    </row>
    <row r="174" spans="1:4" x14ac:dyDescent="0.3">
      <c r="D174" s="83">
        <f>SUM(D133:D166)</f>
        <v>16595000</v>
      </c>
    </row>
  </sheetData>
  <autoFilter ref="A2:D173" xr:uid="{00000000-0009-0000-0000-00000D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198"/>
  <sheetViews>
    <sheetView workbookViewId="0">
      <selection activeCell="J165" sqref="J165"/>
    </sheetView>
  </sheetViews>
  <sheetFormatPr defaultRowHeight="14.4" x14ac:dyDescent="0.3"/>
  <cols>
    <col min="1" max="1" width="35.6640625" customWidth="1"/>
    <col min="4" max="4" width="17.6640625" customWidth="1"/>
  </cols>
  <sheetData>
    <row r="1" spans="1:4" x14ac:dyDescent="0.3">
      <c r="A1" t="s">
        <v>589</v>
      </c>
    </row>
    <row r="2" spans="1:4" x14ac:dyDescent="0.3">
      <c r="A2" t="s">
        <v>0</v>
      </c>
      <c r="B2" t="s">
        <v>544</v>
      </c>
      <c r="C2" t="s">
        <v>590</v>
      </c>
      <c r="D2" t="s">
        <v>129</v>
      </c>
    </row>
    <row r="3" spans="1:4" x14ac:dyDescent="0.3">
      <c r="A3" t="s">
        <v>1</v>
      </c>
      <c r="B3">
        <v>30</v>
      </c>
      <c r="C3">
        <v>16000</v>
      </c>
      <c r="D3">
        <f>B3*C3</f>
        <v>480000</v>
      </c>
    </row>
    <row r="4" spans="1:4" hidden="1" x14ac:dyDescent="0.3">
      <c r="A4" t="s">
        <v>1</v>
      </c>
      <c r="D4">
        <f t="shared" ref="D4:D67" si="0">B4*C4</f>
        <v>0</v>
      </c>
    </row>
    <row r="5" spans="1:4" hidden="1" x14ac:dyDescent="0.3">
      <c r="A5" t="s">
        <v>2</v>
      </c>
      <c r="B5">
        <v>0</v>
      </c>
      <c r="D5">
        <f t="shared" si="0"/>
        <v>0</v>
      </c>
    </row>
    <row r="6" spans="1:4" hidden="1" x14ac:dyDescent="0.3">
      <c r="A6" t="s">
        <v>2</v>
      </c>
      <c r="B6">
        <v>0</v>
      </c>
      <c r="D6">
        <f t="shared" si="0"/>
        <v>0</v>
      </c>
    </row>
    <row r="7" spans="1:4" x14ac:dyDescent="0.3">
      <c r="A7" t="s">
        <v>3</v>
      </c>
      <c r="B7">
        <v>5</v>
      </c>
      <c r="C7">
        <v>25000</v>
      </c>
      <c r="D7">
        <f t="shared" si="0"/>
        <v>125000</v>
      </c>
    </row>
    <row r="8" spans="1:4" hidden="1" x14ac:dyDescent="0.3">
      <c r="A8" t="s">
        <v>4</v>
      </c>
      <c r="B8">
        <v>0</v>
      </c>
      <c r="D8">
        <f t="shared" si="0"/>
        <v>0</v>
      </c>
    </row>
    <row r="9" spans="1:4" x14ac:dyDescent="0.3">
      <c r="A9" t="s">
        <v>5</v>
      </c>
      <c r="B9">
        <v>10</v>
      </c>
      <c r="C9">
        <v>6000</v>
      </c>
      <c r="D9">
        <f t="shared" si="0"/>
        <v>60000</v>
      </c>
    </row>
    <row r="10" spans="1:4" x14ac:dyDescent="0.3">
      <c r="A10" t="s">
        <v>6</v>
      </c>
      <c r="B10">
        <v>120</v>
      </c>
      <c r="C10">
        <v>15000</v>
      </c>
      <c r="D10">
        <f t="shared" si="0"/>
        <v>1800000</v>
      </c>
    </row>
    <row r="11" spans="1:4" hidden="1" x14ac:dyDescent="0.3">
      <c r="A11" t="s">
        <v>6</v>
      </c>
      <c r="D11">
        <f t="shared" si="0"/>
        <v>0</v>
      </c>
    </row>
    <row r="12" spans="1:4" x14ac:dyDescent="0.3">
      <c r="A12" t="s">
        <v>7</v>
      </c>
      <c r="B12">
        <v>5</v>
      </c>
      <c r="C12">
        <v>44000</v>
      </c>
      <c r="D12">
        <f t="shared" si="0"/>
        <v>220000</v>
      </c>
    </row>
    <row r="13" spans="1:4" x14ac:dyDescent="0.3">
      <c r="A13" t="s">
        <v>8</v>
      </c>
      <c r="B13">
        <v>240</v>
      </c>
      <c r="C13">
        <v>24000</v>
      </c>
      <c r="D13">
        <f t="shared" si="0"/>
        <v>5760000</v>
      </c>
    </row>
    <row r="14" spans="1:4" hidden="1" x14ac:dyDescent="0.3">
      <c r="A14" t="s">
        <v>9</v>
      </c>
      <c r="B14">
        <v>0</v>
      </c>
      <c r="D14">
        <f t="shared" si="0"/>
        <v>0</v>
      </c>
    </row>
    <row r="15" spans="1:4" hidden="1" x14ac:dyDescent="0.3">
      <c r="A15" t="s">
        <v>9</v>
      </c>
      <c r="B15">
        <v>0</v>
      </c>
      <c r="D15">
        <f t="shared" si="0"/>
        <v>0</v>
      </c>
    </row>
    <row r="16" spans="1:4" hidden="1" x14ac:dyDescent="0.3">
      <c r="A16" t="s">
        <v>10</v>
      </c>
      <c r="B16">
        <v>0</v>
      </c>
      <c r="D16">
        <f t="shared" si="0"/>
        <v>0</v>
      </c>
    </row>
    <row r="17" spans="1:4" x14ac:dyDescent="0.3">
      <c r="A17" t="s">
        <v>11</v>
      </c>
      <c r="B17">
        <v>980</v>
      </c>
      <c r="C17">
        <v>26000</v>
      </c>
      <c r="D17">
        <f t="shared" si="0"/>
        <v>25480000</v>
      </c>
    </row>
    <row r="18" spans="1:4" hidden="1" x14ac:dyDescent="0.3">
      <c r="A18" t="s">
        <v>11</v>
      </c>
      <c r="D18">
        <f t="shared" si="0"/>
        <v>0</v>
      </c>
    </row>
    <row r="19" spans="1:4" x14ac:dyDescent="0.3">
      <c r="A19" t="s">
        <v>12</v>
      </c>
      <c r="B19">
        <v>1340</v>
      </c>
      <c r="C19">
        <v>27000</v>
      </c>
      <c r="D19">
        <f t="shared" si="0"/>
        <v>36180000</v>
      </c>
    </row>
    <row r="20" spans="1:4" hidden="1" x14ac:dyDescent="0.3">
      <c r="A20" t="s">
        <v>12</v>
      </c>
      <c r="D20">
        <f t="shared" si="0"/>
        <v>0</v>
      </c>
    </row>
    <row r="21" spans="1:4" hidden="1" x14ac:dyDescent="0.3">
      <c r="A21" t="s">
        <v>14</v>
      </c>
      <c r="B21">
        <v>0</v>
      </c>
      <c r="D21">
        <f t="shared" si="0"/>
        <v>0</v>
      </c>
    </row>
    <row r="22" spans="1:4" x14ac:dyDescent="0.3">
      <c r="A22" t="s">
        <v>15</v>
      </c>
      <c r="B22">
        <v>220</v>
      </c>
      <c r="C22">
        <v>16000</v>
      </c>
      <c r="D22">
        <f t="shared" si="0"/>
        <v>3520000</v>
      </c>
    </row>
    <row r="23" spans="1:4" x14ac:dyDescent="0.3">
      <c r="A23" t="s">
        <v>15</v>
      </c>
      <c r="B23">
        <v>30</v>
      </c>
      <c r="C23">
        <v>16000</v>
      </c>
      <c r="D23">
        <f t="shared" si="0"/>
        <v>480000</v>
      </c>
    </row>
    <row r="24" spans="1:4" x14ac:dyDescent="0.3">
      <c r="A24" t="s">
        <v>16</v>
      </c>
      <c r="B24">
        <v>103</v>
      </c>
      <c r="C24">
        <v>17000</v>
      </c>
      <c r="D24">
        <f t="shared" si="0"/>
        <v>1751000</v>
      </c>
    </row>
    <row r="25" spans="1:4" hidden="1" x14ac:dyDescent="0.3">
      <c r="A25" t="s">
        <v>18</v>
      </c>
      <c r="B25">
        <v>0</v>
      </c>
      <c r="D25">
        <f t="shared" si="0"/>
        <v>0</v>
      </c>
    </row>
    <row r="26" spans="1:4" hidden="1" x14ac:dyDescent="0.3">
      <c r="A26" t="s">
        <v>19</v>
      </c>
      <c r="B26">
        <v>0</v>
      </c>
      <c r="D26">
        <f t="shared" si="0"/>
        <v>0</v>
      </c>
    </row>
    <row r="27" spans="1:4" hidden="1" x14ac:dyDescent="0.3">
      <c r="A27" t="s">
        <v>19</v>
      </c>
      <c r="B27">
        <v>0</v>
      </c>
      <c r="D27">
        <f t="shared" si="0"/>
        <v>0</v>
      </c>
    </row>
    <row r="28" spans="1:4" hidden="1" x14ac:dyDescent="0.3">
      <c r="A28" t="s">
        <v>20</v>
      </c>
      <c r="B28">
        <v>0</v>
      </c>
      <c r="D28">
        <f t="shared" si="0"/>
        <v>0</v>
      </c>
    </row>
    <row r="29" spans="1:4" hidden="1" x14ac:dyDescent="0.3">
      <c r="A29" t="s">
        <v>21</v>
      </c>
      <c r="B29">
        <v>0</v>
      </c>
      <c r="D29">
        <f t="shared" si="0"/>
        <v>0</v>
      </c>
    </row>
    <row r="30" spans="1:4" x14ac:dyDescent="0.3">
      <c r="A30" t="s">
        <v>22</v>
      </c>
      <c r="B30">
        <v>30</v>
      </c>
      <c r="C30">
        <v>9000</v>
      </c>
      <c r="D30">
        <f t="shared" si="0"/>
        <v>270000</v>
      </c>
    </row>
    <row r="31" spans="1:4" x14ac:dyDescent="0.3">
      <c r="A31" t="s">
        <v>23</v>
      </c>
      <c r="B31">
        <v>1142</v>
      </c>
      <c r="C31">
        <v>6500</v>
      </c>
      <c r="D31">
        <f t="shared" si="0"/>
        <v>7423000</v>
      </c>
    </row>
    <row r="32" spans="1:4" hidden="1" x14ac:dyDescent="0.3">
      <c r="A32" t="s">
        <v>24</v>
      </c>
      <c r="D32">
        <f t="shared" si="0"/>
        <v>0</v>
      </c>
    </row>
    <row r="33" spans="1:4" x14ac:dyDescent="0.3">
      <c r="A33" t="s">
        <v>24</v>
      </c>
      <c r="B33">
        <v>10</v>
      </c>
      <c r="C33">
        <v>12000</v>
      </c>
      <c r="D33">
        <f t="shared" si="0"/>
        <v>120000</v>
      </c>
    </row>
    <row r="34" spans="1:4" hidden="1" x14ac:dyDescent="0.3">
      <c r="A34" t="s">
        <v>557</v>
      </c>
      <c r="B34">
        <v>0</v>
      </c>
      <c r="D34">
        <f t="shared" si="0"/>
        <v>0</v>
      </c>
    </row>
    <row r="35" spans="1:4" hidden="1" x14ac:dyDescent="0.3">
      <c r="A35" t="s">
        <v>25</v>
      </c>
      <c r="B35">
        <v>0</v>
      </c>
      <c r="D35">
        <f t="shared" si="0"/>
        <v>0</v>
      </c>
    </row>
    <row r="36" spans="1:4" hidden="1" x14ac:dyDescent="0.3">
      <c r="A36" t="s">
        <v>25</v>
      </c>
      <c r="B36">
        <v>0</v>
      </c>
      <c r="D36">
        <f t="shared" si="0"/>
        <v>0</v>
      </c>
    </row>
    <row r="37" spans="1:4" hidden="1" x14ac:dyDescent="0.3">
      <c r="A37" t="s">
        <v>26</v>
      </c>
      <c r="D37">
        <f t="shared" si="0"/>
        <v>0</v>
      </c>
    </row>
    <row r="38" spans="1:4" x14ac:dyDescent="0.3">
      <c r="A38" t="s">
        <v>26</v>
      </c>
      <c r="B38">
        <v>10</v>
      </c>
      <c r="C38">
        <v>7000</v>
      </c>
      <c r="D38">
        <f t="shared" si="0"/>
        <v>70000</v>
      </c>
    </row>
    <row r="39" spans="1:4" hidden="1" x14ac:dyDescent="0.3">
      <c r="A39" t="s">
        <v>26</v>
      </c>
      <c r="D39">
        <f t="shared" si="0"/>
        <v>0</v>
      </c>
    </row>
    <row r="40" spans="1:4" x14ac:dyDescent="0.3">
      <c r="A40" t="s">
        <v>27</v>
      </c>
      <c r="B40">
        <v>1770</v>
      </c>
      <c r="C40">
        <v>12000</v>
      </c>
      <c r="D40">
        <f t="shared" si="0"/>
        <v>21240000</v>
      </c>
    </row>
    <row r="41" spans="1:4" hidden="1" x14ac:dyDescent="0.3">
      <c r="A41" t="s">
        <v>28</v>
      </c>
      <c r="D41">
        <f t="shared" si="0"/>
        <v>0</v>
      </c>
    </row>
    <row r="42" spans="1:4" x14ac:dyDescent="0.3">
      <c r="A42" t="s">
        <v>28</v>
      </c>
      <c r="B42">
        <v>25</v>
      </c>
      <c r="C42">
        <v>15000</v>
      </c>
      <c r="D42">
        <f t="shared" si="0"/>
        <v>375000</v>
      </c>
    </row>
    <row r="43" spans="1:4" hidden="1" x14ac:dyDescent="0.3">
      <c r="A43" t="s">
        <v>28</v>
      </c>
      <c r="D43">
        <f t="shared" si="0"/>
        <v>0</v>
      </c>
    </row>
    <row r="44" spans="1:4" hidden="1" x14ac:dyDescent="0.3">
      <c r="A44" t="s">
        <v>29</v>
      </c>
      <c r="D44">
        <f t="shared" si="0"/>
        <v>0</v>
      </c>
    </row>
    <row r="45" spans="1:4" x14ac:dyDescent="0.3">
      <c r="A45" t="s">
        <v>29</v>
      </c>
      <c r="B45">
        <v>15</v>
      </c>
      <c r="C45">
        <v>35000</v>
      </c>
      <c r="D45">
        <f t="shared" si="0"/>
        <v>525000</v>
      </c>
    </row>
    <row r="46" spans="1:4" x14ac:dyDescent="0.3">
      <c r="A46" t="s">
        <v>30</v>
      </c>
      <c r="B46">
        <v>42</v>
      </c>
      <c r="C46">
        <v>3750</v>
      </c>
      <c r="D46">
        <f t="shared" si="0"/>
        <v>157500</v>
      </c>
    </row>
    <row r="47" spans="1:4" x14ac:dyDescent="0.3">
      <c r="A47" t="s">
        <v>31</v>
      </c>
      <c r="B47">
        <v>1</v>
      </c>
      <c r="C47">
        <v>14000</v>
      </c>
      <c r="D47">
        <f t="shared" si="0"/>
        <v>14000</v>
      </c>
    </row>
    <row r="48" spans="1:4" hidden="1" x14ac:dyDescent="0.3">
      <c r="A48" t="s">
        <v>32</v>
      </c>
      <c r="B48">
        <v>0</v>
      </c>
      <c r="D48">
        <f t="shared" si="0"/>
        <v>0</v>
      </c>
    </row>
    <row r="49" spans="1:4" hidden="1" x14ac:dyDescent="0.3">
      <c r="A49" t="s">
        <v>33</v>
      </c>
      <c r="B49">
        <v>0</v>
      </c>
      <c r="D49">
        <f t="shared" si="0"/>
        <v>0</v>
      </c>
    </row>
    <row r="50" spans="1:4" hidden="1" x14ac:dyDescent="0.3">
      <c r="A50" t="s">
        <v>34</v>
      </c>
      <c r="B50">
        <v>0</v>
      </c>
      <c r="D50">
        <f t="shared" si="0"/>
        <v>0</v>
      </c>
    </row>
    <row r="51" spans="1:4" hidden="1" x14ac:dyDescent="0.3">
      <c r="A51" t="s">
        <v>35</v>
      </c>
      <c r="B51">
        <v>0</v>
      </c>
      <c r="D51">
        <f t="shared" si="0"/>
        <v>0</v>
      </c>
    </row>
    <row r="52" spans="1:4" hidden="1" x14ac:dyDescent="0.3">
      <c r="A52" t="s">
        <v>36</v>
      </c>
      <c r="B52">
        <v>0</v>
      </c>
      <c r="D52">
        <f t="shared" si="0"/>
        <v>0</v>
      </c>
    </row>
    <row r="53" spans="1:4" hidden="1" x14ac:dyDescent="0.3">
      <c r="A53" t="s">
        <v>37</v>
      </c>
      <c r="B53">
        <v>0</v>
      </c>
      <c r="D53">
        <f t="shared" si="0"/>
        <v>0</v>
      </c>
    </row>
    <row r="54" spans="1:4" hidden="1" x14ac:dyDescent="0.3">
      <c r="A54" t="s">
        <v>37</v>
      </c>
      <c r="B54">
        <v>0</v>
      </c>
      <c r="D54">
        <f t="shared" si="0"/>
        <v>0</v>
      </c>
    </row>
    <row r="55" spans="1:4" hidden="1" x14ac:dyDescent="0.3">
      <c r="A55" t="s">
        <v>38</v>
      </c>
      <c r="B55">
        <v>0</v>
      </c>
      <c r="D55">
        <f t="shared" si="0"/>
        <v>0</v>
      </c>
    </row>
    <row r="56" spans="1:4" hidden="1" x14ac:dyDescent="0.3">
      <c r="A56" t="s">
        <v>39</v>
      </c>
      <c r="B56">
        <v>0</v>
      </c>
      <c r="D56">
        <f t="shared" si="0"/>
        <v>0</v>
      </c>
    </row>
    <row r="57" spans="1:4" hidden="1" x14ac:dyDescent="0.3">
      <c r="A57" t="s">
        <v>40</v>
      </c>
      <c r="B57">
        <v>0</v>
      </c>
      <c r="D57">
        <f t="shared" si="0"/>
        <v>0</v>
      </c>
    </row>
    <row r="58" spans="1:4" hidden="1" x14ac:dyDescent="0.3">
      <c r="A58" t="s">
        <v>41</v>
      </c>
      <c r="B58">
        <v>0</v>
      </c>
      <c r="D58">
        <f t="shared" si="0"/>
        <v>0</v>
      </c>
    </row>
    <row r="59" spans="1:4" hidden="1" x14ac:dyDescent="0.3">
      <c r="A59" t="s">
        <v>42</v>
      </c>
      <c r="B59">
        <v>0</v>
      </c>
      <c r="D59">
        <f t="shared" si="0"/>
        <v>0</v>
      </c>
    </row>
    <row r="60" spans="1:4" hidden="1" x14ac:dyDescent="0.3">
      <c r="A60" t="s">
        <v>43</v>
      </c>
      <c r="B60">
        <v>0</v>
      </c>
      <c r="D60">
        <f t="shared" si="0"/>
        <v>0</v>
      </c>
    </row>
    <row r="61" spans="1:4" hidden="1" x14ac:dyDescent="0.3">
      <c r="A61" t="s">
        <v>43</v>
      </c>
      <c r="B61">
        <v>0</v>
      </c>
      <c r="D61">
        <f t="shared" si="0"/>
        <v>0</v>
      </c>
    </row>
    <row r="62" spans="1:4" hidden="1" x14ac:dyDescent="0.3">
      <c r="A62" t="s">
        <v>44</v>
      </c>
      <c r="B62">
        <v>0</v>
      </c>
      <c r="D62">
        <f t="shared" si="0"/>
        <v>0</v>
      </c>
    </row>
    <row r="63" spans="1:4" hidden="1" x14ac:dyDescent="0.3">
      <c r="A63" t="s">
        <v>45</v>
      </c>
      <c r="B63">
        <v>0</v>
      </c>
      <c r="D63">
        <f t="shared" si="0"/>
        <v>0</v>
      </c>
    </row>
    <row r="64" spans="1:4" hidden="1" x14ac:dyDescent="0.3">
      <c r="A64" t="s">
        <v>46</v>
      </c>
      <c r="B64">
        <v>0</v>
      </c>
      <c r="D64">
        <f t="shared" si="0"/>
        <v>0</v>
      </c>
    </row>
    <row r="65" spans="1:4" hidden="1" x14ac:dyDescent="0.3">
      <c r="A65" t="s">
        <v>47</v>
      </c>
      <c r="B65">
        <v>0</v>
      </c>
      <c r="D65">
        <f t="shared" si="0"/>
        <v>0</v>
      </c>
    </row>
    <row r="66" spans="1:4" hidden="1" x14ac:dyDescent="0.3">
      <c r="A66" t="s">
        <v>48</v>
      </c>
      <c r="B66">
        <v>0</v>
      </c>
      <c r="D66">
        <f t="shared" si="0"/>
        <v>0</v>
      </c>
    </row>
    <row r="67" spans="1:4" x14ac:dyDescent="0.3">
      <c r="A67" t="s">
        <v>49</v>
      </c>
      <c r="B67">
        <v>20</v>
      </c>
      <c r="C67">
        <v>11000</v>
      </c>
      <c r="D67">
        <f t="shared" si="0"/>
        <v>220000</v>
      </c>
    </row>
    <row r="68" spans="1:4" x14ac:dyDescent="0.3">
      <c r="A68" t="s">
        <v>50</v>
      </c>
      <c r="B68">
        <v>820</v>
      </c>
      <c r="C68">
        <v>7000</v>
      </c>
      <c r="D68">
        <f t="shared" ref="D68:D131" si="1">B68*C68</f>
        <v>5740000</v>
      </c>
    </row>
    <row r="69" spans="1:4" x14ac:dyDescent="0.3">
      <c r="A69" t="s">
        <v>51</v>
      </c>
      <c r="B69">
        <v>65</v>
      </c>
      <c r="C69">
        <v>22000</v>
      </c>
      <c r="D69">
        <f t="shared" si="1"/>
        <v>1430000</v>
      </c>
    </row>
    <row r="70" spans="1:4" hidden="1" x14ac:dyDescent="0.3">
      <c r="A70" t="s">
        <v>51</v>
      </c>
      <c r="D70">
        <f t="shared" si="1"/>
        <v>0</v>
      </c>
    </row>
    <row r="71" spans="1:4" x14ac:dyDescent="0.3">
      <c r="A71" t="s">
        <v>52</v>
      </c>
      <c r="B71">
        <v>44</v>
      </c>
      <c r="C71">
        <v>10000</v>
      </c>
      <c r="D71">
        <f t="shared" si="1"/>
        <v>440000</v>
      </c>
    </row>
    <row r="72" spans="1:4" hidden="1" x14ac:dyDescent="0.3">
      <c r="A72" t="s">
        <v>52</v>
      </c>
      <c r="D72">
        <f t="shared" si="1"/>
        <v>0</v>
      </c>
    </row>
    <row r="73" spans="1:4" x14ac:dyDescent="0.3">
      <c r="A73" t="s">
        <v>53</v>
      </c>
      <c r="B73">
        <v>345</v>
      </c>
      <c r="C73">
        <v>22000</v>
      </c>
      <c r="D73">
        <f t="shared" si="1"/>
        <v>7590000</v>
      </c>
    </row>
    <row r="74" spans="1:4" hidden="1" x14ac:dyDescent="0.3">
      <c r="A74" t="s">
        <v>53</v>
      </c>
      <c r="D74">
        <f t="shared" si="1"/>
        <v>0</v>
      </c>
    </row>
    <row r="75" spans="1:4" hidden="1" x14ac:dyDescent="0.3">
      <c r="A75" t="s">
        <v>54</v>
      </c>
      <c r="B75">
        <v>0</v>
      </c>
      <c r="D75">
        <f t="shared" si="1"/>
        <v>0</v>
      </c>
    </row>
    <row r="76" spans="1:4" hidden="1" x14ac:dyDescent="0.3">
      <c r="A76" t="s">
        <v>55</v>
      </c>
      <c r="B76">
        <v>0</v>
      </c>
      <c r="D76">
        <f t="shared" si="1"/>
        <v>0</v>
      </c>
    </row>
    <row r="77" spans="1:4" x14ac:dyDescent="0.3">
      <c r="A77" t="s">
        <v>56</v>
      </c>
      <c r="B77">
        <v>113</v>
      </c>
      <c r="C77">
        <v>10500</v>
      </c>
      <c r="D77">
        <f t="shared" si="1"/>
        <v>1186500</v>
      </c>
    </row>
    <row r="78" spans="1:4" hidden="1" x14ac:dyDescent="0.3">
      <c r="A78" t="s">
        <v>57</v>
      </c>
      <c r="B78">
        <v>0</v>
      </c>
      <c r="D78">
        <f t="shared" si="1"/>
        <v>0</v>
      </c>
    </row>
    <row r="79" spans="1:4" hidden="1" x14ac:dyDescent="0.3">
      <c r="A79" t="s">
        <v>58</v>
      </c>
      <c r="B79">
        <v>0</v>
      </c>
      <c r="D79">
        <f t="shared" si="1"/>
        <v>0</v>
      </c>
    </row>
    <row r="80" spans="1:4" x14ac:dyDescent="0.3">
      <c r="A80" t="s">
        <v>59</v>
      </c>
      <c r="B80">
        <v>10</v>
      </c>
      <c r="C80">
        <v>8000</v>
      </c>
      <c r="D80">
        <f t="shared" si="1"/>
        <v>80000</v>
      </c>
    </row>
    <row r="81" spans="1:4" x14ac:dyDescent="0.3">
      <c r="A81" t="s">
        <v>60</v>
      </c>
      <c r="B81">
        <v>490</v>
      </c>
      <c r="C81">
        <v>17000</v>
      </c>
      <c r="D81">
        <f t="shared" si="1"/>
        <v>8330000</v>
      </c>
    </row>
    <row r="82" spans="1:4" hidden="1" x14ac:dyDescent="0.3">
      <c r="A82" t="s">
        <v>60</v>
      </c>
      <c r="D82">
        <f t="shared" si="1"/>
        <v>0</v>
      </c>
    </row>
    <row r="83" spans="1:4" hidden="1" x14ac:dyDescent="0.3">
      <c r="A83" t="s">
        <v>60</v>
      </c>
      <c r="D83">
        <f t="shared" si="1"/>
        <v>0</v>
      </c>
    </row>
    <row r="84" spans="1:4" x14ac:dyDescent="0.3">
      <c r="A84" t="s">
        <v>61</v>
      </c>
      <c r="B84">
        <v>10</v>
      </c>
      <c r="C84">
        <v>17000</v>
      </c>
      <c r="D84">
        <f t="shared" si="1"/>
        <v>170000</v>
      </c>
    </row>
    <row r="85" spans="1:4" hidden="1" x14ac:dyDescent="0.3">
      <c r="A85" t="s">
        <v>62</v>
      </c>
      <c r="B85">
        <v>0</v>
      </c>
      <c r="D85">
        <f t="shared" si="1"/>
        <v>0</v>
      </c>
    </row>
    <row r="86" spans="1:4" hidden="1" x14ac:dyDescent="0.3">
      <c r="A86" t="s">
        <v>63</v>
      </c>
      <c r="B86">
        <v>0</v>
      </c>
      <c r="D86">
        <f t="shared" si="1"/>
        <v>0</v>
      </c>
    </row>
    <row r="87" spans="1:4" hidden="1" x14ac:dyDescent="0.3">
      <c r="A87" t="s">
        <v>64</v>
      </c>
      <c r="B87">
        <v>0</v>
      </c>
      <c r="D87">
        <f t="shared" si="1"/>
        <v>0</v>
      </c>
    </row>
    <row r="88" spans="1:4" hidden="1" x14ac:dyDescent="0.3">
      <c r="A88" t="s">
        <v>65</v>
      </c>
      <c r="B88">
        <v>0</v>
      </c>
      <c r="D88">
        <f t="shared" si="1"/>
        <v>0</v>
      </c>
    </row>
    <row r="89" spans="1:4" hidden="1" x14ac:dyDescent="0.3">
      <c r="A89" t="s">
        <v>66</v>
      </c>
      <c r="B89">
        <v>0</v>
      </c>
      <c r="D89">
        <f t="shared" si="1"/>
        <v>0</v>
      </c>
    </row>
    <row r="90" spans="1:4" hidden="1" x14ac:dyDescent="0.3">
      <c r="A90" t="s">
        <v>67</v>
      </c>
      <c r="B90">
        <v>0</v>
      </c>
      <c r="D90">
        <f t="shared" si="1"/>
        <v>0</v>
      </c>
    </row>
    <row r="91" spans="1:4" hidden="1" x14ac:dyDescent="0.3">
      <c r="A91" t="s">
        <v>68</v>
      </c>
      <c r="B91">
        <v>0</v>
      </c>
      <c r="D91">
        <f t="shared" si="1"/>
        <v>0</v>
      </c>
    </row>
    <row r="92" spans="1:4" hidden="1" x14ac:dyDescent="0.3">
      <c r="A92" t="s">
        <v>69</v>
      </c>
      <c r="B92">
        <v>0</v>
      </c>
      <c r="D92">
        <f t="shared" si="1"/>
        <v>0</v>
      </c>
    </row>
    <row r="93" spans="1:4" hidden="1" x14ac:dyDescent="0.3">
      <c r="A93" t="s">
        <v>70</v>
      </c>
      <c r="B93">
        <v>0</v>
      </c>
      <c r="D93">
        <f t="shared" si="1"/>
        <v>0</v>
      </c>
    </row>
    <row r="94" spans="1:4" x14ac:dyDescent="0.3">
      <c r="A94" t="s">
        <v>71</v>
      </c>
      <c r="B94">
        <v>60</v>
      </c>
      <c r="C94">
        <v>20000</v>
      </c>
      <c r="D94">
        <f t="shared" si="1"/>
        <v>1200000</v>
      </c>
    </row>
    <row r="95" spans="1:4" x14ac:dyDescent="0.3">
      <c r="A95" t="s">
        <v>72</v>
      </c>
      <c r="B95">
        <v>395</v>
      </c>
      <c r="C95">
        <v>10000</v>
      </c>
      <c r="D95">
        <f t="shared" si="1"/>
        <v>3950000</v>
      </c>
    </row>
    <row r="96" spans="1:4" x14ac:dyDescent="0.3">
      <c r="A96" t="s">
        <v>73</v>
      </c>
      <c r="B96">
        <v>2</v>
      </c>
      <c r="C96">
        <v>14000</v>
      </c>
      <c r="D96">
        <f t="shared" si="1"/>
        <v>28000</v>
      </c>
    </row>
    <row r="97" spans="1:4" hidden="1" x14ac:dyDescent="0.3">
      <c r="A97" t="s">
        <v>73</v>
      </c>
      <c r="D97">
        <f t="shared" si="1"/>
        <v>0</v>
      </c>
    </row>
    <row r="98" spans="1:4" hidden="1" x14ac:dyDescent="0.3">
      <c r="A98" t="s">
        <v>74</v>
      </c>
      <c r="B98">
        <v>0</v>
      </c>
      <c r="D98">
        <f t="shared" si="1"/>
        <v>0</v>
      </c>
    </row>
    <row r="99" spans="1:4" hidden="1" x14ac:dyDescent="0.3">
      <c r="A99" t="s">
        <v>75</v>
      </c>
      <c r="B99">
        <v>0</v>
      </c>
      <c r="D99">
        <f t="shared" si="1"/>
        <v>0</v>
      </c>
    </row>
    <row r="100" spans="1:4" hidden="1" x14ac:dyDescent="0.3">
      <c r="A100" t="s">
        <v>75</v>
      </c>
      <c r="B100">
        <v>0</v>
      </c>
      <c r="D100">
        <f t="shared" si="1"/>
        <v>0</v>
      </c>
    </row>
    <row r="101" spans="1:4" x14ac:dyDescent="0.3">
      <c r="A101" t="s">
        <v>76</v>
      </c>
      <c r="B101">
        <v>150</v>
      </c>
      <c r="C101">
        <v>30000</v>
      </c>
      <c r="D101">
        <f t="shared" si="1"/>
        <v>4500000</v>
      </c>
    </row>
    <row r="102" spans="1:4" hidden="1" x14ac:dyDescent="0.3">
      <c r="A102" t="s">
        <v>76</v>
      </c>
      <c r="D102">
        <f t="shared" si="1"/>
        <v>0</v>
      </c>
    </row>
    <row r="103" spans="1:4" x14ac:dyDescent="0.3">
      <c r="A103" t="s">
        <v>77</v>
      </c>
      <c r="B103">
        <v>26.666666666666668</v>
      </c>
      <c r="C103">
        <v>54000</v>
      </c>
      <c r="D103">
        <f t="shared" si="1"/>
        <v>1440000</v>
      </c>
    </row>
    <row r="104" spans="1:4" x14ac:dyDescent="0.3">
      <c r="A104" t="s">
        <v>78</v>
      </c>
      <c r="B104">
        <v>131</v>
      </c>
      <c r="C104">
        <v>20000</v>
      </c>
      <c r="D104">
        <f t="shared" si="1"/>
        <v>2620000</v>
      </c>
    </row>
    <row r="105" spans="1:4" hidden="1" x14ac:dyDescent="0.3">
      <c r="A105" t="s">
        <v>78</v>
      </c>
      <c r="D105">
        <f t="shared" si="1"/>
        <v>0</v>
      </c>
    </row>
    <row r="106" spans="1:4" x14ac:dyDescent="0.3">
      <c r="A106" t="s">
        <v>79</v>
      </c>
      <c r="B106">
        <v>80</v>
      </c>
      <c r="C106">
        <v>20000</v>
      </c>
      <c r="D106">
        <f t="shared" si="1"/>
        <v>1600000</v>
      </c>
    </row>
    <row r="107" spans="1:4" hidden="1" x14ac:dyDescent="0.3">
      <c r="A107" t="s">
        <v>79</v>
      </c>
      <c r="D107">
        <f t="shared" si="1"/>
        <v>0</v>
      </c>
    </row>
    <row r="108" spans="1:4" hidden="1" x14ac:dyDescent="0.3">
      <c r="A108" t="s">
        <v>80</v>
      </c>
      <c r="B108">
        <v>0</v>
      </c>
      <c r="D108">
        <f t="shared" si="1"/>
        <v>0</v>
      </c>
    </row>
    <row r="109" spans="1:4" x14ac:dyDescent="0.3">
      <c r="A109" t="s">
        <v>81</v>
      </c>
      <c r="B109">
        <v>4</v>
      </c>
      <c r="C109">
        <v>58000</v>
      </c>
      <c r="D109">
        <f t="shared" si="1"/>
        <v>232000</v>
      </c>
    </row>
    <row r="110" spans="1:4" hidden="1" x14ac:dyDescent="0.3">
      <c r="A110" t="s">
        <v>81</v>
      </c>
      <c r="D110">
        <f t="shared" si="1"/>
        <v>0</v>
      </c>
    </row>
    <row r="111" spans="1:4" hidden="1" x14ac:dyDescent="0.3">
      <c r="A111" t="s">
        <v>82</v>
      </c>
      <c r="B111">
        <v>0</v>
      </c>
      <c r="D111">
        <f t="shared" si="1"/>
        <v>0</v>
      </c>
    </row>
    <row r="112" spans="1:4" hidden="1" x14ac:dyDescent="0.3">
      <c r="A112" t="s">
        <v>83</v>
      </c>
      <c r="B112">
        <v>0</v>
      </c>
      <c r="D112">
        <f t="shared" si="1"/>
        <v>0</v>
      </c>
    </row>
    <row r="113" spans="1:4" hidden="1" x14ac:dyDescent="0.3">
      <c r="A113" t="s">
        <v>84</v>
      </c>
      <c r="B113">
        <v>0</v>
      </c>
      <c r="D113">
        <f t="shared" si="1"/>
        <v>0</v>
      </c>
    </row>
    <row r="114" spans="1:4" hidden="1" x14ac:dyDescent="0.3">
      <c r="A114" t="s">
        <v>85</v>
      </c>
      <c r="B114">
        <v>0</v>
      </c>
      <c r="D114">
        <f t="shared" si="1"/>
        <v>0</v>
      </c>
    </row>
    <row r="115" spans="1:4" x14ac:dyDescent="0.3">
      <c r="A115" t="s">
        <v>86</v>
      </c>
      <c r="B115">
        <v>74</v>
      </c>
      <c r="C115">
        <v>9500</v>
      </c>
      <c r="D115">
        <f t="shared" si="1"/>
        <v>703000</v>
      </c>
    </row>
    <row r="116" spans="1:4" hidden="1" x14ac:dyDescent="0.3">
      <c r="A116" t="s">
        <v>87</v>
      </c>
      <c r="B116">
        <v>0</v>
      </c>
      <c r="D116">
        <f t="shared" si="1"/>
        <v>0</v>
      </c>
    </row>
    <row r="117" spans="1:4" hidden="1" x14ac:dyDescent="0.3">
      <c r="A117" t="s">
        <v>88</v>
      </c>
      <c r="B117">
        <v>0</v>
      </c>
      <c r="D117">
        <f t="shared" si="1"/>
        <v>0</v>
      </c>
    </row>
    <row r="118" spans="1:4" hidden="1" x14ac:dyDescent="0.3">
      <c r="A118" t="s">
        <v>89</v>
      </c>
      <c r="B118">
        <v>0</v>
      </c>
      <c r="D118">
        <f t="shared" si="1"/>
        <v>0</v>
      </c>
    </row>
    <row r="119" spans="1:4" hidden="1" x14ac:dyDescent="0.3">
      <c r="A119" t="s">
        <v>90</v>
      </c>
      <c r="B119">
        <v>0</v>
      </c>
      <c r="D119">
        <f t="shared" si="1"/>
        <v>0</v>
      </c>
    </row>
    <row r="120" spans="1:4" hidden="1" x14ac:dyDescent="0.3">
      <c r="A120" t="s">
        <v>91</v>
      </c>
      <c r="B120">
        <v>0</v>
      </c>
      <c r="D120">
        <f t="shared" si="1"/>
        <v>0</v>
      </c>
    </row>
    <row r="121" spans="1:4" hidden="1" x14ac:dyDescent="0.3">
      <c r="A121" t="s">
        <v>92</v>
      </c>
      <c r="B121">
        <v>0</v>
      </c>
      <c r="D121">
        <f t="shared" si="1"/>
        <v>0</v>
      </c>
    </row>
    <row r="122" spans="1:4" x14ac:dyDescent="0.3">
      <c r="A122" t="s">
        <v>93</v>
      </c>
      <c r="B122">
        <v>510</v>
      </c>
      <c r="C122">
        <v>24000</v>
      </c>
      <c r="D122">
        <f t="shared" si="1"/>
        <v>12240000</v>
      </c>
    </row>
    <row r="123" spans="1:4" hidden="1" x14ac:dyDescent="0.3">
      <c r="A123" t="s">
        <v>94</v>
      </c>
      <c r="B123">
        <v>0</v>
      </c>
      <c r="D123">
        <f t="shared" si="1"/>
        <v>0</v>
      </c>
    </row>
    <row r="124" spans="1:4" hidden="1" x14ac:dyDescent="0.3">
      <c r="A124" t="s">
        <v>95</v>
      </c>
      <c r="B124">
        <v>0</v>
      </c>
      <c r="D124">
        <f t="shared" si="1"/>
        <v>0</v>
      </c>
    </row>
    <row r="125" spans="1:4" hidden="1" x14ac:dyDescent="0.3">
      <c r="A125" t="s">
        <v>96</v>
      </c>
      <c r="B125">
        <v>0</v>
      </c>
      <c r="D125">
        <f t="shared" si="1"/>
        <v>0</v>
      </c>
    </row>
    <row r="126" spans="1:4" hidden="1" x14ac:dyDescent="0.3">
      <c r="A126" t="s">
        <v>97</v>
      </c>
      <c r="B126">
        <v>0</v>
      </c>
      <c r="D126">
        <f t="shared" si="1"/>
        <v>0</v>
      </c>
    </row>
    <row r="127" spans="1:4" hidden="1" x14ac:dyDescent="0.3">
      <c r="A127" t="s">
        <v>98</v>
      </c>
      <c r="B127">
        <v>0</v>
      </c>
      <c r="D127">
        <f t="shared" si="1"/>
        <v>0</v>
      </c>
    </row>
    <row r="128" spans="1:4" hidden="1" x14ac:dyDescent="0.3">
      <c r="A128" t="s">
        <v>99</v>
      </c>
      <c r="B128">
        <v>0</v>
      </c>
      <c r="D128">
        <f t="shared" si="1"/>
        <v>0</v>
      </c>
    </row>
    <row r="129" spans="1:4" hidden="1" x14ac:dyDescent="0.3">
      <c r="A129" t="s">
        <v>100</v>
      </c>
      <c r="B129">
        <v>0</v>
      </c>
      <c r="D129">
        <f t="shared" si="1"/>
        <v>0</v>
      </c>
    </row>
    <row r="130" spans="1:4" hidden="1" x14ac:dyDescent="0.3">
      <c r="A130" t="s">
        <v>121</v>
      </c>
      <c r="B130">
        <v>0</v>
      </c>
      <c r="D130">
        <f t="shared" si="1"/>
        <v>0</v>
      </c>
    </row>
    <row r="131" spans="1:4" hidden="1" x14ac:dyDescent="0.3">
      <c r="A131" t="s">
        <v>101</v>
      </c>
      <c r="B131">
        <v>0</v>
      </c>
      <c r="D131">
        <f t="shared" si="1"/>
        <v>0</v>
      </c>
    </row>
    <row r="132" spans="1:4" hidden="1" x14ac:dyDescent="0.3">
      <c r="A132" t="s">
        <v>102</v>
      </c>
      <c r="B132">
        <v>0</v>
      </c>
      <c r="D132">
        <f t="shared" ref="D132:D196" si="2">B132*C132</f>
        <v>0</v>
      </c>
    </row>
    <row r="133" spans="1:4" x14ac:dyDescent="0.3">
      <c r="A133" t="s">
        <v>103</v>
      </c>
      <c r="B133">
        <v>5.5</v>
      </c>
      <c r="C133">
        <v>17500</v>
      </c>
      <c r="D133">
        <f t="shared" si="2"/>
        <v>96250</v>
      </c>
    </row>
    <row r="134" spans="1:4" hidden="1" x14ac:dyDescent="0.3">
      <c r="A134" t="s">
        <v>110</v>
      </c>
      <c r="B134">
        <v>0</v>
      </c>
      <c r="D134">
        <f t="shared" si="2"/>
        <v>0</v>
      </c>
    </row>
    <row r="135" spans="1:4" hidden="1" x14ac:dyDescent="0.3">
      <c r="A135" t="s">
        <v>111</v>
      </c>
      <c r="B135">
        <v>0</v>
      </c>
      <c r="D135">
        <f t="shared" si="2"/>
        <v>0</v>
      </c>
    </row>
    <row r="136" spans="1:4" hidden="1" x14ac:dyDescent="0.3">
      <c r="A136" t="s">
        <v>560</v>
      </c>
      <c r="B136">
        <v>0</v>
      </c>
      <c r="D136">
        <f t="shared" si="2"/>
        <v>0</v>
      </c>
    </row>
    <row r="137" spans="1:4" hidden="1" x14ac:dyDescent="0.3">
      <c r="A137" t="s">
        <v>560</v>
      </c>
      <c r="B137">
        <v>0</v>
      </c>
      <c r="D137">
        <f t="shared" si="2"/>
        <v>0</v>
      </c>
    </row>
    <row r="138" spans="1:4" hidden="1" x14ac:dyDescent="0.3">
      <c r="A138" t="s">
        <v>118</v>
      </c>
      <c r="B138">
        <v>0</v>
      </c>
      <c r="D138">
        <f t="shared" si="2"/>
        <v>0</v>
      </c>
    </row>
    <row r="139" spans="1:4" hidden="1" x14ac:dyDescent="0.3">
      <c r="A139" t="s">
        <v>573</v>
      </c>
      <c r="B139">
        <v>0</v>
      </c>
      <c r="D139">
        <f t="shared" si="2"/>
        <v>0</v>
      </c>
    </row>
    <row r="140" spans="1:4" hidden="1" x14ac:dyDescent="0.3">
      <c r="A140" t="s">
        <v>573</v>
      </c>
      <c r="B140">
        <v>0</v>
      </c>
      <c r="D140">
        <f t="shared" si="2"/>
        <v>0</v>
      </c>
    </row>
    <row r="141" spans="1:4" hidden="1" x14ac:dyDescent="0.3">
      <c r="A141" t="s">
        <v>559</v>
      </c>
      <c r="B141">
        <v>0</v>
      </c>
      <c r="D141">
        <f t="shared" si="2"/>
        <v>0</v>
      </c>
    </row>
    <row r="142" spans="1:4" hidden="1" x14ac:dyDescent="0.3">
      <c r="A142" t="s">
        <v>559</v>
      </c>
      <c r="B142">
        <v>0</v>
      </c>
      <c r="D142">
        <f t="shared" si="2"/>
        <v>0</v>
      </c>
    </row>
    <row r="143" spans="1:4" hidden="1" x14ac:dyDescent="0.3">
      <c r="A143" t="s">
        <v>116</v>
      </c>
      <c r="B143">
        <v>0</v>
      </c>
      <c r="D143">
        <f t="shared" si="2"/>
        <v>0</v>
      </c>
    </row>
    <row r="144" spans="1:4" hidden="1" x14ac:dyDescent="0.3">
      <c r="A144" t="s">
        <v>537</v>
      </c>
      <c r="B144">
        <v>0</v>
      </c>
      <c r="D144">
        <f t="shared" si="2"/>
        <v>0</v>
      </c>
    </row>
    <row r="145" spans="1:4" hidden="1" x14ac:dyDescent="0.3">
      <c r="A145" t="s">
        <v>538</v>
      </c>
      <c r="B145">
        <v>0</v>
      </c>
      <c r="D145">
        <f t="shared" si="2"/>
        <v>0</v>
      </c>
    </row>
    <row r="146" spans="1:4" x14ac:dyDescent="0.3">
      <c r="A146" t="s">
        <v>524</v>
      </c>
      <c r="B146">
        <v>210</v>
      </c>
      <c r="C146">
        <v>34000</v>
      </c>
      <c r="D146">
        <f t="shared" si="2"/>
        <v>7140000</v>
      </c>
    </row>
    <row r="147" spans="1:4" hidden="1" x14ac:dyDescent="0.3">
      <c r="A147" t="s">
        <v>585</v>
      </c>
      <c r="B147">
        <v>0</v>
      </c>
      <c r="D147">
        <f t="shared" si="2"/>
        <v>0</v>
      </c>
    </row>
    <row r="148" spans="1:4" hidden="1" x14ac:dyDescent="0.3">
      <c r="A148" t="s">
        <v>115</v>
      </c>
      <c r="B148">
        <v>0</v>
      </c>
      <c r="D148">
        <f t="shared" si="2"/>
        <v>0</v>
      </c>
    </row>
    <row r="149" spans="1:4" hidden="1" x14ac:dyDescent="0.3">
      <c r="A149" t="s">
        <v>583</v>
      </c>
      <c r="B149">
        <v>0</v>
      </c>
      <c r="D149">
        <f t="shared" si="2"/>
        <v>0</v>
      </c>
    </row>
    <row r="150" spans="1:4" x14ac:dyDescent="0.3">
      <c r="D150">
        <f>SUM(D3:D146)</f>
        <v>166986250</v>
      </c>
    </row>
    <row r="151" spans="1:4" hidden="1" x14ac:dyDescent="0.3">
      <c r="D151">
        <f t="shared" si="2"/>
        <v>0</v>
      </c>
    </row>
    <row r="153" spans="1:4" x14ac:dyDescent="0.3">
      <c r="A153" t="s">
        <v>0</v>
      </c>
      <c r="B153" t="s">
        <v>544</v>
      </c>
      <c r="C153" t="s">
        <v>590</v>
      </c>
      <c r="D153" t="s">
        <v>129</v>
      </c>
    </row>
    <row r="154" spans="1:4" hidden="1" x14ac:dyDescent="0.3">
      <c r="A154" t="s">
        <v>21</v>
      </c>
      <c r="D154">
        <f t="shared" si="2"/>
        <v>0</v>
      </c>
    </row>
    <row r="155" spans="1:4" hidden="1" x14ac:dyDescent="0.3">
      <c r="A155" t="s">
        <v>22</v>
      </c>
      <c r="D155">
        <f t="shared" si="2"/>
        <v>0</v>
      </c>
    </row>
    <row r="156" spans="1:4" hidden="1" x14ac:dyDescent="0.3">
      <c r="A156" t="s">
        <v>23</v>
      </c>
      <c r="D156">
        <f t="shared" si="2"/>
        <v>0</v>
      </c>
    </row>
    <row r="157" spans="1:4" x14ac:dyDescent="0.3">
      <c r="A157" t="s">
        <v>48</v>
      </c>
      <c r="B157">
        <v>207</v>
      </c>
      <c r="C157">
        <v>12000</v>
      </c>
      <c r="D157">
        <f t="shared" si="2"/>
        <v>2484000</v>
      </c>
    </row>
    <row r="158" spans="1:4" hidden="1" x14ac:dyDescent="0.3">
      <c r="A158" t="s">
        <v>50</v>
      </c>
      <c r="D158">
        <f t="shared" si="2"/>
        <v>0</v>
      </c>
    </row>
    <row r="159" spans="1:4" x14ac:dyDescent="0.3">
      <c r="A159" t="s">
        <v>121</v>
      </c>
      <c r="B159">
        <v>2</v>
      </c>
      <c r="C159">
        <v>32000</v>
      </c>
      <c r="D159">
        <f t="shared" si="2"/>
        <v>64000</v>
      </c>
    </row>
    <row r="160" spans="1:4" hidden="1" x14ac:dyDescent="0.3">
      <c r="A160" t="s">
        <v>51</v>
      </c>
      <c r="D160">
        <f t="shared" si="2"/>
        <v>0</v>
      </c>
    </row>
    <row r="161" spans="1:4" hidden="1" x14ac:dyDescent="0.3">
      <c r="A161" t="s">
        <v>92</v>
      </c>
      <c r="D161">
        <f t="shared" si="2"/>
        <v>0</v>
      </c>
    </row>
    <row r="162" spans="1:4" hidden="1" x14ac:dyDescent="0.3">
      <c r="A162" t="s">
        <v>110</v>
      </c>
      <c r="D162">
        <f t="shared" si="2"/>
        <v>0</v>
      </c>
    </row>
    <row r="163" spans="1:4" hidden="1" x14ac:dyDescent="0.3">
      <c r="A163" t="s">
        <v>17</v>
      </c>
      <c r="D163">
        <f t="shared" si="2"/>
        <v>0</v>
      </c>
    </row>
    <row r="164" spans="1:4" hidden="1" x14ac:dyDescent="0.3">
      <c r="A164" t="s">
        <v>53</v>
      </c>
      <c r="D164">
        <f t="shared" si="2"/>
        <v>0</v>
      </c>
    </row>
    <row r="165" spans="1:4" x14ac:dyDescent="0.3">
      <c r="A165" t="s">
        <v>56</v>
      </c>
      <c r="B165">
        <v>3</v>
      </c>
      <c r="C165">
        <v>10500</v>
      </c>
      <c r="D165">
        <f t="shared" si="2"/>
        <v>31500</v>
      </c>
    </row>
    <row r="166" spans="1:4" hidden="1" x14ac:dyDescent="0.3">
      <c r="A166" t="s">
        <v>60</v>
      </c>
      <c r="D166">
        <f t="shared" si="2"/>
        <v>0</v>
      </c>
    </row>
    <row r="167" spans="1:4" hidden="1" x14ac:dyDescent="0.3">
      <c r="A167" t="s">
        <v>1</v>
      </c>
      <c r="D167">
        <f t="shared" si="2"/>
        <v>0</v>
      </c>
    </row>
    <row r="168" spans="1:4" x14ac:dyDescent="0.3">
      <c r="A168" t="s">
        <v>62</v>
      </c>
      <c r="B168">
        <v>2</v>
      </c>
      <c r="C168">
        <v>9000</v>
      </c>
      <c r="D168">
        <f t="shared" si="2"/>
        <v>18000</v>
      </c>
    </row>
    <row r="169" spans="1:4" hidden="1" x14ac:dyDescent="0.3">
      <c r="A169" t="s">
        <v>27</v>
      </c>
      <c r="D169">
        <f t="shared" si="2"/>
        <v>0</v>
      </c>
    </row>
    <row r="170" spans="1:4" x14ac:dyDescent="0.3">
      <c r="A170" t="s">
        <v>109</v>
      </c>
      <c r="B170">
        <v>1</v>
      </c>
      <c r="C170">
        <v>18000</v>
      </c>
      <c r="D170">
        <f t="shared" si="2"/>
        <v>18000</v>
      </c>
    </row>
    <row r="171" spans="1:4" hidden="1" x14ac:dyDescent="0.3">
      <c r="A171" t="s">
        <v>28</v>
      </c>
      <c r="D171">
        <f t="shared" si="2"/>
        <v>0</v>
      </c>
    </row>
    <row r="172" spans="1:4" x14ac:dyDescent="0.3">
      <c r="A172" t="s">
        <v>120</v>
      </c>
      <c r="B172">
        <v>10</v>
      </c>
      <c r="C172">
        <v>25000</v>
      </c>
      <c r="D172">
        <f t="shared" si="2"/>
        <v>250000</v>
      </c>
    </row>
    <row r="173" spans="1:4" x14ac:dyDescent="0.3">
      <c r="A173" t="s">
        <v>87</v>
      </c>
      <c r="B173">
        <v>100</v>
      </c>
      <c r="C173">
        <v>12000</v>
      </c>
      <c r="D173">
        <f t="shared" si="2"/>
        <v>1200000</v>
      </c>
    </row>
    <row r="174" spans="1:4" hidden="1" x14ac:dyDescent="0.3">
      <c r="A174" t="s">
        <v>117</v>
      </c>
      <c r="D174">
        <f t="shared" si="2"/>
        <v>0</v>
      </c>
    </row>
    <row r="175" spans="1:4" hidden="1" x14ac:dyDescent="0.3">
      <c r="A175" t="s">
        <v>5</v>
      </c>
      <c r="D175">
        <f t="shared" si="2"/>
        <v>0</v>
      </c>
    </row>
    <row r="176" spans="1:4" hidden="1" x14ac:dyDescent="0.3">
      <c r="A176" t="s">
        <v>6</v>
      </c>
      <c r="D176">
        <f t="shared" si="2"/>
        <v>0</v>
      </c>
    </row>
    <row r="177" spans="1:4" hidden="1" x14ac:dyDescent="0.3">
      <c r="A177" t="s">
        <v>8</v>
      </c>
      <c r="D177">
        <f t="shared" si="2"/>
        <v>0</v>
      </c>
    </row>
    <row r="178" spans="1:4" hidden="1" x14ac:dyDescent="0.3">
      <c r="A178" t="s">
        <v>119</v>
      </c>
      <c r="D178">
        <f t="shared" si="2"/>
        <v>0</v>
      </c>
    </row>
    <row r="179" spans="1:4" hidden="1" x14ac:dyDescent="0.3">
      <c r="A179" t="s">
        <v>12</v>
      </c>
      <c r="D179">
        <f t="shared" si="2"/>
        <v>0</v>
      </c>
    </row>
    <row r="180" spans="1:4" hidden="1" x14ac:dyDescent="0.3">
      <c r="A180" t="s">
        <v>14</v>
      </c>
      <c r="D180">
        <f t="shared" si="2"/>
        <v>0</v>
      </c>
    </row>
    <row r="181" spans="1:4" x14ac:dyDescent="0.3">
      <c r="A181" t="s">
        <v>111</v>
      </c>
      <c r="B181">
        <v>10</v>
      </c>
      <c r="C181">
        <v>27000</v>
      </c>
      <c r="D181">
        <f t="shared" si="2"/>
        <v>270000</v>
      </c>
    </row>
    <row r="182" spans="1:4" hidden="1" x14ac:dyDescent="0.3">
      <c r="A182" t="s">
        <v>15</v>
      </c>
      <c r="D182">
        <f t="shared" si="2"/>
        <v>0</v>
      </c>
    </row>
    <row r="183" spans="1:4" hidden="1" x14ac:dyDescent="0.3">
      <c r="A183" t="s">
        <v>15</v>
      </c>
      <c r="D183">
        <f t="shared" si="2"/>
        <v>0</v>
      </c>
    </row>
    <row r="184" spans="1:4" hidden="1" x14ac:dyDescent="0.3">
      <c r="A184" t="s">
        <v>16</v>
      </c>
      <c r="D184">
        <f t="shared" si="2"/>
        <v>0</v>
      </c>
    </row>
    <row r="185" spans="1:4" hidden="1" x14ac:dyDescent="0.3">
      <c r="A185" t="s">
        <v>68</v>
      </c>
      <c r="D185">
        <f t="shared" si="2"/>
        <v>0</v>
      </c>
    </row>
    <row r="186" spans="1:4" hidden="1" x14ac:dyDescent="0.3">
      <c r="A186" t="s">
        <v>67</v>
      </c>
      <c r="D186">
        <f t="shared" si="2"/>
        <v>0</v>
      </c>
    </row>
    <row r="187" spans="1:4" x14ac:dyDescent="0.3">
      <c r="A187" t="s">
        <v>72</v>
      </c>
      <c r="B187">
        <v>278</v>
      </c>
      <c r="C187">
        <v>10000</v>
      </c>
      <c r="D187">
        <f t="shared" si="2"/>
        <v>2780000</v>
      </c>
    </row>
    <row r="188" spans="1:4" hidden="1" x14ac:dyDescent="0.3">
      <c r="A188" t="s">
        <v>29</v>
      </c>
      <c r="D188">
        <f t="shared" si="2"/>
        <v>0</v>
      </c>
    </row>
    <row r="189" spans="1:4" x14ac:dyDescent="0.3">
      <c r="A189" t="s">
        <v>122</v>
      </c>
      <c r="B189">
        <v>24</v>
      </c>
      <c r="C189">
        <v>50000</v>
      </c>
      <c r="D189">
        <f t="shared" si="2"/>
        <v>1200000</v>
      </c>
    </row>
    <row r="190" spans="1:4" hidden="1" x14ac:dyDescent="0.3">
      <c r="A190" t="s">
        <v>76</v>
      </c>
      <c r="D190">
        <f t="shared" si="2"/>
        <v>0</v>
      </c>
    </row>
    <row r="191" spans="1:4" hidden="1" x14ac:dyDescent="0.3">
      <c r="A191" t="s">
        <v>78</v>
      </c>
      <c r="D191">
        <f t="shared" si="2"/>
        <v>0</v>
      </c>
    </row>
    <row r="192" spans="1:4" hidden="1" x14ac:dyDescent="0.3">
      <c r="A192" t="s">
        <v>79</v>
      </c>
      <c r="D192">
        <f t="shared" si="2"/>
        <v>0</v>
      </c>
    </row>
    <row r="193" spans="1:4" hidden="1" x14ac:dyDescent="0.3">
      <c r="A193" t="s">
        <v>82</v>
      </c>
      <c r="D193">
        <f t="shared" si="2"/>
        <v>0</v>
      </c>
    </row>
    <row r="194" spans="1:4" hidden="1" x14ac:dyDescent="0.3">
      <c r="A194" t="s">
        <v>39</v>
      </c>
      <c r="D194">
        <f t="shared" si="2"/>
        <v>0</v>
      </c>
    </row>
    <row r="195" spans="1:4" hidden="1" x14ac:dyDescent="0.3">
      <c r="A195" t="s">
        <v>41</v>
      </c>
      <c r="D195">
        <f t="shared" si="2"/>
        <v>0</v>
      </c>
    </row>
    <row r="196" spans="1:4" hidden="1" x14ac:dyDescent="0.3">
      <c r="A196" t="s">
        <v>46</v>
      </c>
      <c r="D196">
        <f t="shared" si="2"/>
        <v>0</v>
      </c>
    </row>
    <row r="197" spans="1:4" hidden="1" x14ac:dyDescent="0.3">
      <c r="A197" t="e">
        <v>#N/A</v>
      </c>
      <c r="D197">
        <f t="shared" ref="D197" si="3">B197*C197</f>
        <v>0</v>
      </c>
    </row>
    <row r="198" spans="1:4" x14ac:dyDescent="0.3">
      <c r="D198">
        <f>SUM(D157:D189)</f>
        <v>8315500</v>
      </c>
    </row>
  </sheetData>
  <autoFilter ref="A2:D197" xr:uid="{00000000-0009-0000-0000-00000E000000}">
    <filterColumn colId="1">
      <filters>
        <filter val="#NAME?"/>
        <filter val="1"/>
        <filter val="10"/>
        <filter val="100"/>
        <filter val="103"/>
        <filter val="113"/>
        <filter val="1142"/>
        <filter val="120"/>
        <filter val="131"/>
        <filter val="1340"/>
        <filter val="15"/>
        <filter val="150"/>
        <filter val="1770"/>
        <filter val="2"/>
        <filter val="20"/>
        <filter val="207"/>
        <filter val="210"/>
        <filter val="220"/>
        <filter val="24"/>
        <filter val="240"/>
        <filter val="25"/>
        <filter val="26.66666667"/>
        <filter val="278"/>
        <filter val="3"/>
        <filter val="30"/>
        <filter val="345"/>
        <filter val="395"/>
        <filter val="4"/>
        <filter val="42"/>
        <filter val="44"/>
        <filter val="490"/>
        <filter val="5"/>
        <filter val="5.5"/>
        <filter val="510"/>
        <filter val="60"/>
        <filter val="65"/>
        <filter val="74"/>
        <filter val="80"/>
        <filter val="820"/>
        <filter val="980"/>
        <filter val="Tồn_x000a_ĐL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160"/>
  <sheetViews>
    <sheetView workbookViewId="0">
      <selection activeCell="G10" sqref="G10"/>
    </sheetView>
  </sheetViews>
  <sheetFormatPr defaultRowHeight="14.4" x14ac:dyDescent="0.3"/>
  <cols>
    <col min="1" max="1" width="38.6640625" customWidth="1"/>
    <col min="2" max="2" width="14.33203125" customWidth="1"/>
    <col min="3" max="3" width="14.5546875" customWidth="1"/>
    <col min="4" max="4" width="21.88671875" customWidth="1"/>
  </cols>
  <sheetData>
    <row r="1" spans="1:4" x14ac:dyDescent="0.3">
      <c r="A1" t="s">
        <v>593</v>
      </c>
    </row>
    <row r="2" spans="1:4" ht="37.200000000000003" x14ac:dyDescent="0.3">
      <c r="A2" s="60" t="s">
        <v>0</v>
      </c>
      <c r="B2" s="61" t="s">
        <v>544</v>
      </c>
      <c r="C2" s="82" t="s">
        <v>594</v>
      </c>
      <c r="D2" s="106" t="s">
        <v>129</v>
      </c>
    </row>
    <row r="3" spans="1:4" hidden="1" x14ac:dyDescent="0.3">
      <c r="A3" s="62" t="s">
        <v>21</v>
      </c>
      <c r="B3" s="63"/>
      <c r="C3" s="66"/>
      <c r="D3" s="107">
        <f>B3*C3</f>
        <v>0</v>
      </c>
    </row>
    <row r="4" spans="1:4" hidden="1" x14ac:dyDescent="0.3">
      <c r="A4" s="62" t="s">
        <v>22</v>
      </c>
      <c r="B4" s="63"/>
      <c r="C4" s="66"/>
      <c r="D4" s="107">
        <f t="shared" ref="D4:D67" si="0">B4*C4</f>
        <v>0</v>
      </c>
    </row>
    <row r="5" spans="1:4" x14ac:dyDescent="0.3">
      <c r="A5" s="62" t="s">
        <v>23</v>
      </c>
      <c r="B5" s="63">
        <v>250</v>
      </c>
      <c r="C5" s="66">
        <v>6500</v>
      </c>
      <c r="D5" s="107">
        <f t="shared" si="0"/>
        <v>1625000</v>
      </c>
    </row>
    <row r="6" spans="1:4" x14ac:dyDescent="0.3">
      <c r="A6" s="62" t="s">
        <v>49</v>
      </c>
      <c r="B6" s="64">
        <v>15</v>
      </c>
      <c r="C6" s="66">
        <v>11000</v>
      </c>
      <c r="D6" s="107">
        <f t="shared" si="0"/>
        <v>165000</v>
      </c>
    </row>
    <row r="7" spans="1:4" x14ac:dyDescent="0.3">
      <c r="A7" s="62" t="s">
        <v>50</v>
      </c>
      <c r="B7" s="64">
        <v>1031</v>
      </c>
      <c r="C7" s="66">
        <v>6500</v>
      </c>
      <c r="D7" s="107">
        <f t="shared" si="0"/>
        <v>6701500</v>
      </c>
    </row>
    <row r="8" spans="1:4" x14ac:dyDescent="0.3">
      <c r="A8" s="62" t="s">
        <v>51</v>
      </c>
      <c r="B8" s="64">
        <v>140</v>
      </c>
      <c r="C8" s="66">
        <v>22000</v>
      </c>
      <c r="D8" s="107">
        <f t="shared" si="0"/>
        <v>3080000</v>
      </c>
    </row>
    <row r="9" spans="1:4" hidden="1" x14ac:dyDescent="0.3">
      <c r="A9" s="62" t="s">
        <v>51</v>
      </c>
      <c r="B9" s="64"/>
      <c r="C9" s="66"/>
      <c r="D9" s="107">
        <f t="shared" si="0"/>
        <v>0</v>
      </c>
    </row>
    <row r="10" spans="1:4" x14ac:dyDescent="0.3">
      <c r="A10" s="62" t="s">
        <v>52</v>
      </c>
      <c r="B10" s="64">
        <v>35</v>
      </c>
      <c r="C10" s="66">
        <v>10000</v>
      </c>
      <c r="D10" s="107">
        <f t="shared" si="0"/>
        <v>350000</v>
      </c>
    </row>
    <row r="11" spans="1:4" hidden="1" x14ac:dyDescent="0.3">
      <c r="A11" s="62" t="s">
        <v>52</v>
      </c>
      <c r="B11" s="64"/>
      <c r="C11" s="66"/>
      <c r="D11" s="107">
        <f t="shared" si="0"/>
        <v>0</v>
      </c>
    </row>
    <row r="12" spans="1:4" hidden="1" x14ac:dyDescent="0.3">
      <c r="A12" s="62" t="s">
        <v>90</v>
      </c>
      <c r="B12" s="64"/>
      <c r="C12" s="66"/>
      <c r="D12" s="107">
        <f t="shared" si="0"/>
        <v>0</v>
      </c>
    </row>
    <row r="13" spans="1:4" x14ac:dyDescent="0.3">
      <c r="A13" s="62" t="s">
        <v>92</v>
      </c>
      <c r="B13" s="64">
        <v>30</v>
      </c>
      <c r="C13" s="66">
        <v>15000</v>
      </c>
      <c r="D13" s="107">
        <f t="shared" si="0"/>
        <v>450000</v>
      </c>
    </row>
    <row r="14" spans="1:4" hidden="1" x14ac:dyDescent="0.3">
      <c r="A14" s="62" t="s">
        <v>110</v>
      </c>
      <c r="B14" s="64"/>
      <c r="C14" s="66"/>
      <c r="D14" s="107">
        <f t="shared" si="0"/>
        <v>0</v>
      </c>
    </row>
    <row r="15" spans="1:4" hidden="1" x14ac:dyDescent="0.3">
      <c r="A15" s="62" t="s">
        <v>524</v>
      </c>
      <c r="B15" s="64"/>
      <c r="C15" s="66"/>
      <c r="D15" s="107">
        <f t="shared" si="0"/>
        <v>0</v>
      </c>
    </row>
    <row r="16" spans="1:4" hidden="1" x14ac:dyDescent="0.3">
      <c r="A16" s="62" t="s">
        <v>18</v>
      </c>
      <c r="B16" s="63"/>
      <c r="C16" s="66"/>
      <c r="D16" s="107">
        <f t="shared" si="0"/>
        <v>0</v>
      </c>
    </row>
    <row r="17" spans="1:4" hidden="1" x14ac:dyDescent="0.3">
      <c r="A17" s="62" t="s">
        <v>19</v>
      </c>
      <c r="B17" s="63"/>
      <c r="C17" s="66"/>
      <c r="D17" s="107">
        <f t="shared" si="0"/>
        <v>0</v>
      </c>
    </row>
    <row r="18" spans="1:4" x14ac:dyDescent="0.3">
      <c r="A18" s="62" t="s">
        <v>53</v>
      </c>
      <c r="B18" s="64">
        <v>235</v>
      </c>
      <c r="C18" s="66">
        <v>23000</v>
      </c>
      <c r="D18" s="107">
        <f t="shared" si="0"/>
        <v>5405000</v>
      </c>
    </row>
    <row r="19" spans="1:4" hidden="1" x14ac:dyDescent="0.3">
      <c r="A19" s="62" t="s">
        <v>53</v>
      </c>
      <c r="B19" s="64"/>
      <c r="C19" s="66"/>
      <c r="D19" s="107">
        <f t="shared" si="0"/>
        <v>0</v>
      </c>
    </row>
    <row r="20" spans="1:4" hidden="1" x14ac:dyDescent="0.3">
      <c r="A20" s="62" t="s">
        <v>54</v>
      </c>
      <c r="B20" s="64"/>
      <c r="C20" s="66"/>
      <c r="D20" s="107">
        <f t="shared" si="0"/>
        <v>0</v>
      </c>
    </row>
    <row r="21" spans="1:4" hidden="1" x14ac:dyDescent="0.3">
      <c r="A21" s="62" t="s">
        <v>55</v>
      </c>
      <c r="B21" s="64"/>
      <c r="C21" s="66"/>
      <c r="D21" s="107">
        <f t="shared" si="0"/>
        <v>0</v>
      </c>
    </row>
    <row r="22" spans="1:4" x14ac:dyDescent="0.3">
      <c r="A22" s="62" t="s">
        <v>56</v>
      </c>
      <c r="B22" s="64">
        <v>122</v>
      </c>
      <c r="C22" s="66">
        <v>9900</v>
      </c>
      <c r="D22" s="107">
        <f t="shared" si="0"/>
        <v>1207800</v>
      </c>
    </row>
    <row r="23" spans="1:4" hidden="1" x14ac:dyDescent="0.3">
      <c r="A23" s="62" t="s">
        <v>103</v>
      </c>
      <c r="B23" s="64"/>
      <c r="C23" s="66"/>
      <c r="D23" s="107">
        <f t="shared" si="0"/>
        <v>0</v>
      </c>
    </row>
    <row r="24" spans="1:4" hidden="1" x14ac:dyDescent="0.3">
      <c r="A24" s="62" t="s">
        <v>57</v>
      </c>
      <c r="B24" s="64"/>
      <c r="C24" s="66"/>
      <c r="D24" s="107">
        <f t="shared" si="0"/>
        <v>0</v>
      </c>
    </row>
    <row r="25" spans="1:4" hidden="1" x14ac:dyDescent="0.3">
      <c r="A25" s="62" t="s">
        <v>58</v>
      </c>
      <c r="B25" s="64"/>
      <c r="C25" s="66"/>
      <c r="D25" s="107">
        <f t="shared" si="0"/>
        <v>0</v>
      </c>
    </row>
    <row r="26" spans="1:4" x14ac:dyDescent="0.3">
      <c r="A26" s="62" t="s">
        <v>59</v>
      </c>
      <c r="B26" s="64">
        <v>150</v>
      </c>
      <c r="C26" s="66">
        <v>8000</v>
      </c>
      <c r="D26" s="107">
        <f t="shared" si="0"/>
        <v>1200000</v>
      </c>
    </row>
    <row r="27" spans="1:4" hidden="1" x14ac:dyDescent="0.3">
      <c r="A27" s="62" t="s">
        <v>86</v>
      </c>
      <c r="B27" s="64"/>
      <c r="C27" s="66"/>
      <c r="D27" s="107">
        <f t="shared" si="0"/>
        <v>0</v>
      </c>
    </row>
    <row r="28" spans="1:4" x14ac:dyDescent="0.3">
      <c r="A28" s="62" t="s">
        <v>60</v>
      </c>
      <c r="B28" s="64">
        <v>110</v>
      </c>
      <c r="C28" s="66">
        <v>14000</v>
      </c>
      <c r="D28" s="107">
        <f t="shared" si="0"/>
        <v>1540000</v>
      </c>
    </row>
    <row r="29" spans="1:4" hidden="1" x14ac:dyDescent="0.3">
      <c r="A29" s="62" t="s">
        <v>60</v>
      </c>
      <c r="B29" s="64"/>
      <c r="C29" s="66"/>
      <c r="D29" s="107">
        <f t="shared" si="0"/>
        <v>0</v>
      </c>
    </row>
    <row r="30" spans="1:4" hidden="1" x14ac:dyDescent="0.3">
      <c r="A30" s="62" t="s">
        <v>60</v>
      </c>
      <c r="B30" s="64"/>
      <c r="C30" s="66"/>
      <c r="D30" s="107">
        <f t="shared" si="0"/>
        <v>0</v>
      </c>
    </row>
    <row r="31" spans="1:4" hidden="1" x14ac:dyDescent="0.3">
      <c r="A31" s="62" t="s">
        <v>61</v>
      </c>
      <c r="B31" s="64"/>
      <c r="C31" s="66"/>
      <c r="D31" s="107">
        <f t="shared" si="0"/>
        <v>0</v>
      </c>
    </row>
    <row r="32" spans="1:4" x14ac:dyDescent="0.3">
      <c r="A32" s="62" t="s">
        <v>1</v>
      </c>
      <c r="B32" s="63">
        <v>18</v>
      </c>
      <c r="C32" s="66">
        <v>16000</v>
      </c>
      <c r="D32" s="107">
        <f t="shared" si="0"/>
        <v>288000</v>
      </c>
    </row>
    <row r="33" spans="1:4" hidden="1" x14ac:dyDescent="0.3">
      <c r="A33" s="62" t="s">
        <v>1</v>
      </c>
      <c r="B33" s="63"/>
      <c r="C33" s="66"/>
      <c r="D33" s="107">
        <f t="shared" si="0"/>
        <v>0</v>
      </c>
    </row>
    <row r="34" spans="1:4" hidden="1" x14ac:dyDescent="0.3">
      <c r="A34" s="62" t="s">
        <v>2</v>
      </c>
      <c r="B34" s="63"/>
      <c r="C34" s="66"/>
      <c r="D34" s="107">
        <f t="shared" si="0"/>
        <v>0</v>
      </c>
    </row>
    <row r="35" spans="1:4" hidden="1" x14ac:dyDescent="0.3">
      <c r="A35" s="62" t="s">
        <v>591</v>
      </c>
      <c r="B35" s="64"/>
      <c r="C35" s="66"/>
      <c r="D35" s="107">
        <f t="shared" si="0"/>
        <v>0</v>
      </c>
    </row>
    <row r="36" spans="1:4" hidden="1" x14ac:dyDescent="0.3">
      <c r="A36" s="62" t="s">
        <v>62</v>
      </c>
      <c r="B36" s="64"/>
      <c r="C36" s="66"/>
      <c r="D36" s="107">
        <f t="shared" si="0"/>
        <v>0</v>
      </c>
    </row>
    <row r="37" spans="1:4" hidden="1" x14ac:dyDescent="0.3">
      <c r="A37" s="62" t="s">
        <v>63</v>
      </c>
      <c r="B37" s="64"/>
      <c r="C37" s="66"/>
      <c r="D37" s="107">
        <f t="shared" si="0"/>
        <v>0</v>
      </c>
    </row>
    <row r="38" spans="1:4" x14ac:dyDescent="0.3">
      <c r="A38" s="62" t="s">
        <v>24</v>
      </c>
      <c r="B38" s="63">
        <v>10</v>
      </c>
      <c r="C38" s="66">
        <v>36000</v>
      </c>
      <c r="D38" s="107">
        <f t="shared" si="0"/>
        <v>360000</v>
      </c>
    </row>
    <row r="39" spans="1:4" hidden="1" x14ac:dyDescent="0.3">
      <c r="A39" s="62" t="s">
        <v>24</v>
      </c>
      <c r="B39" s="63"/>
      <c r="C39" s="66"/>
      <c r="D39" s="107">
        <f t="shared" si="0"/>
        <v>0</v>
      </c>
    </row>
    <row r="40" spans="1:4" hidden="1" x14ac:dyDescent="0.3">
      <c r="A40" s="62" t="s">
        <v>25</v>
      </c>
      <c r="B40" s="63"/>
      <c r="C40" s="66"/>
      <c r="D40" s="107">
        <f t="shared" si="0"/>
        <v>0</v>
      </c>
    </row>
    <row r="41" spans="1:4" hidden="1" x14ac:dyDescent="0.3">
      <c r="A41" s="62" t="s">
        <v>26</v>
      </c>
      <c r="B41" s="63"/>
      <c r="C41" s="66"/>
      <c r="D41" s="107">
        <f t="shared" si="0"/>
        <v>0</v>
      </c>
    </row>
    <row r="42" spans="1:4" hidden="1" x14ac:dyDescent="0.3">
      <c r="A42" s="62" t="s">
        <v>26</v>
      </c>
      <c r="B42" s="63"/>
      <c r="C42" s="66"/>
      <c r="D42" s="107">
        <f t="shared" si="0"/>
        <v>0</v>
      </c>
    </row>
    <row r="43" spans="1:4" hidden="1" x14ac:dyDescent="0.3">
      <c r="A43" s="62" t="s">
        <v>573</v>
      </c>
      <c r="B43" s="64"/>
      <c r="C43" s="66"/>
      <c r="D43" s="107">
        <f t="shared" si="0"/>
        <v>0</v>
      </c>
    </row>
    <row r="44" spans="1:4" x14ac:dyDescent="0.3">
      <c r="A44" s="62" t="s">
        <v>27</v>
      </c>
      <c r="B44" s="63">
        <v>508</v>
      </c>
      <c r="C44" s="66">
        <v>14000</v>
      </c>
      <c r="D44" s="107">
        <f t="shared" si="0"/>
        <v>7112000</v>
      </c>
    </row>
    <row r="45" spans="1:4" hidden="1" x14ac:dyDescent="0.3">
      <c r="A45" s="62" t="s">
        <v>560</v>
      </c>
      <c r="B45" s="64"/>
      <c r="C45" s="66"/>
      <c r="D45" s="107">
        <f t="shared" si="0"/>
        <v>0</v>
      </c>
    </row>
    <row r="46" spans="1:4" hidden="1" x14ac:dyDescent="0.3">
      <c r="A46" s="62" t="s">
        <v>28</v>
      </c>
      <c r="B46" s="63"/>
      <c r="C46" s="66"/>
      <c r="D46" s="107">
        <f t="shared" si="0"/>
        <v>0</v>
      </c>
    </row>
    <row r="47" spans="1:4" x14ac:dyDescent="0.3">
      <c r="A47" s="62" t="s">
        <v>28</v>
      </c>
      <c r="B47" s="63">
        <v>105</v>
      </c>
      <c r="C47" s="66">
        <v>17000</v>
      </c>
      <c r="D47" s="107">
        <f t="shared" si="0"/>
        <v>1785000</v>
      </c>
    </row>
    <row r="48" spans="1:4" hidden="1" x14ac:dyDescent="0.3">
      <c r="A48" s="62" t="s">
        <v>87</v>
      </c>
      <c r="B48" s="64"/>
      <c r="C48" s="66"/>
      <c r="D48" s="107">
        <f t="shared" si="0"/>
        <v>0</v>
      </c>
    </row>
    <row r="49" spans="1:4" hidden="1" x14ac:dyDescent="0.3">
      <c r="A49" s="62" t="s">
        <v>3</v>
      </c>
      <c r="B49" s="63"/>
      <c r="C49" s="66"/>
      <c r="D49" s="107">
        <f t="shared" si="0"/>
        <v>0</v>
      </c>
    </row>
    <row r="50" spans="1:4" hidden="1" x14ac:dyDescent="0.3">
      <c r="A50" s="62" t="s">
        <v>4</v>
      </c>
      <c r="B50" s="63"/>
      <c r="C50" s="66"/>
      <c r="D50" s="107">
        <f t="shared" si="0"/>
        <v>0</v>
      </c>
    </row>
    <row r="51" spans="1:4" x14ac:dyDescent="0.3">
      <c r="A51" s="62" t="s">
        <v>5</v>
      </c>
      <c r="B51" s="63">
        <v>11</v>
      </c>
      <c r="C51" s="66">
        <v>6500</v>
      </c>
      <c r="D51" s="107">
        <f t="shared" si="0"/>
        <v>71500</v>
      </c>
    </row>
    <row r="52" spans="1:4" x14ac:dyDescent="0.3">
      <c r="A52" s="62" t="s">
        <v>6</v>
      </c>
      <c r="B52" s="63">
        <v>44</v>
      </c>
      <c r="C52" s="66">
        <v>15000</v>
      </c>
      <c r="D52" s="107">
        <f t="shared" si="0"/>
        <v>660000</v>
      </c>
    </row>
    <row r="53" spans="1:4" hidden="1" x14ac:dyDescent="0.3">
      <c r="A53" s="62" t="s">
        <v>6</v>
      </c>
      <c r="B53" s="63"/>
      <c r="C53" s="66"/>
      <c r="D53" s="107">
        <f t="shared" si="0"/>
        <v>0</v>
      </c>
    </row>
    <row r="54" spans="1:4" hidden="1" x14ac:dyDescent="0.3">
      <c r="A54" s="62" t="s">
        <v>7</v>
      </c>
      <c r="B54" s="63"/>
      <c r="C54" s="66"/>
      <c r="D54" s="107">
        <f t="shared" si="0"/>
        <v>0</v>
      </c>
    </row>
    <row r="55" spans="1:4" hidden="1" x14ac:dyDescent="0.3">
      <c r="A55" s="62" t="s">
        <v>8</v>
      </c>
      <c r="B55" s="63"/>
      <c r="C55" s="66"/>
      <c r="D55" s="107">
        <f t="shared" si="0"/>
        <v>0</v>
      </c>
    </row>
    <row r="56" spans="1:4" x14ac:dyDescent="0.3">
      <c r="A56" s="62" t="s">
        <v>9</v>
      </c>
      <c r="B56" s="63">
        <v>15</v>
      </c>
      <c r="C56" s="66">
        <v>20000</v>
      </c>
      <c r="D56" s="107">
        <f t="shared" si="0"/>
        <v>300000</v>
      </c>
    </row>
    <row r="57" spans="1:4" hidden="1" x14ac:dyDescent="0.3">
      <c r="A57" s="62" t="s">
        <v>10</v>
      </c>
      <c r="B57" s="63"/>
      <c r="C57" s="66"/>
      <c r="D57" s="107">
        <f t="shared" si="0"/>
        <v>0</v>
      </c>
    </row>
    <row r="58" spans="1:4" x14ac:dyDescent="0.3">
      <c r="A58" s="62" t="s">
        <v>102</v>
      </c>
      <c r="B58" s="64">
        <v>200</v>
      </c>
      <c r="C58" s="66">
        <v>26000</v>
      </c>
      <c r="D58" s="107">
        <f t="shared" si="0"/>
        <v>5200000</v>
      </c>
    </row>
    <row r="59" spans="1:4" x14ac:dyDescent="0.3">
      <c r="A59" s="62" t="s">
        <v>11</v>
      </c>
      <c r="B59" s="63">
        <v>850</v>
      </c>
      <c r="C59" s="66">
        <v>26000</v>
      </c>
      <c r="D59" s="107">
        <f t="shared" si="0"/>
        <v>22100000</v>
      </c>
    </row>
    <row r="60" spans="1:4" hidden="1" x14ac:dyDescent="0.3">
      <c r="A60" s="62" t="s">
        <v>11</v>
      </c>
      <c r="B60" s="63"/>
      <c r="C60" s="66"/>
      <c r="D60" s="107">
        <f t="shared" si="0"/>
        <v>0</v>
      </c>
    </row>
    <row r="61" spans="1:4" x14ac:dyDescent="0.3">
      <c r="A61" s="62" t="s">
        <v>12</v>
      </c>
      <c r="B61" s="63">
        <v>200</v>
      </c>
      <c r="C61" s="66">
        <v>27000</v>
      </c>
      <c r="D61" s="107">
        <f t="shared" si="0"/>
        <v>5400000</v>
      </c>
    </row>
    <row r="62" spans="1:4" hidden="1" x14ac:dyDescent="0.3">
      <c r="A62" s="62" t="s">
        <v>14</v>
      </c>
      <c r="B62" s="63"/>
      <c r="C62" s="66"/>
      <c r="D62" s="107">
        <f t="shared" si="0"/>
        <v>0</v>
      </c>
    </row>
    <row r="63" spans="1:4" x14ac:dyDescent="0.3">
      <c r="A63" s="62" t="s">
        <v>15</v>
      </c>
      <c r="B63" s="63">
        <v>200</v>
      </c>
      <c r="C63" s="66">
        <v>16000</v>
      </c>
      <c r="D63" s="107">
        <f t="shared" si="0"/>
        <v>3200000</v>
      </c>
    </row>
    <row r="64" spans="1:4" hidden="1" x14ac:dyDescent="0.3">
      <c r="A64" s="62" t="s">
        <v>15</v>
      </c>
      <c r="B64" s="63"/>
      <c r="C64" s="66"/>
      <c r="D64" s="107">
        <f t="shared" si="0"/>
        <v>0</v>
      </c>
    </row>
    <row r="65" spans="1:4" hidden="1" x14ac:dyDescent="0.3">
      <c r="A65" s="62" t="s">
        <v>16</v>
      </c>
      <c r="B65" s="63"/>
      <c r="C65" s="66"/>
      <c r="D65" s="107">
        <f t="shared" si="0"/>
        <v>0</v>
      </c>
    </row>
    <row r="66" spans="1:4" hidden="1" x14ac:dyDescent="0.3">
      <c r="A66" s="62" t="s">
        <v>108</v>
      </c>
      <c r="B66" s="64"/>
      <c r="C66" s="66"/>
      <c r="D66" s="107">
        <f t="shared" si="0"/>
        <v>0</v>
      </c>
    </row>
    <row r="67" spans="1:4" hidden="1" x14ac:dyDescent="0.3">
      <c r="A67" s="62" t="s">
        <v>68</v>
      </c>
      <c r="B67" s="64"/>
      <c r="C67" s="66"/>
      <c r="D67" s="107">
        <f t="shared" si="0"/>
        <v>0</v>
      </c>
    </row>
    <row r="68" spans="1:4" hidden="1" x14ac:dyDescent="0.3">
      <c r="A68" s="62" t="s">
        <v>65</v>
      </c>
      <c r="B68" s="64"/>
      <c r="C68" s="66"/>
      <c r="D68" s="107">
        <f t="shared" ref="D68:D132" si="1">B68*C68</f>
        <v>0</v>
      </c>
    </row>
    <row r="69" spans="1:4" hidden="1" x14ac:dyDescent="0.3">
      <c r="A69" s="62" t="s">
        <v>67</v>
      </c>
      <c r="B69" s="64"/>
      <c r="C69" s="66"/>
      <c r="D69" s="107">
        <f t="shared" si="1"/>
        <v>0</v>
      </c>
    </row>
    <row r="70" spans="1:4" hidden="1" x14ac:dyDescent="0.3">
      <c r="A70" s="62" t="s">
        <v>69</v>
      </c>
      <c r="B70" s="64"/>
      <c r="C70" s="66"/>
      <c r="D70" s="107">
        <f t="shared" si="1"/>
        <v>0</v>
      </c>
    </row>
    <row r="71" spans="1:4" hidden="1" x14ac:dyDescent="0.3">
      <c r="A71" s="62" t="s">
        <v>70</v>
      </c>
      <c r="B71" s="64"/>
      <c r="C71" s="66"/>
      <c r="D71" s="107">
        <f t="shared" si="1"/>
        <v>0</v>
      </c>
    </row>
    <row r="72" spans="1:4" hidden="1" x14ac:dyDescent="0.3">
      <c r="A72" s="62" t="s">
        <v>83</v>
      </c>
      <c r="B72" s="64"/>
      <c r="C72" s="66"/>
      <c r="D72" s="107">
        <f t="shared" si="1"/>
        <v>0</v>
      </c>
    </row>
    <row r="73" spans="1:4" x14ac:dyDescent="0.3">
      <c r="A73" s="62" t="s">
        <v>72</v>
      </c>
      <c r="B73" s="64">
        <v>382</v>
      </c>
      <c r="C73" s="66">
        <v>10000</v>
      </c>
      <c r="D73" s="107">
        <f t="shared" si="1"/>
        <v>3820000</v>
      </c>
    </row>
    <row r="74" spans="1:4" hidden="1" x14ac:dyDescent="0.3">
      <c r="A74" s="62" t="s">
        <v>73</v>
      </c>
      <c r="B74" s="64"/>
      <c r="C74" s="66"/>
      <c r="D74" s="107">
        <f t="shared" si="1"/>
        <v>0</v>
      </c>
    </row>
    <row r="75" spans="1:4" hidden="1" x14ac:dyDescent="0.3">
      <c r="A75" s="62" t="s">
        <v>74</v>
      </c>
      <c r="B75" s="64"/>
      <c r="C75" s="66"/>
      <c r="D75" s="107">
        <f t="shared" si="1"/>
        <v>0</v>
      </c>
    </row>
    <row r="76" spans="1:4" hidden="1" x14ac:dyDescent="0.3">
      <c r="A76" s="62" t="s">
        <v>29</v>
      </c>
      <c r="B76" s="64"/>
      <c r="C76" s="66"/>
      <c r="D76" s="107">
        <f t="shared" si="1"/>
        <v>0</v>
      </c>
    </row>
    <row r="77" spans="1:4" x14ac:dyDescent="0.3">
      <c r="A77" s="62" t="s">
        <v>29</v>
      </c>
      <c r="B77" s="64">
        <v>10</v>
      </c>
      <c r="C77" s="66">
        <v>35000</v>
      </c>
      <c r="D77" s="107">
        <f t="shared" si="1"/>
        <v>350000</v>
      </c>
    </row>
    <row r="78" spans="1:4" x14ac:dyDescent="0.3">
      <c r="A78" s="62" t="s">
        <v>93</v>
      </c>
      <c r="B78" s="64">
        <v>460</v>
      </c>
      <c r="C78" s="66">
        <v>24000</v>
      </c>
      <c r="D78" s="107">
        <f t="shared" si="1"/>
        <v>11040000</v>
      </c>
    </row>
    <row r="79" spans="1:4" hidden="1" x14ac:dyDescent="0.3">
      <c r="A79" s="62" t="s">
        <v>96</v>
      </c>
      <c r="B79" s="64"/>
      <c r="C79" s="66"/>
      <c r="D79" s="107">
        <f t="shared" si="1"/>
        <v>0</v>
      </c>
    </row>
    <row r="80" spans="1:4" hidden="1" x14ac:dyDescent="0.3">
      <c r="A80" s="62" t="s">
        <v>30</v>
      </c>
      <c r="B80" s="64"/>
      <c r="C80" s="66"/>
      <c r="D80" s="107">
        <f t="shared" si="1"/>
        <v>0</v>
      </c>
    </row>
    <row r="81" spans="1:4" hidden="1" x14ac:dyDescent="0.3">
      <c r="A81" s="62" t="s">
        <v>31</v>
      </c>
      <c r="B81" s="64"/>
      <c r="C81" s="66"/>
      <c r="D81" s="107">
        <f t="shared" si="1"/>
        <v>0</v>
      </c>
    </row>
    <row r="82" spans="1:4" hidden="1" x14ac:dyDescent="0.3">
      <c r="A82" s="62" t="s">
        <v>35</v>
      </c>
      <c r="B82" s="64"/>
      <c r="C82" s="66"/>
      <c r="D82" s="107">
        <f t="shared" si="1"/>
        <v>0</v>
      </c>
    </row>
    <row r="83" spans="1:4" hidden="1" x14ac:dyDescent="0.3">
      <c r="A83" s="62" t="s">
        <v>94</v>
      </c>
      <c r="B83" s="64"/>
      <c r="C83" s="66"/>
      <c r="D83" s="107">
        <f t="shared" si="1"/>
        <v>0</v>
      </c>
    </row>
    <row r="84" spans="1:4" hidden="1" x14ac:dyDescent="0.3">
      <c r="A84" s="62" t="s">
        <v>101</v>
      </c>
      <c r="B84" s="64"/>
      <c r="C84" s="66"/>
      <c r="D84" s="107">
        <f t="shared" si="1"/>
        <v>0</v>
      </c>
    </row>
    <row r="85" spans="1:4" hidden="1" x14ac:dyDescent="0.3">
      <c r="A85" s="62" t="s">
        <v>97</v>
      </c>
      <c r="B85" s="64"/>
      <c r="C85" s="66"/>
      <c r="D85" s="107">
        <f t="shared" si="1"/>
        <v>0</v>
      </c>
    </row>
    <row r="86" spans="1:4" hidden="1" x14ac:dyDescent="0.3">
      <c r="A86" s="62" t="s">
        <v>75</v>
      </c>
      <c r="B86" s="64"/>
      <c r="C86" s="66"/>
      <c r="D86" s="107">
        <f t="shared" si="1"/>
        <v>0</v>
      </c>
    </row>
    <row r="87" spans="1:4" x14ac:dyDescent="0.3">
      <c r="A87" s="62" t="s">
        <v>76</v>
      </c>
      <c r="B87" s="64">
        <v>155</v>
      </c>
      <c r="C87" s="66">
        <v>30000</v>
      </c>
      <c r="D87" s="107">
        <f t="shared" si="1"/>
        <v>4650000</v>
      </c>
    </row>
    <row r="88" spans="1:4" hidden="1" x14ac:dyDescent="0.3">
      <c r="A88" s="62" t="s">
        <v>76</v>
      </c>
      <c r="B88" s="64"/>
      <c r="C88" s="66"/>
      <c r="D88" s="107">
        <f t="shared" si="1"/>
        <v>0</v>
      </c>
    </row>
    <row r="89" spans="1:4" hidden="1" x14ac:dyDescent="0.3">
      <c r="A89" s="62" t="s">
        <v>77</v>
      </c>
      <c r="B89" s="64"/>
      <c r="C89" s="66"/>
      <c r="D89" s="107">
        <f t="shared" si="1"/>
        <v>0</v>
      </c>
    </row>
    <row r="90" spans="1:4" x14ac:dyDescent="0.3">
      <c r="A90" s="62" t="s">
        <v>78</v>
      </c>
      <c r="B90" s="64">
        <v>120</v>
      </c>
      <c r="C90" s="66">
        <v>20000</v>
      </c>
      <c r="D90" s="107">
        <f t="shared" si="1"/>
        <v>2400000</v>
      </c>
    </row>
    <row r="91" spans="1:4" hidden="1" x14ac:dyDescent="0.3">
      <c r="A91" s="62" t="s">
        <v>78</v>
      </c>
      <c r="B91" s="64"/>
      <c r="C91" s="66"/>
      <c r="D91" s="107">
        <f t="shared" si="1"/>
        <v>0</v>
      </c>
    </row>
    <row r="92" spans="1:4" x14ac:dyDescent="0.3">
      <c r="A92" s="62" t="s">
        <v>592</v>
      </c>
      <c r="B92" s="64">
        <v>45</v>
      </c>
      <c r="C92" s="68">
        <v>18000</v>
      </c>
      <c r="D92" s="107">
        <f t="shared" si="1"/>
        <v>810000</v>
      </c>
    </row>
    <row r="93" spans="1:4" x14ac:dyDescent="0.3">
      <c r="A93" s="62" t="s">
        <v>79</v>
      </c>
      <c r="B93" s="64">
        <v>50</v>
      </c>
      <c r="C93" s="66">
        <v>20000</v>
      </c>
      <c r="D93" s="107">
        <f t="shared" si="1"/>
        <v>1000000</v>
      </c>
    </row>
    <row r="94" spans="1:4" hidden="1" x14ac:dyDescent="0.3">
      <c r="A94" s="62" t="s">
        <v>79</v>
      </c>
      <c r="B94" s="64"/>
      <c r="C94" s="66"/>
      <c r="D94" s="107">
        <f t="shared" si="1"/>
        <v>0</v>
      </c>
    </row>
    <row r="95" spans="1:4" x14ac:dyDescent="0.3">
      <c r="A95" s="62" t="s">
        <v>80</v>
      </c>
      <c r="B95" s="64">
        <v>14</v>
      </c>
      <c r="C95" s="66">
        <v>16500</v>
      </c>
      <c r="D95" s="107">
        <f t="shared" si="1"/>
        <v>231000</v>
      </c>
    </row>
    <row r="96" spans="1:4" x14ac:dyDescent="0.3">
      <c r="A96" s="62" t="s">
        <v>577</v>
      </c>
      <c r="B96" s="64">
        <v>17</v>
      </c>
      <c r="C96" s="66">
        <v>20000</v>
      </c>
      <c r="D96" s="107">
        <f t="shared" si="1"/>
        <v>340000</v>
      </c>
    </row>
    <row r="97" spans="1:4" hidden="1" x14ac:dyDescent="0.3">
      <c r="A97" s="62" t="s">
        <v>85</v>
      </c>
      <c r="B97" s="64"/>
      <c r="C97" s="66"/>
      <c r="D97" s="107">
        <f t="shared" si="1"/>
        <v>0</v>
      </c>
    </row>
    <row r="98" spans="1:4" hidden="1" x14ac:dyDescent="0.3">
      <c r="A98" s="62" t="s">
        <v>88</v>
      </c>
      <c r="B98" s="64"/>
      <c r="C98" s="66"/>
      <c r="D98" s="107">
        <f t="shared" si="1"/>
        <v>0</v>
      </c>
    </row>
    <row r="99" spans="1:4" hidden="1" x14ac:dyDescent="0.3">
      <c r="A99" s="62" t="s">
        <v>95</v>
      </c>
      <c r="B99" s="64"/>
      <c r="C99" s="66"/>
      <c r="D99" s="107">
        <f t="shared" si="1"/>
        <v>0</v>
      </c>
    </row>
    <row r="100" spans="1:4" x14ac:dyDescent="0.3">
      <c r="A100" s="62" t="s">
        <v>82</v>
      </c>
      <c r="B100" s="64">
        <v>125</v>
      </c>
      <c r="C100" s="66">
        <v>7000</v>
      </c>
      <c r="D100" s="107">
        <f t="shared" si="1"/>
        <v>875000</v>
      </c>
    </row>
    <row r="101" spans="1:4" hidden="1" x14ac:dyDescent="0.3">
      <c r="A101" s="62" t="s">
        <v>37</v>
      </c>
      <c r="B101" s="64"/>
      <c r="C101" s="66"/>
      <c r="D101" s="107">
        <f t="shared" si="1"/>
        <v>0</v>
      </c>
    </row>
    <row r="102" spans="1:4" hidden="1" x14ac:dyDescent="0.3">
      <c r="A102" s="62" t="s">
        <v>585</v>
      </c>
      <c r="B102" s="64"/>
      <c r="C102" s="66"/>
      <c r="D102" s="107">
        <f t="shared" si="1"/>
        <v>0</v>
      </c>
    </row>
    <row r="103" spans="1:4" hidden="1" x14ac:dyDescent="0.3">
      <c r="A103" s="62" t="s">
        <v>38</v>
      </c>
      <c r="B103" s="64"/>
      <c r="C103" s="66"/>
      <c r="D103" s="107">
        <f t="shared" si="1"/>
        <v>0</v>
      </c>
    </row>
    <row r="104" spans="1:4" hidden="1" x14ac:dyDescent="0.3">
      <c r="A104" s="62" t="s">
        <v>39</v>
      </c>
      <c r="B104" s="64"/>
      <c r="C104" s="66"/>
      <c r="D104" s="107">
        <f t="shared" si="1"/>
        <v>0</v>
      </c>
    </row>
    <row r="105" spans="1:4" hidden="1" x14ac:dyDescent="0.3">
      <c r="A105" s="62" t="s">
        <v>47</v>
      </c>
      <c r="B105" s="64"/>
      <c r="C105" s="66"/>
      <c r="D105" s="107">
        <f t="shared" si="1"/>
        <v>0</v>
      </c>
    </row>
    <row r="106" spans="1:4" hidden="1" x14ac:dyDescent="0.3">
      <c r="A106" s="62" t="s">
        <v>40</v>
      </c>
      <c r="B106" s="64"/>
      <c r="C106" s="66"/>
      <c r="D106" s="107">
        <f t="shared" si="1"/>
        <v>0</v>
      </c>
    </row>
    <row r="107" spans="1:4" hidden="1" x14ac:dyDescent="0.3">
      <c r="A107" s="62" t="s">
        <v>41</v>
      </c>
      <c r="B107" s="64"/>
      <c r="C107" s="66"/>
      <c r="D107" s="107">
        <f t="shared" si="1"/>
        <v>0</v>
      </c>
    </row>
    <row r="108" spans="1:4" hidden="1" x14ac:dyDescent="0.3">
      <c r="A108" s="62" t="s">
        <v>45</v>
      </c>
      <c r="B108" s="64"/>
      <c r="C108" s="66"/>
      <c r="D108" s="107">
        <f t="shared" si="1"/>
        <v>0</v>
      </c>
    </row>
    <row r="109" spans="1:4" hidden="1" x14ac:dyDescent="0.3">
      <c r="A109" s="62" t="s">
        <v>46</v>
      </c>
      <c r="B109" s="64"/>
      <c r="C109" s="66"/>
      <c r="D109" s="107">
        <f t="shared" si="1"/>
        <v>0</v>
      </c>
    </row>
    <row r="110" spans="1:4" hidden="1" x14ac:dyDescent="0.3">
      <c r="A110" s="108" t="e">
        <v>#N/A</v>
      </c>
      <c r="B110" s="109"/>
      <c r="C110" s="97"/>
      <c r="D110" s="107">
        <f t="shared" si="1"/>
        <v>0</v>
      </c>
    </row>
    <row r="111" spans="1:4" hidden="1" x14ac:dyDescent="0.3">
      <c r="D111" s="107">
        <f t="shared" si="1"/>
        <v>0</v>
      </c>
    </row>
    <row r="112" spans="1:4" x14ac:dyDescent="0.3">
      <c r="D112" s="107">
        <f>SUM(D5:D100)</f>
        <v>93716800</v>
      </c>
    </row>
    <row r="113" spans="1:4" ht="31.2" x14ac:dyDescent="0.3">
      <c r="A113" s="48" t="s">
        <v>0</v>
      </c>
      <c r="B113" s="49" t="s">
        <v>544</v>
      </c>
      <c r="C113" s="50" t="s">
        <v>594</v>
      </c>
      <c r="D113" s="107" t="s">
        <v>129</v>
      </c>
    </row>
    <row r="114" spans="1:4" ht="15.6" hidden="1" x14ac:dyDescent="0.3">
      <c r="A114" s="51" t="s">
        <v>21</v>
      </c>
      <c r="B114" s="52"/>
      <c r="C114" s="53"/>
      <c r="D114" s="107">
        <f t="shared" si="1"/>
        <v>0</v>
      </c>
    </row>
    <row r="115" spans="1:4" ht="15.6" hidden="1" x14ac:dyDescent="0.3">
      <c r="A115" s="51" t="s">
        <v>22</v>
      </c>
      <c r="B115" s="52"/>
      <c r="C115" s="53"/>
      <c r="D115" s="107">
        <f t="shared" si="1"/>
        <v>0</v>
      </c>
    </row>
    <row r="116" spans="1:4" ht="15.6" x14ac:dyDescent="0.3">
      <c r="A116" s="51" t="s">
        <v>23</v>
      </c>
      <c r="B116" s="52">
        <v>1703</v>
      </c>
      <c r="C116" s="53">
        <v>6800</v>
      </c>
      <c r="D116" s="107">
        <f t="shared" si="1"/>
        <v>11580400</v>
      </c>
    </row>
    <row r="117" spans="1:4" ht="15.6" x14ac:dyDescent="0.3">
      <c r="A117" s="51" t="s">
        <v>48</v>
      </c>
      <c r="B117" s="52">
        <v>195</v>
      </c>
      <c r="C117" s="53">
        <v>12000</v>
      </c>
      <c r="D117" s="107">
        <f t="shared" si="1"/>
        <v>2340000</v>
      </c>
    </row>
    <row r="118" spans="1:4" ht="15.6" x14ac:dyDescent="0.3">
      <c r="A118" s="51" t="s">
        <v>50</v>
      </c>
      <c r="B118" s="52">
        <v>250</v>
      </c>
      <c r="C118" s="53">
        <v>6500</v>
      </c>
      <c r="D118" s="107">
        <f t="shared" si="1"/>
        <v>1625000</v>
      </c>
    </row>
    <row r="119" spans="1:4" ht="15.6" hidden="1" x14ac:dyDescent="0.3">
      <c r="A119" s="51" t="s">
        <v>121</v>
      </c>
      <c r="B119" s="52"/>
      <c r="C119" s="53"/>
      <c r="D119" s="107">
        <f t="shared" si="1"/>
        <v>0</v>
      </c>
    </row>
    <row r="120" spans="1:4" ht="15.6" hidden="1" x14ac:dyDescent="0.3">
      <c r="A120" s="51" t="s">
        <v>51</v>
      </c>
      <c r="B120" s="52"/>
      <c r="C120" s="53"/>
      <c r="D120" s="107">
        <f t="shared" si="1"/>
        <v>0</v>
      </c>
    </row>
    <row r="121" spans="1:4" ht="15.6" hidden="1" x14ac:dyDescent="0.3">
      <c r="A121" s="51" t="s">
        <v>92</v>
      </c>
      <c r="B121" s="52"/>
      <c r="C121" s="53"/>
      <c r="D121" s="107">
        <f t="shared" si="1"/>
        <v>0</v>
      </c>
    </row>
    <row r="122" spans="1:4" ht="15.6" hidden="1" x14ac:dyDescent="0.3">
      <c r="A122" s="51" t="s">
        <v>110</v>
      </c>
      <c r="B122" s="52"/>
      <c r="C122" s="53"/>
      <c r="D122" s="107">
        <f t="shared" si="1"/>
        <v>0</v>
      </c>
    </row>
    <row r="123" spans="1:4" ht="15.6" hidden="1" x14ac:dyDescent="0.3">
      <c r="A123" s="51" t="s">
        <v>17</v>
      </c>
      <c r="B123" s="52"/>
      <c r="C123" s="53"/>
      <c r="D123" s="107">
        <f t="shared" si="1"/>
        <v>0</v>
      </c>
    </row>
    <row r="124" spans="1:4" ht="15.6" hidden="1" x14ac:dyDescent="0.3">
      <c r="A124" s="51" t="s">
        <v>53</v>
      </c>
      <c r="B124" s="52"/>
      <c r="C124" s="53"/>
      <c r="D124" s="107">
        <f t="shared" si="1"/>
        <v>0</v>
      </c>
    </row>
    <row r="125" spans="1:4" ht="15.6" hidden="1" x14ac:dyDescent="0.3">
      <c r="A125" s="51" t="s">
        <v>56</v>
      </c>
      <c r="B125" s="52"/>
      <c r="C125" s="53"/>
      <c r="D125" s="107">
        <f t="shared" si="1"/>
        <v>0</v>
      </c>
    </row>
    <row r="126" spans="1:4" ht="15.6" x14ac:dyDescent="0.3">
      <c r="A126" s="51" t="s">
        <v>60</v>
      </c>
      <c r="B126" s="52">
        <v>470</v>
      </c>
      <c r="C126" s="53">
        <v>14000</v>
      </c>
      <c r="D126" s="107">
        <f t="shared" si="1"/>
        <v>6580000</v>
      </c>
    </row>
    <row r="127" spans="1:4" ht="15.6" hidden="1" x14ac:dyDescent="0.3">
      <c r="A127" s="51" t="s">
        <v>1</v>
      </c>
      <c r="B127" s="52"/>
      <c r="C127" s="53"/>
      <c r="D127" s="107">
        <f t="shared" si="1"/>
        <v>0</v>
      </c>
    </row>
    <row r="128" spans="1:4" ht="15.6" hidden="1" x14ac:dyDescent="0.3">
      <c r="A128" s="51" t="s">
        <v>62</v>
      </c>
      <c r="B128" s="52"/>
      <c r="C128" s="53"/>
      <c r="D128" s="107">
        <f t="shared" si="1"/>
        <v>0</v>
      </c>
    </row>
    <row r="129" spans="1:4" ht="15.6" x14ac:dyDescent="0.3">
      <c r="A129" s="51" t="s">
        <v>27</v>
      </c>
      <c r="B129" s="52">
        <v>400</v>
      </c>
      <c r="C129" s="53">
        <v>14000</v>
      </c>
      <c r="D129" s="107">
        <f t="shared" si="1"/>
        <v>5600000</v>
      </c>
    </row>
    <row r="130" spans="1:4" ht="15.6" hidden="1" x14ac:dyDescent="0.3">
      <c r="A130" s="51" t="s">
        <v>109</v>
      </c>
      <c r="B130" s="52"/>
      <c r="C130" s="53"/>
      <c r="D130" s="107">
        <f t="shared" si="1"/>
        <v>0</v>
      </c>
    </row>
    <row r="131" spans="1:4" ht="15.6" hidden="1" x14ac:dyDescent="0.3">
      <c r="A131" s="51" t="s">
        <v>28</v>
      </c>
      <c r="B131" s="52"/>
      <c r="C131" s="53"/>
      <c r="D131" s="107">
        <f t="shared" si="1"/>
        <v>0</v>
      </c>
    </row>
    <row r="132" spans="1:4" ht="15.6" hidden="1" x14ac:dyDescent="0.3">
      <c r="A132" s="51" t="s">
        <v>120</v>
      </c>
      <c r="B132" s="52"/>
      <c r="C132" s="53"/>
      <c r="D132" s="107">
        <f t="shared" si="1"/>
        <v>0</v>
      </c>
    </row>
    <row r="133" spans="1:4" ht="15.6" x14ac:dyDescent="0.3">
      <c r="A133" s="51" t="s">
        <v>87</v>
      </c>
      <c r="B133" s="52">
        <v>107</v>
      </c>
      <c r="C133" s="53">
        <v>12000</v>
      </c>
      <c r="D133" s="107">
        <f t="shared" ref="D133:D159" si="2">B133*C133</f>
        <v>1284000</v>
      </c>
    </row>
    <row r="134" spans="1:4" ht="15.6" hidden="1" x14ac:dyDescent="0.3">
      <c r="A134" s="51" t="s">
        <v>117</v>
      </c>
      <c r="B134" s="52"/>
      <c r="C134" s="53"/>
      <c r="D134" s="107">
        <f t="shared" si="2"/>
        <v>0</v>
      </c>
    </row>
    <row r="135" spans="1:4" ht="15.6" hidden="1" x14ac:dyDescent="0.3">
      <c r="A135" s="51" t="s">
        <v>5</v>
      </c>
      <c r="B135" s="52"/>
      <c r="C135" s="53"/>
      <c r="D135" s="107">
        <f t="shared" si="2"/>
        <v>0</v>
      </c>
    </row>
    <row r="136" spans="1:4" ht="15.6" x14ac:dyDescent="0.3">
      <c r="A136" s="51" t="s">
        <v>6</v>
      </c>
      <c r="B136" s="52">
        <v>80</v>
      </c>
      <c r="C136" s="53">
        <v>16000</v>
      </c>
      <c r="D136" s="107">
        <f t="shared" si="2"/>
        <v>1280000</v>
      </c>
    </row>
    <row r="137" spans="1:4" ht="15.6" hidden="1" x14ac:dyDescent="0.3">
      <c r="A137" s="51" t="s">
        <v>8</v>
      </c>
      <c r="B137" s="52"/>
      <c r="C137" s="53"/>
      <c r="D137" s="107">
        <f t="shared" si="2"/>
        <v>0</v>
      </c>
    </row>
    <row r="138" spans="1:4" ht="15.6" hidden="1" x14ac:dyDescent="0.3">
      <c r="A138" s="51" t="s">
        <v>119</v>
      </c>
      <c r="B138" s="52"/>
      <c r="C138" s="53"/>
      <c r="D138" s="107">
        <f t="shared" si="2"/>
        <v>0</v>
      </c>
    </row>
    <row r="139" spans="1:4" ht="15.6" x14ac:dyDescent="0.3">
      <c r="A139" s="51" t="s">
        <v>12</v>
      </c>
      <c r="B139" s="52">
        <v>860</v>
      </c>
      <c r="C139" s="53">
        <v>27000</v>
      </c>
      <c r="D139" s="107">
        <f t="shared" si="2"/>
        <v>23220000</v>
      </c>
    </row>
    <row r="140" spans="1:4" ht="15.6" x14ac:dyDescent="0.3">
      <c r="A140" s="51" t="s">
        <v>14</v>
      </c>
      <c r="B140" s="52">
        <v>74</v>
      </c>
      <c r="C140" s="53">
        <v>12000</v>
      </c>
      <c r="D140" s="107">
        <f t="shared" si="2"/>
        <v>888000</v>
      </c>
    </row>
    <row r="141" spans="1:4" ht="15.6" hidden="1" x14ac:dyDescent="0.3">
      <c r="A141" s="51" t="s">
        <v>111</v>
      </c>
      <c r="B141" s="52"/>
      <c r="C141" s="53"/>
      <c r="D141" s="107">
        <f t="shared" si="2"/>
        <v>0</v>
      </c>
    </row>
    <row r="142" spans="1:4" ht="15.6" x14ac:dyDescent="0.3">
      <c r="A142" s="51" t="s">
        <v>15</v>
      </c>
      <c r="B142" s="52">
        <v>145</v>
      </c>
      <c r="C142" s="53">
        <v>16000</v>
      </c>
      <c r="D142" s="107">
        <f t="shared" si="2"/>
        <v>2320000</v>
      </c>
    </row>
    <row r="143" spans="1:4" ht="15.6" hidden="1" x14ac:dyDescent="0.3">
      <c r="A143" s="51" t="s">
        <v>15</v>
      </c>
      <c r="B143" s="52"/>
      <c r="C143" s="53"/>
      <c r="D143" s="107">
        <f t="shared" si="2"/>
        <v>0</v>
      </c>
    </row>
    <row r="144" spans="1:4" ht="15.6" hidden="1" x14ac:dyDescent="0.3">
      <c r="A144" s="51" t="s">
        <v>16</v>
      </c>
      <c r="B144" s="52"/>
      <c r="C144" s="53"/>
      <c r="D144" s="107">
        <f t="shared" si="2"/>
        <v>0</v>
      </c>
    </row>
    <row r="145" spans="1:4" ht="15.6" hidden="1" x14ac:dyDescent="0.3">
      <c r="A145" s="51" t="s">
        <v>68</v>
      </c>
      <c r="B145" s="52"/>
      <c r="C145" s="53"/>
      <c r="D145" s="107">
        <f t="shared" si="2"/>
        <v>0</v>
      </c>
    </row>
    <row r="146" spans="1:4" ht="15.6" hidden="1" x14ac:dyDescent="0.3">
      <c r="A146" s="51" t="s">
        <v>67</v>
      </c>
      <c r="B146" s="52"/>
      <c r="C146" s="53"/>
      <c r="D146" s="107">
        <f t="shared" si="2"/>
        <v>0</v>
      </c>
    </row>
    <row r="147" spans="1:4" ht="15.6" x14ac:dyDescent="0.3">
      <c r="A147" s="51" t="s">
        <v>72</v>
      </c>
      <c r="B147" s="52">
        <v>215</v>
      </c>
      <c r="C147" s="53">
        <v>10000</v>
      </c>
      <c r="D147" s="107">
        <f t="shared" si="2"/>
        <v>2150000</v>
      </c>
    </row>
    <row r="148" spans="1:4" ht="15.6" hidden="1" x14ac:dyDescent="0.3">
      <c r="A148" s="51" t="s">
        <v>29</v>
      </c>
      <c r="B148" s="52"/>
      <c r="C148" s="53"/>
      <c r="D148" s="107">
        <f t="shared" si="2"/>
        <v>0</v>
      </c>
    </row>
    <row r="149" spans="1:4" ht="15.6" hidden="1" x14ac:dyDescent="0.3">
      <c r="A149" s="51" t="s">
        <v>123</v>
      </c>
      <c r="B149" s="52"/>
      <c r="C149" s="53"/>
      <c r="D149" s="107">
        <f t="shared" si="2"/>
        <v>0</v>
      </c>
    </row>
    <row r="150" spans="1:4" ht="15.6" hidden="1" x14ac:dyDescent="0.3">
      <c r="A150" s="51" t="s">
        <v>122</v>
      </c>
      <c r="B150" s="52"/>
      <c r="C150" s="53"/>
      <c r="D150" s="107">
        <f t="shared" si="2"/>
        <v>0</v>
      </c>
    </row>
    <row r="151" spans="1:4" ht="15.6" hidden="1" x14ac:dyDescent="0.3">
      <c r="A151" s="51" t="s">
        <v>76</v>
      </c>
      <c r="B151" s="52"/>
      <c r="C151" s="53"/>
      <c r="D151" s="107">
        <f t="shared" si="2"/>
        <v>0</v>
      </c>
    </row>
    <row r="152" spans="1:4" ht="15.6" hidden="1" x14ac:dyDescent="0.3">
      <c r="A152" s="51" t="s">
        <v>78</v>
      </c>
      <c r="B152" s="52"/>
      <c r="C152" s="53"/>
      <c r="D152" s="107">
        <f t="shared" si="2"/>
        <v>0</v>
      </c>
    </row>
    <row r="153" spans="1:4" ht="15.6" hidden="1" x14ac:dyDescent="0.3">
      <c r="A153" s="51" t="s">
        <v>79</v>
      </c>
      <c r="B153" s="52"/>
      <c r="C153" s="53"/>
      <c r="D153" s="107">
        <f t="shared" si="2"/>
        <v>0</v>
      </c>
    </row>
    <row r="154" spans="1:4" ht="15.6" hidden="1" x14ac:dyDescent="0.3">
      <c r="A154" s="51" t="s">
        <v>124</v>
      </c>
      <c r="B154" s="52"/>
      <c r="C154" s="53"/>
      <c r="D154" s="107">
        <f t="shared" si="2"/>
        <v>0</v>
      </c>
    </row>
    <row r="155" spans="1:4" ht="15.6" hidden="1" x14ac:dyDescent="0.3">
      <c r="A155" s="51" t="s">
        <v>82</v>
      </c>
      <c r="B155" s="52"/>
      <c r="C155" s="53"/>
      <c r="D155" s="107">
        <f t="shared" si="2"/>
        <v>0</v>
      </c>
    </row>
    <row r="156" spans="1:4" ht="15.6" hidden="1" x14ac:dyDescent="0.3">
      <c r="A156" s="51" t="s">
        <v>39</v>
      </c>
      <c r="B156" s="52"/>
      <c r="C156" s="53"/>
      <c r="D156" s="107">
        <f t="shared" si="2"/>
        <v>0</v>
      </c>
    </row>
    <row r="157" spans="1:4" ht="15.6" hidden="1" x14ac:dyDescent="0.3">
      <c r="A157" s="51" t="s">
        <v>41</v>
      </c>
      <c r="B157" s="52"/>
      <c r="C157" s="53"/>
      <c r="D157" s="107">
        <f t="shared" si="2"/>
        <v>0</v>
      </c>
    </row>
    <row r="158" spans="1:4" ht="15.6" hidden="1" x14ac:dyDescent="0.3">
      <c r="A158" s="51" t="s">
        <v>46</v>
      </c>
      <c r="B158" s="52"/>
      <c r="C158" s="53"/>
      <c r="D158" s="107">
        <f t="shared" si="2"/>
        <v>0</v>
      </c>
    </row>
    <row r="159" spans="1:4" ht="15.6" hidden="1" x14ac:dyDescent="0.3">
      <c r="A159" s="51" t="e">
        <v>#N/A</v>
      </c>
      <c r="B159" s="52"/>
      <c r="C159" s="53"/>
      <c r="D159" s="107">
        <f t="shared" si="2"/>
        <v>0</v>
      </c>
    </row>
    <row r="160" spans="1:4" x14ac:dyDescent="0.3">
      <c r="D160" s="110">
        <f>SUM(D116:D147)</f>
        <v>58867400</v>
      </c>
    </row>
  </sheetData>
  <autoFilter ref="A2:E159" xr:uid="{00000000-0009-0000-0000-00000F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219"/>
  <sheetViews>
    <sheetView workbookViewId="0">
      <selection activeCell="H46" sqref="H46"/>
    </sheetView>
  </sheetViews>
  <sheetFormatPr defaultRowHeight="14.4" x14ac:dyDescent="0.3"/>
  <cols>
    <col min="1" max="1" width="39.44140625" customWidth="1"/>
    <col min="3" max="3" width="11.6640625" customWidth="1"/>
    <col min="4" max="4" width="15.5546875" customWidth="1"/>
  </cols>
  <sheetData>
    <row r="1" spans="1:4" x14ac:dyDescent="0.3">
      <c r="A1" t="s">
        <v>597</v>
      </c>
    </row>
    <row r="2" spans="1:4" x14ac:dyDescent="0.3">
      <c r="A2" t="s">
        <v>0</v>
      </c>
      <c r="B2" t="s">
        <v>544</v>
      </c>
      <c r="C2" t="s">
        <v>128</v>
      </c>
      <c r="D2" t="s">
        <v>129</v>
      </c>
    </row>
    <row r="3" spans="1:4" x14ac:dyDescent="0.3">
      <c r="A3" t="s">
        <v>1</v>
      </c>
      <c r="B3">
        <v>80</v>
      </c>
      <c r="C3">
        <v>16000</v>
      </c>
      <c r="D3">
        <f>B3*C3</f>
        <v>1280000</v>
      </c>
    </row>
    <row r="4" spans="1:4" hidden="1" x14ac:dyDescent="0.3">
      <c r="A4" t="s">
        <v>1</v>
      </c>
      <c r="D4">
        <f t="shared" ref="D4:D67" si="0">B4*C4</f>
        <v>0</v>
      </c>
    </row>
    <row r="5" spans="1:4" hidden="1" x14ac:dyDescent="0.3">
      <c r="A5" t="s">
        <v>2</v>
      </c>
      <c r="D5">
        <f t="shared" si="0"/>
        <v>0</v>
      </c>
    </row>
    <row r="6" spans="1:4" hidden="1" x14ac:dyDescent="0.3">
      <c r="A6" t="s">
        <v>2</v>
      </c>
      <c r="D6">
        <f t="shared" si="0"/>
        <v>0</v>
      </c>
    </row>
    <row r="7" spans="1:4" hidden="1" x14ac:dyDescent="0.3">
      <c r="A7" t="s">
        <v>3</v>
      </c>
      <c r="D7">
        <f t="shared" si="0"/>
        <v>0</v>
      </c>
    </row>
    <row r="8" spans="1:4" hidden="1" x14ac:dyDescent="0.3">
      <c r="A8" t="s">
        <v>4</v>
      </c>
      <c r="D8">
        <f t="shared" si="0"/>
        <v>0</v>
      </c>
    </row>
    <row r="9" spans="1:4" hidden="1" x14ac:dyDescent="0.3">
      <c r="A9" t="s">
        <v>5</v>
      </c>
      <c r="D9">
        <f t="shared" si="0"/>
        <v>0</v>
      </c>
    </row>
    <row r="10" spans="1:4" x14ac:dyDescent="0.3">
      <c r="A10" t="s">
        <v>6</v>
      </c>
      <c r="B10">
        <v>70</v>
      </c>
      <c r="C10">
        <v>15000</v>
      </c>
      <c r="D10">
        <f t="shared" si="0"/>
        <v>1050000</v>
      </c>
    </row>
    <row r="11" spans="1:4" hidden="1" x14ac:dyDescent="0.3">
      <c r="A11" t="s">
        <v>6</v>
      </c>
      <c r="D11">
        <f t="shared" si="0"/>
        <v>0</v>
      </c>
    </row>
    <row r="12" spans="1:4" hidden="1" x14ac:dyDescent="0.3">
      <c r="A12" t="s">
        <v>7</v>
      </c>
      <c r="D12">
        <f t="shared" si="0"/>
        <v>0</v>
      </c>
    </row>
    <row r="13" spans="1:4" x14ac:dyDescent="0.3">
      <c r="A13" t="s">
        <v>8</v>
      </c>
      <c r="B13">
        <v>170</v>
      </c>
      <c r="C13">
        <v>24000</v>
      </c>
      <c r="D13">
        <f t="shared" si="0"/>
        <v>4080000</v>
      </c>
    </row>
    <row r="14" spans="1:4" hidden="1" x14ac:dyDescent="0.3">
      <c r="A14" t="s">
        <v>9</v>
      </c>
      <c r="D14">
        <f t="shared" si="0"/>
        <v>0</v>
      </c>
    </row>
    <row r="15" spans="1:4" hidden="1" x14ac:dyDescent="0.3">
      <c r="A15" t="s">
        <v>10</v>
      </c>
      <c r="D15">
        <f t="shared" si="0"/>
        <v>0</v>
      </c>
    </row>
    <row r="16" spans="1:4" x14ac:dyDescent="0.3">
      <c r="A16" t="s">
        <v>11</v>
      </c>
      <c r="B16">
        <v>850</v>
      </c>
      <c r="C16">
        <v>26000</v>
      </c>
      <c r="D16">
        <f t="shared" si="0"/>
        <v>22100000</v>
      </c>
    </row>
    <row r="17" spans="1:4" hidden="1" x14ac:dyDescent="0.3">
      <c r="A17" t="s">
        <v>11</v>
      </c>
      <c r="D17">
        <f t="shared" si="0"/>
        <v>0</v>
      </c>
    </row>
    <row r="18" spans="1:4" x14ac:dyDescent="0.3">
      <c r="A18" t="s">
        <v>12</v>
      </c>
      <c r="B18">
        <v>380</v>
      </c>
      <c r="C18">
        <v>27000</v>
      </c>
      <c r="D18">
        <f t="shared" si="0"/>
        <v>10260000</v>
      </c>
    </row>
    <row r="19" spans="1:4" hidden="1" x14ac:dyDescent="0.3">
      <c r="A19" t="s">
        <v>12</v>
      </c>
      <c r="D19">
        <f t="shared" si="0"/>
        <v>0</v>
      </c>
    </row>
    <row r="20" spans="1:4" hidden="1" x14ac:dyDescent="0.3">
      <c r="A20" t="s">
        <v>13</v>
      </c>
      <c r="D20">
        <f t="shared" si="0"/>
        <v>0</v>
      </c>
    </row>
    <row r="21" spans="1:4" x14ac:dyDescent="0.3">
      <c r="A21" t="s">
        <v>14</v>
      </c>
      <c r="B21">
        <v>20</v>
      </c>
      <c r="C21">
        <v>12000</v>
      </c>
      <c r="D21">
        <f t="shared" si="0"/>
        <v>240000</v>
      </c>
    </row>
    <row r="22" spans="1:4" hidden="1" x14ac:dyDescent="0.3">
      <c r="A22" t="s">
        <v>14</v>
      </c>
      <c r="D22">
        <f t="shared" si="0"/>
        <v>0</v>
      </c>
    </row>
    <row r="23" spans="1:4" x14ac:dyDescent="0.3">
      <c r="A23" t="s">
        <v>15</v>
      </c>
      <c r="B23">
        <v>535</v>
      </c>
      <c r="C23">
        <v>16000</v>
      </c>
      <c r="D23">
        <f t="shared" si="0"/>
        <v>8560000</v>
      </c>
    </row>
    <row r="24" spans="1:4" hidden="1" x14ac:dyDescent="0.3">
      <c r="A24" t="s">
        <v>15</v>
      </c>
      <c r="D24">
        <f t="shared" si="0"/>
        <v>0</v>
      </c>
    </row>
    <row r="25" spans="1:4" hidden="1" x14ac:dyDescent="0.3">
      <c r="A25" t="s">
        <v>16</v>
      </c>
      <c r="D25">
        <f t="shared" si="0"/>
        <v>0</v>
      </c>
    </row>
    <row r="26" spans="1:4" hidden="1" x14ac:dyDescent="0.3">
      <c r="A26" t="s">
        <v>18</v>
      </c>
      <c r="D26">
        <f t="shared" si="0"/>
        <v>0</v>
      </c>
    </row>
    <row r="27" spans="1:4" hidden="1" x14ac:dyDescent="0.3">
      <c r="A27" t="s">
        <v>19</v>
      </c>
      <c r="D27">
        <f t="shared" si="0"/>
        <v>0</v>
      </c>
    </row>
    <row r="28" spans="1:4" hidden="1" x14ac:dyDescent="0.3">
      <c r="A28" t="s">
        <v>19</v>
      </c>
      <c r="D28">
        <f t="shared" si="0"/>
        <v>0</v>
      </c>
    </row>
    <row r="29" spans="1:4" hidden="1" x14ac:dyDescent="0.3">
      <c r="A29" t="s">
        <v>20</v>
      </c>
      <c r="D29">
        <f t="shared" si="0"/>
        <v>0</v>
      </c>
    </row>
    <row r="30" spans="1:4" hidden="1" x14ac:dyDescent="0.3">
      <c r="A30" t="s">
        <v>21</v>
      </c>
      <c r="D30">
        <f t="shared" si="0"/>
        <v>0</v>
      </c>
    </row>
    <row r="31" spans="1:4" hidden="1" x14ac:dyDescent="0.3">
      <c r="A31" t="s">
        <v>22</v>
      </c>
      <c r="D31">
        <f t="shared" si="0"/>
        <v>0</v>
      </c>
    </row>
    <row r="32" spans="1:4" x14ac:dyDescent="0.3">
      <c r="A32" t="s">
        <v>23</v>
      </c>
      <c r="B32">
        <v>250</v>
      </c>
      <c r="C32">
        <v>6500</v>
      </c>
      <c r="D32">
        <f t="shared" si="0"/>
        <v>1625000</v>
      </c>
    </row>
    <row r="33" spans="1:4" x14ac:dyDescent="0.3">
      <c r="A33" t="s">
        <v>24</v>
      </c>
      <c r="B33">
        <v>5</v>
      </c>
      <c r="C33">
        <v>36000</v>
      </c>
      <c r="D33">
        <f t="shared" si="0"/>
        <v>180000</v>
      </c>
    </row>
    <row r="34" spans="1:4" hidden="1" x14ac:dyDescent="0.3">
      <c r="A34" t="s">
        <v>24</v>
      </c>
      <c r="D34">
        <f t="shared" si="0"/>
        <v>0</v>
      </c>
    </row>
    <row r="35" spans="1:4" hidden="1" x14ac:dyDescent="0.3">
      <c r="A35" t="s">
        <v>557</v>
      </c>
      <c r="D35">
        <f t="shared" si="0"/>
        <v>0</v>
      </c>
    </row>
    <row r="36" spans="1:4" hidden="1" x14ac:dyDescent="0.3">
      <c r="A36" t="s">
        <v>25</v>
      </c>
      <c r="D36">
        <f t="shared" si="0"/>
        <v>0</v>
      </c>
    </row>
    <row r="37" spans="1:4" hidden="1" x14ac:dyDescent="0.3">
      <c r="A37" t="s">
        <v>25</v>
      </c>
      <c r="D37">
        <f t="shared" si="0"/>
        <v>0</v>
      </c>
    </row>
    <row r="38" spans="1:4" hidden="1" x14ac:dyDescent="0.3">
      <c r="A38" t="s">
        <v>26</v>
      </c>
      <c r="D38">
        <f t="shared" si="0"/>
        <v>0</v>
      </c>
    </row>
    <row r="39" spans="1:4" hidden="1" x14ac:dyDescent="0.3">
      <c r="A39" t="s">
        <v>26</v>
      </c>
      <c r="D39">
        <f t="shared" si="0"/>
        <v>0</v>
      </c>
    </row>
    <row r="40" spans="1:4" hidden="1" x14ac:dyDescent="0.3">
      <c r="A40" t="s">
        <v>26</v>
      </c>
      <c r="D40">
        <f t="shared" si="0"/>
        <v>0</v>
      </c>
    </row>
    <row r="41" spans="1:4" hidden="1" x14ac:dyDescent="0.3">
      <c r="A41" t="s">
        <v>27</v>
      </c>
      <c r="D41">
        <f t="shared" si="0"/>
        <v>0</v>
      </c>
    </row>
    <row r="42" spans="1:4" hidden="1" x14ac:dyDescent="0.3">
      <c r="A42" t="s">
        <v>28</v>
      </c>
      <c r="D42">
        <f t="shared" si="0"/>
        <v>0</v>
      </c>
    </row>
    <row r="43" spans="1:4" x14ac:dyDescent="0.3">
      <c r="A43" t="s">
        <v>28</v>
      </c>
      <c r="B43">
        <v>60</v>
      </c>
      <c r="C43">
        <v>15000</v>
      </c>
      <c r="D43">
        <f t="shared" si="0"/>
        <v>900000</v>
      </c>
    </row>
    <row r="44" spans="1:4" hidden="1" x14ac:dyDescent="0.3">
      <c r="A44" t="s">
        <v>28</v>
      </c>
      <c r="D44">
        <f t="shared" si="0"/>
        <v>0</v>
      </c>
    </row>
    <row r="45" spans="1:4" hidden="1" x14ac:dyDescent="0.3">
      <c r="A45" t="s">
        <v>29</v>
      </c>
      <c r="D45">
        <f t="shared" si="0"/>
        <v>0</v>
      </c>
    </row>
    <row r="46" spans="1:4" x14ac:dyDescent="0.3">
      <c r="A46" t="s">
        <v>29</v>
      </c>
      <c r="B46">
        <v>3</v>
      </c>
      <c r="C46">
        <v>37000</v>
      </c>
      <c r="D46">
        <f t="shared" si="0"/>
        <v>111000</v>
      </c>
    </row>
    <row r="47" spans="1:4" hidden="1" x14ac:dyDescent="0.3">
      <c r="A47" t="s">
        <v>30</v>
      </c>
      <c r="D47">
        <f t="shared" si="0"/>
        <v>0</v>
      </c>
    </row>
    <row r="48" spans="1:4" x14ac:dyDescent="0.3">
      <c r="A48" t="s">
        <v>31</v>
      </c>
      <c r="B48">
        <v>13</v>
      </c>
      <c r="C48">
        <v>14000</v>
      </c>
      <c r="D48">
        <f t="shared" si="0"/>
        <v>182000</v>
      </c>
    </row>
    <row r="49" spans="1:4" hidden="1" x14ac:dyDescent="0.3">
      <c r="A49" t="s">
        <v>33</v>
      </c>
      <c r="D49">
        <f t="shared" si="0"/>
        <v>0</v>
      </c>
    </row>
    <row r="50" spans="1:4" hidden="1" x14ac:dyDescent="0.3">
      <c r="A50" t="s">
        <v>34</v>
      </c>
      <c r="D50">
        <f t="shared" si="0"/>
        <v>0</v>
      </c>
    </row>
    <row r="51" spans="1:4" hidden="1" x14ac:dyDescent="0.3">
      <c r="A51" t="s">
        <v>35</v>
      </c>
      <c r="D51">
        <f t="shared" si="0"/>
        <v>0</v>
      </c>
    </row>
    <row r="52" spans="1:4" hidden="1" x14ac:dyDescent="0.3">
      <c r="A52" t="s">
        <v>35</v>
      </c>
      <c r="D52">
        <f t="shared" si="0"/>
        <v>0</v>
      </c>
    </row>
    <row r="53" spans="1:4" hidden="1" x14ac:dyDescent="0.3">
      <c r="A53" t="s">
        <v>36</v>
      </c>
      <c r="D53">
        <f t="shared" si="0"/>
        <v>0</v>
      </c>
    </row>
    <row r="54" spans="1:4" hidden="1" x14ac:dyDescent="0.3">
      <c r="A54" t="s">
        <v>37</v>
      </c>
      <c r="D54">
        <f t="shared" si="0"/>
        <v>0</v>
      </c>
    </row>
    <row r="55" spans="1:4" hidden="1" x14ac:dyDescent="0.3">
      <c r="A55" t="s">
        <v>37</v>
      </c>
      <c r="D55">
        <f t="shared" si="0"/>
        <v>0</v>
      </c>
    </row>
    <row r="56" spans="1:4" hidden="1" x14ac:dyDescent="0.3">
      <c r="A56" t="s">
        <v>38</v>
      </c>
      <c r="D56">
        <f t="shared" si="0"/>
        <v>0</v>
      </c>
    </row>
    <row r="57" spans="1:4" hidden="1" x14ac:dyDescent="0.3">
      <c r="A57" t="s">
        <v>39</v>
      </c>
      <c r="D57">
        <f t="shared" si="0"/>
        <v>0</v>
      </c>
    </row>
    <row r="58" spans="1:4" hidden="1" x14ac:dyDescent="0.3">
      <c r="A58" t="s">
        <v>40</v>
      </c>
      <c r="D58">
        <f t="shared" si="0"/>
        <v>0</v>
      </c>
    </row>
    <row r="59" spans="1:4" hidden="1" x14ac:dyDescent="0.3">
      <c r="A59" t="s">
        <v>41</v>
      </c>
      <c r="D59">
        <f t="shared" si="0"/>
        <v>0</v>
      </c>
    </row>
    <row r="60" spans="1:4" hidden="1" x14ac:dyDescent="0.3">
      <c r="A60" t="s">
        <v>42</v>
      </c>
      <c r="D60">
        <f t="shared" si="0"/>
        <v>0</v>
      </c>
    </row>
    <row r="61" spans="1:4" hidden="1" x14ac:dyDescent="0.3">
      <c r="A61" t="s">
        <v>43</v>
      </c>
      <c r="D61">
        <f t="shared" si="0"/>
        <v>0</v>
      </c>
    </row>
    <row r="62" spans="1:4" hidden="1" x14ac:dyDescent="0.3">
      <c r="A62" t="s">
        <v>43</v>
      </c>
      <c r="D62">
        <f t="shared" si="0"/>
        <v>0</v>
      </c>
    </row>
    <row r="63" spans="1:4" hidden="1" x14ac:dyDescent="0.3">
      <c r="A63" t="s">
        <v>44</v>
      </c>
      <c r="D63">
        <f t="shared" si="0"/>
        <v>0</v>
      </c>
    </row>
    <row r="64" spans="1:4" hidden="1" x14ac:dyDescent="0.3">
      <c r="A64" t="s">
        <v>45</v>
      </c>
      <c r="D64">
        <f t="shared" si="0"/>
        <v>0</v>
      </c>
    </row>
    <row r="65" spans="1:4" hidden="1" x14ac:dyDescent="0.3">
      <c r="A65" t="s">
        <v>46</v>
      </c>
      <c r="D65">
        <f t="shared" si="0"/>
        <v>0</v>
      </c>
    </row>
    <row r="66" spans="1:4" hidden="1" x14ac:dyDescent="0.3">
      <c r="A66" t="s">
        <v>47</v>
      </c>
      <c r="D66">
        <f t="shared" si="0"/>
        <v>0</v>
      </c>
    </row>
    <row r="67" spans="1:4" hidden="1" x14ac:dyDescent="0.3">
      <c r="A67" t="s">
        <v>48</v>
      </c>
      <c r="D67">
        <f t="shared" si="0"/>
        <v>0</v>
      </c>
    </row>
    <row r="68" spans="1:4" hidden="1" x14ac:dyDescent="0.3">
      <c r="A68" t="s">
        <v>49</v>
      </c>
      <c r="D68">
        <f t="shared" ref="D68:D131" si="1">B68*C68</f>
        <v>0</v>
      </c>
    </row>
    <row r="69" spans="1:4" x14ac:dyDescent="0.3">
      <c r="A69" t="s">
        <v>50</v>
      </c>
      <c r="B69">
        <v>660</v>
      </c>
      <c r="C69">
        <v>7000</v>
      </c>
      <c r="D69">
        <f t="shared" si="1"/>
        <v>4620000</v>
      </c>
    </row>
    <row r="70" spans="1:4" x14ac:dyDescent="0.3">
      <c r="A70" t="s">
        <v>51</v>
      </c>
      <c r="B70">
        <v>75</v>
      </c>
      <c r="C70">
        <v>22000</v>
      </c>
      <c r="D70">
        <f t="shared" si="1"/>
        <v>1650000</v>
      </c>
    </row>
    <row r="71" spans="1:4" hidden="1" x14ac:dyDescent="0.3">
      <c r="A71" t="s">
        <v>51</v>
      </c>
      <c r="D71">
        <f t="shared" si="1"/>
        <v>0</v>
      </c>
    </row>
    <row r="72" spans="1:4" x14ac:dyDescent="0.3">
      <c r="A72" t="s">
        <v>52</v>
      </c>
      <c r="B72">
        <v>12</v>
      </c>
      <c r="C72">
        <v>10000</v>
      </c>
      <c r="D72">
        <f t="shared" si="1"/>
        <v>120000</v>
      </c>
    </row>
    <row r="73" spans="1:4" hidden="1" x14ac:dyDescent="0.3">
      <c r="A73" t="s">
        <v>52</v>
      </c>
      <c r="D73">
        <f t="shared" si="1"/>
        <v>0</v>
      </c>
    </row>
    <row r="74" spans="1:4" x14ac:dyDescent="0.3">
      <c r="A74" t="s">
        <v>53</v>
      </c>
      <c r="B74">
        <v>256</v>
      </c>
      <c r="C74">
        <v>23000</v>
      </c>
      <c r="D74">
        <f t="shared" si="1"/>
        <v>5888000</v>
      </c>
    </row>
    <row r="75" spans="1:4" hidden="1" x14ac:dyDescent="0.3">
      <c r="A75" t="s">
        <v>53</v>
      </c>
      <c r="D75">
        <f t="shared" si="1"/>
        <v>0</v>
      </c>
    </row>
    <row r="76" spans="1:4" hidden="1" x14ac:dyDescent="0.3">
      <c r="A76" t="s">
        <v>54</v>
      </c>
      <c r="D76">
        <f t="shared" si="1"/>
        <v>0</v>
      </c>
    </row>
    <row r="77" spans="1:4" hidden="1" x14ac:dyDescent="0.3">
      <c r="A77" t="s">
        <v>55</v>
      </c>
      <c r="D77">
        <f t="shared" si="1"/>
        <v>0</v>
      </c>
    </row>
    <row r="78" spans="1:4" x14ac:dyDescent="0.3">
      <c r="A78" t="s">
        <v>56</v>
      </c>
      <c r="B78">
        <v>110</v>
      </c>
      <c r="C78">
        <v>9900</v>
      </c>
      <c r="D78">
        <f t="shared" si="1"/>
        <v>1089000</v>
      </c>
    </row>
    <row r="79" spans="1:4" hidden="1" x14ac:dyDescent="0.3">
      <c r="A79" t="s">
        <v>57</v>
      </c>
      <c r="D79">
        <f t="shared" si="1"/>
        <v>0</v>
      </c>
    </row>
    <row r="80" spans="1:4" hidden="1" x14ac:dyDescent="0.3">
      <c r="A80" t="s">
        <v>58</v>
      </c>
      <c r="D80">
        <f t="shared" si="1"/>
        <v>0</v>
      </c>
    </row>
    <row r="81" spans="1:4" hidden="1" x14ac:dyDescent="0.3">
      <c r="A81" t="s">
        <v>59</v>
      </c>
      <c r="D81">
        <f t="shared" si="1"/>
        <v>0</v>
      </c>
    </row>
    <row r="82" spans="1:4" x14ac:dyDescent="0.3">
      <c r="A82" t="s">
        <v>60</v>
      </c>
      <c r="B82">
        <v>160</v>
      </c>
      <c r="C82">
        <v>14000</v>
      </c>
      <c r="D82">
        <f t="shared" si="1"/>
        <v>2240000</v>
      </c>
    </row>
    <row r="83" spans="1:4" hidden="1" x14ac:dyDescent="0.3">
      <c r="A83" t="s">
        <v>60</v>
      </c>
      <c r="D83">
        <f t="shared" si="1"/>
        <v>0</v>
      </c>
    </row>
    <row r="84" spans="1:4" hidden="1" x14ac:dyDescent="0.3">
      <c r="A84" t="s">
        <v>60</v>
      </c>
      <c r="D84">
        <f t="shared" si="1"/>
        <v>0</v>
      </c>
    </row>
    <row r="85" spans="1:4" hidden="1" x14ac:dyDescent="0.3">
      <c r="A85" t="s">
        <v>61</v>
      </c>
      <c r="D85">
        <f t="shared" si="1"/>
        <v>0</v>
      </c>
    </row>
    <row r="86" spans="1:4" hidden="1" x14ac:dyDescent="0.3">
      <c r="A86" t="s">
        <v>62</v>
      </c>
      <c r="D86">
        <f t="shared" si="1"/>
        <v>0</v>
      </c>
    </row>
    <row r="87" spans="1:4" hidden="1" x14ac:dyDescent="0.3">
      <c r="A87" t="s">
        <v>63</v>
      </c>
      <c r="D87">
        <f t="shared" si="1"/>
        <v>0</v>
      </c>
    </row>
    <row r="88" spans="1:4" hidden="1" x14ac:dyDescent="0.3">
      <c r="A88" t="s">
        <v>64</v>
      </c>
      <c r="D88">
        <f t="shared" si="1"/>
        <v>0</v>
      </c>
    </row>
    <row r="89" spans="1:4" hidden="1" x14ac:dyDescent="0.3">
      <c r="A89" t="s">
        <v>65</v>
      </c>
      <c r="D89">
        <f t="shared" si="1"/>
        <v>0</v>
      </c>
    </row>
    <row r="90" spans="1:4" hidden="1" x14ac:dyDescent="0.3">
      <c r="A90" t="s">
        <v>66</v>
      </c>
      <c r="D90">
        <f t="shared" si="1"/>
        <v>0</v>
      </c>
    </row>
    <row r="91" spans="1:4" hidden="1" x14ac:dyDescent="0.3">
      <c r="A91" t="s">
        <v>67</v>
      </c>
      <c r="D91">
        <f t="shared" si="1"/>
        <v>0</v>
      </c>
    </row>
    <row r="92" spans="1:4" x14ac:dyDescent="0.3">
      <c r="A92" t="s">
        <v>68</v>
      </c>
      <c r="B92">
        <v>23</v>
      </c>
      <c r="C92">
        <v>12000</v>
      </c>
      <c r="D92">
        <f t="shared" si="1"/>
        <v>276000</v>
      </c>
    </row>
    <row r="93" spans="1:4" hidden="1" x14ac:dyDescent="0.3">
      <c r="A93" t="s">
        <v>69</v>
      </c>
      <c r="D93">
        <f t="shared" si="1"/>
        <v>0</v>
      </c>
    </row>
    <row r="94" spans="1:4" hidden="1" x14ac:dyDescent="0.3">
      <c r="A94" t="s">
        <v>69</v>
      </c>
      <c r="D94">
        <f t="shared" si="1"/>
        <v>0</v>
      </c>
    </row>
    <row r="95" spans="1:4" hidden="1" x14ac:dyDescent="0.3">
      <c r="A95" t="s">
        <v>70</v>
      </c>
      <c r="D95">
        <f t="shared" si="1"/>
        <v>0</v>
      </c>
    </row>
    <row r="96" spans="1:4" x14ac:dyDescent="0.3">
      <c r="A96" t="s">
        <v>71</v>
      </c>
      <c r="B96">
        <v>56</v>
      </c>
      <c r="C96">
        <v>20000</v>
      </c>
      <c r="D96">
        <f t="shared" si="1"/>
        <v>1120000</v>
      </c>
    </row>
    <row r="97" spans="1:4" x14ac:dyDescent="0.3">
      <c r="A97" t="s">
        <v>72</v>
      </c>
      <c r="B97">
        <v>88</v>
      </c>
      <c r="C97">
        <v>10000</v>
      </c>
      <c r="D97">
        <f t="shared" si="1"/>
        <v>880000</v>
      </c>
    </row>
    <row r="98" spans="1:4" hidden="1" x14ac:dyDescent="0.3">
      <c r="A98" t="s">
        <v>73</v>
      </c>
      <c r="D98">
        <f t="shared" si="1"/>
        <v>0</v>
      </c>
    </row>
    <row r="99" spans="1:4" hidden="1" x14ac:dyDescent="0.3">
      <c r="A99" t="s">
        <v>73</v>
      </c>
      <c r="D99">
        <f t="shared" si="1"/>
        <v>0</v>
      </c>
    </row>
    <row r="100" spans="1:4" x14ac:dyDescent="0.3">
      <c r="A100" t="s">
        <v>74</v>
      </c>
      <c r="B100">
        <v>20</v>
      </c>
      <c r="C100">
        <v>10000</v>
      </c>
      <c r="D100">
        <f t="shared" si="1"/>
        <v>200000</v>
      </c>
    </row>
    <row r="101" spans="1:4" hidden="1" x14ac:dyDescent="0.3">
      <c r="A101" t="s">
        <v>75</v>
      </c>
      <c r="D101">
        <f t="shared" si="1"/>
        <v>0</v>
      </c>
    </row>
    <row r="102" spans="1:4" hidden="1" x14ac:dyDescent="0.3">
      <c r="A102" t="s">
        <v>75</v>
      </c>
      <c r="D102">
        <f t="shared" si="1"/>
        <v>0</v>
      </c>
    </row>
    <row r="103" spans="1:4" x14ac:dyDescent="0.3">
      <c r="A103" t="s">
        <v>76</v>
      </c>
      <c r="B103">
        <v>190</v>
      </c>
      <c r="C103">
        <v>30000</v>
      </c>
      <c r="D103">
        <f t="shared" si="1"/>
        <v>5700000</v>
      </c>
    </row>
    <row r="104" spans="1:4" hidden="1" x14ac:dyDescent="0.3">
      <c r="A104" t="s">
        <v>76</v>
      </c>
      <c r="D104">
        <f t="shared" si="1"/>
        <v>0</v>
      </c>
    </row>
    <row r="105" spans="1:4" hidden="1" x14ac:dyDescent="0.3">
      <c r="A105" t="s">
        <v>77</v>
      </c>
      <c r="D105">
        <f t="shared" si="1"/>
        <v>0</v>
      </c>
    </row>
    <row r="106" spans="1:4" x14ac:dyDescent="0.3">
      <c r="A106" t="s">
        <v>78</v>
      </c>
      <c r="B106">
        <v>150</v>
      </c>
      <c r="C106">
        <v>20000</v>
      </c>
      <c r="D106">
        <f t="shared" si="1"/>
        <v>3000000</v>
      </c>
    </row>
    <row r="107" spans="1:4" hidden="1" x14ac:dyDescent="0.3">
      <c r="A107" t="s">
        <v>78</v>
      </c>
      <c r="D107">
        <f t="shared" si="1"/>
        <v>0</v>
      </c>
    </row>
    <row r="108" spans="1:4" x14ac:dyDescent="0.3">
      <c r="A108" t="s">
        <v>79</v>
      </c>
      <c r="B108">
        <v>170</v>
      </c>
      <c r="C108">
        <v>20000</v>
      </c>
      <c r="D108">
        <f t="shared" si="1"/>
        <v>3400000</v>
      </c>
    </row>
    <row r="109" spans="1:4" hidden="1" x14ac:dyDescent="0.3">
      <c r="A109" t="s">
        <v>79</v>
      </c>
      <c r="D109">
        <f t="shared" si="1"/>
        <v>0</v>
      </c>
    </row>
    <row r="110" spans="1:4" hidden="1" x14ac:dyDescent="0.3">
      <c r="A110" t="s">
        <v>80</v>
      </c>
      <c r="D110">
        <f t="shared" si="1"/>
        <v>0</v>
      </c>
    </row>
    <row r="111" spans="1:4" hidden="1" x14ac:dyDescent="0.3">
      <c r="A111" t="s">
        <v>81</v>
      </c>
      <c r="D111">
        <f t="shared" si="1"/>
        <v>0</v>
      </c>
    </row>
    <row r="112" spans="1:4" hidden="1" x14ac:dyDescent="0.3">
      <c r="A112" t="s">
        <v>81</v>
      </c>
      <c r="D112">
        <f t="shared" si="1"/>
        <v>0</v>
      </c>
    </row>
    <row r="113" spans="1:4" x14ac:dyDescent="0.3">
      <c r="A113" t="s">
        <v>82</v>
      </c>
      <c r="B113">
        <v>110</v>
      </c>
      <c r="C113">
        <v>9000</v>
      </c>
      <c r="D113">
        <f t="shared" si="1"/>
        <v>990000</v>
      </c>
    </row>
    <row r="114" spans="1:4" hidden="1" x14ac:dyDescent="0.3">
      <c r="A114" t="s">
        <v>83</v>
      </c>
      <c r="D114">
        <f t="shared" si="1"/>
        <v>0</v>
      </c>
    </row>
    <row r="115" spans="1:4" hidden="1" x14ac:dyDescent="0.3">
      <c r="A115" t="s">
        <v>84</v>
      </c>
      <c r="D115">
        <f t="shared" si="1"/>
        <v>0</v>
      </c>
    </row>
    <row r="116" spans="1:4" hidden="1" x14ac:dyDescent="0.3">
      <c r="A116" t="s">
        <v>85</v>
      </c>
      <c r="D116">
        <f t="shared" si="1"/>
        <v>0</v>
      </c>
    </row>
    <row r="117" spans="1:4" hidden="1" x14ac:dyDescent="0.3">
      <c r="A117" t="s">
        <v>86</v>
      </c>
      <c r="D117">
        <f t="shared" si="1"/>
        <v>0</v>
      </c>
    </row>
    <row r="118" spans="1:4" hidden="1" x14ac:dyDescent="0.3">
      <c r="A118" t="s">
        <v>87</v>
      </c>
      <c r="D118">
        <f t="shared" si="1"/>
        <v>0</v>
      </c>
    </row>
    <row r="119" spans="1:4" hidden="1" x14ac:dyDescent="0.3">
      <c r="A119" t="s">
        <v>88</v>
      </c>
      <c r="D119">
        <f t="shared" si="1"/>
        <v>0</v>
      </c>
    </row>
    <row r="120" spans="1:4" hidden="1" x14ac:dyDescent="0.3">
      <c r="A120" t="s">
        <v>89</v>
      </c>
      <c r="D120">
        <f t="shared" si="1"/>
        <v>0</v>
      </c>
    </row>
    <row r="121" spans="1:4" hidden="1" x14ac:dyDescent="0.3">
      <c r="A121" t="s">
        <v>90</v>
      </c>
      <c r="D121">
        <f t="shared" si="1"/>
        <v>0</v>
      </c>
    </row>
    <row r="122" spans="1:4" hidden="1" x14ac:dyDescent="0.3">
      <c r="A122" t="s">
        <v>91</v>
      </c>
      <c r="D122">
        <f t="shared" si="1"/>
        <v>0</v>
      </c>
    </row>
    <row r="123" spans="1:4" x14ac:dyDescent="0.3">
      <c r="A123" t="s">
        <v>92</v>
      </c>
      <c r="B123">
        <v>50</v>
      </c>
      <c r="C123">
        <v>13500</v>
      </c>
      <c r="D123">
        <f t="shared" si="1"/>
        <v>675000</v>
      </c>
    </row>
    <row r="124" spans="1:4" x14ac:dyDescent="0.3">
      <c r="A124" t="s">
        <v>93</v>
      </c>
      <c r="B124">
        <v>225</v>
      </c>
      <c r="C124">
        <v>24000</v>
      </c>
      <c r="D124">
        <f t="shared" si="1"/>
        <v>5400000</v>
      </c>
    </row>
    <row r="125" spans="1:4" hidden="1" x14ac:dyDescent="0.3">
      <c r="A125" t="s">
        <v>94</v>
      </c>
      <c r="D125">
        <f t="shared" si="1"/>
        <v>0</v>
      </c>
    </row>
    <row r="126" spans="1:4" hidden="1" x14ac:dyDescent="0.3">
      <c r="A126" t="s">
        <v>95</v>
      </c>
      <c r="D126">
        <f t="shared" si="1"/>
        <v>0</v>
      </c>
    </row>
    <row r="127" spans="1:4" hidden="1" x14ac:dyDescent="0.3">
      <c r="A127" t="s">
        <v>96</v>
      </c>
      <c r="D127">
        <f t="shared" si="1"/>
        <v>0</v>
      </c>
    </row>
    <row r="128" spans="1:4" hidden="1" x14ac:dyDescent="0.3">
      <c r="A128" t="s">
        <v>97</v>
      </c>
      <c r="D128">
        <f t="shared" si="1"/>
        <v>0</v>
      </c>
    </row>
    <row r="129" spans="1:4" hidden="1" x14ac:dyDescent="0.3">
      <c r="A129" t="s">
        <v>98</v>
      </c>
      <c r="D129">
        <f t="shared" si="1"/>
        <v>0</v>
      </c>
    </row>
    <row r="130" spans="1:4" hidden="1" x14ac:dyDescent="0.3">
      <c r="A130" t="s">
        <v>99</v>
      </c>
      <c r="D130">
        <f t="shared" si="1"/>
        <v>0</v>
      </c>
    </row>
    <row r="131" spans="1:4" hidden="1" x14ac:dyDescent="0.3">
      <c r="A131" t="s">
        <v>100</v>
      </c>
      <c r="D131">
        <f t="shared" si="1"/>
        <v>0</v>
      </c>
    </row>
    <row r="132" spans="1:4" hidden="1" x14ac:dyDescent="0.3">
      <c r="A132" t="s">
        <v>121</v>
      </c>
      <c r="D132">
        <f t="shared" ref="D132:D197" si="2">B132*C132</f>
        <v>0</v>
      </c>
    </row>
    <row r="133" spans="1:4" hidden="1" x14ac:dyDescent="0.3">
      <c r="A133" t="s">
        <v>101</v>
      </c>
      <c r="D133">
        <f t="shared" si="2"/>
        <v>0</v>
      </c>
    </row>
    <row r="134" spans="1:4" x14ac:dyDescent="0.3">
      <c r="A134" t="s">
        <v>102</v>
      </c>
      <c r="B134">
        <v>200</v>
      </c>
      <c r="C134">
        <v>26000</v>
      </c>
      <c r="D134">
        <f t="shared" si="2"/>
        <v>5200000</v>
      </c>
    </row>
    <row r="135" spans="1:4" hidden="1" x14ac:dyDescent="0.3">
      <c r="A135" t="s">
        <v>103</v>
      </c>
      <c r="D135">
        <f t="shared" si="2"/>
        <v>0</v>
      </c>
    </row>
    <row r="136" spans="1:4" hidden="1" x14ac:dyDescent="0.3">
      <c r="A136" t="s">
        <v>559</v>
      </c>
      <c r="D136">
        <f t="shared" si="2"/>
        <v>0</v>
      </c>
    </row>
    <row r="137" spans="1:4" hidden="1" x14ac:dyDescent="0.3">
      <c r="A137" t="s">
        <v>559</v>
      </c>
      <c r="D137">
        <f t="shared" si="2"/>
        <v>0</v>
      </c>
    </row>
    <row r="138" spans="1:4" hidden="1" x14ac:dyDescent="0.3">
      <c r="A138" t="s">
        <v>573</v>
      </c>
      <c r="D138">
        <f t="shared" si="2"/>
        <v>0</v>
      </c>
    </row>
    <row r="139" spans="1:4" hidden="1" x14ac:dyDescent="0.3">
      <c r="A139" t="s">
        <v>573</v>
      </c>
      <c r="D139">
        <f t="shared" si="2"/>
        <v>0</v>
      </c>
    </row>
    <row r="140" spans="1:4" hidden="1" x14ac:dyDescent="0.3">
      <c r="A140" t="s">
        <v>109</v>
      </c>
      <c r="D140">
        <f t="shared" si="2"/>
        <v>0</v>
      </c>
    </row>
    <row r="141" spans="1:4" hidden="1" x14ac:dyDescent="0.3">
      <c r="A141" t="s">
        <v>110</v>
      </c>
      <c r="D141">
        <f t="shared" si="2"/>
        <v>0</v>
      </c>
    </row>
    <row r="142" spans="1:4" hidden="1" x14ac:dyDescent="0.3">
      <c r="A142" t="s">
        <v>112</v>
      </c>
      <c r="D142">
        <f t="shared" si="2"/>
        <v>0</v>
      </c>
    </row>
    <row r="143" spans="1:4" hidden="1" x14ac:dyDescent="0.3">
      <c r="A143" t="s">
        <v>595</v>
      </c>
      <c r="D143">
        <f t="shared" si="2"/>
        <v>0</v>
      </c>
    </row>
    <row r="144" spans="1:4" hidden="1" x14ac:dyDescent="0.3">
      <c r="A144" t="s">
        <v>111</v>
      </c>
      <c r="D144">
        <f t="shared" si="2"/>
        <v>0</v>
      </c>
    </row>
    <row r="145" spans="1:4" hidden="1" x14ac:dyDescent="0.3">
      <c r="A145" t="s">
        <v>560</v>
      </c>
      <c r="D145">
        <f t="shared" si="2"/>
        <v>0</v>
      </c>
    </row>
    <row r="146" spans="1:4" hidden="1" x14ac:dyDescent="0.3">
      <c r="A146" t="s">
        <v>560</v>
      </c>
      <c r="D146">
        <f t="shared" si="2"/>
        <v>0</v>
      </c>
    </row>
    <row r="147" spans="1:4" hidden="1" x14ac:dyDescent="0.3">
      <c r="A147" t="s">
        <v>558</v>
      </c>
      <c r="D147">
        <f t="shared" si="2"/>
        <v>0</v>
      </c>
    </row>
    <row r="148" spans="1:4" hidden="1" x14ac:dyDescent="0.3">
      <c r="A148" t="s">
        <v>577</v>
      </c>
      <c r="D148">
        <f t="shared" si="2"/>
        <v>0</v>
      </c>
    </row>
    <row r="149" spans="1:4" hidden="1" x14ac:dyDescent="0.3">
      <c r="A149" t="s">
        <v>585</v>
      </c>
      <c r="D149">
        <f t="shared" si="2"/>
        <v>0</v>
      </c>
    </row>
    <row r="150" spans="1:4" hidden="1" x14ac:dyDescent="0.3">
      <c r="A150" t="s">
        <v>116</v>
      </c>
      <c r="D150">
        <f t="shared" si="2"/>
        <v>0</v>
      </c>
    </row>
    <row r="151" spans="1:4" hidden="1" x14ac:dyDescent="0.3">
      <c r="A151" t="s">
        <v>525</v>
      </c>
      <c r="D151">
        <f t="shared" si="2"/>
        <v>0</v>
      </c>
    </row>
    <row r="152" spans="1:4" hidden="1" x14ac:dyDescent="0.3">
      <c r="A152" t="s">
        <v>107</v>
      </c>
      <c r="D152">
        <f t="shared" si="2"/>
        <v>0</v>
      </c>
    </row>
    <row r="153" spans="1:4" hidden="1" x14ac:dyDescent="0.3">
      <c r="A153" t="s">
        <v>583</v>
      </c>
      <c r="D153">
        <f t="shared" si="2"/>
        <v>0</v>
      </c>
    </row>
    <row r="154" spans="1:4" hidden="1" x14ac:dyDescent="0.3">
      <c r="A154" t="s">
        <v>118</v>
      </c>
      <c r="D154">
        <f t="shared" si="2"/>
        <v>0</v>
      </c>
    </row>
    <row r="155" spans="1:4" x14ac:dyDescent="0.3">
      <c r="A155" t="s">
        <v>524</v>
      </c>
      <c r="B155">
        <v>40</v>
      </c>
      <c r="C155">
        <v>30000</v>
      </c>
      <c r="D155">
        <f t="shared" si="2"/>
        <v>1200000</v>
      </c>
    </row>
    <row r="156" spans="1:4" hidden="1" x14ac:dyDescent="0.3">
      <c r="A156" t="s">
        <v>115</v>
      </c>
      <c r="D156">
        <f t="shared" si="2"/>
        <v>0</v>
      </c>
    </row>
    <row r="157" spans="1:4" hidden="1" x14ac:dyDescent="0.3">
      <c r="A157" t="e">
        <v>#N/A</v>
      </c>
      <c r="D157">
        <f t="shared" si="2"/>
        <v>0</v>
      </c>
    </row>
    <row r="158" spans="1:4" x14ac:dyDescent="0.3">
      <c r="A158" t="s">
        <v>552</v>
      </c>
      <c r="B158">
        <v>25</v>
      </c>
      <c r="C158">
        <v>15000</v>
      </c>
      <c r="D158">
        <f t="shared" si="2"/>
        <v>375000</v>
      </c>
    </row>
    <row r="159" spans="1:4" hidden="1" x14ac:dyDescent="0.3">
      <c r="D159">
        <f t="shared" si="2"/>
        <v>0</v>
      </c>
    </row>
    <row r="160" spans="1:4" ht="15.6" hidden="1" x14ac:dyDescent="0.3">
      <c r="A160" s="72"/>
      <c r="B160" s="72"/>
      <c r="C160" s="72"/>
      <c r="D160">
        <f t="shared" si="2"/>
        <v>0</v>
      </c>
    </row>
    <row r="161" spans="1:4" ht="15.6" hidden="1" x14ac:dyDescent="0.3">
      <c r="A161" s="48"/>
      <c r="B161" s="49"/>
      <c r="C161" s="50"/>
      <c r="D161">
        <f t="shared" si="2"/>
        <v>0</v>
      </c>
    </row>
    <row r="162" spans="1:4" ht="15.6" x14ac:dyDescent="0.3">
      <c r="A162" s="48"/>
      <c r="B162" s="49"/>
      <c r="C162" s="50"/>
      <c r="D162">
        <f>SUM(D3:D158)</f>
        <v>94591000</v>
      </c>
    </row>
    <row r="163" spans="1:4" ht="15.6" x14ac:dyDescent="0.3">
      <c r="A163" s="48" t="s">
        <v>596</v>
      </c>
      <c r="B163" s="49"/>
      <c r="C163" s="50"/>
    </row>
    <row r="164" spans="1:4" ht="15.6" x14ac:dyDescent="0.3">
      <c r="A164" s="51" t="s">
        <v>0</v>
      </c>
      <c r="B164" s="52" t="s">
        <v>544</v>
      </c>
      <c r="C164" s="53" t="s">
        <v>128</v>
      </c>
      <c r="D164" t="s">
        <v>129</v>
      </c>
    </row>
    <row r="165" spans="1:4" ht="15.6" hidden="1" x14ac:dyDescent="0.3">
      <c r="A165" s="51" t="s">
        <v>1</v>
      </c>
      <c r="B165" s="52"/>
      <c r="C165" s="53"/>
      <c r="D165">
        <f t="shared" si="2"/>
        <v>0</v>
      </c>
    </row>
    <row r="166" spans="1:4" ht="15.6" hidden="1" x14ac:dyDescent="0.3">
      <c r="A166" s="51" t="s">
        <v>5</v>
      </c>
      <c r="B166" s="52"/>
      <c r="C166" s="53"/>
      <c r="D166">
        <f t="shared" si="2"/>
        <v>0</v>
      </c>
    </row>
    <row r="167" spans="1:4" ht="15.6" hidden="1" x14ac:dyDescent="0.3">
      <c r="A167" s="51" t="s">
        <v>6</v>
      </c>
      <c r="B167" s="52"/>
      <c r="C167" s="53"/>
      <c r="D167">
        <f t="shared" si="2"/>
        <v>0</v>
      </c>
    </row>
    <row r="168" spans="1:4" ht="15.6" x14ac:dyDescent="0.3">
      <c r="A168" s="51" t="s">
        <v>8</v>
      </c>
      <c r="B168" s="52">
        <v>200</v>
      </c>
      <c r="C168" s="53">
        <v>24000</v>
      </c>
      <c r="D168">
        <f t="shared" si="2"/>
        <v>4800000</v>
      </c>
    </row>
    <row r="169" spans="1:4" ht="15.6" hidden="1" x14ac:dyDescent="0.3">
      <c r="A169" s="51" t="s">
        <v>119</v>
      </c>
      <c r="B169" s="52"/>
      <c r="C169" s="53"/>
      <c r="D169">
        <f t="shared" si="2"/>
        <v>0</v>
      </c>
    </row>
    <row r="170" spans="1:4" ht="15.6" x14ac:dyDescent="0.3">
      <c r="A170" s="51" t="s">
        <v>12</v>
      </c>
      <c r="B170" s="52">
        <v>210</v>
      </c>
      <c r="C170" s="53">
        <v>27000</v>
      </c>
      <c r="D170">
        <f t="shared" si="2"/>
        <v>5670000</v>
      </c>
    </row>
    <row r="171" spans="1:4" ht="15.6" hidden="1" x14ac:dyDescent="0.3">
      <c r="A171" s="51" t="s">
        <v>14</v>
      </c>
      <c r="B171" s="52"/>
      <c r="C171" s="53"/>
      <c r="D171">
        <f t="shared" si="2"/>
        <v>0</v>
      </c>
    </row>
    <row r="172" spans="1:4" ht="15.6" hidden="1" x14ac:dyDescent="0.3">
      <c r="A172" s="51" t="s">
        <v>15</v>
      </c>
      <c r="B172" s="52"/>
      <c r="C172" s="53"/>
      <c r="D172">
        <f t="shared" si="2"/>
        <v>0</v>
      </c>
    </row>
    <row r="173" spans="1:4" ht="15.6" hidden="1" x14ac:dyDescent="0.3">
      <c r="A173" s="51" t="s">
        <v>16</v>
      </c>
      <c r="B173" s="52"/>
      <c r="C173" s="53"/>
      <c r="D173">
        <f t="shared" si="2"/>
        <v>0</v>
      </c>
    </row>
    <row r="174" spans="1:4" ht="15.6" hidden="1" x14ac:dyDescent="0.3">
      <c r="A174" s="51" t="s">
        <v>110</v>
      </c>
      <c r="B174" s="52"/>
      <c r="C174" s="53"/>
      <c r="D174">
        <f t="shared" si="2"/>
        <v>0</v>
      </c>
    </row>
    <row r="175" spans="1:4" ht="15.6" x14ac:dyDescent="0.3">
      <c r="A175" s="51" t="s">
        <v>17</v>
      </c>
      <c r="B175" s="52">
        <v>22</v>
      </c>
      <c r="C175" s="53">
        <v>31000</v>
      </c>
      <c r="D175">
        <f t="shared" si="2"/>
        <v>682000</v>
      </c>
    </row>
    <row r="176" spans="1:4" ht="15.6" hidden="1" x14ac:dyDescent="0.3">
      <c r="A176" s="51" t="s">
        <v>21</v>
      </c>
      <c r="B176" s="52"/>
      <c r="C176" s="53"/>
      <c r="D176">
        <f t="shared" si="2"/>
        <v>0</v>
      </c>
    </row>
    <row r="177" spans="1:4" ht="15.6" hidden="1" x14ac:dyDescent="0.3">
      <c r="A177" s="51" t="s">
        <v>22</v>
      </c>
      <c r="B177" s="52"/>
      <c r="C177" s="53"/>
      <c r="D177">
        <f t="shared" si="2"/>
        <v>0</v>
      </c>
    </row>
    <row r="178" spans="1:4" ht="15.6" x14ac:dyDescent="0.3">
      <c r="A178" s="51" t="s">
        <v>23</v>
      </c>
      <c r="B178" s="52">
        <v>2160</v>
      </c>
      <c r="C178" s="53">
        <v>6800</v>
      </c>
      <c r="D178">
        <f t="shared" si="2"/>
        <v>14688000</v>
      </c>
    </row>
    <row r="179" spans="1:4" ht="15.6" hidden="1" x14ac:dyDescent="0.3">
      <c r="A179" s="51" t="s">
        <v>27</v>
      </c>
      <c r="B179" s="52"/>
      <c r="C179" s="53"/>
      <c r="D179">
        <f t="shared" si="2"/>
        <v>0</v>
      </c>
    </row>
    <row r="180" spans="1:4" ht="15.6" hidden="1" x14ac:dyDescent="0.3">
      <c r="A180" s="51" t="s">
        <v>28</v>
      </c>
      <c r="B180" s="52"/>
      <c r="C180" s="53"/>
      <c r="D180">
        <f t="shared" si="2"/>
        <v>0</v>
      </c>
    </row>
    <row r="181" spans="1:4" ht="15.6" hidden="1" x14ac:dyDescent="0.3">
      <c r="A181" s="51" t="s">
        <v>29</v>
      </c>
      <c r="B181" s="52"/>
      <c r="C181" s="53"/>
      <c r="D181">
        <f t="shared" si="2"/>
        <v>0</v>
      </c>
    </row>
    <row r="182" spans="1:4" ht="15.6" x14ac:dyDescent="0.3">
      <c r="A182" s="51" t="s">
        <v>39</v>
      </c>
      <c r="B182" s="52">
        <v>15</v>
      </c>
      <c r="C182" s="53">
        <v>6800</v>
      </c>
      <c r="D182">
        <f t="shared" si="2"/>
        <v>102000</v>
      </c>
    </row>
    <row r="183" spans="1:4" ht="15.6" hidden="1" x14ac:dyDescent="0.3">
      <c r="A183" s="51" t="s">
        <v>41</v>
      </c>
      <c r="B183" s="52"/>
      <c r="C183" s="53"/>
      <c r="D183">
        <f t="shared" si="2"/>
        <v>0</v>
      </c>
    </row>
    <row r="184" spans="1:4" ht="15.6" hidden="1" x14ac:dyDescent="0.3">
      <c r="A184" s="51" t="s">
        <v>46</v>
      </c>
      <c r="B184" s="52"/>
      <c r="C184" s="53"/>
      <c r="D184">
        <f t="shared" si="2"/>
        <v>0</v>
      </c>
    </row>
    <row r="185" spans="1:4" ht="15.6" x14ac:dyDescent="0.3">
      <c r="A185" s="51" t="s">
        <v>48</v>
      </c>
      <c r="B185" s="52">
        <v>100</v>
      </c>
      <c r="C185" s="53">
        <v>10000</v>
      </c>
      <c r="D185">
        <f t="shared" si="2"/>
        <v>1000000</v>
      </c>
    </row>
    <row r="186" spans="1:4" ht="15.6" x14ac:dyDescent="0.3">
      <c r="A186" s="51" t="s">
        <v>50</v>
      </c>
      <c r="B186" s="52">
        <v>20</v>
      </c>
      <c r="C186" s="53">
        <v>7000</v>
      </c>
      <c r="D186">
        <f t="shared" si="2"/>
        <v>140000</v>
      </c>
    </row>
    <row r="187" spans="1:4" ht="15.6" hidden="1" x14ac:dyDescent="0.3">
      <c r="A187" s="51" t="s">
        <v>51</v>
      </c>
      <c r="B187" s="52"/>
      <c r="C187" s="53"/>
      <c r="D187">
        <f t="shared" si="2"/>
        <v>0</v>
      </c>
    </row>
    <row r="188" spans="1:4" ht="15.6" hidden="1" x14ac:dyDescent="0.3">
      <c r="A188" s="51" t="s">
        <v>53</v>
      </c>
      <c r="B188" s="52"/>
      <c r="C188" s="53"/>
      <c r="D188">
        <f t="shared" si="2"/>
        <v>0</v>
      </c>
    </row>
    <row r="189" spans="1:4" ht="15.6" hidden="1" x14ac:dyDescent="0.3">
      <c r="A189" s="51" t="s">
        <v>56</v>
      </c>
      <c r="B189" s="52"/>
      <c r="C189" s="53"/>
      <c r="D189">
        <f t="shared" si="2"/>
        <v>0</v>
      </c>
    </row>
    <row r="190" spans="1:4" ht="15.6" x14ac:dyDescent="0.3">
      <c r="A190" s="51" t="s">
        <v>60</v>
      </c>
      <c r="B190" s="52">
        <v>400</v>
      </c>
      <c r="C190" s="53">
        <v>13000</v>
      </c>
      <c r="D190">
        <f t="shared" si="2"/>
        <v>5200000</v>
      </c>
    </row>
    <row r="191" spans="1:4" ht="15.6" hidden="1" x14ac:dyDescent="0.3">
      <c r="A191" s="51" t="s">
        <v>62</v>
      </c>
      <c r="B191" s="52"/>
      <c r="C191" s="53"/>
      <c r="D191">
        <f t="shared" si="2"/>
        <v>0</v>
      </c>
    </row>
    <row r="192" spans="1:4" ht="15.6" hidden="1" x14ac:dyDescent="0.3">
      <c r="A192" s="51" t="s">
        <v>67</v>
      </c>
      <c r="B192" s="52"/>
      <c r="C192" s="53"/>
      <c r="D192">
        <f t="shared" si="2"/>
        <v>0</v>
      </c>
    </row>
    <row r="193" spans="1:4" ht="15.6" hidden="1" x14ac:dyDescent="0.3">
      <c r="A193" s="51" t="s">
        <v>68</v>
      </c>
      <c r="B193" s="52"/>
      <c r="C193" s="53"/>
      <c r="D193">
        <f t="shared" si="2"/>
        <v>0</v>
      </c>
    </row>
    <row r="194" spans="1:4" ht="15.6" x14ac:dyDescent="0.3">
      <c r="A194" s="51" t="s">
        <v>72</v>
      </c>
      <c r="B194" s="52">
        <v>50</v>
      </c>
      <c r="C194" s="53">
        <v>10000</v>
      </c>
      <c r="D194">
        <f t="shared" si="2"/>
        <v>500000</v>
      </c>
    </row>
    <row r="195" spans="1:4" ht="15.6" hidden="1" x14ac:dyDescent="0.3">
      <c r="A195" s="51" t="s">
        <v>76</v>
      </c>
      <c r="B195" s="52"/>
      <c r="C195" s="53"/>
      <c r="D195">
        <f t="shared" si="2"/>
        <v>0</v>
      </c>
    </row>
    <row r="196" spans="1:4" ht="15.6" hidden="1" x14ac:dyDescent="0.3">
      <c r="A196" s="51" t="s">
        <v>78</v>
      </c>
      <c r="B196" s="52"/>
      <c r="C196" s="53"/>
      <c r="D196">
        <f t="shared" si="2"/>
        <v>0</v>
      </c>
    </row>
    <row r="197" spans="1:4" ht="15.6" hidden="1" x14ac:dyDescent="0.3">
      <c r="A197" s="51" t="s">
        <v>79</v>
      </c>
      <c r="B197" s="52"/>
      <c r="C197" s="53"/>
      <c r="D197">
        <f t="shared" si="2"/>
        <v>0</v>
      </c>
    </row>
    <row r="198" spans="1:4" ht="15.6" hidden="1" x14ac:dyDescent="0.3">
      <c r="A198" s="51" t="s">
        <v>82</v>
      </c>
      <c r="B198" s="52"/>
      <c r="C198" s="53"/>
      <c r="D198">
        <f t="shared" ref="D198:D218" si="3">B198*C198</f>
        <v>0</v>
      </c>
    </row>
    <row r="199" spans="1:4" ht="15.6" x14ac:dyDescent="0.3">
      <c r="A199" s="51" t="s">
        <v>87</v>
      </c>
      <c r="B199" s="52">
        <v>100</v>
      </c>
      <c r="C199" s="53">
        <v>12000</v>
      </c>
      <c r="D199">
        <f t="shared" si="3"/>
        <v>1200000</v>
      </c>
    </row>
    <row r="200" spans="1:4" ht="15.6" hidden="1" x14ac:dyDescent="0.3">
      <c r="A200" s="51" t="s">
        <v>120</v>
      </c>
      <c r="B200" s="52"/>
      <c r="C200" s="53"/>
      <c r="D200">
        <f t="shared" si="3"/>
        <v>0</v>
      </c>
    </row>
    <row r="201" spans="1:4" ht="15.6" hidden="1" x14ac:dyDescent="0.3">
      <c r="A201" s="51" t="s">
        <v>109</v>
      </c>
      <c r="B201" s="52"/>
      <c r="C201" s="53"/>
      <c r="D201">
        <f t="shared" si="3"/>
        <v>0</v>
      </c>
    </row>
    <row r="202" spans="1:4" ht="15.6" hidden="1" x14ac:dyDescent="0.3">
      <c r="A202" s="51" t="s">
        <v>121</v>
      </c>
      <c r="B202" s="52"/>
      <c r="C202" s="53"/>
      <c r="D202">
        <f t="shared" si="3"/>
        <v>0</v>
      </c>
    </row>
    <row r="203" spans="1:4" ht="15.6" x14ac:dyDescent="0.3">
      <c r="A203" s="51" t="s">
        <v>122</v>
      </c>
      <c r="B203" s="52">
        <v>28</v>
      </c>
      <c r="C203" s="53">
        <v>50000</v>
      </c>
      <c r="D203">
        <f t="shared" si="3"/>
        <v>1400000</v>
      </c>
    </row>
    <row r="204" spans="1:4" ht="15.6" hidden="1" x14ac:dyDescent="0.3">
      <c r="A204" s="51" t="s">
        <v>123</v>
      </c>
      <c r="B204" s="52"/>
      <c r="C204" s="53"/>
      <c r="D204">
        <f t="shared" si="3"/>
        <v>0</v>
      </c>
    </row>
    <row r="205" spans="1:4" ht="15.6" hidden="1" x14ac:dyDescent="0.3">
      <c r="A205" s="51" t="s">
        <v>92</v>
      </c>
      <c r="B205" s="52"/>
      <c r="C205" s="53"/>
      <c r="D205">
        <f t="shared" si="3"/>
        <v>0</v>
      </c>
    </row>
    <row r="206" spans="1:4" ht="15.6" hidden="1" x14ac:dyDescent="0.3">
      <c r="A206" s="51" t="s">
        <v>124</v>
      </c>
      <c r="B206" s="52"/>
      <c r="C206" s="53"/>
      <c r="D206">
        <f t="shared" si="3"/>
        <v>0</v>
      </c>
    </row>
    <row r="207" spans="1:4" ht="15.6" hidden="1" x14ac:dyDescent="0.3">
      <c r="A207" s="51" t="s">
        <v>125</v>
      </c>
      <c r="B207" s="52"/>
      <c r="C207" s="53"/>
      <c r="D207">
        <f t="shared" si="3"/>
        <v>0</v>
      </c>
    </row>
    <row r="208" spans="1:4" ht="15.6" hidden="1" x14ac:dyDescent="0.3">
      <c r="A208" s="51" t="s">
        <v>71</v>
      </c>
      <c r="B208" s="52"/>
      <c r="C208" s="53"/>
      <c r="D208">
        <f t="shared" si="3"/>
        <v>0</v>
      </c>
    </row>
    <row r="209" spans="1:4" ht="15.6" hidden="1" x14ac:dyDescent="0.3">
      <c r="A209" s="51" t="s">
        <v>74</v>
      </c>
      <c r="B209" s="52"/>
      <c r="C209" s="53"/>
      <c r="D209">
        <f t="shared" si="3"/>
        <v>0</v>
      </c>
    </row>
    <row r="210" spans="1:4" ht="15.6" hidden="1" x14ac:dyDescent="0.3">
      <c r="A210" s="51" t="s">
        <v>103</v>
      </c>
      <c r="B210" s="52"/>
      <c r="C210" s="53"/>
      <c r="D210">
        <f t="shared" si="3"/>
        <v>0</v>
      </c>
    </row>
    <row r="211" spans="1:4" ht="15.6" hidden="1" x14ac:dyDescent="0.3">
      <c r="A211" s="51" t="s">
        <v>107</v>
      </c>
      <c r="B211" s="52"/>
      <c r="C211" s="53"/>
      <c r="D211">
        <f t="shared" si="3"/>
        <v>0</v>
      </c>
    </row>
    <row r="212" spans="1:4" ht="15.6" hidden="1" x14ac:dyDescent="0.3">
      <c r="A212" s="51" t="s">
        <v>52</v>
      </c>
      <c r="B212" s="52"/>
      <c r="C212" s="53"/>
      <c r="D212">
        <f t="shared" si="3"/>
        <v>0</v>
      </c>
    </row>
    <row r="213" spans="1:4" ht="15.6" hidden="1" x14ac:dyDescent="0.3">
      <c r="A213" s="51" t="s">
        <v>65</v>
      </c>
      <c r="B213" s="52"/>
      <c r="C213" s="53"/>
      <c r="D213">
        <f t="shared" si="3"/>
        <v>0</v>
      </c>
    </row>
    <row r="214" spans="1:4" ht="15.6" hidden="1" x14ac:dyDescent="0.3">
      <c r="A214" s="51" t="s">
        <v>38</v>
      </c>
      <c r="B214" s="52"/>
      <c r="C214" s="53"/>
      <c r="D214">
        <f t="shared" si="3"/>
        <v>0</v>
      </c>
    </row>
    <row r="215" spans="1:4" ht="15.6" hidden="1" x14ac:dyDescent="0.3">
      <c r="A215" s="51" t="s">
        <v>2</v>
      </c>
      <c r="B215" s="52"/>
      <c r="C215" s="53"/>
      <c r="D215">
        <f t="shared" si="3"/>
        <v>0</v>
      </c>
    </row>
    <row r="216" spans="1:4" ht="15.6" hidden="1" x14ac:dyDescent="0.3">
      <c r="A216" s="51" t="s">
        <v>40</v>
      </c>
      <c r="B216" s="52"/>
      <c r="C216" s="53"/>
      <c r="D216">
        <f t="shared" si="3"/>
        <v>0</v>
      </c>
    </row>
    <row r="217" spans="1:4" ht="15.6" hidden="1" x14ac:dyDescent="0.3">
      <c r="A217" s="51" t="s">
        <v>30</v>
      </c>
      <c r="B217" s="52"/>
      <c r="C217" s="53"/>
      <c r="D217">
        <f t="shared" si="3"/>
        <v>0</v>
      </c>
    </row>
    <row r="218" spans="1:4" hidden="1" x14ac:dyDescent="0.3">
      <c r="A218" t="e">
        <v>#N/A</v>
      </c>
      <c r="D218">
        <f t="shared" si="3"/>
        <v>0</v>
      </c>
    </row>
    <row r="219" spans="1:4" x14ac:dyDescent="0.3">
      <c r="D219">
        <f>SUM(D168:D203)</f>
        <v>35382000</v>
      </c>
    </row>
  </sheetData>
  <autoFilter ref="A2:D218" xr:uid="{00000000-0009-0000-0000-00001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2:D204"/>
  <sheetViews>
    <sheetView topLeftCell="A31" workbookViewId="0">
      <selection activeCell="I24" sqref="I24"/>
    </sheetView>
  </sheetViews>
  <sheetFormatPr defaultRowHeight="14.4" x14ac:dyDescent="0.3"/>
  <cols>
    <col min="1" max="1" width="26.44140625" customWidth="1"/>
    <col min="2" max="2" width="10.88671875" customWidth="1"/>
    <col min="3" max="3" width="13.109375" customWidth="1"/>
    <col min="4" max="4" width="17.109375" customWidth="1"/>
  </cols>
  <sheetData>
    <row r="2" spans="1:4" x14ac:dyDescent="0.3">
      <c r="A2" t="s">
        <v>597</v>
      </c>
    </row>
    <row r="3" spans="1:4" x14ac:dyDescent="0.3">
      <c r="A3" t="s">
        <v>0</v>
      </c>
      <c r="B3" t="s">
        <v>544</v>
      </c>
      <c r="C3" t="s">
        <v>590</v>
      </c>
      <c r="D3" t="s">
        <v>129</v>
      </c>
    </row>
    <row r="4" spans="1:4" x14ac:dyDescent="0.3">
      <c r="A4" t="s">
        <v>1</v>
      </c>
      <c r="B4">
        <v>80</v>
      </c>
      <c r="C4">
        <v>16000</v>
      </c>
      <c r="D4">
        <f>B4*C4</f>
        <v>1280000</v>
      </c>
    </row>
    <row r="5" spans="1:4" hidden="1" x14ac:dyDescent="0.3">
      <c r="A5" t="s">
        <v>1</v>
      </c>
      <c r="D5">
        <f t="shared" ref="D5:D68" si="0">B5*C5</f>
        <v>0</v>
      </c>
    </row>
    <row r="6" spans="1:4" hidden="1" x14ac:dyDescent="0.3">
      <c r="A6" t="s">
        <v>2</v>
      </c>
      <c r="D6">
        <f t="shared" si="0"/>
        <v>0</v>
      </c>
    </row>
    <row r="7" spans="1:4" hidden="1" x14ac:dyDescent="0.3">
      <c r="A7" t="s">
        <v>3</v>
      </c>
      <c r="D7">
        <f t="shared" si="0"/>
        <v>0</v>
      </c>
    </row>
    <row r="8" spans="1:4" x14ac:dyDescent="0.3">
      <c r="A8" t="s">
        <v>4</v>
      </c>
      <c r="B8">
        <v>11</v>
      </c>
      <c r="C8">
        <v>9000</v>
      </c>
      <c r="D8">
        <f t="shared" si="0"/>
        <v>99000</v>
      </c>
    </row>
    <row r="9" spans="1:4" x14ac:dyDescent="0.3">
      <c r="A9" t="s">
        <v>5</v>
      </c>
      <c r="B9">
        <v>40</v>
      </c>
      <c r="C9">
        <v>6000</v>
      </c>
      <c r="D9">
        <f t="shared" si="0"/>
        <v>240000</v>
      </c>
    </row>
    <row r="10" spans="1:4" x14ac:dyDescent="0.3">
      <c r="A10" t="s">
        <v>6</v>
      </c>
      <c r="B10">
        <v>40</v>
      </c>
      <c r="C10">
        <v>15000</v>
      </c>
      <c r="D10">
        <f t="shared" si="0"/>
        <v>600000</v>
      </c>
    </row>
    <row r="11" spans="1:4" hidden="1" x14ac:dyDescent="0.3">
      <c r="A11" t="s">
        <v>6</v>
      </c>
      <c r="D11">
        <f t="shared" si="0"/>
        <v>0</v>
      </c>
    </row>
    <row r="12" spans="1:4" hidden="1" x14ac:dyDescent="0.3">
      <c r="A12" t="s">
        <v>7</v>
      </c>
      <c r="D12">
        <f t="shared" si="0"/>
        <v>0</v>
      </c>
    </row>
    <row r="13" spans="1:4" x14ac:dyDescent="0.3">
      <c r="A13" t="s">
        <v>8</v>
      </c>
      <c r="B13">
        <v>100</v>
      </c>
      <c r="C13">
        <v>24000</v>
      </c>
      <c r="D13">
        <f t="shared" si="0"/>
        <v>2400000</v>
      </c>
    </row>
    <row r="14" spans="1:4" x14ac:dyDescent="0.3">
      <c r="A14" t="s">
        <v>9</v>
      </c>
      <c r="B14">
        <v>10</v>
      </c>
      <c r="C14">
        <v>20000</v>
      </c>
      <c r="D14">
        <f t="shared" si="0"/>
        <v>200000</v>
      </c>
    </row>
    <row r="15" spans="1:4" hidden="1" x14ac:dyDescent="0.3">
      <c r="A15" t="s">
        <v>10</v>
      </c>
      <c r="D15">
        <f t="shared" si="0"/>
        <v>0</v>
      </c>
    </row>
    <row r="16" spans="1:4" x14ac:dyDescent="0.3">
      <c r="A16" t="s">
        <v>11</v>
      </c>
      <c r="B16">
        <v>630</v>
      </c>
      <c r="C16">
        <v>26000</v>
      </c>
      <c r="D16">
        <f t="shared" si="0"/>
        <v>16380000</v>
      </c>
    </row>
    <row r="17" spans="1:4" hidden="1" x14ac:dyDescent="0.3">
      <c r="A17" t="s">
        <v>11</v>
      </c>
      <c r="D17">
        <f t="shared" si="0"/>
        <v>0</v>
      </c>
    </row>
    <row r="18" spans="1:4" x14ac:dyDescent="0.3">
      <c r="A18" t="s">
        <v>12</v>
      </c>
      <c r="B18">
        <v>340</v>
      </c>
      <c r="C18">
        <v>25500</v>
      </c>
      <c r="D18">
        <f t="shared" si="0"/>
        <v>8670000</v>
      </c>
    </row>
    <row r="19" spans="1:4" hidden="1" x14ac:dyDescent="0.3">
      <c r="A19" t="s">
        <v>12</v>
      </c>
      <c r="D19">
        <f t="shared" si="0"/>
        <v>0</v>
      </c>
    </row>
    <row r="20" spans="1:4" hidden="1" x14ac:dyDescent="0.3">
      <c r="A20" t="s">
        <v>13</v>
      </c>
      <c r="D20">
        <f t="shared" si="0"/>
        <v>0</v>
      </c>
    </row>
    <row r="21" spans="1:4" x14ac:dyDescent="0.3">
      <c r="A21" t="s">
        <v>14</v>
      </c>
      <c r="B21">
        <v>60</v>
      </c>
      <c r="C21">
        <v>12000</v>
      </c>
      <c r="D21">
        <f t="shared" si="0"/>
        <v>720000</v>
      </c>
    </row>
    <row r="22" spans="1:4" x14ac:dyDescent="0.3">
      <c r="A22" t="s">
        <v>15</v>
      </c>
      <c r="B22">
        <v>350</v>
      </c>
      <c r="C22">
        <v>16000</v>
      </c>
      <c r="D22">
        <f t="shared" si="0"/>
        <v>5600000</v>
      </c>
    </row>
    <row r="23" spans="1:4" hidden="1" x14ac:dyDescent="0.3">
      <c r="A23" t="s">
        <v>15</v>
      </c>
      <c r="D23">
        <f t="shared" si="0"/>
        <v>0</v>
      </c>
    </row>
    <row r="24" spans="1:4" x14ac:dyDescent="0.3">
      <c r="A24" t="s">
        <v>16</v>
      </c>
      <c r="B24">
        <v>3</v>
      </c>
      <c r="C24">
        <v>17000</v>
      </c>
      <c r="D24">
        <f t="shared" si="0"/>
        <v>51000</v>
      </c>
    </row>
    <row r="25" spans="1:4" hidden="1" x14ac:dyDescent="0.3">
      <c r="A25" t="s">
        <v>18</v>
      </c>
      <c r="D25">
        <f t="shared" si="0"/>
        <v>0</v>
      </c>
    </row>
    <row r="26" spans="1:4" hidden="1" x14ac:dyDescent="0.3">
      <c r="A26" t="s">
        <v>19</v>
      </c>
      <c r="D26">
        <f t="shared" si="0"/>
        <v>0</v>
      </c>
    </row>
    <row r="27" spans="1:4" hidden="1" x14ac:dyDescent="0.3">
      <c r="A27" t="s">
        <v>19</v>
      </c>
      <c r="D27">
        <f t="shared" si="0"/>
        <v>0</v>
      </c>
    </row>
    <row r="28" spans="1:4" hidden="1" x14ac:dyDescent="0.3">
      <c r="A28" t="s">
        <v>20</v>
      </c>
      <c r="D28">
        <f t="shared" si="0"/>
        <v>0</v>
      </c>
    </row>
    <row r="29" spans="1:4" hidden="1" x14ac:dyDescent="0.3">
      <c r="A29" t="s">
        <v>21</v>
      </c>
      <c r="D29">
        <f t="shared" si="0"/>
        <v>0</v>
      </c>
    </row>
    <row r="30" spans="1:4" x14ac:dyDescent="0.3">
      <c r="A30" t="s">
        <v>22</v>
      </c>
      <c r="B30">
        <v>130</v>
      </c>
      <c r="C30">
        <v>9000</v>
      </c>
      <c r="D30">
        <f t="shared" si="0"/>
        <v>1170000</v>
      </c>
    </row>
    <row r="31" spans="1:4" x14ac:dyDescent="0.3">
      <c r="A31" t="s">
        <v>23</v>
      </c>
      <c r="B31">
        <v>1670</v>
      </c>
      <c r="C31">
        <v>6500</v>
      </c>
      <c r="D31">
        <f t="shared" si="0"/>
        <v>10855000</v>
      </c>
    </row>
    <row r="32" spans="1:4" x14ac:dyDescent="0.3">
      <c r="A32" t="s">
        <v>24</v>
      </c>
      <c r="B32">
        <v>4</v>
      </c>
      <c r="C32">
        <v>36000</v>
      </c>
      <c r="D32">
        <f t="shared" si="0"/>
        <v>144000</v>
      </c>
    </row>
    <row r="33" spans="1:4" hidden="1" x14ac:dyDescent="0.3">
      <c r="A33" t="s">
        <v>24</v>
      </c>
      <c r="D33">
        <f t="shared" si="0"/>
        <v>0</v>
      </c>
    </row>
    <row r="34" spans="1:4" hidden="1" x14ac:dyDescent="0.3">
      <c r="A34" t="s">
        <v>557</v>
      </c>
      <c r="D34">
        <f t="shared" si="0"/>
        <v>0</v>
      </c>
    </row>
    <row r="35" spans="1:4" hidden="1" x14ac:dyDescent="0.3">
      <c r="A35" t="s">
        <v>25</v>
      </c>
      <c r="D35">
        <f t="shared" si="0"/>
        <v>0</v>
      </c>
    </row>
    <row r="36" spans="1:4" hidden="1" x14ac:dyDescent="0.3">
      <c r="A36" t="s">
        <v>26</v>
      </c>
      <c r="D36">
        <f t="shared" si="0"/>
        <v>0</v>
      </c>
    </row>
    <row r="37" spans="1:4" hidden="1" x14ac:dyDescent="0.3">
      <c r="A37" t="s">
        <v>26</v>
      </c>
      <c r="D37">
        <f t="shared" si="0"/>
        <v>0</v>
      </c>
    </row>
    <row r="38" spans="1:4" hidden="1" x14ac:dyDescent="0.3">
      <c r="A38" t="s">
        <v>27</v>
      </c>
      <c r="D38">
        <f t="shared" si="0"/>
        <v>0</v>
      </c>
    </row>
    <row r="39" spans="1:4" hidden="1" x14ac:dyDescent="0.3">
      <c r="A39" t="s">
        <v>28</v>
      </c>
      <c r="D39">
        <f t="shared" si="0"/>
        <v>0</v>
      </c>
    </row>
    <row r="40" spans="1:4" x14ac:dyDescent="0.3">
      <c r="A40" t="s">
        <v>28</v>
      </c>
      <c r="B40">
        <v>60</v>
      </c>
      <c r="C40">
        <v>18000</v>
      </c>
      <c r="D40">
        <f t="shared" si="0"/>
        <v>1080000</v>
      </c>
    </row>
    <row r="41" spans="1:4" hidden="1" x14ac:dyDescent="0.3">
      <c r="A41" t="s">
        <v>28</v>
      </c>
      <c r="D41">
        <f t="shared" si="0"/>
        <v>0</v>
      </c>
    </row>
    <row r="42" spans="1:4" hidden="1" x14ac:dyDescent="0.3">
      <c r="A42" t="s">
        <v>29</v>
      </c>
      <c r="D42">
        <f t="shared" si="0"/>
        <v>0</v>
      </c>
    </row>
    <row r="43" spans="1:4" x14ac:dyDescent="0.3">
      <c r="A43" t="s">
        <v>29</v>
      </c>
      <c r="B43">
        <v>30</v>
      </c>
      <c r="C43">
        <v>35000</v>
      </c>
      <c r="D43">
        <f t="shared" si="0"/>
        <v>1050000</v>
      </c>
    </row>
    <row r="44" spans="1:4" hidden="1" x14ac:dyDescent="0.3">
      <c r="A44" t="s">
        <v>30</v>
      </c>
      <c r="D44">
        <f t="shared" si="0"/>
        <v>0</v>
      </c>
    </row>
    <row r="45" spans="1:4" x14ac:dyDescent="0.3">
      <c r="A45" t="s">
        <v>31</v>
      </c>
      <c r="B45">
        <v>5</v>
      </c>
      <c r="C45">
        <v>14000</v>
      </c>
      <c r="D45">
        <f t="shared" si="0"/>
        <v>70000</v>
      </c>
    </row>
    <row r="46" spans="1:4" hidden="1" x14ac:dyDescent="0.3">
      <c r="A46" t="s">
        <v>32</v>
      </c>
      <c r="D46">
        <f t="shared" si="0"/>
        <v>0</v>
      </c>
    </row>
    <row r="47" spans="1:4" hidden="1" x14ac:dyDescent="0.3">
      <c r="A47" t="s">
        <v>33</v>
      </c>
      <c r="D47">
        <f t="shared" si="0"/>
        <v>0</v>
      </c>
    </row>
    <row r="48" spans="1:4" hidden="1" x14ac:dyDescent="0.3">
      <c r="A48" t="s">
        <v>34</v>
      </c>
      <c r="D48">
        <f t="shared" si="0"/>
        <v>0</v>
      </c>
    </row>
    <row r="49" spans="1:4" hidden="1" x14ac:dyDescent="0.3">
      <c r="A49" t="s">
        <v>35</v>
      </c>
      <c r="D49">
        <f t="shared" si="0"/>
        <v>0</v>
      </c>
    </row>
    <row r="50" spans="1:4" hidden="1" x14ac:dyDescent="0.3">
      <c r="A50" t="s">
        <v>36</v>
      </c>
      <c r="D50">
        <f t="shared" si="0"/>
        <v>0</v>
      </c>
    </row>
    <row r="51" spans="1:4" hidden="1" x14ac:dyDescent="0.3">
      <c r="A51" t="s">
        <v>37</v>
      </c>
      <c r="D51">
        <f t="shared" si="0"/>
        <v>0</v>
      </c>
    </row>
    <row r="52" spans="1:4" hidden="1" x14ac:dyDescent="0.3">
      <c r="A52" t="s">
        <v>37</v>
      </c>
      <c r="D52">
        <f t="shared" si="0"/>
        <v>0</v>
      </c>
    </row>
    <row r="53" spans="1:4" hidden="1" x14ac:dyDescent="0.3">
      <c r="A53" t="s">
        <v>38</v>
      </c>
      <c r="D53">
        <f t="shared" si="0"/>
        <v>0</v>
      </c>
    </row>
    <row r="54" spans="1:4" x14ac:dyDescent="0.3">
      <c r="A54" t="s">
        <v>39</v>
      </c>
      <c r="B54">
        <v>30</v>
      </c>
      <c r="C54">
        <v>6800</v>
      </c>
      <c r="D54">
        <f t="shared" si="0"/>
        <v>204000</v>
      </c>
    </row>
    <row r="55" spans="1:4" hidden="1" x14ac:dyDescent="0.3">
      <c r="A55" t="s">
        <v>40</v>
      </c>
      <c r="D55">
        <f t="shared" si="0"/>
        <v>0</v>
      </c>
    </row>
    <row r="56" spans="1:4" hidden="1" x14ac:dyDescent="0.3">
      <c r="A56" t="s">
        <v>41</v>
      </c>
      <c r="D56">
        <f t="shared" si="0"/>
        <v>0</v>
      </c>
    </row>
    <row r="57" spans="1:4" hidden="1" x14ac:dyDescent="0.3">
      <c r="A57" t="s">
        <v>42</v>
      </c>
      <c r="D57">
        <f t="shared" si="0"/>
        <v>0</v>
      </c>
    </row>
    <row r="58" spans="1:4" hidden="1" x14ac:dyDescent="0.3">
      <c r="A58" t="s">
        <v>43</v>
      </c>
      <c r="D58">
        <f t="shared" si="0"/>
        <v>0</v>
      </c>
    </row>
    <row r="59" spans="1:4" hidden="1" x14ac:dyDescent="0.3">
      <c r="A59" t="s">
        <v>44</v>
      </c>
      <c r="D59">
        <f t="shared" si="0"/>
        <v>0</v>
      </c>
    </row>
    <row r="60" spans="1:4" hidden="1" x14ac:dyDescent="0.3">
      <c r="A60" t="s">
        <v>45</v>
      </c>
      <c r="D60">
        <f t="shared" si="0"/>
        <v>0</v>
      </c>
    </row>
    <row r="61" spans="1:4" hidden="1" x14ac:dyDescent="0.3">
      <c r="A61" t="s">
        <v>46</v>
      </c>
      <c r="D61">
        <f t="shared" si="0"/>
        <v>0</v>
      </c>
    </row>
    <row r="62" spans="1:4" hidden="1" x14ac:dyDescent="0.3">
      <c r="A62" t="s">
        <v>47</v>
      </c>
      <c r="D62">
        <f t="shared" si="0"/>
        <v>0</v>
      </c>
    </row>
    <row r="63" spans="1:4" hidden="1" x14ac:dyDescent="0.3">
      <c r="A63" t="s">
        <v>48</v>
      </c>
      <c r="D63">
        <f t="shared" si="0"/>
        <v>0</v>
      </c>
    </row>
    <row r="64" spans="1:4" hidden="1" x14ac:dyDescent="0.3">
      <c r="A64" t="s">
        <v>49</v>
      </c>
      <c r="D64">
        <f t="shared" si="0"/>
        <v>0</v>
      </c>
    </row>
    <row r="65" spans="1:4" x14ac:dyDescent="0.3">
      <c r="A65" t="s">
        <v>50</v>
      </c>
      <c r="B65">
        <v>510</v>
      </c>
      <c r="C65">
        <v>7000</v>
      </c>
      <c r="D65">
        <f t="shared" si="0"/>
        <v>3570000</v>
      </c>
    </row>
    <row r="66" spans="1:4" x14ac:dyDescent="0.3">
      <c r="A66" t="s">
        <v>51</v>
      </c>
      <c r="B66">
        <v>220</v>
      </c>
      <c r="C66">
        <v>22000</v>
      </c>
      <c r="D66">
        <f t="shared" si="0"/>
        <v>4840000</v>
      </c>
    </row>
    <row r="67" spans="1:4" hidden="1" x14ac:dyDescent="0.3">
      <c r="A67" t="s">
        <v>51</v>
      </c>
      <c r="D67">
        <f t="shared" si="0"/>
        <v>0</v>
      </c>
    </row>
    <row r="68" spans="1:4" x14ac:dyDescent="0.3">
      <c r="A68" t="s">
        <v>52</v>
      </c>
      <c r="B68">
        <v>10</v>
      </c>
      <c r="C68">
        <v>10000</v>
      </c>
      <c r="D68">
        <f t="shared" si="0"/>
        <v>100000</v>
      </c>
    </row>
    <row r="69" spans="1:4" hidden="1" x14ac:dyDescent="0.3">
      <c r="A69" t="s">
        <v>52</v>
      </c>
      <c r="D69">
        <f t="shared" ref="D69:D132" si="1">B69*C69</f>
        <v>0</v>
      </c>
    </row>
    <row r="70" spans="1:4" x14ac:dyDescent="0.3">
      <c r="A70" t="s">
        <v>53</v>
      </c>
      <c r="B70">
        <v>310</v>
      </c>
      <c r="C70">
        <v>21000</v>
      </c>
      <c r="D70">
        <f t="shared" si="1"/>
        <v>6510000</v>
      </c>
    </row>
    <row r="71" spans="1:4" hidden="1" x14ac:dyDescent="0.3">
      <c r="A71" t="s">
        <v>53</v>
      </c>
      <c r="D71">
        <f t="shared" si="1"/>
        <v>0</v>
      </c>
    </row>
    <row r="72" spans="1:4" hidden="1" x14ac:dyDescent="0.3">
      <c r="A72" t="s">
        <v>54</v>
      </c>
      <c r="D72">
        <f t="shared" si="1"/>
        <v>0</v>
      </c>
    </row>
    <row r="73" spans="1:4" hidden="1" x14ac:dyDescent="0.3">
      <c r="A73" t="s">
        <v>55</v>
      </c>
      <c r="D73">
        <f t="shared" si="1"/>
        <v>0</v>
      </c>
    </row>
    <row r="74" spans="1:4" x14ac:dyDescent="0.3">
      <c r="A74" t="s">
        <v>56</v>
      </c>
      <c r="B74">
        <v>98</v>
      </c>
      <c r="C74">
        <v>9900</v>
      </c>
      <c r="D74">
        <f t="shared" si="1"/>
        <v>970200</v>
      </c>
    </row>
    <row r="75" spans="1:4" hidden="1" x14ac:dyDescent="0.3">
      <c r="A75" t="s">
        <v>57</v>
      </c>
      <c r="D75">
        <f t="shared" si="1"/>
        <v>0</v>
      </c>
    </row>
    <row r="76" spans="1:4" hidden="1" x14ac:dyDescent="0.3">
      <c r="A76" t="s">
        <v>58</v>
      </c>
      <c r="D76">
        <f t="shared" si="1"/>
        <v>0</v>
      </c>
    </row>
    <row r="77" spans="1:4" x14ac:dyDescent="0.3">
      <c r="A77" t="s">
        <v>59</v>
      </c>
      <c r="B77">
        <v>35</v>
      </c>
      <c r="C77">
        <v>8000</v>
      </c>
      <c r="D77">
        <f t="shared" si="1"/>
        <v>280000</v>
      </c>
    </row>
    <row r="78" spans="1:4" x14ac:dyDescent="0.3">
      <c r="A78" t="s">
        <v>60</v>
      </c>
      <c r="B78">
        <v>390</v>
      </c>
      <c r="C78">
        <v>15000</v>
      </c>
      <c r="D78">
        <f t="shared" si="1"/>
        <v>5850000</v>
      </c>
    </row>
    <row r="79" spans="1:4" hidden="1" x14ac:dyDescent="0.3">
      <c r="A79" t="s">
        <v>60</v>
      </c>
      <c r="D79">
        <f t="shared" si="1"/>
        <v>0</v>
      </c>
    </row>
    <row r="80" spans="1:4" hidden="1" x14ac:dyDescent="0.3">
      <c r="A80" t="s">
        <v>60</v>
      </c>
      <c r="D80">
        <f t="shared" si="1"/>
        <v>0</v>
      </c>
    </row>
    <row r="81" spans="1:4" hidden="1" x14ac:dyDescent="0.3">
      <c r="A81" t="s">
        <v>61</v>
      </c>
      <c r="D81">
        <f t="shared" si="1"/>
        <v>0</v>
      </c>
    </row>
    <row r="82" spans="1:4" x14ac:dyDescent="0.3">
      <c r="A82" t="s">
        <v>62</v>
      </c>
      <c r="B82">
        <v>15</v>
      </c>
      <c r="C82">
        <v>9000</v>
      </c>
      <c r="D82">
        <f t="shared" si="1"/>
        <v>135000</v>
      </c>
    </row>
    <row r="83" spans="1:4" hidden="1" x14ac:dyDescent="0.3">
      <c r="A83" t="s">
        <v>63</v>
      </c>
      <c r="D83">
        <f t="shared" si="1"/>
        <v>0</v>
      </c>
    </row>
    <row r="84" spans="1:4" hidden="1" x14ac:dyDescent="0.3">
      <c r="A84" t="s">
        <v>64</v>
      </c>
      <c r="D84">
        <f t="shared" si="1"/>
        <v>0</v>
      </c>
    </row>
    <row r="85" spans="1:4" hidden="1" x14ac:dyDescent="0.3">
      <c r="A85" t="s">
        <v>65</v>
      </c>
      <c r="D85">
        <f t="shared" si="1"/>
        <v>0</v>
      </c>
    </row>
    <row r="86" spans="1:4" hidden="1" x14ac:dyDescent="0.3">
      <c r="A86" t="s">
        <v>66</v>
      </c>
      <c r="D86">
        <f t="shared" si="1"/>
        <v>0</v>
      </c>
    </row>
    <row r="87" spans="1:4" hidden="1" x14ac:dyDescent="0.3">
      <c r="A87" t="s">
        <v>67</v>
      </c>
      <c r="D87">
        <f t="shared" si="1"/>
        <v>0</v>
      </c>
    </row>
    <row r="88" spans="1:4" hidden="1" x14ac:dyDescent="0.3">
      <c r="A88" t="s">
        <v>68</v>
      </c>
      <c r="D88">
        <f t="shared" si="1"/>
        <v>0</v>
      </c>
    </row>
    <row r="89" spans="1:4" hidden="1" x14ac:dyDescent="0.3">
      <c r="A89" t="s">
        <v>69</v>
      </c>
      <c r="D89">
        <f t="shared" si="1"/>
        <v>0</v>
      </c>
    </row>
    <row r="90" spans="1:4" hidden="1" x14ac:dyDescent="0.3">
      <c r="A90" t="s">
        <v>69</v>
      </c>
      <c r="D90">
        <f t="shared" si="1"/>
        <v>0</v>
      </c>
    </row>
    <row r="91" spans="1:4" hidden="1" x14ac:dyDescent="0.3">
      <c r="A91" t="s">
        <v>70</v>
      </c>
      <c r="D91">
        <f t="shared" si="1"/>
        <v>0</v>
      </c>
    </row>
    <row r="92" spans="1:4" hidden="1" x14ac:dyDescent="0.3">
      <c r="A92" t="s">
        <v>71</v>
      </c>
      <c r="D92">
        <f t="shared" si="1"/>
        <v>0</v>
      </c>
    </row>
    <row r="93" spans="1:4" hidden="1" x14ac:dyDescent="0.3">
      <c r="A93" t="s">
        <v>72</v>
      </c>
      <c r="D93">
        <f t="shared" si="1"/>
        <v>0</v>
      </c>
    </row>
    <row r="94" spans="1:4" hidden="1" x14ac:dyDescent="0.3">
      <c r="A94" t="s">
        <v>73</v>
      </c>
      <c r="D94">
        <f t="shared" si="1"/>
        <v>0</v>
      </c>
    </row>
    <row r="95" spans="1:4" hidden="1" x14ac:dyDescent="0.3">
      <c r="A95" t="s">
        <v>73</v>
      </c>
      <c r="D95">
        <f t="shared" si="1"/>
        <v>0</v>
      </c>
    </row>
    <row r="96" spans="1:4" hidden="1" x14ac:dyDescent="0.3">
      <c r="A96" t="s">
        <v>74</v>
      </c>
      <c r="D96">
        <f t="shared" si="1"/>
        <v>0</v>
      </c>
    </row>
    <row r="97" spans="1:4" hidden="1" x14ac:dyDescent="0.3">
      <c r="A97" t="s">
        <v>75</v>
      </c>
      <c r="D97">
        <f t="shared" si="1"/>
        <v>0</v>
      </c>
    </row>
    <row r="98" spans="1:4" x14ac:dyDescent="0.3">
      <c r="A98" t="s">
        <v>76</v>
      </c>
      <c r="B98">
        <v>90</v>
      </c>
      <c r="C98">
        <v>30000</v>
      </c>
      <c r="D98">
        <f t="shared" si="1"/>
        <v>2700000</v>
      </c>
    </row>
    <row r="99" spans="1:4" hidden="1" x14ac:dyDescent="0.3">
      <c r="A99" t="s">
        <v>76</v>
      </c>
      <c r="D99">
        <f t="shared" si="1"/>
        <v>0</v>
      </c>
    </row>
    <row r="100" spans="1:4" hidden="1" x14ac:dyDescent="0.3">
      <c r="A100" t="s">
        <v>77</v>
      </c>
      <c r="D100">
        <f t="shared" si="1"/>
        <v>0</v>
      </c>
    </row>
    <row r="101" spans="1:4" x14ac:dyDescent="0.3">
      <c r="A101" t="s">
        <v>78</v>
      </c>
      <c r="B101">
        <v>135</v>
      </c>
      <c r="C101">
        <v>20000</v>
      </c>
      <c r="D101">
        <f t="shared" si="1"/>
        <v>2700000</v>
      </c>
    </row>
    <row r="102" spans="1:4" hidden="1" x14ac:dyDescent="0.3">
      <c r="A102" t="s">
        <v>78</v>
      </c>
      <c r="D102">
        <f t="shared" si="1"/>
        <v>0</v>
      </c>
    </row>
    <row r="103" spans="1:4" x14ac:dyDescent="0.3">
      <c r="A103" t="s">
        <v>79</v>
      </c>
      <c r="B103">
        <v>80</v>
      </c>
      <c r="C103">
        <v>22000</v>
      </c>
      <c r="D103">
        <f t="shared" si="1"/>
        <v>1760000</v>
      </c>
    </row>
    <row r="104" spans="1:4" hidden="1" x14ac:dyDescent="0.3">
      <c r="A104" t="s">
        <v>79</v>
      </c>
      <c r="D104">
        <f t="shared" si="1"/>
        <v>0</v>
      </c>
    </row>
    <row r="105" spans="1:4" hidden="1" x14ac:dyDescent="0.3">
      <c r="A105" t="s">
        <v>80</v>
      </c>
      <c r="D105">
        <f t="shared" si="1"/>
        <v>0</v>
      </c>
    </row>
    <row r="106" spans="1:4" hidden="1" x14ac:dyDescent="0.3">
      <c r="A106" t="s">
        <v>81</v>
      </c>
      <c r="D106">
        <f t="shared" si="1"/>
        <v>0</v>
      </c>
    </row>
    <row r="107" spans="1:4" hidden="1" x14ac:dyDescent="0.3">
      <c r="A107" t="s">
        <v>81</v>
      </c>
      <c r="D107">
        <f t="shared" si="1"/>
        <v>0</v>
      </c>
    </row>
    <row r="108" spans="1:4" x14ac:dyDescent="0.3">
      <c r="A108" t="s">
        <v>82</v>
      </c>
      <c r="B108">
        <v>90</v>
      </c>
      <c r="C108">
        <v>10000</v>
      </c>
      <c r="D108">
        <f t="shared" si="1"/>
        <v>900000</v>
      </c>
    </row>
    <row r="109" spans="1:4" hidden="1" x14ac:dyDescent="0.3">
      <c r="A109" t="s">
        <v>83</v>
      </c>
      <c r="D109">
        <f t="shared" si="1"/>
        <v>0</v>
      </c>
    </row>
    <row r="110" spans="1:4" hidden="1" x14ac:dyDescent="0.3">
      <c r="A110" t="s">
        <v>84</v>
      </c>
      <c r="D110">
        <f t="shared" si="1"/>
        <v>0</v>
      </c>
    </row>
    <row r="111" spans="1:4" hidden="1" x14ac:dyDescent="0.3">
      <c r="A111" t="s">
        <v>85</v>
      </c>
      <c r="D111">
        <f t="shared" si="1"/>
        <v>0</v>
      </c>
    </row>
    <row r="112" spans="1:4" hidden="1" x14ac:dyDescent="0.3">
      <c r="A112" t="s">
        <v>86</v>
      </c>
      <c r="D112">
        <f t="shared" si="1"/>
        <v>0</v>
      </c>
    </row>
    <row r="113" spans="1:4" hidden="1" x14ac:dyDescent="0.3">
      <c r="A113" t="s">
        <v>87</v>
      </c>
      <c r="D113">
        <f t="shared" si="1"/>
        <v>0</v>
      </c>
    </row>
    <row r="114" spans="1:4" hidden="1" x14ac:dyDescent="0.3">
      <c r="A114" t="s">
        <v>88</v>
      </c>
      <c r="D114">
        <f t="shared" si="1"/>
        <v>0</v>
      </c>
    </row>
    <row r="115" spans="1:4" hidden="1" x14ac:dyDescent="0.3">
      <c r="A115" t="s">
        <v>89</v>
      </c>
      <c r="D115">
        <f t="shared" si="1"/>
        <v>0</v>
      </c>
    </row>
    <row r="116" spans="1:4" hidden="1" x14ac:dyDescent="0.3">
      <c r="A116" t="s">
        <v>90</v>
      </c>
      <c r="D116">
        <f t="shared" si="1"/>
        <v>0</v>
      </c>
    </row>
    <row r="117" spans="1:4" hidden="1" x14ac:dyDescent="0.3">
      <c r="A117" t="s">
        <v>91</v>
      </c>
      <c r="D117">
        <f t="shared" si="1"/>
        <v>0</v>
      </c>
    </row>
    <row r="118" spans="1:4" x14ac:dyDescent="0.3">
      <c r="A118" t="s">
        <v>92</v>
      </c>
      <c r="B118">
        <v>20</v>
      </c>
      <c r="C118">
        <v>13500</v>
      </c>
      <c r="D118">
        <f t="shared" si="1"/>
        <v>270000</v>
      </c>
    </row>
    <row r="119" spans="1:4" hidden="1" x14ac:dyDescent="0.3">
      <c r="A119" t="s">
        <v>93</v>
      </c>
      <c r="D119">
        <f t="shared" si="1"/>
        <v>0</v>
      </c>
    </row>
    <row r="120" spans="1:4" hidden="1" x14ac:dyDescent="0.3">
      <c r="A120" t="s">
        <v>94</v>
      </c>
      <c r="D120">
        <f t="shared" si="1"/>
        <v>0</v>
      </c>
    </row>
    <row r="121" spans="1:4" hidden="1" x14ac:dyDescent="0.3">
      <c r="A121" t="s">
        <v>95</v>
      </c>
      <c r="D121">
        <f t="shared" si="1"/>
        <v>0</v>
      </c>
    </row>
    <row r="122" spans="1:4" hidden="1" x14ac:dyDescent="0.3">
      <c r="A122" t="s">
        <v>96</v>
      </c>
      <c r="D122">
        <f t="shared" si="1"/>
        <v>0</v>
      </c>
    </row>
    <row r="123" spans="1:4" hidden="1" x14ac:dyDescent="0.3">
      <c r="A123" t="s">
        <v>97</v>
      </c>
      <c r="D123">
        <f t="shared" si="1"/>
        <v>0</v>
      </c>
    </row>
    <row r="124" spans="1:4" hidden="1" x14ac:dyDescent="0.3">
      <c r="A124" t="s">
        <v>98</v>
      </c>
      <c r="D124">
        <f t="shared" si="1"/>
        <v>0</v>
      </c>
    </row>
    <row r="125" spans="1:4" hidden="1" x14ac:dyDescent="0.3">
      <c r="A125" t="s">
        <v>99</v>
      </c>
      <c r="D125">
        <f t="shared" si="1"/>
        <v>0</v>
      </c>
    </row>
    <row r="126" spans="1:4" hidden="1" x14ac:dyDescent="0.3">
      <c r="A126" t="s">
        <v>100</v>
      </c>
      <c r="D126">
        <f t="shared" si="1"/>
        <v>0</v>
      </c>
    </row>
    <row r="127" spans="1:4" hidden="1" x14ac:dyDescent="0.3">
      <c r="A127" t="s">
        <v>121</v>
      </c>
      <c r="D127">
        <f t="shared" si="1"/>
        <v>0</v>
      </c>
    </row>
    <row r="128" spans="1:4" hidden="1" x14ac:dyDescent="0.3">
      <c r="A128" t="s">
        <v>101</v>
      </c>
      <c r="D128">
        <f t="shared" si="1"/>
        <v>0</v>
      </c>
    </row>
    <row r="129" spans="1:4" hidden="1" x14ac:dyDescent="0.3">
      <c r="A129" t="s">
        <v>102</v>
      </c>
      <c r="D129">
        <f t="shared" si="1"/>
        <v>0</v>
      </c>
    </row>
    <row r="130" spans="1:4" x14ac:dyDescent="0.3">
      <c r="A130" t="s">
        <v>103</v>
      </c>
      <c r="B130">
        <v>33</v>
      </c>
      <c r="C130">
        <v>16500</v>
      </c>
      <c r="D130">
        <f t="shared" si="1"/>
        <v>544500</v>
      </c>
    </row>
    <row r="131" spans="1:4" hidden="1" x14ac:dyDescent="0.3">
      <c r="A131" t="s">
        <v>559</v>
      </c>
      <c r="D131">
        <f t="shared" si="1"/>
        <v>0</v>
      </c>
    </row>
    <row r="132" spans="1:4" hidden="1" x14ac:dyDescent="0.3">
      <c r="A132" t="s">
        <v>559</v>
      </c>
      <c r="D132">
        <f t="shared" si="1"/>
        <v>0</v>
      </c>
    </row>
    <row r="133" spans="1:4" hidden="1" x14ac:dyDescent="0.3">
      <c r="A133" t="s">
        <v>573</v>
      </c>
      <c r="D133">
        <f t="shared" ref="D133:D198" si="2">B133*C133</f>
        <v>0</v>
      </c>
    </row>
    <row r="134" spans="1:4" hidden="1" x14ac:dyDescent="0.3">
      <c r="A134" t="s">
        <v>573</v>
      </c>
      <c r="D134">
        <f t="shared" si="2"/>
        <v>0</v>
      </c>
    </row>
    <row r="135" spans="1:4" hidden="1" x14ac:dyDescent="0.3">
      <c r="A135" t="s">
        <v>577</v>
      </c>
      <c r="D135">
        <f t="shared" si="2"/>
        <v>0</v>
      </c>
    </row>
    <row r="136" spans="1:4" hidden="1" x14ac:dyDescent="0.3">
      <c r="A136" t="s">
        <v>110</v>
      </c>
      <c r="D136">
        <f t="shared" si="2"/>
        <v>0</v>
      </c>
    </row>
    <row r="137" spans="1:4" hidden="1" x14ac:dyDescent="0.3">
      <c r="A137" t="s">
        <v>116</v>
      </c>
      <c r="D137">
        <f t="shared" si="2"/>
        <v>0</v>
      </c>
    </row>
    <row r="138" spans="1:4" hidden="1" x14ac:dyDescent="0.3">
      <c r="A138" t="s">
        <v>598</v>
      </c>
      <c r="D138">
        <f t="shared" si="2"/>
        <v>0</v>
      </c>
    </row>
    <row r="139" spans="1:4" hidden="1" x14ac:dyDescent="0.3">
      <c r="A139" t="s">
        <v>560</v>
      </c>
      <c r="D139">
        <f t="shared" si="2"/>
        <v>0</v>
      </c>
    </row>
    <row r="140" spans="1:4" hidden="1" x14ac:dyDescent="0.3">
      <c r="A140" t="s">
        <v>560</v>
      </c>
      <c r="D140">
        <f t="shared" si="2"/>
        <v>0</v>
      </c>
    </row>
    <row r="141" spans="1:4" hidden="1" x14ac:dyDescent="0.3">
      <c r="A141" t="s">
        <v>537</v>
      </c>
      <c r="D141">
        <f t="shared" si="2"/>
        <v>0</v>
      </c>
    </row>
    <row r="142" spans="1:4" hidden="1" x14ac:dyDescent="0.3">
      <c r="A142" t="s">
        <v>524</v>
      </c>
      <c r="D142">
        <f t="shared" si="2"/>
        <v>0</v>
      </c>
    </row>
    <row r="143" spans="1:4" hidden="1" x14ac:dyDescent="0.3">
      <c r="A143" t="s">
        <v>538</v>
      </c>
      <c r="D143">
        <f t="shared" si="2"/>
        <v>0</v>
      </c>
    </row>
    <row r="144" spans="1:4" hidden="1" x14ac:dyDescent="0.3">
      <c r="A144" t="s">
        <v>527</v>
      </c>
      <c r="D144">
        <f t="shared" si="2"/>
        <v>0</v>
      </c>
    </row>
    <row r="145" spans="1:4" hidden="1" x14ac:dyDescent="0.3">
      <c r="A145" t="s">
        <v>545</v>
      </c>
      <c r="D145">
        <f t="shared" si="2"/>
        <v>0</v>
      </c>
    </row>
    <row r="146" spans="1:4" hidden="1" x14ac:dyDescent="0.3">
      <c r="A146" t="s">
        <v>118</v>
      </c>
      <c r="D146">
        <f t="shared" si="2"/>
        <v>0</v>
      </c>
    </row>
    <row r="147" spans="1:4" hidden="1" x14ac:dyDescent="0.3">
      <c r="A147" t="s">
        <v>599</v>
      </c>
      <c r="D147">
        <f t="shared" si="2"/>
        <v>0</v>
      </c>
    </row>
    <row r="148" spans="1:4" hidden="1" x14ac:dyDescent="0.3">
      <c r="A148" t="s">
        <v>600</v>
      </c>
      <c r="D148">
        <f t="shared" si="2"/>
        <v>0</v>
      </c>
    </row>
    <row r="149" spans="1:4" hidden="1" x14ac:dyDescent="0.3">
      <c r="A149" t="s">
        <v>585</v>
      </c>
      <c r="D149">
        <f t="shared" si="2"/>
        <v>0</v>
      </c>
    </row>
    <row r="150" spans="1:4" hidden="1" x14ac:dyDescent="0.3">
      <c r="A150" t="s">
        <v>583</v>
      </c>
      <c r="D150">
        <f t="shared" si="2"/>
        <v>0</v>
      </c>
    </row>
    <row r="151" spans="1:4" hidden="1" x14ac:dyDescent="0.3">
      <c r="A151" t="s">
        <v>521</v>
      </c>
      <c r="D151">
        <f t="shared" si="2"/>
        <v>0</v>
      </c>
    </row>
    <row r="152" spans="1:4" hidden="1" x14ac:dyDescent="0.3">
      <c r="A152" t="s">
        <v>536</v>
      </c>
      <c r="D152">
        <f t="shared" si="2"/>
        <v>0</v>
      </c>
    </row>
    <row r="153" spans="1:4" hidden="1" x14ac:dyDescent="0.3">
      <c r="A153" t="e">
        <v>#N/A</v>
      </c>
      <c r="D153">
        <f t="shared" si="2"/>
        <v>0</v>
      </c>
    </row>
    <row r="154" spans="1:4" x14ac:dyDescent="0.3">
      <c r="A154" t="s">
        <v>601</v>
      </c>
      <c r="B154">
        <v>90</v>
      </c>
      <c r="C154">
        <v>17000</v>
      </c>
      <c r="D154">
        <f t="shared" si="2"/>
        <v>1530000</v>
      </c>
    </row>
    <row r="155" spans="1:4" x14ac:dyDescent="0.3">
      <c r="A155" t="s">
        <v>602</v>
      </c>
      <c r="B155">
        <v>7</v>
      </c>
      <c r="C155">
        <v>25000</v>
      </c>
      <c r="D155">
        <f t="shared" si="2"/>
        <v>175000</v>
      </c>
    </row>
    <row r="156" spans="1:4" x14ac:dyDescent="0.3">
      <c r="A156" t="s">
        <v>603</v>
      </c>
      <c r="B156">
        <v>20</v>
      </c>
      <c r="C156">
        <v>15000</v>
      </c>
      <c r="D156">
        <f t="shared" si="2"/>
        <v>300000</v>
      </c>
    </row>
    <row r="157" spans="1:4" hidden="1" x14ac:dyDescent="0.3">
      <c r="D157">
        <f t="shared" si="2"/>
        <v>0</v>
      </c>
    </row>
    <row r="158" spans="1:4" x14ac:dyDescent="0.3">
      <c r="D158">
        <f>SUM(D4:D156)</f>
        <v>83947700</v>
      </c>
    </row>
    <row r="159" spans="1:4" x14ac:dyDescent="0.3">
      <c r="A159" t="s">
        <v>596</v>
      </c>
    </row>
    <row r="160" spans="1:4" x14ac:dyDescent="0.3">
      <c r="A160" t="s">
        <v>0</v>
      </c>
      <c r="B160" t="s">
        <v>544</v>
      </c>
      <c r="C160" t="s">
        <v>590</v>
      </c>
      <c r="D160" t="s">
        <v>129</v>
      </c>
    </row>
    <row r="161" spans="1:4" hidden="1" x14ac:dyDescent="0.3">
      <c r="A161" t="s">
        <v>21</v>
      </c>
      <c r="D161">
        <f t="shared" si="2"/>
        <v>0</v>
      </c>
    </row>
    <row r="162" spans="1:4" hidden="1" x14ac:dyDescent="0.3">
      <c r="A162" t="s">
        <v>22</v>
      </c>
      <c r="D162">
        <f t="shared" si="2"/>
        <v>0</v>
      </c>
    </row>
    <row r="163" spans="1:4" x14ac:dyDescent="0.3">
      <c r="A163" t="s">
        <v>23</v>
      </c>
      <c r="B163">
        <v>1100</v>
      </c>
      <c r="C163">
        <v>6800</v>
      </c>
      <c r="D163">
        <f t="shared" si="2"/>
        <v>7480000</v>
      </c>
    </row>
    <row r="164" spans="1:4" x14ac:dyDescent="0.3">
      <c r="A164" t="s">
        <v>48</v>
      </c>
      <c r="B164">
        <v>135</v>
      </c>
      <c r="C164">
        <v>10000</v>
      </c>
      <c r="D164">
        <f t="shared" si="2"/>
        <v>1350000</v>
      </c>
    </row>
    <row r="165" spans="1:4" x14ac:dyDescent="0.3">
      <c r="A165" t="s">
        <v>50</v>
      </c>
      <c r="B165">
        <v>110</v>
      </c>
      <c r="C165">
        <v>7000</v>
      </c>
      <c r="D165">
        <f t="shared" si="2"/>
        <v>770000</v>
      </c>
    </row>
    <row r="166" spans="1:4" hidden="1" x14ac:dyDescent="0.3">
      <c r="A166" t="s">
        <v>121</v>
      </c>
      <c r="D166">
        <f t="shared" si="2"/>
        <v>0</v>
      </c>
    </row>
    <row r="167" spans="1:4" hidden="1" x14ac:dyDescent="0.3">
      <c r="A167" t="s">
        <v>51</v>
      </c>
      <c r="D167">
        <f t="shared" si="2"/>
        <v>0</v>
      </c>
    </row>
    <row r="168" spans="1:4" hidden="1" x14ac:dyDescent="0.3">
      <c r="A168" t="s">
        <v>92</v>
      </c>
      <c r="D168">
        <f t="shared" si="2"/>
        <v>0</v>
      </c>
    </row>
    <row r="169" spans="1:4" hidden="1" x14ac:dyDescent="0.3">
      <c r="A169" t="s">
        <v>110</v>
      </c>
      <c r="D169">
        <f t="shared" si="2"/>
        <v>0</v>
      </c>
    </row>
    <row r="170" spans="1:4" hidden="1" x14ac:dyDescent="0.3">
      <c r="A170" t="s">
        <v>17</v>
      </c>
      <c r="D170">
        <f t="shared" si="2"/>
        <v>0</v>
      </c>
    </row>
    <row r="171" spans="1:4" hidden="1" x14ac:dyDescent="0.3">
      <c r="A171" t="s">
        <v>53</v>
      </c>
      <c r="D171">
        <f t="shared" si="2"/>
        <v>0</v>
      </c>
    </row>
    <row r="172" spans="1:4" hidden="1" x14ac:dyDescent="0.3">
      <c r="A172" t="s">
        <v>56</v>
      </c>
      <c r="D172">
        <f t="shared" si="2"/>
        <v>0</v>
      </c>
    </row>
    <row r="173" spans="1:4" x14ac:dyDescent="0.3">
      <c r="A173" t="s">
        <v>60</v>
      </c>
      <c r="B173">
        <v>250</v>
      </c>
      <c r="C173">
        <v>14000</v>
      </c>
      <c r="D173">
        <f t="shared" si="2"/>
        <v>3500000</v>
      </c>
    </row>
    <row r="174" spans="1:4" hidden="1" x14ac:dyDescent="0.3">
      <c r="A174" t="s">
        <v>1</v>
      </c>
      <c r="D174">
        <f t="shared" si="2"/>
        <v>0</v>
      </c>
    </row>
    <row r="175" spans="1:4" hidden="1" x14ac:dyDescent="0.3">
      <c r="A175" t="s">
        <v>62</v>
      </c>
      <c r="D175">
        <f t="shared" si="2"/>
        <v>0</v>
      </c>
    </row>
    <row r="176" spans="1:4" hidden="1" x14ac:dyDescent="0.3">
      <c r="A176" t="s">
        <v>27</v>
      </c>
      <c r="D176">
        <f t="shared" si="2"/>
        <v>0</v>
      </c>
    </row>
    <row r="177" spans="1:4" hidden="1" x14ac:dyDescent="0.3">
      <c r="A177" t="s">
        <v>109</v>
      </c>
      <c r="D177">
        <f t="shared" si="2"/>
        <v>0</v>
      </c>
    </row>
    <row r="178" spans="1:4" hidden="1" x14ac:dyDescent="0.3">
      <c r="A178" t="s">
        <v>125</v>
      </c>
      <c r="D178">
        <f t="shared" si="2"/>
        <v>0</v>
      </c>
    </row>
    <row r="179" spans="1:4" hidden="1" x14ac:dyDescent="0.3">
      <c r="A179" t="s">
        <v>28</v>
      </c>
      <c r="D179">
        <f t="shared" si="2"/>
        <v>0</v>
      </c>
    </row>
    <row r="180" spans="1:4" hidden="1" x14ac:dyDescent="0.3">
      <c r="A180" t="s">
        <v>120</v>
      </c>
      <c r="D180">
        <f t="shared" si="2"/>
        <v>0</v>
      </c>
    </row>
    <row r="181" spans="1:4" x14ac:dyDescent="0.3">
      <c r="A181" t="s">
        <v>87</v>
      </c>
      <c r="B181">
        <v>110</v>
      </c>
      <c r="C181">
        <v>12500</v>
      </c>
      <c r="D181">
        <f t="shared" si="2"/>
        <v>1375000</v>
      </c>
    </row>
    <row r="182" spans="1:4" hidden="1" x14ac:dyDescent="0.3">
      <c r="A182" t="s">
        <v>5</v>
      </c>
      <c r="D182">
        <f t="shared" si="2"/>
        <v>0</v>
      </c>
    </row>
    <row r="183" spans="1:4" x14ac:dyDescent="0.3">
      <c r="A183" t="s">
        <v>6</v>
      </c>
      <c r="B183">
        <v>50</v>
      </c>
      <c r="C183">
        <v>15000</v>
      </c>
      <c r="D183">
        <f t="shared" si="2"/>
        <v>750000</v>
      </c>
    </row>
    <row r="184" spans="1:4" x14ac:dyDescent="0.3">
      <c r="A184" t="s">
        <v>8</v>
      </c>
      <c r="B184">
        <v>160</v>
      </c>
      <c r="C184">
        <v>24000</v>
      </c>
      <c r="D184">
        <f t="shared" si="2"/>
        <v>3840000</v>
      </c>
    </row>
    <row r="185" spans="1:4" hidden="1" x14ac:dyDescent="0.3">
      <c r="A185" t="s">
        <v>119</v>
      </c>
      <c r="D185">
        <f t="shared" si="2"/>
        <v>0</v>
      </c>
    </row>
    <row r="186" spans="1:4" hidden="1" x14ac:dyDescent="0.3">
      <c r="A186" t="s">
        <v>12</v>
      </c>
      <c r="D186">
        <f t="shared" si="2"/>
        <v>0</v>
      </c>
    </row>
    <row r="187" spans="1:4" hidden="1" x14ac:dyDescent="0.3">
      <c r="A187" t="s">
        <v>14</v>
      </c>
      <c r="D187">
        <f t="shared" si="2"/>
        <v>0</v>
      </c>
    </row>
    <row r="188" spans="1:4" hidden="1" x14ac:dyDescent="0.3">
      <c r="A188" t="s">
        <v>15</v>
      </c>
      <c r="D188">
        <f t="shared" si="2"/>
        <v>0</v>
      </c>
    </row>
    <row r="189" spans="1:4" hidden="1" x14ac:dyDescent="0.3">
      <c r="A189" t="s">
        <v>16</v>
      </c>
      <c r="D189">
        <f t="shared" si="2"/>
        <v>0</v>
      </c>
    </row>
    <row r="190" spans="1:4" hidden="1" x14ac:dyDescent="0.3">
      <c r="A190" t="s">
        <v>68</v>
      </c>
      <c r="D190">
        <f t="shared" si="2"/>
        <v>0</v>
      </c>
    </row>
    <row r="191" spans="1:4" hidden="1" x14ac:dyDescent="0.3">
      <c r="A191" t="s">
        <v>67</v>
      </c>
      <c r="D191">
        <f t="shared" si="2"/>
        <v>0</v>
      </c>
    </row>
    <row r="192" spans="1:4" hidden="1" x14ac:dyDescent="0.3">
      <c r="A192" t="s">
        <v>72</v>
      </c>
      <c r="D192">
        <f t="shared" si="2"/>
        <v>0</v>
      </c>
    </row>
    <row r="193" spans="1:4" x14ac:dyDescent="0.3">
      <c r="A193" t="s">
        <v>29</v>
      </c>
      <c r="B193">
        <v>35</v>
      </c>
      <c r="C193">
        <v>35000</v>
      </c>
      <c r="D193">
        <f t="shared" si="2"/>
        <v>1225000</v>
      </c>
    </row>
    <row r="194" spans="1:4" hidden="1" x14ac:dyDescent="0.3">
      <c r="A194" t="s">
        <v>123</v>
      </c>
      <c r="D194">
        <f t="shared" si="2"/>
        <v>0</v>
      </c>
    </row>
    <row r="195" spans="1:4" x14ac:dyDescent="0.3">
      <c r="A195" t="s">
        <v>122</v>
      </c>
      <c r="B195">
        <v>10</v>
      </c>
      <c r="C195">
        <v>50000</v>
      </c>
      <c r="D195">
        <f t="shared" si="2"/>
        <v>500000</v>
      </c>
    </row>
    <row r="196" spans="1:4" hidden="1" x14ac:dyDescent="0.3">
      <c r="A196" t="s">
        <v>76</v>
      </c>
      <c r="D196">
        <f t="shared" si="2"/>
        <v>0</v>
      </c>
    </row>
    <row r="197" spans="1:4" hidden="1" x14ac:dyDescent="0.3">
      <c r="A197" t="s">
        <v>78</v>
      </c>
      <c r="D197">
        <f t="shared" si="2"/>
        <v>0</v>
      </c>
    </row>
    <row r="198" spans="1:4" hidden="1" x14ac:dyDescent="0.3">
      <c r="A198" t="s">
        <v>79</v>
      </c>
      <c r="D198">
        <f t="shared" si="2"/>
        <v>0</v>
      </c>
    </row>
    <row r="199" spans="1:4" hidden="1" x14ac:dyDescent="0.3">
      <c r="A199" t="s">
        <v>82</v>
      </c>
      <c r="D199">
        <f t="shared" ref="D199:D203" si="3">B199*C199</f>
        <v>0</v>
      </c>
    </row>
    <row r="200" spans="1:4" hidden="1" x14ac:dyDescent="0.3">
      <c r="A200" t="s">
        <v>39</v>
      </c>
      <c r="D200">
        <f t="shared" si="3"/>
        <v>0</v>
      </c>
    </row>
    <row r="201" spans="1:4" hidden="1" x14ac:dyDescent="0.3">
      <c r="A201" t="s">
        <v>41</v>
      </c>
      <c r="D201">
        <f t="shared" si="3"/>
        <v>0</v>
      </c>
    </row>
    <row r="202" spans="1:4" hidden="1" x14ac:dyDescent="0.3">
      <c r="A202" t="s">
        <v>46</v>
      </c>
      <c r="D202">
        <f t="shared" si="3"/>
        <v>0</v>
      </c>
    </row>
    <row r="203" spans="1:4" hidden="1" x14ac:dyDescent="0.3">
      <c r="A203" t="e">
        <v>#N/A</v>
      </c>
      <c r="D203">
        <f t="shared" si="3"/>
        <v>0</v>
      </c>
    </row>
    <row r="204" spans="1:4" x14ac:dyDescent="0.3">
      <c r="D204">
        <f>SUM(D163:D195)</f>
        <v>20790000</v>
      </c>
    </row>
  </sheetData>
  <autoFilter ref="A3:D203" xr:uid="{00000000-0009-0000-0000-000011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201"/>
  <sheetViews>
    <sheetView topLeftCell="A115" workbookViewId="0">
      <selection activeCell="D202" sqref="D202"/>
    </sheetView>
  </sheetViews>
  <sheetFormatPr defaultRowHeight="14.4" x14ac:dyDescent="0.3"/>
  <cols>
    <col min="1" max="1" width="30.5546875" customWidth="1"/>
    <col min="2" max="2" width="13.109375" customWidth="1"/>
    <col min="3" max="3" width="15.5546875" customWidth="1"/>
    <col min="4" max="4" width="20.33203125" customWidth="1"/>
  </cols>
  <sheetData>
    <row r="1" spans="1:4" x14ac:dyDescent="0.3">
      <c r="A1" t="s">
        <v>580</v>
      </c>
    </row>
    <row r="2" spans="1:4" ht="37.200000000000003" x14ac:dyDescent="0.3">
      <c r="A2" s="60" t="s">
        <v>0</v>
      </c>
      <c r="B2" s="61" t="s">
        <v>544</v>
      </c>
      <c r="C2" s="82" t="s">
        <v>518</v>
      </c>
      <c r="D2" s="65" t="s">
        <v>519</v>
      </c>
    </row>
    <row r="3" spans="1:4" x14ac:dyDescent="0.3">
      <c r="A3" s="62" t="s">
        <v>1</v>
      </c>
      <c r="B3" s="63">
        <v>60</v>
      </c>
      <c r="C3" s="66">
        <v>16000</v>
      </c>
      <c r="D3" s="66">
        <f>B3*C3</f>
        <v>960000</v>
      </c>
    </row>
    <row r="4" spans="1:4" hidden="1" x14ac:dyDescent="0.3">
      <c r="A4" s="62" t="s">
        <v>1</v>
      </c>
      <c r="B4" s="63"/>
      <c r="C4" s="66"/>
      <c r="D4" s="66">
        <f t="shared" ref="D4:D67" si="0">B4*C4</f>
        <v>0</v>
      </c>
    </row>
    <row r="5" spans="1:4" hidden="1" x14ac:dyDescent="0.3">
      <c r="A5" s="62" t="s">
        <v>2</v>
      </c>
      <c r="B5" s="63"/>
      <c r="C5" s="66"/>
      <c r="D5" s="66">
        <f t="shared" si="0"/>
        <v>0</v>
      </c>
    </row>
    <row r="6" spans="1:4" hidden="1" x14ac:dyDescent="0.3">
      <c r="A6" s="62" t="s">
        <v>2</v>
      </c>
      <c r="B6" s="63"/>
      <c r="C6" s="66"/>
      <c r="D6" s="66">
        <f t="shared" si="0"/>
        <v>0</v>
      </c>
    </row>
    <row r="7" spans="1:4" hidden="1" x14ac:dyDescent="0.3">
      <c r="A7" s="62" t="s">
        <v>3</v>
      </c>
      <c r="B7" s="63"/>
      <c r="C7" s="66"/>
      <c r="D7" s="66">
        <f t="shared" si="0"/>
        <v>0</v>
      </c>
    </row>
    <row r="8" spans="1:4" hidden="1" x14ac:dyDescent="0.3">
      <c r="A8" s="62" t="s">
        <v>4</v>
      </c>
      <c r="B8" s="63"/>
      <c r="C8" s="66"/>
      <c r="D8" s="66">
        <f t="shared" si="0"/>
        <v>0</v>
      </c>
    </row>
    <row r="9" spans="1:4" x14ac:dyDescent="0.3">
      <c r="A9" s="62" t="s">
        <v>5</v>
      </c>
      <c r="B9" s="63">
        <v>5</v>
      </c>
      <c r="C9" s="66">
        <v>6000</v>
      </c>
      <c r="D9" s="66">
        <f t="shared" si="0"/>
        <v>30000</v>
      </c>
    </row>
    <row r="10" spans="1:4" x14ac:dyDescent="0.3">
      <c r="A10" s="62" t="s">
        <v>6</v>
      </c>
      <c r="B10" s="63">
        <v>20</v>
      </c>
      <c r="C10" s="66">
        <v>15000</v>
      </c>
      <c r="D10" s="66">
        <f t="shared" si="0"/>
        <v>300000</v>
      </c>
    </row>
    <row r="11" spans="1:4" hidden="1" x14ac:dyDescent="0.3">
      <c r="A11" s="62" t="s">
        <v>6</v>
      </c>
      <c r="B11" s="63"/>
      <c r="C11" s="66"/>
      <c r="D11" s="66">
        <f t="shared" si="0"/>
        <v>0</v>
      </c>
    </row>
    <row r="12" spans="1:4" hidden="1" x14ac:dyDescent="0.3">
      <c r="A12" s="62" t="s">
        <v>7</v>
      </c>
      <c r="B12" s="63"/>
      <c r="C12" s="66"/>
      <c r="D12" s="66">
        <f t="shared" si="0"/>
        <v>0</v>
      </c>
    </row>
    <row r="13" spans="1:4" x14ac:dyDescent="0.3">
      <c r="A13" s="62" t="s">
        <v>8</v>
      </c>
      <c r="B13" s="63">
        <v>310</v>
      </c>
      <c r="C13" s="66">
        <v>25000</v>
      </c>
      <c r="D13" s="66">
        <f t="shared" si="0"/>
        <v>7750000</v>
      </c>
    </row>
    <row r="14" spans="1:4" x14ac:dyDescent="0.3">
      <c r="A14" s="62" t="s">
        <v>9</v>
      </c>
      <c r="B14" s="63">
        <v>24</v>
      </c>
      <c r="C14" s="66">
        <v>20000</v>
      </c>
      <c r="D14" s="66">
        <f t="shared" si="0"/>
        <v>480000</v>
      </c>
    </row>
    <row r="15" spans="1:4" x14ac:dyDescent="0.3">
      <c r="A15" s="62" t="s">
        <v>10</v>
      </c>
      <c r="B15" s="63">
        <v>200</v>
      </c>
      <c r="C15" s="66">
        <v>16000</v>
      </c>
      <c r="D15" s="66">
        <f t="shared" si="0"/>
        <v>3200000</v>
      </c>
    </row>
    <row r="16" spans="1:4" x14ac:dyDescent="0.3">
      <c r="A16" s="62" t="s">
        <v>11</v>
      </c>
      <c r="B16" s="63">
        <v>540</v>
      </c>
      <c r="C16" s="66">
        <v>26000</v>
      </c>
      <c r="D16" s="66">
        <f t="shared" si="0"/>
        <v>14040000</v>
      </c>
    </row>
    <row r="17" spans="1:4" x14ac:dyDescent="0.3">
      <c r="A17" s="62" t="s">
        <v>12</v>
      </c>
      <c r="B17" s="63">
        <v>280</v>
      </c>
      <c r="C17" s="66">
        <v>25500</v>
      </c>
      <c r="D17" s="66">
        <f t="shared" si="0"/>
        <v>7140000</v>
      </c>
    </row>
    <row r="18" spans="1:4" hidden="1" x14ac:dyDescent="0.3">
      <c r="A18" s="62" t="s">
        <v>14</v>
      </c>
      <c r="B18" s="63"/>
      <c r="C18" s="66"/>
      <c r="D18" s="66">
        <f t="shared" si="0"/>
        <v>0</v>
      </c>
    </row>
    <row r="19" spans="1:4" hidden="1" x14ac:dyDescent="0.3">
      <c r="A19" s="62" t="s">
        <v>14</v>
      </c>
      <c r="B19" s="63"/>
      <c r="C19" s="66"/>
      <c r="D19" s="66">
        <f t="shared" si="0"/>
        <v>0</v>
      </c>
    </row>
    <row r="20" spans="1:4" x14ac:dyDescent="0.3">
      <c r="A20" s="62" t="s">
        <v>15</v>
      </c>
      <c r="B20" s="63">
        <v>330</v>
      </c>
      <c r="C20" s="66">
        <v>16000</v>
      </c>
      <c r="D20" s="66">
        <f t="shared" si="0"/>
        <v>5280000</v>
      </c>
    </row>
    <row r="21" spans="1:4" hidden="1" x14ac:dyDescent="0.3">
      <c r="A21" s="62" t="s">
        <v>15</v>
      </c>
      <c r="B21" s="63"/>
      <c r="C21" s="66"/>
      <c r="D21" s="66">
        <f t="shared" si="0"/>
        <v>0</v>
      </c>
    </row>
    <row r="22" spans="1:4" x14ac:dyDescent="0.3">
      <c r="A22" s="62" t="s">
        <v>16</v>
      </c>
      <c r="B22" s="63">
        <v>7</v>
      </c>
      <c r="C22" s="66">
        <v>17000</v>
      </c>
      <c r="D22" s="66">
        <f t="shared" si="0"/>
        <v>119000</v>
      </c>
    </row>
    <row r="23" spans="1:4" hidden="1" x14ac:dyDescent="0.3">
      <c r="A23" s="62" t="s">
        <v>18</v>
      </c>
      <c r="B23" s="63"/>
      <c r="C23" s="66"/>
      <c r="D23" s="66">
        <f t="shared" si="0"/>
        <v>0</v>
      </c>
    </row>
    <row r="24" spans="1:4" hidden="1" x14ac:dyDescent="0.3">
      <c r="A24" s="62" t="s">
        <v>19</v>
      </c>
      <c r="B24" s="63"/>
      <c r="C24" s="66"/>
      <c r="D24" s="66">
        <f t="shared" si="0"/>
        <v>0</v>
      </c>
    </row>
    <row r="25" spans="1:4" hidden="1" x14ac:dyDescent="0.3">
      <c r="A25" s="62" t="s">
        <v>19</v>
      </c>
      <c r="B25" s="63"/>
      <c r="C25" s="66"/>
      <c r="D25" s="66">
        <f t="shared" si="0"/>
        <v>0</v>
      </c>
    </row>
    <row r="26" spans="1:4" x14ac:dyDescent="0.3">
      <c r="A26" s="62" t="s">
        <v>21</v>
      </c>
      <c r="B26" s="63">
        <v>10</v>
      </c>
      <c r="C26" s="66">
        <v>25000</v>
      </c>
      <c r="D26" s="66">
        <f t="shared" si="0"/>
        <v>250000</v>
      </c>
    </row>
    <row r="27" spans="1:4" hidden="1" x14ac:dyDescent="0.3">
      <c r="A27" s="62" t="s">
        <v>22</v>
      </c>
      <c r="B27" s="63"/>
      <c r="C27" s="66"/>
      <c r="D27" s="66">
        <f t="shared" si="0"/>
        <v>0</v>
      </c>
    </row>
    <row r="28" spans="1:4" x14ac:dyDescent="0.3">
      <c r="A28" s="62" t="s">
        <v>23</v>
      </c>
      <c r="B28" s="63">
        <v>300</v>
      </c>
      <c r="C28" s="66">
        <v>6500</v>
      </c>
      <c r="D28" s="66">
        <f t="shared" si="0"/>
        <v>1950000</v>
      </c>
    </row>
    <row r="29" spans="1:4" hidden="1" x14ac:dyDescent="0.3">
      <c r="A29" s="62" t="s">
        <v>24</v>
      </c>
      <c r="B29" s="63"/>
      <c r="C29" s="66"/>
      <c r="D29" s="66">
        <f t="shared" si="0"/>
        <v>0</v>
      </c>
    </row>
    <row r="30" spans="1:4" hidden="1" x14ac:dyDescent="0.3">
      <c r="A30" s="62" t="s">
        <v>24</v>
      </c>
      <c r="B30" s="63"/>
      <c r="C30" s="66"/>
      <c r="D30" s="66">
        <f t="shared" si="0"/>
        <v>0</v>
      </c>
    </row>
    <row r="31" spans="1:4" hidden="1" x14ac:dyDescent="0.3">
      <c r="A31" s="62" t="s">
        <v>25</v>
      </c>
      <c r="B31" s="63"/>
      <c r="C31" s="66"/>
      <c r="D31" s="66">
        <f t="shared" si="0"/>
        <v>0</v>
      </c>
    </row>
    <row r="32" spans="1:4" hidden="1" x14ac:dyDescent="0.3">
      <c r="A32" s="62" t="s">
        <v>25</v>
      </c>
      <c r="B32" s="63"/>
      <c r="C32" s="66"/>
      <c r="D32" s="66">
        <f t="shared" si="0"/>
        <v>0</v>
      </c>
    </row>
    <row r="33" spans="1:4" hidden="1" x14ac:dyDescent="0.3">
      <c r="A33" s="62" t="s">
        <v>26</v>
      </c>
      <c r="B33" s="63"/>
      <c r="C33" s="66"/>
      <c r="D33" s="66">
        <f t="shared" si="0"/>
        <v>0</v>
      </c>
    </row>
    <row r="34" spans="1:4" hidden="1" x14ac:dyDescent="0.3">
      <c r="A34" s="62" t="s">
        <v>26</v>
      </c>
      <c r="B34" s="63"/>
      <c r="C34" s="66"/>
      <c r="D34" s="66">
        <f t="shared" si="0"/>
        <v>0</v>
      </c>
    </row>
    <row r="35" spans="1:4" hidden="1" x14ac:dyDescent="0.3">
      <c r="A35" s="62" t="s">
        <v>26</v>
      </c>
      <c r="B35" s="63"/>
      <c r="C35" s="66"/>
      <c r="D35" s="66">
        <f t="shared" si="0"/>
        <v>0</v>
      </c>
    </row>
    <row r="36" spans="1:4" hidden="1" x14ac:dyDescent="0.3">
      <c r="A36" s="62" t="s">
        <v>27</v>
      </c>
      <c r="B36" s="63"/>
      <c r="C36" s="66"/>
      <c r="D36" s="66">
        <f t="shared" si="0"/>
        <v>0</v>
      </c>
    </row>
    <row r="37" spans="1:4" hidden="1" x14ac:dyDescent="0.3">
      <c r="A37" s="62" t="s">
        <v>28</v>
      </c>
      <c r="B37" s="63"/>
      <c r="C37" s="66"/>
      <c r="D37" s="66">
        <f t="shared" si="0"/>
        <v>0</v>
      </c>
    </row>
    <row r="38" spans="1:4" hidden="1" x14ac:dyDescent="0.3">
      <c r="A38" s="62" t="s">
        <v>28</v>
      </c>
      <c r="B38" s="64"/>
      <c r="C38" s="68"/>
      <c r="D38" s="66">
        <f t="shared" si="0"/>
        <v>0</v>
      </c>
    </row>
    <row r="39" spans="1:4" hidden="1" x14ac:dyDescent="0.3">
      <c r="A39" s="62" t="s">
        <v>29</v>
      </c>
      <c r="B39" s="64"/>
      <c r="C39" s="68"/>
      <c r="D39" s="66">
        <f t="shared" si="0"/>
        <v>0</v>
      </c>
    </row>
    <row r="40" spans="1:4" hidden="1" x14ac:dyDescent="0.3">
      <c r="A40" s="62" t="s">
        <v>29</v>
      </c>
      <c r="B40" s="64"/>
      <c r="C40" s="68"/>
      <c r="D40" s="66">
        <f t="shared" si="0"/>
        <v>0</v>
      </c>
    </row>
    <row r="41" spans="1:4" hidden="1" x14ac:dyDescent="0.3">
      <c r="A41" s="62" t="s">
        <v>30</v>
      </c>
      <c r="B41" s="64"/>
      <c r="C41" s="68"/>
      <c r="D41" s="66">
        <f t="shared" si="0"/>
        <v>0</v>
      </c>
    </row>
    <row r="42" spans="1:4" hidden="1" x14ac:dyDescent="0.3">
      <c r="A42" s="62" t="s">
        <v>30</v>
      </c>
      <c r="B42" s="64"/>
      <c r="C42" s="68"/>
      <c r="D42" s="66">
        <f t="shared" si="0"/>
        <v>0</v>
      </c>
    </row>
    <row r="43" spans="1:4" hidden="1" x14ac:dyDescent="0.3">
      <c r="A43" s="62" t="s">
        <v>31</v>
      </c>
      <c r="B43" s="64"/>
      <c r="C43" s="68"/>
      <c r="D43" s="66">
        <f t="shared" si="0"/>
        <v>0</v>
      </c>
    </row>
    <row r="44" spans="1:4" hidden="1" x14ac:dyDescent="0.3">
      <c r="A44" s="62" t="s">
        <v>32</v>
      </c>
      <c r="B44" s="64"/>
      <c r="C44" s="68"/>
      <c r="D44" s="66">
        <f t="shared" si="0"/>
        <v>0</v>
      </c>
    </row>
    <row r="45" spans="1:4" hidden="1" x14ac:dyDescent="0.3">
      <c r="A45" s="62" t="s">
        <v>35</v>
      </c>
      <c r="B45" s="64"/>
      <c r="C45" s="68"/>
      <c r="D45" s="66">
        <f t="shared" si="0"/>
        <v>0</v>
      </c>
    </row>
    <row r="46" spans="1:4" hidden="1" x14ac:dyDescent="0.3">
      <c r="A46" s="62" t="s">
        <v>36</v>
      </c>
      <c r="B46" s="64"/>
      <c r="C46" s="68"/>
      <c r="D46" s="66">
        <f t="shared" si="0"/>
        <v>0</v>
      </c>
    </row>
    <row r="47" spans="1:4" hidden="1" x14ac:dyDescent="0.3">
      <c r="A47" s="62" t="s">
        <v>37</v>
      </c>
      <c r="B47" s="64"/>
      <c r="C47" s="68"/>
      <c r="D47" s="66">
        <f t="shared" si="0"/>
        <v>0</v>
      </c>
    </row>
    <row r="48" spans="1:4" x14ac:dyDescent="0.3">
      <c r="A48" s="62" t="s">
        <v>38</v>
      </c>
      <c r="B48" s="64">
        <v>3</v>
      </c>
      <c r="C48" s="68">
        <v>26000</v>
      </c>
      <c r="D48" s="66">
        <f t="shared" si="0"/>
        <v>78000</v>
      </c>
    </row>
    <row r="49" spans="1:4" hidden="1" x14ac:dyDescent="0.3">
      <c r="A49" s="62" t="s">
        <v>39</v>
      </c>
      <c r="B49" s="64"/>
      <c r="C49" s="68"/>
      <c r="D49" s="66">
        <f t="shared" si="0"/>
        <v>0</v>
      </c>
    </row>
    <row r="50" spans="1:4" hidden="1" x14ac:dyDescent="0.3">
      <c r="A50" s="62" t="s">
        <v>40</v>
      </c>
      <c r="B50" s="64"/>
      <c r="C50" s="68"/>
      <c r="D50" s="66">
        <f t="shared" si="0"/>
        <v>0</v>
      </c>
    </row>
    <row r="51" spans="1:4" hidden="1" x14ac:dyDescent="0.3">
      <c r="A51" s="62" t="s">
        <v>41</v>
      </c>
      <c r="B51" s="64"/>
      <c r="C51" s="68"/>
      <c r="D51" s="66">
        <f t="shared" si="0"/>
        <v>0</v>
      </c>
    </row>
    <row r="52" spans="1:4" hidden="1" x14ac:dyDescent="0.3">
      <c r="A52" s="62" t="s">
        <v>42</v>
      </c>
      <c r="B52" s="64"/>
      <c r="C52" s="68"/>
      <c r="D52" s="66">
        <f t="shared" si="0"/>
        <v>0</v>
      </c>
    </row>
    <row r="53" spans="1:4" hidden="1" x14ac:dyDescent="0.3">
      <c r="A53" s="62" t="s">
        <v>43</v>
      </c>
      <c r="B53" s="64"/>
      <c r="C53" s="68"/>
      <c r="D53" s="66">
        <f t="shared" si="0"/>
        <v>0</v>
      </c>
    </row>
    <row r="54" spans="1:4" hidden="1" x14ac:dyDescent="0.3">
      <c r="A54" s="62" t="s">
        <v>44</v>
      </c>
      <c r="B54" s="64"/>
      <c r="C54" s="68"/>
      <c r="D54" s="66">
        <f t="shared" si="0"/>
        <v>0</v>
      </c>
    </row>
    <row r="55" spans="1:4" hidden="1" x14ac:dyDescent="0.3">
      <c r="A55" s="62" t="s">
        <v>45</v>
      </c>
      <c r="B55" s="64"/>
      <c r="C55" s="68"/>
      <c r="D55" s="66">
        <f t="shared" si="0"/>
        <v>0</v>
      </c>
    </row>
    <row r="56" spans="1:4" hidden="1" x14ac:dyDescent="0.3">
      <c r="A56" s="62" t="s">
        <v>46</v>
      </c>
      <c r="B56" s="64"/>
      <c r="C56" s="68"/>
      <c r="D56" s="66">
        <f t="shared" si="0"/>
        <v>0</v>
      </c>
    </row>
    <row r="57" spans="1:4" hidden="1" x14ac:dyDescent="0.3">
      <c r="A57" s="62" t="s">
        <v>47</v>
      </c>
      <c r="B57" s="64"/>
      <c r="C57" s="68"/>
      <c r="D57" s="66">
        <f t="shared" si="0"/>
        <v>0</v>
      </c>
    </row>
    <row r="58" spans="1:4" hidden="1" x14ac:dyDescent="0.3">
      <c r="A58" s="62" t="s">
        <v>48</v>
      </c>
      <c r="B58" s="64"/>
      <c r="C58" s="68"/>
      <c r="D58" s="66">
        <f t="shared" si="0"/>
        <v>0</v>
      </c>
    </row>
    <row r="59" spans="1:4" x14ac:dyDescent="0.3">
      <c r="A59" s="62" t="s">
        <v>49</v>
      </c>
      <c r="B59" s="64">
        <v>5</v>
      </c>
      <c r="C59" s="68">
        <v>9000</v>
      </c>
      <c r="D59" s="66">
        <f t="shared" si="0"/>
        <v>45000</v>
      </c>
    </row>
    <row r="60" spans="1:4" x14ac:dyDescent="0.3">
      <c r="A60" s="62" t="s">
        <v>50</v>
      </c>
      <c r="B60" s="64">
        <v>250</v>
      </c>
      <c r="C60" s="68">
        <v>7000</v>
      </c>
      <c r="D60" s="66">
        <f t="shared" si="0"/>
        <v>1750000</v>
      </c>
    </row>
    <row r="61" spans="1:4" x14ac:dyDescent="0.3">
      <c r="A61" s="62" t="s">
        <v>51</v>
      </c>
      <c r="B61" s="64">
        <v>115</v>
      </c>
      <c r="C61" s="68">
        <v>22000</v>
      </c>
      <c r="D61" s="66">
        <f t="shared" si="0"/>
        <v>2530000</v>
      </c>
    </row>
    <row r="62" spans="1:4" hidden="1" x14ac:dyDescent="0.3">
      <c r="A62" s="62" t="s">
        <v>51</v>
      </c>
      <c r="B62" s="64"/>
      <c r="C62" s="68"/>
      <c r="D62" s="66">
        <f t="shared" si="0"/>
        <v>0</v>
      </c>
    </row>
    <row r="63" spans="1:4" x14ac:dyDescent="0.3">
      <c r="A63" s="62" t="s">
        <v>52</v>
      </c>
      <c r="B63" s="64">
        <v>30</v>
      </c>
      <c r="C63" s="68">
        <v>10000</v>
      </c>
      <c r="D63" s="66">
        <f t="shared" si="0"/>
        <v>300000</v>
      </c>
    </row>
    <row r="64" spans="1:4" hidden="1" x14ac:dyDescent="0.3">
      <c r="A64" s="62" t="s">
        <v>52</v>
      </c>
      <c r="B64" s="64"/>
      <c r="C64" s="68"/>
      <c r="D64" s="66">
        <f t="shared" si="0"/>
        <v>0</v>
      </c>
    </row>
    <row r="65" spans="1:4" hidden="1" x14ac:dyDescent="0.3">
      <c r="A65" s="62" t="s">
        <v>53</v>
      </c>
      <c r="B65" s="64"/>
      <c r="C65" s="68"/>
      <c r="D65" s="66">
        <f t="shared" si="0"/>
        <v>0</v>
      </c>
    </row>
    <row r="66" spans="1:4" hidden="1" x14ac:dyDescent="0.3">
      <c r="A66" s="62" t="s">
        <v>54</v>
      </c>
      <c r="B66" s="64"/>
      <c r="C66" s="68"/>
      <c r="D66" s="66">
        <f t="shared" si="0"/>
        <v>0</v>
      </c>
    </row>
    <row r="67" spans="1:4" hidden="1" x14ac:dyDescent="0.3">
      <c r="A67" s="62" t="s">
        <v>55</v>
      </c>
      <c r="B67" s="64"/>
      <c r="C67" s="68"/>
      <c r="D67" s="66">
        <f t="shared" si="0"/>
        <v>0</v>
      </c>
    </row>
    <row r="68" spans="1:4" x14ac:dyDescent="0.3">
      <c r="A68" s="62" t="s">
        <v>56</v>
      </c>
      <c r="B68" s="64">
        <v>150</v>
      </c>
      <c r="C68" s="68">
        <v>9900</v>
      </c>
      <c r="D68" s="66">
        <f t="shared" ref="D68:D131" si="1">B68*C68</f>
        <v>1485000</v>
      </c>
    </row>
    <row r="69" spans="1:4" x14ac:dyDescent="0.3">
      <c r="A69" s="62" t="s">
        <v>57</v>
      </c>
      <c r="B69" s="64">
        <v>3</v>
      </c>
      <c r="C69" s="68">
        <v>15000</v>
      </c>
      <c r="D69" s="66">
        <f t="shared" si="1"/>
        <v>45000</v>
      </c>
    </row>
    <row r="70" spans="1:4" hidden="1" x14ac:dyDescent="0.3">
      <c r="A70" s="62" t="s">
        <v>58</v>
      </c>
      <c r="B70" s="64"/>
      <c r="C70" s="68"/>
      <c r="D70" s="66">
        <f t="shared" si="1"/>
        <v>0</v>
      </c>
    </row>
    <row r="71" spans="1:4" x14ac:dyDescent="0.3">
      <c r="A71" s="62" t="s">
        <v>59</v>
      </c>
      <c r="B71" s="64">
        <v>25</v>
      </c>
      <c r="C71" s="68">
        <v>8000</v>
      </c>
      <c r="D71" s="66">
        <f t="shared" si="1"/>
        <v>200000</v>
      </c>
    </row>
    <row r="72" spans="1:4" x14ac:dyDescent="0.3">
      <c r="A72" s="62" t="s">
        <v>60</v>
      </c>
      <c r="B72" s="64">
        <v>70</v>
      </c>
      <c r="C72" s="68">
        <v>13000</v>
      </c>
      <c r="D72" s="66">
        <f t="shared" si="1"/>
        <v>910000</v>
      </c>
    </row>
    <row r="73" spans="1:4" hidden="1" x14ac:dyDescent="0.3">
      <c r="A73" s="62" t="s">
        <v>60</v>
      </c>
      <c r="B73" s="64"/>
      <c r="C73" s="68"/>
      <c r="D73" s="66">
        <f t="shared" si="1"/>
        <v>0</v>
      </c>
    </row>
    <row r="74" spans="1:4" hidden="1" x14ac:dyDescent="0.3">
      <c r="A74" s="62" t="s">
        <v>60</v>
      </c>
      <c r="B74" s="64"/>
      <c r="C74" s="68"/>
      <c r="D74" s="66">
        <f t="shared" si="1"/>
        <v>0</v>
      </c>
    </row>
    <row r="75" spans="1:4" hidden="1" x14ac:dyDescent="0.3">
      <c r="A75" s="62" t="s">
        <v>61</v>
      </c>
      <c r="B75" s="64"/>
      <c r="C75" s="68"/>
      <c r="D75" s="66">
        <f t="shared" si="1"/>
        <v>0</v>
      </c>
    </row>
    <row r="76" spans="1:4" x14ac:dyDescent="0.3">
      <c r="A76" s="62" t="s">
        <v>62</v>
      </c>
      <c r="B76" s="64">
        <v>3</v>
      </c>
      <c r="C76" s="68">
        <v>9000</v>
      </c>
      <c r="D76" s="66">
        <f t="shared" si="1"/>
        <v>27000</v>
      </c>
    </row>
    <row r="77" spans="1:4" hidden="1" x14ac:dyDescent="0.3">
      <c r="A77" s="62" t="s">
        <v>63</v>
      </c>
      <c r="B77" s="64"/>
      <c r="C77" s="68"/>
      <c r="D77" s="66">
        <f t="shared" si="1"/>
        <v>0</v>
      </c>
    </row>
    <row r="78" spans="1:4" hidden="1" x14ac:dyDescent="0.3">
      <c r="A78" s="62" t="s">
        <v>65</v>
      </c>
      <c r="B78" s="64"/>
      <c r="C78" s="68"/>
      <c r="D78" s="66">
        <f t="shared" si="1"/>
        <v>0</v>
      </c>
    </row>
    <row r="79" spans="1:4" hidden="1" x14ac:dyDescent="0.3">
      <c r="A79" s="62" t="s">
        <v>66</v>
      </c>
      <c r="B79" s="64"/>
      <c r="C79" s="68"/>
      <c r="D79" s="66">
        <f t="shared" si="1"/>
        <v>0</v>
      </c>
    </row>
    <row r="80" spans="1:4" x14ac:dyDescent="0.3">
      <c r="A80" s="62" t="s">
        <v>67</v>
      </c>
      <c r="B80" s="64">
        <v>11</v>
      </c>
      <c r="C80" s="68">
        <v>11000</v>
      </c>
      <c r="D80" s="66">
        <f t="shared" si="1"/>
        <v>121000</v>
      </c>
    </row>
    <row r="81" spans="1:4" hidden="1" x14ac:dyDescent="0.3">
      <c r="A81" s="62" t="s">
        <v>68</v>
      </c>
      <c r="B81" s="64"/>
      <c r="C81" s="68"/>
      <c r="D81" s="66">
        <f t="shared" si="1"/>
        <v>0</v>
      </c>
    </row>
    <row r="82" spans="1:4" hidden="1" x14ac:dyDescent="0.3">
      <c r="A82" s="62" t="s">
        <v>69</v>
      </c>
      <c r="B82" s="64"/>
      <c r="C82" s="68"/>
      <c r="D82" s="66">
        <f t="shared" si="1"/>
        <v>0</v>
      </c>
    </row>
    <row r="83" spans="1:4" hidden="1" x14ac:dyDescent="0.3">
      <c r="A83" s="62" t="s">
        <v>70</v>
      </c>
      <c r="B83" s="64"/>
      <c r="C83" s="68"/>
      <c r="D83" s="66">
        <f t="shared" si="1"/>
        <v>0</v>
      </c>
    </row>
    <row r="84" spans="1:4" x14ac:dyDescent="0.3">
      <c r="A84" s="62" t="s">
        <v>71</v>
      </c>
      <c r="B84" s="64">
        <v>10</v>
      </c>
      <c r="C84" s="68">
        <v>10000</v>
      </c>
      <c r="D84" s="66">
        <f t="shared" si="1"/>
        <v>100000</v>
      </c>
    </row>
    <row r="85" spans="1:4" hidden="1" x14ac:dyDescent="0.3">
      <c r="A85" s="62" t="s">
        <v>72</v>
      </c>
      <c r="B85" s="64"/>
      <c r="C85" s="68"/>
      <c r="D85" s="66">
        <f t="shared" si="1"/>
        <v>0</v>
      </c>
    </row>
    <row r="86" spans="1:4" hidden="1" x14ac:dyDescent="0.3">
      <c r="A86" s="62" t="s">
        <v>73</v>
      </c>
      <c r="B86" s="64"/>
      <c r="C86" s="68"/>
      <c r="D86" s="66">
        <f t="shared" si="1"/>
        <v>0</v>
      </c>
    </row>
    <row r="87" spans="1:4" hidden="1" x14ac:dyDescent="0.3">
      <c r="A87" s="62" t="s">
        <v>73</v>
      </c>
      <c r="B87" s="64"/>
      <c r="C87" s="68"/>
      <c r="D87" s="66">
        <f t="shared" si="1"/>
        <v>0</v>
      </c>
    </row>
    <row r="88" spans="1:4" hidden="1" x14ac:dyDescent="0.3">
      <c r="A88" s="62" t="s">
        <v>74</v>
      </c>
      <c r="B88" s="64"/>
      <c r="C88" s="68"/>
      <c r="D88" s="66">
        <f t="shared" si="1"/>
        <v>0</v>
      </c>
    </row>
    <row r="89" spans="1:4" hidden="1" x14ac:dyDescent="0.3">
      <c r="A89" s="62" t="s">
        <v>75</v>
      </c>
      <c r="B89" s="64"/>
      <c r="C89" s="68"/>
      <c r="D89" s="66">
        <f t="shared" si="1"/>
        <v>0</v>
      </c>
    </row>
    <row r="90" spans="1:4" hidden="1" x14ac:dyDescent="0.3">
      <c r="A90" s="62" t="s">
        <v>75</v>
      </c>
      <c r="B90" s="64"/>
      <c r="C90" s="68"/>
      <c r="D90" s="66">
        <f t="shared" si="1"/>
        <v>0</v>
      </c>
    </row>
    <row r="91" spans="1:4" x14ac:dyDescent="0.3">
      <c r="A91" s="62" t="s">
        <v>76</v>
      </c>
      <c r="B91" s="64">
        <v>200</v>
      </c>
      <c r="C91" s="68">
        <v>30000</v>
      </c>
      <c r="D91" s="66">
        <f t="shared" si="1"/>
        <v>6000000</v>
      </c>
    </row>
    <row r="92" spans="1:4" hidden="1" x14ac:dyDescent="0.3">
      <c r="A92" s="62" t="s">
        <v>76</v>
      </c>
      <c r="B92" s="64"/>
      <c r="C92" s="68"/>
      <c r="D92" s="66">
        <f t="shared" si="1"/>
        <v>0</v>
      </c>
    </row>
    <row r="93" spans="1:4" x14ac:dyDescent="0.3">
      <c r="A93" s="62" t="s">
        <v>78</v>
      </c>
      <c r="B93" s="64">
        <v>200</v>
      </c>
      <c r="C93" s="68">
        <v>20000</v>
      </c>
      <c r="D93" s="66">
        <f t="shared" si="1"/>
        <v>4000000</v>
      </c>
    </row>
    <row r="94" spans="1:4" hidden="1" x14ac:dyDescent="0.3">
      <c r="A94" s="62" t="s">
        <v>78</v>
      </c>
      <c r="B94" s="64"/>
      <c r="C94" s="68"/>
      <c r="D94" s="66">
        <f t="shared" si="1"/>
        <v>0</v>
      </c>
    </row>
    <row r="95" spans="1:4" x14ac:dyDescent="0.3">
      <c r="A95" s="62" t="s">
        <v>79</v>
      </c>
      <c r="B95" s="64">
        <v>125</v>
      </c>
      <c r="C95" s="68">
        <v>22000</v>
      </c>
      <c r="D95" s="66">
        <f t="shared" si="1"/>
        <v>2750000</v>
      </c>
    </row>
    <row r="96" spans="1:4" hidden="1" x14ac:dyDescent="0.3">
      <c r="A96" s="62" t="s">
        <v>79</v>
      </c>
      <c r="B96" s="64"/>
      <c r="C96" s="68"/>
      <c r="D96" s="66">
        <f t="shared" si="1"/>
        <v>0</v>
      </c>
    </row>
    <row r="97" spans="1:4" x14ac:dyDescent="0.3">
      <c r="A97" s="62" t="s">
        <v>80</v>
      </c>
      <c r="B97" s="64">
        <v>48</v>
      </c>
      <c r="C97" s="68">
        <v>16500</v>
      </c>
      <c r="D97" s="66">
        <f t="shared" si="1"/>
        <v>792000</v>
      </c>
    </row>
    <row r="98" spans="1:4" hidden="1" x14ac:dyDescent="0.3">
      <c r="A98" s="62" t="s">
        <v>81</v>
      </c>
      <c r="B98" s="64"/>
      <c r="C98" s="68"/>
      <c r="D98" s="66">
        <f t="shared" si="1"/>
        <v>0</v>
      </c>
    </row>
    <row r="99" spans="1:4" x14ac:dyDescent="0.3">
      <c r="A99" s="62" t="s">
        <v>82</v>
      </c>
      <c r="B99" s="64">
        <v>90</v>
      </c>
      <c r="C99" s="68">
        <v>10000</v>
      </c>
      <c r="D99" s="66">
        <f t="shared" si="1"/>
        <v>900000</v>
      </c>
    </row>
    <row r="100" spans="1:4" hidden="1" x14ac:dyDescent="0.3">
      <c r="A100" s="62" t="s">
        <v>83</v>
      </c>
      <c r="B100" s="64"/>
      <c r="C100" s="68"/>
      <c r="D100" s="66">
        <f t="shared" si="1"/>
        <v>0</v>
      </c>
    </row>
    <row r="101" spans="1:4" hidden="1" x14ac:dyDescent="0.3">
      <c r="A101" s="62" t="s">
        <v>85</v>
      </c>
      <c r="B101" s="64"/>
      <c r="C101" s="68"/>
      <c r="D101" s="66">
        <f t="shared" si="1"/>
        <v>0</v>
      </c>
    </row>
    <row r="102" spans="1:4" hidden="1" x14ac:dyDescent="0.3">
      <c r="A102" s="62" t="s">
        <v>86</v>
      </c>
      <c r="B102" s="64"/>
      <c r="C102" s="68"/>
      <c r="D102" s="66">
        <f t="shared" si="1"/>
        <v>0</v>
      </c>
    </row>
    <row r="103" spans="1:4" hidden="1" x14ac:dyDescent="0.3">
      <c r="A103" s="62" t="s">
        <v>87</v>
      </c>
      <c r="B103" s="64"/>
      <c r="C103" s="68"/>
      <c r="D103" s="66">
        <f t="shared" si="1"/>
        <v>0</v>
      </c>
    </row>
    <row r="104" spans="1:4" hidden="1" x14ac:dyDescent="0.3">
      <c r="A104" s="62" t="s">
        <v>88</v>
      </c>
      <c r="B104" s="64"/>
      <c r="C104" s="68"/>
      <c r="D104" s="66">
        <f t="shared" si="1"/>
        <v>0</v>
      </c>
    </row>
    <row r="105" spans="1:4" hidden="1" x14ac:dyDescent="0.3">
      <c r="A105" s="62" t="s">
        <v>90</v>
      </c>
      <c r="B105" s="64"/>
      <c r="C105" s="68"/>
      <c r="D105" s="66">
        <f t="shared" si="1"/>
        <v>0</v>
      </c>
    </row>
    <row r="106" spans="1:4" x14ac:dyDescent="0.3">
      <c r="A106" s="62" t="s">
        <v>92</v>
      </c>
      <c r="B106" s="64">
        <v>70</v>
      </c>
      <c r="C106" s="68">
        <v>13500</v>
      </c>
      <c r="D106" s="66">
        <f t="shared" si="1"/>
        <v>945000</v>
      </c>
    </row>
    <row r="107" spans="1:4" hidden="1" x14ac:dyDescent="0.3">
      <c r="A107" s="62" t="s">
        <v>93</v>
      </c>
      <c r="B107" s="64"/>
      <c r="C107" s="68"/>
      <c r="D107" s="66">
        <f t="shared" si="1"/>
        <v>0</v>
      </c>
    </row>
    <row r="108" spans="1:4" hidden="1" x14ac:dyDescent="0.3">
      <c r="A108" s="62" t="s">
        <v>94</v>
      </c>
      <c r="B108" s="64"/>
      <c r="C108" s="68"/>
      <c r="D108" s="66">
        <f t="shared" si="1"/>
        <v>0</v>
      </c>
    </row>
    <row r="109" spans="1:4" hidden="1" x14ac:dyDescent="0.3">
      <c r="A109" s="62" t="s">
        <v>95</v>
      </c>
      <c r="B109" s="64"/>
      <c r="C109" s="68"/>
      <c r="D109" s="66">
        <f t="shared" si="1"/>
        <v>0</v>
      </c>
    </row>
    <row r="110" spans="1:4" x14ac:dyDescent="0.3">
      <c r="A110" s="62" t="s">
        <v>96</v>
      </c>
      <c r="B110" s="64">
        <v>20</v>
      </c>
      <c r="C110" s="68">
        <v>43000</v>
      </c>
      <c r="D110" s="66">
        <f t="shared" si="1"/>
        <v>860000</v>
      </c>
    </row>
    <row r="111" spans="1:4" hidden="1" x14ac:dyDescent="0.3">
      <c r="A111" s="62" t="s">
        <v>97</v>
      </c>
      <c r="B111" s="64"/>
      <c r="C111" s="68"/>
      <c r="D111" s="66">
        <f t="shared" si="1"/>
        <v>0</v>
      </c>
    </row>
    <row r="112" spans="1:4" hidden="1" x14ac:dyDescent="0.3">
      <c r="A112" s="62" t="s">
        <v>121</v>
      </c>
      <c r="B112" s="64"/>
      <c r="C112" s="68"/>
      <c r="D112" s="66">
        <f t="shared" si="1"/>
        <v>0</v>
      </c>
    </row>
    <row r="113" spans="1:4" hidden="1" x14ac:dyDescent="0.3">
      <c r="A113" s="62" t="s">
        <v>101</v>
      </c>
      <c r="B113" s="64"/>
      <c r="C113" s="68"/>
      <c r="D113" s="66">
        <f t="shared" si="1"/>
        <v>0</v>
      </c>
    </row>
    <row r="114" spans="1:4" x14ac:dyDescent="0.3">
      <c r="A114" s="62" t="s">
        <v>102</v>
      </c>
      <c r="B114" s="64">
        <v>200</v>
      </c>
      <c r="C114" s="68">
        <v>26000</v>
      </c>
      <c r="D114" s="66">
        <f t="shared" si="1"/>
        <v>5200000</v>
      </c>
    </row>
    <row r="115" spans="1:4" x14ac:dyDescent="0.3">
      <c r="A115" s="62" t="s">
        <v>103</v>
      </c>
      <c r="B115" s="64">
        <v>53</v>
      </c>
      <c r="C115" s="68">
        <v>16500</v>
      </c>
      <c r="D115" s="66">
        <f t="shared" si="1"/>
        <v>874500</v>
      </c>
    </row>
    <row r="116" spans="1:4" hidden="1" x14ac:dyDescent="0.3">
      <c r="A116" s="62" t="s">
        <v>559</v>
      </c>
      <c r="B116" s="64"/>
      <c r="C116" s="68"/>
      <c r="D116" s="66">
        <f t="shared" si="1"/>
        <v>0</v>
      </c>
    </row>
    <row r="117" spans="1:4" hidden="1" x14ac:dyDescent="0.3">
      <c r="A117" s="62" t="s">
        <v>573</v>
      </c>
      <c r="B117" s="64"/>
      <c r="C117" s="68"/>
      <c r="D117" s="66">
        <f t="shared" si="1"/>
        <v>0</v>
      </c>
    </row>
    <row r="118" spans="1:4" hidden="1" x14ac:dyDescent="0.3">
      <c r="A118" s="62" t="s">
        <v>573</v>
      </c>
      <c r="B118" s="64"/>
      <c r="C118" s="68"/>
      <c r="D118" s="66">
        <f t="shared" si="1"/>
        <v>0</v>
      </c>
    </row>
    <row r="119" spans="1:4" hidden="1" x14ac:dyDescent="0.3">
      <c r="A119" s="62" t="s">
        <v>560</v>
      </c>
      <c r="B119" s="64"/>
      <c r="C119" s="68"/>
      <c r="D119" s="66">
        <f t="shared" si="1"/>
        <v>0</v>
      </c>
    </row>
    <row r="120" spans="1:4" hidden="1" x14ac:dyDescent="0.3">
      <c r="A120" s="62" t="s">
        <v>599</v>
      </c>
      <c r="B120" s="64"/>
      <c r="C120" s="68"/>
      <c r="D120" s="66">
        <f t="shared" si="1"/>
        <v>0</v>
      </c>
    </row>
    <row r="121" spans="1:4" hidden="1" x14ac:dyDescent="0.3">
      <c r="A121" s="62" t="s">
        <v>600</v>
      </c>
      <c r="B121" s="64"/>
      <c r="C121" s="68"/>
      <c r="D121" s="66">
        <f t="shared" si="1"/>
        <v>0</v>
      </c>
    </row>
    <row r="122" spans="1:4" hidden="1" x14ac:dyDescent="0.3">
      <c r="A122" s="62" t="s">
        <v>109</v>
      </c>
      <c r="B122" s="64"/>
      <c r="C122" s="68"/>
      <c r="D122" s="66">
        <f t="shared" si="1"/>
        <v>0</v>
      </c>
    </row>
    <row r="123" spans="1:4" hidden="1" x14ac:dyDescent="0.3">
      <c r="A123" s="62" t="s">
        <v>110</v>
      </c>
      <c r="B123" s="64"/>
      <c r="C123" s="68"/>
      <c r="D123" s="66">
        <f t="shared" si="1"/>
        <v>0</v>
      </c>
    </row>
    <row r="124" spans="1:4" hidden="1" x14ac:dyDescent="0.3">
      <c r="A124" s="62" t="s">
        <v>112</v>
      </c>
      <c r="B124" s="64"/>
      <c r="C124" s="68"/>
      <c r="D124" s="66">
        <f t="shared" si="1"/>
        <v>0</v>
      </c>
    </row>
    <row r="125" spans="1:4" x14ac:dyDescent="0.3">
      <c r="A125" s="62" t="s">
        <v>526</v>
      </c>
      <c r="B125" s="64">
        <v>2</v>
      </c>
      <c r="C125" s="68">
        <v>60000</v>
      </c>
      <c r="D125" s="66">
        <f t="shared" si="1"/>
        <v>120000</v>
      </c>
    </row>
    <row r="126" spans="1:4" hidden="1" x14ac:dyDescent="0.3">
      <c r="A126" s="62" t="s">
        <v>116</v>
      </c>
      <c r="B126" s="64"/>
      <c r="C126" s="68"/>
      <c r="D126" s="66">
        <f t="shared" si="1"/>
        <v>0</v>
      </c>
    </row>
    <row r="127" spans="1:4" hidden="1" x14ac:dyDescent="0.3">
      <c r="A127" s="62" t="s">
        <v>116</v>
      </c>
      <c r="B127" s="64"/>
      <c r="C127" s="68"/>
      <c r="D127" s="66">
        <f t="shared" si="1"/>
        <v>0</v>
      </c>
    </row>
    <row r="128" spans="1:4" hidden="1" x14ac:dyDescent="0.3">
      <c r="A128" s="62" t="s">
        <v>585</v>
      </c>
      <c r="B128" s="64"/>
      <c r="C128" s="68"/>
      <c r="D128" s="66">
        <f t="shared" si="1"/>
        <v>0</v>
      </c>
    </row>
    <row r="129" spans="1:4" hidden="1" x14ac:dyDescent="0.3">
      <c r="A129" s="62" t="s">
        <v>118</v>
      </c>
      <c r="B129" s="64"/>
      <c r="C129" s="68"/>
      <c r="D129" s="66">
        <f t="shared" si="1"/>
        <v>0</v>
      </c>
    </row>
    <row r="130" spans="1:4" hidden="1" x14ac:dyDescent="0.3">
      <c r="A130" s="62" t="s">
        <v>577</v>
      </c>
      <c r="B130" s="64"/>
      <c r="C130" s="68"/>
      <c r="D130" s="66">
        <f t="shared" si="1"/>
        <v>0</v>
      </c>
    </row>
    <row r="131" spans="1:4" hidden="1" x14ac:dyDescent="0.3">
      <c r="A131" s="62" t="e">
        <v>#N/A</v>
      </c>
      <c r="B131" s="64"/>
      <c r="C131" s="68"/>
      <c r="D131" s="66">
        <f t="shared" si="1"/>
        <v>0</v>
      </c>
    </row>
    <row r="132" spans="1:4" hidden="1" x14ac:dyDescent="0.3">
      <c r="A132" s="62" t="s">
        <v>537</v>
      </c>
      <c r="B132" s="64"/>
      <c r="C132" s="68"/>
      <c r="D132" s="66">
        <f t="shared" ref="D132:D197" si="2">B132*C132</f>
        <v>0</v>
      </c>
    </row>
    <row r="133" spans="1:4" x14ac:dyDescent="0.3">
      <c r="A133" s="62" t="s">
        <v>538</v>
      </c>
      <c r="B133" s="64">
        <v>3</v>
      </c>
      <c r="C133" s="68">
        <v>45000</v>
      </c>
      <c r="D133" s="66">
        <f t="shared" si="2"/>
        <v>135000</v>
      </c>
    </row>
    <row r="134" spans="1:4" x14ac:dyDescent="0.3">
      <c r="A134" s="62" t="s">
        <v>524</v>
      </c>
      <c r="B134" s="64">
        <v>64</v>
      </c>
      <c r="C134" s="68">
        <v>30000</v>
      </c>
      <c r="D134" s="66">
        <f t="shared" si="2"/>
        <v>1920000</v>
      </c>
    </row>
    <row r="135" spans="1:4" hidden="1" x14ac:dyDescent="0.3">
      <c r="A135" s="62" t="s">
        <v>117</v>
      </c>
      <c r="B135" s="64"/>
      <c r="C135" s="68"/>
      <c r="D135" s="66">
        <f t="shared" si="2"/>
        <v>0</v>
      </c>
    </row>
    <row r="136" spans="1:4" hidden="1" x14ac:dyDescent="0.3">
      <c r="A136" s="62" t="s">
        <v>527</v>
      </c>
      <c r="B136" s="64"/>
      <c r="C136" s="68"/>
      <c r="D136" s="66">
        <f t="shared" si="2"/>
        <v>0</v>
      </c>
    </row>
    <row r="137" spans="1:4" hidden="1" x14ac:dyDescent="0.3">
      <c r="A137" s="62" t="s">
        <v>115</v>
      </c>
      <c r="B137" s="64"/>
      <c r="C137" s="68"/>
      <c r="D137" s="66">
        <f t="shared" si="2"/>
        <v>0</v>
      </c>
    </row>
    <row r="138" spans="1:4" hidden="1" x14ac:dyDescent="0.3">
      <c r="A138" s="62" t="e">
        <v>#N/A</v>
      </c>
      <c r="B138" s="64"/>
      <c r="C138" s="68"/>
      <c r="D138" s="66">
        <f t="shared" si="2"/>
        <v>0</v>
      </c>
    </row>
    <row r="139" spans="1:4" x14ac:dyDescent="0.3">
      <c r="A139" s="89" t="s">
        <v>554</v>
      </c>
      <c r="B139" s="90">
        <v>40</v>
      </c>
      <c r="C139" s="91">
        <v>17000</v>
      </c>
      <c r="D139" s="66">
        <f t="shared" si="2"/>
        <v>680000</v>
      </c>
    </row>
    <row r="140" spans="1:4" x14ac:dyDescent="0.3">
      <c r="A140" s="89" t="s">
        <v>552</v>
      </c>
      <c r="B140" s="90">
        <v>20</v>
      </c>
      <c r="C140" s="91">
        <v>15000</v>
      </c>
      <c r="D140" s="66">
        <f t="shared" si="2"/>
        <v>300000</v>
      </c>
    </row>
    <row r="141" spans="1:4" x14ac:dyDescent="0.3">
      <c r="A141" s="89" t="s">
        <v>553</v>
      </c>
      <c r="B141" s="90">
        <v>85</v>
      </c>
      <c r="C141" s="91">
        <v>27000</v>
      </c>
      <c r="D141" s="66">
        <f t="shared" si="2"/>
        <v>2295000</v>
      </c>
    </row>
    <row r="142" spans="1:4" x14ac:dyDescent="0.3">
      <c r="A142" s="89" t="s">
        <v>551</v>
      </c>
      <c r="B142" s="90">
        <v>10</v>
      </c>
      <c r="C142" s="91">
        <v>12000</v>
      </c>
      <c r="D142" s="66">
        <f t="shared" si="2"/>
        <v>120000</v>
      </c>
    </row>
    <row r="143" spans="1:4" hidden="1" x14ac:dyDescent="0.3">
      <c r="A143" s="89"/>
      <c r="B143" s="90"/>
      <c r="C143" s="91"/>
      <c r="D143" s="66">
        <f t="shared" si="2"/>
        <v>0</v>
      </c>
    </row>
    <row r="144" spans="1:4" x14ac:dyDescent="0.3">
      <c r="A144" s="89"/>
      <c r="B144" s="90"/>
      <c r="C144" s="91"/>
      <c r="D144" s="66">
        <f>SUM(D3:D142)</f>
        <v>76981500</v>
      </c>
    </row>
    <row r="145" spans="1:4" x14ac:dyDescent="0.3">
      <c r="A145" s="89"/>
      <c r="B145" s="90"/>
      <c r="C145" s="91"/>
      <c r="D145" s="66"/>
    </row>
    <row r="146" spans="1:4" ht="31.2" x14ac:dyDescent="0.3">
      <c r="A146" s="48" t="s">
        <v>0</v>
      </c>
      <c r="B146" s="49" t="s">
        <v>544</v>
      </c>
      <c r="C146" s="50" t="s">
        <v>518</v>
      </c>
      <c r="D146" s="66" t="s">
        <v>519</v>
      </c>
    </row>
    <row r="147" spans="1:4" ht="15.6" hidden="1" x14ac:dyDescent="0.3">
      <c r="A147" s="51" t="s">
        <v>1</v>
      </c>
      <c r="B147" s="52"/>
      <c r="C147" s="53"/>
      <c r="D147" s="66">
        <f t="shared" si="2"/>
        <v>0</v>
      </c>
    </row>
    <row r="148" spans="1:4" ht="15.6" hidden="1" x14ac:dyDescent="0.3">
      <c r="A148" s="51" t="s">
        <v>5</v>
      </c>
      <c r="B148" s="52"/>
      <c r="C148" s="53"/>
      <c r="D148" s="66">
        <f t="shared" si="2"/>
        <v>0</v>
      </c>
    </row>
    <row r="149" spans="1:4" ht="15.6" x14ac:dyDescent="0.3">
      <c r="A149" s="51" t="s">
        <v>6</v>
      </c>
      <c r="B149" s="52">
        <v>80</v>
      </c>
      <c r="C149" s="53">
        <v>15000</v>
      </c>
      <c r="D149" s="66">
        <f t="shared" si="2"/>
        <v>1200000</v>
      </c>
    </row>
    <row r="150" spans="1:4" ht="15.6" x14ac:dyDescent="0.3">
      <c r="A150" s="51" t="s">
        <v>8</v>
      </c>
      <c r="B150" s="52">
        <v>246</v>
      </c>
      <c r="C150" s="53">
        <v>25000</v>
      </c>
      <c r="D150" s="66">
        <f t="shared" si="2"/>
        <v>6150000</v>
      </c>
    </row>
    <row r="151" spans="1:4" ht="15.6" hidden="1" x14ac:dyDescent="0.3">
      <c r="A151" s="51" t="s">
        <v>119</v>
      </c>
      <c r="B151" s="52"/>
      <c r="C151" s="53"/>
      <c r="D151" s="66">
        <f t="shared" si="2"/>
        <v>0</v>
      </c>
    </row>
    <row r="152" spans="1:4" ht="15.6" hidden="1" x14ac:dyDescent="0.3">
      <c r="A152" s="51" t="s">
        <v>12</v>
      </c>
      <c r="B152" s="52"/>
      <c r="C152" s="53"/>
      <c r="D152" s="66">
        <f t="shared" si="2"/>
        <v>0</v>
      </c>
    </row>
    <row r="153" spans="1:4" ht="15.6" hidden="1" x14ac:dyDescent="0.3">
      <c r="A153" s="51" t="s">
        <v>14</v>
      </c>
      <c r="B153" s="52"/>
      <c r="C153" s="53"/>
      <c r="D153" s="66">
        <f t="shared" si="2"/>
        <v>0</v>
      </c>
    </row>
    <row r="154" spans="1:4" ht="15.6" hidden="1" x14ac:dyDescent="0.3">
      <c r="A154" s="51" t="s">
        <v>15</v>
      </c>
      <c r="B154" s="52"/>
      <c r="C154" s="53"/>
      <c r="D154" s="66">
        <f t="shared" si="2"/>
        <v>0</v>
      </c>
    </row>
    <row r="155" spans="1:4" ht="15.6" hidden="1" x14ac:dyDescent="0.3">
      <c r="A155" s="51" t="s">
        <v>16</v>
      </c>
      <c r="B155" s="52"/>
      <c r="C155" s="53"/>
      <c r="D155" s="66">
        <f t="shared" si="2"/>
        <v>0</v>
      </c>
    </row>
    <row r="156" spans="1:4" ht="15.6" hidden="1" x14ac:dyDescent="0.3">
      <c r="A156" s="51" t="s">
        <v>110</v>
      </c>
      <c r="B156" s="52"/>
      <c r="C156" s="53"/>
      <c r="D156" s="66">
        <f t="shared" si="2"/>
        <v>0</v>
      </c>
    </row>
    <row r="157" spans="1:4" ht="15.6" x14ac:dyDescent="0.3">
      <c r="A157" s="51" t="s">
        <v>17</v>
      </c>
      <c r="B157" s="52">
        <v>12</v>
      </c>
      <c r="C157" s="53">
        <v>31000</v>
      </c>
      <c r="D157" s="66">
        <f t="shared" si="2"/>
        <v>372000</v>
      </c>
    </row>
    <row r="158" spans="1:4" ht="15.6" hidden="1" x14ac:dyDescent="0.3">
      <c r="A158" s="51" t="s">
        <v>21</v>
      </c>
      <c r="B158" s="52"/>
      <c r="C158" s="53"/>
      <c r="D158" s="66">
        <f t="shared" si="2"/>
        <v>0</v>
      </c>
    </row>
    <row r="159" spans="1:4" ht="15.6" hidden="1" x14ac:dyDescent="0.3">
      <c r="A159" s="51" t="s">
        <v>22</v>
      </c>
      <c r="B159" s="52"/>
      <c r="C159" s="53"/>
      <c r="D159" s="66">
        <f t="shared" si="2"/>
        <v>0</v>
      </c>
    </row>
    <row r="160" spans="1:4" ht="15.6" x14ac:dyDescent="0.3">
      <c r="A160" s="51" t="s">
        <v>23</v>
      </c>
      <c r="B160" s="52">
        <v>2476</v>
      </c>
      <c r="C160" s="53">
        <v>6800</v>
      </c>
      <c r="D160" s="66">
        <f t="shared" si="2"/>
        <v>16836800</v>
      </c>
    </row>
    <row r="161" spans="1:4" ht="15.6" x14ac:dyDescent="0.3">
      <c r="A161" s="51" t="s">
        <v>27</v>
      </c>
      <c r="B161" s="52">
        <v>160</v>
      </c>
      <c r="C161" s="53">
        <v>17000</v>
      </c>
      <c r="D161" s="66">
        <f t="shared" si="2"/>
        <v>2720000</v>
      </c>
    </row>
    <row r="162" spans="1:4" ht="15.6" hidden="1" x14ac:dyDescent="0.3">
      <c r="A162" s="51" t="s">
        <v>28</v>
      </c>
      <c r="B162" s="52"/>
      <c r="C162" s="53"/>
      <c r="D162" s="66">
        <f t="shared" si="2"/>
        <v>0</v>
      </c>
    </row>
    <row r="163" spans="1:4" ht="15.6" hidden="1" x14ac:dyDescent="0.3">
      <c r="A163" s="51" t="s">
        <v>29</v>
      </c>
      <c r="B163" s="52"/>
      <c r="C163" s="53"/>
      <c r="D163" s="66">
        <f t="shared" si="2"/>
        <v>0</v>
      </c>
    </row>
    <row r="164" spans="1:4" ht="15.6" hidden="1" x14ac:dyDescent="0.3">
      <c r="A164" s="51" t="s">
        <v>39</v>
      </c>
      <c r="B164" s="52"/>
      <c r="C164" s="53"/>
      <c r="D164" s="66">
        <f t="shared" si="2"/>
        <v>0</v>
      </c>
    </row>
    <row r="165" spans="1:4" ht="15.6" hidden="1" x14ac:dyDescent="0.3">
      <c r="A165" s="51" t="s">
        <v>41</v>
      </c>
      <c r="B165" s="52"/>
      <c r="C165" s="53"/>
      <c r="D165" s="66">
        <f t="shared" si="2"/>
        <v>0</v>
      </c>
    </row>
    <row r="166" spans="1:4" ht="15.6" hidden="1" x14ac:dyDescent="0.3">
      <c r="A166" s="51" t="s">
        <v>46</v>
      </c>
      <c r="B166" s="52"/>
      <c r="C166" s="53"/>
      <c r="D166" s="66">
        <f t="shared" si="2"/>
        <v>0</v>
      </c>
    </row>
    <row r="167" spans="1:4" ht="15.6" x14ac:dyDescent="0.3">
      <c r="A167" s="51" t="s">
        <v>48</v>
      </c>
      <c r="B167" s="52">
        <v>110</v>
      </c>
      <c r="C167" s="53">
        <v>10000</v>
      </c>
      <c r="D167" s="66">
        <f t="shared" si="2"/>
        <v>1100000</v>
      </c>
    </row>
    <row r="168" spans="1:4" ht="15.6" x14ac:dyDescent="0.3">
      <c r="A168" s="51" t="s">
        <v>50</v>
      </c>
      <c r="B168" s="52">
        <v>70</v>
      </c>
      <c r="C168" s="53">
        <v>7000</v>
      </c>
      <c r="D168" s="66">
        <f t="shared" si="2"/>
        <v>490000</v>
      </c>
    </row>
    <row r="169" spans="1:4" ht="15.6" hidden="1" x14ac:dyDescent="0.3">
      <c r="A169" s="51" t="s">
        <v>51</v>
      </c>
      <c r="B169" s="52"/>
      <c r="C169" s="53"/>
      <c r="D169" s="66">
        <f t="shared" si="2"/>
        <v>0</v>
      </c>
    </row>
    <row r="170" spans="1:4" ht="15.6" x14ac:dyDescent="0.3">
      <c r="A170" s="51" t="s">
        <v>53</v>
      </c>
      <c r="B170" s="52">
        <v>310</v>
      </c>
      <c r="C170" s="53">
        <v>20000</v>
      </c>
      <c r="D170" s="66">
        <f t="shared" si="2"/>
        <v>6200000</v>
      </c>
    </row>
    <row r="171" spans="1:4" ht="15.6" x14ac:dyDescent="0.3">
      <c r="A171" s="51" t="s">
        <v>56</v>
      </c>
      <c r="B171" s="52">
        <v>6</v>
      </c>
      <c r="C171" s="53">
        <v>9900</v>
      </c>
      <c r="D171" s="66">
        <f t="shared" si="2"/>
        <v>59400</v>
      </c>
    </row>
    <row r="172" spans="1:4" ht="15.6" x14ac:dyDescent="0.3">
      <c r="A172" s="51" t="s">
        <v>60</v>
      </c>
      <c r="B172" s="52">
        <v>400</v>
      </c>
      <c r="C172" s="53">
        <v>13000</v>
      </c>
      <c r="D172" s="66">
        <f t="shared" si="2"/>
        <v>5200000</v>
      </c>
    </row>
    <row r="173" spans="1:4" ht="15.6" hidden="1" x14ac:dyDescent="0.3">
      <c r="A173" s="51" t="s">
        <v>62</v>
      </c>
      <c r="B173" s="52"/>
      <c r="C173" s="53"/>
      <c r="D173" s="66">
        <f t="shared" si="2"/>
        <v>0</v>
      </c>
    </row>
    <row r="174" spans="1:4" ht="15.6" hidden="1" x14ac:dyDescent="0.3">
      <c r="A174" s="51" t="s">
        <v>67</v>
      </c>
      <c r="B174" s="52"/>
      <c r="C174" s="53"/>
      <c r="D174" s="66">
        <f t="shared" si="2"/>
        <v>0</v>
      </c>
    </row>
    <row r="175" spans="1:4" ht="15.6" x14ac:dyDescent="0.3">
      <c r="A175" s="51" t="s">
        <v>68</v>
      </c>
      <c r="B175" s="52">
        <v>12</v>
      </c>
      <c r="C175" s="53">
        <v>12000</v>
      </c>
      <c r="D175" s="66">
        <f t="shared" si="2"/>
        <v>144000</v>
      </c>
    </row>
    <row r="176" spans="1:4" ht="15.6" hidden="1" x14ac:dyDescent="0.3">
      <c r="A176" s="51" t="s">
        <v>72</v>
      </c>
      <c r="B176" s="52"/>
      <c r="C176" s="53"/>
      <c r="D176" s="66">
        <f t="shared" si="2"/>
        <v>0</v>
      </c>
    </row>
    <row r="177" spans="1:4" ht="15.6" hidden="1" x14ac:dyDescent="0.3">
      <c r="A177" s="51" t="s">
        <v>76</v>
      </c>
      <c r="B177" s="52"/>
      <c r="C177" s="53"/>
      <c r="D177" s="66">
        <f t="shared" si="2"/>
        <v>0</v>
      </c>
    </row>
    <row r="178" spans="1:4" ht="15.6" hidden="1" x14ac:dyDescent="0.3">
      <c r="A178" s="51" t="s">
        <v>78</v>
      </c>
      <c r="B178" s="52"/>
      <c r="C178" s="53"/>
      <c r="D178" s="66">
        <f t="shared" si="2"/>
        <v>0</v>
      </c>
    </row>
    <row r="179" spans="1:4" ht="15.6" hidden="1" x14ac:dyDescent="0.3">
      <c r="A179" s="51" t="s">
        <v>79</v>
      </c>
      <c r="B179" s="52"/>
      <c r="C179" s="53"/>
      <c r="D179" s="66">
        <f t="shared" si="2"/>
        <v>0</v>
      </c>
    </row>
    <row r="180" spans="1:4" ht="15.6" hidden="1" x14ac:dyDescent="0.3">
      <c r="A180" s="51" t="s">
        <v>82</v>
      </c>
      <c r="B180" s="52"/>
      <c r="C180" s="53"/>
      <c r="D180" s="66">
        <f t="shared" si="2"/>
        <v>0</v>
      </c>
    </row>
    <row r="181" spans="1:4" ht="15.6" x14ac:dyDescent="0.3">
      <c r="A181" s="51" t="s">
        <v>87</v>
      </c>
      <c r="B181" s="52">
        <v>110</v>
      </c>
      <c r="C181" s="53">
        <v>12500</v>
      </c>
      <c r="D181" s="66">
        <f t="shared" si="2"/>
        <v>1375000</v>
      </c>
    </row>
    <row r="182" spans="1:4" ht="15.6" hidden="1" x14ac:dyDescent="0.3">
      <c r="A182" s="51" t="s">
        <v>120</v>
      </c>
      <c r="B182" s="52"/>
      <c r="C182" s="53"/>
      <c r="D182" s="66">
        <f t="shared" si="2"/>
        <v>0</v>
      </c>
    </row>
    <row r="183" spans="1:4" ht="15.6" hidden="1" x14ac:dyDescent="0.3">
      <c r="A183" s="51" t="s">
        <v>109</v>
      </c>
      <c r="B183" s="52"/>
      <c r="C183" s="53"/>
      <c r="D183" s="66">
        <f t="shared" si="2"/>
        <v>0</v>
      </c>
    </row>
    <row r="184" spans="1:4" ht="15.6" hidden="1" x14ac:dyDescent="0.3">
      <c r="A184" s="51" t="s">
        <v>121</v>
      </c>
      <c r="B184" s="52"/>
      <c r="C184" s="53"/>
      <c r="D184" s="66">
        <f t="shared" si="2"/>
        <v>0</v>
      </c>
    </row>
    <row r="185" spans="1:4" ht="15.6" hidden="1" x14ac:dyDescent="0.3">
      <c r="A185" s="51" t="s">
        <v>111</v>
      </c>
      <c r="B185" s="52"/>
      <c r="C185" s="53"/>
      <c r="D185" s="66">
        <f t="shared" si="2"/>
        <v>0</v>
      </c>
    </row>
    <row r="186" spans="1:4" ht="15.6" x14ac:dyDescent="0.3">
      <c r="A186" s="51" t="s">
        <v>122</v>
      </c>
      <c r="B186" s="52">
        <v>26</v>
      </c>
      <c r="C186" s="53">
        <v>50000</v>
      </c>
      <c r="D186" s="66">
        <f t="shared" si="2"/>
        <v>1300000</v>
      </c>
    </row>
    <row r="187" spans="1:4" ht="15.6" hidden="1" x14ac:dyDescent="0.3">
      <c r="A187" s="51" t="s">
        <v>123</v>
      </c>
      <c r="B187" s="52"/>
      <c r="C187" s="53"/>
      <c r="D187" s="66">
        <f t="shared" si="2"/>
        <v>0</v>
      </c>
    </row>
    <row r="188" spans="1:4" ht="15.6" hidden="1" x14ac:dyDescent="0.3">
      <c r="A188" s="51" t="s">
        <v>92</v>
      </c>
      <c r="B188" s="52"/>
      <c r="C188" s="53"/>
      <c r="D188" s="66">
        <f t="shared" si="2"/>
        <v>0</v>
      </c>
    </row>
    <row r="189" spans="1:4" ht="15.6" hidden="1" x14ac:dyDescent="0.3">
      <c r="A189" s="51" t="s">
        <v>52</v>
      </c>
      <c r="B189" s="52"/>
      <c r="C189" s="53"/>
      <c r="D189" s="66">
        <f t="shared" si="2"/>
        <v>0</v>
      </c>
    </row>
    <row r="190" spans="1:4" ht="15.6" hidden="1" x14ac:dyDescent="0.3">
      <c r="A190" s="51" t="s">
        <v>103</v>
      </c>
      <c r="B190" s="52"/>
      <c r="C190" s="53"/>
      <c r="D190" s="66">
        <f t="shared" si="2"/>
        <v>0</v>
      </c>
    </row>
    <row r="191" spans="1:4" ht="15.6" hidden="1" x14ac:dyDescent="0.3">
      <c r="A191" s="51" t="s">
        <v>2</v>
      </c>
      <c r="B191" s="52"/>
      <c r="C191" s="53"/>
      <c r="D191" s="66">
        <f t="shared" si="2"/>
        <v>0</v>
      </c>
    </row>
    <row r="192" spans="1:4" ht="15.6" hidden="1" x14ac:dyDescent="0.3">
      <c r="A192" s="51" t="s">
        <v>65</v>
      </c>
      <c r="B192" s="52"/>
      <c r="C192" s="53"/>
      <c r="D192" s="66">
        <f t="shared" si="2"/>
        <v>0</v>
      </c>
    </row>
    <row r="193" spans="1:4" ht="15.6" hidden="1" x14ac:dyDescent="0.3">
      <c r="A193" s="51" t="s">
        <v>71</v>
      </c>
      <c r="B193" s="52"/>
      <c r="C193" s="53"/>
      <c r="D193" s="66">
        <f t="shared" si="2"/>
        <v>0</v>
      </c>
    </row>
    <row r="194" spans="1:4" ht="15.6" hidden="1" x14ac:dyDescent="0.3">
      <c r="A194" s="51" t="s">
        <v>30</v>
      </c>
      <c r="B194" s="52"/>
      <c r="C194" s="53"/>
      <c r="D194" s="66">
        <f t="shared" si="2"/>
        <v>0</v>
      </c>
    </row>
    <row r="195" spans="1:4" ht="15.6" hidden="1" x14ac:dyDescent="0.3">
      <c r="A195" s="51" t="s">
        <v>107</v>
      </c>
      <c r="B195" s="52"/>
      <c r="C195" s="53"/>
      <c r="D195" s="66">
        <f t="shared" si="2"/>
        <v>0</v>
      </c>
    </row>
    <row r="196" spans="1:4" ht="15.6" hidden="1" x14ac:dyDescent="0.3">
      <c r="A196" s="51" t="s">
        <v>38</v>
      </c>
      <c r="B196" s="52"/>
      <c r="C196" s="53"/>
      <c r="D196" s="66">
        <f t="shared" si="2"/>
        <v>0</v>
      </c>
    </row>
    <row r="197" spans="1:4" ht="15.6" hidden="1" x14ac:dyDescent="0.3">
      <c r="A197" s="51" t="s">
        <v>40</v>
      </c>
      <c r="B197" s="52"/>
      <c r="C197" s="53"/>
      <c r="D197" s="66">
        <f t="shared" si="2"/>
        <v>0</v>
      </c>
    </row>
    <row r="198" spans="1:4" ht="15.6" hidden="1" x14ac:dyDescent="0.3">
      <c r="A198" s="51" t="e">
        <v>#N/A</v>
      </c>
      <c r="B198" s="52"/>
      <c r="C198" s="53"/>
      <c r="D198" s="66">
        <f t="shared" ref="D198" si="3">B198*C198</f>
        <v>0</v>
      </c>
    </row>
    <row r="199" spans="1:4" x14ac:dyDescent="0.3">
      <c r="D199" s="83">
        <f>SUM(D149:D186)</f>
        <v>43147200</v>
      </c>
    </row>
    <row r="201" spans="1:4" x14ac:dyDescent="0.3">
      <c r="D201" s="83">
        <f>D199+D144</f>
        <v>120128700</v>
      </c>
    </row>
  </sheetData>
  <autoFilter ref="A2:D198" xr:uid="{00000000-0009-0000-0000-000012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E214"/>
  <sheetViews>
    <sheetView topLeftCell="A78" workbookViewId="0">
      <selection activeCell="E214" sqref="E214"/>
    </sheetView>
  </sheetViews>
  <sheetFormatPr defaultRowHeight="14.4" x14ac:dyDescent="0.3"/>
  <cols>
    <col min="1" max="1" width="30" customWidth="1"/>
    <col min="2" max="2" width="6.44140625" customWidth="1"/>
    <col min="4" max="4" width="12.88671875" customWidth="1"/>
    <col min="5" max="5" width="19.6640625" customWidth="1"/>
  </cols>
  <sheetData>
    <row r="1" spans="1:5" x14ac:dyDescent="0.3">
      <c r="A1" t="s">
        <v>597</v>
      </c>
    </row>
    <row r="2" spans="1:5" x14ac:dyDescent="0.3">
      <c r="A2" t="s">
        <v>0</v>
      </c>
      <c r="B2" t="s">
        <v>562</v>
      </c>
      <c r="C2" t="s">
        <v>544</v>
      </c>
      <c r="D2" t="s">
        <v>594</v>
      </c>
      <c r="E2" t="s">
        <v>129</v>
      </c>
    </row>
    <row r="3" spans="1:5" x14ac:dyDescent="0.3">
      <c r="A3" t="s">
        <v>1</v>
      </c>
      <c r="B3" t="s">
        <v>563</v>
      </c>
      <c r="C3">
        <v>46</v>
      </c>
      <c r="D3">
        <v>16000</v>
      </c>
      <c r="E3">
        <f>C3*D3</f>
        <v>736000</v>
      </c>
    </row>
    <row r="4" spans="1:5" hidden="1" x14ac:dyDescent="0.3">
      <c r="A4" t="s">
        <v>1</v>
      </c>
      <c r="B4" t="s">
        <v>566</v>
      </c>
      <c r="E4">
        <f t="shared" ref="E4:E67" si="0">C4*D4</f>
        <v>0</v>
      </c>
    </row>
    <row r="5" spans="1:5" hidden="1" x14ac:dyDescent="0.3">
      <c r="A5" t="s">
        <v>2</v>
      </c>
      <c r="B5" t="s">
        <v>563</v>
      </c>
      <c r="E5">
        <f t="shared" si="0"/>
        <v>0</v>
      </c>
    </row>
    <row r="6" spans="1:5" hidden="1" x14ac:dyDescent="0.3">
      <c r="A6" t="s">
        <v>2</v>
      </c>
      <c r="B6" t="s">
        <v>564</v>
      </c>
      <c r="E6">
        <f t="shared" si="0"/>
        <v>0</v>
      </c>
    </row>
    <row r="7" spans="1:5" hidden="1" x14ac:dyDescent="0.3">
      <c r="A7" t="s">
        <v>3</v>
      </c>
      <c r="B7" t="s">
        <v>563</v>
      </c>
      <c r="E7">
        <f t="shared" si="0"/>
        <v>0</v>
      </c>
    </row>
    <row r="8" spans="1:5" x14ac:dyDescent="0.3">
      <c r="A8" t="s">
        <v>4</v>
      </c>
      <c r="B8" t="s">
        <v>565</v>
      </c>
      <c r="C8">
        <v>15</v>
      </c>
      <c r="D8">
        <v>9000</v>
      </c>
      <c r="E8">
        <f t="shared" si="0"/>
        <v>135000</v>
      </c>
    </row>
    <row r="9" spans="1:5" x14ac:dyDescent="0.3">
      <c r="A9" t="s">
        <v>5</v>
      </c>
      <c r="B9" t="s">
        <v>563</v>
      </c>
      <c r="C9">
        <v>20</v>
      </c>
      <c r="D9">
        <v>6000</v>
      </c>
      <c r="E9">
        <f t="shared" si="0"/>
        <v>120000</v>
      </c>
    </row>
    <row r="10" spans="1:5" hidden="1" x14ac:dyDescent="0.3">
      <c r="A10" t="s">
        <v>6</v>
      </c>
      <c r="B10" t="s">
        <v>563</v>
      </c>
      <c r="E10">
        <f t="shared" si="0"/>
        <v>0</v>
      </c>
    </row>
    <row r="11" spans="1:5" hidden="1" x14ac:dyDescent="0.3">
      <c r="A11" t="s">
        <v>6</v>
      </c>
      <c r="B11" t="s">
        <v>566</v>
      </c>
      <c r="E11">
        <f t="shared" si="0"/>
        <v>0</v>
      </c>
    </row>
    <row r="12" spans="1:5" x14ac:dyDescent="0.3">
      <c r="A12" t="s">
        <v>7</v>
      </c>
      <c r="B12" t="s">
        <v>563</v>
      </c>
      <c r="C12">
        <v>6</v>
      </c>
      <c r="D12">
        <v>44000</v>
      </c>
      <c r="E12">
        <f t="shared" si="0"/>
        <v>264000</v>
      </c>
    </row>
    <row r="13" spans="1:5" x14ac:dyDescent="0.3">
      <c r="A13" t="s">
        <v>8</v>
      </c>
      <c r="B13" t="s">
        <v>563</v>
      </c>
      <c r="C13">
        <v>386</v>
      </c>
      <c r="D13">
        <v>25000</v>
      </c>
      <c r="E13">
        <f t="shared" si="0"/>
        <v>9650000</v>
      </c>
    </row>
    <row r="14" spans="1:5" hidden="1" x14ac:dyDescent="0.3">
      <c r="A14" t="s">
        <v>9</v>
      </c>
      <c r="B14" t="s">
        <v>563</v>
      </c>
      <c r="E14">
        <f t="shared" si="0"/>
        <v>0</v>
      </c>
    </row>
    <row r="15" spans="1:5" hidden="1" x14ac:dyDescent="0.3">
      <c r="A15" t="s">
        <v>9</v>
      </c>
      <c r="B15" t="s">
        <v>566</v>
      </c>
      <c r="E15">
        <f t="shared" si="0"/>
        <v>0</v>
      </c>
    </row>
    <row r="16" spans="1:5" x14ac:dyDescent="0.3">
      <c r="A16" t="s">
        <v>10</v>
      </c>
      <c r="B16" t="s">
        <v>566</v>
      </c>
      <c r="C16">
        <v>300</v>
      </c>
      <c r="D16">
        <v>4800</v>
      </c>
      <c r="E16">
        <f t="shared" si="0"/>
        <v>1440000</v>
      </c>
    </row>
    <row r="17" spans="1:5" x14ac:dyDescent="0.3">
      <c r="A17" t="s">
        <v>11</v>
      </c>
      <c r="B17" t="s">
        <v>563</v>
      </c>
      <c r="C17">
        <v>390</v>
      </c>
      <c r="D17">
        <v>26000</v>
      </c>
      <c r="E17">
        <f t="shared" si="0"/>
        <v>10140000</v>
      </c>
    </row>
    <row r="18" spans="1:5" hidden="1" x14ac:dyDescent="0.3">
      <c r="A18" t="s">
        <v>11</v>
      </c>
      <c r="B18" t="s">
        <v>566</v>
      </c>
      <c r="E18">
        <f t="shared" si="0"/>
        <v>0</v>
      </c>
    </row>
    <row r="19" spans="1:5" x14ac:dyDescent="0.3">
      <c r="A19" t="s">
        <v>12</v>
      </c>
      <c r="B19" t="s">
        <v>563</v>
      </c>
      <c r="C19">
        <v>150</v>
      </c>
      <c r="D19">
        <v>25000</v>
      </c>
      <c r="E19">
        <f t="shared" si="0"/>
        <v>3750000</v>
      </c>
    </row>
    <row r="20" spans="1:5" hidden="1" x14ac:dyDescent="0.3">
      <c r="A20" t="s">
        <v>12</v>
      </c>
      <c r="B20" t="s">
        <v>566</v>
      </c>
      <c r="E20">
        <f t="shared" si="0"/>
        <v>0</v>
      </c>
    </row>
    <row r="21" spans="1:5" hidden="1" x14ac:dyDescent="0.3">
      <c r="A21" t="s">
        <v>13</v>
      </c>
      <c r="B21" t="s">
        <v>563</v>
      </c>
      <c r="E21">
        <f t="shared" si="0"/>
        <v>0</v>
      </c>
    </row>
    <row r="22" spans="1:5" x14ac:dyDescent="0.3">
      <c r="A22" t="s">
        <v>14</v>
      </c>
      <c r="B22" t="s">
        <v>566</v>
      </c>
      <c r="C22">
        <v>40</v>
      </c>
      <c r="D22">
        <v>6000</v>
      </c>
      <c r="E22">
        <f t="shared" si="0"/>
        <v>240000</v>
      </c>
    </row>
    <row r="23" spans="1:5" x14ac:dyDescent="0.3">
      <c r="A23" t="s">
        <v>15</v>
      </c>
      <c r="B23" t="s">
        <v>563</v>
      </c>
      <c r="C23">
        <v>80</v>
      </c>
      <c r="D23">
        <v>16000</v>
      </c>
      <c r="E23">
        <f t="shared" si="0"/>
        <v>1280000</v>
      </c>
    </row>
    <row r="24" spans="1:5" hidden="1" x14ac:dyDescent="0.3">
      <c r="A24" t="s">
        <v>15</v>
      </c>
      <c r="B24" t="s">
        <v>566</v>
      </c>
      <c r="E24">
        <f t="shared" si="0"/>
        <v>0</v>
      </c>
    </row>
    <row r="25" spans="1:5" hidden="1" x14ac:dyDescent="0.3">
      <c r="A25" t="s">
        <v>16</v>
      </c>
      <c r="B25" t="s">
        <v>563</v>
      </c>
      <c r="E25">
        <f t="shared" si="0"/>
        <v>0</v>
      </c>
    </row>
    <row r="26" spans="1:5" x14ac:dyDescent="0.3">
      <c r="A26" t="s">
        <v>18</v>
      </c>
      <c r="B26" t="s">
        <v>563</v>
      </c>
      <c r="C26">
        <v>5</v>
      </c>
      <c r="D26">
        <v>40000</v>
      </c>
      <c r="E26">
        <f t="shared" si="0"/>
        <v>200000</v>
      </c>
    </row>
    <row r="27" spans="1:5" hidden="1" x14ac:dyDescent="0.3">
      <c r="A27" t="s">
        <v>19</v>
      </c>
      <c r="B27" t="s">
        <v>563</v>
      </c>
      <c r="E27">
        <f t="shared" si="0"/>
        <v>0</v>
      </c>
    </row>
    <row r="28" spans="1:5" hidden="1" x14ac:dyDescent="0.3">
      <c r="A28" t="s">
        <v>19</v>
      </c>
      <c r="B28" t="s">
        <v>564</v>
      </c>
      <c r="E28">
        <f t="shared" si="0"/>
        <v>0</v>
      </c>
    </row>
    <row r="29" spans="1:5" hidden="1" x14ac:dyDescent="0.3">
      <c r="A29" t="s">
        <v>21</v>
      </c>
      <c r="B29" t="s">
        <v>563</v>
      </c>
      <c r="E29">
        <f t="shared" si="0"/>
        <v>0</v>
      </c>
    </row>
    <row r="30" spans="1:5" hidden="1" x14ac:dyDescent="0.3">
      <c r="A30" t="s">
        <v>22</v>
      </c>
      <c r="B30" t="s">
        <v>563</v>
      </c>
      <c r="E30">
        <f t="shared" si="0"/>
        <v>0</v>
      </c>
    </row>
    <row r="31" spans="1:5" x14ac:dyDescent="0.3">
      <c r="A31" t="s">
        <v>23</v>
      </c>
      <c r="B31" t="s">
        <v>563</v>
      </c>
      <c r="C31">
        <v>1570</v>
      </c>
      <c r="D31">
        <v>6500</v>
      </c>
      <c r="E31">
        <f t="shared" si="0"/>
        <v>10205000</v>
      </c>
    </row>
    <row r="32" spans="1:5" hidden="1" x14ac:dyDescent="0.3">
      <c r="A32" t="s">
        <v>24</v>
      </c>
      <c r="B32" t="s">
        <v>563</v>
      </c>
      <c r="E32">
        <f t="shared" si="0"/>
        <v>0</v>
      </c>
    </row>
    <row r="33" spans="1:5" hidden="1" x14ac:dyDescent="0.3">
      <c r="A33" t="s">
        <v>24</v>
      </c>
      <c r="B33" t="s">
        <v>566</v>
      </c>
      <c r="E33">
        <f t="shared" si="0"/>
        <v>0</v>
      </c>
    </row>
    <row r="34" spans="1:5" hidden="1" x14ac:dyDescent="0.3">
      <c r="A34" t="s">
        <v>557</v>
      </c>
      <c r="B34" t="s">
        <v>566</v>
      </c>
      <c r="E34">
        <f t="shared" si="0"/>
        <v>0</v>
      </c>
    </row>
    <row r="35" spans="1:5" hidden="1" x14ac:dyDescent="0.3">
      <c r="A35" t="s">
        <v>25</v>
      </c>
      <c r="B35" t="s">
        <v>566</v>
      </c>
      <c r="E35">
        <f t="shared" si="0"/>
        <v>0</v>
      </c>
    </row>
    <row r="36" spans="1:5" hidden="1" x14ac:dyDescent="0.3">
      <c r="A36" t="s">
        <v>26</v>
      </c>
      <c r="B36" t="s">
        <v>566</v>
      </c>
      <c r="E36">
        <f t="shared" si="0"/>
        <v>0</v>
      </c>
    </row>
    <row r="37" spans="1:5" hidden="1" x14ac:dyDescent="0.3">
      <c r="A37" t="s">
        <v>26</v>
      </c>
      <c r="B37" t="s">
        <v>567</v>
      </c>
      <c r="E37">
        <f t="shared" si="0"/>
        <v>0</v>
      </c>
    </row>
    <row r="38" spans="1:5" hidden="1" x14ac:dyDescent="0.3">
      <c r="A38" t="s">
        <v>27</v>
      </c>
      <c r="B38" t="s">
        <v>563</v>
      </c>
      <c r="E38">
        <f t="shared" si="0"/>
        <v>0</v>
      </c>
    </row>
    <row r="39" spans="1:5" hidden="1" x14ac:dyDescent="0.3">
      <c r="A39" t="s">
        <v>28</v>
      </c>
      <c r="B39" t="s">
        <v>568</v>
      </c>
      <c r="E39">
        <f t="shared" si="0"/>
        <v>0</v>
      </c>
    </row>
    <row r="40" spans="1:5" x14ac:dyDescent="0.3">
      <c r="A40" t="s">
        <v>28</v>
      </c>
      <c r="B40" t="s">
        <v>563</v>
      </c>
      <c r="C40">
        <v>10</v>
      </c>
      <c r="D40">
        <v>20000</v>
      </c>
      <c r="E40">
        <f t="shared" si="0"/>
        <v>200000</v>
      </c>
    </row>
    <row r="41" spans="1:5" hidden="1" x14ac:dyDescent="0.3">
      <c r="A41" t="s">
        <v>28</v>
      </c>
      <c r="B41" t="s">
        <v>566</v>
      </c>
      <c r="E41">
        <f t="shared" si="0"/>
        <v>0</v>
      </c>
    </row>
    <row r="42" spans="1:5" hidden="1" x14ac:dyDescent="0.3">
      <c r="A42" t="s">
        <v>29</v>
      </c>
      <c r="B42" t="s">
        <v>568</v>
      </c>
      <c r="E42">
        <f t="shared" si="0"/>
        <v>0</v>
      </c>
    </row>
    <row r="43" spans="1:5" x14ac:dyDescent="0.3">
      <c r="A43" t="s">
        <v>29</v>
      </c>
      <c r="B43" t="s">
        <v>563</v>
      </c>
      <c r="C43">
        <v>80</v>
      </c>
      <c r="D43">
        <v>35000</v>
      </c>
      <c r="E43">
        <f t="shared" si="0"/>
        <v>2800000</v>
      </c>
    </row>
    <row r="44" spans="1:5" hidden="1" x14ac:dyDescent="0.3">
      <c r="A44" t="s">
        <v>30</v>
      </c>
      <c r="B44" t="s">
        <v>566</v>
      </c>
      <c r="E44">
        <f t="shared" si="0"/>
        <v>0</v>
      </c>
    </row>
    <row r="45" spans="1:5" hidden="1" x14ac:dyDescent="0.3">
      <c r="A45" t="s">
        <v>31</v>
      </c>
      <c r="B45" t="s">
        <v>563</v>
      </c>
      <c r="E45">
        <f t="shared" si="0"/>
        <v>0</v>
      </c>
    </row>
    <row r="46" spans="1:5" hidden="1" x14ac:dyDescent="0.3">
      <c r="A46" t="s">
        <v>32</v>
      </c>
      <c r="B46" t="s">
        <v>566</v>
      </c>
      <c r="E46">
        <f t="shared" si="0"/>
        <v>0</v>
      </c>
    </row>
    <row r="47" spans="1:5" hidden="1" x14ac:dyDescent="0.3">
      <c r="A47" t="s">
        <v>33</v>
      </c>
      <c r="B47" t="s">
        <v>563</v>
      </c>
      <c r="E47">
        <f t="shared" si="0"/>
        <v>0</v>
      </c>
    </row>
    <row r="48" spans="1:5" hidden="1" x14ac:dyDescent="0.3">
      <c r="A48" t="s">
        <v>34</v>
      </c>
      <c r="B48" t="s">
        <v>566</v>
      </c>
      <c r="E48">
        <f t="shared" si="0"/>
        <v>0</v>
      </c>
    </row>
    <row r="49" spans="1:5" hidden="1" x14ac:dyDescent="0.3">
      <c r="A49" t="s">
        <v>35</v>
      </c>
      <c r="B49" t="s">
        <v>563</v>
      </c>
      <c r="E49">
        <f t="shared" si="0"/>
        <v>0</v>
      </c>
    </row>
    <row r="50" spans="1:5" hidden="1" x14ac:dyDescent="0.3">
      <c r="A50" t="s">
        <v>35</v>
      </c>
      <c r="B50" t="s">
        <v>569</v>
      </c>
      <c r="E50">
        <f t="shared" si="0"/>
        <v>0</v>
      </c>
    </row>
    <row r="51" spans="1:5" hidden="1" x14ac:dyDescent="0.3">
      <c r="A51" t="s">
        <v>36</v>
      </c>
      <c r="B51" t="s">
        <v>571</v>
      </c>
      <c r="E51">
        <f t="shared" si="0"/>
        <v>0</v>
      </c>
    </row>
    <row r="52" spans="1:5" hidden="1" x14ac:dyDescent="0.3">
      <c r="A52" t="s">
        <v>37</v>
      </c>
      <c r="B52" t="s">
        <v>563</v>
      </c>
      <c r="E52">
        <f t="shared" si="0"/>
        <v>0</v>
      </c>
    </row>
    <row r="53" spans="1:5" hidden="1" x14ac:dyDescent="0.3">
      <c r="A53" t="s">
        <v>37</v>
      </c>
      <c r="B53" t="s">
        <v>566</v>
      </c>
      <c r="E53">
        <f t="shared" si="0"/>
        <v>0</v>
      </c>
    </row>
    <row r="54" spans="1:5" hidden="1" x14ac:dyDescent="0.3">
      <c r="A54" t="s">
        <v>38</v>
      </c>
      <c r="B54" t="s">
        <v>563</v>
      </c>
      <c r="E54">
        <f t="shared" si="0"/>
        <v>0</v>
      </c>
    </row>
    <row r="55" spans="1:5" hidden="1" x14ac:dyDescent="0.3">
      <c r="A55" t="s">
        <v>39</v>
      </c>
      <c r="B55" t="s">
        <v>568</v>
      </c>
      <c r="E55">
        <f t="shared" si="0"/>
        <v>0</v>
      </c>
    </row>
    <row r="56" spans="1:5" hidden="1" x14ac:dyDescent="0.3">
      <c r="A56" t="s">
        <v>40</v>
      </c>
      <c r="B56" t="s">
        <v>563</v>
      </c>
      <c r="E56">
        <f t="shared" si="0"/>
        <v>0</v>
      </c>
    </row>
    <row r="57" spans="1:5" hidden="1" x14ac:dyDescent="0.3">
      <c r="A57" t="s">
        <v>41</v>
      </c>
      <c r="B57" t="s">
        <v>568</v>
      </c>
      <c r="E57">
        <f t="shared" si="0"/>
        <v>0</v>
      </c>
    </row>
    <row r="58" spans="1:5" hidden="1" x14ac:dyDescent="0.3">
      <c r="A58" t="s">
        <v>42</v>
      </c>
      <c r="B58" t="s">
        <v>563</v>
      </c>
      <c r="E58">
        <f t="shared" si="0"/>
        <v>0</v>
      </c>
    </row>
    <row r="59" spans="1:5" hidden="1" x14ac:dyDescent="0.3">
      <c r="A59" t="s">
        <v>43</v>
      </c>
      <c r="B59" t="s">
        <v>566</v>
      </c>
      <c r="E59">
        <f t="shared" si="0"/>
        <v>0</v>
      </c>
    </row>
    <row r="60" spans="1:5" hidden="1" x14ac:dyDescent="0.3">
      <c r="A60" t="s">
        <v>44</v>
      </c>
      <c r="B60" t="s">
        <v>566</v>
      </c>
      <c r="E60">
        <f t="shared" si="0"/>
        <v>0</v>
      </c>
    </row>
    <row r="61" spans="1:5" hidden="1" x14ac:dyDescent="0.3">
      <c r="A61" t="s">
        <v>45</v>
      </c>
      <c r="B61" t="s">
        <v>563</v>
      </c>
      <c r="E61">
        <f t="shared" si="0"/>
        <v>0</v>
      </c>
    </row>
    <row r="62" spans="1:5" hidden="1" x14ac:dyDescent="0.3">
      <c r="A62" t="s">
        <v>46</v>
      </c>
      <c r="B62" t="s">
        <v>568</v>
      </c>
      <c r="E62">
        <f t="shared" si="0"/>
        <v>0</v>
      </c>
    </row>
    <row r="63" spans="1:5" hidden="1" x14ac:dyDescent="0.3">
      <c r="A63" t="s">
        <v>47</v>
      </c>
      <c r="B63" t="s">
        <v>563</v>
      </c>
      <c r="E63">
        <f t="shared" si="0"/>
        <v>0</v>
      </c>
    </row>
    <row r="64" spans="1:5" hidden="1" x14ac:dyDescent="0.3">
      <c r="A64" t="s">
        <v>48</v>
      </c>
      <c r="B64" t="s">
        <v>563</v>
      </c>
      <c r="E64">
        <f t="shared" si="0"/>
        <v>0</v>
      </c>
    </row>
    <row r="65" spans="1:5" x14ac:dyDescent="0.3">
      <c r="A65" t="s">
        <v>49</v>
      </c>
      <c r="B65" t="s">
        <v>563</v>
      </c>
      <c r="C65">
        <v>5</v>
      </c>
      <c r="D65">
        <v>11000</v>
      </c>
      <c r="E65">
        <f t="shared" si="0"/>
        <v>55000</v>
      </c>
    </row>
    <row r="66" spans="1:5" x14ac:dyDescent="0.3">
      <c r="A66" t="s">
        <v>50</v>
      </c>
      <c r="B66" t="s">
        <v>563</v>
      </c>
      <c r="C66">
        <v>150</v>
      </c>
      <c r="D66">
        <v>7000</v>
      </c>
      <c r="E66">
        <f t="shared" si="0"/>
        <v>1050000</v>
      </c>
    </row>
    <row r="67" spans="1:5" x14ac:dyDescent="0.3">
      <c r="A67" t="s">
        <v>51</v>
      </c>
      <c r="B67" t="s">
        <v>563</v>
      </c>
      <c r="C67">
        <v>30</v>
      </c>
      <c r="D67">
        <v>22000</v>
      </c>
      <c r="E67">
        <f t="shared" si="0"/>
        <v>660000</v>
      </c>
    </row>
    <row r="68" spans="1:5" hidden="1" x14ac:dyDescent="0.3">
      <c r="A68" t="s">
        <v>51</v>
      </c>
      <c r="B68" t="s">
        <v>570</v>
      </c>
      <c r="E68">
        <f t="shared" ref="E68:E131" si="1">C68*D68</f>
        <v>0</v>
      </c>
    </row>
    <row r="69" spans="1:5" x14ac:dyDescent="0.3">
      <c r="A69" t="s">
        <v>52</v>
      </c>
      <c r="B69" t="s">
        <v>563</v>
      </c>
      <c r="C69">
        <v>30</v>
      </c>
      <c r="D69">
        <v>10000</v>
      </c>
      <c r="E69">
        <f t="shared" si="1"/>
        <v>300000</v>
      </c>
    </row>
    <row r="70" spans="1:5" hidden="1" x14ac:dyDescent="0.3">
      <c r="A70" t="s">
        <v>52</v>
      </c>
      <c r="B70" t="s">
        <v>570</v>
      </c>
      <c r="E70">
        <f t="shared" si="1"/>
        <v>0</v>
      </c>
    </row>
    <row r="71" spans="1:5" x14ac:dyDescent="0.3">
      <c r="A71" t="s">
        <v>53</v>
      </c>
      <c r="B71" t="s">
        <v>563</v>
      </c>
      <c r="C71">
        <v>90</v>
      </c>
      <c r="D71">
        <v>20000</v>
      </c>
      <c r="E71">
        <f t="shared" si="1"/>
        <v>1800000</v>
      </c>
    </row>
    <row r="72" spans="1:5" hidden="1" x14ac:dyDescent="0.3">
      <c r="A72" t="s">
        <v>53</v>
      </c>
      <c r="B72" t="s">
        <v>564</v>
      </c>
      <c r="E72">
        <f t="shared" si="1"/>
        <v>0</v>
      </c>
    </row>
    <row r="73" spans="1:5" hidden="1" x14ac:dyDescent="0.3">
      <c r="A73" t="s">
        <v>54</v>
      </c>
      <c r="B73" t="s">
        <v>564</v>
      </c>
      <c r="E73">
        <f t="shared" si="1"/>
        <v>0</v>
      </c>
    </row>
    <row r="74" spans="1:5" hidden="1" x14ac:dyDescent="0.3">
      <c r="A74" t="s">
        <v>55</v>
      </c>
      <c r="B74" t="s">
        <v>564</v>
      </c>
      <c r="E74">
        <f t="shared" si="1"/>
        <v>0</v>
      </c>
    </row>
    <row r="75" spans="1:5" hidden="1" x14ac:dyDescent="0.3">
      <c r="A75" t="s">
        <v>56</v>
      </c>
      <c r="B75" t="s">
        <v>565</v>
      </c>
      <c r="E75">
        <f t="shared" si="1"/>
        <v>0</v>
      </c>
    </row>
    <row r="76" spans="1:5" hidden="1" x14ac:dyDescent="0.3">
      <c r="A76" t="s">
        <v>57</v>
      </c>
      <c r="B76" t="s">
        <v>565</v>
      </c>
      <c r="E76">
        <f t="shared" si="1"/>
        <v>0</v>
      </c>
    </row>
    <row r="77" spans="1:5" hidden="1" x14ac:dyDescent="0.3">
      <c r="A77" t="s">
        <v>57</v>
      </c>
      <c r="B77" t="s">
        <v>563</v>
      </c>
      <c r="E77">
        <f t="shared" si="1"/>
        <v>0</v>
      </c>
    </row>
    <row r="78" spans="1:5" x14ac:dyDescent="0.3">
      <c r="A78" t="s">
        <v>58</v>
      </c>
      <c r="B78" t="s">
        <v>563</v>
      </c>
      <c r="C78">
        <v>15</v>
      </c>
      <c r="D78">
        <v>30000</v>
      </c>
      <c r="E78">
        <f t="shared" si="1"/>
        <v>450000</v>
      </c>
    </row>
    <row r="79" spans="1:5" x14ac:dyDescent="0.3">
      <c r="A79" t="s">
        <v>59</v>
      </c>
      <c r="B79" t="s">
        <v>565</v>
      </c>
      <c r="C79">
        <v>60</v>
      </c>
      <c r="D79">
        <v>7000</v>
      </c>
      <c r="E79">
        <f t="shared" si="1"/>
        <v>420000</v>
      </c>
    </row>
    <row r="80" spans="1:5" hidden="1" x14ac:dyDescent="0.3">
      <c r="A80" t="s">
        <v>60</v>
      </c>
      <c r="B80" t="s">
        <v>563</v>
      </c>
      <c r="E80">
        <f t="shared" si="1"/>
        <v>0</v>
      </c>
    </row>
    <row r="81" spans="1:5" hidden="1" x14ac:dyDescent="0.3">
      <c r="A81" t="s">
        <v>60</v>
      </c>
      <c r="B81" t="s">
        <v>566</v>
      </c>
      <c r="E81">
        <f t="shared" si="1"/>
        <v>0</v>
      </c>
    </row>
    <row r="82" spans="1:5" hidden="1" x14ac:dyDescent="0.3">
      <c r="A82" t="s">
        <v>60</v>
      </c>
      <c r="B82" t="s">
        <v>564</v>
      </c>
      <c r="E82">
        <f t="shared" si="1"/>
        <v>0</v>
      </c>
    </row>
    <row r="83" spans="1:5" hidden="1" x14ac:dyDescent="0.3">
      <c r="A83" t="s">
        <v>61</v>
      </c>
      <c r="B83" t="s">
        <v>566</v>
      </c>
      <c r="E83">
        <f t="shared" si="1"/>
        <v>0</v>
      </c>
    </row>
    <row r="84" spans="1:5" x14ac:dyDescent="0.3">
      <c r="A84" t="s">
        <v>62</v>
      </c>
      <c r="B84" t="s">
        <v>563</v>
      </c>
      <c r="C84">
        <v>3</v>
      </c>
      <c r="D84">
        <v>9000</v>
      </c>
      <c r="E84">
        <f t="shared" si="1"/>
        <v>27000</v>
      </c>
    </row>
    <row r="85" spans="1:5" hidden="1" x14ac:dyDescent="0.3">
      <c r="A85" t="s">
        <v>63</v>
      </c>
      <c r="B85" t="s">
        <v>564</v>
      </c>
      <c r="E85">
        <f t="shared" si="1"/>
        <v>0</v>
      </c>
    </row>
    <row r="86" spans="1:5" hidden="1" x14ac:dyDescent="0.3">
      <c r="A86" t="s">
        <v>64</v>
      </c>
      <c r="B86" t="s">
        <v>563</v>
      </c>
      <c r="E86">
        <f t="shared" si="1"/>
        <v>0</v>
      </c>
    </row>
    <row r="87" spans="1:5" hidden="1" x14ac:dyDescent="0.3">
      <c r="A87" t="s">
        <v>64</v>
      </c>
      <c r="B87" t="s">
        <v>564</v>
      </c>
      <c r="E87">
        <f t="shared" si="1"/>
        <v>0</v>
      </c>
    </row>
    <row r="88" spans="1:5" hidden="1" x14ac:dyDescent="0.3">
      <c r="A88" t="s">
        <v>65</v>
      </c>
      <c r="B88" t="s">
        <v>563</v>
      </c>
      <c r="E88">
        <f t="shared" si="1"/>
        <v>0</v>
      </c>
    </row>
    <row r="89" spans="1:5" hidden="1" x14ac:dyDescent="0.3">
      <c r="A89" t="s">
        <v>66</v>
      </c>
      <c r="B89" t="s">
        <v>566</v>
      </c>
      <c r="E89">
        <f t="shared" si="1"/>
        <v>0</v>
      </c>
    </row>
    <row r="90" spans="1:5" hidden="1" x14ac:dyDescent="0.3">
      <c r="A90" t="s">
        <v>67</v>
      </c>
      <c r="B90" t="s">
        <v>566</v>
      </c>
      <c r="E90">
        <f t="shared" si="1"/>
        <v>0</v>
      </c>
    </row>
    <row r="91" spans="1:5" hidden="1" x14ac:dyDescent="0.3">
      <c r="A91" t="s">
        <v>68</v>
      </c>
      <c r="B91" t="s">
        <v>566</v>
      </c>
      <c r="E91">
        <f t="shared" si="1"/>
        <v>0</v>
      </c>
    </row>
    <row r="92" spans="1:5" hidden="1" x14ac:dyDescent="0.3">
      <c r="A92" t="s">
        <v>69</v>
      </c>
      <c r="B92" t="s">
        <v>563</v>
      </c>
      <c r="E92">
        <f t="shared" si="1"/>
        <v>0</v>
      </c>
    </row>
    <row r="93" spans="1:5" hidden="1" x14ac:dyDescent="0.3">
      <c r="A93" t="s">
        <v>69</v>
      </c>
      <c r="B93" t="s">
        <v>564</v>
      </c>
      <c r="E93">
        <f t="shared" si="1"/>
        <v>0</v>
      </c>
    </row>
    <row r="94" spans="1:5" hidden="1" x14ac:dyDescent="0.3">
      <c r="A94" t="s">
        <v>70</v>
      </c>
      <c r="B94" t="s">
        <v>563</v>
      </c>
      <c r="E94">
        <f t="shared" si="1"/>
        <v>0</v>
      </c>
    </row>
    <row r="95" spans="1:5" hidden="1" x14ac:dyDescent="0.3">
      <c r="A95" t="s">
        <v>71</v>
      </c>
      <c r="B95" t="s">
        <v>563</v>
      </c>
      <c r="E95">
        <f t="shared" si="1"/>
        <v>0</v>
      </c>
    </row>
    <row r="96" spans="1:5" hidden="1" x14ac:dyDescent="0.3">
      <c r="A96" t="s">
        <v>72</v>
      </c>
      <c r="B96" t="s">
        <v>564</v>
      </c>
      <c r="E96">
        <f t="shared" si="1"/>
        <v>0</v>
      </c>
    </row>
    <row r="97" spans="1:5" hidden="1" x14ac:dyDescent="0.3">
      <c r="A97" t="s">
        <v>73</v>
      </c>
      <c r="B97" t="s">
        <v>563</v>
      </c>
      <c r="E97">
        <f t="shared" si="1"/>
        <v>0</v>
      </c>
    </row>
    <row r="98" spans="1:5" hidden="1" x14ac:dyDescent="0.3">
      <c r="A98" t="s">
        <v>73</v>
      </c>
      <c r="B98" t="s">
        <v>566</v>
      </c>
      <c r="E98">
        <f t="shared" si="1"/>
        <v>0</v>
      </c>
    </row>
    <row r="99" spans="1:5" hidden="1" x14ac:dyDescent="0.3">
      <c r="A99" t="s">
        <v>74</v>
      </c>
      <c r="B99" t="s">
        <v>563</v>
      </c>
      <c r="E99">
        <f t="shared" si="1"/>
        <v>0</v>
      </c>
    </row>
    <row r="100" spans="1:5" hidden="1" x14ac:dyDescent="0.3">
      <c r="A100" t="s">
        <v>75</v>
      </c>
      <c r="B100" t="s">
        <v>565</v>
      </c>
      <c r="E100">
        <f t="shared" si="1"/>
        <v>0</v>
      </c>
    </row>
    <row r="101" spans="1:5" hidden="1" x14ac:dyDescent="0.3">
      <c r="A101" t="s">
        <v>75</v>
      </c>
      <c r="B101" t="s">
        <v>563</v>
      </c>
      <c r="E101">
        <f t="shared" si="1"/>
        <v>0</v>
      </c>
    </row>
    <row r="102" spans="1:5" x14ac:dyDescent="0.3">
      <c r="A102" t="s">
        <v>76</v>
      </c>
      <c r="B102" t="s">
        <v>563</v>
      </c>
      <c r="C102">
        <v>215</v>
      </c>
      <c r="D102">
        <v>30000</v>
      </c>
      <c r="E102">
        <f t="shared" si="1"/>
        <v>6450000</v>
      </c>
    </row>
    <row r="103" spans="1:5" hidden="1" x14ac:dyDescent="0.3">
      <c r="A103" t="s">
        <v>76</v>
      </c>
      <c r="B103" t="s">
        <v>570</v>
      </c>
      <c r="E103">
        <f t="shared" si="1"/>
        <v>0</v>
      </c>
    </row>
    <row r="104" spans="1:5" hidden="1" x14ac:dyDescent="0.3">
      <c r="A104" t="s">
        <v>77</v>
      </c>
      <c r="B104" t="s">
        <v>565</v>
      </c>
      <c r="E104">
        <f t="shared" si="1"/>
        <v>0</v>
      </c>
    </row>
    <row r="105" spans="1:5" hidden="1" x14ac:dyDescent="0.3">
      <c r="A105" t="s">
        <v>77</v>
      </c>
      <c r="B105" t="s">
        <v>563</v>
      </c>
      <c r="E105">
        <f t="shared" si="1"/>
        <v>0</v>
      </c>
    </row>
    <row r="106" spans="1:5" x14ac:dyDescent="0.3">
      <c r="A106" t="s">
        <v>78</v>
      </c>
      <c r="B106" t="s">
        <v>563</v>
      </c>
      <c r="C106">
        <v>300</v>
      </c>
      <c r="D106">
        <v>20000</v>
      </c>
      <c r="E106">
        <f t="shared" si="1"/>
        <v>6000000</v>
      </c>
    </row>
    <row r="107" spans="1:5" hidden="1" x14ac:dyDescent="0.3">
      <c r="A107" t="s">
        <v>78</v>
      </c>
      <c r="B107" t="s">
        <v>570</v>
      </c>
      <c r="E107">
        <f t="shared" si="1"/>
        <v>0</v>
      </c>
    </row>
    <row r="108" spans="1:5" x14ac:dyDescent="0.3">
      <c r="A108" t="s">
        <v>79</v>
      </c>
      <c r="B108" t="s">
        <v>563</v>
      </c>
      <c r="C108">
        <v>140</v>
      </c>
      <c r="D108">
        <v>22000</v>
      </c>
      <c r="E108">
        <f t="shared" si="1"/>
        <v>3080000</v>
      </c>
    </row>
    <row r="109" spans="1:5" hidden="1" x14ac:dyDescent="0.3">
      <c r="A109" t="s">
        <v>79</v>
      </c>
      <c r="B109" t="s">
        <v>570</v>
      </c>
      <c r="E109">
        <f t="shared" si="1"/>
        <v>0</v>
      </c>
    </row>
    <row r="110" spans="1:5" hidden="1" x14ac:dyDescent="0.3">
      <c r="A110" t="s">
        <v>80</v>
      </c>
      <c r="B110" t="s">
        <v>566</v>
      </c>
      <c r="E110">
        <f t="shared" si="1"/>
        <v>0</v>
      </c>
    </row>
    <row r="111" spans="1:5" hidden="1" x14ac:dyDescent="0.3">
      <c r="A111" t="s">
        <v>81</v>
      </c>
      <c r="B111" t="s">
        <v>563</v>
      </c>
      <c r="E111">
        <f t="shared" si="1"/>
        <v>0</v>
      </c>
    </row>
    <row r="112" spans="1:5" hidden="1" x14ac:dyDescent="0.3">
      <c r="A112" t="s">
        <v>81</v>
      </c>
      <c r="B112" t="s">
        <v>607</v>
      </c>
      <c r="E112">
        <f t="shared" si="1"/>
        <v>0</v>
      </c>
    </row>
    <row r="113" spans="1:5" hidden="1" x14ac:dyDescent="0.3">
      <c r="A113" t="s">
        <v>82</v>
      </c>
      <c r="B113" t="s">
        <v>563</v>
      </c>
      <c r="E113">
        <f t="shared" si="1"/>
        <v>0</v>
      </c>
    </row>
    <row r="114" spans="1:5" hidden="1" x14ac:dyDescent="0.3">
      <c r="A114" t="s">
        <v>83</v>
      </c>
      <c r="B114" t="s">
        <v>563</v>
      </c>
      <c r="E114">
        <f t="shared" si="1"/>
        <v>0</v>
      </c>
    </row>
    <row r="115" spans="1:5" hidden="1" x14ac:dyDescent="0.3">
      <c r="A115" t="s">
        <v>84</v>
      </c>
      <c r="B115" t="s">
        <v>563</v>
      </c>
      <c r="E115">
        <f t="shared" si="1"/>
        <v>0</v>
      </c>
    </row>
    <row r="116" spans="1:5" hidden="1" x14ac:dyDescent="0.3">
      <c r="A116" t="s">
        <v>85</v>
      </c>
      <c r="B116" t="s">
        <v>563</v>
      </c>
      <c r="E116">
        <f t="shared" si="1"/>
        <v>0</v>
      </c>
    </row>
    <row r="117" spans="1:5" hidden="1" x14ac:dyDescent="0.3">
      <c r="A117" t="s">
        <v>86</v>
      </c>
      <c r="B117" t="s">
        <v>565</v>
      </c>
      <c r="E117">
        <f t="shared" si="1"/>
        <v>0</v>
      </c>
    </row>
    <row r="118" spans="1:5" hidden="1" x14ac:dyDescent="0.3">
      <c r="A118" t="s">
        <v>87</v>
      </c>
      <c r="B118" t="s">
        <v>563</v>
      </c>
      <c r="E118">
        <f t="shared" si="1"/>
        <v>0</v>
      </c>
    </row>
    <row r="119" spans="1:5" hidden="1" x14ac:dyDescent="0.3">
      <c r="A119" t="s">
        <v>88</v>
      </c>
      <c r="B119" t="s">
        <v>565</v>
      </c>
      <c r="E119">
        <f t="shared" si="1"/>
        <v>0</v>
      </c>
    </row>
    <row r="120" spans="1:5" hidden="1" x14ac:dyDescent="0.3">
      <c r="A120" t="s">
        <v>89</v>
      </c>
      <c r="B120" t="s">
        <v>563</v>
      </c>
      <c r="E120">
        <f t="shared" si="1"/>
        <v>0</v>
      </c>
    </row>
    <row r="121" spans="1:5" hidden="1" x14ac:dyDescent="0.3">
      <c r="A121" t="s">
        <v>90</v>
      </c>
      <c r="B121" t="s">
        <v>563</v>
      </c>
      <c r="E121">
        <f t="shared" si="1"/>
        <v>0</v>
      </c>
    </row>
    <row r="122" spans="1:5" hidden="1" x14ac:dyDescent="0.3">
      <c r="A122" t="s">
        <v>91</v>
      </c>
      <c r="B122" t="s">
        <v>563</v>
      </c>
      <c r="E122">
        <f t="shared" si="1"/>
        <v>0</v>
      </c>
    </row>
    <row r="123" spans="1:5" x14ac:dyDescent="0.3">
      <c r="A123" t="s">
        <v>92</v>
      </c>
      <c r="B123" t="s">
        <v>563</v>
      </c>
      <c r="C123">
        <v>98</v>
      </c>
      <c r="D123">
        <v>13500</v>
      </c>
      <c r="E123">
        <f t="shared" si="1"/>
        <v>1323000</v>
      </c>
    </row>
    <row r="124" spans="1:5" hidden="1" x14ac:dyDescent="0.3">
      <c r="A124" t="s">
        <v>93</v>
      </c>
      <c r="B124" t="s">
        <v>563</v>
      </c>
      <c r="E124">
        <f t="shared" si="1"/>
        <v>0</v>
      </c>
    </row>
    <row r="125" spans="1:5" hidden="1" x14ac:dyDescent="0.3">
      <c r="A125" t="s">
        <v>94</v>
      </c>
      <c r="B125" t="s">
        <v>563</v>
      </c>
      <c r="E125">
        <f t="shared" si="1"/>
        <v>0</v>
      </c>
    </row>
    <row r="126" spans="1:5" hidden="1" x14ac:dyDescent="0.3">
      <c r="A126" t="s">
        <v>96</v>
      </c>
      <c r="B126" t="s">
        <v>563</v>
      </c>
      <c r="E126">
        <f t="shared" si="1"/>
        <v>0</v>
      </c>
    </row>
    <row r="127" spans="1:5" hidden="1" x14ac:dyDescent="0.3">
      <c r="A127" t="s">
        <v>97</v>
      </c>
      <c r="B127" t="s">
        <v>564</v>
      </c>
      <c r="E127">
        <f t="shared" si="1"/>
        <v>0</v>
      </c>
    </row>
    <row r="128" spans="1:5" hidden="1" x14ac:dyDescent="0.3">
      <c r="A128" t="s">
        <v>98</v>
      </c>
      <c r="B128" t="s">
        <v>566</v>
      </c>
      <c r="E128">
        <f t="shared" si="1"/>
        <v>0</v>
      </c>
    </row>
    <row r="129" spans="1:5" hidden="1" x14ac:dyDescent="0.3">
      <c r="A129" t="s">
        <v>99</v>
      </c>
      <c r="B129" t="s">
        <v>566</v>
      </c>
      <c r="E129">
        <f t="shared" si="1"/>
        <v>0</v>
      </c>
    </row>
    <row r="130" spans="1:5" hidden="1" x14ac:dyDescent="0.3">
      <c r="A130" t="s">
        <v>100</v>
      </c>
      <c r="B130" t="s">
        <v>564</v>
      </c>
      <c r="E130">
        <f t="shared" si="1"/>
        <v>0</v>
      </c>
    </row>
    <row r="131" spans="1:5" hidden="1" x14ac:dyDescent="0.3">
      <c r="A131" t="s">
        <v>101</v>
      </c>
      <c r="B131" t="s">
        <v>563</v>
      </c>
      <c r="E131">
        <f t="shared" si="1"/>
        <v>0</v>
      </c>
    </row>
    <row r="132" spans="1:5" x14ac:dyDescent="0.3">
      <c r="A132" t="s">
        <v>102</v>
      </c>
      <c r="B132" t="s">
        <v>563</v>
      </c>
      <c r="C132">
        <v>160</v>
      </c>
      <c r="D132">
        <v>26000</v>
      </c>
      <c r="E132">
        <f t="shared" ref="E132:E197" si="2">C132*D132</f>
        <v>4160000</v>
      </c>
    </row>
    <row r="133" spans="1:5" x14ac:dyDescent="0.3">
      <c r="A133" t="s">
        <v>103</v>
      </c>
      <c r="B133" t="s">
        <v>563</v>
      </c>
      <c r="C133">
        <v>21</v>
      </c>
      <c r="D133">
        <v>33000</v>
      </c>
      <c r="E133">
        <f t="shared" si="2"/>
        <v>693000</v>
      </c>
    </row>
    <row r="134" spans="1:5" hidden="1" x14ac:dyDescent="0.3">
      <c r="A134" t="s">
        <v>559</v>
      </c>
      <c r="B134" t="s">
        <v>563</v>
      </c>
      <c r="E134">
        <f t="shared" si="2"/>
        <v>0</v>
      </c>
    </row>
    <row r="135" spans="1:5" hidden="1" x14ac:dyDescent="0.3">
      <c r="A135" t="s">
        <v>559</v>
      </c>
      <c r="B135" t="s">
        <v>566</v>
      </c>
      <c r="E135">
        <f t="shared" si="2"/>
        <v>0</v>
      </c>
    </row>
    <row r="136" spans="1:5" hidden="1" x14ac:dyDescent="0.3">
      <c r="A136" t="s">
        <v>573</v>
      </c>
      <c r="B136" t="s">
        <v>563</v>
      </c>
      <c r="E136">
        <f t="shared" si="2"/>
        <v>0</v>
      </c>
    </row>
    <row r="137" spans="1:5" hidden="1" x14ac:dyDescent="0.3">
      <c r="A137" t="s">
        <v>573</v>
      </c>
      <c r="B137" t="s">
        <v>566</v>
      </c>
      <c r="E137">
        <f t="shared" si="2"/>
        <v>0</v>
      </c>
    </row>
    <row r="138" spans="1:5" hidden="1" x14ac:dyDescent="0.3">
      <c r="A138" t="s">
        <v>560</v>
      </c>
      <c r="B138" t="s">
        <v>563</v>
      </c>
      <c r="E138">
        <f t="shared" si="2"/>
        <v>0</v>
      </c>
    </row>
    <row r="139" spans="1:5" hidden="1" x14ac:dyDescent="0.3">
      <c r="A139" t="s">
        <v>560</v>
      </c>
      <c r="B139" t="s">
        <v>566</v>
      </c>
      <c r="E139">
        <f t="shared" si="2"/>
        <v>0</v>
      </c>
    </row>
    <row r="140" spans="1:5" hidden="1" x14ac:dyDescent="0.3">
      <c r="A140" t="s">
        <v>583</v>
      </c>
      <c r="B140" t="s">
        <v>566</v>
      </c>
      <c r="E140">
        <f t="shared" si="2"/>
        <v>0</v>
      </c>
    </row>
    <row r="141" spans="1:5" hidden="1" x14ac:dyDescent="0.3">
      <c r="A141" t="s">
        <v>106</v>
      </c>
      <c r="B141" t="s">
        <v>563</v>
      </c>
      <c r="E141">
        <f t="shared" si="2"/>
        <v>0</v>
      </c>
    </row>
    <row r="142" spans="1:5" hidden="1" x14ac:dyDescent="0.3">
      <c r="A142" t="s">
        <v>599</v>
      </c>
      <c r="B142" t="s">
        <v>566</v>
      </c>
      <c r="E142">
        <f t="shared" si="2"/>
        <v>0</v>
      </c>
    </row>
    <row r="143" spans="1:5" hidden="1" x14ac:dyDescent="0.3">
      <c r="A143" t="s">
        <v>577</v>
      </c>
      <c r="B143" t="s">
        <v>566</v>
      </c>
      <c r="E143">
        <f t="shared" si="2"/>
        <v>0</v>
      </c>
    </row>
    <row r="144" spans="1:5" hidden="1" x14ac:dyDescent="0.3">
      <c r="A144" t="s">
        <v>604</v>
      </c>
      <c r="B144" t="s">
        <v>565</v>
      </c>
      <c r="E144">
        <f t="shared" si="2"/>
        <v>0</v>
      </c>
    </row>
    <row r="145" spans="1:5" hidden="1" x14ac:dyDescent="0.3">
      <c r="A145" t="s">
        <v>600</v>
      </c>
      <c r="B145" t="s">
        <v>566</v>
      </c>
      <c r="E145">
        <f t="shared" si="2"/>
        <v>0</v>
      </c>
    </row>
    <row r="146" spans="1:5" hidden="1" x14ac:dyDescent="0.3">
      <c r="A146" t="s">
        <v>110</v>
      </c>
      <c r="B146" t="s">
        <v>563</v>
      </c>
      <c r="E146">
        <f t="shared" si="2"/>
        <v>0</v>
      </c>
    </row>
    <row r="147" spans="1:5" hidden="1" x14ac:dyDescent="0.3">
      <c r="A147" t="s">
        <v>116</v>
      </c>
      <c r="B147" t="s">
        <v>563</v>
      </c>
      <c r="E147">
        <f t="shared" si="2"/>
        <v>0</v>
      </c>
    </row>
    <row r="148" spans="1:5" hidden="1" x14ac:dyDescent="0.3">
      <c r="A148" t="s">
        <v>116</v>
      </c>
      <c r="B148" t="s">
        <v>564</v>
      </c>
      <c r="E148">
        <f t="shared" si="2"/>
        <v>0</v>
      </c>
    </row>
    <row r="149" spans="1:5" hidden="1" x14ac:dyDescent="0.3">
      <c r="A149" t="s">
        <v>118</v>
      </c>
      <c r="B149" t="s">
        <v>571</v>
      </c>
      <c r="E149">
        <f t="shared" si="2"/>
        <v>0</v>
      </c>
    </row>
    <row r="150" spans="1:5" hidden="1" x14ac:dyDescent="0.3">
      <c r="A150" t="s">
        <v>521</v>
      </c>
      <c r="B150" t="s">
        <v>564</v>
      </c>
      <c r="E150">
        <f t="shared" si="2"/>
        <v>0</v>
      </c>
    </row>
    <row r="151" spans="1:5" hidden="1" x14ac:dyDescent="0.3">
      <c r="A151" t="s">
        <v>536</v>
      </c>
      <c r="B151" t="s">
        <v>564</v>
      </c>
      <c r="E151">
        <f t="shared" si="2"/>
        <v>0</v>
      </c>
    </row>
    <row r="152" spans="1:5" x14ac:dyDescent="0.3">
      <c r="A152" t="s">
        <v>524</v>
      </c>
      <c r="B152" t="s">
        <v>563</v>
      </c>
      <c r="C152">
        <v>44</v>
      </c>
      <c r="D152">
        <v>30000</v>
      </c>
      <c r="E152">
        <f t="shared" si="2"/>
        <v>1320000</v>
      </c>
    </row>
    <row r="153" spans="1:5" hidden="1" x14ac:dyDescent="0.3">
      <c r="A153" t="s">
        <v>109</v>
      </c>
      <c r="B153" t="s">
        <v>563</v>
      </c>
      <c r="E153">
        <f t="shared" si="2"/>
        <v>0</v>
      </c>
    </row>
    <row r="154" spans="1:5" hidden="1" x14ac:dyDescent="0.3">
      <c r="A154" t="e">
        <v>#N/A</v>
      </c>
      <c r="B154">
        <v>0</v>
      </c>
      <c r="E154">
        <f t="shared" si="2"/>
        <v>0</v>
      </c>
    </row>
    <row r="155" spans="1:5" x14ac:dyDescent="0.3">
      <c r="A155" t="s">
        <v>552</v>
      </c>
      <c r="B155" t="s">
        <v>563</v>
      </c>
      <c r="C155">
        <v>20</v>
      </c>
      <c r="D155">
        <v>13000</v>
      </c>
      <c r="E155">
        <f t="shared" si="2"/>
        <v>260000</v>
      </c>
    </row>
    <row r="156" spans="1:5" x14ac:dyDescent="0.3">
      <c r="A156" t="s">
        <v>553</v>
      </c>
      <c r="B156" t="s">
        <v>563</v>
      </c>
      <c r="C156">
        <v>60</v>
      </c>
      <c r="D156">
        <v>25000</v>
      </c>
      <c r="E156">
        <f t="shared" si="2"/>
        <v>1500000</v>
      </c>
    </row>
    <row r="157" spans="1:5" x14ac:dyDescent="0.3">
      <c r="A157" t="s">
        <v>554</v>
      </c>
      <c r="B157" t="s">
        <v>563</v>
      </c>
      <c r="C157">
        <v>15</v>
      </c>
      <c r="D157">
        <v>17000</v>
      </c>
      <c r="E157">
        <f t="shared" si="2"/>
        <v>255000</v>
      </c>
    </row>
    <row r="158" spans="1:5" x14ac:dyDescent="0.3">
      <c r="A158" t="s">
        <v>363</v>
      </c>
      <c r="B158" t="s">
        <v>563</v>
      </c>
      <c r="C158">
        <v>0.5</v>
      </c>
      <c r="D158">
        <v>45000</v>
      </c>
      <c r="E158">
        <f t="shared" si="2"/>
        <v>22500</v>
      </c>
    </row>
    <row r="159" spans="1:5" x14ac:dyDescent="0.3">
      <c r="A159" t="s">
        <v>551</v>
      </c>
      <c r="B159" t="s">
        <v>563</v>
      </c>
      <c r="C159">
        <v>20</v>
      </c>
      <c r="D159">
        <v>13000</v>
      </c>
      <c r="E159">
        <f t="shared" si="2"/>
        <v>260000</v>
      </c>
    </row>
    <row r="160" spans="1:5" x14ac:dyDescent="0.3">
      <c r="A160" t="s">
        <v>605</v>
      </c>
      <c r="B160" t="s">
        <v>606</v>
      </c>
      <c r="C160">
        <v>70</v>
      </c>
      <c r="D160">
        <v>110000</v>
      </c>
      <c r="E160">
        <f t="shared" si="2"/>
        <v>7700000</v>
      </c>
    </row>
    <row r="161" spans="1:5" hidden="1" x14ac:dyDescent="0.3">
      <c r="E161">
        <f t="shared" si="2"/>
        <v>0</v>
      </c>
    </row>
    <row r="162" spans="1:5" x14ac:dyDescent="0.3">
      <c r="E162">
        <f>SUM(E3:E160)</f>
        <v>78945500</v>
      </c>
    </row>
    <row r="163" spans="1:5" x14ac:dyDescent="0.3">
      <c r="A163" t="s">
        <v>596</v>
      </c>
    </row>
    <row r="164" spans="1:5" x14ac:dyDescent="0.3">
      <c r="A164" t="s">
        <v>0</v>
      </c>
      <c r="B164" t="s">
        <v>562</v>
      </c>
      <c r="C164" t="s">
        <v>608</v>
      </c>
      <c r="D164" t="s">
        <v>594</v>
      </c>
      <c r="E164" t="s">
        <v>129</v>
      </c>
    </row>
    <row r="165" spans="1:5" hidden="1" x14ac:dyDescent="0.3">
      <c r="A165" t="s">
        <v>21</v>
      </c>
      <c r="B165" t="s">
        <v>563</v>
      </c>
      <c r="E165">
        <f t="shared" si="2"/>
        <v>0</v>
      </c>
    </row>
    <row r="166" spans="1:5" x14ac:dyDescent="0.3">
      <c r="A166" t="s">
        <v>22</v>
      </c>
      <c r="B166" t="s">
        <v>563</v>
      </c>
      <c r="C166">
        <v>100</v>
      </c>
      <c r="D166">
        <v>9000</v>
      </c>
      <c r="E166">
        <f t="shared" si="2"/>
        <v>900000</v>
      </c>
    </row>
    <row r="167" spans="1:5" x14ac:dyDescent="0.3">
      <c r="A167" t="s">
        <v>23</v>
      </c>
      <c r="B167" t="s">
        <v>563</v>
      </c>
      <c r="C167">
        <v>1750</v>
      </c>
      <c r="D167">
        <v>6800</v>
      </c>
      <c r="E167">
        <f t="shared" si="2"/>
        <v>11900000</v>
      </c>
    </row>
    <row r="168" spans="1:5" x14ac:dyDescent="0.3">
      <c r="A168" t="s">
        <v>48</v>
      </c>
      <c r="B168" t="s">
        <v>563</v>
      </c>
      <c r="C168">
        <v>74</v>
      </c>
      <c r="D168">
        <v>10000</v>
      </c>
      <c r="E168">
        <f t="shared" si="2"/>
        <v>740000</v>
      </c>
    </row>
    <row r="169" spans="1:5" x14ac:dyDescent="0.3">
      <c r="A169" t="s">
        <v>50</v>
      </c>
      <c r="B169" t="s">
        <v>563</v>
      </c>
      <c r="C169">
        <v>150</v>
      </c>
      <c r="D169">
        <v>7000</v>
      </c>
      <c r="E169">
        <f t="shared" si="2"/>
        <v>1050000</v>
      </c>
    </row>
    <row r="170" spans="1:5" hidden="1" x14ac:dyDescent="0.3">
      <c r="A170" t="s">
        <v>121</v>
      </c>
      <c r="B170" t="s">
        <v>563</v>
      </c>
      <c r="E170">
        <f t="shared" si="2"/>
        <v>0</v>
      </c>
    </row>
    <row r="171" spans="1:5" hidden="1" x14ac:dyDescent="0.3">
      <c r="A171" t="s">
        <v>51</v>
      </c>
      <c r="B171" t="s">
        <v>563</v>
      </c>
      <c r="E171">
        <f t="shared" si="2"/>
        <v>0</v>
      </c>
    </row>
    <row r="172" spans="1:5" hidden="1" x14ac:dyDescent="0.3">
      <c r="A172" t="s">
        <v>92</v>
      </c>
      <c r="B172" t="s">
        <v>563</v>
      </c>
      <c r="E172">
        <f t="shared" si="2"/>
        <v>0</v>
      </c>
    </row>
    <row r="173" spans="1:5" hidden="1" x14ac:dyDescent="0.3">
      <c r="A173" t="s">
        <v>110</v>
      </c>
      <c r="B173" t="s">
        <v>563</v>
      </c>
      <c r="E173">
        <f t="shared" si="2"/>
        <v>0</v>
      </c>
    </row>
    <row r="174" spans="1:5" hidden="1" x14ac:dyDescent="0.3">
      <c r="A174" t="s">
        <v>17</v>
      </c>
      <c r="B174" t="s">
        <v>563</v>
      </c>
      <c r="E174">
        <f t="shared" si="2"/>
        <v>0</v>
      </c>
    </row>
    <row r="175" spans="1:5" hidden="1" x14ac:dyDescent="0.3">
      <c r="A175" t="s">
        <v>53</v>
      </c>
      <c r="B175" t="s">
        <v>563</v>
      </c>
      <c r="E175">
        <f t="shared" si="2"/>
        <v>0</v>
      </c>
    </row>
    <row r="176" spans="1:5" hidden="1" x14ac:dyDescent="0.3">
      <c r="A176" t="s">
        <v>56</v>
      </c>
      <c r="B176" t="s">
        <v>565</v>
      </c>
      <c r="E176">
        <f t="shared" si="2"/>
        <v>0</v>
      </c>
    </row>
    <row r="177" spans="1:5" hidden="1" x14ac:dyDescent="0.3">
      <c r="A177" t="s">
        <v>60</v>
      </c>
      <c r="B177" t="s">
        <v>563</v>
      </c>
      <c r="E177">
        <f t="shared" si="2"/>
        <v>0</v>
      </c>
    </row>
    <row r="178" spans="1:5" hidden="1" x14ac:dyDescent="0.3">
      <c r="A178" t="s">
        <v>1</v>
      </c>
      <c r="B178" t="s">
        <v>563</v>
      </c>
      <c r="E178">
        <f t="shared" si="2"/>
        <v>0</v>
      </c>
    </row>
    <row r="179" spans="1:5" hidden="1" x14ac:dyDescent="0.3">
      <c r="A179" t="s">
        <v>62</v>
      </c>
      <c r="B179" t="s">
        <v>563</v>
      </c>
      <c r="E179">
        <f t="shared" si="2"/>
        <v>0</v>
      </c>
    </row>
    <row r="180" spans="1:5" x14ac:dyDescent="0.3">
      <c r="A180" t="s">
        <v>27</v>
      </c>
      <c r="B180" t="s">
        <v>563</v>
      </c>
      <c r="C180">
        <v>330</v>
      </c>
      <c r="D180">
        <v>15000</v>
      </c>
      <c r="E180">
        <f t="shared" si="2"/>
        <v>4950000</v>
      </c>
    </row>
    <row r="181" spans="1:5" x14ac:dyDescent="0.3">
      <c r="A181" t="s">
        <v>109</v>
      </c>
      <c r="B181" t="s">
        <v>563</v>
      </c>
      <c r="C181">
        <v>2</v>
      </c>
      <c r="D181">
        <v>18000</v>
      </c>
      <c r="E181">
        <f t="shared" si="2"/>
        <v>36000</v>
      </c>
    </row>
    <row r="182" spans="1:5" hidden="1" x14ac:dyDescent="0.3">
      <c r="A182" t="s">
        <v>125</v>
      </c>
      <c r="B182" t="s">
        <v>563</v>
      </c>
      <c r="E182">
        <f t="shared" si="2"/>
        <v>0</v>
      </c>
    </row>
    <row r="183" spans="1:5" hidden="1" x14ac:dyDescent="0.3">
      <c r="A183" t="s">
        <v>28</v>
      </c>
      <c r="B183" t="s">
        <v>563</v>
      </c>
      <c r="E183">
        <f t="shared" si="2"/>
        <v>0</v>
      </c>
    </row>
    <row r="184" spans="1:5" x14ac:dyDescent="0.3">
      <c r="A184" t="s">
        <v>120</v>
      </c>
      <c r="B184" t="s">
        <v>563</v>
      </c>
      <c r="C184">
        <v>1</v>
      </c>
      <c r="D184">
        <v>25000</v>
      </c>
      <c r="E184">
        <f t="shared" si="2"/>
        <v>25000</v>
      </c>
    </row>
    <row r="185" spans="1:5" x14ac:dyDescent="0.3">
      <c r="A185" t="s">
        <v>87</v>
      </c>
      <c r="B185" t="s">
        <v>563</v>
      </c>
      <c r="C185">
        <v>100</v>
      </c>
      <c r="D185">
        <v>12500</v>
      </c>
      <c r="E185">
        <f t="shared" si="2"/>
        <v>1250000</v>
      </c>
    </row>
    <row r="186" spans="1:5" hidden="1" x14ac:dyDescent="0.3">
      <c r="A186" t="s">
        <v>117</v>
      </c>
      <c r="B186" t="s">
        <v>564</v>
      </c>
      <c r="E186">
        <f t="shared" si="2"/>
        <v>0</v>
      </c>
    </row>
    <row r="187" spans="1:5" hidden="1" x14ac:dyDescent="0.3">
      <c r="A187" t="s">
        <v>5</v>
      </c>
      <c r="B187" t="s">
        <v>563</v>
      </c>
      <c r="E187">
        <f t="shared" si="2"/>
        <v>0</v>
      </c>
    </row>
    <row r="188" spans="1:5" x14ac:dyDescent="0.3">
      <c r="A188" t="s">
        <v>6</v>
      </c>
      <c r="B188" t="s">
        <v>563</v>
      </c>
      <c r="C188">
        <v>100</v>
      </c>
      <c r="D188">
        <v>15000</v>
      </c>
      <c r="E188">
        <f t="shared" si="2"/>
        <v>1500000</v>
      </c>
    </row>
    <row r="189" spans="1:5" x14ac:dyDescent="0.3">
      <c r="A189" t="s">
        <v>8</v>
      </c>
      <c r="B189" t="s">
        <v>563</v>
      </c>
      <c r="C189">
        <v>140</v>
      </c>
      <c r="D189">
        <v>25000</v>
      </c>
      <c r="E189">
        <f t="shared" si="2"/>
        <v>3500000</v>
      </c>
    </row>
    <row r="190" spans="1:5" hidden="1" x14ac:dyDescent="0.3">
      <c r="A190" t="s">
        <v>119</v>
      </c>
      <c r="B190" t="s">
        <v>566</v>
      </c>
      <c r="E190">
        <f t="shared" si="2"/>
        <v>0</v>
      </c>
    </row>
    <row r="191" spans="1:5" x14ac:dyDescent="0.3">
      <c r="A191" t="s">
        <v>12</v>
      </c>
      <c r="B191" t="s">
        <v>563</v>
      </c>
      <c r="C191">
        <v>200</v>
      </c>
      <c r="D191">
        <v>25000</v>
      </c>
      <c r="E191">
        <f t="shared" si="2"/>
        <v>5000000</v>
      </c>
    </row>
    <row r="192" spans="1:5" hidden="1" x14ac:dyDescent="0.3">
      <c r="A192" t="s">
        <v>14</v>
      </c>
      <c r="B192" t="s">
        <v>566</v>
      </c>
      <c r="E192">
        <f t="shared" si="2"/>
        <v>0</v>
      </c>
    </row>
    <row r="193" spans="1:5" hidden="1" x14ac:dyDescent="0.3">
      <c r="A193" t="s">
        <v>111</v>
      </c>
      <c r="B193" t="s">
        <v>563</v>
      </c>
      <c r="E193">
        <f t="shared" si="2"/>
        <v>0</v>
      </c>
    </row>
    <row r="194" spans="1:5" hidden="1" x14ac:dyDescent="0.3">
      <c r="A194" t="s">
        <v>15</v>
      </c>
      <c r="B194" t="s">
        <v>563</v>
      </c>
      <c r="E194">
        <f t="shared" si="2"/>
        <v>0</v>
      </c>
    </row>
    <row r="195" spans="1:5" hidden="1" x14ac:dyDescent="0.3">
      <c r="A195" t="s">
        <v>16</v>
      </c>
      <c r="B195" t="s">
        <v>563</v>
      </c>
      <c r="E195">
        <f t="shared" si="2"/>
        <v>0</v>
      </c>
    </row>
    <row r="196" spans="1:5" hidden="1" x14ac:dyDescent="0.3">
      <c r="A196" t="s">
        <v>68</v>
      </c>
      <c r="B196" t="s">
        <v>566</v>
      </c>
      <c r="E196">
        <f t="shared" si="2"/>
        <v>0</v>
      </c>
    </row>
    <row r="197" spans="1:5" x14ac:dyDescent="0.3">
      <c r="A197" t="s">
        <v>67</v>
      </c>
      <c r="B197" t="s">
        <v>566</v>
      </c>
      <c r="C197">
        <v>12</v>
      </c>
      <c r="D197">
        <v>11000</v>
      </c>
      <c r="E197">
        <f t="shared" si="2"/>
        <v>132000</v>
      </c>
    </row>
    <row r="198" spans="1:5" hidden="1" x14ac:dyDescent="0.3">
      <c r="A198" t="s">
        <v>72</v>
      </c>
      <c r="B198" t="s">
        <v>564</v>
      </c>
      <c r="E198">
        <f t="shared" ref="E198:E210" si="3">C198*D198</f>
        <v>0</v>
      </c>
    </row>
    <row r="199" spans="1:5" hidden="1" x14ac:dyDescent="0.3">
      <c r="A199" t="s">
        <v>29</v>
      </c>
      <c r="B199" t="s">
        <v>563</v>
      </c>
      <c r="E199">
        <f t="shared" si="3"/>
        <v>0</v>
      </c>
    </row>
    <row r="200" spans="1:5" hidden="1" x14ac:dyDescent="0.3">
      <c r="A200" t="s">
        <v>123</v>
      </c>
      <c r="B200" t="s">
        <v>563</v>
      </c>
      <c r="E200">
        <f t="shared" si="3"/>
        <v>0</v>
      </c>
    </row>
    <row r="201" spans="1:5" hidden="1" x14ac:dyDescent="0.3">
      <c r="A201" t="s">
        <v>122</v>
      </c>
      <c r="B201" t="s">
        <v>563</v>
      </c>
      <c r="E201">
        <f t="shared" si="3"/>
        <v>0</v>
      </c>
    </row>
    <row r="202" spans="1:5" hidden="1" x14ac:dyDescent="0.3">
      <c r="A202" t="s">
        <v>76</v>
      </c>
      <c r="B202" t="s">
        <v>563</v>
      </c>
      <c r="E202">
        <f t="shared" si="3"/>
        <v>0</v>
      </c>
    </row>
    <row r="203" spans="1:5" hidden="1" x14ac:dyDescent="0.3">
      <c r="A203" t="s">
        <v>78</v>
      </c>
      <c r="B203" t="s">
        <v>563</v>
      </c>
      <c r="E203">
        <f t="shared" si="3"/>
        <v>0</v>
      </c>
    </row>
    <row r="204" spans="1:5" hidden="1" x14ac:dyDescent="0.3">
      <c r="A204" t="s">
        <v>79</v>
      </c>
      <c r="B204" t="s">
        <v>563</v>
      </c>
      <c r="E204">
        <f t="shared" si="3"/>
        <v>0</v>
      </c>
    </row>
    <row r="205" spans="1:5" hidden="1" x14ac:dyDescent="0.3">
      <c r="A205" t="s">
        <v>124</v>
      </c>
      <c r="B205" t="s">
        <v>566</v>
      </c>
      <c r="E205">
        <f t="shared" si="3"/>
        <v>0</v>
      </c>
    </row>
    <row r="206" spans="1:5" x14ac:dyDescent="0.3">
      <c r="A206" t="s">
        <v>82</v>
      </c>
      <c r="B206" t="s">
        <v>563</v>
      </c>
      <c r="C206">
        <v>110</v>
      </c>
      <c r="D206">
        <v>10000</v>
      </c>
      <c r="E206">
        <f t="shared" si="3"/>
        <v>1100000</v>
      </c>
    </row>
    <row r="207" spans="1:5" hidden="1" x14ac:dyDescent="0.3">
      <c r="A207" t="s">
        <v>39</v>
      </c>
      <c r="B207" t="s">
        <v>568</v>
      </c>
      <c r="E207">
        <f t="shared" si="3"/>
        <v>0</v>
      </c>
    </row>
    <row r="208" spans="1:5" hidden="1" x14ac:dyDescent="0.3">
      <c r="A208" t="s">
        <v>41</v>
      </c>
      <c r="B208" t="s">
        <v>568</v>
      </c>
      <c r="E208">
        <f t="shared" si="3"/>
        <v>0</v>
      </c>
    </row>
    <row r="209" spans="1:5" hidden="1" x14ac:dyDescent="0.3">
      <c r="A209" t="s">
        <v>46</v>
      </c>
      <c r="B209" t="s">
        <v>568</v>
      </c>
      <c r="E209">
        <f t="shared" si="3"/>
        <v>0</v>
      </c>
    </row>
    <row r="210" spans="1:5" hidden="1" x14ac:dyDescent="0.3">
      <c r="A210" t="e">
        <v>#N/A</v>
      </c>
      <c r="B210">
        <v>0</v>
      </c>
      <c r="E210">
        <f t="shared" si="3"/>
        <v>0</v>
      </c>
    </row>
    <row r="211" spans="1:5" x14ac:dyDescent="0.3">
      <c r="E211">
        <f>SUM(E166:E206)</f>
        <v>32083000</v>
      </c>
    </row>
    <row r="214" spans="1:5" x14ac:dyDescent="0.3">
      <c r="E214">
        <f>E211+E162</f>
        <v>111028500</v>
      </c>
    </row>
  </sheetData>
  <autoFilter ref="A2:E210" xr:uid="{00000000-0009-0000-0000-000013000000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E186"/>
  <sheetViews>
    <sheetView topLeftCell="A61" workbookViewId="0">
      <selection activeCell="E186" sqref="E186"/>
    </sheetView>
  </sheetViews>
  <sheetFormatPr defaultRowHeight="14.4" x14ac:dyDescent="0.3"/>
  <cols>
    <col min="1" max="1" width="32.109375" customWidth="1"/>
    <col min="3" max="3" width="11.44140625" customWidth="1"/>
    <col min="4" max="4" width="13.44140625" customWidth="1"/>
    <col min="5" max="5" width="16.6640625" customWidth="1"/>
  </cols>
  <sheetData>
    <row r="1" spans="1:5" ht="33" customHeight="1" x14ac:dyDescent="0.3">
      <c r="A1" t="s">
        <v>597</v>
      </c>
    </row>
    <row r="2" spans="1:5" ht="18.600000000000001" x14ac:dyDescent="0.3">
      <c r="A2" s="60" t="s">
        <v>0</v>
      </c>
      <c r="B2" s="60" t="s">
        <v>562</v>
      </c>
      <c r="C2" s="61" t="s">
        <v>608</v>
      </c>
      <c r="D2" s="82" t="s">
        <v>590</v>
      </c>
      <c r="E2" s="65" t="s">
        <v>129</v>
      </c>
    </row>
    <row r="3" spans="1:5" x14ac:dyDescent="0.3">
      <c r="A3" s="62" t="s">
        <v>1</v>
      </c>
      <c r="B3" s="62" t="s">
        <v>563</v>
      </c>
      <c r="C3" s="63">
        <v>40</v>
      </c>
      <c r="D3" s="66">
        <v>16000</v>
      </c>
      <c r="E3" s="66">
        <f>C3*D3</f>
        <v>640000</v>
      </c>
    </row>
    <row r="4" spans="1:5" hidden="1" x14ac:dyDescent="0.3">
      <c r="A4" s="62" t="s">
        <v>1</v>
      </c>
      <c r="B4" s="62" t="s">
        <v>566</v>
      </c>
      <c r="C4" s="63"/>
      <c r="D4" s="66"/>
      <c r="E4" s="66">
        <f t="shared" ref="E4:E67" si="0">C4*D4</f>
        <v>0</v>
      </c>
    </row>
    <row r="5" spans="1:5" hidden="1" x14ac:dyDescent="0.3">
      <c r="A5" s="62" t="s">
        <v>2</v>
      </c>
      <c r="B5" s="62" t="s">
        <v>564</v>
      </c>
      <c r="C5" s="63"/>
      <c r="D5" s="66"/>
      <c r="E5" s="66">
        <f t="shared" si="0"/>
        <v>0</v>
      </c>
    </row>
    <row r="6" spans="1:5" x14ac:dyDescent="0.3">
      <c r="A6" s="62" t="s">
        <v>3</v>
      </c>
      <c r="B6" s="62" t="s">
        <v>563</v>
      </c>
      <c r="C6" s="63">
        <v>1</v>
      </c>
      <c r="D6" s="66">
        <v>27000</v>
      </c>
      <c r="E6" s="66">
        <f t="shared" si="0"/>
        <v>27000</v>
      </c>
    </row>
    <row r="7" spans="1:5" x14ac:dyDescent="0.3">
      <c r="A7" s="62" t="s">
        <v>4</v>
      </c>
      <c r="B7" s="62" t="s">
        <v>565</v>
      </c>
      <c r="C7" s="63">
        <v>11</v>
      </c>
      <c r="D7" s="66">
        <v>9000</v>
      </c>
      <c r="E7" s="66">
        <f t="shared" si="0"/>
        <v>99000</v>
      </c>
    </row>
    <row r="8" spans="1:5" hidden="1" x14ac:dyDescent="0.3">
      <c r="A8" s="62" t="s">
        <v>5</v>
      </c>
      <c r="B8" s="62" t="s">
        <v>563</v>
      </c>
      <c r="C8" s="63"/>
      <c r="D8" s="66"/>
      <c r="E8" s="66">
        <f t="shared" si="0"/>
        <v>0</v>
      </c>
    </row>
    <row r="9" spans="1:5" x14ac:dyDescent="0.3">
      <c r="A9" s="62" t="s">
        <v>6</v>
      </c>
      <c r="B9" s="62" t="s">
        <v>563</v>
      </c>
      <c r="C9" s="63">
        <v>55</v>
      </c>
      <c r="D9" s="66">
        <v>15000</v>
      </c>
      <c r="E9" s="66">
        <f t="shared" si="0"/>
        <v>825000</v>
      </c>
    </row>
    <row r="10" spans="1:5" hidden="1" x14ac:dyDescent="0.3">
      <c r="A10" s="62" t="s">
        <v>6</v>
      </c>
      <c r="B10" s="62" t="s">
        <v>566</v>
      </c>
      <c r="C10" s="63"/>
      <c r="D10" s="66"/>
      <c r="E10" s="66">
        <f t="shared" si="0"/>
        <v>0</v>
      </c>
    </row>
    <row r="11" spans="1:5" hidden="1" x14ac:dyDescent="0.3">
      <c r="A11" s="62" t="s">
        <v>7</v>
      </c>
      <c r="B11" s="62" t="s">
        <v>563</v>
      </c>
      <c r="C11" s="63"/>
      <c r="D11" s="66"/>
      <c r="E11" s="66">
        <f t="shared" si="0"/>
        <v>0</v>
      </c>
    </row>
    <row r="12" spans="1:5" x14ac:dyDescent="0.3">
      <c r="A12" s="62" t="s">
        <v>8</v>
      </c>
      <c r="B12" s="62" t="s">
        <v>563</v>
      </c>
      <c r="C12" s="63">
        <v>346</v>
      </c>
      <c r="D12" s="66">
        <v>25000</v>
      </c>
      <c r="E12" s="66">
        <f t="shared" si="0"/>
        <v>8650000</v>
      </c>
    </row>
    <row r="13" spans="1:5" hidden="1" x14ac:dyDescent="0.3">
      <c r="A13" s="62" t="s">
        <v>9</v>
      </c>
      <c r="B13" s="62" t="s">
        <v>563</v>
      </c>
      <c r="C13" s="63"/>
      <c r="D13" s="66"/>
      <c r="E13" s="66">
        <f t="shared" si="0"/>
        <v>0</v>
      </c>
    </row>
    <row r="14" spans="1:5" hidden="1" x14ac:dyDescent="0.3">
      <c r="A14" s="62" t="s">
        <v>9</v>
      </c>
      <c r="B14" s="62" t="s">
        <v>566</v>
      </c>
      <c r="C14" s="63"/>
      <c r="D14" s="66"/>
      <c r="E14" s="66">
        <f t="shared" si="0"/>
        <v>0</v>
      </c>
    </row>
    <row r="15" spans="1:5" x14ac:dyDescent="0.3">
      <c r="A15" s="62" t="s">
        <v>10</v>
      </c>
      <c r="B15" s="62" t="s">
        <v>566</v>
      </c>
      <c r="C15" s="63">
        <v>350</v>
      </c>
      <c r="D15" s="66">
        <v>4800</v>
      </c>
      <c r="E15" s="66">
        <f t="shared" si="0"/>
        <v>1680000</v>
      </c>
    </row>
    <row r="16" spans="1:5" x14ac:dyDescent="0.3">
      <c r="A16" s="62" t="s">
        <v>11</v>
      </c>
      <c r="B16" s="62" t="s">
        <v>563</v>
      </c>
      <c r="C16" s="63">
        <v>680</v>
      </c>
      <c r="D16" s="66">
        <v>26000</v>
      </c>
      <c r="E16" s="66">
        <f t="shared" si="0"/>
        <v>17680000</v>
      </c>
    </row>
    <row r="17" spans="1:5" hidden="1" x14ac:dyDescent="0.3">
      <c r="A17" s="62" t="s">
        <v>11</v>
      </c>
      <c r="B17" s="62" t="s">
        <v>566</v>
      </c>
      <c r="C17" s="63"/>
      <c r="D17" s="66"/>
      <c r="E17" s="66">
        <f t="shared" si="0"/>
        <v>0</v>
      </c>
    </row>
    <row r="18" spans="1:5" hidden="1" x14ac:dyDescent="0.3">
      <c r="A18" s="62" t="s">
        <v>12</v>
      </c>
      <c r="B18" s="62" t="s">
        <v>563</v>
      </c>
      <c r="C18" s="63"/>
      <c r="D18" s="66"/>
      <c r="E18" s="66">
        <f t="shared" si="0"/>
        <v>0</v>
      </c>
    </row>
    <row r="19" spans="1:5" hidden="1" x14ac:dyDescent="0.3">
      <c r="A19" s="62" t="s">
        <v>13</v>
      </c>
      <c r="B19" s="62" t="s">
        <v>563</v>
      </c>
      <c r="C19" s="63"/>
      <c r="D19" s="66"/>
      <c r="E19" s="66">
        <f t="shared" si="0"/>
        <v>0</v>
      </c>
    </row>
    <row r="20" spans="1:5" hidden="1" x14ac:dyDescent="0.3">
      <c r="A20" s="62" t="s">
        <v>14</v>
      </c>
      <c r="B20" s="62" t="s">
        <v>566</v>
      </c>
      <c r="C20" s="63"/>
      <c r="D20" s="66"/>
      <c r="E20" s="66">
        <f t="shared" si="0"/>
        <v>0</v>
      </c>
    </row>
    <row r="21" spans="1:5" x14ac:dyDescent="0.3">
      <c r="A21" s="62" t="s">
        <v>15</v>
      </c>
      <c r="B21" s="62" t="s">
        <v>563</v>
      </c>
      <c r="C21" s="63">
        <v>365</v>
      </c>
      <c r="D21" s="66">
        <v>16000</v>
      </c>
      <c r="E21" s="66">
        <f t="shared" si="0"/>
        <v>5840000</v>
      </c>
    </row>
    <row r="22" spans="1:5" hidden="1" x14ac:dyDescent="0.3">
      <c r="A22" s="62" t="s">
        <v>15</v>
      </c>
      <c r="B22" s="62" t="s">
        <v>566</v>
      </c>
      <c r="C22" s="63"/>
      <c r="D22" s="66"/>
      <c r="E22" s="66">
        <f t="shared" si="0"/>
        <v>0</v>
      </c>
    </row>
    <row r="23" spans="1:5" x14ac:dyDescent="0.3">
      <c r="A23" s="62" t="s">
        <v>16</v>
      </c>
      <c r="B23" s="62" t="s">
        <v>563</v>
      </c>
      <c r="C23" s="63">
        <v>5</v>
      </c>
      <c r="D23" s="66">
        <v>17000</v>
      </c>
      <c r="E23" s="66">
        <f t="shared" si="0"/>
        <v>85000</v>
      </c>
    </row>
    <row r="24" spans="1:5" hidden="1" x14ac:dyDescent="0.3">
      <c r="A24" s="62" t="s">
        <v>18</v>
      </c>
      <c r="B24" s="62" t="s">
        <v>563</v>
      </c>
      <c r="C24" s="63"/>
      <c r="D24" s="66"/>
      <c r="E24" s="66">
        <f t="shared" si="0"/>
        <v>0</v>
      </c>
    </row>
    <row r="25" spans="1:5" hidden="1" x14ac:dyDescent="0.3">
      <c r="A25" s="62" t="s">
        <v>19</v>
      </c>
      <c r="B25" s="62" t="s">
        <v>563</v>
      </c>
      <c r="C25" s="63"/>
      <c r="D25" s="66"/>
      <c r="E25" s="66">
        <f t="shared" si="0"/>
        <v>0</v>
      </c>
    </row>
    <row r="26" spans="1:5" hidden="1" x14ac:dyDescent="0.3">
      <c r="A26" s="62" t="s">
        <v>19</v>
      </c>
      <c r="B26" s="62" t="s">
        <v>564</v>
      </c>
      <c r="C26" s="63"/>
      <c r="D26" s="66"/>
      <c r="E26" s="66">
        <f t="shared" si="0"/>
        <v>0</v>
      </c>
    </row>
    <row r="27" spans="1:5" hidden="1" x14ac:dyDescent="0.3">
      <c r="A27" s="62" t="s">
        <v>21</v>
      </c>
      <c r="B27" s="62" t="s">
        <v>563</v>
      </c>
      <c r="C27" s="63"/>
      <c r="D27" s="66"/>
      <c r="E27" s="66">
        <f t="shared" si="0"/>
        <v>0</v>
      </c>
    </row>
    <row r="28" spans="1:5" x14ac:dyDescent="0.3">
      <c r="A28" s="62" t="s">
        <v>22</v>
      </c>
      <c r="B28" s="62" t="s">
        <v>563</v>
      </c>
      <c r="C28" s="63">
        <v>170</v>
      </c>
      <c r="D28" s="66">
        <v>9000</v>
      </c>
      <c r="E28" s="66">
        <f t="shared" si="0"/>
        <v>1530000</v>
      </c>
    </row>
    <row r="29" spans="1:5" x14ac:dyDescent="0.3">
      <c r="A29" s="62" t="s">
        <v>23</v>
      </c>
      <c r="B29" s="62" t="s">
        <v>563</v>
      </c>
      <c r="C29" s="63">
        <v>2034</v>
      </c>
      <c r="D29" s="66">
        <v>6500</v>
      </c>
      <c r="E29" s="66">
        <f t="shared" si="0"/>
        <v>13221000</v>
      </c>
    </row>
    <row r="30" spans="1:5" hidden="1" x14ac:dyDescent="0.3">
      <c r="A30" s="62" t="s">
        <v>24</v>
      </c>
      <c r="B30" s="62" t="s">
        <v>563</v>
      </c>
      <c r="C30" s="63"/>
      <c r="D30" s="66"/>
      <c r="E30" s="66">
        <f t="shared" si="0"/>
        <v>0</v>
      </c>
    </row>
    <row r="31" spans="1:5" x14ac:dyDescent="0.3">
      <c r="A31" s="62" t="s">
        <v>24</v>
      </c>
      <c r="B31" s="62" t="s">
        <v>566</v>
      </c>
      <c r="C31" s="63">
        <v>9</v>
      </c>
      <c r="D31" s="66">
        <v>35000</v>
      </c>
      <c r="E31" s="66">
        <f t="shared" si="0"/>
        <v>315000</v>
      </c>
    </row>
    <row r="32" spans="1:5" hidden="1" x14ac:dyDescent="0.3">
      <c r="A32" s="62" t="s">
        <v>25</v>
      </c>
      <c r="B32" s="62" t="s">
        <v>566</v>
      </c>
      <c r="C32" s="63"/>
      <c r="D32" s="66"/>
      <c r="E32" s="66">
        <f t="shared" si="0"/>
        <v>0</v>
      </c>
    </row>
    <row r="33" spans="1:5" hidden="1" x14ac:dyDescent="0.3">
      <c r="A33" s="62" t="s">
        <v>26</v>
      </c>
      <c r="B33" s="62" t="s">
        <v>566</v>
      </c>
      <c r="C33" s="63"/>
      <c r="D33" s="66"/>
      <c r="E33" s="66">
        <f t="shared" si="0"/>
        <v>0</v>
      </c>
    </row>
    <row r="34" spans="1:5" hidden="1" x14ac:dyDescent="0.3">
      <c r="A34" s="62" t="s">
        <v>26</v>
      </c>
      <c r="B34" s="62" t="s">
        <v>567</v>
      </c>
      <c r="C34" s="63"/>
      <c r="D34" s="66"/>
      <c r="E34" s="66">
        <f t="shared" si="0"/>
        <v>0</v>
      </c>
    </row>
    <row r="35" spans="1:5" hidden="1" x14ac:dyDescent="0.3">
      <c r="A35" s="62" t="s">
        <v>27</v>
      </c>
      <c r="B35" s="62" t="s">
        <v>563</v>
      </c>
      <c r="C35" s="64"/>
      <c r="D35" s="68"/>
      <c r="E35" s="66">
        <f t="shared" si="0"/>
        <v>0</v>
      </c>
    </row>
    <row r="36" spans="1:5" hidden="1" x14ac:dyDescent="0.3">
      <c r="A36" s="62" t="s">
        <v>28</v>
      </c>
      <c r="B36" s="62" t="s">
        <v>568</v>
      </c>
      <c r="C36" s="64"/>
      <c r="D36" s="68"/>
      <c r="E36" s="66">
        <f t="shared" si="0"/>
        <v>0</v>
      </c>
    </row>
    <row r="37" spans="1:5" hidden="1" x14ac:dyDescent="0.3">
      <c r="A37" s="62" t="s">
        <v>28</v>
      </c>
      <c r="B37" s="62" t="s">
        <v>563</v>
      </c>
      <c r="C37" s="64"/>
      <c r="D37" s="68"/>
      <c r="E37" s="66">
        <f t="shared" si="0"/>
        <v>0</v>
      </c>
    </row>
    <row r="38" spans="1:5" hidden="1" x14ac:dyDescent="0.3">
      <c r="A38" s="62" t="s">
        <v>29</v>
      </c>
      <c r="B38" s="62" t="s">
        <v>568</v>
      </c>
      <c r="C38" s="64"/>
      <c r="D38" s="68"/>
      <c r="E38" s="66">
        <f t="shared" si="0"/>
        <v>0</v>
      </c>
    </row>
    <row r="39" spans="1:5" x14ac:dyDescent="0.3">
      <c r="A39" s="62" t="s">
        <v>29</v>
      </c>
      <c r="B39" s="62" t="s">
        <v>563</v>
      </c>
      <c r="C39" s="64">
        <v>70</v>
      </c>
      <c r="D39" s="68">
        <v>35000</v>
      </c>
      <c r="E39" s="66">
        <f t="shared" si="0"/>
        <v>2450000</v>
      </c>
    </row>
    <row r="40" spans="1:5" hidden="1" x14ac:dyDescent="0.3">
      <c r="A40" s="62" t="s">
        <v>30</v>
      </c>
      <c r="B40" s="62" t="s">
        <v>563</v>
      </c>
      <c r="C40" s="64"/>
      <c r="D40" s="68"/>
      <c r="E40" s="66">
        <f t="shared" si="0"/>
        <v>0</v>
      </c>
    </row>
    <row r="41" spans="1:5" hidden="1" x14ac:dyDescent="0.3">
      <c r="A41" s="62" t="s">
        <v>30</v>
      </c>
      <c r="B41" s="62" t="s">
        <v>566</v>
      </c>
      <c r="C41" s="64"/>
      <c r="D41" s="68"/>
      <c r="E41" s="66">
        <f t="shared" si="0"/>
        <v>0</v>
      </c>
    </row>
    <row r="42" spans="1:5" x14ac:dyDescent="0.3">
      <c r="A42" s="62" t="s">
        <v>31</v>
      </c>
      <c r="B42" s="62" t="s">
        <v>563</v>
      </c>
      <c r="C42" s="64">
        <v>2</v>
      </c>
      <c r="D42" s="68">
        <v>14000</v>
      </c>
      <c r="E42" s="66">
        <f t="shared" si="0"/>
        <v>28000</v>
      </c>
    </row>
    <row r="43" spans="1:5" hidden="1" x14ac:dyDescent="0.3">
      <c r="A43" s="62" t="s">
        <v>32</v>
      </c>
      <c r="B43" s="62" t="s">
        <v>566</v>
      </c>
      <c r="C43" s="64"/>
      <c r="D43" s="68"/>
      <c r="E43" s="66">
        <f t="shared" si="0"/>
        <v>0</v>
      </c>
    </row>
    <row r="44" spans="1:5" hidden="1" x14ac:dyDescent="0.3">
      <c r="A44" s="62" t="s">
        <v>33</v>
      </c>
      <c r="B44" s="62" t="s">
        <v>566</v>
      </c>
      <c r="C44" s="64"/>
      <c r="D44" s="68"/>
      <c r="E44" s="66">
        <f t="shared" si="0"/>
        <v>0</v>
      </c>
    </row>
    <row r="45" spans="1:5" hidden="1" x14ac:dyDescent="0.3">
      <c r="A45" s="62" t="s">
        <v>34</v>
      </c>
      <c r="B45" s="62" t="s">
        <v>566</v>
      </c>
      <c r="C45" s="64"/>
      <c r="D45" s="68"/>
      <c r="E45" s="66">
        <f t="shared" si="0"/>
        <v>0</v>
      </c>
    </row>
    <row r="46" spans="1:5" hidden="1" x14ac:dyDescent="0.3">
      <c r="A46" s="62" t="s">
        <v>36</v>
      </c>
      <c r="B46" s="62" t="s">
        <v>571</v>
      </c>
      <c r="C46" s="64"/>
      <c r="D46" s="68"/>
      <c r="E46" s="66">
        <f t="shared" si="0"/>
        <v>0</v>
      </c>
    </row>
    <row r="47" spans="1:5" hidden="1" x14ac:dyDescent="0.3">
      <c r="A47" s="62" t="s">
        <v>37</v>
      </c>
      <c r="B47" s="62" t="s">
        <v>563</v>
      </c>
      <c r="C47" s="64"/>
      <c r="D47" s="68"/>
      <c r="E47" s="66">
        <f t="shared" si="0"/>
        <v>0</v>
      </c>
    </row>
    <row r="48" spans="1:5" hidden="1" x14ac:dyDescent="0.3">
      <c r="A48" s="62" t="s">
        <v>38</v>
      </c>
      <c r="B48" s="62" t="s">
        <v>563</v>
      </c>
      <c r="C48" s="64"/>
      <c r="D48" s="68"/>
      <c r="E48" s="66">
        <f t="shared" si="0"/>
        <v>0</v>
      </c>
    </row>
    <row r="49" spans="1:5" hidden="1" x14ac:dyDescent="0.3">
      <c r="A49" s="62" t="s">
        <v>39</v>
      </c>
      <c r="B49" s="62" t="s">
        <v>568</v>
      </c>
      <c r="C49" s="64"/>
      <c r="D49" s="68"/>
      <c r="E49" s="66">
        <f t="shared" si="0"/>
        <v>0</v>
      </c>
    </row>
    <row r="50" spans="1:5" hidden="1" x14ac:dyDescent="0.3">
      <c r="A50" s="62" t="s">
        <v>40</v>
      </c>
      <c r="B50" s="62" t="s">
        <v>563</v>
      </c>
      <c r="C50" s="64"/>
      <c r="D50" s="68"/>
      <c r="E50" s="66">
        <f t="shared" si="0"/>
        <v>0</v>
      </c>
    </row>
    <row r="51" spans="1:5" hidden="1" x14ac:dyDescent="0.3">
      <c r="A51" s="62" t="s">
        <v>41</v>
      </c>
      <c r="B51" s="62" t="s">
        <v>568</v>
      </c>
      <c r="C51" s="64"/>
      <c r="D51" s="68"/>
      <c r="E51" s="66">
        <f t="shared" si="0"/>
        <v>0</v>
      </c>
    </row>
    <row r="52" spans="1:5" hidden="1" x14ac:dyDescent="0.3">
      <c r="A52" s="62" t="s">
        <v>42</v>
      </c>
      <c r="B52" s="62" t="s">
        <v>563</v>
      </c>
      <c r="C52" s="64"/>
      <c r="D52" s="68"/>
      <c r="E52" s="66">
        <f t="shared" si="0"/>
        <v>0</v>
      </c>
    </row>
    <row r="53" spans="1:5" hidden="1" x14ac:dyDescent="0.3">
      <c r="A53" s="62" t="s">
        <v>43</v>
      </c>
      <c r="B53" s="62" t="s">
        <v>566</v>
      </c>
      <c r="C53" s="64"/>
      <c r="D53" s="68"/>
      <c r="E53" s="66">
        <f t="shared" si="0"/>
        <v>0</v>
      </c>
    </row>
    <row r="54" spans="1:5" hidden="1" x14ac:dyDescent="0.3">
      <c r="A54" s="62" t="s">
        <v>45</v>
      </c>
      <c r="B54" s="62" t="s">
        <v>563</v>
      </c>
      <c r="C54" s="64"/>
      <c r="D54" s="68"/>
      <c r="E54" s="66">
        <f t="shared" si="0"/>
        <v>0</v>
      </c>
    </row>
    <row r="55" spans="1:5" hidden="1" x14ac:dyDescent="0.3">
      <c r="A55" s="62" t="s">
        <v>46</v>
      </c>
      <c r="B55" s="62" t="s">
        <v>568</v>
      </c>
      <c r="C55" s="64"/>
      <c r="D55" s="68"/>
      <c r="E55" s="66">
        <f t="shared" si="0"/>
        <v>0</v>
      </c>
    </row>
    <row r="56" spans="1:5" hidden="1" x14ac:dyDescent="0.3">
      <c r="A56" s="62" t="s">
        <v>48</v>
      </c>
      <c r="B56" s="62" t="s">
        <v>570</v>
      </c>
      <c r="C56" s="64"/>
      <c r="D56" s="68"/>
      <c r="E56" s="66">
        <f t="shared" si="0"/>
        <v>0</v>
      </c>
    </row>
    <row r="57" spans="1:5" x14ac:dyDescent="0.3">
      <c r="A57" s="62" t="s">
        <v>49</v>
      </c>
      <c r="B57" s="62" t="s">
        <v>563</v>
      </c>
      <c r="C57" s="64">
        <v>30</v>
      </c>
      <c r="D57" s="68">
        <v>11000</v>
      </c>
      <c r="E57" s="66">
        <f t="shared" si="0"/>
        <v>330000</v>
      </c>
    </row>
    <row r="58" spans="1:5" x14ac:dyDescent="0.3">
      <c r="A58" s="62" t="s">
        <v>50</v>
      </c>
      <c r="B58" s="62" t="s">
        <v>563</v>
      </c>
      <c r="C58" s="64">
        <v>490</v>
      </c>
      <c r="D58" s="68">
        <v>7000</v>
      </c>
      <c r="E58" s="66">
        <f t="shared" si="0"/>
        <v>3430000</v>
      </c>
    </row>
    <row r="59" spans="1:5" x14ac:dyDescent="0.3">
      <c r="A59" s="62" t="s">
        <v>51</v>
      </c>
      <c r="B59" s="62" t="s">
        <v>563</v>
      </c>
      <c r="C59" s="64">
        <v>190</v>
      </c>
      <c r="D59" s="68">
        <v>22000</v>
      </c>
      <c r="E59" s="66">
        <f t="shared" si="0"/>
        <v>4180000</v>
      </c>
    </row>
    <row r="60" spans="1:5" hidden="1" x14ac:dyDescent="0.3">
      <c r="A60" s="62" t="s">
        <v>51</v>
      </c>
      <c r="B60" s="62" t="s">
        <v>570</v>
      </c>
      <c r="C60" s="64"/>
      <c r="D60" s="68"/>
      <c r="E60" s="66">
        <f t="shared" si="0"/>
        <v>0</v>
      </c>
    </row>
    <row r="61" spans="1:5" x14ac:dyDescent="0.3">
      <c r="A61" s="62" t="s">
        <v>52</v>
      </c>
      <c r="B61" s="62" t="s">
        <v>563</v>
      </c>
      <c r="C61" s="64">
        <v>48</v>
      </c>
      <c r="D61" s="68">
        <v>10000</v>
      </c>
      <c r="E61" s="66">
        <f t="shared" si="0"/>
        <v>480000</v>
      </c>
    </row>
    <row r="62" spans="1:5" hidden="1" x14ac:dyDescent="0.3">
      <c r="A62" s="62" t="s">
        <v>52</v>
      </c>
      <c r="B62" s="62" t="s">
        <v>570</v>
      </c>
      <c r="C62" s="64"/>
      <c r="D62" s="68"/>
      <c r="E62" s="66">
        <f t="shared" si="0"/>
        <v>0</v>
      </c>
    </row>
    <row r="63" spans="1:5" x14ac:dyDescent="0.3">
      <c r="A63" s="62" t="s">
        <v>53</v>
      </c>
      <c r="B63" s="62" t="s">
        <v>563</v>
      </c>
      <c r="C63" s="64">
        <v>174</v>
      </c>
      <c r="D63" s="111">
        <v>20000</v>
      </c>
      <c r="E63" s="66">
        <f t="shared" si="0"/>
        <v>3480000</v>
      </c>
    </row>
    <row r="64" spans="1:5" hidden="1" x14ac:dyDescent="0.3">
      <c r="A64" s="62" t="s">
        <v>53</v>
      </c>
      <c r="B64" s="62" t="s">
        <v>564</v>
      </c>
      <c r="C64" s="64"/>
      <c r="D64" s="68"/>
      <c r="E64" s="66">
        <f t="shared" si="0"/>
        <v>0</v>
      </c>
    </row>
    <row r="65" spans="1:5" hidden="1" x14ac:dyDescent="0.3">
      <c r="A65" s="62" t="s">
        <v>54</v>
      </c>
      <c r="B65" s="62" t="s">
        <v>564</v>
      </c>
      <c r="C65" s="64"/>
      <c r="D65" s="68"/>
      <c r="E65" s="66">
        <f t="shared" si="0"/>
        <v>0</v>
      </c>
    </row>
    <row r="66" spans="1:5" hidden="1" x14ac:dyDescent="0.3">
      <c r="A66" s="62" t="s">
        <v>55</v>
      </c>
      <c r="B66" s="62" t="s">
        <v>564</v>
      </c>
      <c r="C66" s="64"/>
      <c r="D66" s="68"/>
      <c r="E66" s="66">
        <f t="shared" si="0"/>
        <v>0</v>
      </c>
    </row>
    <row r="67" spans="1:5" x14ac:dyDescent="0.3">
      <c r="A67" s="62" t="s">
        <v>56</v>
      </c>
      <c r="B67" s="62" t="s">
        <v>565</v>
      </c>
      <c r="C67" s="64">
        <v>168</v>
      </c>
      <c r="D67" s="111">
        <v>9900</v>
      </c>
      <c r="E67" s="66">
        <f t="shared" si="0"/>
        <v>1663200</v>
      </c>
    </row>
    <row r="68" spans="1:5" hidden="1" x14ac:dyDescent="0.3">
      <c r="A68" s="62" t="s">
        <v>57</v>
      </c>
      <c r="B68" s="62" t="s">
        <v>565</v>
      </c>
      <c r="C68" s="64"/>
      <c r="D68" s="68"/>
      <c r="E68" s="66">
        <f t="shared" ref="E68:E133" si="1">C68*D68</f>
        <v>0</v>
      </c>
    </row>
    <row r="69" spans="1:5" x14ac:dyDescent="0.3">
      <c r="A69" s="62" t="s">
        <v>58</v>
      </c>
      <c r="B69" s="62" t="s">
        <v>563</v>
      </c>
      <c r="C69" s="64">
        <v>11.25</v>
      </c>
      <c r="D69" s="68">
        <v>7000</v>
      </c>
      <c r="E69" s="66">
        <f t="shared" si="1"/>
        <v>78750</v>
      </c>
    </row>
    <row r="70" spans="1:5" x14ac:dyDescent="0.3">
      <c r="A70" s="62" t="s">
        <v>60</v>
      </c>
      <c r="B70" s="62" t="s">
        <v>563</v>
      </c>
      <c r="C70" s="64">
        <v>80</v>
      </c>
      <c r="D70" s="68">
        <v>17000</v>
      </c>
      <c r="E70" s="66">
        <f t="shared" si="1"/>
        <v>1360000</v>
      </c>
    </row>
    <row r="71" spans="1:5" hidden="1" x14ac:dyDescent="0.3">
      <c r="A71" s="62" t="s">
        <v>60</v>
      </c>
      <c r="B71" s="62" t="s">
        <v>566</v>
      </c>
      <c r="C71" s="64"/>
      <c r="D71" s="68"/>
      <c r="E71" s="66">
        <f t="shared" si="1"/>
        <v>0</v>
      </c>
    </row>
    <row r="72" spans="1:5" hidden="1" x14ac:dyDescent="0.3">
      <c r="A72" s="62" t="s">
        <v>60</v>
      </c>
      <c r="B72" s="62" t="s">
        <v>564</v>
      </c>
      <c r="C72" s="64"/>
      <c r="D72" s="68"/>
      <c r="E72" s="66">
        <f t="shared" si="1"/>
        <v>0</v>
      </c>
    </row>
    <row r="73" spans="1:5" x14ac:dyDescent="0.3">
      <c r="A73" s="62" t="s">
        <v>61</v>
      </c>
      <c r="B73" s="62" t="s">
        <v>566</v>
      </c>
      <c r="C73" s="64">
        <v>58</v>
      </c>
      <c r="D73" s="68">
        <v>15000</v>
      </c>
      <c r="E73" s="66">
        <f t="shared" si="1"/>
        <v>870000</v>
      </c>
    </row>
    <row r="74" spans="1:5" hidden="1" x14ac:dyDescent="0.3">
      <c r="A74" s="62" t="s">
        <v>62</v>
      </c>
      <c r="B74" s="62" t="s">
        <v>563</v>
      </c>
      <c r="C74" s="64"/>
      <c r="D74" s="68"/>
      <c r="E74" s="66">
        <f t="shared" si="1"/>
        <v>0</v>
      </c>
    </row>
    <row r="75" spans="1:5" hidden="1" x14ac:dyDescent="0.3">
      <c r="A75" s="62" t="s">
        <v>63</v>
      </c>
      <c r="B75" s="62" t="s">
        <v>564</v>
      </c>
      <c r="C75" s="64"/>
      <c r="D75" s="68"/>
      <c r="E75" s="66">
        <f t="shared" si="1"/>
        <v>0</v>
      </c>
    </row>
    <row r="76" spans="1:5" hidden="1" x14ac:dyDescent="0.3">
      <c r="A76" s="62" t="s">
        <v>65</v>
      </c>
      <c r="B76" s="62" t="s">
        <v>563</v>
      </c>
      <c r="C76" s="64"/>
      <c r="D76" s="68"/>
      <c r="E76" s="66">
        <f t="shared" si="1"/>
        <v>0</v>
      </c>
    </row>
    <row r="77" spans="1:5" hidden="1" x14ac:dyDescent="0.3">
      <c r="A77" s="62" t="s">
        <v>66</v>
      </c>
      <c r="B77" s="62" t="s">
        <v>566</v>
      </c>
      <c r="C77" s="64"/>
      <c r="D77" s="68"/>
      <c r="E77" s="66">
        <f t="shared" si="1"/>
        <v>0</v>
      </c>
    </row>
    <row r="78" spans="1:5" x14ac:dyDescent="0.3">
      <c r="A78" s="62" t="s">
        <v>67</v>
      </c>
      <c r="B78" s="62" t="s">
        <v>566</v>
      </c>
      <c r="C78" s="64">
        <v>4</v>
      </c>
      <c r="D78" s="68">
        <v>11000</v>
      </c>
      <c r="E78" s="66">
        <f t="shared" si="1"/>
        <v>44000</v>
      </c>
    </row>
    <row r="79" spans="1:5" hidden="1" x14ac:dyDescent="0.3">
      <c r="A79" s="62" t="s">
        <v>68</v>
      </c>
      <c r="B79" s="62" t="s">
        <v>566</v>
      </c>
      <c r="C79" s="64"/>
      <c r="D79" s="68"/>
      <c r="E79" s="66">
        <f t="shared" si="1"/>
        <v>0</v>
      </c>
    </row>
    <row r="80" spans="1:5" hidden="1" x14ac:dyDescent="0.3">
      <c r="A80" s="62" t="s">
        <v>69</v>
      </c>
      <c r="B80" s="62" t="s">
        <v>563</v>
      </c>
      <c r="C80" s="64"/>
      <c r="D80" s="68"/>
      <c r="E80" s="66">
        <f t="shared" si="1"/>
        <v>0</v>
      </c>
    </row>
    <row r="81" spans="1:5" hidden="1" x14ac:dyDescent="0.3">
      <c r="A81" s="62" t="s">
        <v>70</v>
      </c>
      <c r="B81" s="62" t="s">
        <v>563</v>
      </c>
      <c r="C81" s="64"/>
      <c r="D81" s="68"/>
      <c r="E81" s="66">
        <f t="shared" si="1"/>
        <v>0</v>
      </c>
    </row>
    <row r="82" spans="1:5" x14ac:dyDescent="0.3">
      <c r="A82" s="62" t="s">
        <v>72</v>
      </c>
      <c r="B82" s="62" t="s">
        <v>564</v>
      </c>
      <c r="C82" s="64">
        <v>112</v>
      </c>
      <c r="D82" s="68">
        <v>10000</v>
      </c>
      <c r="E82" s="66">
        <f t="shared" si="1"/>
        <v>1120000</v>
      </c>
    </row>
    <row r="83" spans="1:5" hidden="1" x14ac:dyDescent="0.3">
      <c r="A83" s="62" t="s">
        <v>73</v>
      </c>
      <c r="B83" s="62" t="s">
        <v>563</v>
      </c>
      <c r="C83" s="64"/>
      <c r="D83" s="68"/>
      <c r="E83" s="66">
        <f t="shared" si="1"/>
        <v>0</v>
      </c>
    </row>
    <row r="84" spans="1:5" hidden="1" x14ac:dyDescent="0.3">
      <c r="A84" s="62" t="s">
        <v>73</v>
      </c>
      <c r="B84" s="62" t="s">
        <v>566</v>
      </c>
      <c r="C84" s="64"/>
      <c r="D84" s="68"/>
      <c r="E84" s="66">
        <f t="shared" si="1"/>
        <v>0</v>
      </c>
    </row>
    <row r="85" spans="1:5" hidden="1" x14ac:dyDescent="0.3">
      <c r="A85" s="62" t="s">
        <v>74</v>
      </c>
      <c r="B85" s="62" t="s">
        <v>563</v>
      </c>
      <c r="C85" s="64"/>
      <c r="D85" s="68"/>
      <c r="E85" s="66">
        <f t="shared" si="1"/>
        <v>0</v>
      </c>
    </row>
    <row r="86" spans="1:5" hidden="1" x14ac:dyDescent="0.3">
      <c r="A86" s="62" t="s">
        <v>75</v>
      </c>
      <c r="B86" s="62" t="s">
        <v>565</v>
      </c>
      <c r="C86" s="64"/>
      <c r="D86" s="68"/>
      <c r="E86" s="66">
        <f t="shared" si="1"/>
        <v>0</v>
      </c>
    </row>
    <row r="87" spans="1:5" hidden="1" x14ac:dyDescent="0.3">
      <c r="A87" s="62" t="s">
        <v>75</v>
      </c>
      <c r="B87" s="62" t="s">
        <v>563</v>
      </c>
      <c r="C87" s="64"/>
      <c r="D87" s="68"/>
      <c r="E87" s="66">
        <f t="shared" si="1"/>
        <v>0</v>
      </c>
    </row>
    <row r="88" spans="1:5" x14ac:dyDescent="0.3">
      <c r="A88" s="62" t="s">
        <v>76</v>
      </c>
      <c r="B88" s="62" t="s">
        <v>563</v>
      </c>
      <c r="C88" s="64">
        <v>220</v>
      </c>
      <c r="D88" s="68">
        <v>30000</v>
      </c>
      <c r="E88" s="66">
        <f t="shared" si="1"/>
        <v>6600000</v>
      </c>
    </row>
    <row r="89" spans="1:5" hidden="1" x14ac:dyDescent="0.3">
      <c r="A89" s="62" t="s">
        <v>76</v>
      </c>
      <c r="B89" s="62" t="s">
        <v>570</v>
      </c>
      <c r="C89" s="64"/>
      <c r="D89" s="68"/>
      <c r="E89" s="66">
        <f t="shared" si="1"/>
        <v>0</v>
      </c>
    </row>
    <row r="90" spans="1:5" hidden="1" x14ac:dyDescent="0.3">
      <c r="A90" s="62" t="s">
        <v>77</v>
      </c>
      <c r="B90" s="62" t="s">
        <v>565</v>
      </c>
      <c r="C90" s="64"/>
      <c r="D90" s="68"/>
      <c r="E90" s="66">
        <f t="shared" si="1"/>
        <v>0</v>
      </c>
    </row>
    <row r="91" spans="1:5" x14ac:dyDescent="0.3">
      <c r="A91" s="62" t="s">
        <v>78</v>
      </c>
      <c r="B91" s="62" t="s">
        <v>563</v>
      </c>
      <c r="C91" s="64">
        <v>330</v>
      </c>
      <c r="D91" s="68">
        <v>20000</v>
      </c>
      <c r="E91" s="66">
        <f t="shared" si="1"/>
        <v>6600000</v>
      </c>
    </row>
    <row r="92" spans="1:5" hidden="1" x14ac:dyDescent="0.3">
      <c r="A92" s="62" t="s">
        <v>78</v>
      </c>
      <c r="B92" s="62" t="s">
        <v>570</v>
      </c>
      <c r="C92" s="64"/>
      <c r="D92" s="68"/>
      <c r="E92" s="66">
        <f t="shared" si="1"/>
        <v>0</v>
      </c>
    </row>
    <row r="93" spans="1:5" x14ac:dyDescent="0.3">
      <c r="A93" s="62" t="s">
        <v>79</v>
      </c>
      <c r="B93" s="62" t="s">
        <v>563</v>
      </c>
      <c r="C93" s="64">
        <v>115</v>
      </c>
      <c r="D93" s="68">
        <v>22000</v>
      </c>
      <c r="E93" s="66">
        <f t="shared" si="1"/>
        <v>2530000</v>
      </c>
    </row>
    <row r="94" spans="1:5" hidden="1" x14ac:dyDescent="0.3">
      <c r="A94" s="62" t="s">
        <v>79</v>
      </c>
      <c r="B94" s="62" t="s">
        <v>570</v>
      </c>
      <c r="C94" s="64"/>
      <c r="D94" s="68"/>
      <c r="E94" s="66">
        <f t="shared" si="1"/>
        <v>0</v>
      </c>
    </row>
    <row r="95" spans="1:5" hidden="1" x14ac:dyDescent="0.3">
      <c r="A95" s="62" t="s">
        <v>80</v>
      </c>
      <c r="B95" s="62" t="s">
        <v>566</v>
      </c>
      <c r="C95" s="64"/>
      <c r="D95" s="68"/>
      <c r="E95" s="66">
        <f t="shared" si="1"/>
        <v>0</v>
      </c>
    </row>
    <row r="96" spans="1:5" x14ac:dyDescent="0.3">
      <c r="A96" s="62" t="s">
        <v>82</v>
      </c>
      <c r="B96" s="62" t="s">
        <v>563</v>
      </c>
      <c r="C96" s="64">
        <v>95</v>
      </c>
      <c r="D96" s="68">
        <v>10000</v>
      </c>
      <c r="E96" s="66">
        <f t="shared" si="1"/>
        <v>950000</v>
      </c>
    </row>
    <row r="97" spans="1:5" hidden="1" x14ac:dyDescent="0.3">
      <c r="A97" s="62" t="s">
        <v>83</v>
      </c>
      <c r="B97" s="62" t="s">
        <v>563</v>
      </c>
      <c r="C97" s="64"/>
      <c r="D97" s="68"/>
      <c r="E97" s="66">
        <f t="shared" si="1"/>
        <v>0</v>
      </c>
    </row>
    <row r="98" spans="1:5" hidden="1" x14ac:dyDescent="0.3">
      <c r="A98" s="62" t="s">
        <v>85</v>
      </c>
      <c r="B98" s="62" t="s">
        <v>563</v>
      </c>
      <c r="C98" s="64"/>
      <c r="D98" s="68"/>
      <c r="E98" s="66">
        <f t="shared" si="1"/>
        <v>0</v>
      </c>
    </row>
    <row r="99" spans="1:5" hidden="1" x14ac:dyDescent="0.3">
      <c r="A99" s="62" t="s">
        <v>86</v>
      </c>
      <c r="B99" s="62" t="s">
        <v>565</v>
      </c>
      <c r="C99" s="64"/>
      <c r="D99" s="68"/>
      <c r="E99" s="66">
        <f t="shared" si="1"/>
        <v>0</v>
      </c>
    </row>
    <row r="100" spans="1:5" hidden="1" x14ac:dyDescent="0.3">
      <c r="A100" s="62" t="s">
        <v>87</v>
      </c>
      <c r="B100" s="62" t="s">
        <v>563</v>
      </c>
      <c r="C100" s="64"/>
      <c r="D100" s="68"/>
      <c r="E100" s="66">
        <f t="shared" si="1"/>
        <v>0</v>
      </c>
    </row>
    <row r="101" spans="1:5" hidden="1" x14ac:dyDescent="0.3">
      <c r="A101" s="62" t="s">
        <v>88</v>
      </c>
      <c r="B101" s="62" t="s">
        <v>565</v>
      </c>
      <c r="C101" s="64"/>
      <c r="D101" s="68"/>
      <c r="E101" s="66">
        <f t="shared" si="1"/>
        <v>0</v>
      </c>
    </row>
    <row r="102" spans="1:5" x14ac:dyDescent="0.3">
      <c r="A102" s="62" t="s">
        <v>92</v>
      </c>
      <c r="B102" s="62" t="s">
        <v>563</v>
      </c>
      <c r="C102" s="64">
        <v>46</v>
      </c>
      <c r="D102" s="68">
        <v>15000</v>
      </c>
      <c r="E102" s="66">
        <f t="shared" si="1"/>
        <v>690000</v>
      </c>
    </row>
    <row r="103" spans="1:5" hidden="1" x14ac:dyDescent="0.3">
      <c r="A103" s="62" t="s">
        <v>93</v>
      </c>
      <c r="B103" s="62" t="s">
        <v>563</v>
      </c>
      <c r="C103" s="64"/>
      <c r="D103" s="68"/>
      <c r="E103" s="66">
        <f t="shared" si="1"/>
        <v>0</v>
      </c>
    </row>
    <row r="104" spans="1:5" hidden="1" x14ac:dyDescent="0.3">
      <c r="A104" s="62" t="s">
        <v>94</v>
      </c>
      <c r="B104" s="62" t="s">
        <v>563</v>
      </c>
      <c r="C104" s="64"/>
      <c r="D104" s="68"/>
      <c r="E104" s="66">
        <f t="shared" si="1"/>
        <v>0</v>
      </c>
    </row>
    <row r="105" spans="1:5" hidden="1" x14ac:dyDescent="0.3">
      <c r="A105" s="62" t="s">
        <v>96</v>
      </c>
      <c r="B105" s="62" t="s">
        <v>563</v>
      </c>
      <c r="C105" s="64"/>
      <c r="D105" s="68"/>
      <c r="E105" s="66">
        <f t="shared" si="1"/>
        <v>0</v>
      </c>
    </row>
    <row r="106" spans="1:5" hidden="1" x14ac:dyDescent="0.3">
      <c r="A106" s="62" t="s">
        <v>97</v>
      </c>
      <c r="B106" s="62" t="s">
        <v>564</v>
      </c>
      <c r="C106" s="64"/>
      <c r="D106" s="68"/>
      <c r="E106" s="66">
        <f t="shared" si="1"/>
        <v>0</v>
      </c>
    </row>
    <row r="107" spans="1:5" hidden="1" x14ac:dyDescent="0.3">
      <c r="A107" s="62" t="s">
        <v>98</v>
      </c>
      <c r="B107" s="62" t="s">
        <v>566</v>
      </c>
      <c r="C107" s="64"/>
      <c r="D107" s="68"/>
      <c r="E107" s="66">
        <f t="shared" si="1"/>
        <v>0</v>
      </c>
    </row>
    <row r="108" spans="1:5" hidden="1" x14ac:dyDescent="0.3">
      <c r="A108" s="62" t="s">
        <v>101</v>
      </c>
      <c r="B108" s="62" t="s">
        <v>563</v>
      </c>
      <c r="C108" s="64"/>
      <c r="D108" s="68"/>
      <c r="E108" s="66">
        <f t="shared" si="1"/>
        <v>0</v>
      </c>
    </row>
    <row r="109" spans="1:5" x14ac:dyDescent="0.3">
      <c r="A109" s="62" t="s">
        <v>102</v>
      </c>
      <c r="B109" s="62" t="s">
        <v>563</v>
      </c>
      <c r="C109" s="64">
        <v>520</v>
      </c>
      <c r="D109" s="68">
        <v>26000</v>
      </c>
      <c r="E109" s="66">
        <f t="shared" si="1"/>
        <v>13520000</v>
      </c>
    </row>
    <row r="110" spans="1:5" x14ac:dyDescent="0.3">
      <c r="A110" s="62" t="s">
        <v>103</v>
      </c>
      <c r="B110" s="62" t="s">
        <v>563</v>
      </c>
      <c r="C110" s="67">
        <v>9.5</v>
      </c>
      <c r="D110" s="68">
        <v>33000</v>
      </c>
      <c r="E110" s="66">
        <f t="shared" si="1"/>
        <v>313500</v>
      </c>
    </row>
    <row r="111" spans="1:5" hidden="1" x14ac:dyDescent="0.3">
      <c r="A111" s="62" t="s">
        <v>573</v>
      </c>
      <c r="B111" s="62" t="s">
        <v>563</v>
      </c>
      <c r="C111" s="64"/>
      <c r="D111" s="68"/>
      <c r="E111" s="66">
        <f t="shared" si="1"/>
        <v>0</v>
      </c>
    </row>
    <row r="112" spans="1:5" hidden="1" x14ac:dyDescent="0.3">
      <c r="A112" s="62" t="s">
        <v>573</v>
      </c>
      <c r="B112" s="62" t="s">
        <v>566</v>
      </c>
      <c r="C112" s="64"/>
      <c r="D112" s="68"/>
      <c r="E112" s="66">
        <f t="shared" si="1"/>
        <v>0</v>
      </c>
    </row>
    <row r="113" spans="1:5" hidden="1" x14ac:dyDescent="0.3">
      <c r="A113" s="62" t="s">
        <v>560</v>
      </c>
      <c r="B113" s="62" t="s">
        <v>563</v>
      </c>
      <c r="C113" s="64"/>
      <c r="D113" s="68"/>
      <c r="E113" s="66">
        <f t="shared" si="1"/>
        <v>0</v>
      </c>
    </row>
    <row r="114" spans="1:5" hidden="1" x14ac:dyDescent="0.3">
      <c r="A114" s="62" t="s">
        <v>560</v>
      </c>
      <c r="B114" s="62" t="s">
        <v>566</v>
      </c>
      <c r="C114" s="64"/>
      <c r="D114" s="68"/>
      <c r="E114" s="66">
        <f t="shared" si="1"/>
        <v>0</v>
      </c>
    </row>
    <row r="115" spans="1:5" hidden="1" x14ac:dyDescent="0.3">
      <c r="A115" s="62" t="s">
        <v>559</v>
      </c>
      <c r="B115" s="62" t="s">
        <v>563</v>
      </c>
      <c r="C115" s="64"/>
      <c r="D115" s="68"/>
      <c r="E115" s="66">
        <f t="shared" si="1"/>
        <v>0</v>
      </c>
    </row>
    <row r="116" spans="1:5" hidden="1" x14ac:dyDescent="0.3">
      <c r="A116" s="62" t="s">
        <v>599</v>
      </c>
      <c r="B116" s="62" t="s">
        <v>566</v>
      </c>
      <c r="C116" s="64"/>
      <c r="D116" s="68"/>
      <c r="E116" s="66">
        <f t="shared" si="1"/>
        <v>0</v>
      </c>
    </row>
    <row r="117" spans="1:5" hidden="1" x14ac:dyDescent="0.3">
      <c r="A117" s="62" t="s">
        <v>600</v>
      </c>
      <c r="B117" s="62" t="s">
        <v>566</v>
      </c>
      <c r="C117" s="64"/>
      <c r="D117" s="68"/>
      <c r="E117" s="66">
        <f t="shared" si="1"/>
        <v>0</v>
      </c>
    </row>
    <row r="118" spans="1:5" hidden="1" x14ac:dyDescent="0.3">
      <c r="A118" s="62" t="s">
        <v>110</v>
      </c>
      <c r="B118" s="62" t="s">
        <v>563</v>
      </c>
      <c r="C118" s="64"/>
      <c r="D118" s="68"/>
      <c r="E118" s="66">
        <f t="shared" si="1"/>
        <v>0</v>
      </c>
    </row>
    <row r="119" spans="1:5" hidden="1" x14ac:dyDescent="0.3">
      <c r="A119" s="62" t="s">
        <v>116</v>
      </c>
      <c r="B119" s="62" t="s">
        <v>563</v>
      </c>
      <c r="C119" s="64"/>
      <c r="D119" s="68"/>
      <c r="E119" s="66">
        <f t="shared" si="1"/>
        <v>0</v>
      </c>
    </row>
    <row r="120" spans="1:5" hidden="1" x14ac:dyDescent="0.3">
      <c r="A120" s="62" t="s">
        <v>116</v>
      </c>
      <c r="B120" s="62" t="s">
        <v>564</v>
      </c>
      <c r="C120" s="64"/>
      <c r="D120" s="68"/>
      <c r="E120" s="66">
        <f t="shared" si="1"/>
        <v>0</v>
      </c>
    </row>
    <row r="121" spans="1:5" x14ac:dyDescent="0.3">
      <c r="A121" s="62" t="s">
        <v>577</v>
      </c>
      <c r="B121" s="62" t="s">
        <v>566</v>
      </c>
      <c r="C121" s="64">
        <v>122</v>
      </c>
      <c r="D121" s="68">
        <v>20000</v>
      </c>
      <c r="E121" s="66">
        <f t="shared" si="1"/>
        <v>2440000</v>
      </c>
    </row>
    <row r="122" spans="1:5" hidden="1" x14ac:dyDescent="0.3">
      <c r="A122" s="62" t="s">
        <v>537</v>
      </c>
      <c r="B122" s="62" t="s">
        <v>563</v>
      </c>
      <c r="C122" s="64"/>
      <c r="D122" s="68"/>
      <c r="E122" s="66">
        <f t="shared" si="1"/>
        <v>0</v>
      </c>
    </row>
    <row r="123" spans="1:5" x14ac:dyDescent="0.3">
      <c r="A123" s="62" t="s">
        <v>524</v>
      </c>
      <c r="B123" s="62" t="s">
        <v>563</v>
      </c>
      <c r="C123" s="64">
        <v>68</v>
      </c>
      <c r="D123" s="68">
        <v>30000</v>
      </c>
      <c r="E123" s="66">
        <f t="shared" si="1"/>
        <v>2040000</v>
      </c>
    </row>
    <row r="124" spans="1:5" hidden="1" x14ac:dyDescent="0.3">
      <c r="A124" s="62" t="s">
        <v>538</v>
      </c>
      <c r="B124" s="62" t="s">
        <v>563</v>
      </c>
      <c r="C124" s="64"/>
      <c r="D124" s="68"/>
      <c r="E124" s="66">
        <f t="shared" si="1"/>
        <v>0</v>
      </c>
    </row>
    <row r="125" spans="1:5" hidden="1" x14ac:dyDescent="0.3">
      <c r="A125" s="62" t="e">
        <v>#N/A</v>
      </c>
      <c r="B125" s="62">
        <v>0</v>
      </c>
      <c r="C125" s="64"/>
      <c r="D125" s="68"/>
      <c r="E125" s="66">
        <f t="shared" si="1"/>
        <v>0</v>
      </c>
    </row>
    <row r="126" spans="1:5" hidden="1" x14ac:dyDescent="0.3">
      <c r="E126" s="66">
        <f t="shared" si="1"/>
        <v>0</v>
      </c>
    </row>
    <row r="127" spans="1:5" x14ac:dyDescent="0.3">
      <c r="E127" s="66">
        <f>SUM(E3:E123)</f>
        <v>105789450</v>
      </c>
    </row>
    <row r="128" spans="1:5" x14ac:dyDescent="0.3">
      <c r="A128" s="108" t="s">
        <v>596</v>
      </c>
      <c r="E128" s="66"/>
    </row>
    <row r="129" spans="1:5" x14ac:dyDescent="0.3">
      <c r="A129" t="s">
        <v>0</v>
      </c>
      <c r="B129" t="s">
        <v>562</v>
      </c>
      <c r="C129" t="s">
        <v>544</v>
      </c>
      <c r="D129" t="s">
        <v>590</v>
      </c>
      <c r="E129" s="66" t="s">
        <v>129</v>
      </c>
    </row>
    <row r="130" spans="1:5" hidden="1" x14ac:dyDescent="0.3">
      <c r="A130" t="s">
        <v>1</v>
      </c>
      <c r="B130" t="s">
        <v>563</v>
      </c>
      <c r="E130" s="66">
        <f t="shared" si="1"/>
        <v>0</v>
      </c>
    </row>
    <row r="131" spans="1:5" hidden="1" x14ac:dyDescent="0.3">
      <c r="A131" t="s">
        <v>5</v>
      </c>
      <c r="B131" t="s">
        <v>563</v>
      </c>
      <c r="E131" s="66">
        <f t="shared" si="1"/>
        <v>0</v>
      </c>
    </row>
    <row r="132" spans="1:5" hidden="1" x14ac:dyDescent="0.3">
      <c r="A132" t="s">
        <v>6</v>
      </c>
      <c r="B132" t="s">
        <v>563</v>
      </c>
      <c r="E132" s="66">
        <f t="shared" si="1"/>
        <v>0</v>
      </c>
    </row>
    <row r="133" spans="1:5" hidden="1" x14ac:dyDescent="0.3">
      <c r="A133" t="s">
        <v>8</v>
      </c>
      <c r="B133" t="s">
        <v>563</v>
      </c>
      <c r="E133" s="66">
        <f t="shared" si="1"/>
        <v>0</v>
      </c>
    </row>
    <row r="134" spans="1:5" hidden="1" x14ac:dyDescent="0.3">
      <c r="A134" t="s">
        <v>119</v>
      </c>
      <c r="B134" t="s">
        <v>566</v>
      </c>
      <c r="E134" s="66">
        <f t="shared" ref="E134:E181" si="2">C134*D134</f>
        <v>0</v>
      </c>
    </row>
    <row r="135" spans="1:5" hidden="1" x14ac:dyDescent="0.3">
      <c r="A135" t="s">
        <v>12</v>
      </c>
      <c r="B135" t="s">
        <v>563</v>
      </c>
      <c r="E135" s="66">
        <f t="shared" si="2"/>
        <v>0</v>
      </c>
    </row>
    <row r="136" spans="1:5" hidden="1" x14ac:dyDescent="0.3">
      <c r="A136" t="s">
        <v>14</v>
      </c>
      <c r="B136" t="s">
        <v>566</v>
      </c>
      <c r="E136" s="66">
        <f t="shared" si="2"/>
        <v>0</v>
      </c>
    </row>
    <row r="137" spans="1:5" hidden="1" x14ac:dyDescent="0.3">
      <c r="A137" t="s">
        <v>15</v>
      </c>
      <c r="B137" t="s">
        <v>563</v>
      </c>
      <c r="E137" s="66">
        <f t="shared" si="2"/>
        <v>0</v>
      </c>
    </row>
    <row r="138" spans="1:5" hidden="1" x14ac:dyDescent="0.3">
      <c r="A138" t="s">
        <v>16</v>
      </c>
      <c r="B138" t="s">
        <v>563</v>
      </c>
      <c r="E138" s="66">
        <f t="shared" si="2"/>
        <v>0</v>
      </c>
    </row>
    <row r="139" spans="1:5" hidden="1" x14ac:dyDescent="0.3">
      <c r="A139" t="s">
        <v>110</v>
      </c>
      <c r="B139" t="s">
        <v>563</v>
      </c>
      <c r="E139" s="66">
        <f t="shared" si="2"/>
        <v>0</v>
      </c>
    </row>
    <row r="140" spans="1:5" hidden="1" x14ac:dyDescent="0.3">
      <c r="A140" t="s">
        <v>17</v>
      </c>
      <c r="B140" t="s">
        <v>563</v>
      </c>
      <c r="E140" s="66">
        <f t="shared" si="2"/>
        <v>0</v>
      </c>
    </row>
    <row r="141" spans="1:5" hidden="1" x14ac:dyDescent="0.3">
      <c r="A141" t="s">
        <v>21</v>
      </c>
      <c r="B141" t="s">
        <v>563</v>
      </c>
      <c r="E141" s="66">
        <f t="shared" si="2"/>
        <v>0</v>
      </c>
    </row>
    <row r="142" spans="1:5" x14ac:dyDescent="0.3">
      <c r="A142" t="s">
        <v>22</v>
      </c>
      <c r="B142" t="s">
        <v>563</v>
      </c>
      <c r="C142">
        <v>120</v>
      </c>
      <c r="D142">
        <v>9000</v>
      </c>
      <c r="E142" s="66">
        <f t="shared" si="2"/>
        <v>1080000</v>
      </c>
    </row>
    <row r="143" spans="1:5" x14ac:dyDescent="0.3">
      <c r="A143" t="s">
        <v>23</v>
      </c>
      <c r="B143" t="s">
        <v>563</v>
      </c>
      <c r="C143">
        <v>1400</v>
      </c>
      <c r="D143">
        <v>6800</v>
      </c>
      <c r="E143" s="66">
        <f t="shared" si="2"/>
        <v>9520000</v>
      </c>
    </row>
    <row r="144" spans="1:5" hidden="1" x14ac:dyDescent="0.3">
      <c r="A144" t="s">
        <v>27</v>
      </c>
      <c r="B144" t="s">
        <v>563</v>
      </c>
      <c r="E144" s="66">
        <f t="shared" si="2"/>
        <v>0</v>
      </c>
    </row>
    <row r="145" spans="1:5" hidden="1" x14ac:dyDescent="0.3">
      <c r="A145" t="s">
        <v>28</v>
      </c>
      <c r="B145" t="s">
        <v>563</v>
      </c>
      <c r="E145" s="66">
        <f t="shared" si="2"/>
        <v>0</v>
      </c>
    </row>
    <row r="146" spans="1:5" hidden="1" x14ac:dyDescent="0.3">
      <c r="A146" t="s">
        <v>29</v>
      </c>
      <c r="B146" t="s">
        <v>563</v>
      </c>
      <c r="E146" s="66">
        <f t="shared" si="2"/>
        <v>0</v>
      </c>
    </row>
    <row r="147" spans="1:5" hidden="1" x14ac:dyDescent="0.3">
      <c r="A147" t="s">
        <v>39</v>
      </c>
      <c r="B147" t="s">
        <v>568</v>
      </c>
      <c r="E147" s="66">
        <f t="shared" si="2"/>
        <v>0</v>
      </c>
    </row>
    <row r="148" spans="1:5" hidden="1" x14ac:dyDescent="0.3">
      <c r="A148" t="s">
        <v>41</v>
      </c>
      <c r="B148" t="s">
        <v>568</v>
      </c>
      <c r="E148" s="66">
        <f t="shared" si="2"/>
        <v>0</v>
      </c>
    </row>
    <row r="149" spans="1:5" hidden="1" x14ac:dyDescent="0.3">
      <c r="A149" t="s">
        <v>46</v>
      </c>
      <c r="B149" t="s">
        <v>568</v>
      </c>
      <c r="E149" s="66">
        <f t="shared" si="2"/>
        <v>0</v>
      </c>
    </row>
    <row r="150" spans="1:5" x14ac:dyDescent="0.3">
      <c r="A150" t="s">
        <v>48</v>
      </c>
      <c r="B150" t="s">
        <v>563</v>
      </c>
      <c r="C150">
        <v>100</v>
      </c>
      <c r="D150">
        <v>10000</v>
      </c>
      <c r="E150" s="66">
        <f t="shared" si="2"/>
        <v>1000000</v>
      </c>
    </row>
    <row r="151" spans="1:5" x14ac:dyDescent="0.3">
      <c r="A151" t="s">
        <v>50</v>
      </c>
      <c r="B151" t="s">
        <v>563</v>
      </c>
      <c r="C151">
        <v>130</v>
      </c>
      <c r="D151">
        <v>7000</v>
      </c>
      <c r="E151" s="66">
        <f t="shared" si="2"/>
        <v>910000</v>
      </c>
    </row>
    <row r="152" spans="1:5" hidden="1" x14ac:dyDescent="0.3">
      <c r="A152" t="s">
        <v>51</v>
      </c>
      <c r="B152" t="s">
        <v>563</v>
      </c>
      <c r="E152" s="66">
        <f t="shared" si="2"/>
        <v>0</v>
      </c>
    </row>
    <row r="153" spans="1:5" hidden="1" x14ac:dyDescent="0.3">
      <c r="A153" t="s">
        <v>53</v>
      </c>
      <c r="B153" t="s">
        <v>563</v>
      </c>
      <c r="E153" s="66">
        <f t="shared" si="2"/>
        <v>0</v>
      </c>
    </row>
    <row r="154" spans="1:5" hidden="1" x14ac:dyDescent="0.3">
      <c r="A154" t="s">
        <v>56</v>
      </c>
      <c r="B154" t="s">
        <v>565</v>
      </c>
      <c r="E154" s="66">
        <f t="shared" si="2"/>
        <v>0</v>
      </c>
    </row>
    <row r="155" spans="1:5" hidden="1" x14ac:dyDescent="0.3">
      <c r="A155" t="s">
        <v>60</v>
      </c>
      <c r="B155" t="s">
        <v>563</v>
      </c>
      <c r="E155" s="66">
        <f t="shared" si="2"/>
        <v>0</v>
      </c>
    </row>
    <row r="156" spans="1:5" hidden="1" x14ac:dyDescent="0.3">
      <c r="A156" t="s">
        <v>62</v>
      </c>
      <c r="B156" t="s">
        <v>563</v>
      </c>
      <c r="E156" s="66">
        <f t="shared" si="2"/>
        <v>0</v>
      </c>
    </row>
    <row r="157" spans="1:5" hidden="1" x14ac:dyDescent="0.3">
      <c r="A157" t="s">
        <v>67</v>
      </c>
      <c r="B157" t="s">
        <v>566</v>
      </c>
      <c r="E157" s="66">
        <f t="shared" si="2"/>
        <v>0</v>
      </c>
    </row>
    <row r="158" spans="1:5" hidden="1" x14ac:dyDescent="0.3">
      <c r="A158" t="s">
        <v>68</v>
      </c>
      <c r="B158" t="s">
        <v>566</v>
      </c>
      <c r="E158" s="66">
        <f t="shared" si="2"/>
        <v>0</v>
      </c>
    </row>
    <row r="159" spans="1:5" x14ac:dyDescent="0.3">
      <c r="A159" t="s">
        <v>72</v>
      </c>
      <c r="B159" t="s">
        <v>564</v>
      </c>
      <c r="C159">
        <v>208</v>
      </c>
      <c r="D159">
        <v>10000</v>
      </c>
      <c r="E159" s="66">
        <f t="shared" si="2"/>
        <v>2080000</v>
      </c>
    </row>
    <row r="160" spans="1:5" hidden="1" x14ac:dyDescent="0.3">
      <c r="A160" t="s">
        <v>76</v>
      </c>
      <c r="B160" t="s">
        <v>563</v>
      </c>
      <c r="E160" s="66">
        <f t="shared" si="2"/>
        <v>0</v>
      </c>
    </row>
    <row r="161" spans="1:5" hidden="1" x14ac:dyDescent="0.3">
      <c r="A161" t="s">
        <v>78</v>
      </c>
      <c r="B161" t="s">
        <v>563</v>
      </c>
      <c r="E161" s="66">
        <f t="shared" si="2"/>
        <v>0</v>
      </c>
    </row>
    <row r="162" spans="1:5" hidden="1" x14ac:dyDescent="0.3">
      <c r="A162" t="s">
        <v>79</v>
      </c>
      <c r="B162" t="s">
        <v>563</v>
      </c>
      <c r="E162" s="66">
        <f t="shared" si="2"/>
        <v>0</v>
      </c>
    </row>
    <row r="163" spans="1:5" hidden="1" x14ac:dyDescent="0.3">
      <c r="A163" t="s">
        <v>82</v>
      </c>
      <c r="B163" t="s">
        <v>563</v>
      </c>
      <c r="E163" s="66">
        <f t="shared" si="2"/>
        <v>0</v>
      </c>
    </row>
    <row r="164" spans="1:5" x14ac:dyDescent="0.3">
      <c r="A164" t="s">
        <v>87</v>
      </c>
      <c r="B164" t="s">
        <v>563</v>
      </c>
      <c r="C164">
        <v>70</v>
      </c>
      <c r="D164">
        <v>12500</v>
      </c>
      <c r="E164" s="66">
        <f t="shared" si="2"/>
        <v>875000</v>
      </c>
    </row>
    <row r="165" spans="1:5" hidden="1" x14ac:dyDescent="0.3">
      <c r="A165" t="s">
        <v>120</v>
      </c>
      <c r="B165" t="s">
        <v>563</v>
      </c>
      <c r="E165" s="66">
        <f t="shared" si="2"/>
        <v>0</v>
      </c>
    </row>
    <row r="166" spans="1:5" hidden="1" x14ac:dyDescent="0.3">
      <c r="A166" t="s">
        <v>109</v>
      </c>
      <c r="B166" t="s">
        <v>563</v>
      </c>
      <c r="E166" s="66">
        <f t="shared" si="2"/>
        <v>0</v>
      </c>
    </row>
    <row r="167" spans="1:5" hidden="1" x14ac:dyDescent="0.3">
      <c r="A167" t="s">
        <v>121</v>
      </c>
      <c r="B167" t="s">
        <v>563</v>
      </c>
      <c r="E167" s="66">
        <f t="shared" si="2"/>
        <v>0</v>
      </c>
    </row>
    <row r="168" spans="1:5" x14ac:dyDescent="0.3">
      <c r="A168" t="s">
        <v>122</v>
      </c>
      <c r="B168" t="s">
        <v>563</v>
      </c>
      <c r="C168">
        <v>25</v>
      </c>
      <c r="D168">
        <v>50000</v>
      </c>
      <c r="E168" s="66">
        <f t="shared" si="2"/>
        <v>1250000</v>
      </c>
    </row>
    <row r="169" spans="1:5" hidden="1" x14ac:dyDescent="0.3">
      <c r="A169" t="s">
        <v>123</v>
      </c>
      <c r="B169" t="s">
        <v>563</v>
      </c>
      <c r="E169" s="66">
        <f t="shared" si="2"/>
        <v>0</v>
      </c>
    </row>
    <row r="170" spans="1:5" hidden="1" x14ac:dyDescent="0.3">
      <c r="A170" t="s">
        <v>92</v>
      </c>
      <c r="B170" t="s">
        <v>563</v>
      </c>
      <c r="E170" s="66">
        <f t="shared" si="2"/>
        <v>0</v>
      </c>
    </row>
    <row r="171" spans="1:5" hidden="1" x14ac:dyDescent="0.3">
      <c r="A171" t="s">
        <v>125</v>
      </c>
      <c r="B171" t="s">
        <v>563</v>
      </c>
      <c r="E171" s="66">
        <f t="shared" si="2"/>
        <v>0</v>
      </c>
    </row>
    <row r="172" spans="1:5" hidden="1" x14ac:dyDescent="0.3">
      <c r="A172" t="s">
        <v>52</v>
      </c>
      <c r="B172" t="s">
        <v>563</v>
      </c>
      <c r="E172" s="66">
        <f t="shared" si="2"/>
        <v>0</v>
      </c>
    </row>
    <row r="173" spans="1:5" hidden="1" x14ac:dyDescent="0.3">
      <c r="A173" t="s">
        <v>103</v>
      </c>
      <c r="B173" t="s">
        <v>563</v>
      </c>
      <c r="E173" s="66">
        <f t="shared" si="2"/>
        <v>0</v>
      </c>
    </row>
    <row r="174" spans="1:5" hidden="1" x14ac:dyDescent="0.3">
      <c r="A174" t="s">
        <v>2</v>
      </c>
      <c r="B174" t="s">
        <v>563</v>
      </c>
      <c r="E174" s="66">
        <f t="shared" si="2"/>
        <v>0</v>
      </c>
    </row>
    <row r="175" spans="1:5" hidden="1" x14ac:dyDescent="0.3">
      <c r="A175" t="s">
        <v>65</v>
      </c>
      <c r="B175" t="s">
        <v>563</v>
      </c>
      <c r="E175" s="66">
        <f t="shared" si="2"/>
        <v>0</v>
      </c>
    </row>
    <row r="176" spans="1:5" hidden="1" x14ac:dyDescent="0.3">
      <c r="A176" t="s">
        <v>71</v>
      </c>
      <c r="B176" t="s">
        <v>563</v>
      </c>
      <c r="E176" s="66">
        <f t="shared" si="2"/>
        <v>0</v>
      </c>
    </row>
    <row r="177" spans="1:5" hidden="1" x14ac:dyDescent="0.3">
      <c r="A177" t="s">
        <v>30</v>
      </c>
      <c r="B177" t="s">
        <v>563</v>
      </c>
      <c r="E177" s="66">
        <f t="shared" si="2"/>
        <v>0</v>
      </c>
    </row>
    <row r="178" spans="1:5" hidden="1" x14ac:dyDescent="0.3">
      <c r="A178" t="s">
        <v>107</v>
      </c>
      <c r="B178" t="s">
        <v>563</v>
      </c>
      <c r="E178" s="66">
        <f t="shared" si="2"/>
        <v>0</v>
      </c>
    </row>
    <row r="179" spans="1:5" hidden="1" x14ac:dyDescent="0.3">
      <c r="A179" t="s">
        <v>38</v>
      </c>
      <c r="B179" t="s">
        <v>563</v>
      </c>
      <c r="E179" s="66">
        <f t="shared" si="2"/>
        <v>0</v>
      </c>
    </row>
    <row r="180" spans="1:5" hidden="1" x14ac:dyDescent="0.3">
      <c r="A180" t="s">
        <v>40</v>
      </c>
      <c r="B180" t="s">
        <v>563</v>
      </c>
      <c r="E180" s="66">
        <f t="shared" si="2"/>
        <v>0</v>
      </c>
    </row>
    <row r="181" spans="1:5" hidden="1" x14ac:dyDescent="0.3">
      <c r="A181" t="e">
        <v>#N/A</v>
      </c>
      <c r="B181">
        <v>0</v>
      </c>
      <c r="E181" s="66">
        <f t="shared" si="2"/>
        <v>0</v>
      </c>
    </row>
    <row r="182" spans="1:5" x14ac:dyDescent="0.3">
      <c r="E182" s="83">
        <f>SUM(E142:E168)</f>
        <v>16715000</v>
      </c>
    </row>
    <row r="186" spans="1:5" x14ac:dyDescent="0.3">
      <c r="E186" s="83">
        <f>E182+E127</f>
        <v>122504450</v>
      </c>
    </row>
  </sheetData>
  <autoFilter ref="A2:E181" xr:uid="{00000000-0009-0000-0000-000014000000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2:E266"/>
  <sheetViews>
    <sheetView topLeftCell="A80" workbookViewId="0">
      <selection activeCell="E266" sqref="E266"/>
    </sheetView>
  </sheetViews>
  <sheetFormatPr defaultRowHeight="14.4" x14ac:dyDescent="0.3"/>
  <cols>
    <col min="1" max="1" width="28" customWidth="1"/>
    <col min="4" max="4" width="16.44140625" customWidth="1"/>
    <col min="5" max="5" width="18.44140625" customWidth="1"/>
  </cols>
  <sheetData>
    <row r="2" spans="1:5" x14ac:dyDescent="0.3">
      <c r="A2" t="s">
        <v>597</v>
      </c>
    </row>
    <row r="3" spans="1:5" ht="31.2" customHeight="1" x14ac:dyDescent="0.3">
      <c r="A3" s="60" t="s">
        <v>0</v>
      </c>
      <c r="B3" s="60" t="s">
        <v>562</v>
      </c>
      <c r="C3" s="61" t="s">
        <v>608</v>
      </c>
      <c r="D3" s="82" t="s">
        <v>594</v>
      </c>
      <c r="E3" s="65" t="s">
        <v>129</v>
      </c>
    </row>
    <row r="4" spans="1:5" x14ac:dyDescent="0.3">
      <c r="A4" s="62" t="s">
        <v>1</v>
      </c>
      <c r="B4" s="62" t="s">
        <v>563</v>
      </c>
      <c r="C4" s="63">
        <v>85</v>
      </c>
      <c r="D4" s="66">
        <v>16000</v>
      </c>
      <c r="E4" s="66">
        <f>C4*D4</f>
        <v>1360000</v>
      </c>
    </row>
    <row r="5" spans="1:5" hidden="1" x14ac:dyDescent="0.3">
      <c r="A5" s="62" t="s">
        <v>1</v>
      </c>
      <c r="B5" s="62" t="s">
        <v>566</v>
      </c>
      <c r="C5" s="63"/>
      <c r="D5" s="66"/>
      <c r="E5" s="66">
        <f t="shared" ref="E5:E68" si="0">C5*D5</f>
        <v>0</v>
      </c>
    </row>
    <row r="6" spans="1:5" hidden="1" x14ac:dyDescent="0.3">
      <c r="A6" s="62" t="s">
        <v>2</v>
      </c>
      <c r="B6" s="62" t="s">
        <v>563</v>
      </c>
      <c r="C6" s="63"/>
      <c r="D6" s="66"/>
      <c r="E6" s="66">
        <f t="shared" si="0"/>
        <v>0</v>
      </c>
    </row>
    <row r="7" spans="1:5" hidden="1" x14ac:dyDescent="0.3">
      <c r="A7" s="62" t="s">
        <v>2</v>
      </c>
      <c r="B7" s="62" t="s">
        <v>564</v>
      </c>
      <c r="C7" s="63"/>
      <c r="D7" s="66"/>
      <c r="E7" s="66">
        <f t="shared" si="0"/>
        <v>0</v>
      </c>
    </row>
    <row r="8" spans="1:5" hidden="1" x14ac:dyDescent="0.3">
      <c r="A8" s="62" t="s">
        <v>3</v>
      </c>
      <c r="B8" s="62" t="s">
        <v>563</v>
      </c>
      <c r="C8" s="63"/>
      <c r="D8" s="66"/>
      <c r="E8" s="66">
        <f t="shared" si="0"/>
        <v>0</v>
      </c>
    </row>
    <row r="9" spans="1:5" hidden="1" x14ac:dyDescent="0.3">
      <c r="A9" s="62" t="s">
        <v>4</v>
      </c>
      <c r="B9" s="62" t="s">
        <v>565</v>
      </c>
      <c r="C9" s="63"/>
      <c r="D9" s="66"/>
      <c r="E9" s="66">
        <f t="shared" si="0"/>
        <v>0</v>
      </c>
    </row>
    <row r="10" spans="1:5" hidden="1" x14ac:dyDescent="0.3">
      <c r="A10" s="62" t="s">
        <v>5</v>
      </c>
      <c r="B10" s="62" t="s">
        <v>563</v>
      </c>
      <c r="C10" s="63"/>
      <c r="D10" s="66"/>
      <c r="E10" s="66">
        <f t="shared" si="0"/>
        <v>0</v>
      </c>
    </row>
    <row r="11" spans="1:5" x14ac:dyDescent="0.3">
      <c r="A11" s="62" t="s">
        <v>6</v>
      </c>
      <c r="B11" s="62" t="s">
        <v>563</v>
      </c>
      <c r="C11" s="63">
        <v>80</v>
      </c>
      <c r="D11" s="66">
        <v>15000</v>
      </c>
      <c r="E11" s="66">
        <f t="shared" si="0"/>
        <v>1200000</v>
      </c>
    </row>
    <row r="12" spans="1:5" hidden="1" x14ac:dyDescent="0.3">
      <c r="A12" s="62" t="s">
        <v>6</v>
      </c>
      <c r="B12" s="62" t="s">
        <v>566</v>
      </c>
      <c r="C12" s="63"/>
      <c r="D12" s="66"/>
      <c r="E12" s="66">
        <f t="shared" si="0"/>
        <v>0</v>
      </c>
    </row>
    <row r="13" spans="1:5" x14ac:dyDescent="0.3">
      <c r="A13" s="62" t="s">
        <v>7</v>
      </c>
      <c r="B13" s="62" t="s">
        <v>563</v>
      </c>
      <c r="C13" s="63">
        <v>8</v>
      </c>
      <c r="D13" s="66">
        <v>44000</v>
      </c>
      <c r="E13" s="66">
        <f t="shared" si="0"/>
        <v>352000</v>
      </c>
    </row>
    <row r="14" spans="1:5" x14ac:dyDescent="0.3">
      <c r="A14" s="62" t="s">
        <v>8</v>
      </c>
      <c r="B14" s="62" t="s">
        <v>563</v>
      </c>
      <c r="C14" s="63">
        <v>390</v>
      </c>
      <c r="D14" s="66">
        <v>25000</v>
      </c>
      <c r="E14" s="66">
        <f t="shared" si="0"/>
        <v>9750000</v>
      </c>
    </row>
    <row r="15" spans="1:5" x14ac:dyDescent="0.3">
      <c r="A15" s="62" t="s">
        <v>10</v>
      </c>
      <c r="B15" s="62" t="s">
        <v>566</v>
      </c>
      <c r="C15" s="63">
        <v>333.33333333333337</v>
      </c>
      <c r="D15" s="66">
        <v>4800</v>
      </c>
      <c r="E15" s="66">
        <f t="shared" si="0"/>
        <v>1600000.0000000002</v>
      </c>
    </row>
    <row r="16" spans="1:5" x14ac:dyDescent="0.3">
      <c r="A16" s="62" t="s">
        <v>11</v>
      </c>
      <c r="B16" s="62" t="s">
        <v>563</v>
      </c>
      <c r="C16" s="63">
        <v>640</v>
      </c>
      <c r="D16" s="66">
        <v>26000</v>
      </c>
      <c r="E16" s="66">
        <f t="shared" si="0"/>
        <v>16640000</v>
      </c>
    </row>
    <row r="17" spans="1:5" hidden="1" x14ac:dyDescent="0.3">
      <c r="A17" s="62" t="s">
        <v>11</v>
      </c>
      <c r="B17" s="62" t="s">
        <v>566</v>
      </c>
      <c r="C17" s="63"/>
      <c r="D17" s="66"/>
      <c r="E17" s="66">
        <f t="shared" si="0"/>
        <v>0</v>
      </c>
    </row>
    <row r="18" spans="1:5" x14ac:dyDescent="0.3">
      <c r="A18" s="62" t="s">
        <v>12</v>
      </c>
      <c r="B18" s="62" t="s">
        <v>563</v>
      </c>
      <c r="C18" s="63">
        <v>420</v>
      </c>
      <c r="D18" s="66">
        <v>25000</v>
      </c>
      <c r="E18" s="66">
        <f t="shared" si="0"/>
        <v>10500000</v>
      </c>
    </row>
    <row r="19" spans="1:5" hidden="1" x14ac:dyDescent="0.3">
      <c r="A19" s="62" t="s">
        <v>13</v>
      </c>
      <c r="B19" s="62" t="s">
        <v>563</v>
      </c>
      <c r="C19" s="63"/>
      <c r="D19" s="66"/>
      <c r="E19" s="66">
        <f t="shared" si="0"/>
        <v>0</v>
      </c>
    </row>
    <row r="20" spans="1:5" x14ac:dyDescent="0.3">
      <c r="A20" s="62" t="s">
        <v>14</v>
      </c>
      <c r="B20" s="62" t="s">
        <v>566</v>
      </c>
      <c r="C20" s="63">
        <v>30</v>
      </c>
      <c r="D20" s="66">
        <v>6000</v>
      </c>
      <c r="E20" s="66">
        <f t="shared" si="0"/>
        <v>180000</v>
      </c>
    </row>
    <row r="21" spans="1:5" x14ac:dyDescent="0.3">
      <c r="A21" s="62" t="s">
        <v>15</v>
      </c>
      <c r="B21" s="62" t="s">
        <v>563</v>
      </c>
      <c r="C21" s="63">
        <v>355</v>
      </c>
      <c r="D21" s="66">
        <v>16000</v>
      </c>
      <c r="E21" s="66">
        <f t="shared" si="0"/>
        <v>5680000</v>
      </c>
    </row>
    <row r="22" spans="1:5" hidden="1" x14ac:dyDescent="0.3">
      <c r="A22" s="62" t="s">
        <v>15</v>
      </c>
      <c r="B22" s="62" t="s">
        <v>566</v>
      </c>
      <c r="C22" s="63"/>
      <c r="D22" s="66"/>
      <c r="E22" s="66">
        <f t="shared" si="0"/>
        <v>0</v>
      </c>
    </row>
    <row r="23" spans="1:5" hidden="1" x14ac:dyDescent="0.3">
      <c r="A23" s="62" t="s">
        <v>16</v>
      </c>
      <c r="B23" s="62" t="s">
        <v>563</v>
      </c>
      <c r="C23" s="63"/>
      <c r="D23" s="66"/>
      <c r="E23" s="66">
        <f t="shared" si="0"/>
        <v>0</v>
      </c>
    </row>
    <row r="24" spans="1:5" hidden="1" x14ac:dyDescent="0.3">
      <c r="A24" s="62" t="s">
        <v>18</v>
      </c>
      <c r="B24" s="62" t="s">
        <v>563</v>
      </c>
      <c r="C24" s="63"/>
      <c r="D24" s="66"/>
      <c r="E24" s="66">
        <f t="shared" si="0"/>
        <v>0</v>
      </c>
    </row>
    <row r="25" spans="1:5" hidden="1" x14ac:dyDescent="0.3">
      <c r="A25" s="62" t="s">
        <v>19</v>
      </c>
      <c r="B25" s="62" t="s">
        <v>563</v>
      </c>
      <c r="C25" s="63"/>
      <c r="D25" s="66"/>
      <c r="E25" s="66">
        <f t="shared" si="0"/>
        <v>0</v>
      </c>
    </row>
    <row r="26" spans="1:5" hidden="1" x14ac:dyDescent="0.3">
      <c r="A26" s="62" t="s">
        <v>19</v>
      </c>
      <c r="B26" s="62" t="s">
        <v>564</v>
      </c>
      <c r="C26" s="63"/>
      <c r="D26" s="66"/>
      <c r="E26" s="66">
        <f t="shared" si="0"/>
        <v>0</v>
      </c>
    </row>
    <row r="27" spans="1:5" x14ac:dyDescent="0.3">
      <c r="A27" s="62" t="s">
        <v>21</v>
      </c>
      <c r="B27" s="62" t="s">
        <v>563</v>
      </c>
      <c r="C27" s="63">
        <v>13</v>
      </c>
      <c r="D27" s="66">
        <v>18000</v>
      </c>
      <c r="E27" s="66">
        <f t="shared" si="0"/>
        <v>234000</v>
      </c>
    </row>
    <row r="28" spans="1:5" x14ac:dyDescent="0.3">
      <c r="A28" s="62" t="s">
        <v>22</v>
      </c>
      <c r="B28" s="62" t="s">
        <v>563</v>
      </c>
      <c r="C28" s="63">
        <v>150</v>
      </c>
      <c r="D28" s="66">
        <v>9000</v>
      </c>
      <c r="E28" s="66">
        <f t="shared" si="0"/>
        <v>1350000</v>
      </c>
    </row>
    <row r="29" spans="1:5" x14ac:dyDescent="0.3">
      <c r="A29" s="62" t="s">
        <v>23</v>
      </c>
      <c r="B29" s="62" t="s">
        <v>563</v>
      </c>
      <c r="C29" s="63">
        <v>3036</v>
      </c>
      <c r="D29" s="66">
        <v>6500</v>
      </c>
      <c r="E29" s="66">
        <f t="shared" si="0"/>
        <v>19734000</v>
      </c>
    </row>
    <row r="30" spans="1:5" hidden="1" x14ac:dyDescent="0.3">
      <c r="A30" s="62" t="s">
        <v>24</v>
      </c>
      <c r="B30" s="62" t="s">
        <v>563</v>
      </c>
      <c r="C30" s="63"/>
      <c r="D30" s="66"/>
      <c r="E30" s="66">
        <f t="shared" si="0"/>
        <v>0</v>
      </c>
    </row>
    <row r="31" spans="1:5" hidden="1" x14ac:dyDescent="0.3">
      <c r="A31" s="62" t="s">
        <v>24</v>
      </c>
      <c r="B31" s="62" t="s">
        <v>566</v>
      </c>
      <c r="C31" s="63"/>
      <c r="D31" s="66"/>
      <c r="E31" s="66">
        <f t="shared" si="0"/>
        <v>0</v>
      </c>
    </row>
    <row r="32" spans="1:5" hidden="1" x14ac:dyDescent="0.3">
      <c r="A32" s="62" t="s">
        <v>25</v>
      </c>
      <c r="B32" s="62" t="s">
        <v>563</v>
      </c>
      <c r="C32" s="63"/>
      <c r="D32" s="66"/>
      <c r="E32" s="66">
        <f t="shared" si="0"/>
        <v>0</v>
      </c>
    </row>
    <row r="33" spans="1:5" hidden="1" x14ac:dyDescent="0.3">
      <c r="A33" s="62" t="s">
        <v>25</v>
      </c>
      <c r="B33" s="62" t="s">
        <v>566</v>
      </c>
      <c r="C33" s="63"/>
      <c r="D33" s="66"/>
      <c r="E33" s="66">
        <f t="shared" si="0"/>
        <v>0</v>
      </c>
    </row>
    <row r="34" spans="1:5" hidden="1" x14ac:dyDescent="0.3">
      <c r="A34" s="62" t="s">
        <v>26</v>
      </c>
      <c r="B34" s="62" t="s">
        <v>563</v>
      </c>
      <c r="C34" s="63"/>
      <c r="D34" s="66"/>
      <c r="E34" s="66">
        <f t="shared" si="0"/>
        <v>0</v>
      </c>
    </row>
    <row r="35" spans="1:5" hidden="1" x14ac:dyDescent="0.3">
      <c r="A35" s="62" t="s">
        <v>26</v>
      </c>
      <c r="B35" s="62" t="s">
        <v>566</v>
      </c>
      <c r="C35" s="63"/>
      <c r="D35" s="66"/>
      <c r="E35" s="66">
        <f t="shared" si="0"/>
        <v>0</v>
      </c>
    </row>
    <row r="36" spans="1:5" hidden="1" x14ac:dyDescent="0.3">
      <c r="A36" s="62" t="s">
        <v>26</v>
      </c>
      <c r="B36" s="62" t="s">
        <v>567</v>
      </c>
      <c r="C36" s="63"/>
      <c r="D36" s="66"/>
      <c r="E36" s="66">
        <f t="shared" si="0"/>
        <v>0</v>
      </c>
    </row>
    <row r="37" spans="1:5" hidden="1" x14ac:dyDescent="0.3">
      <c r="A37" s="62" t="s">
        <v>27</v>
      </c>
      <c r="B37" s="62" t="s">
        <v>563</v>
      </c>
      <c r="C37" s="63"/>
      <c r="D37" s="66"/>
      <c r="E37" s="66">
        <f t="shared" si="0"/>
        <v>0</v>
      </c>
    </row>
    <row r="38" spans="1:5" hidden="1" x14ac:dyDescent="0.3">
      <c r="A38" s="62" t="s">
        <v>28</v>
      </c>
      <c r="B38" s="62" t="s">
        <v>568</v>
      </c>
      <c r="C38" s="64"/>
      <c r="D38" s="68"/>
      <c r="E38" s="66">
        <f t="shared" si="0"/>
        <v>0</v>
      </c>
    </row>
    <row r="39" spans="1:5" x14ac:dyDescent="0.3">
      <c r="A39" s="62" t="s">
        <v>28</v>
      </c>
      <c r="B39" s="62" t="s">
        <v>563</v>
      </c>
      <c r="C39" s="64">
        <v>250</v>
      </c>
      <c r="D39" s="68">
        <v>18000</v>
      </c>
      <c r="E39" s="66">
        <f t="shared" si="0"/>
        <v>4500000</v>
      </c>
    </row>
    <row r="40" spans="1:5" hidden="1" x14ac:dyDescent="0.3">
      <c r="A40" s="62" t="s">
        <v>29</v>
      </c>
      <c r="B40" s="62" t="s">
        <v>568</v>
      </c>
      <c r="C40" s="64"/>
      <c r="D40" s="68"/>
      <c r="E40" s="66">
        <f t="shared" si="0"/>
        <v>0</v>
      </c>
    </row>
    <row r="41" spans="1:5" x14ac:dyDescent="0.3">
      <c r="A41" s="62" t="s">
        <v>29</v>
      </c>
      <c r="B41" s="62" t="s">
        <v>563</v>
      </c>
      <c r="C41" s="64">
        <v>17</v>
      </c>
      <c r="D41" s="68">
        <v>35000</v>
      </c>
      <c r="E41" s="66">
        <f t="shared" si="0"/>
        <v>595000</v>
      </c>
    </row>
    <row r="42" spans="1:5" hidden="1" x14ac:dyDescent="0.3">
      <c r="A42" s="62" t="s">
        <v>30</v>
      </c>
      <c r="B42" s="62" t="s">
        <v>563</v>
      </c>
      <c r="C42" s="64"/>
      <c r="D42" s="68"/>
      <c r="E42" s="66">
        <f t="shared" si="0"/>
        <v>0</v>
      </c>
    </row>
    <row r="43" spans="1:5" hidden="1" x14ac:dyDescent="0.3">
      <c r="A43" s="62" t="s">
        <v>30</v>
      </c>
      <c r="B43" s="62" t="s">
        <v>566</v>
      </c>
      <c r="C43" s="64"/>
      <c r="D43" s="68"/>
      <c r="E43" s="66">
        <f t="shared" si="0"/>
        <v>0</v>
      </c>
    </row>
    <row r="44" spans="1:5" hidden="1" x14ac:dyDescent="0.3">
      <c r="A44" s="62" t="s">
        <v>31</v>
      </c>
      <c r="B44" s="62" t="s">
        <v>563</v>
      </c>
      <c r="C44" s="64"/>
      <c r="D44" s="68"/>
      <c r="E44" s="66">
        <f t="shared" si="0"/>
        <v>0</v>
      </c>
    </row>
    <row r="45" spans="1:5" hidden="1" x14ac:dyDescent="0.3">
      <c r="A45" s="62" t="s">
        <v>32</v>
      </c>
      <c r="B45" s="62" t="s">
        <v>566</v>
      </c>
      <c r="C45" s="64"/>
      <c r="D45" s="68"/>
      <c r="E45" s="66">
        <f t="shared" si="0"/>
        <v>0</v>
      </c>
    </row>
    <row r="46" spans="1:5" hidden="1" x14ac:dyDescent="0.3">
      <c r="A46" s="62" t="s">
        <v>33</v>
      </c>
      <c r="B46" s="62" t="s">
        <v>566</v>
      </c>
      <c r="C46" s="64"/>
      <c r="D46" s="68"/>
      <c r="E46" s="66">
        <f t="shared" si="0"/>
        <v>0</v>
      </c>
    </row>
    <row r="47" spans="1:5" hidden="1" x14ac:dyDescent="0.3">
      <c r="A47" s="62" t="s">
        <v>35</v>
      </c>
      <c r="B47" s="62" t="s">
        <v>569</v>
      </c>
      <c r="C47" s="64"/>
      <c r="D47" s="68"/>
      <c r="E47" s="66">
        <f t="shared" si="0"/>
        <v>0</v>
      </c>
    </row>
    <row r="48" spans="1:5" hidden="1" x14ac:dyDescent="0.3">
      <c r="A48" s="62" t="s">
        <v>36</v>
      </c>
      <c r="B48" s="62" t="s">
        <v>571</v>
      </c>
      <c r="C48" s="64"/>
      <c r="D48" s="68"/>
      <c r="E48" s="66">
        <f t="shared" si="0"/>
        <v>0</v>
      </c>
    </row>
    <row r="49" spans="1:5" x14ac:dyDescent="0.3">
      <c r="A49" s="62" t="s">
        <v>37</v>
      </c>
      <c r="B49" s="62" t="s">
        <v>563</v>
      </c>
      <c r="C49" s="64">
        <v>6</v>
      </c>
      <c r="D49" s="68">
        <v>35000</v>
      </c>
      <c r="E49" s="66">
        <f t="shared" si="0"/>
        <v>210000</v>
      </c>
    </row>
    <row r="50" spans="1:5" x14ac:dyDescent="0.3">
      <c r="A50" s="62" t="s">
        <v>38</v>
      </c>
      <c r="B50" s="62" t="s">
        <v>563</v>
      </c>
      <c r="C50" s="64">
        <v>1</v>
      </c>
      <c r="D50" s="68">
        <v>26000</v>
      </c>
      <c r="E50" s="66">
        <f t="shared" si="0"/>
        <v>26000</v>
      </c>
    </row>
    <row r="51" spans="1:5" hidden="1" x14ac:dyDescent="0.3">
      <c r="A51" s="62" t="s">
        <v>39</v>
      </c>
      <c r="B51" s="62" t="s">
        <v>568</v>
      </c>
      <c r="C51" s="64"/>
      <c r="D51" s="68"/>
      <c r="E51" s="66">
        <f t="shared" si="0"/>
        <v>0</v>
      </c>
    </row>
    <row r="52" spans="1:5" hidden="1" x14ac:dyDescent="0.3">
      <c r="A52" s="62" t="s">
        <v>40</v>
      </c>
      <c r="B52" s="62" t="s">
        <v>563</v>
      </c>
      <c r="C52" s="64"/>
      <c r="D52" s="68"/>
      <c r="E52" s="66">
        <f t="shared" si="0"/>
        <v>0</v>
      </c>
    </row>
    <row r="53" spans="1:5" hidden="1" x14ac:dyDescent="0.3">
      <c r="A53" s="62" t="s">
        <v>41</v>
      </c>
      <c r="B53" s="62" t="s">
        <v>568</v>
      </c>
      <c r="C53" s="64"/>
      <c r="D53" s="68"/>
      <c r="E53" s="66">
        <f t="shared" si="0"/>
        <v>0</v>
      </c>
    </row>
    <row r="54" spans="1:5" hidden="1" x14ac:dyDescent="0.3">
      <c r="A54" s="62" t="s">
        <v>42</v>
      </c>
      <c r="B54" s="62" t="s">
        <v>563</v>
      </c>
      <c r="C54" s="64"/>
      <c r="D54" s="68"/>
      <c r="E54" s="66">
        <f t="shared" si="0"/>
        <v>0</v>
      </c>
    </row>
    <row r="55" spans="1:5" hidden="1" x14ac:dyDescent="0.3">
      <c r="A55" s="62" t="s">
        <v>43</v>
      </c>
      <c r="B55" s="62" t="s">
        <v>563</v>
      </c>
      <c r="C55" s="64"/>
      <c r="D55" s="68"/>
      <c r="E55" s="66">
        <f t="shared" si="0"/>
        <v>0</v>
      </c>
    </row>
    <row r="56" spans="1:5" hidden="1" x14ac:dyDescent="0.3">
      <c r="A56" s="62" t="s">
        <v>43</v>
      </c>
      <c r="B56" s="62" t="s">
        <v>566</v>
      </c>
      <c r="C56" s="64"/>
      <c r="D56" s="68"/>
      <c r="E56" s="66">
        <f t="shared" si="0"/>
        <v>0</v>
      </c>
    </row>
    <row r="57" spans="1:5" hidden="1" x14ac:dyDescent="0.3">
      <c r="A57" s="62" t="s">
        <v>44</v>
      </c>
      <c r="B57" s="62" t="s">
        <v>566</v>
      </c>
      <c r="C57" s="64"/>
      <c r="D57" s="68"/>
      <c r="E57" s="66">
        <f t="shared" si="0"/>
        <v>0</v>
      </c>
    </row>
    <row r="58" spans="1:5" hidden="1" x14ac:dyDescent="0.3">
      <c r="A58" s="62" t="s">
        <v>45</v>
      </c>
      <c r="B58" s="62" t="s">
        <v>563</v>
      </c>
      <c r="C58" s="64"/>
      <c r="D58" s="68"/>
      <c r="E58" s="66">
        <f t="shared" si="0"/>
        <v>0</v>
      </c>
    </row>
    <row r="59" spans="1:5" hidden="1" x14ac:dyDescent="0.3">
      <c r="A59" s="62" t="s">
        <v>46</v>
      </c>
      <c r="B59" s="62" t="s">
        <v>568</v>
      </c>
      <c r="C59" s="64"/>
      <c r="D59" s="68"/>
      <c r="E59" s="66">
        <f t="shared" si="0"/>
        <v>0</v>
      </c>
    </row>
    <row r="60" spans="1:5" hidden="1" x14ac:dyDescent="0.3">
      <c r="A60" s="62" t="s">
        <v>47</v>
      </c>
      <c r="B60" s="62" t="s">
        <v>563</v>
      </c>
      <c r="C60" s="64"/>
      <c r="D60" s="68"/>
      <c r="E60" s="66">
        <f t="shared" si="0"/>
        <v>0</v>
      </c>
    </row>
    <row r="61" spans="1:5" hidden="1" x14ac:dyDescent="0.3">
      <c r="A61" s="62" t="s">
        <v>48</v>
      </c>
      <c r="B61" s="62" t="s">
        <v>570</v>
      </c>
      <c r="C61" s="64"/>
      <c r="D61" s="68"/>
      <c r="E61" s="66">
        <f t="shared" si="0"/>
        <v>0</v>
      </c>
    </row>
    <row r="62" spans="1:5" x14ac:dyDescent="0.3">
      <c r="A62" s="62" t="s">
        <v>49</v>
      </c>
      <c r="B62" s="62" t="s">
        <v>563</v>
      </c>
      <c r="C62" s="64">
        <v>10</v>
      </c>
      <c r="D62" s="68">
        <v>11000</v>
      </c>
      <c r="E62" s="66">
        <f t="shared" si="0"/>
        <v>110000</v>
      </c>
    </row>
    <row r="63" spans="1:5" x14ac:dyDescent="0.3">
      <c r="A63" s="62" t="s">
        <v>50</v>
      </c>
      <c r="B63" s="62" t="s">
        <v>563</v>
      </c>
      <c r="C63" s="64">
        <v>260</v>
      </c>
      <c r="D63" s="68">
        <v>7000</v>
      </c>
      <c r="E63" s="66">
        <f t="shared" si="0"/>
        <v>1820000</v>
      </c>
    </row>
    <row r="64" spans="1:5" x14ac:dyDescent="0.3">
      <c r="A64" s="62" t="s">
        <v>51</v>
      </c>
      <c r="B64" s="62" t="s">
        <v>563</v>
      </c>
      <c r="C64" s="64">
        <v>144</v>
      </c>
      <c r="D64" s="68">
        <v>20000</v>
      </c>
      <c r="E64" s="66">
        <f t="shared" si="0"/>
        <v>2880000</v>
      </c>
    </row>
    <row r="65" spans="1:5" hidden="1" x14ac:dyDescent="0.3">
      <c r="A65" s="62" t="s">
        <v>51</v>
      </c>
      <c r="B65" s="62" t="s">
        <v>570</v>
      </c>
      <c r="C65" s="64"/>
      <c r="D65" s="68"/>
      <c r="E65" s="66">
        <f t="shared" si="0"/>
        <v>0</v>
      </c>
    </row>
    <row r="66" spans="1:5" x14ac:dyDescent="0.3">
      <c r="A66" s="62" t="s">
        <v>52</v>
      </c>
      <c r="B66" s="62" t="s">
        <v>563</v>
      </c>
      <c r="C66" s="64">
        <v>30</v>
      </c>
      <c r="D66" s="68">
        <v>10000</v>
      </c>
      <c r="E66" s="66">
        <f t="shared" si="0"/>
        <v>300000</v>
      </c>
    </row>
    <row r="67" spans="1:5" hidden="1" x14ac:dyDescent="0.3">
      <c r="A67" s="62" t="s">
        <v>52</v>
      </c>
      <c r="B67" s="62" t="s">
        <v>570</v>
      </c>
      <c r="C67" s="64"/>
      <c r="D67" s="68"/>
      <c r="E67" s="66">
        <f t="shared" si="0"/>
        <v>0</v>
      </c>
    </row>
    <row r="68" spans="1:5" x14ac:dyDescent="0.3">
      <c r="A68" s="62" t="s">
        <v>53</v>
      </c>
      <c r="B68" s="62" t="s">
        <v>563</v>
      </c>
      <c r="C68" s="64">
        <v>90</v>
      </c>
      <c r="D68" s="111">
        <v>20000</v>
      </c>
      <c r="E68" s="66">
        <f t="shared" si="0"/>
        <v>1800000</v>
      </c>
    </row>
    <row r="69" spans="1:5" hidden="1" x14ac:dyDescent="0.3">
      <c r="A69" s="62" t="s">
        <v>53</v>
      </c>
      <c r="B69" s="62" t="s">
        <v>564</v>
      </c>
      <c r="C69" s="64"/>
      <c r="D69" s="68"/>
      <c r="E69" s="66">
        <f t="shared" ref="E69:E132" si="1">C69*D69</f>
        <v>0</v>
      </c>
    </row>
    <row r="70" spans="1:5" hidden="1" x14ac:dyDescent="0.3">
      <c r="A70" s="62" t="s">
        <v>54</v>
      </c>
      <c r="B70" s="62" t="s">
        <v>564</v>
      </c>
      <c r="C70" s="64"/>
      <c r="D70" s="68"/>
      <c r="E70" s="66">
        <f t="shared" si="1"/>
        <v>0</v>
      </c>
    </row>
    <row r="71" spans="1:5" hidden="1" x14ac:dyDescent="0.3">
      <c r="A71" s="62" t="s">
        <v>55</v>
      </c>
      <c r="B71" s="62" t="s">
        <v>564</v>
      </c>
      <c r="C71" s="64"/>
      <c r="D71" s="68"/>
      <c r="E71" s="66">
        <f t="shared" si="1"/>
        <v>0</v>
      </c>
    </row>
    <row r="72" spans="1:5" x14ac:dyDescent="0.3">
      <c r="A72" s="62" t="s">
        <v>56</v>
      </c>
      <c r="B72" s="62" t="s">
        <v>565</v>
      </c>
      <c r="C72" s="64">
        <v>117</v>
      </c>
      <c r="D72" s="111">
        <v>9900</v>
      </c>
      <c r="E72" s="66">
        <f t="shared" si="1"/>
        <v>1158300</v>
      </c>
    </row>
    <row r="73" spans="1:5" hidden="1" x14ac:dyDescent="0.3">
      <c r="A73" s="62" t="s">
        <v>57</v>
      </c>
      <c r="B73" s="62" t="s">
        <v>565</v>
      </c>
      <c r="C73" s="64"/>
      <c r="D73" s="68"/>
      <c r="E73" s="66">
        <f t="shared" si="1"/>
        <v>0</v>
      </c>
    </row>
    <row r="74" spans="1:5" hidden="1" x14ac:dyDescent="0.3">
      <c r="A74" s="62" t="s">
        <v>58</v>
      </c>
      <c r="B74" s="62" t="s">
        <v>563</v>
      </c>
      <c r="C74" s="64"/>
      <c r="D74" s="68"/>
      <c r="E74" s="66">
        <f t="shared" si="1"/>
        <v>0</v>
      </c>
    </row>
    <row r="75" spans="1:5" x14ac:dyDescent="0.3">
      <c r="A75" s="62" t="s">
        <v>59</v>
      </c>
      <c r="B75" s="62" t="s">
        <v>565</v>
      </c>
      <c r="C75" s="64">
        <v>127</v>
      </c>
      <c r="D75" s="68">
        <v>7000</v>
      </c>
      <c r="E75" s="66">
        <f t="shared" si="1"/>
        <v>889000</v>
      </c>
    </row>
    <row r="76" spans="1:5" x14ac:dyDescent="0.3">
      <c r="A76" s="62" t="s">
        <v>60</v>
      </c>
      <c r="B76" s="62" t="s">
        <v>563</v>
      </c>
      <c r="C76" s="64">
        <v>100</v>
      </c>
      <c r="D76" s="68">
        <v>20000</v>
      </c>
      <c r="E76" s="66">
        <f t="shared" si="1"/>
        <v>2000000</v>
      </c>
    </row>
    <row r="77" spans="1:5" hidden="1" x14ac:dyDescent="0.3">
      <c r="A77" s="62" t="s">
        <v>60</v>
      </c>
      <c r="B77" s="62" t="s">
        <v>566</v>
      </c>
      <c r="C77" s="64"/>
      <c r="D77" s="68"/>
      <c r="E77" s="66">
        <f t="shared" si="1"/>
        <v>0</v>
      </c>
    </row>
    <row r="78" spans="1:5" hidden="1" x14ac:dyDescent="0.3">
      <c r="A78" s="62" t="s">
        <v>60</v>
      </c>
      <c r="B78" s="62" t="s">
        <v>564</v>
      </c>
      <c r="C78" s="64"/>
      <c r="D78" s="68"/>
      <c r="E78" s="66">
        <f t="shared" si="1"/>
        <v>0</v>
      </c>
    </row>
    <row r="79" spans="1:5" x14ac:dyDescent="0.3">
      <c r="A79" s="62" t="s">
        <v>61</v>
      </c>
      <c r="B79" s="62" t="s">
        <v>566</v>
      </c>
      <c r="C79" s="64">
        <v>40</v>
      </c>
      <c r="D79" s="68">
        <v>17000</v>
      </c>
      <c r="E79" s="66">
        <f t="shared" si="1"/>
        <v>680000</v>
      </c>
    </row>
    <row r="80" spans="1:5" x14ac:dyDescent="0.3">
      <c r="A80" s="62" t="s">
        <v>62</v>
      </c>
      <c r="B80" s="62" t="s">
        <v>563</v>
      </c>
      <c r="C80" s="64">
        <v>3</v>
      </c>
      <c r="D80" s="68">
        <v>9000</v>
      </c>
      <c r="E80" s="66">
        <f t="shared" si="1"/>
        <v>27000</v>
      </c>
    </row>
    <row r="81" spans="1:5" hidden="1" x14ac:dyDescent="0.3">
      <c r="A81" s="62" t="s">
        <v>63</v>
      </c>
      <c r="B81" s="62" t="s">
        <v>564</v>
      </c>
      <c r="C81" s="64"/>
      <c r="D81" s="68"/>
      <c r="E81" s="66">
        <f t="shared" si="1"/>
        <v>0</v>
      </c>
    </row>
    <row r="82" spans="1:5" hidden="1" x14ac:dyDescent="0.3">
      <c r="A82" s="62" t="s">
        <v>65</v>
      </c>
      <c r="B82" s="62" t="s">
        <v>563</v>
      </c>
      <c r="C82" s="64"/>
      <c r="D82" s="68"/>
      <c r="E82" s="66">
        <f t="shared" si="1"/>
        <v>0</v>
      </c>
    </row>
    <row r="83" spans="1:5" hidden="1" x14ac:dyDescent="0.3">
      <c r="A83" s="62" t="s">
        <v>66</v>
      </c>
      <c r="B83" s="62" t="s">
        <v>566</v>
      </c>
      <c r="C83" s="64"/>
      <c r="D83" s="68"/>
      <c r="E83" s="66">
        <f t="shared" si="1"/>
        <v>0</v>
      </c>
    </row>
    <row r="84" spans="1:5" hidden="1" x14ac:dyDescent="0.3">
      <c r="A84" s="62" t="s">
        <v>67</v>
      </c>
      <c r="B84" s="62" t="s">
        <v>566</v>
      </c>
      <c r="C84" s="64"/>
      <c r="D84" s="68"/>
      <c r="E84" s="66">
        <f t="shared" si="1"/>
        <v>0</v>
      </c>
    </row>
    <row r="85" spans="1:5" hidden="1" x14ac:dyDescent="0.3">
      <c r="A85" s="62" t="s">
        <v>68</v>
      </c>
      <c r="B85" s="62" t="s">
        <v>566</v>
      </c>
      <c r="C85" s="64"/>
      <c r="D85" s="68"/>
      <c r="E85" s="66">
        <f t="shared" si="1"/>
        <v>0</v>
      </c>
    </row>
    <row r="86" spans="1:5" hidden="1" x14ac:dyDescent="0.3">
      <c r="A86" s="62" t="s">
        <v>69</v>
      </c>
      <c r="B86" s="62" t="s">
        <v>563</v>
      </c>
      <c r="C86" s="64"/>
      <c r="D86" s="68"/>
      <c r="E86" s="66">
        <f t="shared" si="1"/>
        <v>0</v>
      </c>
    </row>
    <row r="87" spans="1:5" hidden="1" x14ac:dyDescent="0.3">
      <c r="A87" s="62" t="s">
        <v>70</v>
      </c>
      <c r="B87" s="62" t="s">
        <v>563</v>
      </c>
      <c r="C87" s="64"/>
      <c r="D87" s="68"/>
      <c r="E87" s="66">
        <f t="shared" si="1"/>
        <v>0</v>
      </c>
    </row>
    <row r="88" spans="1:5" x14ac:dyDescent="0.3">
      <c r="A88" s="62" t="s">
        <v>72</v>
      </c>
      <c r="B88" s="62" t="s">
        <v>564</v>
      </c>
      <c r="C88" s="64">
        <v>216</v>
      </c>
      <c r="D88" s="68">
        <v>10000</v>
      </c>
      <c r="E88" s="66">
        <f t="shared" si="1"/>
        <v>2160000</v>
      </c>
    </row>
    <row r="89" spans="1:5" hidden="1" x14ac:dyDescent="0.3">
      <c r="A89" s="62" t="s">
        <v>73</v>
      </c>
      <c r="B89" s="62" t="s">
        <v>563</v>
      </c>
      <c r="C89" s="64"/>
      <c r="D89" s="68"/>
      <c r="E89" s="66">
        <f t="shared" si="1"/>
        <v>0</v>
      </c>
    </row>
    <row r="90" spans="1:5" hidden="1" x14ac:dyDescent="0.3">
      <c r="A90" s="62" t="s">
        <v>73</v>
      </c>
      <c r="B90" s="62" t="s">
        <v>566</v>
      </c>
      <c r="C90" s="64"/>
      <c r="D90" s="68"/>
      <c r="E90" s="66">
        <f t="shared" si="1"/>
        <v>0</v>
      </c>
    </row>
    <row r="91" spans="1:5" x14ac:dyDescent="0.3">
      <c r="A91" s="62" t="s">
        <v>74</v>
      </c>
      <c r="B91" s="62" t="s">
        <v>563</v>
      </c>
      <c r="C91" s="64">
        <v>16</v>
      </c>
      <c r="D91" s="68">
        <v>7000</v>
      </c>
      <c r="E91" s="66">
        <f t="shared" si="1"/>
        <v>112000</v>
      </c>
    </row>
    <row r="92" spans="1:5" hidden="1" x14ac:dyDescent="0.3">
      <c r="A92" s="62" t="s">
        <v>75</v>
      </c>
      <c r="B92" s="62" t="s">
        <v>565</v>
      </c>
      <c r="C92" s="64"/>
      <c r="D92" s="68"/>
      <c r="E92" s="66">
        <f t="shared" si="1"/>
        <v>0</v>
      </c>
    </row>
    <row r="93" spans="1:5" hidden="1" x14ac:dyDescent="0.3">
      <c r="A93" s="62" t="s">
        <v>75</v>
      </c>
      <c r="B93" s="62" t="s">
        <v>563</v>
      </c>
      <c r="C93" s="64"/>
      <c r="D93" s="68"/>
      <c r="E93" s="66">
        <f t="shared" si="1"/>
        <v>0</v>
      </c>
    </row>
    <row r="94" spans="1:5" x14ac:dyDescent="0.3">
      <c r="A94" s="62" t="s">
        <v>76</v>
      </c>
      <c r="B94" s="62" t="s">
        <v>563</v>
      </c>
      <c r="C94" s="64">
        <v>180</v>
      </c>
      <c r="D94" s="68">
        <v>30000</v>
      </c>
      <c r="E94" s="66">
        <f t="shared" si="1"/>
        <v>5400000</v>
      </c>
    </row>
    <row r="95" spans="1:5" hidden="1" x14ac:dyDescent="0.3">
      <c r="A95" s="62" t="s">
        <v>76</v>
      </c>
      <c r="B95" s="62" t="s">
        <v>570</v>
      </c>
      <c r="C95" s="64"/>
      <c r="D95" s="68"/>
      <c r="E95" s="66">
        <f t="shared" si="1"/>
        <v>0</v>
      </c>
    </row>
    <row r="96" spans="1:5" hidden="1" x14ac:dyDescent="0.3">
      <c r="A96" s="62" t="s">
        <v>77</v>
      </c>
      <c r="B96" s="62" t="s">
        <v>563</v>
      </c>
      <c r="C96" s="64"/>
      <c r="D96" s="68"/>
      <c r="E96" s="66">
        <f t="shared" si="1"/>
        <v>0</v>
      </c>
    </row>
    <row r="97" spans="1:5" x14ac:dyDescent="0.3">
      <c r="A97" s="62" t="s">
        <v>78</v>
      </c>
      <c r="B97" s="62" t="s">
        <v>563</v>
      </c>
      <c r="C97" s="64">
        <v>210</v>
      </c>
      <c r="D97" s="68">
        <v>20000</v>
      </c>
      <c r="E97" s="66">
        <f t="shared" si="1"/>
        <v>4200000</v>
      </c>
    </row>
    <row r="98" spans="1:5" hidden="1" x14ac:dyDescent="0.3">
      <c r="A98" s="62" t="s">
        <v>78</v>
      </c>
      <c r="B98" s="62" t="s">
        <v>570</v>
      </c>
      <c r="C98" s="64"/>
      <c r="D98" s="68"/>
      <c r="E98" s="66">
        <f t="shared" si="1"/>
        <v>0</v>
      </c>
    </row>
    <row r="99" spans="1:5" x14ac:dyDescent="0.3">
      <c r="A99" s="62" t="s">
        <v>79</v>
      </c>
      <c r="B99" s="62" t="s">
        <v>563</v>
      </c>
      <c r="C99" s="64">
        <v>60</v>
      </c>
      <c r="D99" s="68">
        <v>22000</v>
      </c>
      <c r="E99" s="66">
        <f t="shared" si="1"/>
        <v>1320000</v>
      </c>
    </row>
    <row r="100" spans="1:5" hidden="1" x14ac:dyDescent="0.3">
      <c r="A100" s="62" t="s">
        <v>79</v>
      </c>
      <c r="B100" s="62" t="s">
        <v>570</v>
      </c>
      <c r="C100" s="64"/>
      <c r="D100" s="68"/>
      <c r="E100" s="66">
        <f t="shared" si="1"/>
        <v>0</v>
      </c>
    </row>
    <row r="101" spans="1:5" hidden="1" x14ac:dyDescent="0.3">
      <c r="A101" s="62" t="s">
        <v>80</v>
      </c>
      <c r="B101" s="62" t="s">
        <v>566</v>
      </c>
      <c r="C101" s="64"/>
      <c r="D101" s="68"/>
      <c r="E101" s="66">
        <f t="shared" si="1"/>
        <v>0</v>
      </c>
    </row>
    <row r="102" spans="1:5" hidden="1" x14ac:dyDescent="0.3">
      <c r="A102" s="62" t="s">
        <v>81</v>
      </c>
      <c r="B102" s="62" t="s">
        <v>563</v>
      </c>
      <c r="C102" s="64"/>
      <c r="D102" s="68"/>
      <c r="E102" s="66">
        <f t="shared" si="1"/>
        <v>0</v>
      </c>
    </row>
    <row r="103" spans="1:5" x14ac:dyDescent="0.3">
      <c r="A103" s="62" t="s">
        <v>82</v>
      </c>
      <c r="B103" s="62" t="s">
        <v>563</v>
      </c>
      <c r="C103" s="64">
        <v>130</v>
      </c>
      <c r="D103" s="68">
        <v>13000</v>
      </c>
      <c r="E103" s="66">
        <f t="shared" si="1"/>
        <v>1690000</v>
      </c>
    </row>
    <row r="104" spans="1:5" hidden="1" x14ac:dyDescent="0.3">
      <c r="A104" s="62" t="s">
        <v>83</v>
      </c>
      <c r="B104" s="62" t="s">
        <v>563</v>
      </c>
      <c r="C104" s="64"/>
      <c r="D104" s="68"/>
      <c r="E104" s="66">
        <f t="shared" si="1"/>
        <v>0</v>
      </c>
    </row>
    <row r="105" spans="1:5" hidden="1" x14ac:dyDescent="0.3">
      <c r="A105" s="62" t="s">
        <v>84</v>
      </c>
      <c r="B105" s="62" t="s">
        <v>563</v>
      </c>
      <c r="C105" s="64"/>
      <c r="D105" s="68"/>
      <c r="E105" s="66">
        <f t="shared" si="1"/>
        <v>0</v>
      </c>
    </row>
    <row r="106" spans="1:5" hidden="1" x14ac:dyDescent="0.3">
      <c r="A106" s="62" t="s">
        <v>85</v>
      </c>
      <c r="B106" s="62" t="s">
        <v>563</v>
      </c>
      <c r="C106" s="64"/>
      <c r="D106" s="68"/>
      <c r="E106" s="66">
        <f t="shared" si="1"/>
        <v>0</v>
      </c>
    </row>
    <row r="107" spans="1:5" hidden="1" x14ac:dyDescent="0.3">
      <c r="A107" s="62" t="s">
        <v>86</v>
      </c>
      <c r="B107" s="62" t="s">
        <v>565</v>
      </c>
      <c r="C107" s="64"/>
      <c r="D107" s="68"/>
      <c r="E107" s="66">
        <f t="shared" si="1"/>
        <v>0</v>
      </c>
    </row>
    <row r="108" spans="1:5" hidden="1" x14ac:dyDescent="0.3">
      <c r="A108" s="62" t="s">
        <v>87</v>
      </c>
      <c r="B108" s="62" t="s">
        <v>563</v>
      </c>
      <c r="C108" s="64"/>
      <c r="D108" s="68"/>
      <c r="E108" s="66">
        <f t="shared" si="1"/>
        <v>0</v>
      </c>
    </row>
    <row r="109" spans="1:5" hidden="1" x14ac:dyDescent="0.3">
      <c r="A109" s="62" t="s">
        <v>88</v>
      </c>
      <c r="B109" s="62" t="s">
        <v>565</v>
      </c>
      <c r="C109" s="64"/>
      <c r="D109" s="68"/>
      <c r="E109" s="66">
        <f t="shared" si="1"/>
        <v>0</v>
      </c>
    </row>
    <row r="110" spans="1:5" x14ac:dyDescent="0.3">
      <c r="A110" s="62" t="s">
        <v>92</v>
      </c>
      <c r="B110" s="62" t="s">
        <v>563</v>
      </c>
      <c r="C110" s="64">
        <v>65</v>
      </c>
      <c r="D110" s="68">
        <v>15000</v>
      </c>
      <c r="E110" s="66">
        <f t="shared" si="1"/>
        <v>975000</v>
      </c>
    </row>
    <row r="111" spans="1:5" hidden="1" x14ac:dyDescent="0.3">
      <c r="A111" s="62" t="s">
        <v>93</v>
      </c>
      <c r="B111" s="62" t="s">
        <v>563</v>
      </c>
      <c r="C111" s="64"/>
      <c r="D111" s="68"/>
      <c r="E111" s="66">
        <f t="shared" si="1"/>
        <v>0</v>
      </c>
    </row>
    <row r="112" spans="1:5" hidden="1" x14ac:dyDescent="0.3">
      <c r="A112" s="62" t="s">
        <v>94</v>
      </c>
      <c r="B112" s="62" t="s">
        <v>563</v>
      </c>
      <c r="C112" s="64"/>
      <c r="D112" s="68"/>
      <c r="E112" s="66">
        <f t="shared" si="1"/>
        <v>0</v>
      </c>
    </row>
    <row r="113" spans="1:5" hidden="1" x14ac:dyDescent="0.3">
      <c r="A113" s="62" t="s">
        <v>96</v>
      </c>
      <c r="B113" s="62" t="s">
        <v>563</v>
      </c>
      <c r="C113" s="64"/>
      <c r="D113" s="68"/>
      <c r="E113" s="66">
        <f t="shared" si="1"/>
        <v>0</v>
      </c>
    </row>
    <row r="114" spans="1:5" hidden="1" x14ac:dyDescent="0.3">
      <c r="A114" s="62" t="s">
        <v>97</v>
      </c>
      <c r="B114" s="62" t="s">
        <v>564</v>
      </c>
      <c r="C114" s="64"/>
      <c r="D114" s="68"/>
      <c r="E114" s="66">
        <f t="shared" si="1"/>
        <v>0</v>
      </c>
    </row>
    <row r="115" spans="1:5" hidden="1" x14ac:dyDescent="0.3">
      <c r="A115" s="62" t="s">
        <v>121</v>
      </c>
      <c r="B115" s="62" t="s">
        <v>563</v>
      </c>
      <c r="C115" s="64"/>
      <c r="D115" s="68"/>
      <c r="E115" s="66">
        <f t="shared" si="1"/>
        <v>0</v>
      </c>
    </row>
    <row r="116" spans="1:5" hidden="1" x14ac:dyDescent="0.3">
      <c r="A116" s="62" t="s">
        <v>101</v>
      </c>
      <c r="B116" s="62" t="s">
        <v>563</v>
      </c>
      <c r="C116" s="64"/>
      <c r="D116" s="68"/>
      <c r="E116" s="66">
        <f t="shared" si="1"/>
        <v>0</v>
      </c>
    </row>
    <row r="117" spans="1:5" x14ac:dyDescent="0.3">
      <c r="A117" s="62" t="s">
        <v>102</v>
      </c>
      <c r="B117" s="62" t="s">
        <v>563</v>
      </c>
      <c r="C117" s="64">
        <v>270</v>
      </c>
      <c r="D117" s="68">
        <v>26000</v>
      </c>
      <c r="E117" s="66">
        <f t="shared" si="1"/>
        <v>7020000</v>
      </c>
    </row>
    <row r="118" spans="1:5" x14ac:dyDescent="0.3">
      <c r="A118" s="62" t="s">
        <v>103</v>
      </c>
      <c r="B118" s="62" t="s">
        <v>563</v>
      </c>
      <c r="C118" s="64">
        <v>10</v>
      </c>
      <c r="D118" s="68">
        <v>33000</v>
      </c>
      <c r="E118" s="66">
        <f t="shared" si="1"/>
        <v>330000</v>
      </c>
    </row>
    <row r="119" spans="1:5" hidden="1" x14ac:dyDescent="0.3">
      <c r="A119" s="62" t="s">
        <v>573</v>
      </c>
      <c r="B119" s="62" t="s">
        <v>563</v>
      </c>
      <c r="C119" s="64"/>
      <c r="D119" s="68"/>
      <c r="E119" s="66">
        <f t="shared" si="1"/>
        <v>0</v>
      </c>
    </row>
    <row r="120" spans="1:5" hidden="1" x14ac:dyDescent="0.3">
      <c r="A120" s="62" t="s">
        <v>573</v>
      </c>
      <c r="B120" s="62" t="s">
        <v>566</v>
      </c>
      <c r="C120" s="64"/>
      <c r="D120" s="68"/>
      <c r="E120" s="66">
        <f t="shared" si="1"/>
        <v>0</v>
      </c>
    </row>
    <row r="121" spans="1:5" hidden="1" x14ac:dyDescent="0.3">
      <c r="A121" s="62" t="s">
        <v>560</v>
      </c>
      <c r="B121" s="62" t="s">
        <v>563</v>
      </c>
      <c r="C121" s="64"/>
      <c r="D121" s="68"/>
      <c r="E121" s="66">
        <f t="shared" si="1"/>
        <v>0</v>
      </c>
    </row>
    <row r="122" spans="1:5" hidden="1" x14ac:dyDescent="0.3">
      <c r="A122" s="62" t="s">
        <v>560</v>
      </c>
      <c r="B122" s="62" t="s">
        <v>566</v>
      </c>
      <c r="C122" s="64"/>
      <c r="D122" s="68"/>
      <c r="E122" s="66">
        <f t="shared" si="1"/>
        <v>0</v>
      </c>
    </row>
    <row r="123" spans="1:5" hidden="1" x14ac:dyDescent="0.3">
      <c r="A123" s="62" t="s">
        <v>559</v>
      </c>
      <c r="B123" s="62" t="s">
        <v>563</v>
      </c>
      <c r="C123" s="64"/>
      <c r="D123" s="68"/>
      <c r="E123" s="66">
        <f t="shared" si="1"/>
        <v>0</v>
      </c>
    </row>
    <row r="124" spans="1:5" hidden="1" x14ac:dyDescent="0.3">
      <c r="A124" s="62" t="s">
        <v>109</v>
      </c>
      <c r="B124" s="62" t="s">
        <v>563</v>
      </c>
      <c r="C124" s="64"/>
      <c r="D124" s="68"/>
      <c r="E124" s="66">
        <f t="shared" si="1"/>
        <v>0</v>
      </c>
    </row>
    <row r="125" spans="1:5" hidden="1" x14ac:dyDescent="0.3">
      <c r="A125" s="62" t="s">
        <v>110</v>
      </c>
      <c r="B125" s="62" t="s">
        <v>563</v>
      </c>
      <c r="C125" s="64"/>
      <c r="D125" s="68"/>
      <c r="E125" s="66">
        <f t="shared" si="1"/>
        <v>0</v>
      </c>
    </row>
    <row r="126" spans="1:5" hidden="1" x14ac:dyDescent="0.3">
      <c r="A126" s="62" t="s">
        <v>112</v>
      </c>
      <c r="B126" s="62" t="s">
        <v>563</v>
      </c>
      <c r="C126" s="64"/>
      <c r="D126" s="68"/>
      <c r="E126" s="66">
        <f t="shared" si="1"/>
        <v>0</v>
      </c>
    </row>
    <row r="127" spans="1:5" x14ac:dyDescent="0.3">
      <c r="A127" s="62" t="s">
        <v>577</v>
      </c>
      <c r="B127" s="62" t="s">
        <v>566</v>
      </c>
      <c r="C127" s="64">
        <v>230</v>
      </c>
      <c r="D127" s="68">
        <v>20000</v>
      </c>
      <c r="E127" s="66">
        <f t="shared" si="1"/>
        <v>4600000</v>
      </c>
    </row>
    <row r="128" spans="1:5" hidden="1" x14ac:dyDescent="0.3">
      <c r="A128" s="62" t="s">
        <v>604</v>
      </c>
      <c r="B128" s="62" t="s">
        <v>565</v>
      </c>
      <c r="C128" s="64"/>
      <c r="D128" s="68"/>
      <c r="E128" s="66">
        <f t="shared" si="1"/>
        <v>0</v>
      </c>
    </row>
    <row r="129" spans="1:5" hidden="1" x14ac:dyDescent="0.3">
      <c r="A129" s="62" t="s">
        <v>116</v>
      </c>
      <c r="B129" s="62" t="s">
        <v>563</v>
      </c>
      <c r="C129" s="64"/>
      <c r="D129" s="68"/>
      <c r="E129" s="66">
        <f t="shared" si="1"/>
        <v>0</v>
      </c>
    </row>
    <row r="130" spans="1:5" hidden="1" x14ac:dyDescent="0.3">
      <c r="A130" s="62" t="s">
        <v>599</v>
      </c>
      <c r="B130" s="62" t="s">
        <v>566</v>
      </c>
      <c r="C130" s="64"/>
      <c r="D130" s="68"/>
      <c r="E130" s="66">
        <f t="shared" si="1"/>
        <v>0</v>
      </c>
    </row>
    <row r="131" spans="1:5" hidden="1" x14ac:dyDescent="0.3">
      <c r="A131" s="62" t="s">
        <v>600</v>
      </c>
      <c r="B131" s="62" t="s">
        <v>566</v>
      </c>
      <c r="C131" s="64"/>
      <c r="D131" s="68"/>
      <c r="E131" s="66">
        <f t="shared" si="1"/>
        <v>0</v>
      </c>
    </row>
    <row r="132" spans="1:5" hidden="1" x14ac:dyDescent="0.3">
      <c r="A132" s="62" t="s">
        <v>118</v>
      </c>
      <c r="B132" s="62" t="s">
        <v>571</v>
      </c>
      <c r="C132" s="64"/>
      <c r="D132" s="68"/>
      <c r="E132" s="66">
        <f t="shared" si="1"/>
        <v>0</v>
      </c>
    </row>
    <row r="133" spans="1:5" hidden="1" x14ac:dyDescent="0.3">
      <c r="A133" s="62" t="s">
        <v>537</v>
      </c>
      <c r="B133" s="62" t="s">
        <v>563</v>
      </c>
      <c r="C133" s="64"/>
      <c r="D133" s="68"/>
      <c r="E133" s="66">
        <f t="shared" ref="E133:E198" si="2">C133*D133</f>
        <v>0</v>
      </c>
    </row>
    <row r="134" spans="1:5" hidden="1" x14ac:dyDescent="0.3">
      <c r="A134" s="62" t="s">
        <v>524</v>
      </c>
      <c r="B134" s="62" t="s">
        <v>563</v>
      </c>
      <c r="C134" s="64"/>
      <c r="D134" s="68"/>
      <c r="E134" s="66">
        <f t="shared" si="2"/>
        <v>0</v>
      </c>
    </row>
    <row r="135" spans="1:5" hidden="1" x14ac:dyDescent="0.3">
      <c r="A135" s="62" t="s">
        <v>585</v>
      </c>
      <c r="B135" s="62" t="s">
        <v>563</v>
      </c>
      <c r="C135" s="64"/>
      <c r="D135" s="68"/>
      <c r="E135" s="66">
        <f t="shared" si="2"/>
        <v>0</v>
      </c>
    </row>
    <row r="136" spans="1:5" hidden="1" x14ac:dyDescent="0.3">
      <c r="A136" s="62" t="s">
        <v>115</v>
      </c>
      <c r="B136" s="62" t="s">
        <v>563</v>
      </c>
      <c r="C136" s="64"/>
      <c r="D136" s="68"/>
      <c r="E136" s="66">
        <f t="shared" si="2"/>
        <v>0</v>
      </c>
    </row>
    <row r="137" spans="1:5" hidden="1" x14ac:dyDescent="0.3">
      <c r="A137" s="62" t="s">
        <v>583</v>
      </c>
      <c r="B137" s="62" t="s">
        <v>566</v>
      </c>
      <c r="C137" s="64"/>
      <c r="D137" s="68"/>
      <c r="E137" s="66">
        <f t="shared" si="2"/>
        <v>0</v>
      </c>
    </row>
    <row r="138" spans="1:5" hidden="1" x14ac:dyDescent="0.3">
      <c r="A138" s="62" t="e">
        <v>#N/A</v>
      </c>
      <c r="B138" s="62">
        <v>0</v>
      </c>
      <c r="C138" s="64"/>
      <c r="D138" s="68"/>
      <c r="E138" s="66">
        <f t="shared" si="2"/>
        <v>0</v>
      </c>
    </row>
    <row r="139" spans="1:5" hidden="1" x14ac:dyDescent="0.3">
      <c r="E139" s="66">
        <f t="shared" si="2"/>
        <v>0</v>
      </c>
    </row>
    <row r="140" spans="1:5" x14ac:dyDescent="0.3">
      <c r="E140" s="66">
        <f>SUM(E4:E127)</f>
        <v>113382300</v>
      </c>
    </row>
    <row r="141" spans="1:5" x14ac:dyDescent="0.3">
      <c r="A141" s="108" t="s">
        <v>596</v>
      </c>
      <c r="E141" s="66"/>
    </row>
    <row r="142" spans="1:5" x14ac:dyDescent="0.3">
      <c r="A142" t="s">
        <v>0</v>
      </c>
      <c r="B142" t="s">
        <v>562</v>
      </c>
      <c r="C142" t="s">
        <v>544</v>
      </c>
      <c r="D142" t="s">
        <v>594</v>
      </c>
      <c r="E142" s="66" t="s">
        <v>129</v>
      </c>
    </row>
    <row r="143" spans="1:5" hidden="1" x14ac:dyDescent="0.3">
      <c r="A143" t="s">
        <v>1</v>
      </c>
      <c r="B143" t="s">
        <v>563</v>
      </c>
      <c r="E143" s="66">
        <f t="shared" si="2"/>
        <v>0</v>
      </c>
    </row>
    <row r="144" spans="1:5" hidden="1" x14ac:dyDescent="0.3">
      <c r="A144" t="s">
        <v>5</v>
      </c>
      <c r="B144" t="s">
        <v>563</v>
      </c>
      <c r="E144" s="66">
        <f t="shared" si="2"/>
        <v>0</v>
      </c>
    </row>
    <row r="145" spans="1:5" hidden="1" x14ac:dyDescent="0.3">
      <c r="A145" t="s">
        <v>6</v>
      </c>
      <c r="B145" t="s">
        <v>563</v>
      </c>
      <c r="E145" s="66">
        <f t="shared" si="2"/>
        <v>0</v>
      </c>
    </row>
    <row r="146" spans="1:5" hidden="1" x14ac:dyDescent="0.3">
      <c r="A146" t="s">
        <v>8</v>
      </c>
      <c r="B146" t="s">
        <v>563</v>
      </c>
      <c r="E146" s="66">
        <f t="shared" si="2"/>
        <v>0</v>
      </c>
    </row>
    <row r="147" spans="1:5" hidden="1" x14ac:dyDescent="0.3">
      <c r="A147" t="s">
        <v>119</v>
      </c>
      <c r="B147" t="s">
        <v>566</v>
      </c>
      <c r="E147" s="66">
        <f t="shared" si="2"/>
        <v>0</v>
      </c>
    </row>
    <row r="148" spans="1:5" x14ac:dyDescent="0.3">
      <c r="A148" t="s">
        <v>12</v>
      </c>
      <c r="B148" t="s">
        <v>563</v>
      </c>
      <c r="C148">
        <v>200</v>
      </c>
      <c r="D148">
        <v>25000</v>
      </c>
      <c r="E148" s="66">
        <f t="shared" si="2"/>
        <v>5000000</v>
      </c>
    </row>
    <row r="149" spans="1:5" hidden="1" x14ac:dyDescent="0.3">
      <c r="A149" t="s">
        <v>14</v>
      </c>
      <c r="B149" t="s">
        <v>566</v>
      </c>
      <c r="E149" s="66">
        <f t="shared" si="2"/>
        <v>0</v>
      </c>
    </row>
    <row r="150" spans="1:5" hidden="1" x14ac:dyDescent="0.3">
      <c r="A150" t="s">
        <v>15</v>
      </c>
      <c r="B150" t="s">
        <v>563</v>
      </c>
      <c r="E150" s="66">
        <f t="shared" si="2"/>
        <v>0</v>
      </c>
    </row>
    <row r="151" spans="1:5" hidden="1" x14ac:dyDescent="0.3">
      <c r="A151" t="s">
        <v>16</v>
      </c>
      <c r="B151" t="s">
        <v>563</v>
      </c>
      <c r="E151" s="66">
        <f t="shared" si="2"/>
        <v>0</v>
      </c>
    </row>
    <row r="152" spans="1:5" hidden="1" x14ac:dyDescent="0.3">
      <c r="A152" t="s">
        <v>110</v>
      </c>
      <c r="B152" t="s">
        <v>563</v>
      </c>
      <c r="E152" s="66">
        <f t="shared" si="2"/>
        <v>0</v>
      </c>
    </row>
    <row r="153" spans="1:5" hidden="1" x14ac:dyDescent="0.3">
      <c r="A153" t="s">
        <v>17</v>
      </c>
      <c r="B153" t="s">
        <v>563</v>
      </c>
      <c r="E153" s="66">
        <f t="shared" si="2"/>
        <v>0</v>
      </c>
    </row>
    <row r="154" spans="1:5" hidden="1" x14ac:dyDescent="0.3">
      <c r="A154" t="s">
        <v>21</v>
      </c>
      <c r="B154" t="s">
        <v>563</v>
      </c>
      <c r="E154" s="66">
        <f t="shared" si="2"/>
        <v>0</v>
      </c>
    </row>
    <row r="155" spans="1:5" hidden="1" x14ac:dyDescent="0.3">
      <c r="A155" t="s">
        <v>22</v>
      </c>
      <c r="B155" t="s">
        <v>563</v>
      </c>
      <c r="E155" s="66">
        <f t="shared" si="2"/>
        <v>0</v>
      </c>
    </row>
    <row r="156" spans="1:5" x14ac:dyDescent="0.3">
      <c r="A156" t="s">
        <v>23</v>
      </c>
      <c r="B156" t="s">
        <v>563</v>
      </c>
      <c r="C156">
        <v>910</v>
      </c>
      <c r="D156">
        <v>6800</v>
      </c>
      <c r="E156" s="66">
        <f t="shared" si="2"/>
        <v>6188000</v>
      </c>
    </row>
    <row r="157" spans="1:5" hidden="1" x14ac:dyDescent="0.3">
      <c r="A157" t="s">
        <v>27</v>
      </c>
      <c r="B157" t="s">
        <v>563</v>
      </c>
      <c r="E157" s="66">
        <f t="shared" si="2"/>
        <v>0</v>
      </c>
    </row>
    <row r="158" spans="1:5" hidden="1" x14ac:dyDescent="0.3">
      <c r="A158" t="s">
        <v>28</v>
      </c>
      <c r="B158" t="s">
        <v>563</v>
      </c>
      <c r="E158" s="66">
        <f t="shared" si="2"/>
        <v>0</v>
      </c>
    </row>
    <row r="159" spans="1:5" hidden="1" x14ac:dyDescent="0.3">
      <c r="A159" t="s">
        <v>29</v>
      </c>
      <c r="B159" t="s">
        <v>563</v>
      </c>
      <c r="E159" s="66">
        <f t="shared" si="2"/>
        <v>0</v>
      </c>
    </row>
    <row r="160" spans="1:5" hidden="1" x14ac:dyDescent="0.3">
      <c r="A160" t="s">
        <v>39</v>
      </c>
      <c r="B160" t="s">
        <v>568</v>
      </c>
      <c r="E160" s="66">
        <f t="shared" si="2"/>
        <v>0</v>
      </c>
    </row>
    <row r="161" spans="1:5" hidden="1" x14ac:dyDescent="0.3">
      <c r="A161" t="s">
        <v>41</v>
      </c>
      <c r="B161" t="s">
        <v>568</v>
      </c>
      <c r="E161" s="66">
        <f t="shared" si="2"/>
        <v>0</v>
      </c>
    </row>
    <row r="162" spans="1:5" hidden="1" x14ac:dyDescent="0.3">
      <c r="A162" t="s">
        <v>46</v>
      </c>
      <c r="B162" t="s">
        <v>568</v>
      </c>
      <c r="E162" s="66">
        <f t="shared" si="2"/>
        <v>0</v>
      </c>
    </row>
    <row r="163" spans="1:5" x14ac:dyDescent="0.3">
      <c r="A163" t="s">
        <v>48</v>
      </c>
      <c r="B163" t="s">
        <v>563</v>
      </c>
      <c r="C163">
        <v>30</v>
      </c>
      <c r="D163">
        <v>10000</v>
      </c>
      <c r="E163" s="66">
        <f t="shared" si="2"/>
        <v>300000</v>
      </c>
    </row>
    <row r="164" spans="1:5" x14ac:dyDescent="0.3">
      <c r="A164" t="s">
        <v>50</v>
      </c>
      <c r="B164" t="s">
        <v>563</v>
      </c>
      <c r="C164">
        <v>140</v>
      </c>
      <c r="D164">
        <v>7000</v>
      </c>
      <c r="E164" s="66">
        <f t="shared" si="2"/>
        <v>980000</v>
      </c>
    </row>
    <row r="165" spans="1:5" hidden="1" x14ac:dyDescent="0.3">
      <c r="A165" t="s">
        <v>51</v>
      </c>
      <c r="B165" t="s">
        <v>563</v>
      </c>
      <c r="E165" s="66">
        <f t="shared" si="2"/>
        <v>0</v>
      </c>
    </row>
    <row r="166" spans="1:5" hidden="1" x14ac:dyDescent="0.3">
      <c r="A166" t="s">
        <v>53</v>
      </c>
      <c r="B166" t="s">
        <v>563</v>
      </c>
      <c r="E166" s="66">
        <f t="shared" si="2"/>
        <v>0</v>
      </c>
    </row>
    <row r="167" spans="1:5" hidden="1" x14ac:dyDescent="0.3">
      <c r="A167" t="s">
        <v>56</v>
      </c>
      <c r="B167" t="s">
        <v>565</v>
      </c>
      <c r="E167" s="66">
        <f t="shared" si="2"/>
        <v>0</v>
      </c>
    </row>
    <row r="168" spans="1:5" hidden="1" x14ac:dyDescent="0.3">
      <c r="A168" t="s">
        <v>60</v>
      </c>
      <c r="B168" t="s">
        <v>563</v>
      </c>
      <c r="E168" s="66">
        <f t="shared" si="2"/>
        <v>0</v>
      </c>
    </row>
    <row r="169" spans="1:5" hidden="1" x14ac:dyDescent="0.3">
      <c r="A169" t="s">
        <v>62</v>
      </c>
      <c r="B169" t="s">
        <v>563</v>
      </c>
      <c r="E169" s="66">
        <f t="shared" si="2"/>
        <v>0</v>
      </c>
    </row>
    <row r="170" spans="1:5" hidden="1" x14ac:dyDescent="0.3">
      <c r="A170" t="s">
        <v>67</v>
      </c>
      <c r="B170" t="s">
        <v>566</v>
      </c>
      <c r="E170" s="66">
        <f t="shared" si="2"/>
        <v>0</v>
      </c>
    </row>
    <row r="171" spans="1:5" hidden="1" x14ac:dyDescent="0.3">
      <c r="A171" t="s">
        <v>68</v>
      </c>
      <c r="B171" t="s">
        <v>566</v>
      </c>
      <c r="E171" s="66">
        <f t="shared" si="2"/>
        <v>0</v>
      </c>
    </row>
    <row r="172" spans="1:5" x14ac:dyDescent="0.3">
      <c r="A172" t="s">
        <v>72</v>
      </c>
      <c r="B172" t="s">
        <v>564</v>
      </c>
      <c r="C172">
        <v>50</v>
      </c>
      <c r="D172">
        <v>10000</v>
      </c>
      <c r="E172" s="66">
        <f t="shared" si="2"/>
        <v>500000</v>
      </c>
    </row>
    <row r="173" spans="1:5" hidden="1" x14ac:dyDescent="0.3">
      <c r="A173" t="s">
        <v>76</v>
      </c>
      <c r="B173" t="s">
        <v>563</v>
      </c>
      <c r="E173" s="66">
        <f t="shared" si="2"/>
        <v>0</v>
      </c>
    </row>
    <row r="174" spans="1:5" hidden="1" x14ac:dyDescent="0.3">
      <c r="A174" t="s">
        <v>78</v>
      </c>
      <c r="B174" t="s">
        <v>563</v>
      </c>
      <c r="E174" s="66">
        <f t="shared" si="2"/>
        <v>0</v>
      </c>
    </row>
    <row r="175" spans="1:5" hidden="1" x14ac:dyDescent="0.3">
      <c r="A175" t="s">
        <v>79</v>
      </c>
      <c r="B175" t="s">
        <v>563</v>
      </c>
      <c r="E175" s="66">
        <f t="shared" si="2"/>
        <v>0</v>
      </c>
    </row>
    <row r="176" spans="1:5" hidden="1" x14ac:dyDescent="0.3">
      <c r="A176" t="s">
        <v>82</v>
      </c>
      <c r="B176" t="s">
        <v>563</v>
      </c>
      <c r="E176" s="66">
        <f t="shared" si="2"/>
        <v>0</v>
      </c>
    </row>
    <row r="177" spans="1:5" x14ac:dyDescent="0.3">
      <c r="A177" t="s">
        <v>87</v>
      </c>
      <c r="B177" t="s">
        <v>563</v>
      </c>
      <c r="C177">
        <v>60</v>
      </c>
      <c r="D177">
        <v>12500</v>
      </c>
      <c r="E177" s="66">
        <f t="shared" si="2"/>
        <v>750000</v>
      </c>
    </row>
    <row r="178" spans="1:5" hidden="1" x14ac:dyDescent="0.3">
      <c r="A178" t="s">
        <v>120</v>
      </c>
      <c r="B178" t="s">
        <v>563</v>
      </c>
      <c r="E178" s="66">
        <f t="shared" si="2"/>
        <v>0</v>
      </c>
    </row>
    <row r="179" spans="1:5" hidden="1" x14ac:dyDescent="0.3">
      <c r="A179" t="s">
        <v>109</v>
      </c>
      <c r="B179" t="s">
        <v>563</v>
      </c>
      <c r="E179" s="66">
        <f t="shared" si="2"/>
        <v>0</v>
      </c>
    </row>
    <row r="180" spans="1:5" hidden="1" x14ac:dyDescent="0.3">
      <c r="A180" t="s">
        <v>121</v>
      </c>
      <c r="B180" t="s">
        <v>563</v>
      </c>
      <c r="E180" s="66">
        <f t="shared" si="2"/>
        <v>0</v>
      </c>
    </row>
    <row r="181" spans="1:5" x14ac:dyDescent="0.3">
      <c r="A181" t="s">
        <v>122</v>
      </c>
      <c r="B181" t="s">
        <v>563</v>
      </c>
      <c r="C181">
        <v>32</v>
      </c>
      <c r="D181">
        <v>5000</v>
      </c>
      <c r="E181" s="66">
        <f t="shared" si="2"/>
        <v>160000</v>
      </c>
    </row>
    <row r="182" spans="1:5" hidden="1" x14ac:dyDescent="0.3">
      <c r="A182" t="s">
        <v>124</v>
      </c>
      <c r="B182" t="s">
        <v>566</v>
      </c>
      <c r="E182" s="66">
        <f t="shared" si="2"/>
        <v>0</v>
      </c>
    </row>
    <row r="183" spans="1:5" hidden="1" x14ac:dyDescent="0.3">
      <c r="A183" t="s">
        <v>123</v>
      </c>
      <c r="B183" t="s">
        <v>563</v>
      </c>
      <c r="E183" s="66">
        <f t="shared" si="2"/>
        <v>0</v>
      </c>
    </row>
    <row r="184" spans="1:5" hidden="1" x14ac:dyDescent="0.3">
      <c r="A184" t="s">
        <v>92</v>
      </c>
      <c r="B184" t="s">
        <v>563</v>
      </c>
      <c r="E184" s="66">
        <f t="shared" si="2"/>
        <v>0</v>
      </c>
    </row>
    <row r="185" spans="1:5" x14ac:dyDescent="0.3">
      <c r="A185" t="s">
        <v>125</v>
      </c>
      <c r="B185" t="s">
        <v>563</v>
      </c>
      <c r="C185">
        <v>70</v>
      </c>
      <c r="D185">
        <v>8000</v>
      </c>
      <c r="E185" s="66">
        <f t="shared" si="2"/>
        <v>560000</v>
      </c>
    </row>
    <row r="186" spans="1:5" hidden="1" x14ac:dyDescent="0.3">
      <c r="A186" t="e">
        <v>#N/A</v>
      </c>
      <c r="B186">
        <v>0</v>
      </c>
      <c r="E186" s="66">
        <f t="shared" si="2"/>
        <v>0</v>
      </c>
    </row>
    <row r="187" spans="1:5" hidden="1" x14ac:dyDescent="0.3">
      <c r="E187" s="66">
        <f t="shared" si="2"/>
        <v>0</v>
      </c>
    </row>
    <row r="188" spans="1:5" hidden="1" x14ac:dyDescent="0.3">
      <c r="E188" s="66">
        <f t="shared" si="2"/>
        <v>0</v>
      </c>
    </row>
    <row r="189" spans="1:5" hidden="1" x14ac:dyDescent="0.3">
      <c r="E189" s="66">
        <f t="shared" si="2"/>
        <v>0</v>
      </c>
    </row>
    <row r="190" spans="1:5" hidden="1" x14ac:dyDescent="0.3">
      <c r="E190" s="66">
        <f t="shared" si="2"/>
        <v>0</v>
      </c>
    </row>
    <row r="191" spans="1:5" hidden="1" x14ac:dyDescent="0.3">
      <c r="E191" s="66">
        <f t="shared" si="2"/>
        <v>0</v>
      </c>
    </row>
    <row r="192" spans="1:5" hidden="1" x14ac:dyDescent="0.3">
      <c r="E192" s="66">
        <f t="shared" si="2"/>
        <v>0</v>
      </c>
    </row>
    <row r="193" spans="5:5" hidden="1" x14ac:dyDescent="0.3">
      <c r="E193" s="66">
        <f t="shared" si="2"/>
        <v>0</v>
      </c>
    </row>
    <row r="194" spans="5:5" hidden="1" x14ac:dyDescent="0.3">
      <c r="E194" s="66">
        <f t="shared" si="2"/>
        <v>0</v>
      </c>
    </row>
    <row r="195" spans="5:5" hidden="1" x14ac:dyDescent="0.3">
      <c r="E195" s="66">
        <f t="shared" si="2"/>
        <v>0</v>
      </c>
    </row>
    <row r="196" spans="5:5" hidden="1" x14ac:dyDescent="0.3">
      <c r="E196" s="66">
        <f t="shared" si="2"/>
        <v>0</v>
      </c>
    </row>
    <row r="197" spans="5:5" hidden="1" x14ac:dyDescent="0.3">
      <c r="E197" s="66">
        <f t="shared" si="2"/>
        <v>0</v>
      </c>
    </row>
    <row r="198" spans="5:5" hidden="1" x14ac:dyDescent="0.3">
      <c r="E198" s="66">
        <f t="shared" si="2"/>
        <v>0</v>
      </c>
    </row>
    <row r="199" spans="5:5" hidden="1" x14ac:dyDescent="0.3">
      <c r="E199" s="66">
        <f t="shared" ref="E199:E256" si="3">C199*D199</f>
        <v>0</v>
      </c>
    </row>
    <row r="200" spans="5:5" hidden="1" x14ac:dyDescent="0.3">
      <c r="E200" s="66">
        <f t="shared" si="3"/>
        <v>0</v>
      </c>
    </row>
    <row r="201" spans="5:5" hidden="1" x14ac:dyDescent="0.3">
      <c r="E201" s="66">
        <f t="shared" si="3"/>
        <v>0</v>
      </c>
    </row>
    <row r="202" spans="5:5" hidden="1" x14ac:dyDescent="0.3">
      <c r="E202" s="66">
        <f t="shared" si="3"/>
        <v>0</v>
      </c>
    </row>
    <row r="203" spans="5:5" hidden="1" x14ac:dyDescent="0.3">
      <c r="E203" s="66">
        <f t="shared" si="3"/>
        <v>0</v>
      </c>
    </row>
    <row r="204" spans="5:5" hidden="1" x14ac:dyDescent="0.3">
      <c r="E204" s="66">
        <f t="shared" si="3"/>
        <v>0</v>
      </c>
    </row>
    <row r="205" spans="5:5" hidden="1" x14ac:dyDescent="0.3">
      <c r="E205" s="66">
        <f t="shared" si="3"/>
        <v>0</v>
      </c>
    </row>
    <row r="206" spans="5:5" hidden="1" x14ac:dyDescent="0.3">
      <c r="E206" s="66">
        <f t="shared" si="3"/>
        <v>0</v>
      </c>
    </row>
    <row r="207" spans="5:5" hidden="1" x14ac:dyDescent="0.3">
      <c r="E207" s="66">
        <f t="shared" si="3"/>
        <v>0</v>
      </c>
    </row>
    <row r="208" spans="5:5" hidden="1" x14ac:dyDescent="0.3">
      <c r="E208" s="66">
        <f t="shared" si="3"/>
        <v>0</v>
      </c>
    </row>
    <row r="209" spans="5:5" hidden="1" x14ac:dyDescent="0.3">
      <c r="E209" s="66">
        <f t="shared" si="3"/>
        <v>0</v>
      </c>
    </row>
    <row r="210" spans="5:5" hidden="1" x14ac:dyDescent="0.3">
      <c r="E210" s="66">
        <f t="shared" si="3"/>
        <v>0</v>
      </c>
    </row>
    <row r="211" spans="5:5" hidden="1" x14ac:dyDescent="0.3">
      <c r="E211" s="66">
        <f t="shared" si="3"/>
        <v>0</v>
      </c>
    </row>
    <row r="212" spans="5:5" hidden="1" x14ac:dyDescent="0.3">
      <c r="E212" s="66">
        <f t="shared" si="3"/>
        <v>0</v>
      </c>
    </row>
    <row r="213" spans="5:5" hidden="1" x14ac:dyDescent="0.3">
      <c r="E213" s="66">
        <f t="shared" si="3"/>
        <v>0</v>
      </c>
    </row>
    <row r="214" spans="5:5" hidden="1" x14ac:dyDescent="0.3">
      <c r="E214" s="66">
        <f t="shared" si="3"/>
        <v>0</v>
      </c>
    </row>
    <row r="215" spans="5:5" hidden="1" x14ac:dyDescent="0.3">
      <c r="E215" s="66">
        <f t="shared" si="3"/>
        <v>0</v>
      </c>
    </row>
    <row r="216" spans="5:5" hidden="1" x14ac:dyDescent="0.3">
      <c r="E216" s="66">
        <f t="shared" si="3"/>
        <v>0</v>
      </c>
    </row>
    <row r="217" spans="5:5" hidden="1" x14ac:dyDescent="0.3">
      <c r="E217" s="66">
        <f t="shared" si="3"/>
        <v>0</v>
      </c>
    </row>
    <row r="218" spans="5:5" hidden="1" x14ac:dyDescent="0.3">
      <c r="E218" s="66">
        <f t="shared" si="3"/>
        <v>0</v>
      </c>
    </row>
    <row r="219" spans="5:5" hidden="1" x14ac:dyDescent="0.3">
      <c r="E219" s="66">
        <f t="shared" si="3"/>
        <v>0</v>
      </c>
    </row>
    <row r="220" spans="5:5" hidden="1" x14ac:dyDescent="0.3">
      <c r="E220" s="66">
        <f t="shared" si="3"/>
        <v>0</v>
      </c>
    </row>
    <row r="221" spans="5:5" hidden="1" x14ac:dyDescent="0.3">
      <c r="E221" s="66">
        <f t="shared" si="3"/>
        <v>0</v>
      </c>
    </row>
    <row r="222" spans="5:5" hidden="1" x14ac:dyDescent="0.3">
      <c r="E222" s="66">
        <f t="shared" si="3"/>
        <v>0</v>
      </c>
    </row>
    <row r="223" spans="5:5" hidden="1" x14ac:dyDescent="0.3">
      <c r="E223" s="66">
        <f t="shared" si="3"/>
        <v>0</v>
      </c>
    </row>
    <row r="224" spans="5:5" hidden="1" x14ac:dyDescent="0.3">
      <c r="E224" s="66">
        <f t="shared" si="3"/>
        <v>0</v>
      </c>
    </row>
    <row r="225" spans="5:5" hidden="1" x14ac:dyDescent="0.3">
      <c r="E225" s="66">
        <f t="shared" si="3"/>
        <v>0</v>
      </c>
    </row>
    <row r="226" spans="5:5" hidden="1" x14ac:dyDescent="0.3">
      <c r="E226" s="66">
        <f t="shared" si="3"/>
        <v>0</v>
      </c>
    </row>
    <row r="227" spans="5:5" hidden="1" x14ac:dyDescent="0.3">
      <c r="E227" s="66">
        <f t="shared" si="3"/>
        <v>0</v>
      </c>
    </row>
    <row r="228" spans="5:5" hidden="1" x14ac:dyDescent="0.3">
      <c r="E228" s="66">
        <f t="shared" si="3"/>
        <v>0</v>
      </c>
    </row>
    <row r="229" spans="5:5" hidden="1" x14ac:dyDescent="0.3">
      <c r="E229" s="66">
        <f t="shared" si="3"/>
        <v>0</v>
      </c>
    </row>
    <row r="230" spans="5:5" hidden="1" x14ac:dyDescent="0.3">
      <c r="E230" s="66">
        <f t="shared" si="3"/>
        <v>0</v>
      </c>
    </row>
    <row r="231" spans="5:5" hidden="1" x14ac:dyDescent="0.3">
      <c r="E231" s="66">
        <f t="shared" si="3"/>
        <v>0</v>
      </c>
    </row>
    <row r="232" spans="5:5" hidden="1" x14ac:dyDescent="0.3">
      <c r="E232" s="66">
        <f t="shared" si="3"/>
        <v>0</v>
      </c>
    </row>
    <row r="233" spans="5:5" hidden="1" x14ac:dyDescent="0.3">
      <c r="E233" s="66">
        <f t="shared" si="3"/>
        <v>0</v>
      </c>
    </row>
    <row r="234" spans="5:5" hidden="1" x14ac:dyDescent="0.3">
      <c r="E234" s="66">
        <f t="shared" si="3"/>
        <v>0</v>
      </c>
    </row>
    <row r="235" spans="5:5" hidden="1" x14ac:dyDescent="0.3">
      <c r="E235" s="66">
        <f t="shared" si="3"/>
        <v>0</v>
      </c>
    </row>
    <row r="236" spans="5:5" hidden="1" x14ac:dyDescent="0.3">
      <c r="E236" s="66">
        <f t="shared" si="3"/>
        <v>0</v>
      </c>
    </row>
    <row r="237" spans="5:5" hidden="1" x14ac:dyDescent="0.3">
      <c r="E237" s="66">
        <f t="shared" si="3"/>
        <v>0</v>
      </c>
    </row>
    <row r="238" spans="5:5" hidden="1" x14ac:dyDescent="0.3">
      <c r="E238" s="66">
        <f t="shared" si="3"/>
        <v>0</v>
      </c>
    </row>
    <row r="239" spans="5:5" hidden="1" x14ac:dyDescent="0.3">
      <c r="E239" s="66">
        <f t="shared" si="3"/>
        <v>0</v>
      </c>
    </row>
    <row r="240" spans="5:5" hidden="1" x14ac:dyDescent="0.3">
      <c r="E240" s="66">
        <f t="shared" si="3"/>
        <v>0</v>
      </c>
    </row>
    <row r="241" spans="5:5" hidden="1" x14ac:dyDescent="0.3">
      <c r="E241" s="66">
        <f t="shared" si="3"/>
        <v>0</v>
      </c>
    </row>
    <row r="242" spans="5:5" hidden="1" x14ac:dyDescent="0.3">
      <c r="E242" s="66">
        <f t="shared" si="3"/>
        <v>0</v>
      </c>
    </row>
    <row r="243" spans="5:5" hidden="1" x14ac:dyDescent="0.3">
      <c r="E243" s="66">
        <f t="shared" si="3"/>
        <v>0</v>
      </c>
    </row>
    <row r="244" spans="5:5" hidden="1" x14ac:dyDescent="0.3">
      <c r="E244" s="66">
        <f t="shared" si="3"/>
        <v>0</v>
      </c>
    </row>
    <row r="245" spans="5:5" hidden="1" x14ac:dyDescent="0.3">
      <c r="E245" s="66">
        <f t="shared" si="3"/>
        <v>0</v>
      </c>
    </row>
    <row r="246" spans="5:5" hidden="1" x14ac:dyDescent="0.3">
      <c r="E246" s="66">
        <f t="shared" si="3"/>
        <v>0</v>
      </c>
    </row>
    <row r="247" spans="5:5" hidden="1" x14ac:dyDescent="0.3">
      <c r="E247" s="66">
        <f t="shared" si="3"/>
        <v>0</v>
      </c>
    </row>
    <row r="248" spans="5:5" hidden="1" x14ac:dyDescent="0.3">
      <c r="E248" s="66">
        <f t="shared" si="3"/>
        <v>0</v>
      </c>
    </row>
    <row r="249" spans="5:5" hidden="1" x14ac:dyDescent="0.3">
      <c r="E249" s="66">
        <f t="shared" si="3"/>
        <v>0</v>
      </c>
    </row>
    <row r="250" spans="5:5" hidden="1" x14ac:dyDescent="0.3">
      <c r="E250" s="66">
        <f t="shared" si="3"/>
        <v>0</v>
      </c>
    </row>
    <row r="251" spans="5:5" hidden="1" x14ac:dyDescent="0.3">
      <c r="E251" s="66">
        <f t="shared" si="3"/>
        <v>0</v>
      </c>
    </row>
    <row r="252" spans="5:5" hidden="1" x14ac:dyDescent="0.3">
      <c r="E252" s="66">
        <f t="shared" si="3"/>
        <v>0</v>
      </c>
    </row>
    <row r="253" spans="5:5" hidden="1" x14ac:dyDescent="0.3">
      <c r="E253" s="66">
        <f t="shared" si="3"/>
        <v>0</v>
      </c>
    </row>
    <row r="254" spans="5:5" hidden="1" x14ac:dyDescent="0.3">
      <c r="E254" s="66">
        <f t="shared" si="3"/>
        <v>0</v>
      </c>
    </row>
    <row r="255" spans="5:5" hidden="1" x14ac:dyDescent="0.3">
      <c r="E255" s="66">
        <f t="shared" si="3"/>
        <v>0</v>
      </c>
    </row>
    <row r="256" spans="5:5" hidden="1" x14ac:dyDescent="0.3">
      <c r="E256" s="66">
        <f t="shared" si="3"/>
        <v>0</v>
      </c>
    </row>
    <row r="257" spans="5:5" hidden="1" x14ac:dyDescent="0.3">
      <c r="E257" s="66">
        <f t="shared" ref="E257:E262" si="4">C257*D257</f>
        <v>0</v>
      </c>
    </row>
    <row r="258" spans="5:5" hidden="1" x14ac:dyDescent="0.3">
      <c r="E258" s="66">
        <f t="shared" si="4"/>
        <v>0</v>
      </c>
    </row>
    <row r="259" spans="5:5" hidden="1" x14ac:dyDescent="0.3">
      <c r="E259" s="66">
        <f t="shared" si="4"/>
        <v>0</v>
      </c>
    </row>
    <row r="260" spans="5:5" hidden="1" x14ac:dyDescent="0.3">
      <c r="E260" s="66">
        <f t="shared" si="4"/>
        <v>0</v>
      </c>
    </row>
    <row r="261" spans="5:5" hidden="1" x14ac:dyDescent="0.3">
      <c r="E261" s="66">
        <f t="shared" si="4"/>
        <v>0</v>
      </c>
    </row>
    <row r="262" spans="5:5" hidden="1" x14ac:dyDescent="0.3">
      <c r="E262" s="66">
        <f t="shared" si="4"/>
        <v>0</v>
      </c>
    </row>
    <row r="263" spans="5:5" hidden="1" x14ac:dyDescent="0.3">
      <c r="E263" s="66">
        <f t="shared" ref="E263" si="5">C263*D263</f>
        <v>0</v>
      </c>
    </row>
    <row r="264" spans="5:5" x14ac:dyDescent="0.3">
      <c r="E264" s="83">
        <f>SUM(E148:E185)</f>
        <v>14438000</v>
      </c>
    </row>
    <row r="266" spans="5:5" x14ac:dyDescent="0.3">
      <c r="E266" s="83">
        <f>E264+E140</f>
        <v>127820300</v>
      </c>
    </row>
  </sheetData>
  <autoFilter ref="A3:E263" xr:uid="{00000000-0009-0000-0000-000015000000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2:E148"/>
  <sheetViews>
    <sheetView topLeftCell="A85" workbookViewId="0">
      <selection activeCell="E148" sqref="E148"/>
    </sheetView>
  </sheetViews>
  <sheetFormatPr defaultRowHeight="14.4" x14ac:dyDescent="0.3"/>
  <cols>
    <col min="1" max="1" width="39.109375" customWidth="1"/>
    <col min="3" max="3" width="12.33203125" customWidth="1"/>
    <col min="4" max="4" width="14.44140625" customWidth="1"/>
    <col min="5" max="5" width="22" customWidth="1"/>
  </cols>
  <sheetData>
    <row r="2" spans="1:5" x14ac:dyDescent="0.3">
      <c r="A2" s="87" t="s">
        <v>597</v>
      </c>
      <c r="B2" s="87"/>
      <c r="C2" s="88"/>
      <c r="D2" s="88"/>
      <c r="E2" s="88"/>
    </row>
    <row r="3" spans="1:5" ht="18.600000000000001" x14ac:dyDescent="0.3">
      <c r="A3" s="60" t="s">
        <v>0</v>
      </c>
      <c r="B3" s="60" t="s">
        <v>562</v>
      </c>
      <c r="C3" s="61" t="s">
        <v>608</v>
      </c>
      <c r="D3" s="82" t="s">
        <v>594</v>
      </c>
      <c r="E3" s="65" t="s">
        <v>129</v>
      </c>
    </row>
    <row r="4" spans="1:5" x14ac:dyDescent="0.3">
      <c r="A4" s="62" t="s">
        <v>1</v>
      </c>
      <c r="B4" s="62" t="s">
        <v>563</v>
      </c>
      <c r="C4" s="63">
        <v>88</v>
      </c>
      <c r="D4" s="66">
        <v>18000</v>
      </c>
      <c r="E4" s="66">
        <f>C4*D4</f>
        <v>1584000</v>
      </c>
    </row>
    <row r="5" spans="1:5" hidden="1" x14ac:dyDescent="0.3">
      <c r="A5" s="62" t="s">
        <v>1</v>
      </c>
      <c r="B5" s="62" t="s">
        <v>566</v>
      </c>
      <c r="C5" s="63"/>
      <c r="D5" s="66"/>
      <c r="E5" s="66">
        <f t="shared" ref="E5:E68" si="0">C5*D5</f>
        <v>0</v>
      </c>
    </row>
    <row r="6" spans="1:5" hidden="1" x14ac:dyDescent="0.3">
      <c r="A6" s="62" t="s">
        <v>2</v>
      </c>
      <c r="B6" s="62" t="s">
        <v>564</v>
      </c>
      <c r="C6" s="63"/>
      <c r="D6" s="66"/>
      <c r="E6" s="66">
        <f t="shared" si="0"/>
        <v>0</v>
      </c>
    </row>
    <row r="7" spans="1:5" x14ac:dyDescent="0.3">
      <c r="A7" s="62" t="s">
        <v>4</v>
      </c>
      <c r="B7" s="62" t="s">
        <v>565</v>
      </c>
      <c r="C7" s="63">
        <v>16</v>
      </c>
      <c r="D7" s="66">
        <v>9000</v>
      </c>
      <c r="E7" s="66">
        <f t="shared" si="0"/>
        <v>144000</v>
      </c>
    </row>
    <row r="8" spans="1:5" hidden="1" x14ac:dyDescent="0.3">
      <c r="A8" s="62" t="s">
        <v>5</v>
      </c>
      <c r="B8" s="62" t="s">
        <v>563</v>
      </c>
      <c r="C8" s="63"/>
      <c r="D8" s="66"/>
      <c r="E8" s="66">
        <f t="shared" si="0"/>
        <v>0</v>
      </c>
    </row>
    <row r="9" spans="1:5" x14ac:dyDescent="0.3">
      <c r="A9" s="62" t="s">
        <v>6</v>
      </c>
      <c r="B9" s="62" t="s">
        <v>563</v>
      </c>
      <c r="C9" s="63">
        <v>78</v>
      </c>
      <c r="D9" s="66">
        <v>15000</v>
      </c>
      <c r="E9" s="66">
        <f t="shared" si="0"/>
        <v>1170000</v>
      </c>
    </row>
    <row r="10" spans="1:5" hidden="1" x14ac:dyDescent="0.3">
      <c r="A10" s="62" t="s">
        <v>6</v>
      </c>
      <c r="B10" s="62" t="s">
        <v>566</v>
      </c>
      <c r="C10" s="63"/>
      <c r="D10" s="66"/>
      <c r="E10" s="66">
        <f t="shared" si="0"/>
        <v>0</v>
      </c>
    </row>
    <row r="11" spans="1:5" x14ac:dyDescent="0.3">
      <c r="A11" s="62" t="s">
        <v>7</v>
      </c>
      <c r="B11" s="62" t="s">
        <v>563</v>
      </c>
      <c r="C11" s="63">
        <v>2</v>
      </c>
      <c r="D11" s="66">
        <v>44000</v>
      </c>
      <c r="E11" s="66">
        <f t="shared" si="0"/>
        <v>88000</v>
      </c>
    </row>
    <row r="12" spans="1:5" x14ac:dyDescent="0.3">
      <c r="A12" s="62" t="s">
        <v>8</v>
      </c>
      <c r="B12" s="62" t="s">
        <v>563</v>
      </c>
      <c r="C12" s="63">
        <v>452</v>
      </c>
      <c r="D12" s="66">
        <v>25000</v>
      </c>
      <c r="E12" s="66">
        <f t="shared" si="0"/>
        <v>11300000</v>
      </c>
    </row>
    <row r="13" spans="1:5" x14ac:dyDescent="0.3">
      <c r="A13" s="62" t="s">
        <v>10</v>
      </c>
      <c r="B13" s="62" t="s">
        <v>566</v>
      </c>
      <c r="C13" s="63">
        <v>266.66666666666669</v>
      </c>
      <c r="D13" s="66">
        <v>4800</v>
      </c>
      <c r="E13" s="66">
        <f t="shared" si="0"/>
        <v>1280000</v>
      </c>
    </row>
    <row r="14" spans="1:5" hidden="1" x14ac:dyDescent="0.3">
      <c r="A14" s="62" t="s">
        <v>12</v>
      </c>
      <c r="B14" s="62" t="s">
        <v>563</v>
      </c>
      <c r="C14" s="63"/>
      <c r="D14" s="66"/>
      <c r="E14" s="66">
        <f t="shared" si="0"/>
        <v>0</v>
      </c>
    </row>
    <row r="15" spans="1:5" hidden="1" x14ac:dyDescent="0.3">
      <c r="A15" s="62" t="s">
        <v>14</v>
      </c>
      <c r="B15" s="62" t="s">
        <v>566</v>
      </c>
      <c r="C15" s="63"/>
      <c r="D15" s="66"/>
      <c r="E15" s="66">
        <f t="shared" si="0"/>
        <v>0</v>
      </c>
    </row>
    <row r="16" spans="1:5" x14ac:dyDescent="0.3">
      <c r="A16" s="62" t="s">
        <v>15</v>
      </c>
      <c r="B16" s="62" t="s">
        <v>563</v>
      </c>
      <c r="C16" s="63">
        <v>360</v>
      </c>
      <c r="D16" s="66">
        <v>16000</v>
      </c>
      <c r="E16" s="66">
        <f t="shared" si="0"/>
        <v>5760000</v>
      </c>
    </row>
    <row r="17" spans="1:5" hidden="1" x14ac:dyDescent="0.3">
      <c r="A17" s="62" t="s">
        <v>15</v>
      </c>
      <c r="B17" s="62" t="s">
        <v>566</v>
      </c>
      <c r="C17" s="63"/>
      <c r="D17" s="66"/>
      <c r="E17" s="66">
        <f t="shared" si="0"/>
        <v>0</v>
      </c>
    </row>
    <row r="18" spans="1:5" hidden="1" x14ac:dyDescent="0.3">
      <c r="A18" s="62" t="s">
        <v>16</v>
      </c>
      <c r="B18" s="62" t="s">
        <v>563</v>
      </c>
      <c r="C18" s="63"/>
      <c r="D18" s="66"/>
      <c r="E18" s="66">
        <f t="shared" si="0"/>
        <v>0</v>
      </c>
    </row>
    <row r="19" spans="1:5" hidden="1" x14ac:dyDescent="0.3">
      <c r="A19" s="62" t="s">
        <v>18</v>
      </c>
      <c r="B19" s="62" t="s">
        <v>563</v>
      </c>
      <c r="C19" s="63"/>
      <c r="D19" s="66"/>
      <c r="E19" s="66">
        <f t="shared" si="0"/>
        <v>0</v>
      </c>
    </row>
    <row r="20" spans="1:5" hidden="1" x14ac:dyDescent="0.3">
      <c r="A20" s="62" t="s">
        <v>19</v>
      </c>
      <c r="B20" s="62" t="s">
        <v>564</v>
      </c>
      <c r="C20" s="63"/>
      <c r="D20" s="66"/>
      <c r="E20" s="66">
        <f t="shared" si="0"/>
        <v>0</v>
      </c>
    </row>
    <row r="21" spans="1:5" x14ac:dyDescent="0.3">
      <c r="A21" s="62" t="s">
        <v>21</v>
      </c>
      <c r="B21" s="62" t="s">
        <v>563</v>
      </c>
      <c r="C21" s="63">
        <v>33</v>
      </c>
      <c r="D21" s="66">
        <v>25000</v>
      </c>
      <c r="E21" s="66">
        <f t="shared" si="0"/>
        <v>825000</v>
      </c>
    </row>
    <row r="22" spans="1:5" x14ac:dyDescent="0.3">
      <c r="A22" s="62" t="s">
        <v>22</v>
      </c>
      <c r="B22" s="62" t="s">
        <v>563</v>
      </c>
      <c r="C22" s="63">
        <v>200</v>
      </c>
      <c r="D22" s="66">
        <v>9000</v>
      </c>
      <c r="E22" s="66">
        <f t="shared" si="0"/>
        <v>1800000</v>
      </c>
    </row>
    <row r="23" spans="1:5" x14ac:dyDescent="0.3">
      <c r="A23" s="62" t="s">
        <v>23</v>
      </c>
      <c r="B23" s="62" t="s">
        <v>563</v>
      </c>
      <c r="C23" s="63">
        <v>3164</v>
      </c>
      <c r="D23" s="66">
        <v>6800</v>
      </c>
      <c r="E23" s="66">
        <f t="shared" si="0"/>
        <v>21515200</v>
      </c>
    </row>
    <row r="24" spans="1:5" hidden="1" x14ac:dyDescent="0.3">
      <c r="A24" s="62" t="s">
        <v>24</v>
      </c>
      <c r="B24" s="62" t="s">
        <v>563</v>
      </c>
      <c r="C24" s="63"/>
      <c r="D24" s="66"/>
      <c r="E24" s="66">
        <f t="shared" si="0"/>
        <v>0</v>
      </c>
    </row>
    <row r="25" spans="1:5" x14ac:dyDescent="0.3">
      <c r="A25" s="62" t="s">
        <v>24</v>
      </c>
      <c r="B25" s="62" t="s">
        <v>566</v>
      </c>
      <c r="C25" s="63">
        <v>20</v>
      </c>
      <c r="D25" s="66">
        <v>11000</v>
      </c>
      <c r="E25" s="66">
        <f t="shared" si="0"/>
        <v>220000</v>
      </c>
    </row>
    <row r="26" spans="1:5" hidden="1" x14ac:dyDescent="0.3">
      <c r="A26" s="62" t="s">
        <v>25</v>
      </c>
      <c r="B26" s="62" t="s">
        <v>566</v>
      </c>
      <c r="C26" s="63"/>
      <c r="D26" s="66"/>
      <c r="E26" s="66">
        <f t="shared" si="0"/>
        <v>0</v>
      </c>
    </row>
    <row r="27" spans="1:5" hidden="1" x14ac:dyDescent="0.3">
      <c r="A27" s="62" t="s">
        <v>26</v>
      </c>
      <c r="B27" s="62" t="s">
        <v>566</v>
      </c>
      <c r="C27" s="63"/>
      <c r="D27" s="66"/>
      <c r="E27" s="66">
        <f t="shared" si="0"/>
        <v>0</v>
      </c>
    </row>
    <row r="28" spans="1:5" x14ac:dyDescent="0.3">
      <c r="A28" s="62" t="s">
        <v>27</v>
      </c>
      <c r="B28" s="62" t="s">
        <v>563</v>
      </c>
      <c r="C28" s="63">
        <v>120</v>
      </c>
      <c r="D28" s="66">
        <v>14000</v>
      </c>
      <c r="E28" s="66">
        <f t="shared" si="0"/>
        <v>1680000</v>
      </c>
    </row>
    <row r="29" spans="1:5" hidden="1" x14ac:dyDescent="0.3">
      <c r="A29" s="62" t="s">
        <v>28</v>
      </c>
      <c r="B29" s="62" t="s">
        <v>568</v>
      </c>
      <c r="C29" s="63"/>
      <c r="D29" s="66"/>
      <c r="E29" s="66">
        <f t="shared" si="0"/>
        <v>0</v>
      </c>
    </row>
    <row r="30" spans="1:5" hidden="1" x14ac:dyDescent="0.3">
      <c r="A30" s="62" t="s">
        <v>28</v>
      </c>
      <c r="B30" s="62" t="s">
        <v>563</v>
      </c>
      <c r="C30" s="63"/>
      <c r="D30" s="66"/>
      <c r="E30" s="66">
        <f t="shared" si="0"/>
        <v>0</v>
      </c>
    </row>
    <row r="31" spans="1:5" hidden="1" x14ac:dyDescent="0.3">
      <c r="A31" s="62" t="s">
        <v>29</v>
      </c>
      <c r="B31" s="62" t="s">
        <v>568</v>
      </c>
      <c r="C31" s="64"/>
      <c r="D31" s="68"/>
      <c r="E31" s="66">
        <f t="shared" si="0"/>
        <v>0</v>
      </c>
    </row>
    <row r="32" spans="1:5" x14ac:dyDescent="0.3">
      <c r="A32" s="62" t="s">
        <v>29</v>
      </c>
      <c r="B32" s="62" t="s">
        <v>563</v>
      </c>
      <c r="C32" s="64">
        <v>5</v>
      </c>
      <c r="D32" s="68">
        <v>37000</v>
      </c>
      <c r="E32" s="66">
        <f t="shared" si="0"/>
        <v>185000</v>
      </c>
    </row>
    <row r="33" spans="1:5" hidden="1" x14ac:dyDescent="0.3">
      <c r="A33" s="62" t="s">
        <v>30</v>
      </c>
      <c r="B33" s="62" t="s">
        <v>566</v>
      </c>
      <c r="C33" s="64"/>
      <c r="D33" s="68"/>
      <c r="E33" s="66">
        <f t="shared" si="0"/>
        <v>0</v>
      </c>
    </row>
    <row r="34" spans="1:5" hidden="1" x14ac:dyDescent="0.3">
      <c r="A34" s="62" t="s">
        <v>31</v>
      </c>
      <c r="B34" s="62" t="s">
        <v>563</v>
      </c>
      <c r="C34" s="64"/>
      <c r="D34" s="68"/>
      <c r="E34" s="66">
        <f t="shared" si="0"/>
        <v>0</v>
      </c>
    </row>
    <row r="35" spans="1:5" hidden="1" x14ac:dyDescent="0.3">
      <c r="A35" s="62" t="s">
        <v>37</v>
      </c>
      <c r="B35" s="62" t="s">
        <v>563</v>
      </c>
      <c r="C35" s="64"/>
      <c r="D35" s="68"/>
      <c r="E35" s="66">
        <f t="shared" si="0"/>
        <v>0</v>
      </c>
    </row>
    <row r="36" spans="1:5" hidden="1" x14ac:dyDescent="0.3">
      <c r="A36" s="62" t="s">
        <v>38</v>
      </c>
      <c r="B36" s="62" t="s">
        <v>563</v>
      </c>
      <c r="C36" s="64"/>
      <c r="D36" s="68"/>
      <c r="E36" s="66">
        <f t="shared" si="0"/>
        <v>0</v>
      </c>
    </row>
    <row r="37" spans="1:5" hidden="1" x14ac:dyDescent="0.3">
      <c r="A37" s="62" t="s">
        <v>39</v>
      </c>
      <c r="B37" s="62" t="s">
        <v>568</v>
      </c>
      <c r="C37" s="64"/>
      <c r="D37" s="68"/>
      <c r="E37" s="66">
        <f t="shared" si="0"/>
        <v>0</v>
      </c>
    </row>
    <row r="38" spans="1:5" hidden="1" x14ac:dyDescent="0.3">
      <c r="A38" s="62" t="s">
        <v>40</v>
      </c>
      <c r="B38" s="62" t="s">
        <v>563</v>
      </c>
      <c r="C38" s="64"/>
      <c r="D38" s="68"/>
      <c r="E38" s="66">
        <f t="shared" si="0"/>
        <v>0</v>
      </c>
    </row>
    <row r="39" spans="1:5" hidden="1" x14ac:dyDescent="0.3">
      <c r="A39" s="62" t="s">
        <v>41</v>
      </c>
      <c r="B39" s="62" t="s">
        <v>568</v>
      </c>
      <c r="C39" s="64"/>
      <c r="D39" s="68"/>
      <c r="E39" s="66">
        <f t="shared" si="0"/>
        <v>0</v>
      </c>
    </row>
    <row r="40" spans="1:5" hidden="1" x14ac:dyDescent="0.3">
      <c r="A40" s="62" t="s">
        <v>45</v>
      </c>
      <c r="B40" s="62" t="s">
        <v>563</v>
      </c>
      <c r="C40" s="64"/>
      <c r="D40" s="68"/>
      <c r="E40" s="66">
        <f t="shared" si="0"/>
        <v>0</v>
      </c>
    </row>
    <row r="41" spans="1:5" hidden="1" x14ac:dyDescent="0.3">
      <c r="A41" s="62" t="s">
        <v>46</v>
      </c>
      <c r="B41" s="62" t="s">
        <v>568</v>
      </c>
      <c r="C41" s="64"/>
      <c r="D41" s="68"/>
      <c r="E41" s="66">
        <f t="shared" si="0"/>
        <v>0</v>
      </c>
    </row>
    <row r="42" spans="1:5" hidden="1" x14ac:dyDescent="0.3">
      <c r="A42" s="62" t="s">
        <v>49</v>
      </c>
      <c r="B42" s="62" t="s">
        <v>563</v>
      </c>
      <c r="C42" s="64"/>
      <c r="D42" s="68"/>
      <c r="E42" s="66">
        <f t="shared" si="0"/>
        <v>0</v>
      </c>
    </row>
    <row r="43" spans="1:5" x14ac:dyDescent="0.3">
      <c r="A43" s="62" t="s">
        <v>50</v>
      </c>
      <c r="B43" s="62" t="s">
        <v>563</v>
      </c>
      <c r="C43" s="64">
        <v>100</v>
      </c>
      <c r="D43" s="68">
        <v>7000</v>
      </c>
      <c r="E43" s="66">
        <f t="shared" si="0"/>
        <v>700000</v>
      </c>
    </row>
    <row r="44" spans="1:5" x14ac:dyDescent="0.3">
      <c r="A44" s="62" t="s">
        <v>51</v>
      </c>
      <c r="B44" s="62" t="s">
        <v>563</v>
      </c>
      <c r="C44" s="64">
        <v>230</v>
      </c>
      <c r="D44" s="68">
        <v>19000</v>
      </c>
      <c r="E44" s="66">
        <f t="shared" si="0"/>
        <v>4370000</v>
      </c>
    </row>
    <row r="45" spans="1:5" hidden="1" x14ac:dyDescent="0.3">
      <c r="A45" s="62" t="s">
        <v>51</v>
      </c>
      <c r="B45" s="62" t="s">
        <v>570</v>
      </c>
      <c r="C45" s="64"/>
      <c r="D45" s="68"/>
      <c r="E45" s="66">
        <f t="shared" si="0"/>
        <v>0</v>
      </c>
    </row>
    <row r="46" spans="1:5" x14ac:dyDescent="0.3">
      <c r="A46" s="62" t="s">
        <v>52</v>
      </c>
      <c r="B46" s="62" t="s">
        <v>563</v>
      </c>
      <c r="C46" s="64">
        <v>28</v>
      </c>
      <c r="D46" s="68">
        <v>13000</v>
      </c>
      <c r="E46" s="66">
        <f t="shared" si="0"/>
        <v>364000</v>
      </c>
    </row>
    <row r="47" spans="1:5" hidden="1" x14ac:dyDescent="0.3">
      <c r="A47" s="62" t="s">
        <v>52</v>
      </c>
      <c r="B47" s="62" t="s">
        <v>570</v>
      </c>
      <c r="C47" s="64"/>
      <c r="D47" s="68"/>
      <c r="E47" s="66">
        <f t="shared" si="0"/>
        <v>0</v>
      </c>
    </row>
    <row r="48" spans="1:5" x14ac:dyDescent="0.3">
      <c r="A48" s="62" t="s">
        <v>53</v>
      </c>
      <c r="B48" s="62" t="s">
        <v>563</v>
      </c>
      <c r="C48" s="64">
        <v>61</v>
      </c>
      <c r="D48" s="68">
        <v>20000</v>
      </c>
      <c r="E48" s="66">
        <f t="shared" si="0"/>
        <v>1220000</v>
      </c>
    </row>
    <row r="49" spans="1:5" hidden="1" x14ac:dyDescent="0.3">
      <c r="A49" s="62" t="s">
        <v>54</v>
      </c>
      <c r="B49" s="62" t="s">
        <v>564</v>
      </c>
      <c r="C49" s="64"/>
      <c r="D49" s="68"/>
      <c r="E49" s="66">
        <f t="shared" si="0"/>
        <v>0</v>
      </c>
    </row>
    <row r="50" spans="1:5" hidden="1" x14ac:dyDescent="0.3">
      <c r="A50" s="62" t="s">
        <v>55</v>
      </c>
      <c r="B50" s="62" t="s">
        <v>564</v>
      </c>
      <c r="C50" s="64"/>
      <c r="D50" s="68"/>
      <c r="E50" s="66">
        <f t="shared" si="0"/>
        <v>0</v>
      </c>
    </row>
    <row r="51" spans="1:5" x14ac:dyDescent="0.3">
      <c r="A51" s="62" t="s">
        <v>56</v>
      </c>
      <c r="B51" s="62" t="s">
        <v>565</v>
      </c>
      <c r="C51" s="64">
        <v>130</v>
      </c>
      <c r="D51" s="68">
        <v>9000</v>
      </c>
      <c r="E51" s="66">
        <f t="shared" si="0"/>
        <v>1170000</v>
      </c>
    </row>
    <row r="52" spans="1:5" x14ac:dyDescent="0.3">
      <c r="A52" s="62" t="s">
        <v>58</v>
      </c>
      <c r="B52" s="62" t="s">
        <v>563</v>
      </c>
      <c r="C52" s="64">
        <v>7</v>
      </c>
      <c r="D52" s="68">
        <v>6000</v>
      </c>
      <c r="E52" s="66">
        <f t="shared" si="0"/>
        <v>42000</v>
      </c>
    </row>
    <row r="53" spans="1:5" hidden="1" x14ac:dyDescent="0.3">
      <c r="A53" s="62" t="s">
        <v>59</v>
      </c>
      <c r="B53" s="62" t="s">
        <v>565</v>
      </c>
      <c r="C53" s="64"/>
      <c r="D53" s="68"/>
      <c r="E53" s="66">
        <f t="shared" si="0"/>
        <v>0</v>
      </c>
    </row>
    <row r="54" spans="1:5" hidden="1" x14ac:dyDescent="0.3">
      <c r="A54" s="62" t="s">
        <v>60</v>
      </c>
      <c r="B54" s="62" t="s">
        <v>563</v>
      </c>
      <c r="C54" s="64"/>
      <c r="D54" s="68"/>
      <c r="E54" s="66">
        <f t="shared" si="0"/>
        <v>0</v>
      </c>
    </row>
    <row r="55" spans="1:5" hidden="1" x14ac:dyDescent="0.3">
      <c r="A55" s="62" t="s">
        <v>60</v>
      </c>
      <c r="B55" s="62" t="s">
        <v>564</v>
      </c>
      <c r="C55" s="64"/>
      <c r="D55" s="68"/>
      <c r="E55" s="66">
        <f t="shared" si="0"/>
        <v>0</v>
      </c>
    </row>
    <row r="56" spans="1:5" x14ac:dyDescent="0.3">
      <c r="A56" s="62" t="s">
        <v>61</v>
      </c>
      <c r="B56" s="62" t="s">
        <v>566</v>
      </c>
      <c r="C56" s="64">
        <v>145</v>
      </c>
      <c r="D56" s="68">
        <v>22000</v>
      </c>
      <c r="E56" s="66">
        <f t="shared" si="0"/>
        <v>3190000</v>
      </c>
    </row>
    <row r="57" spans="1:5" hidden="1" x14ac:dyDescent="0.3">
      <c r="A57" s="62" t="s">
        <v>62</v>
      </c>
      <c r="B57" s="62" t="s">
        <v>563</v>
      </c>
      <c r="C57" s="64"/>
      <c r="D57" s="68"/>
      <c r="E57" s="66">
        <f t="shared" si="0"/>
        <v>0</v>
      </c>
    </row>
    <row r="58" spans="1:5" hidden="1" x14ac:dyDescent="0.3">
      <c r="A58" s="62" t="s">
        <v>63</v>
      </c>
      <c r="B58" s="62" t="s">
        <v>564</v>
      </c>
      <c r="C58" s="64"/>
      <c r="D58" s="68"/>
      <c r="E58" s="66">
        <f t="shared" si="0"/>
        <v>0</v>
      </c>
    </row>
    <row r="59" spans="1:5" x14ac:dyDescent="0.3">
      <c r="A59" s="62" t="s">
        <v>65</v>
      </c>
      <c r="B59" s="62" t="s">
        <v>563</v>
      </c>
      <c r="C59" s="64">
        <v>6</v>
      </c>
      <c r="D59" s="68">
        <v>11000</v>
      </c>
      <c r="E59" s="66">
        <f t="shared" si="0"/>
        <v>66000</v>
      </c>
    </row>
    <row r="60" spans="1:5" hidden="1" x14ac:dyDescent="0.3">
      <c r="A60" s="62" t="s">
        <v>67</v>
      </c>
      <c r="B60" s="62" t="s">
        <v>566</v>
      </c>
      <c r="C60" s="64"/>
      <c r="D60" s="68"/>
      <c r="E60" s="66">
        <f t="shared" si="0"/>
        <v>0</v>
      </c>
    </row>
    <row r="61" spans="1:5" x14ac:dyDescent="0.3">
      <c r="A61" s="62" t="s">
        <v>68</v>
      </c>
      <c r="B61" s="62" t="s">
        <v>566</v>
      </c>
      <c r="C61" s="64">
        <v>5</v>
      </c>
      <c r="D61" s="68">
        <v>12000</v>
      </c>
      <c r="E61" s="66">
        <f t="shared" si="0"/>
        <v>60000</v>
      </c>
    </row>
    <row r="62" spans="1:5" hidden="1" x14ac:dyDescent="0.3">
      <c r="A62" s="62" t="s">
        <v>69</v>
      </c>
      <c r="B62" s="62" t="s">
        <v>563</v>
      </c>
      <c r="C62" s="64"/>
      <c r="D62" s="68"/>
      <c r="E62" s="66">
        <f t="shared" si="0"/>
        <v>0</v>
      </c>
    </row>
    <row r="63" spans="1:5" hidden="1" x14ac:dyDescent="0.3">
      <c r="A63" s="62" t="s">
        <v>70</v>
      </c>
      <c r="B63" s="62" t="s">
        <v>563</v>
      </c>
      <c r="C63" s="64"/>
      <c r="D63" s="68"/>
      <c r="E63" s="66">
        <f t="shared" si="0"/>
        <v>0</v>
      </c>
    </row>
    <row r="64" spans="1:5" hidden="1" x14ac:dyDescent="0.3">
      <c r="A64" s="62" t="s">
        <v>71</v>
      </c>
      <c r="B64" s="62" t="s">
        <v>563</v>
      </c>
      <c r="C64" s="64"/>
      <c r="D64" s="68"/>
      <c r="E64" s="66">
        <f t="shared" si="0"/>
        <v>0</v>
      </c>
    </row>
    <row r="65" spans="1:5" hidden="1" x14ac:dyDescent="0.3">
      <c r="A65" s="62" t="s">
        <v>72</v>
      </c>
      <c r="B65" s="62" t="s">
        <v>564</v>
      </c>
      <c r="C65" s="64"/>
      <c r="D65" s="68"/>
      <c r="E65" s="66">
        <f t="shared" si="0"/>
        <v>0</v>
      </c>
    </row>
    <row r="66" spans="1:5" hidden="1" x14ac:dyDescent="0.3">
      <c r="A66" s="62" t="s">
        <v>73</v>
      </c>
      <c r="B66" s="62" t="s">
        <v>563</v>
      </c>
      <c r="C66" s="64"/>
      <c r="D66" s="68"/>
      <c r="E66" s="66">
        <f t="shared" si="0"/>
        <v>0</v>
      </c>
    </row>
    <row r="67" spans="1:5" x14ac:dyDescent="0.3">
      <c r="A67" s="62" t="s">
        <v>74</v>
      </c>
      <c r="B67" s="62" t="s">
        <v>563</v>
      </c>
      <c r="C67" s="64">
        <v>5</v>
      </c>
      <c r="D67" s="68">
        <v>7000</v>
      </c>
      <c r="E67" s="66">
        <f t="shared" si="0"/>
        <v>35000</v>
      </c>
    </row>
    <row r="68" spans="1:5" hidden="1" x14ac:dyDescent="0.3">
      <c r="A68" s="62" t="s">
        <v>75</v>
      </c>
      <c r="B68" s="62" t="s">
        <v>565</v>
      </c>
      <c r="C68" s="64"/>
      <c r="D68" s="68"/>
      <c r="E68" s="66">
        <f t="shared" si="0"/>
        <v>0</v>
      </c>
    </row>
    <row r="69" spans="1:5" x14ac:dyDescent="0.3">
      <c r="A69" s="62" t="s">
        <v>76</v>
      </c>
      <c r="B69" s="62" t="s">
        <v>563</v>
      </c>
      <c r="C69" s="64">
        <v>213</v>
      </c>
      <c r="D69" s="68">
        <v>28000</v>
      </c>
      <c r="E69" s="66">
        <f t="shared" ref="E69:E134" si="1">C69*D69</f>
        <v>5964000</v>
      </c>
    </row>
    <row r="70" spans="1:5" hidden="1" x14ac:dyDescent="0.3">
      <c r="A70" s="62" t="s">
        <v>76</v>
      </c>
      <c r="B70" s="62" t="s">
        <v>570</v>
      </c>
      <c r="C70" s="64"/>
      <c r="D70" s="68"/>
      <c r="E70" s="66">
        <f t="shared" si="1"/>
        <v>0</v>
      </c>
    </row>
    <row r="71" spans="1:5" hidden="1" x14ac:dyDescent="0.3">
      <c r="A71" s="62" t="s">
        <v>77</v>
      </c>
      <c r="B71" s="62" t="s">
        <v>565</v>
      </c>
      <c r="C71" s="64"/>
      <c r="D71" s="68"/>
      <c r="E71" s="66">
        <f t="shared" si="1"/>
        <v>0</v>
      </c>
    </row>
    <row r="72" spans="1:5" x14ac:dyDescent="0.3">
      <c r="A72" s="62" t="s">
        <v>78</v>
      </c>
      <c r="B72" s="62" t="s">
        <v>563</v>
      </c>
      <c r="C72" s="64">
        <v>145</v>
      </c>
      <c r="D72" s="68">
        <v>20000</v>
      </c>
      <c r="E72" s="66">
        <f t="shared" si="1"/>
        <v>2900000</v>
      </c>
    </row>
    <row r="73" spans="1:5" hidden="1" x14ac:dyDescent="0.3">
      <c r="A73" s="62" t="s">
        <v>78</v>
      </c>
      <c r="B73" s="62" t="s">
        <v>570</v>
      </c>
      <c r="C73" s="64"/>
      <c r="D73" s="68"/>
      <c r="E73" s="66">
        <f t="shared" si="1"/>
        <v>0</v>
      </c>
    </row>
    <row r="74" spans="1:5" x14ac:dyDescent="0.3">
      <c r="A74" s="62" t="s">
        <v>79</v>
      </c>
      <c r="B74" s="62" t="s">
        <v>563</v>
      </c>
      <c r="C74" s="64">
        <v>5</v>
      </c>
      <c r="D74" s="68">
        <v>24000</v>
      </c>
      <c r="E74" s="66">
        <f t="shared" si="1"/>
        <v>120000</v>
      </c>
    </row>
    <row r="75" spans="1:5" hidden="1" x14ac:dyDescent="0.3">
      <c r="A75" s="62" t="s">
        <v>79</v>
      </c>
      <c r="B75" s="62" t="s">
        <v>570</v>
      </c>
      <c r="C75" s="64"/>
      <c r="D75" s="68"/>
      <c r="E75" s="66">
        <f t="shared" si="1"/>
        <v>0</v>
      </c>
    </row>
    <row r="76" spans="1:5" hidden="1" x14ac:dyDescent="0.3">
      <c r="A76" s="62" t="s">
        <v>80</v>
      </c>
      <c r="B76" s="62" t="s">
        <v>566</v>
      </c>
      <c r="C76" s="64"/>
      <c r="D76" s="68"/>
      <c r="E76" s="66">
        <f t="shared" si="1"/>
        <v>0</v>
      </c>
    </row>
    <row r="77" spans="1:5" x14ac:dyDescent="0.3">
      <c r="A77" s="62" t="s">
        <v>82</v>
      </c>
      <c r="B77" s="62" t="s">
        <v>563</v>
      </c>
      <c r="C77" s="64">
        <v>65</v>
      </c>
      <c r="D77" s="68">
        <v>13500</v>
      </c>
      <c r="E77" s="66">
        <f t="shared" si="1"/>
        <v>877500</v>
      </c>
    </row>
    <row r="78" spans="1:5" hidden="1" x14ac:dyDescent="0.3">
      <c r="A78" s="62" t="s">
        <v>83</v>
      </c>
      <c r="B78" s="62" t="s">
        <v>563</v>
      </c>
      <c r="C78" s="64"/>
      <c r="D78" s="68"/>
      <c r="E78" s="66">
        <f t="shared" si="1"/>
        <v>0</v>
      </c>
    </row>
    <row r="79" spans="1:5" hidden="1" x14ac:dyDescent="0.3">
      <c r="A79" s="62" t="s">
        <v>85</v>
      </c>
      <c r="B79" s="62" t="s">
        <v>563</v>
      </c>
      <c r="C79" s="64"/>
      <c r="D79" s="68"/>
      <c r="E79" s="66">
        <f t="shared" si="1"/>
        <v>0</v>
      </c>
    </row>
    <row r="80" spans="1:5" x14ac:dyDescent="0.3">
      <c r="A80" s="62" t="s">
        <v>87</v>
      </c>
      <c r="B80" s="62" t="s">
        <v>563</v>
      </c>
      <c r="C80" s="64">
        <v>10</v>
      </c>
      <c r="D80" s="68">
        <v>12000</v>
      </c>
      <c r="E80" s="66">
        <f t="shared" si="1"/>
        <v>120000</v>
      </c>
    </row>
    <row r="81" spans="1:5" hidden="1" x14ac:dyDescent="0.3">
      <c r="A81" s="62" t="s">
        <v>88</v>
      </c>
      <c r="B81" s="62" t="s">
        <v>565</v>
      </c>
      <c r="C81" s="64"/>
      <c r="D81" s="68"/>
      <c r="E81" s="66">
        <f t="shared" si="1"/>
        <v>0</v>
      </c>
    </row>
    <row r="82" spans="1:5" x14ac:dyDescent="0.3">
      <c r="A82" s="62" t="s">
        <v>92</v>
      </c>
      <c r="B82" s="62" t="s">
        <v>563</v>
      </c>
      <c r="C82" s="64">
        <v>80</v>
      </c>
      <c r="D82" s="68">
        <v>15000</v>
      </c>
      <c r="E82" s="66">
        <f t="shared" si="1"/>
        <v>1200000</v>
      </c>
    </row>
    <row r="83" spans="1:5" hidden="1" x14ac:dyDescent="0.3">
      <c r="A83" s="62" t="s">
        <v>93</v>
      </c>
      <c r="B83" s="62" t="s">
        <v>563</v>
      </c>
      <c r="C83" s="64"/>
      <c r="D83" s="68"/>
      <c r="E83" s="66">
        <f t="shared" si="1"/>
        <v>0</v>
      </c>
    </row>
    <row r="84" spans="1:5" hidden="1" x14ac:dyDescent="0.3">
      <c r="A84" s="62" t="s">
        <v>94</v>
      </c>
      <c r="B84" s="62" t="s">
        <v>563</v>
      </c>
      <c r="C84" s="64"/>
      <c r="D84" s="68"/>
      <c r="E84" s="66">
        <f t="shared" si="1"/>
        <v>0</v>
      </c>
    </row>
    <row r="85" spans="1:5" x14ac:dyDescent="0.3">
      <c r="A85" s="62" t="s">
        <v>96</v>
      </c>
      <c r="B85" s="62" t="s">
        <v>563</v>
      </c>
      <c r="C85" s="64">
        <v>19</v>
      </c>
      <c r="D85" s="68">
        <v>43000</v>
      </c>
      <c r="E85" s="66">
        <f t="shared" si="1"/>
        <v>817000</v>
      </c>
    </row>
    <row r="86" spans="1:5" hidden="1" x14ac:dyDescent="0.3">
      <c r="A86" s="62" t="s">
        <v>97</v>
      </c>
      <c r="B86" s="62" t="s">
        <v>564</v>
      </c>
      <c r="C86" s="64"/>
      <c r="D86" s="68"/>
      <c r="E86" s="66">
        <f t="shared" si="1"/>
        <v>0</v>
      </c>
    </row>
    <row r="87" spans="1:5" hidden="1" x14ac:dyDescent="0.3">
      <c r="A87" s="62" t="s">
        <v>121</v>
      </c>
      <c r="B87" s="62" t="s">
        <v>570</v>
      </c>
      <c r="C87" s="64"/>
      <c r="D87" s="68"/>
      <c r="E87" s="66">
        <f t="shared" si="1"/>
        <v>0</v>
      </c>
    </row>
    <row r="88" spans="1:5" x14ac:dyDescent="0.3">
      <c r="A88" s="62" t="s">
        <v>102</v>
      </c>
      <c r="B88" s="62" t="s">
        <v>563</v>
      </c>
      <c r="C88" s="64">
        <v>710</v>
      </c>
      <c r="D88" s="68">
        <v>26000</v>
      </c>
      <c r="E88" s="66">
        <f t="shared" si="1"/>
        <v>18460000</v>
      </c>
    </row>
    <row r="89" spans="1:5" x14ac:dyDescent="0.3">
      <c r="A89" s="62" t="s">
        <v>103</v>
      </c>
      <c r="B89" s="62" t="s">
        <v>563</v>
      </c>
      <c r="C89" s="64">
        <v>11.5</v>
      </c>
      <c r="D89" s="68">
        <v>30000</v>
      </c>
      <c r="E89" s="66">
        <f t="shared" si="1"/>
        <v>345000</v>
      </c>
    </row>
    <row r="90" spans="1:5" x14ac:dyDescent="0.3">
      <c r="A90" s="62" t="s">
        <v>577</v>
      </c>
      <c r="B90" s="62" t="s">
        <v>566</v>
      </c>
      <c r="C90" s="64">
        <v>550</v>
      </c>
      <c r="D90" s="68">
        <v>20000</v>
      </c>
      <c r="E90" s="66">
        <f t="shared" si="1"/>
        <v>11000000</v>
      </c>
    </row>
    <row r="91" spans="1:5" hidden="1" x14ac:dyDescent="0.3">
      <c r="A91" s="62" t="s">
        <v>110</v>
      </c>
      <c r="B91" s="62" t="s">
        <v>563</v>
      </c>
      <c r="C91" s="64"/>
      <c r="D91" s="68"/>
      <c r="E91" s="66">
        <f t="shared" si="1"/>
        <v>0</v>
      </c>
    </row>
    <row r="92" spans="1:5" x14ac:dyDescent="0.3">
      <c r="A92" s="62" t="s">
        <v>598</v>
      </c>
      <c r="B92" s="62" t="s">
        <v>563</v>
      </c>
      <c r="C92" s="64">
        <v>10</v>
      </c>
      <c r="D92" s="68">
        <v>50000</v>
      </c>
      <c r="E92" s="66">
        <f t="shared" si="1"/>
        <v>500000</v>
      </c>
    </row>
    <row r="93" spans="1:5" x14ac:dyDescent="0.3">
      <c r="A93" s="62" t="s">
        <v>604</v>
      </c>
      <c r="B93" s="62" t="s">
        <v>565</v>
      </c>
      <c r="C93" s="64">
        <v>50</v>
      </c>
      <c r="D93" s="68">
        <v>112500</v>
      </c>
      <c r="E93" s="66">
        <f t="shared" si="1"/>
        <v>5625000</v>
      </c>
    </row>
    <row r="94" spans="1:5" hidden="1" x14ac:dyDescent="0.3">
      <c r="A94" s="62" t="s">
        <v>524</v>
      </c>
      <c r="B94" s="62" t="s">
        <v>563</v>
      </c>
      <c r="C94" s="64"/>
      <c r="D94" s="68"/>
      <c r="E94" s="66">
        <f t="shared" si="1"/>
        <v>0</v>
      </c>
    </row>
    <row r="95" spans="1:5" hidden="1" x14ac:dyDescent="0.3">
      <c r="A95" s="62" t="e">
        <v>#N/A</v>
      </c>
      <c r="B95" s="62">
        <v>0</v>
      </c>
      <c r="C95" s="64"/>
      <c r="D95" s="68"/>
      <c r="E95" s="66">
        <f t="shared" si="1"/>
        <v>0</v>
      </c>
    </row>
    <row r="96" spans="1:5" x14ac:dyDescent="0.3">
      <c r="A96" s="89" t="s">
        <v>551</v>
      </c>
      <c r="B96" s="89" t="s">
        <v>563</v>
      </c>
      <c r="C96" s="90">
        <v>22</v>
      </c>
      <c r="D96" s="91">
        <v>12000</v>
      </c>
      <c r="E96" s="66">
        <f t="shared" si="1"/>
        <v>264000</v>
      </c>
    </row>
    <row r="97" spans="1:5" x14ac:dyDescent="0.3">
      <c r="A97" s="89" t="s">
        <v>363</v>
      </c>
      <c r="B97" s="89" t="s">
        <v>563</v>
      </c>
      <c r="C97" s="112">
        <v>0.5</v>
      </c>
      <c r="D97" s="91">
        <v>45000</v>
      </c>
      <c r="E97" s="66">
        <f t="shared" si="1"/>
        <v>22500</v>
      </c>
    </row>
    <row r="98" spans="1:5" x14ac:dyDescent="0.3">
      <c r="A98" s="89" t="s">
        <v>609</v>
      </c>
      <c r="B98" s="89" t="s">
        <v>563</v>
      </c>
      <c r="C98" s="112">
        <v>0.3</v>
      </c>
      <c r="D98" s="91">
        <v>60000</v>
      </c>
      <c r="E98" s="66">
        <f t="shared" si="1"/>
        <v>18000</v>
      </c>
    </row>
    <row r="99" spans="1:5" x14ac:dyDescent="0.3">
      <c r="A99" s="89" t="s">
        <v>552</v>
      </c>
      <c r="B99" s="89" t="s">
        <v>563</v>
      </c>
      <c r="C99" s="90">
        <v>58</v>
      </c>
      <c r="D99" s="91">
        <v>17000</v>
      </c>
      <c r="E99" s="66">
        <f t="shared" si="1"/>
        <v>986000</v>
      </c>
    </row>
    <row r="100" spans="1:5" x14ac:dyDescent="0.3">
      <c r="A100" s="89" t="s">
        <v>553</v>
      </c>
      <c r="B100" s="89" t="s">
        <v>563</v>
      </c>
      <c r="C100" s="90">
        <v>17</v>
      </c>
      <c r="D100" s="91">
        <v>23000</v>
      </c>
      <c r="E100" s="66">
        <f t="shared" si="1"/>
        <v>391000</v>
      </c>
    </row>
    <row r="101" spans="1:5" hidden="1" x14ac:dyDescent="0.3">
      <c r="E101" s="66">
        <f t="shared" si="1"/>
        <v>0</v>
      </c>
    </row>
    <row r="102" spans="1:5" x14ac:dyDescent="0.3">
      <c r="E102" s="66">
        <f>SUM(E4:E100)</f>
        <v>108378200</v>
      </c>
    </row>
    <row r="103" spans="1:5" x14ac:dyDescent="0.3">
      <c r="E103" s="66"/>
    </row>
    <row r="104" spans="1:5" x14ac:dyDescent="0.3">
      <c r="A104" t="s">
        <v>0</v>
      </c>
      <c r="B104" t="s">
        <v>562</v>
      </c>
      <c r="C104" t="s">
        <v>544</v>
      </c>
      <c r="D104" t="s">
        <v>590</v>
      </c>
      <c r="E104" s="66" t="s">
        <v>129</v>
      </c>
    </row>
    <row r="105" spans="1:5" hidden="1" x14ac:dyDescent="0.3">
      <c r="A105" t="s">
        <v>1</v>
      </c>
      <c r="B105" t="s">
        <v>563</v>
      </c>
      <c r="E105" s="66">
        <f t="shared" si="1"/>
        <v>0</v>
      </c>
    </row>
    <row r="106" spans="1:5" hidden="1" x14ac:dyDescent="0.3">
      <c r="A106" t="s">
        <v>5</v>
      </c>
      <c r="B106" t="s">
        <v>563</v>
      </c>
      <c r="E106" s="66">
        <f t="shared" si="1"/>
        <v>0</v>
      </c>
    </row>
    <row r="107" spans="1:5" x14ac:dyDescent="0.3">
      <c r="A107" t="s">
        <v>6</v>
      </c>
      <c r="B107" t="s">
        <v>563</v>
      </c>
      <c r="C107">
        <v>50</v>
      </c>
      <c r="D107">
        <v>15000</v>
      </c>
      <c r="E107" s="66">
        <f t="shared" si="1"/>
        <v>750000</v>
      </c>
    </row>
    <row r="108" spans="1:5" hidden="1" x14ac:dyDescent="0.3">
      <c r="A108" t="s">
        <v>8</v>
      </c>
      <c r="B108" t="s">
        <v>563</v>
      </c>
      <c r="E108" s="66">
        <f t="shared" si="1"/>
        <v>0</v>
      </c>
    </row>
    <row r="109" spans="1:5" hidden="1" x14ac:dyDescent="0.3">
      <c r="A109" t="s">
        <v>119</v>
      </c>
      <c r="B109" t="s">
        <v>566</v>
      </c>
      <c r="E109" s="66">
        <f t="shared" si="1"/>
        <v>0</v>
      </c>
    </row>
    <row r="110" spans="1:5" x14ac:dyDescent="0.3">
      <c r="A110" t="s">
        <v>12</v>
      </c>
      <c r="B110" t="s">
        <v>563</v>
      </c>
      <c r="C110">
        <v>220</v>
      </c>
      <c r="D110">
        <v>25000</v>
      </c>
      <c r="E110" s="66">
        <f t="shared" si="1"/>
        <v>5500000</v>
      </c>
    </row>
    <row r="111" spans="1:5" x14ac:dyDescent="0.3">
      <c r="A111" t="s">
        <v>14</v>
      </c>
      <c r="B111" t="s">
        <v>566</v>
      </c>
      <c r="C111">
        <v>20</v>
      </c>
      <c r="D111">
        <v>6000</v>
      </c>
      <c r="E111" s="66">
        <f t="shared" si="1"/>
        <v>120000</v>
      </c>
    </row>
    <row r="112" spans="1:5" hidden="1" x14ac:dyDescent="0.3">
      <c r="A112" t="s">
        <v>15</v>
      </c>
      <c r="B112" t="s">
        <v>563</v>
      </c>
      <c r="E112" s="66">
        <f t="shared" si="1"/>
        <v>0</v>
      </c>
    </row>
    <row r="113" spans="1:5" hidden="1" x14ac:dyDescent="0.3">
      <c r="A113" t="s">
        <v>16</v>
      </c>
      <c r="B113" t="s">
        <v>563</v>
      </c>
      <c r="E113" s="66">
        <f t="shared" si="1"/>
        <v>0</v>
      </c>
    </row>
    <row r="114" spans="1:5" hidden="1" x14ac:dyDescent="0.3">
      <c r="A114" t="s">
        <v>110</v>
      </c>
      <c r="B114" t="s">
        <v>563</v>
      </c>
      <c r="E114" s="66">
        <f t="shared" si="1"/>
        <v>0</v>
      </c>
    </row>
    <row r="115" spans="1:5" hidden="1" x14ac:dyDescent="0.3">
      <c r="A115" t="s">
        <v>17</v>
      </c>
      <c r="B115" t="s">
        <v>563</v>
      </c>
      <c r="E115" s="66">
        <f t="shared" si="1"/>
        <v>0</v>
      </c>
    </row>
    <row r="116" spans="1:5" hidden="1" x14ac:dyDescent="0.3">
      <c r="A116" t="s">
        <v>21</v>
      </c>
      <c r="B116" t="s">
        <v>563</v>
      </c>
      <c r="E116" s="66">
        <f t="shared" si="1"/>
        <v>0</v>
      </c>
    </row>
    <row r="117" spans="1:5" x14ac:dyDescent="0.3">
      <c r="A117" t="s">
        <v>22</v>
      </c>
      <c r="B117" t="s">
        <v>563</v>
      </c>
      <c r="C117">
        <v>50</v>
      </c>
      <c r="D117">
        <v>9000</v>
      </c>
      <c r="E117" s="66">
        <f t="shared" si="1"/>
        <v>450000</v>
      </c>
    </row>
    <row r="118" spans="1:5" x14ac:dyDescent="0.3">
      <c r="A118" t="s">
        <v>23</v>
      </c>
      <c r="B118" t="s">
        <v>563</v>
      </c>
      <c r="C118">
        <v>1300</v>
      </c>
      <c r="D118">
        <v>7000</v>
      </c>
      <c r="E118" s="66">
        <f t="shared" si="1"/>
        <v>9100000</v>
      </c>
    </row>
    <row r="119" spans="1:5" x14ac:dyDescent="0.3">
      <c r="A119" t="s">
        <v>27</v>
      </c>
      <c r="B119" t="s">
        <v>563</v>
      </c>
      <c r="C119">
        <v>500</v>
      </c>
      <c r="D119">
        <v>15000</v>
      </c>
      <c r="E119" s="66">
        <f t="shared" si="1"/>
        <v>7500000</v>
      </c>
    </row>
    <row r="120" spans="1:5" hidden="1" x14ac:dyDescent="0.3">
      <c r="A120" t="s">
        <v>28</v>
      </c>
      <c r="B120" t="s">
        <v>563</v>
      </c>
      <c r="E120" s="66">
        <f t="shared" si="1"/>
        <v>0</v>
      </c>
    </row>
    <row r="121" spans="1:5" hidden="1" x14ac:dyDescent="0.3">
      <c r="A121" t="s">
        <v>29</v>
      </c>
      <c r="B121" t="s">
        <v>563</v>
      </c>
      <c r="E121" s="66">
        <f t="shared" si="1"/>
        <v>0</v>
      </c>
    </row>
    <row r="122" spans="1:5" hidden="1" x14ac:dyDescent="0.3">
      <c r="A122" t="s">
        <v>39</v>
      </c>
      <c r="B122" t="s">
        <v>568</v>
      </c>
      <c r="E122" s="66">
        <f t="shared" si="1"/>
        <v>0</v>
      </c>
    </row>
    <row r="123" spans="1:5" hidden="1" x14ac:dyDescent="0.3">
      <c r="A123" t="s">
        <v>41</v>
      </c>
      <c r="B123" t="s">
        <v>568</v>
      </c>
      <c r="E123" s="66">
        <f t="shared" si="1"/>
        <v>0</v>
      </c>
    </row>
    <row r="124" spans="1:5" hidden="1" x14ac:dyDescent="0.3">
      <c r="A124" t="s">
        <v>46</v>
      </c>
      <c r="B124" t="s">
        <v>568</v>
      </c>
      <c r="E124" s="66">
        <f t="shared" si="1"/>
        <v>0</v>
      </c>
    </row>
    <row r="125" spans="1:5" x14ac:dyDescent="0.3">
      <c r="A125" t="s">
        <v>48</v>
      </c>
      <c r="B125" t="s">
        <v>563</v>
      </c>
      <c r="C125">
        <v>18</v>
      </c>
      <c r="D125">
        <v>10000</v>
      </c>
      <c r="E125" s="66">
        <f t="shared" si="1"/>
        <v>180000</v>
      </c>
    </row>
    <row r="126" spans="1:5" x14ac:dyDescent="0.3">
      <c r="A126" t="s">
        <v>50</v>
      </c>
      <c r="B126" t="s">
        <v>563</v>
      </c>
      <c r="C126">
        <v>1125</v>
      </c>
      <c r="D126">
        <v>7000</v>
      </c>
      <c r="E126" s="66">
        <f t="shared" si="1"/>
        <v>7875000</v>
      </c>
    </row>
    <row r="127" spans="1:5" hidden="1" x14ac:dyDescent="0.3">
      <c r="A127" t="s">
        <v>51</v>
      </c>
      <c r="B127" t="s">
        <v>563</v>
      </c>
      <c r="E127" s="66">
        <f t="shared" si="1"/>
        <v>0</v>
      </c>
    </row>
    <row r="128" spans="1:5" hidden="1" x14ac:dyDescent="0.3">
      <c r="A128" t="s">
        <v>53</v>
      </c>
      <c r="B128" t="s">
        <v>563</v>
      </c>
      <c r="E128" s="66">
        <f t="shared" si="1"/>
        <v>0</v>
      </c>
    </row>
    <row r="129" spans="1:5" x14ac:dyDescent="0.3">
      <c r="A129" t="s">
        <v>60</v>
      </c>
      <c r="B129" t="s">
        <v>563</v>
      </c>
      <c r="C129">
        <v>325</v>
      </c>
      <c r="D129">
        <v>24000</v>
      </c>
      <c r="E129" s="66">
        <f t="shared" si="1"/>
        <v>7800000</v>
      </c>
    </row>
    <row r="130" spans="1:5" hidden="1" x14ac:dyDescent="0.3">
      <c r="A130" t="s">
        <v>62</v>
      </c>
      <c r="B130" t="s">
        <v>563</v>
      </c>
      <c r="E130" s="66">
        <f t="shared" si="1"/>
        <v>0</v>
      </c>
    </row>
    <row r="131" spans="1:5" x14ac:dyDescent="0.3">
      <c r="A131" t="s">
        <v>67</v>
      </c>
      <c r="B131" t="s">
        <v>566</v>
      </c>
      <c r="C131">
        <v>5</v>
      </c>
      <c r="D131">
        <v>11000</v>
      </c>
      <c r="E131" s="66">
        <f t="shared" si="1"/>
        <v>55000</v>
      </c>
    </row>
    <row r="132" spans="1:5" hidden="1" x14ac:dyDescent="0.3">
      <c r="A132" t="s">
        <v>68</v>
      </c>
      <c r="B132" t="s">
        <v>566</v>
      </c>
      <c r="E132" s="66">
        <f t="shared" si="1"/>
        <v>0</v>
      </c>
    </row>
    <row r="133" spans="1:5" hidden="1" x14ac:dyDescent="0.3">
      <c r="A133" t="s">
        <v>72</v>
      </c>
      <c r="B133" t="s">
        <v>564</v>
      </c>
      <c r="E133" s="66">
        <f t="shared" si="1"/>
        <v>0</v>
      </c>
    </row>
    <row r="134" spans="1:5" hidden="1" x14ac:dyDescent="0.3">
      <c r="A134" t="s">
        <v>76</v>
      </c>
      <c r="B134" t="s">
        <v>563</v>
      </c>
      <c r="E134" s="66">
        <f t="shared" si="1"/>
        <v>0</v>
      </c>
    </row>
    <row r="135" spans="1:5" hidden="1" x14ac:dyDescent="0.3">
      <c r="A135" t="s">
        <v>78</v>
      </c>
      <c r="B135" t="s">
        <v>563</v>
      </c>
      <c r="E135" s="66">
        <f t="shared" ref="E135:E145" si="2">C135*D135</f>
        <v>0</v>
      </c>
    </row>
    <row r="136" spans="1:5" hidden="1" x14ac:dyDescent="0.3">
      <c r="A136" t="s">
        <v>79</v>
      </c>
      <c r="B136" t="s">
        <v>563</v>
      </c>
      <c r="E136" s="66">
        <f t="shared" si="2"/>
        <v>0</v>
      </c>
    </row>
    <row r="137" spans="1:5" hidden="1" x14ac:dyDescent="0.3">
      <c r="A137" t="s">
        <v>82</v>
      </c>
      <c r="B137" t="s">
        <v>563</v>
      </c>
      <c r="E137" s="66">
        <f t="shared" si="2"/>
        <v>0</v>
      </c>
    </row>
    <row r="138" spans="1:5" x14ac:dyDescent="0.3">
      <c r="A138" t="s">
        <v>87</v>
      </c>
      <c r="B138" t="s">
        <v>563</v>
      </c>
      <c r="C138">
        <v>80</v>
      </c>
      <c r="D138">
        <v>12000</v>
      </c>
      <c r="E138" s="66">
        <f t="shared" si="2"/>
        <v>960000</v>
      </c>
    </row>
    <row r="139" spans="1:5" x14ac:dyDescent="0.3">
      <c r="A139" t="s">
        <v>120</v>
      </c>
      <c r="B139" t="s">
        <v>563</v>
      </c>
      <c r="C139">
        <v>5</v>
      </c>
      <c r="D139">
        <v>25000</v>
      </c>
      <c r="E139" s="66">
        <f t="shared" si="2"/>
        <v>125000</v>
      </c>
    </row>
    <row r="140" spans="1:5" x14ac:dyDescent="0.3">
      <c r="A140" t="s">
        <v>109</v>
      </c>
      <c r="B140" t="s">
        <v>563</v>
      </c>
      <c r="C140">
        <v>6</v>
      </c>
      <c r="D140">
        <v>18000</v>
      </c>
      <c r="E140" s="66">
        <f t="shared" si="2"/>
        <v>108000</v>
      </c>
    </row>
    <row r="141" spans="1:5" hidden="1" x14ac:dyDescent="0.3">
      <c r="A141" t="s">
        <v>121</v>
      </c>
      <c r="B141" t="s">
        <v>563</v>
      </c>
      <c r="E141" s="66">
        <f t="shared" si="2"/>
        <v>0</v>
      </c>
    </row>
    <row r="142" spans="1:5" x14ac:dyDescent="0.3">
      <c r="A142" t="s">
        <v>122</v>
      </c>
      <c r="B142" t="s">
        <v>563</v>
      </c>
      <c r="C142">
        <v>10</v>
      </c>
      <c r="D142">
        <v>50000</v>
      </c>
      <c r="E142" s="66">
        <f t="shared" si="2"/>
        <v>500000</v>
      </c>
    </row>
    <row r="143" spans="1:5" hidden="1" x14ac:dyDescent="0.3">
      <c r="A143" t="s">
        <v>92</v>
      </c>
      <c r="B143" t="s">
        <v>563</v>
      </c>
      <c r="E143" s="66">
        <f t="shared" si="2"/>
        <v>0</v>
      </c>
    </row>
    <row r="144" spans="1:5" hidden="1" x14ac:dyDescent="0.3">
      <c r="A144" t="s">
        <v>125</v>
      </c>
      <c r="B144" t="s">
        <v>563</v>
      </c>
      <c r="E144" s="66">
        <f t="shared" si="2"/>
        <v>0</v>
      </c>
    </row>
    <row r="145" spans="1:5" hidden="1" x14ac:dyDescent="0.3">
      <c r="A145" t="e">
        <v>#N/A</v>
      </c>
      <c r="B145">
        <v>0</v>
      </c>
      <c r="E145" s="66">
        <f t="shared" si="2"/>
        <v>0</v>
      </c>
    </row>
    <row r="146" spans="1:5" x14ac:dyDescent="0.3">
      <c r="E146" s="83">
        <f>SUM(E107:E142)</f>
        <v>41023000</v>
      </c>
    </row>
    <row r="148" spans="1:5" x14ac:dyDescent="0.3">
      <c r="E148" s="83">
        <f>E146+E102</f>
        <v>149401200</v>
      </c>
    </row>
  </sheetData>
  <autoFilter ref="A3:E145" xr:uid="{00000000-0009-0000-0000-000016000000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2:E229"/>
  <sheetViews>
    <sheetView topLeftCell="A80" workbookViewId="0">
      <selection activeCell="H88" sqref="H88"/>
    </sheetView>
  </sheetViews>
  <sheetFormatPr defaultRowHeight="14.4" x14ac:dyDescent="0.3"/>
  <cols>
    <col min="1" max="1" width="36" customWidth="1"/>
    <col min="3" max="3" width="11.6640625" customWidth="1"/>
    <col min="4" max="4" width="15" customWidth="1"/>
    <col min="5" max="5" width="20.33203125" customWidth="1"/>
  </cols>
  <sheetData>
    <row r="2" spans="1:5" x14ac:dyDescent="0.3">
      <c r="A2" s="87" t="s">
        <v>611</v>
      </c>
      <c r="B2" s="87"/>
      <c r="C2" s="88"/>
      <c r="D2" s="88"/>
      <c r="E2" s="88"/>
    </row>
    <row r="3" spans="1:5" ht="18.600000000000001" x14ac:dyDescent="0.3">
      <c r="A3" s="60" t="s">
        <v>0</v>
      </c>
      <c r="B3" s="60" t="s">
        <v>562</v>
      </c>
      <c r="C3" s="61" t="s">
        <v>608</v>
      </c>
      <c r="D3" s="82" t="s">
        <v>594</v>
      </c>
      <c r="E3" s="65" t="s">
        <v>129</v>
      </c>
    </row>
    <row r="4" spans="1:5" x14ac:dyDescent="0.3">
      <c r="A4" s="62" t="s">
        <v>1</v>
      </c>
      <c r="B4" s="62" t="s">
        <v>563</v>
      </c>
      <c r="C4" s="63">
        <v>85</v>
      </c>
      <c r="D4" s="66">
        <v>18000</v>
      </c>
      <c r="E4" s="66">
        <f>C4*D4</f>
        <v>1530000</v>
      </c>
    </row>
    <row r="5" spans="1:5" hidden="1" x14ac:dyDescent="0.3">
      <c r="A5" s="62" t="s">
        <v>1</v>
      </c>
      <c r="B5" s="62" t="s">
        <v>566</v>
      </c>
      <c r="C5" s="63"/>
      <c r="D5" s="66"/>
      <c r="E5" s="66">
        <f t="shared" ref="E5:E68" si="0">C5*D5</f>
        <v>0</v>
      </c>
    </row>
    <row r="6" spans="1:5" hidden="1" x14ac:dyDescent="0.3">
      <c r="A6" s="62" t="s">
        <v>2</v>
      </c>
      <c r="B6" s="62" t="s">
        <v>563</v>
      </c>
      <c r="C6" s="63"/>
      <c r="D6" s="66"/>
      <c r="E6" s="66">
        <f t="shared" si="0"/>
        <v>0</v>
      </c>
    </row>
    <row r="7" spans="1:5" hidden="1" x14ac:dyDescent="0.3">
      <c r="A7" s="62" t="s">
        <v>2</v>
      </c>
      <c r="B7" s="62" t="s">
        <v>564</v>
      </c>
      <c r="C7" s="63"/>
      <c r="D7" s="66"/>
      <c r="E7" s="66">
        <f t="shared" si="0"/>
        <v>0</v>
      </c>
    </row>
    <row r="8" spans="1:5" hidden="1" x14ac:dyDescent="0.3">
      <c r="A8" s="62" t="s">
        <v>3</v>
      </c>
      <c r="B8" s="62" t="s">
        <v>563</v>
      </c>
      <c r="C8" s="63"/>
      <c r="D8" s="66"/>
      <c r="E8" s="66">
        <f t="shared" si="0"/>
        <v>0</v>
      </c>
    </row>
    <row r="9" spans="1:5" hidden="1" x14ac:dyDescent="0.3">
      <c r="A9" s="62" t="s">
        <v>4</v>
      </c>
      <c r="B9" s="62" t="s">
        <v>565</v>
      </c>
      <c r="C9" s="63"/>
      <c r="D9" s="66"/>
      <c r="E9" s="66">
        <f t="shared" si="0"/>
        <v>0</v>
      </c>
    </row>
    <row r="10" spans="1:5" hidden="1" x14ac:dyDescent="0.3">
      <c r="A10" s="62" t="s">
        <v>5</v>
      </c>
      <c r="B10" s="62" t="s">
        <v>563</v>
      </c>
      <c r="C10" s="63"/>
      <c r="D10" s="66"/>
      <c r="E10" s="66">
        <f t="shared" si="0"/>
        <v>0</v>
      </c>
    </row>
    <row r="11" spans="1:5" hidden="1" x14ac:dyDescent="0.3">
      <c r="A11" s="62" t="s">
        <v>6</v>
      </c>
      <c r="B11" s="62" t="s">
        <v>563</v>
      </c>
      <c r="C11" s="63"/>
      <c r="D11" s="66"/>
      <c r="E11" s="66">
        <f t="shared" si="0"/>
        <v>0</v>
      </c>
    </row>
    <row r="12" spans="1:5" hidden="1" x14ac:dyDescent="0.3">
      <c r="A12" s="62" t="s">
        <v>6</v>
      </c>
      <c r="B12" s="62" t="s">
        <v>566</v>
      </c>
      <c r="C12" s="63"/>
      <c r="D12" s="66"/>
      <c r="E12" s="66">
        <f t="shared" si="0"/>
        <v>0</v>
      </c>
    </row>
    <row r="13" spans="1:5" hidden="1" x14ac:dyDescent="0.3">
      <c r="A13" s="62" t="s">
        <v>7</v>
      </c>
      <c r="B13" s="62" t="s">
        <v>563</v>
      </c>
      <c r="C13" s="63"/>
      <c r="D13" s="66"/>
      <c r="E13" s="66">
        <f t="shared" si="0"/>
        <v>0</v>
      </c>
    </row>
    <row r="14" spans="1:5" x14ac:dyDescent="0.3">
      <c r="A14" s="62" t="s">
        <v>8</v>
      </c>
      <c r="B14" s="62" t="s">
        <v>563</v>
      </c>
      <c r="C14" s="63">
        <v>140</v>
      </c>
      <c r="D14" s="66">
        <v>25000</v>
      </c>
      <c r="E14" s="66">
        <f t="shared" si="0"/>
        <v>3500000</v>
      </c>
    </row>
    <row r="15" spans="1:5" hidden="1" x14ac:dyDescent="0.3">
      <c r="A15" s="62" t="s">
        <v>9</v>
      </c>
      <c r="B15" s="62" t="s">
        <v>566</v>
      </c>
      <c r="C15" s="63"/>
      <c r="D15" s="66"/>
      <c r="E15" s="66">
        <f t="shared" si="0"/>
        <v>0</v>
      </c>
    </row>
    <row r="16" spans="1:5" hidden="1" x14ac:dyDescent="0.3">
      <c r="A16" s="62" t="s">
        <v>10</v>
      </c>
      <c r="B16" s="62" t="s">
        <v>566</v>
      </c>
      <c r="C16" s="63"/>
      <c r="D16" s="66"/>
      <c r="E16" s="66">
        <f t="shared" si="0"/>
        <v>0</v>
      </c>
    </row>
    <row r="17" spans="1:5" x14ac:dyDescent="0.3">
      <c r="A17" s="62" t="s">
        <v>11</v>
      </c>
      <c r="B17" s="62" t="s">
        <v>563</v>
      </c>
      <c r="C17" s="63">
        <v>100</v>
      </c>
      <c r="D17" s="66">
        <v>26000</v>
      </c>
      <c r="E17" s="66">
        <f t="shared" si="0"/>
        <v>2600000</v>
      </c>
    </row>
    <row r="18" spans="1:5" hidden="1" x14ac:dyDescent="0.3">
      <c r="A18" s="62" t="s">
        <v>11</v>
      </c>
      <c r="B18" s="62" t="s">
        <v>566</v>
      </c>
      <c r="C18" s="63"/>
      <c r="D18" s="66"/>
      <c r="E18" s="66">
        <f t="shared" si="0"/>
        <v>0</v>
      </c>
    </row>
    <row r="19" spans="1:5" hidden="1" x14ac:dyDescent="0.3">
      <c r="A19" s="62" t="s">
        <v>12</v>
      </c>
      <c r="B19" s="62" t="s">
        <v>563</v>
      </c>
      <c r="C19" s="63"/>
      <c r="D19" s="66"/>
      <c r="E19" s="66">
        <f t="shared" si="0"/>
        <v>0</v>
      </c>
    </row>
    <row r="20" spans="1:5" hidden="1" x14ac:dyDescent="0.3">
      <c r="A20" s="62" t="s">
        <v>12</v>
      </c>
      <c r="B20" s="62" t="s">
        <v>566</v>
      </c>
      <c r="C20" s="63"/>
      <c r="D20" s="66"/>
      <c r="E20" s="66">
        <f t="shared" si="0"/>
        <v>0</v>
      </c>
    </row>
    <row r="21" spans="1:5" hidden="1" x14ac:dyDescent="0.3">
      <c r="A21" s="62" t="s">
        <v>13</v>
      </c>
      <c r="B21" s="62" t="s">
        <v>563</v>
      </c>
      <c r="C21" s="63"/>
      <c r="D21" s="66"/>
      <c r="E21" s="66">
        <f t="shared" si="0"/>
        <v>0</v>
      </c>
    </row>
    <row r="22" spans="1:5" hidden="1" x14ac:dyDescent="0.3">
      <c r="A22" s="62" t="s">
        <v>14</v>
      </c>
      <c r="B22" s="62" t="s">
        <v>563</v>
      </c>
      <c r="C22" s="63"/>
      <c r="D22" s="66"/>
      <c r="E22" s="66">
        <f t="shared" si="0"/>
        <v>0</v>
      </c>
    </row>
    <row r="23" spans="1:5" hidden="1" x14ac:dyDescent="0.3">
      <c r="A23" s="62" t="s">
        <v>14</v>
      </c>
      <c r="B23" s="62" t="s">
        <v>566</v>
      </c>
      <c r="C23" s="63"/>
      <c r="D23" s="66"/>
      <c r="E23" s="66">
        <f t="shared" si="0"/>
        <v>0</v>
      </c>
    </row>
    <row r="24" spans="1:5" x14ac:dyDescent="0.3">
      <c r="A24" s="62" t="s">
        <v>15</v>
      </c>
      <c r="B24" s="62" t="s">
        <v>563</v>
      </c>
      <c r="C24" s="63">
        <v>350</v>
      </c>
      <c r="D24" s="66">
        <v>16000</v>
      </c>
      <c r="E24" s="66">
        <f t="shared" si="0"/>
        <v>5600000</v>
      </c>
    </row>
    <row r="25" spans="1:5" hidden="1" x14ac:dyDescent="0.3">
      <c r="A25" s="62" t="s">
        <v>15</v>
      </c>
      <c r="B25" s="62" t="s">
        <v>566</v>
      </c>
      <c r="C25" s="63"/>
      <c r="D25" s="66"/>
      <c r="E25" s="66">
        <f t="shared" si="0"/>
        <v>0</v>
      </c>
    </row>
    <row r="26" spans="1:5" x14ac:dyDescent="0.3">
      <c r="A26" s="62" t="s">
        <v>16</v>
      </c>
      <c r="B26" s="62" t="s">
        <v>563</v>
      </c>
      <c r="C26" s="63">
        <v>4</v>
      </c>
      <c r="D26" s="66">
        <v>21000</v>
      </c>
      <c r="E26" s="66">
        <f t="shared" si="0"/>
        <v>84000</v>
      </c>
    </row>
    <row r="27" spans="1:5" hidden="1" x14ac:dyDescent="0.3">
      <c r="A27" s="62" t="s">
        <v>18</v>
      </c>
      <c r="B27" s="62" t="s">
        <v>563</v>
      </c>
      <c r="C27" s="63"/>
      <c r="D27" s="66"/>
      <c r="E27" s="66">
        <f t="shared" si="0"/>
        <v>0</v>
      </c>
    </row>
    <row r="28" spans="1:5" hidden="1" x14ac:dyDescent="0.3">
      <c r="A28" s="62" t="s">
        <v>19</v>
      </c>
      <c r="B28" s="62" t="s">
        <v>563</v>
      </c>
      <c r="C28" s="63"/>
      <c r="D28" s="66"/>
      <c r="E28" s="66">
        <f t="shared" si="0"/>
        <v>0</v>
      </c>
    </row>
    <row r="29" spans="1:5" hidden="1" x14ac:dyDescent="0.3">
      <c r="A29" s="62" t="s">
        <v>19</v>
      </c>
      <c r="B29" s="62" t="s">
        <v>564</v>
      </c>
      <c r="C29" s="63"/>
      <c r="D29" s="66"/>
      <c r="E29" s="66">
        <f t="shared" si="0"/>
        <v>0</v>
      </c>
    </row>
    <row r="30" spans="1:5" x14ac:dyDescent="0.3">
      <c r="A30" s="62" t="s">
        <v>21</v>
      </c>
      <c r="B30" s="62" t="s">
        <v>563</v>
      </c>
      <c r="C30" s="63">
        <v>85</v>
      </c>
      <c r="D30" s="66">
        <v>16000</v>
      </c>
      <c r="E30" s="66">
        <f t="shared" si="0"/>
        <v>1360000</v>
      </c>
    </row>
    <row r="31" spans="1:5" x14ac:dyDescent="0.3">
      <c r="A31" s="62" t="s">
        <v>22</v>
      </c>
      <c r="B31" s="62" t="s">
        <v>563</v>
      </c>
      <c r="C31" s="63">
        <v>385</v>
      </c>
      <c r="D31" s="66">
        <v>9000</v>
      </c>
      <c r="E31" s="66">
        <f t="shared" si="0"/>
        <v>3465000</v>
      </c>
    </row>
    <row r="32" spans="1:5" x14ac:dyDescent="0.3">
      <c r="A32" s="62" t="s">
        <v>23</v>
      </c>
      <c r="B32" s="62" t="s">
        <v>563</v>
      </c>
      <c r="C32" s="63">
        <v>2600</v>
      </c>
      <c r="D32" s="66">
        <v>6800</v>
      </c>
      <c r="E32" s="66">
        <f t="shared" si="0"/>
        <v>17680000</v>
      </c>
    </row>
    <row r="33" spans="1:5" x14ac:dyDescent="0.3">
      <c r="A33" s="62" t="s">
        <v>24</v>
      </c>
      <c r="B33" s="62" t="s">
        <v>563</v>
      </c>
      <c r="C33" s="63">
        <v>14</v>
      </c>
      <c r="D33" s="66">
        <v>35000</v>
      </c>
      <c r="E33" s="66">
        <f t="shared" si="0"/>
        <v>490000</v>
      </c>
    </row>
    <row r="34" spans="1:5" hidden="1" x14ac:dyDescent="0.3">
      <c r="A34" s="62" t="s">
        <v>24</v>
      </c>
      <c r="B34" s="62" t="s">
        <v>566</v>
      </c>
      <c r="C34" s="63"/>
      <c r="D34" s="66"/>
      <c r="E34" s="66">
        <f t="shared" si="0"/>
        <v>0</v>
      </c>
    </row>
    <row r="35" spans="1:5" hidden="1" x14ac:dyDescent="0.3">
      <c r="A35" s="62" t="s">
        <v>557</v>
      </c>
      <c r="B35" s="62" t="s">
        <v>566</v>
      </c>
      <c r="C35" s="63"/>
      <c r="D35" s="66"/>
      <c r="E35" s="66">
        <f t="shared" si="0"/>
        <v>0</v>
      </c>
    </row>
    <row r="36" spans="1:5" hidden="1" x14ac:dyDescent="0.3">
      <c r="A36" s="62" t="s">
        <v>25</v>
      </c>
      <c r="B36" s="62" t="s">
        <v>563</v>
      </c>
      <c r="C36" s="63"/>
      <c r="D36" s="66"/>
      <c r="E36" s="66">
        <f t="shared" si="0"/>
        <v>0</v>
      </c>
    </row>
    <row r="37" spans="1:5" hidden="1" x14ac:dyDescent="0.3">
      <c r="A37" s="62" t="s">
        <v>25</v>
      </c>
      <c r="B37" s="62" t="s">
        <v>566</v>
      </c>
      <c r="C37" s="63"/>
      <c r="D37" s="66"/>
      <c r="E37" s="66">
        <f t="shared" si="0"/>
        <v>0</v>
      </c>
    </row>
    <row r="38" spans="1:5" hidden="1" x14ac:dyDescent="0.3">
      <c r="A38" s="62" t="s">
        <v>26</v>
      </c>
      <c r="B38" s="62" t="s">
        <v>563</v>
      </c>
      <c r="C38" s="63"/>
      <c r="D38" s="66"/>
      <c r="E38" s="66">
        <f t="shared" si="0"/>
        <v>0</v>
      </c>
    </row>
    <row r="39" spans="1:5" hidden="1" x14ac:dyDescent="0.3">
      <c r="A39" s="62" t="s">
        <v>26</v>
      </c>
      <c r="B39" s="62" t="s">
        <v>566</v>
      </c>
      <c r="C39" s="63"/>
      <c r="D39" s="66"/>
      <c r="E39" s="66">
        <f t="shared" si="0"/>
        <v>0</v>
      </c>
    </row>
    <row r="40" spans="1:5" hidden="1" x14ac:dyDescent="0.3">
      <c r="A40" s="62" t="s">
        <v>26</v>
      </c>
      <c r="B40" s="62" t="s">
        <v>567</v>
      </c>
      <c r="C40" s="63"/>
      <c r="D40" s="66"/>
      <c r="E40" s="66">
        <f t="shared" si="0"/>
        <v>0</v>
      </c>
    </row>
    <row r="41" spans="1:5" hidden="1" x14ac:dyDescent="0.3">
      <c r="A41" s="62" t="s">
        <v>27</v>
      </c>
      <c r="B41" s="62" t="s">
        <v>563</v>
      </c>
      <c r="C41" s="63"/>
      <c r="D41" s="66"/>
      <c r="E41" s="66">
        <f t="shared" si="0"/>
        <v>0</v>
      </c>
    </row>
    <row r="42" spans="1:5" hidden="1" x14ac:dyDescent="0.3">
      <c r="A42" s="62" t="s">
        <v>28</v>
      </c>
      <c r="B42" s="62" t="s">
        <v>568</v>
      </c>
      <c r="C42" s="64"/>
      <c r="D42" s="68"/>
      <c r="E42" s="66">
        <f t="shared" si="0"/>
        <v>0</v>
      </c>
    </row>
    <row r="43" spans="1:5" x14ac:dyDescent="0.3">
      <c r="A43" s="62" t="s">
        <v>28</v>
      </c>
      <c r="B43" s="62" t="s">
        <v>563</v>
      </c>
      <c r="C43" s="64">
        <v>250</v>
      </c>
      <c r="D43" s="68">
        <v>18000</v>
      </c>
      <c r="E43" s="66">
        <f t="shared" si="0"/>
        <v>4500000</v>
      </c>
    </row>
    <row r="44" spans="1:5" hidden="1" x14ac:dyDescent="0.3">
      <c r="A44" s="62" t="s">
        <v>29</v>
      </c>
      <c r="B44" s="62" t="s">
        <v>568</v>
      </c>
      <c r="C44" s="64"/>
      <c r="D44" s="68"/>
      <c r="E44" s="66">
        <f t="shared" si="0"/>
        <v>0</v>
      </c>
    </row>
    <row r="45" spans="1:5" x14ac:dyDescent="0.3">
      <c r="A45" s="62" t="s">
        <v>29</v>
      </c>
      <c r="B45" s="62" t="s">
        <v>563</v>
      </c>
      <c r="C45" s="64">
        <v>42</v>
      </c>
      <c r="D45" s="68">
        <v>42000</v>
      </c>
      <c r="E45" s="66">
        <f t="shared" si="0"/>
        <v>1764000</v>
      </c>
    </row>
    <row r="46" spans="1:5" hidden="1" x14ac:dyDescent="0.3">
      <c r="A46" s="62" t="s">
        <v>30</v>
      </c>
      <c r="B46" s="62" t="s">
        <v>566</v>
      </c>
      <c r="C46" s="64"/>
      <c r="D46" s="68"/>
      <c r="E46" s="66">
        <f t="shared" si="0"/>
        <v>0</v>
      </c>
    </row>
    <row r="47" spans="1:5" x14ac:dyDescent="0.3">
      <c r="A47" s="62" t="s">
        <v>31</v>
      </c>
      <c r="B47" s="62" t="s">
        <v>563</v>
      </c>
      <c r="C47" s="64">
        <v>7</v>
      </c>
      <c r="D47" s="68">
        <v>14000</v>
      </c>
      <c r="E47" s="66">
        <f t="shared" si="0"/>
        <v>98000</v>
      </c>
    </row>
    <row r="48" spans="1:5" hidden="1" x14ac:dyDescent="0.3">
      <c r="A48" s="62" t="s">
        <v>32</v>
      </c>
      <c r="B48" s="62" t="s">
        <v>566</v>
      </c>
      <c r="C48" s="64"/>
      <c r="D48" s="68"/>
      <c r="E48" s="66">
        <f t="shared" si="0"/>
        <v>0</v>
      </c>
    </row>
    <row r="49" spans="1:5" hidden="1" x14ac:dyDescent="0.3">
      <c r="A49" s="62" t="s">
        <v>34</v>
      </c>
      <c r="B49" s="62" t="s">
        <v>566</v>
      </c>
      <c r="C49" s="64"/>
      <c r="D49" s="68"/>
      <c r="E49" s="66">
        <f t="shared" si="0"/>
        <v>0</v>
      </c>
    </row>
    <row r="50" spans="1:5" hidden="1" x14ac:dyDescent="0.3">
      <c r="A50" s="62" t="s">
        <v>35</v>
      </c>
      <c r="B50" s="62" t="s">
        <v>563</v>
      </c>
      <c r="C50" s="64"/>
      <c r="D50" s="68"/>
      <c r="E50" s="66">
        <f t="shared" si="0"/>
        <v>0</v>
      </c>
    </row>
    <row r="51" spans="1:5" hidden="1" x14ac:dyDescent="0.3">
      <c r="A51" s="62" t="s">
        <v>35</v>
      </c>
      <c r="B51" s="62" t="s">
        <v>569</v>
      </c>
      <c r="C51" s="64"/>
      <c r="D51" s="68"/>
      <c r="E51" s="66">
        <f t="shared" si="0"/>
        <v>0</v>
      </c>
    </row>
    <row r="52" spans="1:5" hidden="1" x14ac:dyDescent="0.3">
      <c r="A52" s="62" t="s">
        <v>36</v>
      </c>
      <c r="B52" s="62" t="s">
        <v>563</v>
      </c>
      <c r="C52" s="64"/>
      <c r="D52" s="68"/>
      <c r="E52" s="66">
        <f t="shared" si="0"/>
        <v>0</v>
      </c>
    </row>
    <row r="53" spans="1:5" hidden="1" x14ac:dyDescent="0.3">
      <c r="A53" s="62" t="s">
        <v>36</v>
      </c>
      <c r="B53" s="62" t="s">
        <v>571</v>
      </c>
      <c r="C53" s="64"/>
      <c r="D53" s="68"/>
      <c r="E53" s="66">
        <f t="shared" si="0"/>
        <v>0</v>
      </c>
    </row>
    <row r="54" spans="1:5" hidden="1" x14ac:dyDescent="0.3">
      <c r="A54" s="62" t="s">
        <v>37</v>
      </c>
      <c r="B54" s="62" t="s">
        <v>563</v>
      </c>
      <c r="C54" s="64"/>
      <c r="D54" s="68"/>
      <c r="E54" s="66">
        <f t="shared" si="0"/>
        <v>0</v>
      </c>
    </row>
    <row r="55" spans="1:5" hidden="1" x14ac:dyDescent="0.3">
      <c r="A55" s="62" t="s">
        <v>37</v>
      </c>
      <c r="B55" s="62" t="s">
        <v>566</v>
      </c>
      <c r="C55" s="64"/>
      <c r="D55" s="68"/>
      <c r="E55" s="66">
        <f t="shared" si="0"/>
        <v>0</v>
      </c>
    </row>
    <row r="56" spans="1:5" hidden="1" x14ac:dyDescent="0.3">
      <c r="A56" s="62" t="s">
        <v>38</v>
      </c>
      <c r="B56" s="62" t="s">
        <v>563</v>
      </c>
      <c r="C56" s="64"/>
      <c r="D56" s="68"/>
      <c r="E56" s="66">
        <f t="shared" si="0"/>
        <v>0</v>
      </c>
    </row>
    <row r="57" spans="1:5" hidden="1" x14ac:dyDescent="0.3">
      <c r="A57" s="62" t="s">
        <v>39</v>
      </c>
      <c r="B57" s="62" t="s">
        <v>568</v>
      </c>
      <c r="C57" s="64"/>
      <c r="D57" s="68"/>
      <c r="E57" s="66">
        <f t="shared" si="0"/>
        <v>0</v>
      </c>
    </row>
    <row r="58" spans="1:5" hidden="1" x14ac:dyDescent="0.3">
      <c r="A58" s="62" t="s">
        <v>40</v>
      </c>
      <c r="B58" s="62" t="s">
        <v>563</v>
      </c>
      <c r="C58" s="64"/>
      <c r="D58" s="68"/>
      <c r="E58" s="66">
        <f t="shared" si="0"/>
        <v>0</v>
      </c>
    </row>
    <row r="59" spans="1:5" hidden="1" x14ac:dyDescent="0.3">
      <c r="A59" s="62" t="s">
        <v>41</v>
      </c>
      <c r="B59" s="62" t="s">
        <v>568</v>
      </c>
      <c r="C59" s="64"/>
      <c r="D59" s="68"/>
      <c r="E59" s="66">
        <f t="shared" si="0"/>
        <v>0</v>
      </c>
    </row>
    <row r="60" spans="1:5" hidden="1" x14ac:dyDescent="0.3">
      <c r="A60" s="62" t="s">
        <v>42</v>
      </c>
      <c r="B60" s="62" t="s">
        <v>563</v>
      </c>
      <c r="C60" s="64"/>
      <c r="D60" s="68"/>
      <c r="E60" s="66">
        <f t="shared" si="0"/>
        <v>0</v>
      </c>
    </row>
    <row r="61" spans="1:5" hidden="1" x14ac:dyDescent="0.3">
      <c r="A61" s="62" t="s">
        <v>43</v>
      </c>
      <c r="B61" s="62" t="s">
        <v>563</v>
      </c>
      <c r="C61" s="64"/>
      <c r="D61" s="68"/>
      <c r="E61" s="66">
        <f t="shared" si="0"/>
        <v>0</v>
      </c>
    </row>
    <row r="62" spans="1:5" hidden="1" x14ac:dyDescent="0.3">
      <c r="A62" s="62" t="s">
        <v>43</v>
      </c>
      <c r="B62" s="62" t="s">
        <v>566</v>
      </c>
      <c r="C62" s="64"/>
      <c r="D62" s="68"/>
      <c r="E62" s="66">
        <f t="shared" si="0"/>
        <v>0</v>
      </c>
    </row>
    <row r="63" spans="1:5" hidden="1" x14ac:dyDescent="0.3">
      <c r="A63" s="62" t="s">
        <v>44</v>
      </c>
      <c r="B63" s="62" t="s">
        <v>563</v>
      </c>
      <c r="C63" s="64"/>
      <c r="D63" s="68"/>
      <c r="E63" s="66">
        <f t="shared" si="0"/>
        <v>0</v>
      </c>
    </row>
    <row r="64" spans="1:5" hidden="1" x14ac:dyDescent="0.3">
      <c r="A64" s="62" t="s">
        <v>44</v>
      </c>
      <c r="B64" s="62" t="s">
        <v>566</v>
      </c>
      <c r="C64" s="64"/>
      <c r="D64" s="68"/>
      <c r="E64" s="66">
        <f t="shared" si="0"/>
        <v>0</v>
      </c>
    </row>
    <row r="65" spans="1:5" hidden="1" x14ac:dyDescent="0.3">
      <c r="A65" s="62" t="s">
        <v>45</v>
      </c>
      <c r="B65" s="62" t="s">
        <v>563</v>
      </c>
      <c r="C65" s="64"/>
      <c r="D65" s="68"/>
      <c r="E65" s="66">
        <f t="shared" si="0"/>
        <v>0</v>
      </c>
    </row>
    <row r="66" spans="1:5" hidden="1" x14ac:dyDescent="0.3">
      <c r="A66" s="62" t="s">
        <v>46</v>
      </c>
      <c r="B66" s="62" t="s">
        <v>568</v>
      </c>
      <c r="C66" s="64"/>
      <c r="D66" s="68"/>
      <c r="E66" s="66">
        <f t="shared" si="0"/>
        <v>0</v>
      </c>
    </row>
    <row r="67" spans="1:5" hidden="1" x14ac:dyDescent="0.3">
      <c r="A67" s="62" t="s">
        <v>47</v>
      </c>
      <c r="B67" s="62" t="s">
        <v>563</v>
      </c>
      <c r="C67" s="64"/>
      <c r="D67" s="68"/>
      <c r="E67" s="66">
        <f t="shared" si="0"/>
        <v>0</v>
      </c>
    </row>
    <row r="68" spans="1:5" hidden="1" x14ac:dyDescent="0.3">
      <c r="A68" s="62" t="s">
        <v>48</v>
      </c>
      <c r="B68" s="62" t="s">
        <v>563</v>
      </c>
      <c r="C68" s="64"/>
      <c r="D68" s="68"/>
      <c r="E68" s="66">
        <f t="shared" si="0"/>
        <v>0</v>
      </c>
    </row>
    <row r="69" spans="1:5" hidden="1" x14ac:dyDescent="0.3">
      <c r="A69" s="62" t="s">
        <v>48</v>
      </c>
      <c r="B69" s="62" t="s">
        <v>570</v>
      </c>
      <c r="C69" s="64"/>
      <c r="D69" s="68"/>
      <c r="E69" s="66">
        <f t="shared" ref="E69:E132" si="1">C69*D69</f>
        <v>0</v>
      </c>
    </row>
    <row r="70" spans="1:5" x14ac:dyDescent="0.3">
      <c r="A70" s="62" t="s">
        <v>49</v>
      </c>
      <c r="B70" s="62" t="s">
        <v>563</v>
      </c>
      <c r="C70" s="64">
        <v>4</v>
      </c>
      <c r="D70" s="68">
        <v>9000</v>
      </c>
      <c r="E70" s="66">
        <f t="shared" si="1"/>
        <v>36000</v>
      </c>
    </row>
    <row r="71" spans="1:5" x14ac:dyDescent="0.3">
      <c r="A71" s="62" t="s">
        <v>50</v>
      </c>
      <c r="B71" s="62" t="s">
        <v>563</v>
      </c>
      <c r="C71" s="64">
        <v>860</v>
      </c>
      <c r="D71" s="68">
        <v>7000</v>
      </c>
      <c r="E71" s="66">
        <f t="shared" si="1"/>
        <v>6020000</v>
      </c>
    </row>
    <row r="72" spans="1:5" x14ac:dyDescent="0.3">
      <c r="A72" s="62" t="s">
        <v>51</v>
      </c>
      <c r="B72" s="62" t="s">
        <v>563</v>
      </c>
      <c r="C72" s="64">
        <v>165</v>
      </c>
      <c r="D72" s="68">
        <v>18000</v>
      </c>
      <c r="E72" s="66">
        <f t="shared" si="1"/>
        <v>2970000</v>
      </c>
    </row>
    <row r="73" spans="1:5" hidden="1" x14ac:dyDescent="0.3">
      <c r="A73" s="62" t="s">
        <v>51</v>
      </c>
      <c r="B73" s="62" t="s">
        <v>570</v>
      </c>
      <c r="C73" s="64"/>
      <c r="D73" s="68"/>
      <c r="E73" s="66">
        <f t="shared" si="1"/>
        <v>0</v>
      </c>
    </row>
    <row r="74" spans="1:5" x14ac:dyDescent="0.3">
      <c r="A74" s="62" t="s">
        <v>52</v>
      </c>
      <c r="B74" s="62" t="s">
        <v>563</v>
      </c>
      <c r="C74" s="64">
        <v>32</v>
      </c>
      <c r="D74" s="68">
        <v>13000</v>
      </c>
      <c r="E74" s="66">
        <f t="shared" si="1"/>
        <v>416000</v>
      </c>
    </row>
    <row r="75" spans="1:5" hidden="1" x14ac:dyDescent="0.3">
      <c r="A75" s="62" t="s">
        <v>52</v>
      </c>
      <c r="B75" s="62" t="s">
        <v>570</v>
      </c>
      <c r="C75" s="64"/>
      <c r="D75" s="68"/>
      <c r="E75" s="66">
        <f t="shared" si="1"/>
        <v>0</v>
      </c>
    </row>
    <row r="76" spans="1:5" x14ac:dyDescent="0.3">
      <c r="A76" s="62" t="s">
        <v>53</v>
      </c>
      <c r="B76" s="62" t="s">
        <v>563</v>
      </c>
      <c r="C76" s="64">
        <v>20</v>
      </c>
      <c r="D76" s="68">
        <v>20000</v>
      </c>
      <c r="E76" s="66">
        <f t="shared" si="1"/>
        <v>400000</v>
      </c>
    </row>
    <row r="77" spans="1:5" hidden="1" x14ac:dyDescent="0.3">
      <c r="A77" s="62" t="s">
        <v>53</v>
      </c>
      <c r="B77" s="62" t="s">
        <v>564</v>
      </c>
      <c r="C77" s="64"/>
      <c r="D77" s="68"/>
      <c r="E77" s="66">
        <f t="shared" si="1"/>
        <v>0</v>
      </c>
    </row>
    <row r="78" spans="1:5" hidden="1" x14ac:dyDescent="0.3">
      <c r="A78" s="62" t="s">
        <v>54</v>
      </c>
      <c r="B78" s="62" t="s">
        <v>564</v>
      </c>
      <c r="C78" s="64"/>
      <c r="D78" s="68"/>
      <c r="E78" s="66">
        <f t="shared" si="1"/>
        <v>0</v>
      </c>
    </row>
    <row r="79" spans="1:5" hidden="1" x14ac:dyDescent="0.3">
      <c r="A79" s="62" t="s">
        <v>55</v>
      </c>
      <c r="B79" s="62" t="s">
        <v>564</v>
      </c>
      <c r="C79" s="64"/>
      <c r="D79" s="68"/>
      <c r="E79" s="66">
        <f t="shared" si="1"/>
        <v>0</v>
      </c>
    </row>
    <row r="80" spans="1:5" x14ac:dyDescent="0.3">
      <c r="A80" s="62" t="s">
        <v>56</v>
      </c>
      <c r="B80" s="62" t="s">
        <v>565</v>
      </c>
      <c r="C80" s="64">
        <v>150</v>
      </c>
      <c r="D80" s="68">
        <v>9000</v>
      </c>
      <c r="E80" s="66">
        <f t="shared" si="1"/>
        <v>1350000</v>
      </c>
    </row>
    <row r="81" spans="1:5" hidden="1" x14ac:dyDescent="0.3">
      <c r="A81" s="62" t="s">
        <v>57</v>
      </c>
      <c r="B81" s="62" t="s">
        <v>565</v>
      </c>
      <c r="C81" s="64"/>
      <c r="D81" s="68"/>
      <c r="E81" s="66">
        <f t="shared" si="1"/>
        <v>0</v>
      </c>
    </row>
    <row r="82" spans="1:5" hidden="1" x14ac:dyDescent="0.3">
      <c r="A82" s="62" t="s">
        <v>57</v>
      </c>
      <c r="B82" s="62" t="s">
        <v>563</v>
      </c>
      <c r="C82" s="64"/>
      <c r="D82" s="68"/>
      <c r="E82" s="66">
        <f t="shared" si="1"/>
        <v>0</v>
      </c>
    </row>
    <row r="83" spans="1:5" hidden="1" x14ac:dyDescent="0.3">
      <c r="A83" s="62" t="s">
        <v>58</v>
      </c>
      <c r="B83" s="62" t="s">
        <v>563</v>
      </c>
      <c r="C83" s="64"/>
      <c r="D83" s="68"/>
      <c r="E83" s="66">
        <f t="shared" si="1"/>
        <v>0</v>
      </c>
    </row>
    <row r="84" spans="1:5" hidden="1" x14ac:dyDescent="0.3">
      <c r="A84" s="62" t="s">
        <v>59</v>
      </c>
      <c r="B84" s="62" t="s">
        <v>565</v>
      </c>
      <c r="C84" s="64"/>
      <c r="D84" s="68"/>
      <c r="E84" s="66">
        <f t="shared" si="1"/>
        <v>0</v>
      </c>
    </row>
    <row r="85" spans="1:5" x14ac:dyDescent="0.3">
      <c r="A85" s="62" t="s">
        <v>60</v>
      </c>
      <c r="B85" s="62" t="s">
        <v>563</v>
      </c>
      <c r="C85" s="64">
        <v>235</v>
      </c>
      <c r="D85" s="68">
        <v>21000</v>
      </c>
      <c r="E85" s="66">
        <f t="shared" si="1"/>
        <v>4935000</v>
      </c>
    </row>
    <row r="86" spans="1:5" hidden="1" x14ac:dyDescent="0.3">
      <c r="A86" s="62" t="s">
        <v>60</v>
      </c>
      <c r="B86" s="62" t="s">
        <v>566</v>
      </c>
      <c r="C86" s="64"/>
      <c r="D86" s="68"/>
      <c r="E86" s="66">
        <f t="shared" si="1"/>
        <v>0</v>
      </c>
    </row>
    <row r="87" spans="1:5" hidden="1" x14ac:dyDescent="0.3">
      <c r="A87" s="62" t="s">
        <v>60</v>
      </c>
      <c r="B87" s="62" t="s">
        <v>564</v>
      </c>
      <c r="C87" s="64"/>
      <c r="D87" s="68"/>
      <c r="E87" s="66">
        <f t="shared" si="1"/>
        <v>0</v>
      </c>
    </row>
    <row r="88" spans="1:5" x14ac:dyDescent="0.3">
      <c r="A88" s="62" t="s">
        <v>61</v>
      </c>
      <c r="B88" s="62" t="s">
        <v>566</v>
      </c>
      <c r="C88" s="64">
        <v>280</v>
      </c>
      <c r="D88" s="68">
        <v>20000</v>
      </c>
      <c r="E88" s="66">
        <f t="shared" si="1"/>
        <v>5600000</v>
      </c>
    </row>
    <row r="89" spans="1:5" x14ac:dyDescent="0.3">
      <c r="A89" s="62" t="s">
        <v>62</v>
      </c>
      <c r="B89" s="62" t="s">
        <v>563</v>
      </c>
      <c r="C89" s="64">
        <v>23</v>
      </c>
      <c r="D89" s="68">
        <v>9000</v>
      </c>
      <c r="E89" s="66">
        <f t="shared" si="1"/>
        <v>207000</v>
      </c>
    </row>
    <row r="90" spans="1:5" hidden="1" x14ac:dyDescent="0.3">
      <c r="A90" s="62" t="s">
        <v>63</v>
      </c>
      <c r="B90" s="62" t="s">
        <v>564</v>
      </c>
      <c r="C90" s="64"/>
      <c r="D90" s="68"/>
      <c r="E90" s="66">
        <f t="shared" si="1"/>
        <v>0</v>
      </c>
    </row>
    <row r="91" spans="1:5" hidden="1" x14ac:dyDescent="0.3">
      <c r="A91" s="62" t="s">
        <v>64</v>
      </c>
      <c r="B91" s="62" t="s">
        <v>563</v>
      </c>
      <c r="C91" s="64"/>
      <c r="D91" s="68"/>
      <c r="E91" s="66">
        <f t="shared" si="1"/>
        <v>0</v>
      </c>
    </row>
    <row r="92" spans="1:5" hidden="1" x14ac:dyDescent="0.3">
      <c r="A92" s="62" t="s">
        <v>64</v>
      </c>
      <c r="B92" s="62" t="s">
        <v>564</v>
      </c>
      <c r="C92" s="64"/>
      <c r="D92" s="68"/>
      <c r="E92" s="66">
        <f t="shared" si="1"/>
        <v>0</v>
      </c>
    </row>
    <row r="93" spans="1:5" hidden="1" x14ac:dyDescent="0.3">
      <c r="A93" s="62" t="s">
        <v>65</v>
      </c>
      <c r="B93" s="62" t="s">
        <v>563</v>
      </c>
      <c r="C93" s="64"/>
      <c r="D93" s="68"/>
      <c r="E93" s="66">
        <f t="shared" si="1"/>
        <v>0</v>
      </c>
    </row>
    <row r="94" spans="1:5" hidden="1" x14ac:dyDescent="0.3">
      <c r="A94" s="62" t="s">
        <v>66</v>
      </c>
      <c r="B94" s="62" t="s">
        <v>566</v>
      </c>
      <c r="C94" s="64"/>
      <c r="D94" s="68"/>
      <c r="E94" s="66">
        <f t="shared" si="1"/>
        <v>0</v>
      </c>
    </row>
    <row r="95" spans="1:5" hidden="1" x14ac:dyDescent="0.3">
      <c r="A95" s="62" t="s">
        <v>67</v>
      </c>
      <c r="B95" s="62" t="s">
        <v>566</v>
      </c>
      <c r="C95" s="64"/>
      <c r="D95" s="68"/>
      <c r="E95" s="66">
        <f t="shared" si="1"/>
        <v>0</v>
      </c>
    </row>
    <row r="96" spans="1:5" hidden="1" x14ac:dyDescent="0.3">
      <c r="A96" s="62" t="s">
        <v>68</v>
      </c>
      <c r="B96" s="62" t="s">
        <v>566</v>
      </c>
      <c r="C96" s="64"/>
      <c r="D96" s="68"/>
      <c r="E96" s="66">
        <f t="shared" si="1"/>
        <v>0</v>
      </c>
    </row>
    <row r="97" spans="1:5" hidden="1" x14ac:dyDescent="0.3">
      <c r="A97" s="62" t="s">
        <v>69</v>
      </c>
      <c r="B97" s="62" t="s">
        <v>563</v>
      </c>
      <c r="C97" s="64"/>
      <c r="D97" s="68"/>
      <c r="E97" s="66">
        <f t="shared" si="1"/>
        <v>0</v>
      </c>
    </row>
    <row r="98" spans="1:5" hidden="1" x14ac:dyDescent="0.3">
      <c r="A98" s="62" t="s">
        <v>69</v>
      </c>
      <c r="B98" s="62" t="s">
        <v>564</v>
      </c>
      <c r="C98" s="64"/>
      <c r="D98" s="68"/>
      <c r="E98" s="66">
        <f t="shared" si="1"/>
        <v>0</v>
      </c>
    </row>
    <row r="99" spans="1:5" hidden="1" x14ac:dyDescent="0.3">
      <c r="A99" s="62" t="s">
        <v>70</v>
      </c>
      <c r="B99" s="62" t="s">
        <v>563</v>
      </c>
      <c r="C99" s="64"/>
      <c r="D99" s="68"/>
      <c r="E99" s="66">
        <f t="shared" si="1"/>
        <v>0</v>
      </c>
    </row>
    <row r="100" spans="1:5" hidden="1" x14ac:dyDescent="0.3">
      <c r="A100" s="62" t="s">
        <v>71</v>
      </c>
      <c r="B100" s="62" t="s">
        <v>563</v>
      </c>
      <c r="C100" s="64"/>
      <c r="D100" s="68"/>
      <c r="E100" s="66">
        <f t="shared" si="1"/>
        <v>0</v>
      </c>
    </row>
    <row r="101" spans="1:5" hidden="1" x14ac:dyDescent="0.3">
      <c r="A101" s="62" t="s">
        <v>72</v>
      </c>
      <c r="B101" s="62" t="s">
        <v>564</v>
      </c>
      <c r="C101" s="64"/>
      <c r="D101" s="68"/>
      <c r="E101" s="66">
        <f t="shared" si="1"/>
        <v>0</v>
      </c>
    </row>
    <row r="102" spans="1:5" hidden="1" x14ac:dyDescent="0.3">
      <c r="A102" s="62" t="s">
        <v>73</v>
      </c>
      <c r="B102" s="62" t="s">
        <v>563</v>
      </c>
      <c r="C102" s="64"/>
      <c r="D102" s="68"/>
      <c r="E102" s="66">
        <f t="shared" si="1"/>
        <v>0</v>
      </c>
    </row>
    <row r="103" spans="1:5" hidden="1" x14ac:dyDescent="0.3">
      <c r="A103" s="62" t="s">
        <v>73</v>
      </c>
      <c r="B103" s="62" t="s">
        <v>566</v>
      </c>
      <c r="C103" s="64"/>
      <c r="D103" s="68"/>
      <c r="E103" s="66">
        <f t="shared" si="1"/>
        <v>0</v>
      </c>
    </row>
    <row r="104" spans="1:5" x14ac:dyDescent="0.3">
      <c r="A104" s="62" t="s">
        <v>74</v>
      </c>
      <c r="B104" s="62" t="s">
        <v>563</v>
      </c>
      <c r="C104" s="64">
        <v>13</v>
      </c>
      <c r="D104" s="68">
        <v>7000</v>
      </c>
      <c r="E104" s="66">
        <f t="shared" si="1"/>
        <v>91000</v>
      </c>
    </row>
    <row r="105" spans="1:5" hidden="1" x14ac:dyDescent="0.3">
      <c r="A105" s="62" t="s">
        <v>75</v>
      </c>
      <c r="B105" s="62" t="s">
        <v>565</v>
      </c>
      <c r="C105" s="64"/>
      <c r="D105" s="68"/>
      <c r="E105" s="66">
        <f t="shared" si="1"/>
        <v>0</v>
      </c>
    </row>
    <row r="106" spans="1:5" hidden="1" x14ac:dyDescent="0.3">
      <c r="A106" s="62" t="s">
        <v>75</v>
      </c>
      <c r="B106" s="62" t="s">
        <v>563</v>
      </c>
      <c r="C106" s="64"/>
      <c r="D106" s="68"/>
      <c r="E106" s="66">
        <f t="shared" si="1"/>
        <v>0</v>
      </c>
    </row>
    <row r="107" spans="1:5" x14ac:dyDescent="0.3">
      <c r="A107" s="62" t="s">
        <v>76</v>
      </c>
      <c r="B107" s="62" t="s">
        <v>563</v>
      </c>
      <c r="C107" s="64">
        <v>190</v>
      </c>
      <c r="D107" s="68">
        <v>28000</v>
      </c>
      <c r="E107" s="66">
        <f t="shared" si="1"/>
        <v>5320000</v>
      </c>
    </row>
    <row r="108" spans="1:5" hidden="1" x14ac:dyDescent="0.3">
      <c r="A108" s="62" t="s">
        <v>76</v>
      </c>
      <c r="B108" s="62" t="s">
        <v>570</v>
      </c>
      <c r="C108" s="64"/>
      <c r="D108" s="68"/>
      <c r="E108" s="66">
        <f t="shared" si="1"/>
        <v>0</v>
      </c>
    </row>
    <row r="109" spans="1:5" hidden="1" x14ac:dyDescent="0.3">
      <c r="A109" s="62" t="s">
        <v>77</v>
      </c>
      <c r="B109" s="62" t="s">
        <v>565</v>
      </c>
      <c r="C109" s="64"/>
      <c r="D109" s="68"/>
      <c r="E109" s="66">
        <f t="shared" si="1"/>
        <v>0</v>
      </c>
    </row>
    <row r="110" spans="1:5" hidden="1" x14ac:dyDescent="0.3">
      <c r="A110" s="62" t="s">
        <v>77</v>
      </c>
      <c r="B110" s="62" t="s">
        <v>563</v>
      </c>
      <c r="C110" s="64"/>
      <c r="D110" s="68"/>
      <c r="E110" s="66">
        <f t="shared" si="1"/>
        <v>0</v>
      </c>
    </row>
    <row r="111" spans="1:5" x14ac:dyDescent="0.3">
      <c r="A111" s="62" t="s">
        <v>78</v>
      </c>
      <c r="B111" s="62" t="s">
        <v>563</v>
      </c>
      <c r="C111" s="64">
        <v>170</v>
      </c>
      <c r="D111" s="68">
        <v>20000</v>
      </c>
      <c r="E111" s="66">
        <f t="shared" si="1"/>
        <v>3400000</v>
      </c>
    </row>
    <row r="112" spans="1:5" x14ac:dyDescent="0.3">
      <c r="A112" s="62" t="s">
        <v>78</v>
      </c>
      <c r="B112" s="62" t="s">
        <v>570</v>
      </c>
      <c r="C112" s="64">
        <v>170</v>
      </c>
      <c r="D112" s="68">
        <v>16000</v>
      </c>
      <c r="E112" s="66">
        <f t="shared" si="1"/>
        <v>2720000</v>
      </c>
    </row>
    <row r="113" spans="1:5" hidden="1" x14ac:dyDescent="0.3">
      <c r="A113" s="62" t="s">
        <v>79</v>
      </c>
      <c r="B113" s="62" t="s">
        <v>563</v>
      </c>
      <c r="C113" s="64"/>
      <c r="D113" s="68"/>
      <c r="E113" s="66">
        <f t="shared" si="1"/>
        <v>0</v>
      </c>
    </row>
    <row r="114" spans="1:5" hidden="1" x14ac:dyDescent="0.3">
      <c r="A114" s="62" t="s">
        <v>79</v>
      </c>
      <c r="B114" s="62" t="s">
        <v>570</v>
      </c>
      <c r="C114" s="64"/>
      <c r="D114" s="68"/>
      <c r="E114" s="66">
        <f t="shared" si="1"/>
        <v>0</v>
      </c>
    </row>
    <row r="115" spans="1:5" hidden="1" x14ac:dyDescent="0.3">
      <c r="A115" s="62" t="s">
        <v>80</v>
      </c>
      <c r="B115" s="62" t="s">
        <v>566</v>
      </c>
      <c r="C115" s="64"/>
      <c r="D115" s="68"/>
      <c r="E115" s="66">
        <f t="shared" si="1"/>
        <v>0</v>
      </c>
    </row>
    <row r="116" spans="1:5" hidden="1" x14ac:dyDescent="0.3">
      <c r="A116" s="62" t="s">
        <v>81</v>
      </c>
      <c r="B116" s="62" t="s">
        <v>563</v>
      </c>
      <c r="C116" s="64"/>
      <c r="D116" s="68"/>
      <c r="E116" s="66">
        <f t="shared" si="1"/>
        <v>0</v>
      </c>
    </row>
    <row r="117" spans="1:5" hidden="1" x14ac:dyDescent="0.3">
      <c r="A117" s="62" t="s">
        <v>81</v>
      </c>
      <c r="B117" s="62" t="s">
        <v>607</v>
      </c>
      <c r="C117" s="64"/>
      <c r="D117" s="68"/>
      <c r="E117" s="66">
        <f t="shared" si="1"/>
        <v>0</v>
      </c>
    </row>
    <row r="118" spans="1:5" x14ac:dyDescent="0.3">
      <c r="A118" s="62" t="s">
        <v>82</v>
      </c>
      <c r="B118" s="62" t="s">
        <v>563</v>
      </c>
      <c r="C118" s="64">
        <v>100</v>
      </c>
      <c r="D118" s="68">
        <v>13500</v>
      </c>
      <c r="E118" s="66">
        <f t="shared" si="1"/>
        <v>1350000</v>
      </c>
    </row>
    <row r="119" spans="1:5" hidden="1" x14ac:dyDescent="0.3">
      <c r="A119" s="62" t="s">
        <v>83</v>
      </c>
      <c r="B119" s="62" t="s">
        <v>563</v>
      </c>
      <c r="C119" s="64"/>
      <c r="D119" s="68"/>
      <c r="E119" s="66">
        <f t="shared" si="1"/>
        <v>0</v>
      </c>
    </row>
    <row r="120" spans="1:5" hidden="1" x14ac:dyDescent="0.3">
      <c r="A120" s="62" t="s">
        <v>84</v>
      </c>
      <c r="B120" s="62" t="s">
        <v>563</v>
      </c>
      <c r="C120" s="64"/>
      <c r="D120" s="68"/>
      <c r="E120" s="66">
        <f t="shared" si="1"/>
        <v>0</v>
      </c>
    </row>
    <row r="121" spans="1:5" hidden="1" x14ac:dyDescent="0.3">
      <c r="A121" s="62" t="s">
        <v>85</v>
      </c>
      <c r="B121" s="62" t="s">
        <v>563</v>
      </c>
      <c r="C121" s="64"/>
      <c r="D121" s="68"/>
      <c r="E121" s="66">
        <f t="shared" si="1"/>
        <v>0</v>
      </c>
    </row>
    <row r="122" spans="1:5" hidden="1" x14ac:dyDescent="0.3">
      <c r="A122" s="62" t="s">
        <v>86</v>
      </c>
      <c r="B122" s="62" t="s">
        <v>565</v>
      </c>
      <c r="C122" s="64"/>
      <c r="D122" s="68"/>
      <c r="E122" s="66">
        <f t="shared" si="1"/>
        <v>0</v>
      </c>
    </row>
    <row r="123" spans="1:5" hidden="1" x14ac:dyDescent="0.3">
      <c r="A123" s="62" t="s">
        <v>87</v>
      </c>
      <c r="B123" s="62" t="s">
        <v>563</v>
      </c>
      <c r="C123" s="64"/>
      <c r="D123" s="68"/>
      <c r="E123" s="66">
        <f t="shared" si="1"/>
        <v>0</v>
      </c>
    </row>
    <row r="124" spans="1:5" hidden="1" x14ac:dyDescent="0.3">
      <c r="A124" s="62" t="s">
        <v>88</v>
      </c>
      <c r="B124" s="62" t="s">
        <v>565</v>
      </c>
      <c r="C124" s="64"/>
      <c r="D124" s="68"/>
      <c r="E124" s="66">
        <f t="shared" si="1"/>
        <v>0</v>
      </c>
    </row>
    <row r="125" spans="1:5" hidden="1" x14ac:dyDescent="0.3">
      <c r="A125" s="62" t="s">
        <v>89</v>
      </c>
      <c r="B125" s="62" t="s">
        <v>563</v>
      </c>
      <c r="C125" s="64"/>
      <c r="D125" s="68"/>
      <c r="E125" s="66">
        <f t="shared" si="1"/>
        <v>0</v>
      </c>
    </row>
    <row r="126" spans="1:5" hidden="1" x14ac:dyDescent="0.3">
      <c r="A126" s="62" t="s">
        <v>90</v>
      </c>
      <c r="B126" s="62" t="s">
        <v>563</v>
      </c>
      <c r="C126" s="64"/>
      <c r="D126" s="68"/>
      <c r="E126" s="66">
        <f t="shared" si="1"/>
        <v>0</v>
      </c>
    </row>
    <row r="127" spans="1:5" x14ac:dyDescent="0.3">
      <c r="A127" s="62" t="s">
        <v>92</v>
      </c>
      <c r="B127" s="62" t="s">
        <v>563</v>
      </c>
      <c r="C127" s="64">
        <v>110</v>
      </c>
      <c r="D127" s="68">
        <v>15000</v>
      </c>
      <c r="E127" s="66">
        <f t="shared" si="1"/>
        <v>1650000</v>
      </c>
    </row>
    <row r="128" spans="1:5" hidden="1" x14ac:dyDescent="0.3">
      <c r="A128" s="62" t="s">
        <v>93</v>
      </c>
      <c r="B128" s="62" t="s">
        <v>563</v>
      </c>
      <c r="C128" s="64"/>
      <c r="D128" s="68"/>
      <c r="E128" s="66">
        <f t="shared" si="1"/>
        <v>0</v>
      </c>
    </row>
    <row r="129" spans="1:5" hidden="1" x14ac:dyDescent="0.3">
      <c r="A129" s="62" t="s">
        <v>94</v>
      </c>
      <c r="B129" s="62" t="s">
        <v>563</v>
      </c>
      <c r="C129" s="64"/>
      <c r="D129" s="68"/>
      <c r="E129" s="66">
        <f t="shared" si="1"/>
        <v>0</v>
      </c>
    </row>
    <row r="130" spans="1:5" hidden="1" x14ac:dyDescent="0.3">
      <c r="A130" s="62" t="s">
        <v>96</v>
      </c>
      <c r="B130" s="62" t="s">
        <v>563</v>
      </c>
      <c r="C130" s="64"/>
      <c r="D130" s="68"/>
      <c r="E130" s="66">
        <f t="shared" si="1"/>
        <v>0</v>
      </c>
    </row>
    <row r="131" spans="1:5" hidden="1" x14ac:dyDescent="0.3">
      <c r="A131" s="62" t="s">
        <v>97</v>
      </c>
      <c r="B131" s="62" t="s">
        <v>564</v>
      </c>
      <c r="C131" s="64"/>
      <c r="D131" s="68"/>
      <c r="E131" s="66">
        <f t="shared" si="1"/>
        <v>0</v>
      </c>
    </row>
    <row r="132" spans="1:5" hidden="1" x14ac:dyDescent="0.3">
      <c r="A132" s="62" t="s">
        <v>98</v>
      </c>
      <c r="B132" s="62" t="s">
        <v>566</v>
      </c>
      <c r="C132" s="64"/>
      <c r="D132" s="68"/>
      <c r="E132" s="66">
        <f t="shared" si="1"/>
        <v>0</v>
      </c>
    </row>
    <row r="133" spans="1:5" hidden="1" x14ac:dyDescent="0.3">
      <c r="A133" s="62" t="s">
        <v>99</v>
      </c>
      <c r="B133" s="62" t="s">
        <v>566</v>
      </c>
      <c r="C133" s="64"/>
      <c r="D133" s="68"/>
      <c r="E133" s="66">
        <f t="shared" ref="E133:E198" si="2">C133*D133</f>
        <v>0</v>
      </c>
    </row>
    <row r="134" spans="1:5" hidden="1" x14ac:dyDescent="0.3">
      <c r="A134" s="62" t="s">
        <v>100</v>
      </c>
      <c r="B134" s="62" t="s">
        <v>564</v>
      </c>
      <c r="C134" s="64"/>
      <c r="D134" s="68"/>
      <c r="E134" s="66">
        <f t="shared" si="2"/>
        <v>0</v>
      </c>
    </row>
    <row r="135" spans="1:5" hidden="1" x14ac:dyDescent="0.3">
      <c r="A135" s="62" t="s">
        <v>121</v>
      </c>
      <c r="B135" s="62" t="s">
        <v>563</v>
      </c>
      <c r="C135" s="64"/>
      <c r="D135" s="68"/>
      <c r="E135" s="66">
        <f t="shared" si="2"/>
        <v>0</v>
      </c>
    </row>
    <row r="136" spans="1:5" hidden="1" x14ac:dyDescent="0.3">
      <c r="A136" s="62" t="s">
        <v>101</v>
      </c>
      <c r="B136" s="62" t="s">
        <v>563</v>
      </c>
      <c r="C136" s="64"/>
      <c r="D136" s="68"/>
      <c r="E136" s="66">
        <f t="shared" si="2"/>
        <v>0</v>
      </c>
    </row>
    <row r="137" spans="1:5" x14ac:dyDescent="0.3">
      <c r="A137" s="62" t="s">
        <v>102</v>
      </c>
      <c r="B137" s="62" t="s">
        <v>563</v>
      </c>
      <c r="C137" s="64">
        <v>480</v>
      </c>
      <c r="D137" s="68">
        <v>26000</v>
      </c>
      <c r="E137" s="66">
        <f t="shared" si="2"/>
        <v>12480000</v>
      </c>
    </row>
    <row r="138" spans="1:5" x14ac:dyDescent="0.3">
      <c r="A138" s="62" t="s">
        <v>103</v>
      </c>
      <c r="B138" s="62" t="s">
        <v>563</v>
      </c>
      <c r="C138" s="64">
        <v>28</v>
      </c>
      <c r="D138" s="68">
        <v>30000</v>
      </c>
      <c r="E138" s="66">
        <f t="shared" si="2"/>
        <v>840000</v>
      </c>
    </row>
    <row r="139" spans="1:5" hidden="1" x14ac:dyDescent="0.3">
      <c r="A139" s="62" t="s">
        <v>573</v>
      </c>
      <c r="B139" s="62" t="s">
        <v>563</v>
      </c>
      <c r="C139" s="64"/>
      <c r="D139" s="68"/>
      <c r="E139" s="66">
        <f t="shared" si="2"/>
        <v>0</v>
      </c>
    </row>
    <row r="140" spans="1:5" hidden="1" x14ac:dyDescent="0.3">
      <c r="A140" s="62" t="s">
        <v>573</v>
      </c>
      <c r="B140" s="62" t="s">
        <v>566</v>
      </c>
      <c r="C140" s="64"/>
      <c r="D140" s="68"/>
      <c r="E140" s="66">
        <f t="shared" si="2"/>
        <v>0</v>
      </c>
    </row>
    <row r="141" spans="1:5" hidden="1" x14ac:dyDescent="0.3">
      <c r="A141" s="62" t="s">
        <v>560</v>
      </c>
      <c r="B141" s="62" t="s">
        <v>563</v>
      </c>
      <c r="C141" s="64"/>
      <c r="D141" s="68"/>
      <c r="E141" s="66">
        <f t="shared" si="2"/>
        <v>0</v>
      </c>
    </row>
    <row r="142" spans="1:5" hidden="1" x14ac:dyDescent="0.3">
      <c r="A142" s="62" t="s">
        <v>560</v>
      </c>
      <c r="B142" s="62" t="s">
        <v>566</v>
      </c>
      <c r="C142" s="64"/>
      <c r="D142" s="68"/>
      <c r="E142" s="66">
        <f t="shared" si="2"/>
        <v>0</v>
      </c>
    </row>
    <row r="143" spans="1:5" hidden="1" x14ac:dyDescent="0.3">
      <c r="A143" s="62" t="s">
        <v>559</v>
      </c>
      <c r="B143" s="62" t="s">
        <v>563</v>
      </c>
      <c r="C143" s="64"/>
      <c r="D143" s="68"/>
      <c r="E143" s="66">
        <f t="shared" si="2"/>
        <v>0</v>
      </c>
    </row>
    <row r="144" spans="1:5" hidden="1" x14ac:dyDescent="0.3">
      <c r="A144" s="62" t="s">
        <v>559</v>
      </c>
      <c r="B144" s="62" t="s">
        <v>566</v>
      </c>
      <c r="C144" s="64"/>
      <c r="D144" s="68"/>
      <c r="E144" s="66">
        <f t="shared" si="2"/>
        <v>0</v>
      </c>
    </row>
    <row r="145" spans="1:5" hidden="1" x14ac:dyDescent="0.3">
      <c r="A145" s="62" t="s">
        <v>599</v>
      </c>
      <c r="B145" s="62" t="s">
        <v>566</v>
      </c>
      <c r="C145" s="64"/>
      <c r="D145" s="68"/>
      <c r="E145" s="66">
        <f t="shared" si="2"/>
        <v>0</v>
      </c>
    </row>
    <row r="146" spans="1:5" hidden="1" x14ac:dyDescent="0.3">
      <c r="A146" s="62" t="s">
        <v>600</v>
      </c>
      <c r="B146" s="62" t="s">
        <v>566</v>
      </c>
      <c r="C146" s="64"/>
      <c r="D146" s="68"/>
      <c r="E146" s="66">
        <f t="shared" si="2"/>
        <v>0</v>
      </c>
    </row>
    <row r="147" spans="1:5" hidden="1" x14ac:dyDescent="0.3">
      <c r="A147" s="62" t="s">
        <v>583</v>
      </c>
      <c r="B147" s="62" t="s">
        <v>566</v>
      </c>
      <c r="C147" s="64"/>
      <c r="D147" s="68"/>
      <c r="E147" s="66">
        <f t="shared" si="2"/>
        <v>0</v>
      </c>
    </row>
    <row r="148" spans="1:5" hidden="1" x14ac:dyDescent="0.3">
      <c r="A148" s="62" t="s">
        <v>610</v>
      </c>
      <c r="B148" s="62" t="s">
        <v>563</v>
      </c>
      <c r="C148" s="64"/>
      <c r="D148" s="68"/>
      <c r="E148" s="66">
        <f t="shared" si="2"/>
        <v>0</v>
      </c>
    </row>
    <row r="149" spans="1:5" hidden="1" x14ac:dyDescent="0.3">
      <c r="A149" s="62" t="s">
        <v>107</v>
      </c>
      <c r="B149" s="62" t="s">
        <v>563</v>
      </c>
      <c r="C149" s="64"/>
      <c r="D149" s="68"/>
      <c r="E149" s="66">
        <f t="shared" si="2"/>
        <v>0</v>
      </c>
    </row>
    <row r="150" spans="1:5" hidden="1" x14ac:dyDescent="0.3">
      <c r="A150" s="62" t="s">
        <v>545</v>
      </c>
      <c r="B150" s="62" t="s">
        <v>563</v>
      </c>
      <c r="C150" s="64"/>
      <c r="D150" s="68"/>
      <c r="E150" s="66">
        <f t="shared" si="2"/>
        <v>0</v>
      </c>
    </row>
    <row r="151" spans="1:5" hidden="1" x14ac:dyDescent="0.3">
      <c r="A151" s="62" t="s">
        <v>109</v>
      </c>
      <c r="B151" s="62" t="s">
        <v>563</v>
      </c>
      <c r="C151" s="64"/>
      <c r="D151" s="68"/>
      <c r="E151" s="66">
        <f t="shared" si="2"/>
        <v>0</v>
      </c>
    </row>
    <row r="152" spans="1:5" x14ac:dyDescent="0.3">
      <c r="A152" s="62" t="s">
        <v>110</v>
      </c>
      <c r="B152" s="62" t="s">
        <v>563</v>
      </c>
      <c r="C152" s="64">
        <v>15</v>
      </c>
      <c r="D152" s="68">
        <v>27000</v>
      </c>
      <c r="E152" s="66">
        <f t="shared" si="2"/>
        <v>405000</v>
      </c>
    </row>
    <row r="153" spans="1:5" hidden="1" x14ac:dyDescent="0.3">
      <c r="A153" s="62" t="s">
        <v>595</v>
      </c>
      <c r="B153" s="62" t="s">
        <v>563</v>
      </c>
      <c r="C153" s="64"/>
      <c r="D153" s="68"/>
      <c r="E153" s="66">
        <f t="shared" si="2"/>
        <v>0</v>
      </c>
    </row>
    <row r="154" spans="1:5" hidden="1" x14ac:dyDescent="0.3">
      <c r="A154" s="62" t="s">
        <v>526</v>
      </c>
      <c r="B154" s="62" t="s">
        <v>563</v>
      </c>
      <c r="C154" s="64"/>
      <c r="D154" s="68"/>
      <c r="E154" s="66">
        <f t="shared" si="2"/>
        <v>0</v>
      </c>
    </row>
    <row r="155" spans="1:5" hidden="1" x14ac:dyDescent="0.3">
      <c r="A155" s="62" t="s">
        <v>111</v>
      </c>
      <c r="B155" s="62" t="s">
        <v>563</v>
      </c>
      <c r="C155" s="64"/>
      <c r="D155" s="68"/>
      <c r="E155" s="66">
        <f t="shared" si="2"/>
        <v>0</v>
      </c>
    </row>
    <row r="156" spans="1:5" x14ac:dyDescent="0.3">
      <c r="A156" s="62" t="s">
        <v>577</v>
      </c>
      <c r="B156" s="62" t="s">
        <v>566</v>
      </c>
      <c r="C156" s="64">
        <v>20</v>
      </c>
      <c r="D156" s="68">
        <v>20000</v>
      </c>
      <c r="E156" s="66">
        <f t="shared" si="2"/>
        <v>400000</v>
      </c>
    </row>
    <row r="157" spans="1:5" hidden="1" x14ac:dyDescent="0.3">
      <c r="A157" s="62" t="s">
        <v>525</v>
      </c>
      <c r="B157" s="62" t="s">
        <v>563</v>
      </c>
      <c r="C157" s="64"/>
      <c r="D157" s="68"/>
      <c r="E157" s="66">
        <f t="shared" si="2"/>
        <v>0</v>
      </c>
    </row>
    <row r="158" spans="1:5" hidden="1" x14ac:dyDescent="0.3">
      <c r="A158" s="62" t="s">
        <v>116</v>
      </c>
      <c r="B158" s="62" t="s">
        <v>563</v>
      </c>
      <c r="C158" s="64"/>
      <c r="D158" s="68"/>
      <c r="E158" s="66">
        <f t="shared" si="2"/>
        <v>0</v>
      </c>
    </row>
    <row r="159" spans="1:5" hidden="1" x14ac:dyDescent="0.3">
      <c r="A159" s="62" t="s">
        <v>537</v>
      </c>
      <c r="B159" s="62" t="s">
        <v>563</v>
      </c>
      <c r="C159" s="64"/>
      <c r="D159" s="68"/>
      <c r="E159" s="66">
        <f t="shared" si="2"/>
        <v>0</v>
      </c>
    </row>
    <row r="160" spans="1:5" x14ac:dyDescent="0.3">
      <c r="A160" s="62" t="s">
        <v>527</v>
      </c>
      <c r="B160" s="62" t="s">
        <v>563</v>
      </c>
      <c r="C160" s="67">
        <v>0.3</v>
      </c>
      <c r="D160" s="68">
        <v>45000</v>
      </c>
      <c r="E160" s="66">
        <f t="shared" si="2"/>
        <v>13500</v>
      </c>
    </row>
    <row r="161" spans="1:5" hidden="1" x14ac:dyDescent="0.3">
      <c r="A161" s="62" t="s">
        <v>117</v>
      </c>
      <c r="B161" s="62" t="s">
        <v>563</v>
      </c>
      <c r="C161" s="64"/>
      <c r="D161" s="68"/>
      <c r="E161" s="66">
        <f t="shared" si="2"/>
        <v>0</v>
      </c>
    </row>
    <row r="162" spans="1:5" hidden="1" x14ac:dyDescent="0.3">
      <c r="A162" s="62" t="s">
        <v>538</v>
      </c>
      <c r="B162" s="62" t="s">
        <v>563</v>
      </c>
      <c r="C162" s="64"/>
      <c r="D162" s="68"/>
      <c r="E162" s="66">
        <f t="shared" si="2"/>
        <v>0</v>
      </c>
    </row>
    <row r="163" spans="1:5" hidden="1" x14ac:dyDescent="0.3">
      <c r="A163" s="62" t="s">
        <v>524</v>
      </c>
      <c r="B163" s="62" t="s">
        <v>563</v>
      </c>
      <c r="C163" s="64"/>
      <c r="D163" s="68"/>
      <c r="E163" s="66">
        <f t="shared" si="2"/>
        <v>0</v>
      </c>
    </row>
    <row r="164" spans="1:5" hidden="1" x14ac:dyDescent="0.3">
      <c r="A164" s="62" t="s">
        <v>115</v>
      </c>
      <c r="B164" s="62" t="s">
        <v>563</v>
      </c>
      <c r="C164" s="64"/>
      <c r="D164" s="68"/>
      <c r="E164" s="66">
        <f t="shared" si="2"/>
        <v>0</v>
      </c>
    </row>
    <row r="165" spans="1:5" hidden="1" x14ac:dyDescent="0.3">
      <c r="A165" s="62" t="s">
        <v>535</v>
      </c>
      <c r="B165" s="62" t="s">
        <v>563</v>
      </c>
      <c r="C165" s="64"/>
      <c r="D165" s="68"/>
      <c r="E165" s="66">
        <f t="shared" si="2"/>
        <v>0</v>
      </c>
    </row>
    <row r="166" spans="1:5" hidden="1" x14ac:dyDescent="0.3">
      <c r="A166" s="62" t="s">
        <v>585</v>
      </c>
      <c r="B166" s="62" t="s">
        <v>563</v>
      </c>
      <c r="C166" s="64"/>
      <c r="D166" s="68"/>
      <c r="E166" s="66">
        <f t="shared" si="2"/>
        <v>0</v>
      </c>
    </row>
    <row r="167" spans="1:5" hidden="1" x14ac:dyDescent="0.3">
      <c r="A167" s="62" t="e">
        <v>#N/A</v>
      </c>
      <c r="B167" s="62">
        <v>0</v>
      </c>
      <c r="C167" s="64"/>
      <c r="D167" s="68"/>
      <c r="E167" s="66">
        <f t="shared" si="2"/>
        <v>0</v>
      </c>
    </row>
    <row r="168" spans="1:5" x14ac:dyDescent="0.3">
      <c r="A168" s="89" t="s">
        <v>552</v>
      </c>
      <c r="B168" s="89" t="s">
        <v>563</v>
      </c>
      <c r="C168" s="90">
        <v>35</v>
      </c>
      <c r="D168" s="91">
        <v>13000</v>
      </c>
      <c r="E168" s="66">
        <f t="shared" si="2"/>
        <v>455000</v>
      </c>
    </row>
    <row r="169" spans="1:5" x14ac:dyDescent="0.3">
      <c r="A169" s="89" t="s">
        <v>553</v>
      </c>
      <c r="B169" s="89" t="s">
        <v>563</v>
      </c>
      <c r="C169" s="90">
        <v>20</v>
      </c>
      <c r="D169" s="91">
        <v>23000</v>
      </c>
      <c r="E169" s="66">
        <f t="shared" si="2"/>
        <v>460000</v>
      </c>
    </row>
    <row r="170" spans="1:5" hidden="1" x14ac:dyDescent="0.3">
      <c r="E170" s="66">
        <f t="shared" si="2"/>
        <v>0</v>
      </c>
    </row>
    <row r="171" spans="1:5" x14ac:dyDescent="0.3">
      <c r="E171" s="66">
        <f>SUM(E4:E169)</f>
        <v>94189500</v>
      </c>
    </row>
    <row r="172" spans="1:5" x14ac:dyDescent="0.3">
      <c r="E172" s="66"/>
    </row>
    <row r="173" spans="1:5" x14ac:dyDescent="0.3">
      <c r="A173" t="s">
        <v>0</v>
      </c>
      <c r="B173" t="s">
        <v>562</v>
      </c>
      <c r="C173" t="s">
        <v>612</v>
      </c>
      <c r="D173" t="s">
        <v>594</v>
      </c>
      <c r="E173" s="66" t="s">
        <v>129</v>
      </c>
    </row>
    <row r="174" spans="1:5" hidden="1" x14ac:dyDescent="0.3">
      <c r="A174" t="s">
        <v>21</v>
      </c>
      <c r="B174" t="s">
        <v>563</v>
      </c>
      <c r="E174" s="66">
        <f t="shared" si="2"/>
        <v>0</v>
      </c>
    </row>
    <row r="175" spans="1:5" hidden="1" x14ac:dyDescent="0.3">
      <c r="A175" t="s">
        <v>22</v>
      </c>
      <c r="B175" t="s">
        <v>563</v>
      </c>
      <c r="E175" s="66">
        <f t="shared" si="2"/>
        <v>0</v>
      </c>
    </row>
    <row r="176" spans="1:5" x14ac:dyDescent="0.3">
      <c r="A176" t="s">
        <v>23</v>
      </c>
      <c r="B176" t="s">
        <v>563</v>
      </c>
      <c r="C176">
        <v>1600</v>
      </c>
      <c r="D176">
        <v>7000</v>
      </c>
      <c r="E176" s="66">
        <f t="shared" si="2"/>
        <v>11200000</v>
      </c>
    </row>
    <row r="177" spans="1:5" x14ac:dyDescent="0.3">
      <c r="A177" t="s">
        <v>48</v>
      </c>
      <c r="B177" t="s">
        <v>563</v>
      </c>
      <c r="C177">
        <v>15</v>
      </c>
      <c r="D177">
        <v>10000</v>
      </c>
      <c r="E177" s="66">
        <f t="shared" si="2"/>
        <v>150000</v>
      </c>
    </row>
    <row r="178" spans="1:5" x14ac:dyDescent="0.3">
      <c r="A178" t="s">
        <v>50</v>
      </c>
      <c r="B178" t="s">
        <v>563</v>
      </c>
      <c r="C178">
        <v>270</v>
      </c>
      <c r="D178">
        <v>7000</v>
      </c>
      <c r="E178" s="66">
        <f t="shared" si="2"/>
        <v>1890000</v>
      </c>
    </row>
    <row r="179" spans="1:5" hidden="1" x14ac:dyDescent="0.3">
      <c r="A179" t="s">
        <v>121</v>
      </c>
      <c r="B179" t="s">
        <v>563</v>
      </c>
      <c r="E179" s="66">
        <f t="shared" si="2"/>
        <v>0</v>
      </c>
    </row>
    <row r="180" spans="1:5" hidden="1" x14ac:dyDescent="0.3">
      <c r="A180" t="s">
        <v>51</v>
      </c>
      <c r="B180" t="s">
        <v>563</v>
      </c>
      <c r="E180" s="66">
        <f t="shared" si="2"/>
        <v>0</v>
      </c>
    </row>
    <row r="181" spans="1:5" hidden="1" x14ac:dyDescent="0.3">
      <c r="A181" t="s">
        <v>52</v>
      </c>
      <c r="B181" t="s">
        <v>563</v>
      </c>
      <c r="E181" s="66">
        <f t="shared" si="2"/>
        <v>0</v>
      </c>
    </row>
    <row r="182" spans="1:5" hidden="1" x14ac:dyDescent="0.3">
      <c r="A182" t="s">
        <v>92</v>
      </c>
      <c r="B182" t="s">
        <v>563</v>
      </c>
      <c r="E182" s="66">
        <f t="shared" si="2"/>
        <v>0</v>
      </c>
    </row>
    <row r="183" spans="1:5" hidden="1" x14ac:dyDescent="0.3">
      <c r="A183" t="s">
        <v>110</v>
      </c>
      <c r="B183" t="s">
        <v>563</v>
      </c>
      <c r="E183" s="66">
        <f t="shared" si="2"/>
        <v>0</v>
      </c>
    </row>
    <row r="184" spans="1:5" hidden="1" x14ac:dyDescent="0.3">
      <c r="A184" t="s">
        <v>17</v>
      </c>
      <c r="B184" t="s">
        <v>563</v>
      </c>
      <c r="E184" s="66">
        <f t="shared" si="2"/>
        <v>0</v>
      </c>
    </row>
    <row r="185" spans="1:5" hidden="1" x14ac:dyDescent="0.3">
      <c r="A185" t="s">
        <v>53</v>
      </c>
      <c r="B185" t="s">
        <v>563</v>
      </c>
      <c r="E185" s="66">
        <f t="shared" si="2"/>
        <v>0</v>
      </c>
    </row>
    <row r="186" spans="1:5" hidden="1" x14ac:dyDescent="0.3">
      <c r="A186" t="s">
        <v>56</v>
      </c>
      <c r="B186" t="s">
        <v>565</v>
      </c>
      <c r="E186" s="66">
        <f t="shared" si="2"/>
        <v>0</v>
      </c>
    </row>
    <row r="187" spans="1:5" hidden="1" x14ac:dyDescent="0.3">
      <c r="A187" t="s">
        <v>103</v>
      </c>
      <c r="B187" t="s">
        <v>563</v>
      </c>
      <c r="E187" s="66">
        <f t="shared" si="2"/>
        <v>0</v>
      </c>
    </row>
    <row r="188" spans="1:5" x14ac:dyDescent="0.3">
      <c r="A188" t="s">
        <v>60</v>
      </c>
      <c r="B188" t="s">
        <v>563</v>
      </c>
      <c r="C188">
        <v>270</v>
      </c>
      <c r="D188">
        <v>21000</v>
      </c>
      <c r="E188" s="66">
        <f t="shared" si="2"/>
        <v>5670000</v>
      </c>
    </row>
    <row r="189" spans="1:5" hidden="1" x14ac:dyDescent="0.3">
      <c r="A189" t="s">
        <v>1</v>
      </c>
      <c r="B189" t="s">
        <v>563</v>
      </c>
      <c r="E189" s="66">
        <f t="shared" si="2"/>
        <v>0</v>
      </c>
    </row>
    <row r="190" spans="1:5" hidden="1" x14ac:dyDescent="0.3">
      <c r="A190" t="s">
        <v>2</v>
      </c>
      <c r="B190" t="s">
        <v>563</v>
      </c>
      <c r="E190" s="66">
        <f t="shared" si="2"/>
        <v>0</v>
      </c>
    </row>
    <row r="191" spans="1:5" hidden="1" x14ac:dyDescent="0.3">
      <c r="A191" t="s">
        <v>62</v>
      </c>
      <c r="B191" t="s">
        <v>563</v>
      </c>
      <c r="E191" s="66">
        <f t="shared" si="2"/>
        <v>0</v>
      </c>
    </row>
    <row r="192" spans="1:5" x14ac:dyDescent="0.3">
      <c r="A192" t="s">
        <v>27</v>
      </c>
      <c r="B192" t="s">
        <v>563</v>
      </c>
      <c r="C192">
        <v>15</v>
      </c>
      <c r="D192">
        <v>14000</v>
      </c>
      <c r="E192" s="66">
        <f t="shared" si="2"/>
        <v>210000</v>
      </c>
    </row>
    <row r="193" spans="1:5" hidden="1" x14ac:dyDescent="0.3">
      <c r="A193" t="s">
        <v>109</v>
      </c>
      <c r="B193" t="s">
        <v>563</v>
      </c>
      <c r="E193" s="66">
        <f t="shared" si="2"/>
        <v>0</v>
      </c>
    </row>
    <row r="194" spans="1:5" hidden="1" x14ac:dyDescent="0.3">
      <c r="A194" t="s">
        <v>125</v>
      </c>
      <c r="B194" t="s">
        <v>563</v>
      </c>
      <c r="E194" s="66">
        <f t="shared" si="2"/>
        <v>0</v>
      </c>
    </row>
    <row r="195" spans="1:5" hidden="1" x14ac:dyDescent="0.3">
      <c r="A195" t="s">
        <v>28</v>
      </c>
      <c r="B195" t="s">
        <v>563</v>
      </c>
      <c r="E195" s="66">
        <f t="shared" si="2"/>
        <v>0</v>
      </c>
    </row>
    <row r="196" spans="1:5" hidden="1" x14ac:dyDescent="0.3">
      <c r="A196" t="s">
        <v>120</v>
      </c>
      <c r="B196" t="s">
        <v>563</v>
      </c>
      <c r="E196" s="66">
        <f t="shared" si="2"/>
        <v>0</v>
      </c>
    </row>
    <row r="197" spans="1:5" x14ac:dyDescent="0.3">
      <c r="A197" t="s">
        <v>87</v>
      </c>
      <c r="B197" t="s">
        <v>563</v>
      </c>
      <c r="C197">
        <v>70</v>
      </c>
      <c r="D197">
        <v>12000</v>
      </c>
      <c r="E197" s="66">
        <f t="shared" si="2"/>
        <v>840000</v>
      </c>
    </row>
    <row r="198" spans="1:5" hidden="1" x14ac:dyDescent="0.3">
      <c r="A198" t="s">
        <v>5</v>
      </c>
      <c r="B198" t="s">
        <v>563</v>
      </c>
      <c r="E198" s="66">
        <f t="shared" si="2"/>
        <v>0</v>
      </c>
    </row>
    <row r="199" spans="1:5" x14ac:dyDescent="0.3">
      <c r="A199" t="s">
        <v>6</v>
      </c>
      <c r="B199" t="s">
        <v>563</v>
      </c>
      <c r="C199">
        <v>78</v>
      </c>
      <c r="D199">
        <v>15000</v>
      </c>
      <c r="E199" s="66">
        <f t="shared" ref="E199:E226" si="3">C199*D199</f>
        <v>1170000</v>
      </c>
    </row>
    <row r="200" spans="1:5" hidden="1" x14ac:dyDescent="0.3">
      <c r="A200" t="s">
        <v>8</v>
      </c>
      <c r="B200" t="s">
        <v>563</v>
      </c>
      <c r="E200" s="66">
        <f t="shared" si="3"/>
        <v>0</v>
      </c>
    </row>
    <row r="201" spans="1:5" hidden="1" x14ac:dyDescent="0.3">
      <c r="A201" t="s">
        <v>119</v>
      </c>
      <c r="B201" t="s">
        <v>566</v>
      </c>
      <c r="E201" s="66">
        <f t="shared" si="3"/>
        <v>0</v>
      </c>
    </row>
    <row r="202" spans="1:5" x14ac:dyDescent="0.3">
      <c r="A202" t="s">
        <v>12</v>
      </c>
      <c r="B202" t="s">
        <v>563</v>
      </c>
      <c r="C202">
        <v>200</v>
      </c>
      <c r="D202">
        <v>25000</v>
      </c>
      <c r="E202" s="66">
        <f t="shared" si="3"/>
        <v>5000000</v>
      </c>
    </row>
    <row r="203" spans="1:5" x14ac:dyDescent="0.3">
      <c r="A203" t="s">
        <v>14</v>
      </c>
      <c r="B203" t="s">
        <v>566</v>
      </c>
      <c r="C203">
        <v>56</v>
      </c>
      <c r="D203">
        <v>6000</v>
      </c>
      <c r="E203" s="66">
        <f t="shared" si="3"/>
        <v>336000</v>
      </c>
    </row>
    <row r="204" spans="1:5" hidden="1" x14ac:dyDescent="0.3">
      <c r="A204" t="s">
        <v>15</v>
      </c>
      <c r="B204" t="s">
        <v>563</v>
      </c>
      <c r="E204" s="66">
        <f t="shared" si="3"/>
        <v>0</v>
      </c>
    </row>
    <row r="205" spans="1:5" hidden="1" x14ac:dyDescent="0.3">
      <c r="A205" t="s">
        <v>16</v>
      </c>
      <c r="B205" t="s">
        <v>563</v>
      </c>
      <c r="E205" s="66">
        <f t="shared" si="3"/>
        <v>0</v>
      </c>
    </row>
    <row r="206" spans="1:5" hidden="1" x14ac:dyDescent="0.3">
      <c r="A206" t="s">
        <v>68</v>
      </c>
      <c r="B206" t="s">
        <v>566</v>
      </c>
      <c r="E206" s="66">
        <f t="shared" si="3"/>
        <v>0</v>
      </c>
    </row>
    <row r="207" spans="1:5" hidden="1" x14ac:dyDescent="0.3">
      <c r="A207" t="s">
        <v>65</v>
      </c>
      <c r="B207" t="s">
        <v>563</v>
      </c>
      <c r="E207" s="66">
        <f t="shared" si="3"/>
        <v>0</v>
      </c>
    </row>
    <row r="208" spans="1:5" hidden="1" x14ac:dyDescent="0.3">
      <c r="A208" t="s">
        <v>67</v>
      </c>
      <c r="B208" t="s">
        <v>566</v>
      </c>
      <c r="E208" s="66">
        <f t="shared" si="3"/>
        <v>0</v>
      </c>
    </row>
    <row r="209" spans="1:5" hidden="1" x14ac:dyDescent="0.3">
      <c r="A209" t="s">
        <v>71</v>
      </c>
      <c r="B209" t="s">
        <v>563</v>
      </c>
      <c r="E209" s="66">
        <f t="shared" si="3"/>
        <v>0</v>
      </c>
    </row>
    <row r="210" spans="1:5" hidden="1" x14ac:dyDescent="0.3">
      <c r="A210" t="s">
        <v>72</v>
      </c>
      <c r="B210" t="s">
        <v>564</v>
      </c>
      <c r="E210" s="66">
        <f t="shared" si="3"/>
        <v>0</v>
      </c>
    </row>
    <row r="211" spans="1:5" hidden="1" x14ac:dyDescent="0.3">
      <c r="A211" t="s">
        <v>29</v>
      </c>
      <c r="B211" t="s">
        <v>563</v>
      </c>
      <c r="E211" s="66">
        <f t="shared" si="3"/>
        <v>0</v>
      </c>
    </row>
    <row r="212" spans="1:5" hidden="1" x14ac:dyDescent="0.3">
      <c r="A212" t="s">
        <v>123</v>
      </c>
      <c r="B212" t="s">
        <v>563</v>
      </c>
      <c r="E212" s="66">
        <f t="shared" si="3"/>
        <v>0</v>
      </c>
    </row>
    <row r="213" spans="1:5" hidden="1" x14ac:dyDescent="0.3">
      <c r="A213" t="s">
        <v>30</v>
      </c>
      <c r="B213" t="s">
        <v>563</v>
      </c>
      <c r="E213" s="66">
        <f t="shared" si="3"/>
        <v>0</v>
      </c>
    </row>
    <row r="214" spans="1:5" x14ac:dyDescent="0.3">
      <c r="A214" t="s">
        <v>122</v>
      </c>
      <c r="B214" t="s">
        <v>563</v>
      </c>
      <c r="C214">
        <v>17</v>
      </c>
      <c r="D214">
        <v>50000</v>
      </c>
      <c r="E214" s="66">
        <f t="shared" si="3"/>
        <v>850000</v>
      </c>
    </row>
    <row r="215" spans="1:5" hidden="1" x14ac:dyDescent="0.3">
      <c r="A215" t="s">
        <v>76</v>
      </c>
      <c r="B215" t="s">
        <v>563</v>
      </c>
      <c r="E215" s="66">
        <f t="shared" si="3"/>
        <v>0</v>
      </c>
    </row>
    <row r="216" spans="1:5" hidden="1" x14ac:dyDescent="0.3">
      <c r="A216" t="s">
        <v>78</v>
      </c>
      <c r="B216" t="s">
        <v>563</v>
      </c>
      <c r="E216" s="66">
        <f t="shared" si="3"/>
        <v>0</v>
      </c>
    </row>
    <row r="217" spans="1:5" hidden="1" x14ac:dyDescent="0.3">
      <c r="A217" t="s">
        <v>79</v>
      </c>
      <c r="B217" t="s">
        <v>563</v>
      </c>
      <c r="E217" s="66">
        <f t="shared" si="3"/>
        <v>0</v>
      </c>
    </row>
    <row r="218" spans="1:5" hidden="1" x14ac:dyDescent="0.3">
      <c r="A218" t="s">
        <v>107</v>
      </c>
      <c r="B218" t="s">
        <v>563</v>
      </c>
      <c r="E218" s="66">
        <f t="shared" si="3"/>
        <v>0</v>
      </c>
    </row>
    <row r="219" spans="1:5" hidden="1" x14ac:dyDescent="0.3">
      <c r="A219" t="s">
        <v>124</v>
      </c>
      <c r="B219" t="s">
        <v>566</v>
      </c>
      <c r="E219" s="66">
        <f t="shared" si="3"/>
        <v>0</v>
      </c>
    </row>
    <row r="220" spans="1:5" hidden="1" x14ac:dyDescent="0.3">
      <c r="A220" t="s">
        <v>82</v>
      </c>
      <c r="B220" t="s">
        <v>563</v>
      </c>
      <c r="E220" s="66">
        <f t="shared" si="3"/>
        <v>0</v>
      </c>
    </row>
    <row r="221" spans="1:5" hidden="1" x14ac:dyDescent="0.3">
      <c r="A221" t="s">
        <v>38</v>
      </c>
      <c r="B221" t="s">
        <v>563</v>
      </c>
      <c r="E221" s="66">
        <f t="shared" si="3"/>
        <v>0</v>
      </c>
    </row>
    <row r="222" spans="1:5" hidden="1" x14ac:dyDescent="0.3">
      <c r="A222" t="s">
        <v>39</v>
      </c>
      <c r="B222" t="s">
        <v>568</v>
      </c>
      <c r="E222" s="66">
        <f t="shared" si="3"/>
        <v>0</v>
      </c>
    </row>
    <row r="223" spans="1:5" hidden="1" x14ac:dyDescent="0.3">
      <c r="A223" t="s">
        <v>40</v>
      </c>
      <c r="B223" t="s">
        <v>563</v>
      </c>
      <c r="E223" s="66">
        <f t="shared" si="3"/>
        <v>0</v>
      </c>
    </row>
    <row r="224" spans="1:5" hidden="1" x14ac:dyDescent="0.3">
      <c r="A224" t="s">
        <v>41</v>
      </c>
      <c r="B224" t="s">
        <v>568</v>
      </c>
      <c r="E224" s="66">
        <f t="shared" si="3"/>
        <v>0</v>
      </c>
    </row>
    <row r="225" spans="1:5" hidden="1" x14ac:dyDescent="0.3">
      <c r="A225" t="s">
        <v>46</v>
      </c>
      <c r="B225" t="s">
        <v>568</v>
      </c>
      <c r="E225" s="66">
        <f t="shared" si="3"/>
        <v>0</v>
      </c>
    </row>
    <row r="226" spans="1:5" hidden="1" x14ac:dyDescent="0.3">
      <c r="A226" t="e">
        <v>#N/A</v>
      </c>
      <c r="B226">
        <v>0</v>
      </c>
      <c r="E226" s="66">
        <f t="shared" si="3"/>
        <v>0</v>
      </c>
    </row>
    <row r="227" spans="1:5" x14ac:dyDescent="0.3">
      <c r="E227" s="83">
        <f>SUM(E176:E214)</f>
        <v>27316000</v>
      </c>
    </row>
    <row r="229" spans="1:5" x14ac:dyDescent="0.3">
      <c r="E229" s="83">
        <f>E227+E171</f>
        <v>121505500</v>
      </c>
    </row>
  </sheetData>
  <autoFilter ref="A3:E226" xr:uid="{00000000-0009-0000-0000-000017000000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2:E336"/>
  <sheetViews>
    <sheetView topLeftCell="A105" workbookViewId="0">
      <selection activeCell="G209" sqref="G209"/>
    </sheetView>
  </sheetViews>
  <sheetFormatPr defaultRowHeight="14.4" x14ac:dyDescent="0.3"/>
  <cols>
    <col min="1" max="1" width="25.44140625" customWidth="1"/>
    <col min="3" max="3" width="8.88671875" customWidth="1"/>
    <col min="4" max="4" width="14.88671875" customWidth="1"/>
    <col min="5" max="5" width="16.44140625" customWidth="1"/>
  </cols>
  <sheetData>
    <row r="2" spans="1:5" x14ac:dyDescent="0.3">
      <c r="A2" t="s">
        <v>613</v>
      </c>
    </row>
    <row r="3" spans="1:5" x14ac:dyDescent="0.3">
      <c r="A3" t="s">
        <v>0</v>
      </c>
      <c r="B3" t="s">
        <v>562</v>
      </c>
      <c r="C3" t="s">
        <v>544</v>
      </c>
      <c r="D3" t="s">
        <v>590</v>
      </c>
      <c r="E3" t="s">
        <v>129</v>
      </c>
    </row>
    <row r="4" spans="1:5" x14ac:dyDescent="0.3">
      <c r="A4" t="s">
        <v>1</v>
      </c>
      <c r="B4" t="s">
        <v>563</v>
      </c>
      <c r="C4">
        <v>75</v>
      </c>
      <c r="D4">
        <v>18000</v>
      </c>
      <c r="E4">
        <f>C4*D4</f>
        <v>1350000</v>
      </c>
    </row>
    <row r="5" spans="1:5" hidden="1" x14ac:dyDescent="0.3">
      <c r="A5" t="s">
        <v>1</v>
      </c>
      <c r="B5" t="s">
        <v>566</v>
      </c>
      <c r="E5">
        <f t="shared" ref="E5:E68" si="0">C5*D5</f>
        <v>0</v>
      </c>
    </row>
    <row r="6" spans="1:5" hidden="1" x14ac:dyDescent="0.3">
      <c r="A6" t="s">
        <v>2</v>
      </c>
      <c r="B6" t="s">
        <v>563</v>
      </c>
      <c r="E6">
        <f t="shared" si="0"/>
        <v>0</v>
      </c>
    </row>
    <row r="7" spans="1:5" hidden="1" x14ac:dyDescent="0.3">
      <c r="A7" t="s">
        <v>2</v>
      </c>
      <c r="B7" t="s">
        <v>564</v>
      </c>
      <c r="E7">
        <f t="shared" si="0"/>
        <v>0</v>
      </c>
    </row>
    <row r="8" spans="1:5" hidden="1" x14ac:dyDescent="0.3">
      <c r="A8" t="s">
        <v>3</v>
      </c>
      <c r="B8" t="s">
        <v>563</v>
      </c>
      <c r="E8">
        <f t="shared" si="0"/>
        <v>0</v>
      </c>
    </row>
    <row r="9" spans="1:5" x14ac:dyDescent="0.3">
      <c r="A9" t="s">
        <v>4</v>
      </c>
      <c r="B9" t="s">
        <v>565</v>
      </c>
      <c r="C9">
        <v>6</v>
      </c>
      <c r="D9">
        <v>8000</v>
      </c>
      <c r="E9">
        <f t="shared" si="0"/>
        <v>48000</v>
      </c>
    </row>
    <row r="10" spans="1:5" hidden="1" x14ac:dyDescent="0.3">
      <c r="A10" t="s">
        <v>5</v>
      </c>
      <c r="B10" t="s">
        <v>563</v>
      </c>
      <c r="E10">
        <f t="shared" si="0"/>
        <v>0</v>
      </c>
    </row>
    <row r="11" spans="1:5" x14ac:dyDescent="0.3">
      <c r="A11" t="s">
        <v>6</v>
      </c>
      <c r="B11" t="s">
        <v>563</v>
      </c>
      <c r="C11">
        <v>140</v>
      </c>
      <c r="D11">
        <v>14000</v>
      </c>
      <c r="E11">
        <f t="shared" si="0"/>
        <v>1960000</v>
      </c>
    </row>
    <row r="12" spans="1:5" hidden="1" x14ac:dyDescent="0.3">
      <c r="A12" t="s">
        <v>6</v>
      </c>
      <c r="B12" t="s">
        <v>566</v>
      </c>
      <c r="E12">
        <f t="shared" si="0"/>
        <v>0</v>
      </c>
    </row>
    <row r="13" spans="1:5" hidden="1" x14ac:dyDescent="0.3">
      <c r="A13" t="s">
        <v>7</v>
      </c>
      <c r="B13" t="s">
        <v>563</v>
      </c>
      <c r="E13">
        <f t="shared" si="0"/>
        <v>0</v>
      </c>
    </row>
    <row r="14" spans="1:5" x14ac:dyDescent="0.3">
      <c r="A14" t="s">
        <v>8</v>
      </c>
      <c r="B14" t="s">
        <v>563</v>
      </c>
      <c r="C14">
        <v>610</v>
      </c>
      <c r="D14">
        <v>25000</v>
      </c>
      <c r="E14">
        <f t="shared" si="0"/>
        <v>15250000</v>
      </c>
    </row>
    <row r="15" spans="1:5" hidden="1" x14ac:dyDescent="0.3">
      <c r="A15" t="s">
        <v>9</v>
      </c>
      <c r="B15" t="s">
        <v>566</v>
      </c>
      <c r="E15">
        <f t="shared" si="0"/>
        <v>0</v>
      </c>
    </row>
    <row r="16" spans="1:5" x14ac:dyDescent="0.3">
      <c r="A16" t="s">
        <v>10</v>
      </c>
      <c r="B16" t="s">
        <v>563</v>
      </c>
      <c r="C16">
        <v>190</v>
      </c>
      <c r="D16">
        <v>15000</v>
      </c>
      <c r="E16">
        <f t="shared" si="0"/>
        <v>2850000</v>
      </c>
    </row>
    <row r="17" spans="1:5" hidden="1" x14ac:dyDescent="0.3">
      <c r="A17" t="s">
        <v>10</v>
      </c>
      <c r="B17" t="s">
        <v>566</v>
      </c>
      <c r="E17">
        <f t="shared" si="0"/>
        <v>0</v>
      </c>
    </row>
    <row r="18" spans="1:5" x14ac:dyDescent="0.3">
      <c r="A18" t="s">
        <v>11</v>
      </c>
      <c r="B18" t="s">
        <v>563</v>
      </c>
      <c r="C18">
        <v>430</v>
      </c>
      <c r="D18">
        <v>26000</v>
      </c>
      <c r="E18">
        <f t="shared" si="0"/>
        <v>11180000</v>
      </c>
    </row>
    <row r="19" spans="1:5" hidden="1" x14ac:dyDescent="0.3">
      <c r="A19" t="s">
        <v>11</v>
      </c>
      <c r="B19" t="s">
        <v>566</v>
      </c>
      <c r="E19">
        <f t="shared" si="0"/>
        <v>0</v>
      </c>
    </row>
    <row r="20" spans="1:5" x14ac:dyDescent="0.3">
      <c r="A20" t="s">
        <v>12</v>
      </c>
      <c r="B20" t="s">
        <v>563</v>
      </c>
      <c r="C20">
        <v>70</v>
      </c>
      <c r="D20">
        <v>25000</v>
      </c>
      <c r="E20">
        <f t="shared" si="0"/>
        <v>1750000</v>
      </c>
    </row>
    <row r="21" spans="1:5" hidden="1" x14ac:dyDescent="0.3">
      <c r="A21" t="s">
        <v>12</v>
      </c>
      <c r="B21" t="s">
        <v>566</v>
      </c>
      <c r="E21">
        <f t="shared" si="0"/>
        <v>0</v>
      </c>
    </row>
    <row r="22" spans="1:5" hidden="1" x14ac:dyDescent="0.3">
      <c r="A22" t="s">
        <v>13</v>
      </c>
      <c r="B22" t="s">
        <v>563</v>
      </c>
      <c r="E22">
        <f t="shared" si="0"/>
        <v>0</v>
      </c>
    </row>
    <row r="23" spans="1:5" hidden="1" x14ac:dyDescent="0.3">
      <c r="A23" t="s">
        <v>14</v>
      </c>
      <c r="B23" t="s">
        <v>566</v>
      </c>
      <c r="E23">
        <f t="shared" si="0"/>
        <v>0</v>
      </c>
    </row>
    <row r="24" spans="1:5" x14ac:dyDescent="0.3">
      <c r="A24" t="s">
        <v>15</v>
      </c>
      <c r="B24" t="s">
        <v>563</v>
      </c>
      <c r="C24">
        <v>340</v>
      </c>
      <c r="D24">
        <v>16000</v>
      </c>
      <c r="E24">
        <f t="shared" si="0"/>
        <v>5440000</v>
      </c>
    </row>
    <row r="25" spans="1:5" x14ac:dyDescent="0.3">
      <c r="A25" t="s">
        <v>15</v>
      </c>
      <c r="B25" t="s">
        <v>566</v>
      </c>
      <c r="C25">
        <v>8</v>
      </c>
      <c r="D25">
        <v>6000</v>
      </c>
      <c r="E25">
        <f t="shared" si="0"/>
        <v>48000</v>
      </c>
    </row>
    <row r="26" spans="1:5" hidden="1" x14ac:dyDescent="0.3">
      <c r="A26" t="s">
        <v>16</v>
      </c>
      <c r="B26" t="s">
        <v>563</v>
      </c>
      <c r="E26">
        <f t="shared" si="0"/>
        <v>0</v>
      </c>
    </row>
    <row r="27" spans="1:5" hidden="1" x14ac:dyDescent="0.3">
      <c r="A27" t="s">
        <v>18</v>
      </c>
      <c r="B27" t="s">
        <v>563</v>
      </c>
      <c r="E27">
        <f t="shared" si="0"/>
        <v>0</v>
      </c>
    </row>
    <row r="28" spans="1:5" hidden="1" x14ac:dyDescent="0.3">
      <c r="A28" t="s">
        <v>19</v>
      </c>
      <c r="B28" t="s">
        <v>563</v>
      </c>
      <c r="E28">
        <f t="shared" si="0"/>
        <v>0</v>
      </c>
    </row>
    <row r="29" spans="1:5" hidden="1" x14ac:dyDescent="0.3">
      <c r="A29" t="s">
        <v>19</v>
      </c>
      <c r="B29" t="s">
        <v>564</v>
      </c>
      <c r="E29">
        <f t="shared" si="0"/>
        <v>0</v>
      </c>
    </row>
    <row r="30" spans="1:5" hidden="1" x14ac:dyDescent="0.3">
      <c r="A30" t="s">
        <v>20</v>
      </c>
      <c r="B30" t="s">
        <v>564</v>
      </c>
      <c r="E30">
        <f t="shared" si="0"/>
        <v>0</v>
      </c>
    </row>
    <row r="31" spans="1:5" x14ac:dyDescent="0.3">
      <c r="A31" t="s">
        <v>21</v>
      </c>
      <c r="B31" t="s">
        <v>563</v>
      </c>
      <c r="C31">
        <v>10</v>
      </c>
      <c r="D31">
        <v>16000</v>
      </c>
      <c r="E31">
        <f t="shared" si="0"/>
        <v>160000</v>
      </c>
    </row>
    <row r="32" spans="1:5" hidden="1" x14ac:dyDescent="0.3">
      <c r="A32" t="s">
        <v>22</v>
      </c>
      <c r="B32" t="s">
        <v>563</v>
      </c>
      <c r="E32">
        <f t="shared" si="0"/>
        <v>0</v>
      </c>
    </row>
    <row r="33" spans="1:5" x14ac:dyDescent="0.3">
      <c r="A33" t="s">
        <v>23</v>
      </c>
      <c r="B33" t="s">
        <v>563</v>
      </c>
      <c r="C33">
        <v>2496</v>
      </c>
      <c r="D33">
        <v>6800</v>
      </c>
      <c r="E33" s="104">
        <f t="shared" si="0"/>
        <v>16972800</v>
      </c>
    </row>
    <row r="34" spans="1:5" hidden="1" x14ac:dyDescent="0.3">
      <c r="A34" t="s">
        <v>24</v>
      </c>
      <c r="B34" t="s">
        <v>563</v>
      </c>
      <c r="E34">
        <f t="shared" si="0"/>
        <v>0</v>
      </c>
    </row>
    <row r="35" spans="1:5" hidden="1" x14ac:dyDescent="0.3">
      <c r="A35" t="s">
        <v>24</v>
      </c>
      <c r="B35" t="s">
        <v>566</v>
      </c>
      <c r="E35">
        <f t="shared" si="0"/>
        <v>0</v>
      </c>
    </row>
    <row r="36" spans="1:5" hidden="1" x14ac:dyDescent="0.3">
      <c r="A36" t="s">
        <v>557</v>
      </c>
      <c r="B36" t="s">
        <v>566</v>
      </c>
      <c r="E36">
        <f t="shared" si="0"/>
        <v>0</v>
      </c>
    </row>
    <row r="37" spans="1:5" hidden="1" x14ac:dyDescent="0.3">
      <c r="A37" t="s">
        <v>25</v>
      </c>
      <c r="B37" t="s">
        <v>563</v>
      </c>
      <c r="E37">
        <f t="shared" si="0"/>
        <v>0</v>
      </c>
    </row>
    <row r="38" spans="1:5" hidden="1" x14ac:dyDescent="0.3">
      <c r="A38" t="s">
        <v>25</v>
      </c>
      <c r="B38" t="s">
        <v>566</v>
      </c>
      <c r="E38">
        <f t="shared" si="0"/>
        <v>0</v>
      </c>
    </row>
    <row r="39" spans="1:5" hidden="1" x14ac:dyDescent="0.3">
      <c r="A39" t="s">
        <v>26</v>
      </c>
      <c r="B39" t="s">
        <v>566</v>
      </c>
      <c r="E39">
        <f t="shared" si="0"/>
        <v>0</v>
      </c>
    </row>
    <row r="40" spans="1:5" hidden="1" x14ac:dyDescent="0.3">
      <c r="A40" t="s">
        <v>26</v>
      </c>
      <c r="B40" t="s">
        <v>567</v>
      </c>
      <c r="E40">
        <f t="shared" si="0"/>
        <v>0</v>
      </c>
    </row>
    <row r="41" spans="1:5" x14ac:dyDescent="0.3">
      <c r="A41" t="s">
        <v>27</v>
      </c>
      <c r="B41" t="s">
        <v>563</v>
      </c>
      <c r="C41">
        <v>90</v>
      </c>
      <c r="D41">
        <v>13000</v>
      </c>
      <c r="E41">
        <f t="shared" si="0"/>
        <v>1170000</v>
      </c>
    </row>
    <row r="42" spans="1:5" hidden="1" x14ac:dyDescent="0.3">
      <c r="A42" t="s">
        <v>28</v>
      </c>
      <c r="B42" t="s">
        <v>568</v>
      </c>
      <c r="E42">
        <f t="shared" si="0"/>
        <v>0</v>
      </c>
    </row>
    <row r="43" spans="1:5" x14ac:dyDescent="0.3">
      <c r="A43" t="s">
        <v>28</v>
      </c>
      <c r="B43" t="s">
        <v>563</v>
      </c>
      <c r="C43">
        <v>30</v>
      </c>
      <c r="D43">
        <v>18000</v>
      </c>
      <c r="E43">
        <f t="shared" si="0"/>
        <v>540000</v>
      </c>
    </row>
    <row r="44" spans="1:5" hidden="1" x14ac:dyDescent="0.3">
      <c r="A44" t="s">
        <v>28</v>
      </c>
      <c r="B44" t="s">
        <v>566</v>
      </c>
      <c r="E44">
        <f t="shared" si="0"/>
        <v>0</v>
      </c>
    </row>
    <row r="45" spans="1:5" hidden="1" x14ac:dyDescent="0.3">
      <c r="A45" t="s">
        <v>29</v>
      </c>
      <c r="B45" t="s">
        <v>568</v>
      </c>
      <c r="E45">
        <f t="shared" si="0"/>
        <v>0</v>
      </c>
    </row>
    <row r="46" spans="1:5" x14ac:dyDescent="0.3">
      <c r="A46" t="s">
        <v>29</v>
      </c>
      <c r="B46" t="s">
        <v>563</v>
      </c>
      <c r="C46">
        <v>20</v>
      </c>
      <c r="D46">
        <v>38000</v>
      </c>
      <c r="E46">
        <f t="shared" si="0"/>
        <v>760000</v>
      </c>
    </row>
    <row r="47" spans="1:5" hidden="1" x14ac:dyDescent="0.3">
      <c r="A47" t="s">
        <v>30</v>
      </c>
      <c r="B47" t="s">
        <v>563</v>
      </c>
      <c r="E47">
        <f t="shared" si="0"/>
        <v>0</v>
      </c>
    </row>
    <row r="48" spans="1:5" hidden="1" x14ac:dyDescent="0.3">
      <c r="A48" t="s">
        <v>30</v>
      </c>
      <c r="B48" t="s">
        <v>566</v>
      </c>
      <c r="E48">
        <f t="shared" si="0"/>
        <v>0</v>
      </c>
    </row>
    <row r="49" spans="1:5" hidden="1" x14ac:dyDescent="0.3">
      <c r="A49" t="s">
        <v>31</v>
      </c>
      <c r="B49" t="s">
        <v>563</v>
      </c>
      <c r="E49">
        <f t="shared" si="0"/>
        <v>0</v>
      </c>
    </row>
    <row r="50" spans="1:5" hidden="1" x14ac:dyDescent="0.3">
      <c r="A50" t="s">
        <v>32</v>
      </c>
      <c r="B50" t="s">
        <v>566</v>
      </c>
      <c r="E50">
        <f t="shared" si="0"/>
        <v>0</v>
      </c>
    </row>
    <row r="51" spans="1:5" hidden="1" x14ac:dyDescent="0.3">
      <c r="A51" t="s">
        <v>33</v>
      </c>
      <c r="B51" t="s">
        <v>566</v>
      </c>
      <c r="E51">
        <f t="shared" si="0"/>
        <v>0</v>
      </c>
    </row>
    <row r="52" spans="1:5" hidden="1" x14ac:dyDescent="0.3">
      <c r="A52" t="s">
        <v>34</v>
      </c>
      <c r="B52" t="s">
        <v>566</v>
      </c>
      <c r="E52">
        <f t="shared" si="0"/>
        <v>0</v>
      </c>
    </row>
    <row r="53" spans="1:5" hidden="1" x14ac:dyDescent="0.3">
      <c r="A53" t="s">
        <v>35</v>
      </c>
      <c r="B53" t="s">
        <v>563</v>
      </c>
      <c r="E53">
        <f t="shared" si="0"/>
        <v>0</v>
      </c>
    </row>
    <row r="54" spans="1:5" hidden="1" x14ac:dyDescent="0.3">
      <c r="A54" t="s">
        <v>35</v>
      </c>
      <c r="B54" t="s">
        <v>569</v>
      </c>
      <c r="E54">
        <f t="shared" si="0"/>
        <v>0</v>
      </c>
    </row>
    <row r="55" spans="1:5" hidden="1" x14ac:dyDescent="0.3">
      <c r="A55" t="s">
        <v>36</v>
      </c>
      <c r="B55" t="s">
        <v>571</v>
      </c>
      <c r="E55">
        <f t="shared" si="0"/>
        <v>0</v>
      </c>
    </row>
    <row r="56" spans="1:5" x14ac:dyDescent="0.3">
      <c r="A56" t="s">
        <v>37</v>
      </c>
      <c r="B56" t="s">
        <v>563</v>
      </c>
      <c r="C56">
        <v>4</v>
      </c>
      <c r="D56">
        <v>32000</v>
      </c>
      <c r="E56">
        <f t="shared" si="0"/>
        <v>128000</v>
      </c>
    </row>
    <row r="57" spans="1:5" hidden="1" x14ac:dyDescent="0.3">
      <c r="A57" t="s">
        <v>37</v>
      </c>
      <c r="B57" t="s">
        <v>566</v>
      </c>
      <c r="E57">
        <f t="shared" si="0"/>
        <v>0</v>
      </c>
    </row>
    <row r="58" spans="1:5" hidden="1" x14ac:dyDescent="0.3">
      <c r="A58" t="s">
        <v>38</v>
      </c>
      <c r="B58" t="s">
        <v>563</v>
      </c>
      <c r="E58">
        <f t="shared" si="0"/>
        <v>0</v>
      </c>
    </row>
    <row r="59" spans="1:5" hidden="1" x14ac:dyDescent="0.3">
      <c r="A59" t="s">
        <v>39</v>
      </c>
      <c r="B59" t="s">
        <v>568</v>
      </c>
      <c r="E59">
        <f t="shared" si="0"/>
        <v>0</v>
      </c>
    </row>
    <row r="60" spans="1:5" hidden="1" x14ac:dyDescent="0.3">
      <c r="A60" t="s">
        <v>40</v>
      </c>
      <c r="B60" t="s">
        <v>563</v>
      </c>
      <c r="E60">
        <f t="shared" si="0"/>
        <v>0</v>
      </c>
    </row>
    <row r="61" spans="1:5" hidden="1" x14ac:dyDescent="0.3">
      <c r="A61" t="s">
        <v>41</v>
      </c>
      <c r="B61" t="s">
        <v>568</v>
      </c>
      <c r="E61">
        <f t="shared" si="0"/>
        <v>0</v>
      </c>
    </row>
    <row r="62" spans="1:5" hidden="1" x14ac:dyDescent="0.3">
      <c r="A62" t="s">
        <v>42</v>
      </c>
      <c r="B62" t="s">
        <v>563</v>
      </c>
      <c r="E62">
        <f t="shared" si="0"/>
        <v>0</v>
      </c>
    </row>
    <row r="63" spans="1:5" hidden="1" x14ac:dyDescent="0.3">
      <c r="A63" t="s">
        <v>43</v>
      </c>
      <c r="B63" t="s">
        <v>566</v>
      </c>
      <c r="E63">
        <f t="shared" si="0"/>
        <v>0</v>
      </c>
    </row>
    <row r="64" spans="1:5" hidden="1" x14ac:dyDescent="0.3">
      <c r="A64" t="s">
        <v>44</v>
      </c>
      <c r="B64" t="s">
        <v>563</v>
      </c>
      <c r="E64">
        <f t="shared" si="0"/>
        <v>0</v>
      </c>
    </row>
    <row r="65" spans="1:5" hidden="1" x14ac:dyDescent="0.3">
      <c r="A65" t="s">
        <v>44</v>
      </c>
      <c r="B65" t="s">
        <v>566</v>
      </c>
      <c r="E65">
        <f t="shared" si="0"/>
        <v>0</v>
      </c>
    </row>
    <row r="66" spans="1:5" hidden="1" x14ac:dyDescent="0.3">
      <c r="A66" t="s">
        <v>45</v>
      </c>
      <c r="B66" t="s">
        <v>563</v>
      </c>
      <c r="E66">
        <f t="shared" si="0"/>
        <v>0</v>
      </c>
    </row>
    <row r="67" spans="1:5" hidden="1" x14ac:dyDescent="0.3">
      <c r="A67" t="s">
        <v>46</v>
      </c>
      <c r="B67" t="s">
        <v>568</v>
      </c>
      <c r="E67">
        <f t="shared" si="0"/>
        <v>0</v>
      </c>
    </row>
    <row r="68" spans="1:5" hidden="1" x14ac:dyDescent="0.3">
      <c r="A68" t="s">
        <v>47</v>
      </c>
      <c r="B68" t="s">
        <v>563</v>
      </c>
      <c r="E68">
        <f t="shared" si="0"/>
        <v>0</v>
      </c>
    </row>
    <row r="69" spans="1:5" hidden="1" x14ac:dyDescent="0.3">
      <c r="A69" t="s">
        <v>48</v>
      </c>
      <c r="B69" t="s">
        <v>563</v>
      </c>
      <c r="E69">
        <f t="shared" ref="E69:E132" si="1">C69*D69</f>
        <v>0</v>
      </c>
    </row>
    <row r="70" spans="1:5" hidden="1" x14ac:dyDescent="0.3">
      <c r="A70" t="s">
        <v>48</v>
      </c>
      <c r="B70" t="s">
        <v>570</v>
      </c>
      <c r="E70">
        <f t="shared" si="1"/>
        <v>0</v>
      </c>
    </row>
    <row r="71" spans="1:5" hidden="1" x14ac:dyDescent="0.3">
      <c r="A71" t="s">
        <v>49</v>
      </c>
      <c r="B71" t="s">
        <v>563</v>
      </c>
      <c r="E71">
        <f t="shared" si="1"/>
        <v>0</v>
      </c>
    </row>
    <row r="72" spans="1:5" x14ac:dyDescent="0.3">
      <c r="A72" t="s">
        <v>50</v>
      </c>
      <c r="B72" t="s">
        <v>563</v>
      </c>
      <c r="C72">
        <v>800</v>
      </c>
      <c r="D72">
        <v>7000</v>
      </c>
      <c r="E72">
        <f t="shared" si="1"/>
        <v>5600000</v>
      </c>
    </row>
    <row r="73" spans="1:5" x14ac:dyDescent="0.3">
      <c r="A73" t="s">
        <v>51</v>
      </c>
      <c r="B73" t="s">
        <v>563</v>
      </c>
      <c r="C73">
        <v>180</v>
      </c>
      <c r="D73">
        <v>18000</v>
      </c>
      <c r="E73">
        <f t="shared" si="1"/>
        <v>3240000</v>
      </c>
    </row>
    <row r="74" spans="1:5" hidden="1" x14ac:dyDescent="0.3">
      <c r="A74" t="s">
        <v>51</v>
      </c>
      <c r="B74" t="s">
        <v>570</v>
      </c>
      <c r="E74">
        <f t="shared" si="1"/>
        <v>0</v>
      </c>
    </row>
    <row r="75" spans="1:5" hidden="1" x14ac:dyDescent="0.3">
      <c r="A75" t="s">
        <v>52</v>
      </c>
      <c r="B75" t="s">
        <v>563</v>
      </c>
      <c r="E75">
        <f t="shared" si="1"/>
        <v>0</v>
      </c>
    </row>
    <row r="76" spans="1:5" hidden="1" x14ac:dyDescent="0.3">
      <c r="A76" t="s">
        <v>52</v>
      </c>
      <c r="B76" t="s">
        <v>570</v>
      </c>
      <c r="E76">
        <f t="shared" si="1"/>
        <v>0</v>
      </c>
    </row>
    <row r="77" spans="1:5" x14ac:dyDescent="0.3">
      <c r="A77" t="s">
        <v>53</v>
      </c>
      <c r="B77" t="s">
        <v>563</v>
      </c>
      <c r="C77">
        <v>50</v>
      </c>
      <c r="D77">
        <v>22000</v>
      </c>
      <c r="E77">
        <f t="shared" si="1"/>
        <v>1100000</v>
      </c>
    </row>
    <row r="78" spans="1:5" x14ac:dyDescent="0.3">
      <c r="A78" t="s">
        <v>53</v>
      </c>
      <c r="B78" t="s">
        <v>564</v>
      </c>
      <c r="C78">
        <v>28</v>
      </c>
      <c r="D78">
        <v>10000</v>
      </c>
      <c r="E78">
        <f t="shared" si="1"/>
        <v>280000</v>
      </c>
    </row>
    <row r="79" spans="1:5" hidden="1" x14ac:dyDescent="0.3">
      <c r="A79" t="s">
        <v>54</v>
      </c>
      <c r="B79" t="s">
        <v>564</v>
      </c>
      <c r="E79">
        <f t="shared" si="1"/>
        <v>0</v>
      </c>
    </row>
    <row r="80" spans="1:5" x14ac:dyDescent="0.3">
      <c r="A80" t="s">
        <v>55</v>
      </c>
      <c r="B80" t="s">
        <v>564</v>
      </c>
      <c r="C80">
        <v>20</v>
      </c>
      <c r="D80">
        <v>16250</v>
      </c>
      <c r="E80">
        <f t="shared" si="1"/>
        <v>325000</v>
      </c>
    </row>
    <row r="81" spans="1:5" x14ac:dyDescent="0.3">
      <c r="A81" t="s">
        <v>56</v>
      </c>
      <c r="B81" t="s">
        <v>565</v>
      </c>
      <c r="C81">
        <v>138</v>
      </c>
      <c r="D81">
        <v>9000</v>
      </c>
      <c r="E81">
        <f t="shared" si="1"/>
        <v>1242000</v>
      </c>
    </row>
    <row r="82" spans="1:5" hidden="1" x14ac:dyDescent="0.3">
      <c r="A82" t="s">
        <v>57</v>
      </c>
      <c r="B82" t="s">
        <v>565</v>
      </c>
      <c r="E82">
        <f t="shared" si="1"/>
        <v>0</v>
      </c>
    </row>
    <row r="83" spans="1:5" hidden="1" x14ac:dyDescent="0.3">
      <c r="A83" t="s">
        <v>57</v>
      </c>
      <c r="B83" t="s">
        <v>563</v>
      </c>
      <c r="E83">
        <f t="shared" si="1"/>
        <v>0</v>
      </c>
    </row>
    <row r="84" spans="1:5" hidden="1" x14ac:dyDescent="0.3">
      <c r="A84" t="s">
        <v>58</v>
      </c>
      <c r="B84" t="s">
        <v>563</v>
      </c>
      <c r="E84">
        <f t="shared" si="1"/>
        <v>0</v>
      </c>
    </row>
    <row r="85" spans="1:5" x14ac:dyDescent="0.3">
      <c r="A85" t="s">
        <v>59</v>
      </c>
      <c r="B85" t="s">
        <v>565</v>
      </c>
      <c r="C85">
        <v>56</v>
      </c>
      <c r="D85">
        <v>6000</v>
      </c>
      <c r="E85">
        <f t="shared" si="1"/>
        <v>336000</v>
      </c>
    </row>
    <row r="86" spans="1:5" x14ac:dyDescent="0.3">
      <c r="A86" t="s">
        <v>60</v>
      </c>
      <c r="B86" t="s">
        <v>563</v>
      </c>
      <c r="C86">
        <v>460</v>
      </c>
      <c r="D86">
        <v>18000</v>
      </c>
      <c r="E86">
        <f t="shared" si="1"/>
        <v>8280000</v>
      </c>
    </row>
    <row r="87" spans="1:5" hidden="1" x14ac:dyDescent="0.3">
      <c r="A87" t="s">
        <v>60</v>
      </c>
      <c r="B87" t="s">
        <v>566</v>
      </c>
      <c r="E87">
        <f t="shared" si="1"/>
        <v>0</v>
      </c>
    </row>
    <row r="88" spans="1:5" hidden="1" x14ac:dyDescent="0.3">
      <c r="A88" t="s">
        <v>60</v>
      </c>
      <c r="B88" t="s">
        <v>564</v>
      </c>
      <c r="E88">
        <f t="shared" si="1"/>
        <v>0</v>
      </c>
    </row>
    <row r="89" spans="1:5" x14ac:dyDescent="0.3">
      <c r="A89" t="s">
        <v>61</v>
      </c>
      <c r="B89" t="s">
        <v>566</v>
      </c>
      <c r="C89">
        <v>160</v>
      </c>
      <c r="D89">
        <v>20000</v>
      </c>
      <c r="E89">
        <f t="shared" si="1"/>
        <v>3200000</v>
      </c>
    </row>
    <row r="90" spans="1:5" hidden="1" x14ac:dyDescent="0.3">
      <c r="A90" t="s">
        <v>62</v>
      </c>
      <c r="B90" t="s">
        <v>563</v>
      </c>
      <c r="E90">
        <f t="shared" si="1"/>
        <v>0</v>
      </c>
    </row>
    <row r="91" spans="1:5" hidden="1" x14ac:dyDescent="0.3">
      <c r="A91" t="s">
        <v>63</v>
      </c>
      <c r="B91" t="s">
        <v>564</v>
      </c>
      <c r="E91">
        <f t="shared" si="1"/>
        <v>0</v>
      </c>
    </row>
    <row r="92" spans="1:5" hidden="1" x14ac:dyDescent="0.3">
      <c r="A92" t="s">
        <v>64</v>
      </c>
      <c r="B92" t="s">
        <v>563</v>
      </c>
      <c r="E92">
        <f t="shared" si="1"/>
        <v>0</v>
      </c>
    </row>
    <row r="93" spans="1:5" hidden="1" x14ac:dyDescent="0.3">
      <c r="A93" t="s">
        <v>64</v>
      </c>
      <c r="B93" t="s">
        <v>564</v>
      </c>
      <c r="E93">
        <f t="shared" si="1"/>
        <v>0</v>
      </c>
    </row>
    <row r="94" spans="1:5" hidden="1" x14ac:dyDescent="0.3">
      <c r="A94" t="s">
        <v>65</v>
      </c>
      <c r="B94" t="s">
        <v>563</v>
      </c>
      <c r="E94">
        <f t="shared" si="1"/>
        <v>0</v>
      </c>
    </row>
    <row r="95" spans="1:5" hidden="1" x14ac:dyDescent="0.3">
      <c r="A95" t="s">
        <v>66</v>
      </c>
      <c r="B95" t="s">
        <v>566</v>
      </c>
      <c r="E95">
        <f t="shared" si="1"/>
        <v>0</v>
      </c>
    </row>
    <row r="96" spans="1:5" hidden="1" x14ac:dyDescent="0.3">
      <c r="A96" t="s">
        <v>67</v>
      </c>
      <c r="B96" t="s">
        <v>566</v>
      </c>
      <c r="E96">
        <f t="shared" si="1"/>
        <v>0</v>
      </c>
    </row>
    <row r="97" spans="1:5" x14ac:dyDescent="0.3">
      <c r="A97" t="s">
        <v>68</v>
      </c>
      <c r="B97" t="s">
        <v>566</v>
      </c>
      <c r="C97">
        <v>10</v>
      </c>
      <c r="D97">
        <v>11000</v>
      </c>
      <c r="E97">
        <f t="shared" si="1"/>
        <v>110000</v>
      </c>
    </row>
    <row r="98" spans="1:5" hidden="1" x14ac:dyDescent="0.3">
      <c r="A98" t="s">
        <v>69</v>
      </c>
      <c r="B98" t="s">
        <v>563</v>
      </c>
      <c r="E98">
        <f t="shared" si="1"/>
        <v>0</v>
      </c>
    </row>
    <row r="99" spans="1:5" hidden="1" x14ac:dyDescent="0.3">
      <c r="A99" t="s">
        <v>69</v>
      </c>
      <c r="B99" t="s">
        <v>564</v>
      </c>
      <c r="E99">
        <f t="shared" si="1"/>
        <v>0</v>
      </c>
    </row>
    <row r="100" spans="1:5" hidden="1" x14ac:dyDescent="0.3">
      <c r="A100" t="s">
        <v>70</v>
      </c>
      <c r="B100" t="s">
        <v>563</v>
      </c>
      <c r="E100">
        <f t="shared" si="1"/>
        <v>0</v>
      </c>
    </row>
    <row r="101" spans="1:5" hidden="1" x14ac:dyDescent="0.3">
      <c r="A101" t="s">
        <v>71</v>
      </c>
      <c r="B101" t="s">
        <v>563</v>
      </c>
      <c r="E101">
        <f t="shared" si="1"/>
        <v>0</v>
      </c>
    </row>
    <row r="102" spans="1:5" x14ac:dyDescent="0.3">
      <c r="A102" t="s">
        <v>72</v>
      </c>
      <c r="B102" t="s">
        <v>564</v>
      </c>
      <c r="C102">
        <v>35</v>
      </c>
      <c r="D102">
        <v>10000</v>
      </c>
      <c r="E102">
        <f t="shared" si="1"/>
        <v>350000</v>
      </c>
    </row>
    <row r="103" spans="1:5" hidden="1" x14ac:dyDescent="0.3">
      <c r="A103" t="s">
        <v>73</v>
      </c>
      <c r="B103" t="s">
        <v>563</v>
      </c>
      <c r="E103">
        <f t="shared" si="1"/>
        <v>0</v>
      </c>
    </row>
    <row r="104" spans="1:5" hidden="1" x14ac:dyDescent="0.3">
      <c r="A104" t="s">
        <v>73</v>
      </c>
      <c r="B104" t="s">
        <v>566</v>
      </c>
      <c r="E104">
        <f t="shared" si="1"/>
        <v>0</v>
      </c>
    </row>
    <row r="105" spans="1:5" x14ac:dyDescent="0.3">
      <c r="A105" t="s">
        <v>74</v>
      </c>
      <c r="B105" t="s">
        <v>563</v>
      </c>
      <c r="C105">
        <v>15</v>
      </c>
      <c r="D105">
        <v>7000</v>
      </c>
      <c r="E105">
        <f t="shared" si="1"/>
        <v>105000</v>
      </c>
    </row>
    <row r="106" spans="1:5" hidden="1" x14ac:dyDescent="0.3">
      <c r="A106" t="s">
        <v>75</v>
      </c>
      <c r="B106" t="s">
        <v>565</v>
      </c>
      <c r="E106">
        <f t="shared" si="1"/>
        <v>0</v>
      </c>
    </row>
    <row r="107" spans="1:5" hidden="1" x14ac:dyDescent="0.3">
      <c r="A107" t="s">
        <v>75</v>
      </c>
      <c r="B107" t="s">
        <v>563</v>
      </c>
      <c r="E107">
        <f t="shared" si="1"/>
        <v>0</v>
      </c>
    </row>
    <row r="108" spans="1:5" x14ac:dyDescent="0.3">
      <c r="A108" t="s">
        <v>76</v>
      </c>
      <c r="B108" t="s">
        <v>563</v>
      </c>
      <c r="C108">
        <v>230</v>
      </c>
      <c r="D108">
        <v>25000</v>
      </c>
      <c r="E108">
        <f t="shared" si="1"/>
        <v>5750000</v>
      </c>
    </row>
    <row r="109" spans="1:5" hidden="1" x14ac:dyDescent="0.3">
      <c r="A109" t="s">
        <v>76</v>
      </c>
      <c r="B109" t="s">
        <v>570</v>
      </c>
      <c r="E109">
        <f t="shared" si="1"/>
        <v>0</v>
      </c>
    </row>
    <row r="110" spans="1:5" hidden="1" x14ac:dyDescent="0.3">
      <c r="A110" t="s">
        <v>77</v>
      </c>
      <c r="B110" t="s">
        <v>565</v>
      </c>
      <c r="E110">
        <f t="shared" si="1"/>
        <v>0</v>
      </c>
    </row>
    <row r="111" spans="1:5" hidden="1" x14ac:dyDescent="0.3">
      <c r="A111" t="s">
        <v>77</v>
      </c>
      <c r="B111" t="s">
        <v>563</v>
      </c>
      <c r="E111">
        <f t="shared" si="1"/>
        <v>0</v>
      </c>
    </row>
    <row r="112" spans="1:5" x14ac:dyDescent="0.3">
      <c r="A112" t="s">
        <v>78</v>
      </c>
      <c r="B112" t="s">
        <v>563</v>
      </c>
      <c r="C112">
        <v>130</v>
      </c>
      <c r="D112">
        <v>12000</v>
      </c>
      <c r="E112">
        <f t="shared" si="1"/>
        <v>1560000</v>
      </c>
    </row>
    <row r="113" spans="1:5" hidden="1" x14ac:dyDescent="0.3">
      <c r="A113" t="s">
        <v>78</v>
      </c>
      <c r="B113" t="s">
        <v>570</v>
      </c>
      <c r="E113">
        <f t="shared" si="1"/>
        <v>0</v>
      </c>
    </row>
    <row r="114" spans="1:5" x14ac:dyDescent="0.3">
      <c r="A114" t="s">
        <v>79</v>
      </c>
      <c r="B114" t="s">
        <v>563</v>
      </c>
      <c r="C114">
        <v>195</v>
      </c>
      <c r="D114">
        <v>22000</v>
      </c>
      <c r="E114">
        <f t="shared" si="1"/>
        <v>4290000</v>
      </c>
    </row>
    <row r="115" spans="1:5" hidden="1" x14ac:dyDescent="0.3">
      <c r="A115" t="s">
        <v>79</v>
      </c>
      <c r="B115" t="s">
        <v>570</v>
      </c>
      <c r="E115">
        <f t="shared" si="1"/>
        <v>0</v>
      </c>
    </row>
    <row r="116" spans="1:5" hidden="1" x14ac:dyDescent="0.3">
      <c r="A116" t="s">
        <v>80</v>
      </c>
      <c r="B116" t="s">
        <v>566</v>
      </c>
      <c r="E116">
        <f t="shared" si="1"/>
        <v>0</v>
      </c>
    </row>
    <row r="117" spans="1:5" hidden="1" x14ac:dyDescent="0.3">
      <c r="A117" t="s">
        <v>81</v>
      </c>
      <c r="B117" t="s">
        <v>563</v>
      </c>
      <c r="E117">
        <f t="shared" si="1"/>
        <v>0</v>
      </c>
    </row>
    <row r="118" spans="1:5" hidden="1" x14ac:dyDescent="0.3">
      <c r="A118" t="s">
        <v>81</v>
      </c>
      <c r="B118" t="s">
        <v>607</v>
      </c>
      <c r="E118">
        <f t="shared" si="1"/>
        <v>0</v>
      </c>
    </row>
    <row r="119" spans="1:5" x14ac:dyDescent="0.3">
      <c r="A119" t="s">
        <v>82</v>
      </c>
      <c r="B119" t="s">
        <v>563</v>
      </c>
      <c r="C119">
        <v>60</v>
      </c>
      <c r="D119">
        <v>13500</v>
      </c>
      <c r="E119">
        <f t="shared" si="1"/>
        <v>810000</v>
      </c>
    </row>
    <row r="120" spans="1:5" hidden="1" x14ac:dyDescent="0.3">
      <c r="A120" t="s">
        <v>83</v>
      </c>
      <c r="B120" t="s">
        <v>563</v>
      </c>
      <c r="E120">
        <f t="shared" si="1"/>
        <v>0</v>
      </c>
    </row>
    <row r="121" spans="1:5" hidden="1" x14ac:dyDescent="0.3">
      <c r="A121" t="s">
        <v>84</v>
      </c>
      <c r="B121" t="s">
        <v>563</v>
      </c>
      <c r="E121">
        <f t="shared" si="1"/>
        <v>0</v>
      </c>
    </row>
    <row r="122" spans="1:5" hidden="1" x14ac:dyDescent="0.3">
      <c r="A122" t="s">
        <v>85</v>
      </c>
      <c r="B122" t="s">
        <v>563</v>
      </c>
      <c r="E122">
        <f t="shared" si="1"/>
        <v>0</v>
      </c>
    </row>
    <row r="123" spans="1:5" hidden="1" x14ac:dyDescent="0.3">
      <c r="A123" t="s">
        <v>86</v>
      </c>
      <c r="B123" t="s">
        <v>565</v>
      </c>
      <c r="E123">
        <f t="shared" si="1"/>
        <v>0</v>
      </c>
    </row>
    <row r="124" spans="1:5" hidden="1" x14ac:dyDescent="0.3">
      <c r="A124" t="s">
        <v>87</v>
      </c>
      <c r="B124" t="s">
        <v>563</v>
      </c>
      <c r="E124">
        <f t="shared" si="1"/>
        <v>0</v>
      </c>
    </row>
    <row r="125" spans="1:5" hidden="1" x14ac:dyDescent="0.3">
      <c r="A125" t="s">
        <v>88</v>
      </c>
      <c r="B125" t="s">
        <v>565</v>
      </c>
      <c r="E125">
        <f t="shared" si="1"/>
        <v>0</v>
      </c>
    </row>
    <row r="126" spans="1:5" hidden="1" x14ac:dyDescent="0.3">
      <c r="A126" t="s">
        <v>89</v>
      </c>
      <c r="B126" t="s">
        <v>563</v>
      </c>
      <c r="E126">
        <f t="shared" si="1"/>
        <v>0</v>
      </c>
    </row>
    <row r="127" spans="1:5" hidden="1" x14ac:dyDescent="0.3">
      <c r="A127" t="s">
        <v>91</v>
      </c>
      <c r="B127" t="s">
        <v>563</v>
      </c>
      <c r="E127">
        <f t="shared" si="1"/>
        <v>0</v>
      </c>
    </row>
    <row r="128" spans="1:5" hidden="1" x14ac:dyDescent="0.3">
      <c r="A128" t="s">
        <v>92</v>
      </c>
      <c r="B128" t="s">
        <v>563</v>
      </c>
      <c r="E128">
        <f t="shared" si="1"/>
        <v>0</v>
      </c>
    </row>
    <row r="129" spans="1:5" hidden="1" x14ac:dyDescent="0.3">
      <c r="A129" t="s">
        <v>93</v>
      </c>
      <c r="B129" t="s">
        <v>563</v>
      </c>
      <c r="E129">
        <f t="shared" si="1"/>
        <v>0</v>
      </c>
    </row>
    <row r="130" spans="1:5" hidden="1" x14ac:dyDescent="0.3">
      <c r="A130" t="s">
        <v>94</v>
      </c>
      <c r="B130" t="s">
        <v>563</v>
      </c>
      <c r="E130">
        <f t="shared" si="1"/>
        <v>0</v>
      </c>
    </row>
    <row r="131" spans="1:5" hidden="1" x14ac:dyDescent="0.3">
      <c r="A131" t="s">
        <v>96</v>
      </c>
      <c r="B131" t="s">
        <v>563</v>
      </c>
      <c r="E131">
        <f t="shared" si="1"/>
        <v>0</v>
      </c>
    </row>
    <row r="132" spans="1:5" hidden="1" x14ac:dyDescent="0.3">
      <c r="A132" t="s">
        <v>97</v>
      </c>
      <c r="B132" t="s">
        <v>564</v>
      </c>
      <c r="E132">
        <f t="shared" si="1"/>
        <v>0</v>
      </c>
    </row>
    <row r="133" spans="1:5" hidden="1" x14ac:dyDescent="0.3">
      <c r="A133" t="s">
        <v>98</v>
      </c>
      <c r="B133" t="s">
        <v>566</v>
      </c>
      <c r="E133">
        <f t="shared" ref="E133:E198" si="2">C133*D133</f>
        <v>0</v>
      </c>
    </row>
    <row r="134" spans="1:5" hidden="1" x14ac:dyDescent="0.3">
      <c r="A134" t="s">
        <v>99</v>
      </c>
      <c r="B134" t="s">
        <v>566</v>
      </c>
      <c r="E134">
        <f t="shared" si="2"/>
        <v>0</v>
      </c>
    </row>
    <row r="135" spans="1:5" hidden="1" x14ac:dyDescent="0.3">
      <c r="A135" t="s">
        <v>100</v>
      </c>
      <c r="B135" t="s">
        <v>564</v>
      </c>
      <c r="E135">
        <f t="shared" si="2"/>
        <v>0</v>
      </c>
    </row>
    <row r="136" spans="1:5" hidden="1" x14ac:dyDescent="0.3">
      <c r="A136" t="s">
        <v>121</v>
      </c>
      <c r="B136" t="s">
        <v>563</v>
      </c>
      <c r="E136">
        <f t="shared" si="2"/>
        <v>0</v>
      </c>
    </row>
    <row r="137" spans="1:5" hidden="1" x14ac:dyDescent="0.3">
      <c r="A137" t="s">
        <v>101</v>
      </c>
      <c r="B137" t="s">
        <v>563</v>
      </c>
      <c r="E137">
        <f t="shared" si="2"/>
        <v>0</v>
      </c>
    </row>
    <row r="138" spans="1:5" x14ac:dyDescent="0.3">
      <c r="A138" t="s">
        <v>102</v>
      </c>
      <c r="B138" t="s">
        <v>563</v>
      </c>
      <c r="C138">
        <v>380</v>
      </c>
      <c r="D138">
        <v>26000</v>
      </c>
      <c r="E138">
        <f t="shared" si="2"/>
        <v>9880000</v>
      </c>
    </row>
    <row r="139" spans="1:5" x14ac:dyDescent="0.3">
      <c r="A139" t="s">
        <v>103</v>
      </c>
      <c r="B139" t="s">
        <v>563</v>
      </c>
      <c r="C139">
        <v>13</v>
      </c>
      <c r="D139">
        <v>30000</v>
      </c>
      <c r="E139">
        <f t="shared" si="2"/>
        <v>390000</v>
      </c>
    </row>
    <row r="140" spans="1:5" hidden="1" x14ac:dyDescent="0.3">
      <c r="A140" t="s">
        <v>573</v>
      </c>
      <c r="B140" t="s">
        <v>563</v>
      </c>
      <c r="E140">
        <f t="shared" si="2"/>
        <v>0</v>
      </c>
    </row>
    <row r="141" spans="1:5" hidden="1" x14ac:dyDescent="0.3">
      <c r="A141" t="s">
        <v>573</v>
      </c>
      <c r="B141" t="s">
        <v>566</v>
      </c>
      <c r="E141">
        <f t="shared" si="2"/>
        <v>0</v>
      </c>
    </row>
    <row r="142" spans="1:5" hidden="1" x14ac:dyDescent="0.3">
      <c r="A142" t="s">
        <v>560</v>
      </c>
      <c r="B142" t="s">
        <v>563</v>
      </c>
      <c r="E142">
        <f t="shared" si="2"/>
        <v>0</v>
      </c>
    </row>
    <row r="143" spans="1:5" hidden="1" x14ac:dyDescent="0.3">
      <c r="A143" t="s">
        <v>560</v>
      </c>
      <c r="B143" t="s">
        <v>566</v>
      </c>
      <c r="E143">
        <f t="shared" si="2"/>
        <v>0</v>
      </c>
    </row>
    <row r="144" spans="1:5" hidden="1" x14ac:dyDescent="0.3">
      <c r="A144" t="s">
        <v>559</v>
      </c>
      <c r="B144" t="s">
        <v>563</v>
      </c>
      <c r="E144">
        <f t="shared" si="2"/>
        <v>0</v>
      </c>
    </row>
    <row r="145" spans="1:5" hidden="1" x14ac:dyDescent="0.3">
      <c r="A145" t="s">
        <v>559</v>
      </c>
      <c r="B145" t="s">
        <v>566</v>
      </c>
      <c r="E145">
        <f t="shared" si="2"/>
        <v>0</v>
      </c>
    </row>
    <row r="146" spans="1:5" hidden="1" x14ac:dyDescent="0.3">
      <c r="A146" t="s">
        <v>599</v>
      </c>
      <c r="B146" t="s">
        <v>566</v>
      </c>
      <c r="E146">
        <f t="shared" si="2"/>
        <v>0</v>
      </c>
    </row>
    <row r="147" spans="1:5" hidden="1" x14ac:dyDescent="0.3">
      <c r="A147" t="s">
        <v>600</v>
      </c>
      <c r="B147" t="s">
        <v>566</v>
      </c>
      <c r="E147">
        <f t="shared" si="2"/>
        <v>0</v>
      </c>
    </row>
    <row r="148" spans="1:5" hidden="1" x14ac:dyDescent="0.3">
      <c r="A148" t="s">
        <v>583</v>
      </c>
      <c r="B148" t="s">
        <v>566</v>
      </c>
      <c r="E148">
        <f t="shared" si="2"/>
        <v>0</v>
      </c>
    </row>
    <row r="149" spans="1:5" hidden="1" x14ac:dyDescent="0.3">
      <c r="A149" t="s">
        <v>610</v>
      </c>
      <c r="B149" t="s">
        <v>563</v>
      </c>
      <c r="E149">
        <f t="shared" si="2"/>
        <v>0</v>
      </c>
    </row>
    <row r="150" spans="1:5" hidden="1" x14ac:dyDescent="0.3">
      <c r="A150" t="s">
        <v>107</v>
      </c>
      <c r="B150" t="s">
        <v>563</v>
      </c>
      <c r="E150">
        <f t="shared" si="2"/>
        <v>0</v>
      </c>
    </row>
    <row r="151" spans="1:5" hidden="1" x14ac:dyDescent="0.3">
      <c r="A151" t="s">
        <v>577</v>
      </c>
      <c r="B151" t="s">
        <v>566</v>
      </c>
      <c r="E151">
        <f t="shared" si="2"/>
        <v>0</v>
      </c>
    </row>
    <row r="152" spans="1:5" x14ac:dyDescent="0.3">
      <c r="A152" t="s">
        <v>598</v>
      </c>
      <c r="B152" t="s">
        <v>563</v>
      </c>
      <c r="C152">
        <v>76</v>
      </c>
      <c r="D152">
        <v>65000</v>
      </c>
      <c r="E152">
        <f t="shared" si="2"/>
        <v>4940000</v>
      </c>
    </row>
    <row r="153" spans="1:5" hidden="1" x14ac:dyDescent="0.3">
      <c r="A153" t="s">
        <v>535</v>
      </c>
      <c r="B153" t="s">
        <v>563</v>
      </c>
      <c r="E153">
        <f t="shared" si="2"/>
        <v>0</v>
      </c>
    </row>
    <row r="154" spans="1:5" hidden="1" x14ac:dyDescent="0.3">
      <c r="A154" t="s">
        <v>585</v>
      </c>
      <c r="B154" t="s">
        <v>563</v>
      </c>
      <c r="E154">
        <f t="shared" si="2"/>
        <v>0</v>
      </c>
    </row>
    <row r="155" spans="1:5" hidden="1" x14ac:dyDescent="0.3">
      <c r="A155" t="s">
        <v>110</v>
      </c>
      <c r="B155" t="s">
        <v>563</v>
      </c>
      <c r="E155">
        <f t="shared" si="2"/>
        <v>0</v>
      </c>
    </row>
    <row r="156" spans="1:5" hidden="1" x14ac:dyDescent="0.3">
      <c r="A156" t="s">
        <v>524</v>
      </c>
      <c r="B156" t="s">
        <v>563</v>
      </c>
      <c r="E156">
        <f t="shared" si="2"/>
        <v>0</v>
      </c>
    </row>
    <row r="157" spans="1:5" hidden="1" x14ac:dyDescent="0.3">
      <c r="A157" t="s">
        <v>123</v>
      </c>
      <c r="B157" t="s">
        <v>563</v>
      </c>
      <c r="E157">
        <f t="shared" si="2"/>
        <v>0</v>
      </c>
    </row>
    <row r="158" spans="1:5" hidden="1" x14ac:dyDescent="0.3">
      <c r="A158" t="s">
        <v>118</v>
      </c>
      <c r="B158" t="s">
        <v>571</v>
      </c>
      <c r="E158">
        <f t="shared" si="2"/>
        <v>0</v>
      </c>
    </row>
    <row r="159" spans="1:5" hidden="1" x14ac:dyDescent="0.3">
      <c r="A159" t="s">
        <v>114</v>
      </c>
      <c r="B159" t="s">
        <v>569</v>
      </c>
      <c r="E159">
        <f t="shared" si="2"/>
        <v>0</v>
      </c>
    </row>
    <row r="160" spans="1:5" hidden="1" x14ac:dyDescent="0.3">
      <c r="A160" t="e">
        <v>#N/A</v>
      </c>
      <c r="B160">
        <v>0</v>
      </c>
      <c r="E160">
        <f t="shared" si="2"/>
        <v>0</v>
      </c>
    </row>
    <row r="161" spans="1:5" x14ac:dyDescent="0.3">
      <c r="A161" t="s">
        <v>554</v>
      </c>
      <c r="B161" t="s">
        <v>563</v>
      </c>
      <c r="C161">
        <v>64</v>
      </c>
      <c r="D161">
        <v>18000</v>
      </c>
      <c r="E161">
        <f t="shared" si="2"/>
        <v>1152000</v>
      </c>
    </row>
    <row r="162" spans="1:5" x14ac:dyDescent="0.3">
      <c r="A162" t="s">
        <v>552</v>
      </c>
      <c r="B162" t="s">
        <v>563</v>
      </c>
      <c r="C162">
        <v>23</v>
      </c>
      <c r="D162">
        <v>10000</v>
      </c>
      <c r="E162">
        <f t="shared" si="2"/>
        <v>230000</v>
      </c>
    </row>
    <row r="163" spans="1:5" x14ac:dyDescent="0.3">
      <c r="A163" t="s">
        <v>553</v>
      </c>
      <c r="B163" t="s">
        <v>563</v>
      </c>
      <c r="C163">
        <v>30</v>
      </c>
      <c r="D163">
        <v>15000</v>
      </c>
      <c r="E163">
        <f t="shared" si="2"/>
        <v>450000</v>
      </c>
    </row>
    <row r="164" spans="1:5" hidden="1" x14ac:dyDescent="0.3">
      <c r="E164">
        <f t="shared" si="2"/>
        <v>0</v>
      </c>
    </row>
    <row r="165" spans="1:5" x14ac:dyDescent="0.3">
      <c r="E165">
        <f>SUM(E4:E163)</f>
        <v>113226800</v>
      </c>
    </row>
    <row r="166" spans="1:5" x14ac:dyDescent="0.3">
      <c r="A166" t="s">
        <v>596</v>
      </c>
    </row>
    <row r="167" spans="1:5" ht="31.2" x14ac:dyDescent="0.3">
      <c r="A167" s="48" t="s">
        <v>0</v>
      </c>
      <c r="B167" s="48" t="s">
        <v>562</v>
      </c>
      <c r="C167" s="49" t="s">
        <v>544</v>
      </c>
      <c r="D167" s="50" t="s">
        <v>594</v>
      </c>
      <c r="E167" t="s">
        <v>129</v>
      </c>
    </row>
    <row r="168" spans="1:5" ht="15.6" hidden="1" x14ac:dyDescent="0.3">
      <c r="A168" s="51" t="s">
        <v>1</v>
      </c>
      <c r="B168" s="51" t="s">
        <v>563</v>
      </c>
      <c r="C168" s="52"/>
      <c r="D168" s="53"/>
      <c r="E168">
        <f t="shared" si="2"/>
        <v>0</v>
      </c>
    </row>
    <row r="169" spans="1:5" ht="15.6" hidden="1" x14ac:dyDescent="0.3">
      <c r="A169" s="51" t="s">
        <v>117</v>
      </c>
      <c r="B169" s="51" t="s">
        <v>564</v>
      </c>
      <c r="C169" s="52"/>
      <c r="D169" s="53"/>
      <c r="E169">
        <f t="shared" si="2"/>
        <v>0</v>
      </c>
    </row>
    <row r="170" spans="1:5" ht="15.6" hidden="1" x14ac:dyDescent="0.3">
      <c r="A170" s="51" t="s">
        <v>5</v>
      </c>
      <c r="B170" s="51" t="s">
        <v>563</v>
      </c>
      <c r="C170" s="52"/>
      <c r="D170" s="53"/>
      <c r="E170">
        <f t="shared" si="2"/>
        <v>0</v>
      </c>
    </row>
    <row r="171" spans="1:5" ht="15.6" hidden="1" x14ac:dyDescent="0.3">
      <c r="A171" s="51" t="s">
        <v>6</v>
      </c>
      <c r="B171" s="51" t="s">
        <v>563</v>
      </c>
      <c r="C171" s="52"/>
      <c r="D171" s="53"/>
      <c r="E171">
        <f t="shared" si="2"/>
        <v>0</v>
      </c>
    </row>
    <row r="172" spans="1:5" ht="15.6" hidden="1" x14ac:dyDescent="0.3">
      <c r="A172" s="51" t="s">
        <v>8</v>
      </c>
      <c r="B172" s="51" t="s">
        <v>563</v>
      </c>
      <c r="C172" s="52"/>
      <c r="D172" s="53"/>
      <c r="E172">
        <f t="shared" si="2"/>
        <v>0</v>
      </c>
    </row>
    <row r="173" spans="1:5" ht="15.6" hidden="1" x14ac:dyDescent="0.3">
      <c r="A173" s="51" t="s">
        <v>119</v>
      </c>
      <c r="B173" s="51" t="s">
        <v>566</v>
      </c>
      <c r="C173" s="52"/>
      <c r="D173" s="53"/>
      <c r="E173">
        <f t="shared" si="2"/>
        <v>0</v>
      </c>
    </row>
    <row r="174" spans="1:5" ht="15.6" hidden="1" x14ac:dyDescent="0.3">
      <c r="A174" s="51" t="s">
        <v>12</v>
      </c>
      <c r="B174" s="51" t="s">
        <v>563</v>
      </c>
      <c r="C174" s="52"/>
      <c r="D174" s="53"/>
      <c r="E174">
        <f t="shared" si="2"/>
        <v>0</v>
      </c>
    </row>
    <row r="175" spans="1:5" ht="15.6" hidden="1" x14ac:dyDescent="0.3">
      <c r="A175" s="51" t="s">
        <v>14</v>
      </c>
      <c r="B175" s="51" t="s">
        <v>566</v>
      </c>
      <c r="C175" s="52"/>
      <c r="D175" s="53"/>
      <c r="E175">
        <f t="shared" si="2"/>
        <v>0</v>
      </c>
    </row>
    <row r="176" spans="1:5" ht="15.6" hidden="1" x14ac:dyDescent="0.3">
      <c r="A176" s="51" t="s">
        <v>15</v>
      </c>
      <c r="B176" s="51" t="s">
        <v>563</v>
      </c>
      <c r="C176" s="52"/>
      <c r="D176" s="53"/>
      <c r="E176">
        <f t="shared" si="2"/>
        <v>0</v>
      </c>
    </row>
    <row r="177" spans="1:5" ht="15.6" hidden="1" x14ac:dyDescent="0.3">
      <c r="A177" s="51" t="s">
        <v>15</v>
      </c>
      <c r="B177" s="51" t="s">
        <v>566</v>
      </c>
      <c r="C177" s="52"/>
      <c r="D177" s="53"/>
      <c r="E177">
        <f t="shared" si="2"/>
        <v>0</v>
      </c>
    </row>
    <row r="178" spans="1:5" ht="15.6" hidden="1" x14ac:dyDescent="0.3">
      <c r="A178" s="51" t="s">
        <v>16</v>
      </c>
      <c r="B178" s="51" t="s">
        <v>563</v>
      </c>
      <c r="C178" s="52"/>
      <c r="D178" s="53"/>
      <c r="E178">
        <f t="shared" si="2"/>
        <v>0</v>
      </c>
    </row>
    <row r="179" spans="1:5" ht="15.6" hidden="1" x14ac:dyDescent="0.3">
      <c r="A179" s="51" t="s">
        <v>110</v>
      </c>
      <c r="B179" s="51" t="s">
        <v>563</v>
      </c>
      <c r="C179" s="52"/>
      <c r="D179" s="53"/>
      <c r="E179">
        <f t="shared" si="2"/>
        <v>0</v>
      </c>
    </row>
    <row r="180" spans="1:5" ht="15.6" hidden="1" x14ac:dyDescent="0.3">
      <c r="A180" s="51" t="s">
        <v>17</v>
      </c>
      <c r="B180" s="51" t="s">
        <v>563</v>
      </c>
      <c r="C180" s="52"/>
      <c r="D180" s="53"/>
      <c r="E180">
        <f t="shared" si="2"/>
        <v>0</v>
      </c>
    </row>
    <row r="181" spans="1:5" ht="15.6" hidden="1" x14ac:dyDescent="0.3">
      <c r="A181" s="51" t="s">
        <v>21</v>
      </c>
      <c r="B181" s="51" t="s">
        <v>563</v>
      </c>
      <c r="C181" s="52"/>
      <c r="D181" s="53"/>
      <c r="E181">
        <f t="shared" si="2"/>
        <v>0</v>
      </c>
    </row>
    <row r="182" spans="1:5" ht="15.6" hidden="1" x14ac:dyDescent="0.3">
      <c r="A182" s="51" t="s">
        <v>22</v>
      </c>
      <c r="B182" s="51" t="s">
        <v>563</v>
      </c>
      <c r="C182" s="52"/>
      <c r="D182" s="53"/>
      <c r="E182">
        <f t="shared" si="2"/>
        <v>0</v>
      </c>
    </row>
    <row r="183" spans="1:5" ht="15.6" hidden="1" x14ac:dyDescent="0.3">
      <c r="A183" s="51" t="s">
        <v>23</v>
      </c>
      <c r="B183" s="51" t="s">
        <v>563</v>
      </c>
      <c r="C183" s="52"/>
      <c r="D183" s="53"/>
      <c r="E183">
        <f t="shared" si="2"/>
        <v>0</v>
      </c>
    </row>
    <row r="184" spans="1:5" ht="15.6" hidden="1" x14ac:dyDescent="0.3">
      <c r="A184" s="51" t="s">
        <v>27</v>
      </c>
      <c r="B184" s="51" t="s">
        <v>563</v>
      </c>
      <c r="C184" s="52"/>
      <c r="D184" s="53"/>
      <c r="E184">
        <f t="shared" si="2"/>
        <v>0</v>
      </c>
    </row>
    <row r="185" spans="1:5" ht="15.6" hidden="1" x14ac:dyDescent="0.3">
      <c r="A185" s="51" t="s">
        <v>28</v>
      </c>
      <c r="B185" s="51" t="s">
        <v>563</v>
      </c>
      <c r="C185" s="52"/>
      <c r="D185" s="53"/>
      <c r="E185">
        <f t="shared" si="2"/>
        <v>0</v>
      </c>
    </row>
    <row r="186" spans="1:5" ht="15.6" hidden="1" x14ac:dyDescent="0.3">
      <c r="A186" s="51" t="s">
        <v>29</v>
      </c>
      <c r="B186" s="51" t="s">
        <v>563</v>
      </c>
      <c r="C186" s="52"/>
      <c r="D186" s="53"/>
      <c r="E186">
        <f t="shared" si="2"/>
        <v>0</v>
      </c>
    </row>
    <row r="187" spans="1:5" ht="15.6" hidden="1" x14ac:dyDescent="0.3">
      <c r="A187" s="51" t="s">
        <v>39</v>
      </c>
      <c r="B187" s="51" t="s">
        <v>568</v>
      </c>
      <c r="C187" s="52"/>
      <c r="D187" s="53"/>
      <c r="E187">
        <f t="shared" si="2"/>
        <v>0</v>
      </c>
    </row>
    <row r="188" spans="1:5" ht="15.6" hidden="1" x14ac:dyDescent="0.3">
      <c r="A188" s="51" t="s">
        <v>41</v>
      </c>
      <c r="B188" s="51" t="s">
        <v>568</v>
      </c>
      <c r="C188" s="52"/>
      <c r="D188" s="53"/>
      <c r="E188">
        <f t="shared" si="2"/>
        <v>0</v>
      </c>
    </row>
    <row r="189" spans="1:5" ht="15.6" hidden="1" x14ac:dyDescent="0.3">
      <c r="A189" s="51" t="s">
        <v>46</v>
      </c>
      <c r="B189" s="51" t="s">
        <v>568</v>
      </c>
      <c r="C189" s="52"/>
      <c r="D189" s="53"/>
      <c r="E189">
        <f t="shared" si="2"/>
        <v>0</v>
      </c>
    </row>
    <row r="190" spans="1:5" ht="15.6" x14ac:dyDescent="0.3">
      <c r="A190" s="51" t="s">
        <v>48</v>
      </c>
      <c r="B190" s="51" t="s">
        <v>563</v>
      </c>
      <c r="C190" s="52">
        <v>25</v>
      </c>
      <c r="D190" s="53">
        <v>10000</v>
      </c>
      <c r="E190">
        <f t="shared" si="2"/>
        <v>250000</v>
      </c>
    </row>
    <row r="191" spans="1:5" ht="15.6" hidden="1" x14ac:dyDescent="0.3">
      <c r="A191" s="51" t="s">
        <v>50</v>
      </c>
      <c r="B191" s="51" t="s">
        <v>563</v>
      </c>
      <c r="C191" s="52"/>
      <c r="D191" s="53"/>
      <c r="E191">
        <f t="shared" si="2"/>
        <v>0</v>
      </c>
    </row>
    <row r="192" spans="1:5" ht="15.6" hidden="1" x14ac:dyDescent="0.3">
      <c r="A192" s="51" t="s">
        <v>51</v>
      </c>
      <c r="B192" s="51" t="s">
        <v>563</v>
      </c>
      <c r="C192" s="52"/>
      <c r="D192" s="53"/>
      <c r="E192">
        <f t="shared" si="2"/>
        <v>0</v>
      </c>
    </row>
    <row r="193" spans="1:5" ht="15.6" hidden="1" x14ac:dyDescent="0.3">
      <c r="A193" s="51" t="s">
        <v>53</v>
      </c>
      <c r="B193" s="51" t="s">
        <v>563</v>
      </c>
      <c r="C193" s="52"/>
      <c r="D193" s="53"/>
      <c r="E193">
        <f t="shared" si="2"/>
        <v>0</v>
      </c>
    </row>
    <row r="194" spans="1:5" ht="15.6" x14ac:dyDescent="0.3">
      <c r="A194" s="51" t="s">
        <v>56</v>
      </c>
      <c r="B194" s="51" t="s">
        <v>565</v>
      </c>
      <c r="C194" s="52">
        <v>21</v>
      </c>
      <c r="D194" s="53">
        <v>9000</v>
      </c>
      <c r="E194">
        <f t="shared" si="2"/>
        <v>189000</v>
      </c>
    </row>
    <row r="195" spans="1:5" ht="15.6" x14ac:dyDescent="0.3">
      <c r="A195" s="51" t="s">
        <v>60</v>
      </c>
      <c r="B195" s="51" t="s">
        <v>563</v>
      </c>
      <c r="C195" s="52">
        <v>120</v>
      </c>
      <c r="D195" s="53">
        <v>18000</v>
      </c>
      <c r="E195">
        <f t="shared" si="2"/>
        <v>2160000</v>
      </c>
    </row>
    <row r="196" spans="1:5" ht="15.6" hidden="1" x14ac:dyDescent="0.3">
      <c r="A196" s="51" t="s">
        <v>62</v>
      </c>
      <c r="B196" s="51" t="s">
        <v>563</v>
      </c>
      <c r="C196" s="52"/>
      <c r="D196" s="53"/>
      <c r="E196">
        <f t="shared" si="2"/>
        <v>0</v>
      </c>
    </row>
    <row r="197" spans="1:5" ht="15.6" hidden="1" x14ac:dyDescent="0.3">
      <c r="A197" s="51" t="s">
        <v>67</v>
      </c>
      <c r="B197" s="51" t="s">
        <v>566</v>
      </c>
      <c r="C197" s="52"/>
      <c r="D197" s="53"/>
      <c r="E197">
        <f t="shared" si="2"/>
        <v>0</v>
      </c>
    </row>
    <row r="198" spans="1:5" ht="15.6" x14ac:dyDescent="0.3">
      <c r="A198" s="51" t="s">
        <v>68</v>
      </c>
      <c r="B198" s="51" t="s">
        <v>566</v>
      </c>
      <c r="C198" s="52">
        <v>28</v>
      </c>
      <c r="D198" s="53">
        <v>11000</v>
      </c>
      <c r="E198">
        <f t="shared" si="2"/>
        <v>308000</v>
      </c>
    </row>
    <row r="199" spans="1:5" ht="15.6" x14ac:dyDescent="0.3">
      <c r="A199" s="51" t="s">
        <v>72</v>
      </c>
      <c r="B199" s="51" t="s">
        <v>564</v>
      </c>
      <c r="C199" s="52">
        <v>25</v>
      </c>
      <c r="D199" s="53">
        <v>10000</v>
      </c>
      <c r="E199">
        <f t="shared" ref="E199:E213" si="3">C199*D199</f>
        <v>250000</v>
      </c>
    </row>
    <row r="200" spans="1:5" ht="15.6" hidden="1" x14ac:dyDescent="0.3">
      <c r="A200" s="51" t="s">
        <v>76</v>
      </c>
      <c r="B200" s="51" t="s">
        <v>563</v>
      </c>
      <c r="C200" s="52"/>
      <c r="D200" s="53"/>
      <c r="E200">
        <f t="shared" si="3"/>
        <v>0</v>
      </c>
    </row>
    <row r="201" spans="1:5" ht="15.6" hidden="1" x14ac:dyDescent="0.3">
      <c r="A201" s="51" t="s">
        <v>78</v>
      </c>
      <c r="B201" s="51" t="s">
        <v>563</v>
      </c>
      <c r="C201" s="52"/>
      <c r="D201" s="53"/>
      <c r="E201">
        <f t="shared" si="3"/>
        <v>0</v>
      </c>
    </row>
    <row r="202" spans="1:5" ht="15.6" hidden="1" x14ac:dyDescent="0.3">
      <c r="A202" s="51" t="s">
        <v>79</v>
      </c>
      <c r="B202" s="51" t="s">
        <v>563</v>
      </c>
      <c r="C202" s="52"/>
      <c r="D202" s="53"/>
      <c r="E202">
        <f t="shared" si="3"/>
        <v>0</v>
      </c>
    </row>
    <row r="203" spans="1:5" ht="15.6" hidden="1" x14ac:dyDescent="0.3">
      <c r="A203" s="51" t="s">
        <v>82</v>
      </c>
      <c r="B203" s="51" t="s">
        <v>563</v>
      </c>
      <c r="C203" s="52"/>
      <c r="D203" s="53"/>
      <c r="E203">
        <f t="shared" si="3"/>
        <v>0</v>
      </c>
    </row>
    <row r="204" spans="1:5" ht="15.6" x14ac:dyDescent="0.3">
      <c r="A204" s="51" t="s">
        <v>87</v>
      </c>
      <c r="B204" s="51" t="s">
        <v>563</v>
      </c>
      <c r="C204" s="52">
        <v>80</v>
      </c>
      <c r="D204" s="53">
        <v>12000</v>
      </c>
      <c r="E204">
        <f t="shared" si="3"/>
        <v>960000</v>
      </c>
    </row>
    <row r="205" spans="1:5" ht="15.6" hidden="1" x14ac:dyDescent="0.3">
      <c r="A205" s="51" t="s">
        <v>120</v>
      </c>
      <c r="B205" s="51" t="s">
        <v>563</v>
      </c>
      <c r="C205" s="52"/>
      <c r="D205" s="53"/>
      <c r="E205">
        <f t="shared" si="3"/>
        <v>0</v>
      </c>
    </row>
    <row r="206" spans="1:5" ht="15.6" hidden="1" x14ac:dyDescent="0.3">
      <c r="A206" s="51" t="s">
        <v>109</v>
      </c>
      <c r="B206" s="51" t="s">
        <v>563</v>
      </c>
      <c r="C206" s="52"/>
      <c r="D206" s="53"/>
      <c r="E206">
        <f t="shared" si="3"/>
        <v>0</v>
      </c>
    </row>
    <row r="207" spans="1:5" ht="15.6" hidden="1" x14ac:dyDescent="0.3">
      <c r="A207" s="51" t="s">
        <v>121</v>
      </c>
      <c r="B207" s="51" t="s">
        <v>563</v>
      </c>
      <c r="C207" s="52"/>
      <c r="D207" s="53"/>
      <c r="E207">
        <f t="shared" si="3"/>
        <v>0</v>
      </c>
    </row>
    <row r="208" spans="1:5" ht="15.6" hidden="1" x14ac:dyDescent="0.3">
      <c r="A208" s="51" t="s">
        <v>111</v>
      </c>
      <c r="B208" s="51" t="s">
        <v>563</v>
      </c>
      <c r="C208" s="52"/>
      <c r="D208" s="53"/>
      <c r="E208">
        <f t="shared" si="3"/>
        <v>0</v>
      </c>
    </row>
    <row r="209" spans="1:5" ht="15.6" x14ac:dyDescent="0.3">
      <c r="A209" s="51" t="s">
        <v>122</v>
      </c>
      <c r="B209" s="51" t="s">
        <v>563</v>
      </c>
      <c r="C209" s="52">
        <v>29</v>
      </c>
      <c r="D209" s="53">
        <v>50000</v>
      </c>
      <c r="E209">
        <f t="shared" si="3"/>
        <v>1450000</v>
      </c>
    </row>
    <row r="210" spans="1:5" ht="15.6" hidden="1" x14ac:dyDescent="0.3">
      <c r="A210" s="51" t="s">
        <v>92</v>
      </c>
      <c r="B210" s="51" t="s">
        <v>563</v>
      </c>
      <c r="C210" s="52"/>
      <c r="D210" s="53"/>
      <c r="E210">
        <f t="shared" si="3"/>
        <v>0</v>
      </c>
    </row>
    <row r="211" spans="1:5" ht="15.6" hidden="1" x14ac:dyDescent="0.3">
      <c r="A211" s="51" t="s">
        <v>123</v>
      </c>
      <c r="B211" s="51" t="s">
        <v>563</v>
      </c>
      <c r="C211" s="52"/>
      <c r="D211" s="53"/>
      <c r="E211">
        <f t="shared" si="3"/>
        <v>0</v>
      </c>
    </row>
    <row r="212" spans="1:5" ht="15.6" hidden="1" x14ac:dyDescent="0.3">
      <c r="A212" s="51" t="s">
        <v>125</v>
      </c>
      <c r="B212" s="51" t="s">
        <v>563</v>
      </c>
      <c r="C212" s="52"/>
      <c r="D212" s="53"/>
      <c r="E212">
        <f t="shared" si="3"/>
        <v>0</v>
      </c>
    </row>
    <row r="213" spans="1:5" ht="15.6" hidden="1" x14ac:dyDescent="0.3">
      <c r="A213" s="51" t="e">
        <v>#N/A</v>
      </c>
      <c r="B213" s="51">
        <v>0</v>
      </c>
      <c r="C213" s="52"/>
      <c r="D213" s="53"/>
      <c r="E213">
        <f t="shared" si="3"/>
        <v>0</v>
      </c>
    </row>
    <row r="214" spans="1:5" ht="15.6" x14ac:dyDescent="0.3">
      <c r="A214" s="72"/>
      <c r="B214" s="72"/>
      <c r="C214" s="72"/>
      <c r="D214" s="72"/>
      <c r="E214" s="72">
        <f>SUBTOTAL(9,E168:E213)</f>
        <v>5567000</v>
      </c>
    </row>
    <row r="215" spans="1:5" ht="15.6" x14ac:dyDescent="0.3">
      <c r="A215" s="72"/>
      <c r="B215" s="72"/>
      <c r="C215" s="72"/>
      <c r="D215" s="72"/>
      <c r="E215" s="72"/>
    </row>
    <row r="216" spans="1:5" ht="15.6" x14ac:dyDescent="0.3">
      <c r="A216" s="72"/>
      <c r="B216" s="72"/>
      <c r="C216" s="72"/>
      <c r="D216" s="72"/>
      <c r="E216" s="72">
        <f>E214+E165</f>
        <v>118793800</v>
      </c>
    </row>
    <row r="217" spans="1:5" ht="15.6" x14ac:dyDescent="0.3">
      <c r="A217" s="72"/>
      <c r="B217" s="72"/>
      <c r="C217" s="72"/>
      <c r="D217" s="72"/>
      <c r="E217" s="72"/>
    </row>
    <row r="218" spans="1:5" ht="15.6" x14ac:dyDescent="0.3">
      <c r="A218" s="72"/>
      <c r="B218" s="72"/>
      <c r="C218" s="72"/>
      <c r="D218" s="72"/>
      <c r="E218" s="72"/>
    </row>
    <row r="219" spans="1:5" ht="15.6" x14ac:dyDescent="0.3">
      <c r="A219" s="72"/>
      <c r="B219" s="72"/>
      <c r="C219" s="72"/>
      <c r="D219" s="72"/>
      <c r="E219" s="72"/>
    </row>
    <row r="220" spans="1:5" ht="15.6" x14ac:dyDescent="0.3">
      <c r="A220" s="72"/>
      <c r="B220" s="72"/>
      <c r="C220" s="72"/>
      <c r="D220" s="72"/>
      <c r="E220" s="72"/>
    </row>
    <row r="221" spans="1:5" ht="15.6" x14ac:dyDescent="0.3">
      <c r="A221" s="72"/>
      <c r="B221" s="72"/>
      <c r="C221" s="72"/>
      <c r="D221" s="72"/>
      <c r="E221" s="72"/>
    </row>
    <row r="222" spans="1:5" ht="15.6" x14ac:dyDescent="0.3">
      <c r="A222" s="72"/>
      <c r="B222" s="72"/>
      <c r="C222" s="72"/>
      <c r="D222" s="72"/>
      <c r="E222" s="72"/>
    </row>
    <row r="223" spans="1:5" ht="15.6" x14ac:dyDescent="0.3">
      <c r="A223" s="72"/>
      <c r="B223" s="72"/>
      <c r="C223" s="72"/>
      <c r="D223" s="72"/>
      <c r="E223" s="72"/>
    </row>
    <row r="224" spans="1:5" ht="15.6" x14ac:dyDescent="0.3">
      <c r="A224" s="72"/>
      <c r="B224" s="72"/>
      <c r="C224" s="72"/>
      <c r="D224" s="72"/>
      <c r="E224" s="72"/>
    </row>
    <row r="225" spans="1:5" ht="15.6" x14ac:dyDescent="0.3">
      <c r="A225" s="72"/>
      <c r="B225" s="72"/>
      <c r="C225" s="72"/>
      <c r="D225" s="72"/>
      <c r="E225" s="72"/>
    </row>
    <row r="226" spans="1:5" ht="15.6" x14ac:dyDescent="0.3">
      <c r="A226" s="72"/>
      <c r="B226" s="72"/>
      <c r="C226" s="72"/>
      <c r="D226" s="72"/>
      <c r="E226" s="72"/>
    </row>
    <row r="227" spans="1:5" ht="15.6" x14ac:dyDescent="0.3">
      <c r="A227" s="72"/>
      <c r="B227" s="72"/>
      <c r="C227" s="72"/>
      <c r="D227" s="72"/>
      <c r="E227" s="72"/>
    </row>
    <row r="228" spans="1:5" ht="15.6" x14ac:dyDescent="0.3">
      <c r="A228" s="72"/>
      <c r="B228" s="72"/>
      <c r="C228" s="72"/>
      <c r="D228" s="72"/>
      <c r="E228" s="72"/>
    </row>
    <row r="229" spans="1:5" ht="15.6" x14ac:dyDescent="0.3">
      <c r="A229" s="72"/>
      <c r="B229" s="72"/>
      <c r="C229" s="72"/>
      <c r="D229" s="72"/>
      <c r="E229" s="72"/>
    </row>
    <row r="230" spans="1:5" ht="15.6" x14ac:dyDescent="0.3">
      <c r="A230" s="72"/>
      <c r="B230" s="72"/>
      <c r="C230" s="72"/>
      <c r="D230" s="72"/>
      <c r="E230" s="72"/>
    </row>
    <row r="231" spans="1:5" ht="15.6" x14ac:dyDescent="0.3">
      <c r="A231" s="72"/>
      <c r="B231" s="72"/>
      <c r="C231" s="72"/>
      <c r="D231" s="72"/>
      <c r="E231" s="72"/>
    </row>
    <row r="232" spans="1:5" ht="15.6" x14ac:dyDescent="0.3">
      <c r="A232" s="72"/>
      <c r="B232" s="72"/>
      <c r="C232" s="72"/>
      <c r="D232" s="72"/>
      <c r="E232" s="72"/>
    </row>
    <row r="233" spans="1:5" ht="15.6" x14ac:dyDescent="0.3">
      <c r="A233" s="72"/>
      <c r="B233" s="72"/>
      <c r="C233" s="72"/>
      <c r="D233" s="72"/>
      <c r="E233" s="72"/>
    </row>
    <row r="234" spans="1:5" ht="15.6" x14ac:dyDescent="0.3">
      <c r="A234" s="72"/>
      <c r="B234" s="72"/>
      <c r="C234" s="72"/>
      <c r="D234" s="72"/>
      <c r="E234" s="72"/>
    </row>
    <row r="235" spans="1:5" ht="15.6" x14ac:dyDescent="0.3">
      <c r="A235" s="72"/>
      <c r="B235" s="72"/>
      <c r="C235" s="72"/>
      <c r="D235" s="72"/>
      <c r="E235" s="72"/>
    </row>
    <row r="236" spans="1:5" ht="15.6" x14ac:dyDescent="0.3">
      <c r="A236" s="72"/>
      <c r="B236" s="72"/>
      <c r="C236" s="72"/>
      <c r="D236" s="72"/>
      <c r="E236" s="72"/>
    </row>
    <row r="237" spans="1:5" ht="15.6" x14ac:dyDescent="0.3">
      <c r="A237" s="72"/>
      <c r="B237" s="72"/>
      <c r="C237" s="72"/>
      <c r="D237" s="72"/>
      <c r="E237" s="72"/>
    </row>
    <row r="238" spans="1:5" ht="15.6" x14ac:dyDescent="0.3">
      <c r="A238" s="72"/>
      <c r="B238" s="72"/>
      <c r="C238" s="72"/>
      <c r="D238" s="72"/>
      <c r="E238" s="72"/>
    </row>
    <row r="239" spans="1:5" ht="15.6" x14ac:dyDescent="0.3">
      <c r="A239" s="72"/>
      <c r="B239" s="72"/>
      <c r="C239" s="72"/>
      <c r="D239" s="72"/>
      <c r="E239" s="72"/>
    </row>
    <row r="240" spans="1:5" ht="15.6" x14ac:dyDescent="0.3">
      <c r="A240" s="72"/>
      <c r="B240" s="72"/>
      <c r="C240" s="72"/>
      <c r="D240" s="72"/>
      <c r="E240" s="72"/>
    </row>
    <row r="241" spans="1:5" ht="15.6" x14ac:dyDescent="0.3">
      <c r="A241" s="72"/>
      <c r="B241" s="72"/>
      <c r="C241" s="72"/>
      <c r="D241" s="72"/>
      <c r="E241" s="72"/>
    </row>
    <row r="242" spans="1:5" ht="15.6" x14ac:dyDescent="0.3">
      <c r="A242" s="72"/>
      <c r="B242" s="72"/>
      <c r="C242" s="72"/>
      <c r="D242" s="72"/>
      <c r="E242" s="72"/>
    </row>
    <row r="243" spans="1:5" ht="15.6" x14ac:dyDescent="0.3">
      <c r="A243" s="72"/>
      <c r="B243" s="72"/>
      <c r="C243" s="72"/>
      <c r="D243" s="72"/>
      <c r="E243" s="72"/>
    </row>
    <row r="244" spans="1:5" ht="15.6" x14ac:dyDescent="0.3">
      <c r="A244" s="72"/>
      <c r="B244" s="72"/>
      <c r="C244" s="72"/>
      <c r="D244" s="72"/>
      <c r="E244" s="72"/>
    </row>
    <row r="245" spans="1:5" ht="15.6" x14ac:dyDescent="0.3">
      <c r="A245" s="72"/>
      <c r="B245" s="72"/>
      <c r="C245" s="72"/>
      <c r="D245" s="72"/>
      <c r="E245" s="72"/>
    </row>
    <row r="246" spans="1:5" ht="15.6" x14ac:dyDescent="0.3">
      <c r="A246" s="72"/>
      <c r="B246" s="72"/>
      <c r="C246" s="72"/>
      <c r="D246" s="72"/>
      <c r="E246" s="72"/>
    </row>
    <row r="247" spans="1:5" ht="15.6" x14ac:dyDescent="0.3">
      <c r="A247" s="72"/>
      <c r="B247" s="72"/>
      <c r="C247" s="72"/>
      <c r="D247" s="72"/>
      <c r="E247" s="72"/>
    </row>
    <row r="248" spans="1:5" ht="15.6" x14ac:dyDescent="0.3">
      <c r="A248" s="72"/>
      <c r="B248" s="72"/>
      <c r="C248" s="72"/>
      <c r="D248" s="72"/>
      <c r="E248" s="72"/>
    </row>
    <row r="249" spans="1:5" ht="15.6" x14ac:dyDescent="0.3">
      <c r="A249" s="72"/>
      <c r="B249" s="72"/>
      <c r="C249" s="72"/>
      <c r="D249" s="72"/>
      <c r="E249" s="72"/>
    </row>
    <row r="250" spans="1:5" ht="15.6" x14ac:dyDescent="0.3">
      <c r="A250" s="72"/>
      <c r="B250" s="72"/>
      <c r="C250" s="72"/>
      <c r="D250" s="72"/>
      <c r="E250" s="72"/>
    </row>
    <row r="251" spans="1:5" ht="15.6" x14ac:dyDescent="0.3">
      <c r="A251" s="72"/>
      <c r="B251" s="72"/>
      <c r="C251" s="72"/>
      <c r="D251" s="72"/>
      <c r="E251" s="72"/>
    </row>
    <row r="252" spans="1:5" ht="15.6" x14ac:dyDescent="0.3">
      <c r="A252" s="72"/>
      <c r="B252" s="72"/>
      <c r="C252" s="72"/>
      <c r="D252" s="72"/>
      <c r="E252" s="72"/>
    </row>
    <row r="253" spans="1:5" ht="15.6" x14ac:dyDescent="0.3">
      <c r="A253" s="72"/>
      <c r="B253" s="72"/>
      <c r="C253" s="72"/>
      <c r="D253" s="72"/>
      <c r="E253" s="72"/>
    </row>
    <row r="254" spans="1:5" ht="15.6" x14ac:dyDescent="0.3">
      <c r="A254" s="72"/>
      <c r="B254" s="72"/>
      <c r="C254" s="72"/>
      <c r="D254" s="72"/>
      <c r="E254" s="72"/>
    </row>
    <row r="255" spans="1:5" ht="15.6" x14ac:dyDescent="0.3">
      <c r="A255" s="72"/>
      <c r="B255" s="72"/>
      <c r="C255" s="72"/>
      <c r="D255" s="72"/>
      <c r="E255" s="72"/>
    </row>
    <row r="256" spans="1:5" ht="15.6" x14ac:dyDescent="0.3">
      <c r="A256" s="72"/>
      <c r="B256" s="72"/>
      <c r="C256" s="72"/>
      <c r="D256" s="72"/>
      <c r="E256" s="72"/>
    </row>
    <row r="257" spans="1:5" ht="15.6" x14ac:dyDescent="0.3">
      <c r="A257" s="72"/>
      <c r="B257" s="72"/>
      <c r="C257" s="72"/>
      <c r="D257" s="72"/>
      <c r="E257" s="72"/>
    </row>
    <row r="258" spans="1:5" ht="15.6" x14ac:dyDescent="0.3">
      <c r="A258" s="72"/>
      <c r="B258" s="72"/>
      <c r="C258" s="72"/>
      <c r="D258" s="72"/>
      <c r="E258" s="72"/>
    </row>
    <row r="259" spans="1:5" ht="15.6" x14ac:dyDescent="0.3">
      <c r="A259" s="72"/>
      <c r="B259" s="72"/>
      <c r="C259" s="72"/>
      <c r="D259" s="72"/>
      <c r="E259" s="72"/>
    </row>
    <row r="260" spans="1:5" ht="15.6" x14ac:dyDescent="0.3">
      <c r="A260" s="72"/>
      <c r="B260" s="72"/>
      <c r="C260" s="72"/>
      <c r="D260" s="72"/>
      <c r="E260" s="72"/>
    </row>
    <row r="261" spans="1:5" ht="15.6" x14ac:dyDescent="0.3">
      <c r="A261" s="72"/>
      <c r="B261" s="72"/>
      <c r="C261" s="72"/>
      <c r="D261" s="72"/>
      <c r="E261" s="72"/>
    </row>
    <row r="262" spans="1:5" ht="15.6" x14ac:dyDescent="0.3">
      <c r="A262" s="72"/>
      <c r="B262" s="72"/>
      <c r="C262" s="72"/>
      <c r="D262" s="72"/>
      <c r="E262" s="72"/>
    </row>
    <row r="263" spans="1:5" ht="15.6" x14ac:dyDescent="0.3">
      <c r="A263" s="72"/>
      <c r="B263" s="72"/>
      <c r="C263" s="72"/>
      <c r="D263" s="72"/>
      <c r="E263" s="72"/>
    </row>
    <row r="264" spans="1:5" ht="15.6" x14ac:dyDescent="0.3">
      <c r="A264" s="72"/>
      <c r="B264" s="72"/>
      <c r="C264" s="72"/>
      <c r="D264" s="72"/>
      <c r="E264" s="72"/>
    </row>
    <row r="265" spans="1:5" ht="15.6" x14ac:dyDescent="0.3">
      <c r="A265" s="72"/>
      <c r="B265" s="72"/>
      <c r="C265" s="72"/>
      <c r="D265" s="72"/>
      <c r="E265" s="72"/>
    </row>
    <row r="266" spans="1:5" ht="15.6" x14ac:dyDescent="0.3">
      <c r="A266" s="72"/>
      <c r="B266" s="72"/>
      <c r="C266" s="72"/>
      <c r="D266" s="72"/>
      <c r="E266" s="72"/>
    </row>
    <row r="267" spans="1:5" ht="15.6" x14ac:dyDescent="0.3">
      <c r="A267" s="72"/>
      <c r="B267" s="72"/>
      <c r="C267" s="72"/>
      <c r="D267" s="72"/>
      <c r="E267" s="72"/>
    </row>
    <row r="268" spans="1:5" ht="15.6" x14ac:dyDescent="0.3">
      <c r="A268" s="72"/>
      <c r="B268" s="72"/>
      <c r="C268" s="72"/>
      <c r="D268" s="72"/>
      <c r="E268" s="72"/>
    </row>
    <row r="269" spans="1:5" ht="15.6" x14ac:dyDescent="0.3">
      <c r="A269" s="72"/>
      <c r="B269" s="72"/>
      <c r="C269" s="72"/>
      <c r="D269" s="72"/>
      <c r="E269" s="72"/>
    </row>
    <row r="270" spans="1:5" ht="15.6" x14ac:dyDescent="0.3">
      <c r="A270" s="72"/>
      <c r="B270" s="72"/>
      <c r="C270" s="72"/>
      <c r="D270" s="72"/>
      <c r="E270" s="72"/>
    </row>
    <row r="271" spans="1:5" ht="15.6" x14ac:dyDescent="0.3">
      <c r="A271" s="72"/>
      <c r="B271" s="72"/>
      <c r="C271" s="72"/>
      <c r="D271" s="72"/>
      <c r="E271" s="72"/>
    </row>
    <row r="272" spans="1:5" ht="15.6" x14ac:dyDescent="0.3">
      <c r="A272" s="72"/>
      <c r="B272" s="72"/>
      <c r="C272" s="72"/>
      <c r="D272" s="72"/>
      <c r="E272" s="72"/>
    </row>
    <row r="273" spans="1:5" ht="15.6" x14ac:dyDescent="0.3">
      <c r="A273" s="72"/>
      <c r="B273" s="72"/>
      <c r="C273" s="72"/>
      <c r="D273" s="72"/>
      <c r="E273" s="72"/>
    </row>
    <row r="274" spans="1:5" ht="15.6" x14ac:dyDescent="0.3">
      <c r="A274" s="72"/>
      <c r="B274" s="72"/>
      <c r="C274" s="72"/>
      <c r="D274" s="72"/>
      <c r="E274" s="72"/>
    </row>
    <row r="275" spans="1:5" ht="15.6" x14ac:dyDescent="0.3">
      <c r="A275" s="72"/>
      <c r="B275" s="72"/>
      <c r="C275" s="72"/>
      <c r="D275" s="72"/>
      <c r="E275" s="72"/>
    </row>
    <row r="276" spans="1:5" ht="15.6" x14ac:dyDescent="0.3">
      <c r="A276" s="72"/>
      <c r="B276" s="72"/>
      <c r="C276" s="72"/>
      <c r="D276" s="72"/>
      <c r="E276" s="72"/>
    </row>
    <row r="277" spans="1:5" ht="15.6" x14ac:dyDescent="0.3">
      <c r="A277" s="72"/>
      <c r="B277" s="72"/>
      <c r="C277" s="72"/>
      <c r="D277" s="72"/>
      <c r="E277" s="72"/>
    </row>
    <row r="278" spans="1:5" ht="15.6" x14ac:dyDescent="0.3">
      <c r="A278" s="72"/>
      <c r="B278" s="72"/>
      <c r="C278" s="72"/>
      <c r="D278" s="72"/>
      <c r="E278" s="72"/>
    </row>
    <row r="279" spans="1:5" ht="15.6" x14ac:dyDescent="0.3">
      <c r="A279" s="72"/>
      <c r="B279" s="72"/>
      <c r="C279" s="72"/>
      <c r="D279" s="72"/>
      <c r="E279" s="72"/>
    </row>
    <row r="280" spans="1:5" ht="15.6" x14ac:dyDescent="0.3">
      <c r="A280" s="72"/>
      <c r="B280" s="72"/>
      <c r="C280" s="72"/>
      <c r="D280" s="72"/>
      <c r="E280" s="72"/>
    </row>
    <row r="281" spans="1:5" ht="15.6" x14ac:dyDescent="0.3">
      <c r="A281" s="72"/>
      <c r="B281" s="72"/>
      <c r="C281" s="72"/>
      <c r="D281" s="72"/>
      <c r="E281" s="72"/>
    </row>
    <row r="282" spans="1:5" ht="15.6" x14ac:dyDescent="0.3">
      <c r="A282" s="72"/>
      <c r="B282" s="72"/>
      <c r="C282" s="72"/>
      <c r="D282" s="72"/>
      <c r="E282" s="72"/>
    </row>
    <row r="283" spans="1:5" ht="15.6" x14ac:dyDescent="0.3">
      <c r="A283" s="72"/>
      <c r="B283" s="72"/>
      <c r="C283" s="72"/>
      <c r="D283" s="72"/>
      <c r="E283" s="72"/>
    </row>
    <row r="284" spans="1:5" ht="15.6" x14ac:dyDescent="0.3">
      <c r="A284" s="72"/>
      <c r="B284" s="72"/>
      <c r="C284" s="72"/>
      <c r="D284" s="72"/>
      <c r="E284" s="72"/>
    </row>
    <row r="285" spans="1:5" ht="15.6" x14ac:dyDescent="0.3">
      <c r="A285" s="72"/>
      <c r="B285" s="72"/>
      <c r="C285" s="72"/>
      <c r="D285" s="72"/>
      <c r="E285" s="72"/>
    </row>
    <row r="286" spans="1:5" ht="15.6" x14ac:dyDescent="0.3">
      <c r="A286" s="72"/>
      <c r="B286" s="72"/>
      <c r="C286" s="72"/>
      <c r="D286" s="72"/>
      <c r="E286" s="72"/>
    </row>
    <row r="287" spans="1:5" ht="15.6" x14ac:dyDescent="0.3">
      <c r="A287" s="72"/>
      <c r="B287" s="72"/>
      <c r="C287" s="72"/>
      <c r="D287" s="72"/>
      <c r="E287" s="72"/>
    </row>
    <row r="288" spans="1:5" ht="15.6" x14ac:dyDescent="0.3">
      <c r="A288" s="72"/>
      <c r="B288" s="72"/>
      <c r="C288" s="72"/>
      <c r="D288" s="72"/>
      <c r="E288" s="72"/>
    </row>
    <row r="289" spans="1:5" ht="15.6" x14ac:dyDescent="0.3">
      <c r="A289" s="72"/>
      <c r="B289" s="72"/>
      <c r="C289" s="72"/>
      <c r="D289" s="72"/>
      <c r="E289" s="72"/>
    </row>
    <row r="290" spans="1:5" ht="15.6" x14ac:dyDescent="0.3">
      <c r="A290" s="72"/>
      <c r="B290" s="72"/>
      <c r="C290" s="72"/>
      <c r="D290" s="72"/>
      <c r="E290" s="72"/>
    </row>
    <row r="291" spans="1:5" ht="15.6" x14ac:dyDescent="0.3">
      <c r="A291" s="72"/>
      <c r="B291" s="72"/>
      <c r="C291" s="72"/>
      <c r="D291" s="72"/>
      <c r="E291" s="72"/>
    </row>
    <row r="292" spans="1:5" ht="15.6" x14ac:dyDescent="0.3">
      <c r="A292" s="72"/>
      <c r="B292" s="72"/>
      <c r="C292" s="72"/>
      <c r="D292" s="72"/>
      <c r="E292" s="72"/>
    </row>
    <row r="293" spans="1:5" ht="15.6" x14ac:dyDescent="0.3">
      <c r="A293" s="72"/>
      <c r="B293" s="72"/>
      <c r="C293" s="72"/>
      <c r="D293" s="72"/>
      <c r="E293" s="72"/>
    </row>
    <row r="294" spans="1:5" ht="15.6" x14ac:dyDescent="0.3">
      <c r="A294" s="72"/>
      <c r="B294" s="72"/>
      <c r="C294" s="72"/>
      <c r="D294" s="72"/>
      <c r="E294" s="72"/>
    </row>
    <row r="295" spans="1:5" ht="15.6" x14ac:dyDescent="0.3">
      <c r="A295" s="72"/>
      <c r="B295" s="72"/>
      <c r="C295" s="72"/>
      <c r="D295" s="72"/>
      <c r="E295" s="72"/>
    </row>
    <row r="296" spans="1:5" ht="15.6" x14ac:dyDescent="0.3">
      <c r="A296" s="72"/>
      <c r="B296" s="72"/>
      <c r="C296" s="72"/>
      <c r="D296" s="72"/>
      <c r="E296" s="72"/>
    </row>
    <row r="297" spans="1:5" ht="15.6" x14ac:dyDescent="0.3">
      <c r="A297" s="72"/>
      <c r="B297" s="72"/>
      <c r="C297" s="72"/>
      <c r="D297" s="72"/>
      <c r="E297" s="72"/>
    </row>
    <row r="298" spans="1:5" ht="15.6" x14ac:dyDescent="0.3">
      <c r="A298" s="72"/>
      <c r="B298" s="72"/>
      <c r="C298" s="72"/>
      <c r="D298" s="72"/>
      <c r="E298" s="72"/>
    </row>
    <row r="299" spans="1:5" ht="15.6" x14ac:dyDescent="0.3">
      <c r="A299" s="72"/>
      <c r="B299" s="72"/>
      <c r="C299" s="72"/>
      <c r="D299" s="72"/>
      <c r="E299" s="72"/>
    </row>
    <row r="300" spans="1:5" ht="15.6" x14ac:dyDescent="0.3">
      <c r="A300" s="72"/>
      <c r="B300" s="72"/>
      <c r="C300" s="72"/>
      <c r="D300" s="72"/>
      <c r="E300" s="72"/>
    </row>
    <row r="301" spans="1:5" ht="15.6" x14ac:dyDescent="0.3">
      <c r="A301" s="72"/>
      <c r="B301" s="72"/>
      <c r="C301" s="72"/>
      <c r="D301" s="72"/>
      <c r="E301" s="72"/>
    </row>
    <row r="302" spans="1:5" ht="15.6" x14ac:dyDescent="0.3">
      <c r="A302" s="72"/>
      <c r="B302" s="72"/>
      <c r="C302" s="72"/>
      <c r="D302" s="72"/>
      <c r="E302" s="72"/>
    </row>
    <row r="303" spans="1:5" ht="15.6" x14ac:dyDescent="0.3">
      <c r="A303" s="72"/>
      <c r="B303" s="72"/>
      <c r="C303" s="72"/>
      <c r="D303" s="72"/>
      <c r="E303" s="72"/>
    </row>
    <row r="304" spans="1:5" ht="15.6" x14ac:dyDescent="0.3">
      <c r="A304" s="72"/>
      <c r="B304" s="72"/>
      <c r="C304" s="72"/>
      <c r="D304" s="72"/>
      <c r="E304" s="72"/>
    </row>
    <row r="305" spans="1:5" ht="15.6" x14ac:dyDescent="0.3">
      <c r="A305" s="72"/>
      <c r="B305" s="72"/>
      <c r="C305" s="72"/>
      <c r="D305" s="72"/>
      <c r="E305" s="72"/>
    </row>
    <row r="306" spans="1:5" ht="15.6" x14ac:dyDescent="0.3">
      <c r="A306" s="72"/>
      <c r="B306" s="72"/>
      <c r="C306" s="72"/>
      <c r="D306" s="72"/>
      <c r="E306" s="72"/>
    </row>
    <row r="307" spans="1:5" ht="15.6" x14ac:dyDescent="0.3">
      <c r="A307" s="72"/>
      <c r="B307" s="72"/>
      <c r="C307" s="72"/>
      <c r="D307" s="72"/>
      <c r="E307" s="72"/>
    </row>
    <row r="308" spans="1:5" ht="15.6" x14ac:dyDescent="0.3">
      <c r="A308" s="72"/>
      <c r="B308" s="72"/>
      <c r="C308" s="72"/>
      <c r="D308" s="72"/>
      <c r="E308" s="72"/>
    </row>
    <row r="309" spans="1:5" ht="15.6" x14ac:dyDescent="0.3">
      <c r="A309" s="72"/>
      <c r="B309" s="72"/>
      <c r="C309" s="72"/>
      <c r="D309" s="72"/>
      <c r="E309" s="72"/>
    </row>
    <row r="310" spans="1:5" ht="15.6" x14ac:dyDescent="0.3">
      <c r="A310" s="72"/>
      <c r="B310" s="72"/>
      <c r="C310" s="72"/>
      <c r="D310" s="72"/>
      <c r="E310" s="72"/>
    </row>
    <row r="311" spans="1:5" ht="15.6" x14ac:dyDescent="0.3">
      <c r="A311" s="72"/>
      <c r="B311" s="72"/>
      <c r="C311" s="72"/>
      <c r="D311" s="72"/>
      <c r="E311" s="72"/>
    </row>
    <row r="312" spans="1:5" ht="15.6" x14ac:dyDescent="0.3">
      <c r="A312" s="72"/>
      <c r="B312" s="72"/>
      <c r="C312" s="72"/>
      <c r="D312" s="72"/>
      <c r="E312" s="72"/>
    </row>
    <row r="313" spans="1:5" ht="15.6" x14ac:dyDescent="0.3">
      <c r="A313" s="72"/>
      <c r="B313" s="72"/>
      <c r="C313" s="72"/>
      <c r="D313" s="72"/>
      <c r="E313" s="72"/>
    </row>
    <row r="314" spans="1:5" ht="15.6" x14ac:dyDescent="0.3">
      <c r="A314" s="72"/>
      <c r="B314" s="72"/>
      <c r="C314" s="72"/>
      <c r="D314" s="72"/>
      <c r="E314" s="72"/>
    </row>
    <row r="315" spans="1:5" ht="15.6" x14ac:dyDescent="0.3">
      <c r="A315" s="72"/>
      <c r="B315" s="72"/>
      <c r="C315" s="72"/>
      <c r="D315" s="72"/>
      <c r="E315" s="72"/>
    </row>
    <row r="316" spans="1:5" ht="15.6" x14ac:dyDescent="0.3">
      <c r="A316" s="72"/>
      <c r="B316" s="72"/>
      <c r="C316" s="72"/>
      <c r="D316" s="72"/>
      <c r="E316" s="72"/>
    </row>
    <row r="317" spans="1:5" ht="15.6" x14ac:dyDescent="0.3">
      <c r="A317" s="72"/>
      <c r="B317" s="72"/>
      <c r="C317" s="72"/>
      <c r="D317" s="72"/>
      <c r="E317" s="72"/>
    </row>
    <row r="318" spans="1:5" ht="15.6" x14ac:dyDescent="0.3">
      <c r="A318" s="72"/>
      <c r="B318" s="72"/>
      <c r="C318" s="72"/>
      <c r="D318" s="72"/>
      <c r="E318" s="72"/>
    </row>
    <row r="319" spans="1:5" ht="15.6" x14ac:dyDescent="0.3">
      <c r="A319" s="72"/>
      <c r="B319" s="72"/>
      <c r="C319" s="72"/>
      <c r="D319" s="72"/>
      <c r="E319" s="72"/>
    </row>
    <row r="320" spans="1:5" ht="15.6" x14ac:dyDescent="0.3">
      <c r="A320" s="72"/>
      <c r="B320" s="72"/>
      <c r="C320" s="72"/>
      <c r="D320" s="72"/>
      <c r="E320" s="72"/>
    </row>
    <row r="321" spans="1:5" ht="15.6" x14ac:dyDescent="0.3">
      <c r="A321" s="72"/>
      <c r="B321" s="72"/>
      <c r="C321" s="72"/>
      <c r="D321" s="72"/>
      <c r="E321" s="72"/>
    </row>
    <row r="322" spans="1:5" ht="15.6" x14ac:dyDescent="0.3">
      <c r="A322" s="72"/>
      <c r="B322" s="72"/>
      <c r="C322" s="72"/>
      <c r="D322" s="72"/>
      <c r="E322" s="72"/>
    </row>
    <row r="323" spans="1:5" ht="15.6" x14ac:dyDescent="0.3">
      <c r="A323" s="72"/>
      <c r="B323" s="72"/>
      <c r="C323" s="72"/>
      <c r="D323" s="72"/>
      <c r="E323" s="72"/>
    </row>
    <row r="324" spans="1:5" ht="15.6" x14ac:dyDescent="0.3">
      <c r="A324" s="72"/>
      <c r="B324" s="72"/>
      <c r="C324" s="72"/>
      <c r="D324" s="72"/>
      <c r="E324" s="72"/>
    </row>
    <row r="325" spans="1:5" ht="15.6" x14ac:dyDescent="0.3">
      <c r="A325" s="72"/>
      <c r="B325" s="72"/>
      <c r="C325" s="72"/>
      <c r="D325" s="72"/>
      <c r="E325" s="72"/>
    </row>
    <row r="326" spans="1:5" ht="15.6" x14ac:dyDescent="0.3">
      <c r="A326" s="72"/>
      <c r="B326" s="72"/>
      <c r="C326" s="72"/>
      <c r="D326" s="72"/>
      <c r="E326" s="72"/>
    </row>
    <row r="327" spans="1:5" ht="15.6" x14ac:dyDescent="0.3">
      <c r="A327" s="72"/>
      <c r="B327" s="72"/>
      <c r="C327" s="72"/>
      <c r="D327" s="72"/>
      <c r="E327" s="72"/>
    </row>
    <row r="328" spans="1:5" ht="15.6" x14ac:dyDescent="0.3">
      <c r="A328" s="72"/>
      <c r="B328" s="72"/>
      <c r="C328" s="72"/>
      <c r="D328" s="72"/>
      <c r="E328" s="72"/>
    </row>
    <row r="329" spans="1:5" ht="15.6" x14ac:dyDescent="0.3">
      <c r="A329" s="72"/>
      <c r="B329" s="72"/>
      <c r="C329" s="72"/>
      <c r="D329" s="72"/>
      <c r="E329" s="72"/>
    </row>
    <row r="330" spans="1:5" ht="15.6" x14ac:dyDescent="0.3">
      <c r="A330" s="72"/>
      <c r="B330" s="72"/>
      <c r="C330" s="72"/>
      <c r="D330" s="72"/>
      <c r="E330" s="72"/>
    </row>
    <row r="331" spans="1:5" ht="15.6" x14ac:dyDescent="0.3">
      <c r="A331" s="72"/>
      <c r="B331" s="72"/>
      <c r="C331" s="72"/>
      <c r="D331" s="72"/>
      <c r="E331" s="72"/>
    </row>
    <row r="332" spans="1:5" ht="15.6" x14ac:dyDescent="0.3">
      <c r="A332" s="72"/>
      <c r="B332" s="72"/>
      <c r="C332" s="72"/>
      <c r="D332" s="72"/>
      <c r="E332" s="72"/>
    </row>
    <row r="333" spans="1:5" ht="15.6" x14ac:dyDescent="0.3">
      <c r="A333" s="72"/>
      <c r="B333" s="72"/>
      <c r="C333" s="72"/>
      <c r="D333" s="72"/>
      <c r="E333" s="72"/>
    </row>
    <row r="334" spans="1:5" ht="15.6" x14ac:dyDescent="0.3">
      <c r="A334" s="72"/>
      <c r="B334" s="72"/>
      <c r="C334" s="72"/>
      <c r="D334" s="72"/>
      <c r="E334" s="72"/>
    </row>
    <row r="335" spans="1:5" ht="15.6" x14ac:dyDescent="0.3">
      <c r="A335" s="72"/>
      <c r="B335" s="72"/>
      <c r="C335" s="72"/>
      <c r="D335" s="72"/>
      <c r="E335" s="72"/>
    </row>
    <row r="336" spans="1:5" ht="15.6" x14ac:dyDescent="0.3">
      <c r="A336" s="72"/>
      <c r="B336" s="72"/>
      <c r="C336" s="72"/>
      <c r="D336" s="72"/>
      <c r="E336" s="72"/>
    </row>
  </sheetData>
  <autoFilter ref="A3:E213" xr:uid="{00000000-0009-0000-0000-000018000000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E200"/>
  <sheetViews>
    <sheetView topLeftCell="A145" workbookViewId="0">
      <selection activeCell="A30" sqref="A30:XFD30"/>
    </sheetView>
  </sheetViews>
  <sheetFormatPr defaultRowHeight="14.4" x14ac:dyDescent="0.3"/>
  <cols>
    <col min="1" max="1" width="33.109375" customWidth="1"/>
    <col min="3" max="3" width="12.5546875" customWidth="1"/>
    <col min="4" max="4" width="12.6640625" customWidth="1"/>
    <col min="5" max="5" width="16.44140625" customWidth="1"/>
  </cols>
  <sheetData>
    <row r="2" spans="1:5" x14ac:dyDescent="0.3">
      <c r="A2" s="87" t="s">
        <v>617</v>
      </c>
      <c r="B2" s="87"/>
      <c r="C2" s="88"/>
      <c r="D2" s="88"/>
      <c r="E2" s="88"/>
    </row>
    <row r="3" spans="1:5" ht="18.600000000000001" x14ac:dyDescent="0.3">
      <c r="A3" s="60" t="s">
        <v>0</v>
      </c>
      <c r="B3" s="60" t="s">
        <v>562</v>
      </c>
      <c r="C3" s="61" t="s">
        <v>612</v>
      </c>
      <c r="D3" s="82" t="s">
        <v>594</v>
      </c>
      <c r="E3" s="65" t="s">
        <v>129</v>
      </c>
    </row>
    <row r="4" spans="1:5" x14ac:dyDescent="0.3">
      <c r="A4" s="62" t="s">
        <v>1</v>
      </c>
      <c r="B4" s="62" t="s">
        <v>563</v>
      </c>
      <c r="C4" s="63">
        <v>10</v>
      </c>
      <c r="D4" s="66">
        <v>18000</v>
      </c>
      <c r="E4" s="66">
        <f>C4*D4</f>
        <v>180000</v>
      </c>
    </row>
    <row r="5" spans="1:5" x14ac:dyDescent="0.3">
      <c r="A5" s="62" t="s">
        <v>1</v>
      </c>
      <c r="B5" s="62" t="s">
        <v>566</v>
      </c>
      <c r="C5" s="63"/>
      <c r="D5" s="66"/>
      <c r="E5" s="66">
        <f t="shared" ref="E5:E68" si="0">C5*D5</f>
        <v>0</v>
      </c>
    </row>
    <row r="6" spans="1:5" x14ac:dyDescent="0.3">
      <c r="A6" s="62" t="s">
        <v>2</v>
      </c>
      <c r="B6" s="62" t="s">
        <v>563</v>
      </c>
      <c r="C6" s="63">
        <v>0</v>
      </c>
      <c r="D6" s="66"/>
      <c r="E6" s="66">
        <f t="shared" si="0"/>
        <v>0</v>
      </c>
    </row>
    <row r="7" spans="1:5" x14ac:dyDescent="0.3">
      <c r="A7" s="62" t="s">
        <v>2</v>
      </c>
      <c r="B7" s="62" t="s">
        <v>564</v>
      </c>
      <c r="C7" s="63">
        <v>0</v>
      </c>
      <c r="D7" s="66"/>
      <c r="E7" s="66">
        <f t="shared" si="0"/>
        <v>0</v>
      </c>
    </row>
    <row r="8" spans="1:5" x14ac:dyDescent="0.3">
      <c r="A8" s="62" t="s">
        <v>4</v>
      </c>
      <c r="B8" s="62" t="s">
        <v>565</v>
      </c>
      <c r="C8" s="63">
        <v>6</v>
      </c>
      <c r="D8" s="66">
        <v>8000</v>
      </c>
      <c r="E8" s="66">
        <f t="shared" si="0"/>
        <v>48000</v>
      </c>
    </row>
    <row r="9" spans="1:5" x14ac:dyDescent="0.3">
      <c r="A9" s="62" t="s">
        <v>5</v>
      </c>
      <c r="B9" s="62" t="s">
        <v>563</v>
      </c>
      <c r="C9" s="63">
        <v>0</v>
      </c>
      <c r="D9" s="66"/>
      <c r="E9" s="66">
        <f t="shared" si="0"/>
        <v>0</v>
      </c>
    </row>
    <row r="10" spans="1:5" x14ac:dyDescent="0.3">
      <c r="A10" s="62" t="s">
        <v>6</v>
      </c>
      <c r="B10" s="62" t="s">
        <v>563</v>
      </c>
      <c r="C10" s="63">
        <v>100</v>
      </c>
      <c r="D10" s="66">
        <v>14000</v>
      </c>
      <c r="E10" s="66">
        <f t="shared" si="0"/>
        <v>1400000</v>
      </c>
    </row>
    <row r="11" spans="1:5" x14ac:dyDescent="0.3">
      <c r="A11" s="62" t="s">
        <v>6</v>
      </c>
      <c r="B11" s="62" t="s">
        <v>566</v>
      </c>
      <c r="C11" s="63"/>
      <c r="D11" s="66"/>
      <c r="E11" s="66">
        <f t="shared" si="0"/>
        <v>0</v>
      </c>
    </row>
    <row r="12" spans="1:5" x14ac:dyDescent="0.3">
      <c r="A12" s="62" t="s">
        <v>7</v>
      </c>
      <c r="B12" s="62" t="s">
        <v>563</v>
      </c>
      <c r="C12" s="63">
        <v>0</v>
      </c>
      <c r="D12" s="66"/>
      <c r="E12" s="66">
        <f t="shared" si="0"/>
        <v>0</v>
      </c>
    </row>
    <row r="13" spans="1:5" x14ac:dyDescent="0.3">
      <c r="A13" s="62" t="s">
        <v>8</v>
      </c>
      <c r="B13" s="62" t="s">
        <v>563</v>
      </c>
      <c r="C13" s="63">
        <v>585</v>
      </c>
      <c r="D13" s="66">
        <v>25000</v>
      </c>
      <c r="E13" s="66">
        <f t="shared" si="0"/>
        <v>14625000</v>
      </c>
    </row>
    <row r="14" spans="1:5" x14ac:dyDescent="0.3">
      <c r="A14" s="62" t="s">
        <v>9</v>
      </c>
      <c r="B14" s="62" t="s">
        <v>563</v>
      </c>
      <c r="C14" s="63">
        <v>0</v>
      </c>
      <c r="D14" s="66"/>
      <c r="E14" s="66">
        <f t="shared" si="0"/>
        <v>0</v>
      </c>
    </row>
    <row r="15" spans="1:5" x14ac:dyDescent="0.3">
      <c r="A15" s="62" t="s">
        <v>10</v>
      </c>
      <c r="B15" s="62" t="s">
        <v>563</v>
      </c>
      <c r="C15" s="63">
        <v>400</v>
      </c>
      <c r="D15" s="66">
        <v>15000</v>
      </c>
      <c r="E15" s="66">
        <f t="shared" si="0"/>
        <v>6000000</v>
      </c>
    </row>
    <row r="16" spans="1:5" x14ac:dyDescent="0.3">
      <c r="A16" s="62" t="s">
        <v>10</v>
      </c>
      <c r="B16" s="62" t="s">
        <v>566</v>
      </c>
      <c r="C16" s="63"/>
      <c r="D16" s="66"/>
      <c r="E16" s="66">
        <f t="shared" si="0"/>
        <v>0</v>
      </c>
    </row>
    <row r="17" spans="1:5" x14ac:dyDescent="0.3">
      <c r="A17" s="62" t="s">
        <v>11</v>
      </c>
      <c r="B17" s="62" t="s">
        <v>563</v>
      </c>
      <c r="C17" s="63">
        <v>355</v>
      </c>
      <c r="D17" s="66">
        <v>26000</v>
      </c>
      <c r="E17" s="66">
        <f t="shared" si="0"/>
        <v>9230000</v>
      </c>
    </row>
    <row r="18" spans="1:5" x14ac:dyDescent="0.3">
      <c r="A18" s="62" t="s">
        <v>11</v>
      </c>
      <c r="B18" s="62" t="s">
        <v>566</v>
      </c>
      <c r="C18" s="63"/>
      <c r="D18" s="66"/>
      <c r="E18" s="66">
        <f t="shared" si="0"/>
        <v>0</v>
      </c>
    </row>
    <row r="19" spans="1:5" x14ac:dyDescent="0.3">
      <c r="A19" s="62" t="s">
        <v>12</v>
      </c>
      <c r="B19" s="62" t="s">
        <v>563</v>
      </c>
      <c r="C19" s="63">
        <v>150</v>
      </c>
      <c r="D19" s="66">
        <v>25000</v>
      </c>
      <c r="E19" s="66">
        <f t="shared" si="0"/>
        <v>3750000</v>
      </c>
    </row>
    <row r="20" spans="1:5" x14ac:dyDescent="0.3">
      <c r="A20" s="62" t="s">
        <v>13</v>
      </c>
      <c r="B20" s="62" t="s">
        <v>563</v>
      </c>
      <c r="C20" s="63">
        <v>0</v>
      </c>
      <c r="D20" s="66"/>
      <c r="E20" s="66">
        <f t="shared" si="0"/>
        <v>0</v>
      </c>
    </row>
    <row r="21" spans="1:5" x14ac:dyDescent="0.3">
      <c r="A21" s="62" t="s">
        <v>14</v>
      </c>
      <c r="B21" s="62" t="s">
        <v>566</v>
      </c>
      <c r="C21" s="63">
        <v>0</v>
      </c>
      <c r="D21" s="66"/>
      <c r="E21" s="66">
        <f t="shared" si="0"/>
        <v>0</v>
      </c>
    </row>
    <row r="22" spans="1:5" x14ac:dyDescent="0.3">
      <c r="A22" s="62" t="s">
        <v>15</v>
      </c>
      <c r="B22" s="62" t="s">
        <v>563</v>
      </c>
      <c r="C22" s="63">
        <v>210</v>
      </c>
      <c r="D22" s="66">
        <v>16000</v>
      </c>
      <c r="E22" s="66">
        <f t="shared" si="0"/>
        <v>3360000</v>
      </c>
    </row>
    <row r="23" spans="1:5" x14ac:dyDescent="0.3">
      <c r="A23" s="62" t="s">
        <v>15</v>
      </c>
      <c r="B23" s="62" t="s">
        <v>566</v>
      </c>
      <c r="C23" s="63"/>
      <c r="D23" s="66"/>
      <c r="E23" s="66">
        <f t="shared" si="0"/>
        <v>0</v>
      </c>
    </row>
    <row r="24" spans="1:5" x14ac:dyDescent="0.3">
      <c r="A24" s="62" t="s">
        <v>16</v>
      </c>
      <c r="B24" s="62" t="s">
        <v>563</v>
      </c>
      <c r="C24" s="63">
        <v>0</v>
      </c>
      <c r="D24" s="66"/>
      <c r="E24" s="66">
        <f t="shared" si="0"/>
        <v>0</v>
      </c>
    </row>
    <row r="25" spans="1:5" x14ac:dyDescent="0.3">
      <c r="A25" s="62" t="s">
        <v>18</v>
      </c>
      <c r="B25" s="62" t="s">
        <v>563</v>
      </c>
      <c r="C25" s="63"/>
      <c r="D25" s="66"/>
      <c r="E25" s="66">
        <f t="shared" si="0"/>
        <v>0</v>
      </c>
    </row>
    <row r="26" spans="1:5" x14ac:dyDescent="0.3">
      <c r="A26" s="62" t="s">
        <v>19</v>
      </c>
      <c r="B26" s="62" t="s">
        <v>563</v>
      </c>
      <c r="C26" s="63">
        <v>0</v>
      </c>
      <c r="D26" s="66"/>
      <c r="E26" s="66">
        <f t="shared" si="0"/>
        <v>0</v>
      </c>
    </row>
    <row r="27" spans="1:5" x14ac:dyDescent="0.3">
      <c r="A27" s="62" t="s">
        <v>19</v>
      </c>
      <c r="B27" s="62" t="s">
        <v>564</v>
      </c>
      <c r="C27" s="63">
        <v>0</v>
      </c>
      <c r="D27" s="66"/>
      <c r="E27" s="66">
        <f t="shared" si="0"/>
        <v>0</v>
      </c>
    </row>
    <row r="28" spans="1:5" x14ac:dyDescent="0.3">
      <c r="A28" s="62" t="s">
        <v>21</v>
      </c>
      <c r="B28" s="62" t="s">
        <v>563</v>
      </c>
      <c r="C28" s="63">
        <v>0</v>
      </c>
      <c r="D28" s="66"/>
      <c r="E28" s="66">
        <f t="shared" si="0"/>
        <v>0</v>
      </c>
    </row>
    <row r="29" spans="1:5" x14ac:dyDescent="0.3">
      <c r="A29" s="62" t="s">
        <v>22</v>
      </c>
      <c r="B29" s="62" t="s">
        <v>563</v>
      </c>
      <c r="C29" s="63"/>
      <c r="D29" s="66"/>
      <c r="E29" s="66">
        <f t="shared" si="0"/>
        <v>0</v>
      </c>
    </row>
    <row r="30" spans="1:5" x14ac:dyDescent="0.3">
      <c r="A30" s="62" t="s">
        <v>23</v>
      </c>
      <c r="B30" s="62" t="s">
        <v>563</v>
      </c>
      <c r="C30" s="63">
        <v>0</v>
      </c>
      <c r="D30" s="66"/>
      <c r="E30" s="66">
        <f t="shared" si="0"/>
        <v>0</v>
      </c>
    </row>
    <row r="31" spans="1:5" x14ac:dyDescent="0.3">
      <c r="A31" s="62" t="s">
        <v>24</v>
      </c>
      <c r="B31" s="62" t="s">
        <v>563</v>
      </c>
      <c r="C31" s="63"/>
      <c r="D31" s="66"/>
      <c r="E31" s="66">
        <f t="shared" si="0"/>
        <v>0</v>
      </c>
    </row>
    <row r="32" spans="1:5" x14ac:dyDescent="0.3">
      <c r="A32" s="62" t="s">
        <v>24</v>
      </c>
      <c r="B32" s="62" t="s">
        <v>566</v>
      </c>
      <c r="C32" s="63">
        <v>8</v>
      </c>
      <c r="D32" s="66">
        <v>34000</v>
      </c>
      <c r="E32" s="66">
        <f t="shared" si="0"/>
        <v>272000</v>
      </c>
    </row>
    <row r="33" spans="1:5" x14ac:dyDescent="0.3">
      <c r="A33" s="62" t="s">
        <v>25</v>
      </c>
      <c r="B33" s="62" t="s">
        <v>563</v>
      </c>
      <c r="C33" s="63">
        <v>0</v>
      </c>
      <c r="D33" s="66"/>
      <c r="E33" s="66">
        <f t="shared" si="0"/>
        <v>0</v>
      </c>
    </row>
    <row r="34" spans="1:5" x14ac:dyDescent="0.3">
      <c r="A34" s="62" t="s">
        <v>25</v>
      </c>
      <c r="B34" s="62" t="s">
        <v>566</v>
      </c>
      <c r="C34" s="63">
        <v>0</v>
      </c>
      <c r="D34" s="66"/>
      <c r="E34" s="66">
        <f t="shared" si="0"/>
        <v>0</v>
      </c>
    </row>
    <row r="35" spans="1:5" x14ac:dyDescent="0.3">
      <c r="A35" s="62" t="s">
        <v>26</v>
      </c>
      <c r="B35" s="62" t="s">
        <v>563</v>
      </c>
      <c r="C35" s="63">
        <v>0</v>
      </c>
      <c r="D35" s="66"/>
      <c r="E35" s="66">
        <f t="shared" si="0"/>
        <v>0</v>
      </c>
    </row>
    <row r="36" spans="1:5" x14ac:dyDescent="0.3">
      <c r="A36" s="62" t="s">
        <v>26</v>
      </c>
      <c r="B36" s="62" t="s">
        <v>566</v>
      </c>
      <c r="C36" s="63">
        <v>0</v>
      </c>
      <c r="D36" s="66"/>
      <c r="E36" s="66">
        <f t="shared" si="0"/>
        <v>0</v>
      </c>
    </row>
    <row r="37" spans="1:5" x14ac:dyDescent="0.3">
      <c r="A37" s="62" t="s">
        <v>26</v>
      </c>
      <c r="B37" s="62" t="s">
        <v>567</v>
      </c>
      <c r="C37" s="63">
        <v>0</v>
      </c>
      <c r="D37" s="68"/>
      <c r="E37" s="66">
        <f t="shared" si="0"/>
        <v>0</v>
      </c>
    </row>
    <row r="38" spans="1:5" x14ac:dyDescent="0.3">
      <c r="A38" s="62" t="s">
        <v>27</v>
      </c>
      <c r="B38" s="62" t="s">
        <v>563</v>
      </c>
      <c r="C38" s="63">
        <v>0</v>
      </c>
      <c r="D38" s="68"/>
      <c r="E38" s="66">
        <f t="shared" si="0"/>
        <v>0</v>
      </c>
    </row>
    <row r="39" spans="1:5" x14ac:dyDescent="0.3">
      <c r="A39" s="62" t="s">
        <v>28</v>
      </c>
      <c r="B39" s="62" t="s">
        <v>568</v>
      </c>
      <c r="C39" s="63"/>
      <c r="D39" s="68"/>
      <c r="E39" s="66">
        <f t="shared" si="0"/>
        <v>0</v>
      </c>
    </row>
    <row r="40" spans="1:5" x14ac:dyDescent="0.3">
      <c r="A40" s="62" t="s">
        <v>28</v>
      </c>
      <c r="B40" s="62" t="s">
        <v>563</v>
      </c>
      <c r="C40" s="63">
        <v>220</v>
      </c>
      <c r="D40" s="68">
        <v>18000</v>
      </c>
      <c r="E40" s="66">
        <f t="shared" si="0"/>
        <v>3960000</v>
      </c>
    </row>
    <row r="41" spans="1:5" x14ac:dyDescent="0.3">
      <c r="A41" s="62" t="s">
        <v>29</v>
      </c>
      <c r="B41" s="62" t="s">
        <v>568</v>
      </c>
      <c r="C41" s="63"/>
      <c r="D41" s="68"/>
      <c r="E41" s="66">
        <f t="shared" si="0"/>
        <v>0</v>
      </c>
    </row>
    <row r="42" spans="1:5" x14ac:dyDescent="0.3">
      <c r="A42" s="62" t="s">
        <v>29</v>
      </c>
      <c r="B42" s="62" t="s">
        <v>563</v>
      </c>
      <c r="C42" s="63">
        <v>45</v>
      </c>
      <c r="D42" s="68">
        <v>38000</v>
      </c>
      <c r="E42" s="66">
        <f t="shared" si="0"/>
        <v>1710000</v>
      </c>
    </row>
    <row r="43" spans="1:5" x14ac:dyDescent="0.3">
      <c r="A43" s="62" t="s">
        <v>30</v>
      </c>
      <c r="B43" s="62" t="s">
        <v>566</v>
      </c>
      <c r="C43" s="63">
        <v>0</v>
      </c>
      <c r="D43" s="68"/>
      <c r="E43" s="66">
        <f t="shared" si="0"/>
        <v>0</v>
      </c>
    </row>
    <row r="44" spans="1:5" x14ac:dyDescent="0.3">
      <c r="A44" s="62" t="s">
        <v>31</v>
      </c>
      <c r="B44" s="62" t="s">
        <v>563</v>
      </c>
      <c r="C44" s="63">
        <v>0</v>
      </c>
      <c r="D44" s="68"/>
      <c r="E44" s="66">
        <f t="shared" si="0"/>
        <v>0</v>
      </c>
    </row>
    <row r="45" spans="1:5" x14ac:dyDescent="0.3">
      <c r="A45" s="62" t="s">
        <v>32</v>
      </c>
      <c r="B45" s="62" t="s">
        <v>566</v>
      </c>
      <c r="C45" s="63">
        <v>0</v>
      </c>
      <c r="D45" s="68"/>
      <c r="E45" s="66">
        <f t="shared" si="0"/>
        <v>0</v>
      </c>
    </row>
    <row r="46" spans="1:5" x14ac:dyDescent="0.3">
      <c r="A46" s="62" t="s">
        <v>33</v>
      </c>
      <c r="B46" s="62" t="s">
        <v>566</v>
      </c>
      <c r="C46" s="63">
        <v>0</v>
      </c>
      <c r="D46" s="68"/>
      <c r="E46" s="66">
        <f t="shared" si="0"/>
        <v>0</v>
      </c>
    </row>
    <row r="47" spans="1:5" x14ac:dyDescent="0.3">
      <c r="A47" s="62" t="s">
        <v>34</v>
      </c>
      <c r="B47" s="62" t="s">
        <v>566</v>
      </c>
      <c r="C47" s="63">
        <v>0</v>
      </c>
      <c r="D47" s="68"/>
      <c r="E47" s="66">
        <f t="shared" si="0"/>
        <v>0</v>
      </c>
    </row>
    <row r="48" spans="1:5" x14ac:dyDescent="0.3">
      <c r="A48" s="62" t="s">
        <v>35</v>
      </c>
      <c r="B48" s="62" t="s">
        <v>569</v>
      </c>
      <c r="C48" s="63">
        <v>0</v>
      </c>
      <c r="D48" s="68"/>
      <c r="E48" s="66">
        <f t="shared" si="0"/>
        <v>0</v>
      </c>
    </row>
    <row r="49" spans="1:5" x14ac:dyDescent="0.3">
      <c r="A49" s="62" t="s">
        <v>36</v>
      </c>
      <c r="B49" s="62" t="s">
        <v>571</v>
      </c>
      <c r="C49" s="63">
        <v>0</v>
      </c>
      <c r="D49" s="68"/>
      <c r="E49" s="66">
        <f t="shared" si="0"/>
        <v>0</v>
      </c>
    </row>
    <row r="50" spans="1:5" x14ac:dyDescent="0.3">
      <c r="A50" s="62" t="s">
        <v>37</v>
      </c>
      <c r="B50" s="62" t="s">
        <v>563</v>
      </c>
      <c r="C50" s="63">
        <v>0</v>
      </c>
      <c r="D50" s="68"/>
      <c r="E50" s="66">
        <f t="shared" si="0"/>
        <v>0</v>
      </c>
    </row>
    <row r="51" spans="1:5" x14ac:dyDescent="0.3">
      <c r="A51" s="62" t="s">
        <v>38</v>
      </c>
      <c r="B51" s="62" t="s">
        <v>563</v>
      </c>
      <c r="C51" s="63">
        <v>0</v>
      </c>
      <c r="D51" s="68"/>
      <c r="E51" s="66">
        <f t="shared" si="0"/>
        <v>0</v>
      </c>
    </row>
    <row r="52" spans="1:5" x14ac:dyDescent="0.3">
      <c r="A52" s="62" t="s">
        <v>39</v>
      </c>
      <c r="B52" s="62" t="s">
        <v>568</v>
      </c>
      <c r="C52" s="63">
        <v>0</v>
      </c>
      <c r="D52" s="68"/>
      <c r="E52" s="66">
        <f t="shared" si="0"/>
        <v>0</v>
      </c>
    </row>
    <row r="53" spans="1:5" x14ac:dyDescent="0.3">
      <c r="A53" s="62" t="s">
        <v>40</v>
      </c>
      <c r="B53" s="62" t="s">
        <v>563</v>
      </c>
      <c r="C53" s="63">
        <v>0</v>
      </c>
      <c r="D53" s="68"/>
      <c r="E53" s="66">
        <f t="shared" si="0"/>
        <v>0</v>
      </c>
    </row>
    <row r="54" spans="1:5" x14ac:dyDescent="0.3">
      <c r="A54" s="62" t="s">
        <v>41</v>
      </c>
      <c r="B54" s="62" t="s">
        <v>568</v>
      </c>
      <c r="C54" s="63">
        <v>0</v>
      </c>
      <c r="D54" s="68"/>
      <c r="E54" s="66">
        <f t="shared" si="0"/>
        <v>0</v>
      </c>
    </row>
    <row r="55" spans="1:5" x14ac:dyDescent="0.3">
      <c r="A55" s="62" t="s">
        <v>43</v>
      </c>
      <c r="B55" s="62" t="s">
        <v>563</v>
      </c>
      <c r="C55" s="63">
        <v>0</v>
      </c>
      <c r="D55" s="68"/>
      <c r="E55" s="66">
        <f t="shared" si="0"/>
        <v>0</v>
      </c>
    </row>
    <row r="56" spans="1:5" x14ac:dyDescent="0.3">
      <c r="A56" s="62" t="s">
        <v>43</v>
      </c>
      <c r="B56" s="62" t="s">
        <v>566</v>
      </c>
      <c r="C56" s="63">
        <v>0</v>
      </c>
      <c r="D56" s="68"/>
      <c r="E56" s="66">
        <f t="shared" si="0"/>
        <v>0</v>
      </c>
    </row>
    <row r="57" spans="1:5" x14ac:dyDescent="0.3">
      <c r="A57" s="62" t="s">
        <v>44</v>
      </c>
      <c r="B57" s="62" t="s">
        <v>566</v>
      </c>
      <c r="C57" s="63">
        <v>0</v>
      </c>
      <c r="D57" s="68"/>
      <c r="E57" s="66">
        <f t="shared" si="0"/>
        <v>0</v>
      </c>
    </row>
    <row r="58" spans="1:5" x14ac:dyDescent="0.3">
      <c r="A58" s="62" t="s">
        <v>45</v>
      </c>
      <c r="B58" s="62" t="s">
        <v>563</v>
      </c>
      <c r="C58" s="63">
        <v>2</v>
      </c>
      <c r="D58" s="68">
        <v>30000</v>
      </c>
      <c r="E58" s="66">
        <f t="shared" si="0"/>
        <v>60000</v>
      </c>
    </row>
    <row r="59" spans="1:5" x14ac:dyDescent="0.3">
      <c r="A59" s="62" t="s">
        <v>46</v>
      </c>
      <c r="B59" s="62" t="s">
        <v>568</v>
      </c>
      <c r="C59" s="63">
        <v>0</v>
      </c>
      <c r="D59" s="68"/>
      <c r="E59" s="66">
        <f t="shared" si="0"/>
        <v>0</v>
      </c>
    </row>
    <row r="60" spans="1:5" x14ac:dyDescent="0.3">
      <c r="A60" s="62" t="s">
        <v>47</v>
      </c>
      <c r="B60" s="62" t="s">
        <v>563</v>
      </c>
      <c r="C60" s="63">
        <v>0</v>
      </c>
      <c r="D60" s="68"/>
      <c r="E60" s="66">
        <f t="shared" si="0"/>
        <v>0</v>
      </c>
    </row>
    <row r="61" spans="1:5" x14ac:dyDescent="0.3">
      <c r="A61" s="62" t="s">
        <v>48</v>
      </c>
      <c r="B61" s="62" t="s">
        <v>570</v>
      </c>
      <c r="C61" s="63">
        <v>0</v>
      </c>
      <c r="D61" s="68"/>
      <c r="E61" s="66">
        <f t="shared" si="0"/>
        <v>0</v>
      </c>
    </row>
    <row r="62" spans="1:5" x14ac:dyDescent="0.3">
      <c r="A62" s="62" t="s">
        <v>49</v>
      </c>
      <c r="B62" s="62" t="s">
        <v>563</v>
      </c>
      <c r="C62" s="63">
        <v>0</v>
      </c>
      <c r="D62" s="68"/>
      <c r="E62" s="66">
        <f t="shared" si="0"/>
        <v>0</v>
      </c>
    </row>
    <row r="63" spans="1:5" x14ac:dyDescent="0.3">
      <c r="A63" s="62" t="s">
        <v>50</v>
      </c>
      <c r="B63" s="62" t="s">
        <v>563</v>
      </c>
      <c r="C63" s="63">
        <v>0</v>
      </c>
      <c r="D63" s="68"/>
      <c r="E63" s="66">
        <f t="shared" si="0"/>
        <v>0</v>
      </c>
    </row>
    <row r="64" spans="1:5" x14ac:dyDescent="0.3">
      <c r="A64" s="62" t="s">
        <v>51</v>
      </c>
      <c r="B64" s="62" t="s">
        <v>563</v>
      </c>
      <c r="C64" s="63">
        <v>0</v>
      </c>
      <c r="D64" s="68"/>
      <c r="E64" s="66">
        <f t="shared" si="0"/>
        <v>0</v>
      </c>
    </row>
    <row r="65" spans="1:5" x14ac:dyDescent="0.3">
      <c r="A65" s="62" t="s">
        <v>51</v>
      </c>
      <c r="B65" s="62" t="s">
        <v>570</v>
      </c>
      <c r="C65" s="63">
        <v>0</v>
      </c>
      <c r="D65" s="68"/>
      <c r="E65" s="66">
        <f t="shared" si="0"/>
        <v>0</v>
      </c>
    </row>
    <row r="66" spans="1:5" x14ac:dyDescent="0.3">
      <c r="A66" s="62" t="s">
        <v>52</v>
      </c>
      <c r="B66" s="62" t="s">
        <v>563</v>
      </c>
      <c r="C66" s="63">
        <v>0</v>
      </c>
      <c r="D66" s="68"/>
      <c r="E66" s="66">
        <f t="shared" si="0"/>
        <v>0</v>
      </c>
    </row>
    <row r="67" spans="1:5" x14ac:dyDescent="0.3">
      <c r="A67" s="62" t="s">
        <v>52</v>
      </c>
      <c r="B67" s="62" t="s">
        <v>570</v>
      </c>
      <c r="C67" s="63">
        <v>0</v>
      </c>
      <c r="D67" s="68"/>
      <c r="E67" s="66">
        <f t="shared" si="0"/>
        <v>0</v>
      </c>
    </row>
    <row r="68" spans="1:5" x14ac:dyDescent="0.3">
      <c r="A68" s="62" t="s">
        <v>53</v>
      </c>
      <c r="B68" s="62" t="s">
        <v>563</v>
      </c>
      <c r="C68" s="63">
        <v>0</v>
      </c>
      <c r="D68" s="68"/>
      <c r="E68" s="66">
        <f t="shared" si="0"/>
        <v>0</v>
      </c>
    </row>
    <row r="69" spans="1:5" x14ac:dyDescent="0.3">
      <c r="A69" s="62" t="s">
        <v>53</v>
      </c>
      <c r="B69" s="62" t="s">
        <v>564</v>
      </c>
      <c r="C69" s="63">
        <v>0</v>
      </c>
      <c r="D69" s="68"/>
      <c r="E69" s="66">
        <f t="shared" ref="E69:E132" si="1">C69*D69</f>
        <v>0</v>
      </c>
    </row>
    <row r="70" spans="1:5" x14ac:dyDescent="0.3">
      <c r="A70" s="62" t="s">
        <v>54</v>
      </c>
      <c r="B70" s="62" t="s">
        <v>564</v>
      </c>
      <c r="C70" s="63">
        <v>0</v>
      </c>
      <c r="D70" s="68"/>
      <c r="E70" s="66">
        <f t="shared" si="1"/>
        <v>0</v>
      </c>
    </row>
    <row r="71" spans="1:5" x14ac:dyDescent="0.3">
      <c r="A71" s="62" t="s">
        <v>55</v>
      </c>
      <c r="B71" s="62" t="s">
        <v>564</v>
      </c>
      <c r="C71" s="63">
        <v>0</v>
      </c>
      <c r="D71" s="68"/>
      <c r="E71" s="66">
        <f t="shared" si="1"/>
        <v>0</v>
      </c>
    </row>
    <row r="72" spans="1:5" x14ac:dyDescent="0.3">
      <c r="A72" s="62" t="s">
        <v>56</v>
      </c>
      <c r="B72" s="62" t="s">
        <v>565</v>
      </c>
      <c r="C72" s="63">
        <v>0</v>
      </c>
      <c r="D72" s="68"/>
      <c r="E72" s="66">
        <f t="shared" si="1"/>
        <v>0</v>
      </c>
    </row>
    <row r="73" spans="1:5" x14ac:dyDescent="0.3">
      <c r="A73" s="62" t="s">
        <v>57</v>
      </c>
      <c r="B73" s="62" t="s">
        <v>565</v>
      </c>
      <c r="C73" s="63">
        <v>0</v>
      </c>
      <c r="D73" s="68"/>
      <c r="E73" s="66">
        <f t="shared" si="1"/>
        <v>0</v>
      </c>
    </row>
    <row r="74" spans="1:5" x14ac:dyDescent="0.3">
      <c r="A74" s="62" t="s">
        <v>58</v>
      </c>
      <c r="B74" s="62" t="s">
        <v>563</v>
      </c>
      <c r="C74" s="63">
        <v>0</v>
      </c>
      <c r="D74" s="68"/>
      <c r="E74" s="66">
        <f t="shared" si="1"/>
        <v>0</v>
      </c>
    </row>
    <row r="75" spans="1:5" x14ac:dyDescent="0.3">
      <c r="A75" s="62" t="s">
        <v>59</v>
      </c>
      <c r="B75" s="62" t="s">
        <v>565</v>
      </c>
      <c r="C75" s="63">
        <v>0</v>
      </c>
      <c r="D75" s="68"/>
      <c r="E75" s="66">
        <f t="shared" si="1"/>
        <v>0</v>
      </c>
    </row>
    <row r="76" spans="1:5" x14ac:dyDescent="0.3">
      <c r="A76" s="62" t="s">
        <v>60</v>
      </c>
      <c r="B76" s="62" t="s">
        <v>563</v>
      </c>
      <c r="C76" s="63">
        <v>0</v>
      </c>
      <c r="D76" s="68"/>
      <c r="E76" s="66">
        <f t="shared" si="1"/>
        <v>0</v>
      </c>
    </row>
    <row r="77" spans="1:5" x14ac:dyDescent="0.3">
      <c r="A77" s="62" t="s">
        <v>60</v>
      </c>
      <c r="B77" s="62" t="s">
        <v>566</v>
      </c>
      <c r="C77" s="63">
        <v>0</v>
      </c>
      <c r="D77" s="68"/>
      <c r="E77" s="66">
        <f t="shared" si="1"/>
        <v>0</v>
      </c>
    </row>
    <row r="78" spans="1:5" x14ac:dyDescent="0.3">
      <c r="A78" s="62" t="s">
        <v>60</v>
      </c>
      <c r="B78" s="62" t="s">
        <v>564</v>
      </c>
      <c r="C78" s="63">
        <v>0</v>
      </c>
      <c r="D78" s="68"/>
      <c r="E78" s="66">
        <f t="shared" si="1"/>
        <v>0</v>
      </c>
    </row>
    <row r="79" spans="1:5" x14ac:dyDescent="0.3">
      <c r="A79" s="62" t="s">
        <v>61</v>
      </c>
      <c r="B79" s="62" t="s">
        <v>566</v>
      </c>
      <c r="C79" s="63">
        <v>0</v>
      </c>
      <c r="D79" s="68"/>
      <c r="E79" s="66">
        <f t="shared" si="1"/>
        <v>0</v>
      </c>
    </row>
    <row r="80" spans="1:5" x14ac:dyDescent="0.3">
      <c r="A80" s="62" t="s">
        <v>62</v>
      </c>
      <c r="B80" s="62" t="s">
        <v>563</v>
      </c>
      <c r="C80" s="63">
        <v>0</v>
      </c>
      <c r="D80" s="68"/>
      <c r="E80" s="66">
        <f t="shared" si="1"/>
        <v>0</v>
      </c>
    </row>
    <row r="81" spans="1:5" x14ac:dyDescent="0.3">
      <c r="A81" s="62" t="s">
        <v>63</v>
      </c>
      <c r="B81" s="62" t="s">
        <v>564</v>
      </c>
      <c r="C81" s="63">
        <v>0</v>
      </c>
      <c r="D81" s="68"/>
      <c r="E81" s="66">
        <f t="shared" si="1"/>
        <v>0</v>
      </c>
    </row>
    <row r="82" spans="1:5" x14ac:dyDescent="0.3">
      <c r="A82" s="62" t="s">
        <v>65</v>
      </c>
      <c r="B82" s="62" t="s">
        <v>563</v>
      </c>
      <c r="C82" s="63">
        <v>0</v>
      </c>
      <c r="D82" s="68"/>
      <c r="E82" s="66">
        <f t="shared" si="1"/>
        <v>0</v>
      </c>
    </row>
    <row r="83" spans="1:5" x14ac:dyDescent="0.3">
      <c r="A83" s="62" t="s">
        <v>66</v>
      </c>
      <c r="B83" s="62" t="s">
        <v>566</v>
      </c>
      <c r="C83" s="63">
        <v>0</v>
      </c>
      <c r="D83" s="68"/>
      <c r="E83" s="66">
        <f t="shared" si="1"/>
        <v>0</v>
      </c>
    </row>
    <row r="84" spans="1:5" x14ac:dyDescent="0.3">
      <c r="A84" s="62" t="s">
        <v>67</v>
      </c>
      <c r="B84" s="62" t="s">
        <v>566</v>
      </c>
      <c r="C84" s="63">
        <v>0</v>
      </c>
      <c r="D84" s="68"/>
      <c r="E84" s="66">
        <f t="shared" si="1"/>
        <v>0</v>
      </c>
    </row>
    <row r="85" spans="1:5" x14ac:dyDescent="0.3">
      <c r="A85" s="62" t="s">
        <v>68</v>
      </c>
      <c r="B85" s="62" t="s">
        <v>566</v>
      </c>
      <c r="C85" s="63">
        <v>0</v>
      </c>
      <c r="D85" s="68"/>
      <c r="E85" s="66">
        <f t="shared" si="1"/>
        <v>0</v>
      </c>
    </row>
    <row r="86" spans="1:5" x14ac:dyDescent="0.3">
      <c r="A86" s="62" t="s">
        <v>69</v>
      </c>
      <c r="B86" s="62" t="s">
        <v>563</v>
      </c>
      <c r="C86" s="63">
        <v>0</v>
      </c>
      <c r="D86" s="68"/>
      <c r="E86" s="66">
        <f t="shared" si="1"/>
        <v>0</v>
      </c>
    </row>
    <row r="87" spans="1:5" x14ac:dyDescent="0.3">
      <c r="A87" s="62" t="s">
        <v>70</v>
      </c>
      <c r="B87" s="62" t="s">
        <v>563</v>
      </c>
      <c r="C87" s="63">
        <v>0</v>
      </c>
      <c r="D87" s="68"/>
      <c r="E87" s="66">
        <f t="shared" si="1"/>
        <v>0</v>
      </c>
    </row>
    <row r="88" spans="1:5" x14ac:dyDescent="0.3">
      <c r="A88" s="62" t="s">
        <v>71</v>
      </c>
      <c r="B88" s="62" t="s">
        <v>563</v>
      </c>
      <c r="C88" s="63">
        <v>0</v>
      </c>
      <c r="D88" s="68"/>
      <c r="E88" s="66">
        <f t="shared" si="1"/>
        <v>0</v>
      </c>
    </row>
    <row r="89" spans="1:5" x14ac:dyDescent="0.3">
      <c r="A89" s="62" t="s">
        <v>72</v>
      </c>
      <c r="B89" s="62" t="s">
        <v>564</v>
      </c>
      <c r="C89" s="63">
        <v>0</v>
      </c>
      <c r="D89" s="68"/>
      <c r="E89" s="66">
        <f t="shared" si="1"/>
        <v>0</v>
      </c>
    </row>
    <row r="90" spans="1:5" x14ac:dyDescent="0.3">
      <c r="A90" s="62" t="s">
        <v>73</v>
      </c>
      <c r="B90" s="62" t="s">
        <v>563</v>
      </c>
      <c r="C90" s="63">
        <v>0</v>
      </c>
      <c r="D90" s="68"/>
      <c r="E90" s="66">
        <f t="shared" si="1"/>
        <v>0</v>
      </c>
    </row>
    <row r="91" spans="1:5" x14ac:dyDescent="0.3">
      <c r="A91" s="62" t="s">
        <v>73</v>
      </c>
      <c r="B91" s="62" t="s">
        <v>566</v>
      </c>
      <c r="C91" s="63">
        <v>0</v>
      </c>
      <c r="D91" s="68"/>
      <c r="E91" s="66">
        <f t="shared" si="1"/>
        <v>0</v>
      </c>
    </row>
    <row r="92" spans="1:5" x14ac:dyDescent="0.3">
      <c r="A92" s="62" t="s">
        <v>74</v>
      </c>
      <c r="B92" s="62" t="s">
        <v>563</v>
      </c>
      <c r="C92" s="63">
        <v>7</v>
      </c>
      <c r="D92" s="68">
        <v>7000</v>
      </c>
      <c r="E92" s="66">
        <f t="shared" si="1"/>
        <v>49000</v>
      </c>
    </row>
    <row r="93" spans="1:5" x14ac:dyDescent="0.3">
      <c r="A93" s="62" t="s">
        <v>75</v>
      </c>
      <c r="B93" s="62" t="s">
        <v>565</v>
      </c>
      <c r="C93" s="63">
        <v>0</v>
      </c>
      <c r="D93" s="68"/>
      <c r="E93" s="66">
        <f t="shared" si="1"/>
        <v>0</v>
      </c>
    </row>
    <row r="94" spans="1:5" x14ac:dyDescent="0.3">
      <c r="A94" s="62" t="s">
        <v>76</v>
      </c>
      <c r="B94" s="62" t="s">
        <v>563</v>
      </c>
      <c r="C94" s="63">
        <v>230</v>
      </c>
      <c r="D94" s="68">
        <v>22000</v>
      </c>
      <c r="E94" s="66">
        <f t="shared" si="1"/>
        <v>5060000</v>
      </c>
    </row>
    <row r="95" spans="1:5" x14ac:dyDescent="0.3">
      <c r="A95" s="62" t="s">
        <v>76</v>
      </c>
      <c r="B95" s="62" t="s">
        <v>570</v>
      </c>
      <c r="C95" s="63"/>
      <c r="D95" s="68"/>
      <c r="E95" s="66">
        <f t="shared" si="1"/>
        <v>0</v>
      </c>
    </row>
    <row r="96" spans="1:5" x14ac:dyDescent="0.3">
      <c r="A96" s="62" t="s">
        <v>77</v>
      </c>
      <c r="B96" s="62" t="s">
        <v>563</v>
      </c>
      <c r="C96" s="63">
        <v>0</v>
      </c>
      <c r="D96" s="68"/>
      <c r="E96" s="66">
        <f t="shared" si="1"/>
        <v>0</v>
      </c>
    </row>
    <row r="97" spans="1:5" x14ac:dyDescent="0.3">
      <c r="A97" s="62" t="s">
        <v>78</v>
      </c>
      <c r="B97" s="62" t="s">
        <v>563</v>
      </c>
      <c r="C97" s="63">
        <v>5</v>
      </c>
      <c r="D97" s="68">
        <v>14000</v>
      </c>
      <c r="E97" s="66">
        <f t="shared" si="1"/>
        <v>70000</v>
      </c>
    </row>
    <row r="98" spans="1:5" x14ac:dyDescent="0.3">
      <c r="A98" s="62" t="s">
        <v>78</v>
      </c>
      <c r="B98" s="62" t="s">
        <v>570</v>
      </c>
      <c r="C98" s="63"/>
      <c r="D98" s="68"/>
      <c r="E98" s="66">
        <f t="shared" si="1"/>
        <v>0</v>
      </c>
    </row>
    <row r="99" spans="1:5" x14ac:dyDescent="0.3">
      <c r="A99" s="62" t="s">
        <v>79</v>
      </c>
      <c r="B99" s="62" t="s">
        <v>563</v>
      </c>
      <c r="C99" s="63">
        <v>130</v>
      </c>
      <c r="D99" s="68">
        <v>22000</v>
      </c>
      <c r="E99" s="66">
        <f t="shared" si="1"/>
        <v>2860000</v>
      </c>
    </row>
    <row r="100" spans="1:5" x14ac:dyDescent="0.3">
      <c r="A100" s="62" t="s">
        <v>79</v>
      </c>
      <c r="B100" s="62" t="s">
        <v>570</v>
      </c>
      <c r="C100" s="63"/>
      <c r="D100" s="68"/>
      <c r="E100" s="66">
        <f t="shared" si="1"/>
        <v>0</v>
      </c>
    </row>
    <row r="101" spans="1:5" x14ac:dyDescent="0.3">
      <c r="A101" s="62" t="s">
        <v>80</v>
      </c>
      <c r="B101" s="62" t="s">
        <v>566</v>
      </c>
      <c r="C101" s="63">
        <v>6</v>
      </c>
      <c r="D101" s="68">
        <v>16500</v>
      </c>
      <c r="E101" s="66">
        <f t="shared" si="1"/>
        <v>99000</v>
      </c>
    </row>
    <row r="102" spans="1:5" x14ac:dyDescent="0.3">
      <c r="A102" s="62" t="s">
        <v>81</v>
      </c>
      <c r="B102" s="62" t="s">
        <v>563</v>
      </c>
      <c r="C102" s="63">
        <v>0</v>
      </c>
      <c r="D102" s="68"/>
      <c r="E102" s="66">
        <f t="shared" si="1"/>
        <v>0</v>
      </c>
    </row>
    <row r="103" spans="1:5" x14ac:dyDescent="0.3">
      <c r="A103" s="62" t="s">
        <v>82</v>
      </c>
      <c r="B103" s="62" t="s">
        <v>563</v>
      </c>
      <c r="C103" s="63">
        <v>60</v>
      </c>
      <c r="D103" s="68">
        <v>14000</v>
      </c>
      <c r="E103" s="66">
        <f t="shared" si="1"/>
        <v>840000</v>
      </c>
    </row>
    <row r="104" spans="1:5" x14ac:dyDescent="0.3">
      <c r="A104" s="62" t="s">
        <v>83</v>
      </c>
      <c r="B104" s="62" t="s">
        <v>563</v>
      </c>
      <c r="C104" s="63">
        <v>0</v>
      </c>
      <c r="D104" s="68"/>
      <c r="E104" s="66">
        <f t="shared" si="1"/>
        <v>0</v>
      </c>
    </row>
    <row r="105" spans="1:5" x14ac:dyDescent="0.3">
      <c r="A105" s="62" t="s">
        <v>84</v>
      </c>
      <c r="B105" s="62" t="s">
        <v>563</v>
      </c>
      <c r="C105" s="63">
        <v>0</v>
      </c>
      <c r="D105" s="68"/>
      <c r="E105" s="66">
        <f t="shared" si="1"/>
        <v>0</v>
      </c>
    </row>
    <row r="106" spans="1:5" x14ac:dyDescent="0.3">
      <c r="A106" s="62" t="s">
        <v>85</v>
      </c>
      <c r="B106" s="62" t="s">
        <v>563</v>
      </c>
      <c r="C106" s="63">
        <v>0</v>
      </c>
      <c r="D106" s="68"/>
      <c r="E106" s="66">
        <f t="shared" si="1"/>
        <v>0</v>
      </c>
    </row>
    <row r="107" spans="1:5" x14ac:dyDescent="0.3">
      <c r="A107" s="62" t="s">
        <v>86</v>
      </c>
      <c r="B107" s="62" t="s">
        <v>565</v>
      </c>
      <c r="C107" s="63">
        <v>0</v>
      </c>
      <c r="D107" s="68"/>
      <c r="E107" s="66">
        <f t="shared" si="1"/>
        <v>0</v>
      </c>
    </row>
    <row r="108" spans="1:5" x14ac:dyDescent="0.3">
      <c r="A108" s="62" t="s">
        <v>87</v>
      </c>
      <c r="B108" s="62" t="s">
        <v>563</v>
      </c>
      <c r="C108" s="63">
        <v>0</v>
      </c>
      <c r="D108" s="68"/>
      <c r="E108" s="66">
        <f t="shared" si="1"/>
        <v>0</v>
      </c>
    </row>
    <row r="109" spans="1:5" x14ac:dyDescent="0.3">
      <c r="A109" s="62" t="s">
        <v>88</v>
      </c>
      <c r="B109" s="62" t="s">
        <v>565</v>
      </c>
      <c r="C109" s="63">
        <v>0</v>
      </c>
      <c r="D109" s="68"/>
      <c r="E109" s="66">
        <f t="shared" si="1"/>
        <v>0</v>
      </c>
    </row>
    <row r="110" spans="1:5" x14ac:dyDescent="0.3">
      <c r="A110" s="62" t="s">
        <v>92</v>
      </c>
      <c r="B110" s="62" t="s">
        <v>563</v>
      </c>
      <c r="C110" s="63">
        <v>0</v>
      </c>
      <c r="D110" s="68"/>
      <c r="E110" s="66">
        <f t="shared" si="1"/>
        <v>0</v>
      </c>
    </row>
    <row r="111" spans="1:5" x14ac:dyDescent="0.3">
      <c r="A111" s="62" t="s">
        <v>93</v>
      </c>
      <c r="B111" s="62" t="s">
        <v>563</v>
      </c>
      <c r="C111" s="63">
        <v>0</v>
      </c>
      <c r="D111" s="68"/>
      <c r="E111" s="66">
        <f t="shared" si="1"/>
        <v>0</v>
      </c>
    </row>
    <row r="112" spans="1:5" x14ac:dyDescent="0.3">
      <c r="A112" s="62" t="s">
        <v>97</v>
      </c>
      <c r="B112" s="62" t="s">
        <v>564</v>
      </c>
      <c r="C112" s="63">
        <v>0</v>
      </c>
      <c r="D112" s="68"/>
      <c r="E112" s="66">
        <f t="shared" si="1"/>
        <v>0</v>
      </c>
    </row>
    <row r="113" spans="1:5" x14ac:dyDescent="0.3">
      <c r="A113" s="62" t="s">
        <v>121</v>
      </c>
      <c r="B113" s="62" t="s">
        <v>563</v>
      </c>
      <c r="C113" s="63">
        <v>0</v>
      </c>
      <c r="D113" s="68"/>
      <c r="E113" s="66">
        <f t="shared" si="1"/>
        <v>0</v>
      </c>
    </row>
    <row r="114" spans="1:5" x14ac:dyDescent="0.3">
      <c r="A114" s="62" t="s">
        <v>101</v>
      </c>
      <c r="B114" s="62" t="s">
        <v>563</v>
      </c>
      <c r="C114" s="63">
        <v>0</v>
      </c>
      <c r="D114" s="68"/>
      <c r="E114" s="66">
        <f t="shared" si="1"/>
        <v>0</v>
      </c>
    </row>
    <row r="115" spans="1:5" x14ac:dyDescent="0.3">
      <c r="A115" s="62" t="s">
        <v>102</v>
      </c>
      <c r="B115" s="62" t="s">
        <v>563</v>
      </c>
      <c r="C115" s="63">
        <v>0</v>
      </c>
      <c r="D115" s="68"/>
      <c r="E115" s="66">
        <f t="shared" si="1"/>
        <v>0</v>
      </c>
    </row>
    <row r="116" spans="1:5" x14ac:dyDescent="0.3">
      <c r="A116" s="62" t="s">
        <v>103</v>
      </c>
      <c r="B116" s="62" t="s">
        <v>563</v>
      </c>
      <c r="C116" s="63">
        <v>0</v>
      </c>
      <c r="D116" s="68"/>
      <c r="E116" s="66">
        <f t="shared" si="1"/>
        <v>0</v>
      </c>
    </row>
    <row r="117" spans="1:5" x14ac:dyDescent="0.3">
      <c r="A117" s="62" t="s">
        <v>573</v>
      </c>
      <c r="B117" s="62" t="s">
        <v>563</v>
      </c>
      <c r="C117" s="63">
        <v>0</v>
      </c>
      <c r="D117" s="68"/>
      <c r="E117" s="66">
        <f t="shared" si="1"/>
        <v>0</v>
      </c>
    </row>
    <row r="118" spans="1:5" x14ac:dyDescent="0.3">
      <c r="A118" s="62" t="s">
        <v>573</v>
      </c>
      <c r="B118" s="62" t="s">
        <v>566</v>
      </c>
      <c r="C118" s="63">
        <v>0</v>
      </c>
      <c r="D118" s="68"/>
      <c r="E118" s="66">
        <f t="shared" si="1"/>
        <v>0</v>
      </c>
    </row>
    <row r="119" spans="1:5" x14ac:dyDescent="0.3">
      <c r="A119" s="62" t="s">
        <v>560</v>
      </c>
      <c r="B119" s="62" t="s">
        <v>563</v>
      </c>
      <c r="C119" s="63">
        <v>0</v>
      </c>
      <c r="D119" s="68"/>
      <c r="E119" s="66">
        <f t="shared" si="1"/>
        <v>0</v>
      </c>
    </row>
    <row r="120" spans="1:5" x14ac:dyDescent="0.3">
      <c r="A120" s="62" t="s">
        <v>560</v>
      </c>
      <c r="B120" s="62" t="s">
        <v>566</v>
      </c>
      <c r="C120" s="63">
        <v>0</v>
      </c>
      <c r="D120" s="68"/>
      <c r="E120" s="66">
        <f t="shared" si="1"/>
        <v>0</v>
      </c>
    </row>
    <row r="121" spans="1:5" x14ac:dyDescent="0.3">
      <c r="A121" s="62" t="s">
        <v>559</v>
      </c>
      <c r="B121" s="62" t="s">
        <v>566</v>
      </c>
      <c r="C121" s="63">
        <v>0</v>
      </c>
      <c r="D121" s="68"/>
      <c r="E121" s="66">
        <f t="shared" si="1"/>
        <v>0</v>
      </c>
    </row>
    <row r="122" spans="1:5" x14ac:dyDescent="0.3">
      <c r="A122" s="62" t="s">
        <v>599</v>
      </c>
      <c r="B122" s="62" t="s">
        <v>566</v>
      </c>
      <c r="C122" s="63">
        <v>0</v>
      </c>
      <c r="D122" s="68"/>
      <c r="E122" s="66">
        <f t="shared" si="1"/>
        <v>0</v>
      </c>
    </row>
    <row r="123" spans="1:5" x14ac:dyDescent="0.3">
      <c r="A123" s="62" t="s">
        <v>600</v>
      </c>
      <c r="B123" s="62" t="s">
        <v>566</v>
      </c>
      <c r="C123" s="63">
        <v>0</v>
      </c>
      <c r="D123" s="68"/>
      <c r="E123" s="66">
        <f t="shared" si="1"/>
        <v>0</v>
      </c>
    </row>
    <row r="124" spans="1:5" x14ac:dyDescent="0.3">
      <c r="A124" s="62" t="s">
        <v>604</v>
      </c>
      <c r="B124" s="62" t="s">
        <v>565</v>
      </c>
      <c r="C124" s="63">
        <v>0</v>
      </c>
      <c r="D124" s="68"/>
      <c r="E124" s="66">
        <f t="shared" si="1"/>
        <v>0</v>
      </c>
    </row>
    <row r="125" spans="1:5" x14ac:dyDescent="0.3">
      <c r="A125" s="62" t="s">
        <v>111</v>
      </c>
      <c r="B125" s="62" t="s">
        <v>563</v>
      </c>
      <c r="C125" s="63">
        <v>0</v>
      </c>
      <c r="D125" s="68"/>
      <c r="E125" s="66">
        <f t="shared" si="1"/>
        <v>0</v>
      </c>
    </row>
    <row r="126" spans="1:5" x14ac:dyDescent="0.3">
      <c r="A126" s="62" t="s">
        <v>526</v>
      </c>
      <c r="B126" s="62" t="s">
        <v>563</v>
      </c>
      <c r="C126" s="63">
        <v>0</v>
      </c>
      <c r="D126" s="68"/>
      <c r="E126" s="66">
        <f t="shared" si="1"/>
        <v>0</v>
      </c>
    </row>
    <row r="127" spans="1:5" x14ac:dyDescent="0.3">
      <c r="A127" s="62" t="s">
        <v>110</v>
      </c>
      <c r="B127" s="62" t="s">
        <v>563</v>
      </c>
      <c r="C127" s="63">
        <v>0</v>
      </c>
      <c r="D127" s="68"/>
      <c r="E127" s="66">
        <f t="shared" si="1"/>
        <v>0</v>
      </c>
    </row>
    <row r="128" spans="1:5" x14ac:dyDescent="0.3">
      <c r="A128" s="62" t="s">
        <v>577</v>
      </c>
      <c r="B128" s="62" t="s">
        <v>566</v>
      </c>
      <c r="C128" s="63">
        <v>20</v>
      </c>
      <c r="D128" s="68">
        <v>20000</v>
      </c>
      <c r="E128" s="66">
        <f t="shared" si="1"/>
        <v>400000</v>
      </c>
    </row>
    <row r="129" spans="1:5" x14ac:dyDescent="0.3">
      <c r="A129" s="62" t="s">
        <v>118</v>
      </c>
      <c r="B129" s="62" t="s">
        <v>571</v>
      </c>
      <c r="C129" s="63">
        <v>0</v>
      </c>
      <c r="D129" s="68"/>
      <c r="E129" s="66">
        <f t="shared" si="1"/>
        <v>0</v>
      </c>
    </row>
    <row r="130" spans="1:5" x14ac:dyDescent="0.3">
      <c r="A130" s="62" t="s">
        <v>116</v>
      </c>
      <c r="B130" s="62" t="s">
        <v>563</v>
      </c>
      <c r="C130" s="63">
        <v>0</v>
      </c>
      <c r="D130" s="68"/>
      <c r="E130" s="66">
        <f t="shared" si="1"/>
        <v>0</v>
      </c>
    </row>
    <row r="131" spans="1:5" x14ac:dyDescent="0.3">
      <c r="A131" s="62" t="s">
        <v>524</v>
      </c>
      <c r="B131" s="62" t="s">
        <v>563</v>
      </c>
      <c r="C131" s="63">
        <v>0</v>
      </c>
      <c r="D131" s="68"/>
      <c r="E131" s="66">
        <f t="shared" si="1"/>
        <v>0</v>
      </c>
    </row>
    <row r="132" spans="1:5" x14ac:dyDescent="0.3">
      <c r="A132" s="62" t="s">
        <v>614</v>
      </c>
      <c r="B132" s="62" t="s">
        <v>563</v>
      </c>
      <c r="C132" s="63">
        <v>0</v>
      </c>
      <c r="D132" s="68"/>
      <c r="E132" s="66">
        <f t="shared" si="1"/>
        <v>0</v>
      </c>
    </row>
    <row r="133" spans="1:5" x14ac:dyDescent="0.3">
      <c r="A133" s="62" t="s">
        <v>109</v>
      </c>
      <c r="B133" s="62" t="s">
        <v>563</v>
      </c>
      <c r="C133" s="63">
        <v>0</v>
      </c>
      <c r="D133" s="68"/>
      <c r="E133" s="66">
        <f t="shared" ref="E133:E197" si="2">C133*D133</f>
        <v>0</v>
      </c>
    </row>
    <row r="134" spans="1:5" x14ac:dyDescent="0.3">
      <c r="A134" s="62" t="s">
        <v>115</v>
      </c>
      <c r="B134" s="62" t="s">
        <v>563</v>
      </c>
      <c r="C134" s="63">
        <v>0</v>
      </c>
      <c r="D134" s="68"/>
      <c r="E134" s="66">
        <f t="shared" si="2"/>
        <v>0</v>
      </c>
    </row>
    <row r="135" spans="1:5" x14ac:dyDescent="0.3">
      <c r="A135" s="62" t="s">
        <v>123</v>
      </c>
      <c r="B135" s="62" t="s">
        <v>563</v>
      </c>
      <c r="C135" s="63">
        <v>0</v>
      </c>
      <c r="D135" s="68"/>
      <c r="E135" s="66">
        <f t="shared" si="2"/>
        <v>0</v>
      </c>
    </row>
    <row r="136" spans="1:5" x14ac:dyDescent="0.3">
      <c r="A136" s="62" t="e">
        <v>#N/A</v>
      </c>
      <c r="B136" s="62">
        <v>0</v>
      </c>
      <c r="C136" s="63">
        <v>0</v>
      </c>
      <c r="D136" s="68"/>
      <c r="E136" s="66">
        <f t="shared" si="2"/>
        <v>0</v>
      </c>
    </row>
    <row r="137" spans="1:5" x14ac:dyDescent="0.3">
      <c r="A137" s="62"/>
      <c r="B137" s="62"/>
      <c r="C137" s="63"/>
      <c r="D137" s="68"/>
      <c r="E137" s="66">
        <f t="shared" si="2"/>
        <v>0</v>
      </c>
    </row>
    <row r="138" spans="1:5" x14ac:dyDescent="0.3">
      <c r="A138" s="62"/>
      <c r="B138" s="62"/>
      <c r="C138" s="63"/>
      <c r="D138" s="68"/>
      <c r="E138" s="66">
        <f t="shared" si="2"/>
        <v>0</v>
      </c>
    </row>
    <row r="139" spans="1:5" x14ac:dyDescent="0.3">
      <c r="A139" s="89" t="s">
        <v>528</v>
      </c>
      <c r="B139" s="89" t="s">
        <v>615</v>
      </c>
      <c r="C139" s="90">
        <v>25</v>
      </c>
      <c r="D139" s="91">
        <v>15000</v>
      </c>
      <c r="E139" s="66">
        <f t="shared" si="2"/>
        <v>375000</v>
      </c>
    </row>
    <row r="140" spans="1:5" x14ac:dyDescent="0.3">
      <c r="A140" s="89" t="s">
        <v>529</v>
      </c>
      <c r="B140" s="89" t="s">
        <v>615</v>
      </c>
      <c r="C140" s="90">
        <v>30</v>
      </c>
      <c r="D140" s="91">
        <v>10000</v>
      </c>
      <c r="E140" s="66">
        <f t="shared" si="2"/>
        <v>300000</v>
      </c>
    </row>
    <row r="141" spans="1:5" x14ac:dyDescent="0.3">
      <c r="A141" s="89" t="s">
        <v>616</v>
      </c>
      <c r="B141" s="89" t="s">
        <v>615</v>
      </c>
      <c r="C141" s="90">
        <v>15</v>
      </c>
      <c r="D141" s="91">
        <v>18000</v>
      </c>
      <c r="E141" s="66">
        <f t="shared" si="2"/>
        <v>270000</v>
      </c>
    </row>
    <row r="142" spans="1:5" x14ac:dyDescent="0.3">
      <c r="E142" s="66">
        <f t="shared" si="2"/>
        <v>0</v>
      </c>
    </row>
    <row r="143" spans="1:5" ht="15.6" x14ac:dyDescent="0.3">
      <c r="A143" s="72"/>
      <c r="B143" s="72"/>
      <c r="C143" s="72"/>
      <c r="D143" s="72"/>
      <c r="E143" s="66">
        <f t="shared" si="2"/>
        <v>0</v>
      </c>
    </row>
    <row r="144" spans="1:5" ht="15.6" x14ac:dyDescent="0.3">
      <c r="A144" s="72"/>
      <c r="B144" s="72"/>
      <c r="C144" s="72"/>
      <c r="D144" s="72"/>
      <c r="E144" s="66">
        <f>SUM(E4:E141)</f>
        <v>54918000</v>
      </c>
    </row>
    <row r="145" spans="1:5" ht="15.6" x14ac:dyDescent="0.3">
      <c r="A145" s="72" t="s">
        <v>596</v>
      </c>
      <c r="B145" s="72"/>
      <c r="C145" s="72"/>
      <c r="D145" s="72"/>
      <c r="E145" s="66"/>
    </row>
    <row r="146" spans="1:5" ht="31.2" x14ac:dyDescent="0.3">
      <c r="A146" s="48" t="s">
        <v>0</v>
      </c>
      <c r="B146" s="48" t="s">
        <v>562</v>
      </c>
      <c r="C146" s="49" t="s">
        <v>544</v>
      </c>
      <c r="D146" s="50" t="s">
        <v>594</v>
      </c>
      <c r="E146" s="66" t="s">
        <v>129</v>
      </c>
    </row>
    <row r="147" spans="1:5" ht="15.6" x14ac:dyDescent="0.3">
      <c r="A147" s="51" t="s">
        <v>1</v>
      </c>
      <c r="B147" s="51" t="s">
        <v>563</v>
      </c>
      <c r="C147" s="52"/>
      <c r="D147" s="53"/>
      <c r="E147" s="66">
        <f t="shared" si="2"/>
        <v>0</v>
      </c>
    </row>
    <row r="148" spans="1:5" ht="15.6" x14ac:dyDescent="0.3">
      <c r="A148" s="51" t="s">
        <v>5</v>
      </c>
      <c r="B148" s="51" t="s">
        <v>563</v>
      </c>
      <c r="C148" s="52"/>
      <c r="D148" s="53"/>
      <c r="E148" s="66">
        <f t="shared" si="2"/>
        <v>0</v>
      </c>
    </row>
    <row r="149" spans="1:5" ht="15.6" x14ac:dyDescent="0.3">
      <c r="A149" s="51" t="s">
        <v>6</v>
      </c>
      <c r="B149" s="51" t="s">
        <v>563</v>
      </c>
      <c r="C149" s="52"/>
      <c r="D149" s="53"/>
      <c r="E149" s="66">
        <f t="shared" si="2"/>
        <v>0</v>
      </c>
    </row>
    <row r="150" spans="1:5" ht="15.6" x14ac:dyDescent="0.3">
      <c r="A150" s="51" t="s">
        <v>8</v>
      </c>
      <c r="B150" s="51" t="s">
        <v>563</v>
      </c>
      <c r="C150" s="52"/>
      <c r="D150" s="53"/>
      <c r="E150" s="66">
        <f t="shared" si="2"/>
        <v>0</v>
      </c>
    </row>
    <row r="151" spans="1:5" ht="15.6" x14ac:dyDescent="0.3">
      <c r="A151" s="51" t="s">
        <v>119</v>
      </c>
      <c r="B151" s="51" t="s">
        <v>566</v>
      </c>
      <c r="C151" s="52"/>
      <c r="D151" s="53"/>
      <c r="E151" s="66">
        <f t="shared" si="2"/>
        <v>0</v>
      </c>
    </row>
    <row r="152" spans="1:5" ht="15.6" x14ac:dyDescent="0.3">
      <c r="A152" s="51" t="s">
        <v>12</v>
      </c>
      <c r="B152" s="51" t="s">
        <v>563</v>
      </c>
      <c r="C152" s="52"/>
      <c r="D152" s="53"/>
      <c r="E152" s="66">
        <f t="shared" si="2"/>
        <v>0</v>
      </c>
    </row>
    <row r="153" spans="1:5" ht="15.6" x14ac:dyDescent="0.3">
      <c r="A153" s="51" t="s">
        <v>14</v>
      </c>
      <c r="B153" s="51" t="s">
        <v>566</v>
      </c>
      <c r="C153" s="52"/>
      <c r="D153" s="53"/>
      <c r="E153" s="66">
        <f t="shared" si="2"/>
        <v>0</v>
      </c>
    </row>
    <row r="154" spans="1:5" ht="15.6" x14ac:dyDescent="0.3">
      <c r="A154" s="51" t="s">
        <v>15</v>
      </c>
      <c r="B154" s="51" t="s">
        <v>563</v>
      </c>
      <c r="C154" s="52"/>
      <c r="D154" s="53"/>
      <c r="E154" s="66">
        <f t="shared" si="2"/>
        <v>0</v>
      </c>
    </row>
    <row r="155" spans="1:5" ht="15.6" x14ac:dyDescent="0.3">
      <c r="A155" s="51" t="s">
        <v>16</v>
      </c>
      <c r="B155" s="51" t="s">
        <v>563</v>
      </c>
      <c r="C155" s="52"/>
      <c r="D155" s="53"/>
      <c r="E155" s="66">
        <f t="shared" si="2"/>
        <v>0</v>
      </c>
    </row>
    <row r="156" spans="1:5" ht="15.6" x14ac:dyDescent="0.3">
      <c r="A156" s="51" t="s">
        <v>110</v>
      </c>
      <c r="B156" s="51" t="s">
        <v>563</v>
      </c>
      <c r="C156" s="52"/>
      <c r="D156" s="53"/>
      <c r="E156" s="66">
        <f t="shared" si="2"/>
        <v>0</v>
      </c>
    </row>
    <row r="157" spans="1:5" ht="15.6" x14ac:dyDescent="0.3">
      <c r="A157" s="51" t="s">
        <v>17</v>
      </c>
      <c r="B157" s="51" t="s">
        <v>563</v>
      </c>
      <c r="C157" s="52"/>
      <c r="D157" s="53"/>
      <c r="E157" s="66">
        <f t="shared" si="2"/>
        <v>0</v>
      </c>
    </row>
    <row r="158" spans="1:5" ht="15.6" x14ac:dyDescent="0.3">
      <c r="A158" s="51" t="s">
        <v>21</v>
      </c>
      <c r="B158" s="51" t="s">
        <v>563</v>
      </c>
      <c r="C158" s="52"/>
      <c r="D158" s="53"/>
      <c r="E158" s="66">
        <f t="shared" si="2"/>
        <v>0</v>
      </c>
    </row>
    <row r="159" spans="1:5" ht="15.6" x14ac:dyDescent="0.3">
      <c r="A159" s="51" t="s">
        <v>22</v>
      </c>
      <c r="B159" s="51" t="s">
        <v>563</v>
      </c>
      <c r="C159" s="52"/>
      <c r="D159" s="53"/>
      <c r="E159" s="66">
        <f t="shared" si="2"/>
        <v>0</v>
      </c>
    </row>
    <row r="160" spans="1:5" ht="15.6" x14ac:dyDescent="0.3">
      <c r="A160" s="51" t="s">
        <v>23</v>
      </c>
      <c r="B160" s="51" t="s">
        <v>563</v>
      </c>
      <c r="C160" s="52"/>
      <c r="D160" s="53"/>
      <c r="E160" s="66">
        <f t="shared" si="2"/>
        <v>0</v>
      </c>
    </row>
    <row r="161" spans="1:5" ht="15.6" x14ac:dyDescent="0.3">
      <c r="A161" s="51" t="s">
        <v>27</v>
      </c>
      <c r="B161" s="51" t="s">
        <v>563</v>
      </c>
      <c r="C161" s="52"/>
      <c r="D161" s="53"/>
      <c r="E161" s="66">
        <f t="shared" si="2"/>
        <v>0</v>
      </c>
    </row>
    <row r="162" spans="1:5" ht="15.6" x14ac:dyDescent="0.3">
      <c r="A162" s="51" t="s">
        <v>28</v>
      </c>
      <c r="B162" s="51" t="s">
        <v>563</v>
      </c>
      <c r="C162" s="52"/>
      <c r="D162" s="53"/>
      <c r="E162" s="66">
        <f t="shared" si="2"/>
        <v>0</v>
      </c>
    </row>
    <row r="163" spans="1:5" ht="15.6" x14ac:dyDescent="0.3">
      <c r="A163" s="51" t="s">
        <v>29</v>
      </c>
      <c r="B163" s="51" t="s">
        <v>563</v>
      </c>
      <c r="C163" s="52"/>
      <c r="D163" s="53"/>
      <c r="E163" s="66">
        <f t="shared" si="2"/>
        <v>0</v>
      </c>
    </row>
    <row r="164" spans="1:5" ht="15.6" x14ac:dyDescent="0.3">
      <c r="A164" s="51" t="s">
        <v>39</v>
      </c>
      <c r="B164" s="51" t="s">
        <v>568</v>
      </c>
      <c r="C164" s="52"/>
      <c r="D164" s="53"/>
      <c r="E164" s="66">
        <f t="shared" si="2"/>
        <v>0</v>
      </c>
    </row>
    <row r="165" spans="1:5" ht="15.6" x14ac:dyDescent="0.3">
      <c r="A165" s="51" t="s">
        <v>41</v>
      </c>
      <c r="B165" s="51" t="s">
        <v>568</v>
      </c>
      <c r="C165" s="52"/>
      <c r="D165" s="53"/>
      <c r="E165" s="66">
        <f t="shared" si="2"/>
        <v>0</v>
      </c>
    </row>
    <row r="166" spans="1:5" ht="15.6" x14ac:dyDescent="0.3">
      <c r="A166" s="51" t="s">
        <v>46</v>
      </c>
      <c r="B166" s="51" t="s">
        <v>568</v>
      </c>
      <c r="C166" s="52"/>
      <c r="D166" s="53"/>
      <c r="E166" s="66">
        <f t="shared" si="2"/>
        <v>0</v>
      </c>
    </row>
    <row r="167" spans="1:5" ht="15.6" x14ac:dyDescent="0.3">
      <c r="A167" s="51" t="s">
        <v>48</v>
      </c>
      <c r="B167" s="51" t="s">
        <v>563</v>
      </c>
      <c r="C167" s="52"/>
      <c r="D167" s="53"/>
      <c r="E167" s="66">
        <f t="shared" si="2"/>
        <v>0</v>
      </c>
    </row>
    <row r="168" spans="1:5" ht="15.6" x14ac:dyDescent="0.3">
      <c r="A168" s="51" t="s">
        <v>50</v>
      </c>
      <c r="B168" s="51" t="s">
        <v>563</v>
      </c>
      <c r="C168" s="52"/>
      <c r="D168" s="53"/>
      <c r="E168" s="66">
        <f t="shared" si="2"/>
        <v>0</v>
      </c>
    </row>
    <row r="169" spans="1:5" ht="15.6" x14ac:dyDescent="0.3">
      <c r="A169" s="51" t="s">
        <v>51</v>
      </c>
      <c r="B169" s="51" t="s">
        <v>563</v>
      </c>
      <c r="C169" s="52"/>
      <c r="D169" s="53"/>
      <c r="E169" s="66">
        <f t="shared" si="2"/>
        <v>0</v>
      </c>
    </row>
    <row r="170" spans="1:5" ht="15.6" x14ac:dyDescent="0.3">
      <c r="A170" s="51" t="s">
        <v>53</v>
      </c>
      <c r="B170" s="51" t="s">
        <v>563</v>
      </c>
      <c r="C170" s="52"/>
      <c r="D170" s="53"/>
      <c r="E170" s="66">
        <f t="shared" si="2"/>
        <v>0</v>
      </c>
    </row>
    <row r="171" spans="1:5" ht="15.6" x14ac:dyDescent="0.3">
      <c r="A171" s="51" t="s">
        <v>56</v>
      </c>
      <c r="B171" s="51" t="s">
        <v>565</v>
      </c>
      <c r="C171" s="52">
        <v>10</v>
      </c>
      <c r="D171" s="53">
        <v>9000</v>
      </c>
      <c r="E171" s="66">
        <f t="shared" si="2"/>
        <v>90000</v>
      </c>
    </row>
    <row r="172" spans="1:5" ht="15.6" x14ac:dyDescent="0.3">
      <c r="A172" s="51" t="s">
        <v>60</v>
      </c>
      <c r="B172" s="51" t="s">
        <v>563</v>
      </c>
      <c r="C172" s="52"/>
      <c r="D172" s="53"/>
      <c r="E172" s="66">
        <f t="shared" si="2"/>
        <v>0</v>
      </c>
    </row>
    <row r="173" spans="1:5" ht="15.6" x14ac:dyDescent="0.3">
      <c r="A173" s="51" t="s">
        <v>62</v>
      </c>
      <c r="B173" s="51" t="s">
        <v>563</v>
      </c>
      <c r="C173" s="52"/>
      <c r="D173" s="53"/>
      <c r="E173" s="66">
        <f t="shared" si="2"/>
        <v>0</v>
      </c>
    </row>
    <row r="174" spans="1:5" ht="15.6" x14ac:dyDescent="0.3">
      <c r="A174" s="51" t="s">
        <v>67</v>
      </c>
      <c r="B174" s="51" t="s">
        <v>566</v>
      </c>
      <c r="C174" s="52"/>
      <c r="D174" s="53"/>
      <c r="E174" s="66">
        <f t="shared" si="2"/>
        <v>0</v>
      </c>
    </row>
    <row r="175" spans="1:5" ht="15.6" x14ac:dyDescent="0.3">
      <c r="A175" s="51" t="s">
        <v>68</v>
      </c>
      <c r="B175" s="51" t="s">
        <v>566</v>
      </c>
      <c r="C175" s="52">
        <v>6</v>
      </c>
      <c r="D175" s="53">
        <v>11000</v>
      </c>
      <c r="E175" s="66">
        <f t="shared" si="2"/>
        <v>66000</v>
      </c>
    </row>
    <row r="176" spans="1:5" ht="15.6" x14ac:dyDescent="0.3">
      <c r="A176" s="51" t="s">
        <v>72</v>
      </c>
      <c r="B176" s="51" t="s">
        <v>564</v>
      </c>
      <c r="C176" s="52"/>
      <c r="D176" s="53"/>
      <c r="E176" s="66">
        <f t="shared" si="2"/>
        <v>0</v>
      </c>
    </row>
    <row r="177" spans="1:5" ht="15.6" x14ac:dyDescent="0.3">
      <c r="A177" s="51" t="s">
        <v>76</v>
      </c>
      <c r="B177" s="51" t="s">
        <v>563</v>
      </c>
      <c r="C177" s="52"/>
      <c r="D177" s="53"/>
      <c r="E177" s="66">
        <f t="shared" si="2"/>
        <v>0</v>
      </c>
    </row>
    <row r="178" spans="1:5" ht="15.6" x14ac:dyDescent="0.3">
      <c r="A178" s="51" t="s">
        <v>78</v>
      </c>
      <c r="B178" s="51" t="s">
        <v>563</v>
      </c>
      <c r="C178" s="52"/>
      <c r="D178" s="53"/>
      <c r="E178" s="66">
        <f t="shared" si="2"/>
        <v>0</v>
      </c>
    </row>
    <row r="179" spans="1:5" ht="15.6" x14ac:dyDescent="0.3">
      <c r="A179" s="51" t="s">
        <v>79</v>
      </c>
      <c r="B179" s="51" t="s">
        <v>563</v>
      </c>
      <c r="C179" s="52"/>
      <c r="D179" s="53"/>
      <c r="E179" s="66">
        <f t="shared" si="2"/>
        <v>0</v>
      </c>
    </row>
    <row r="180" spans="1:5" ht="15.6" x14ac:dyDescent="0.3">
      <c r="A180" s="51" t="s">
        <v>82</v>
      </c>
      <c r="B180" s="51" t="s">
        <v>563</v>
      </c>
      <c r="C180" s="52"/>
      <c r="D180" s="53"/>
      <c r="E180" s="66">
        <f t="shared" si="2"/>
        <v>0</v>
      </c>
    </row>
    <row r="181" spans="1:5" ht="15.6" x14ac:dyDescent="0.3">
      <c r="A181" s="51" t="s">
        <v>87</v>
      </c>
      <c r="B181" s="51" t="s">
        <v>563</v>
      </c>
      <c r="C181" s="52">
        <v>72</v>
      </c>
      <c r="D181" s="53">
        <v>12000</v>
      </c>
      <c r="E181" s="66">
        <f t="shared" si="2"/>
        <v>864000</v>
      </c>
    </row>
    <row r="182" spans="1:5" ht="15.6" x14ac:dyDescent="0.3">
      <c r="A182" s="51" t="s">
        <v>120</v>
      </c>
      <c r="B182" s="51" t="s">
        <v>563</v>
      </c>
      <c r="C182" s="52"/>
      <c r="D182" s="53"/>
      <c r="E182" s="66">
        <f t="shared" si="2"/>
        <v>0</v>
      </c>
    </row>
    <row r="183" spans="1:5" ht="15.6" x14ac:dyDescent="0.3">
      <c r="A183" s="51" t="s">
        <v>109</v>
      </c>
      <c r="B183" s="51" t="s">
        <v>563</v>
      </c>
      <c r="C183" s="52"/>
      <c r="D183" s="53"/>
      <c r="E183" s="66">
        <f t="shared" si="2"/>
        <v>0</v>
      </c>
    </row>
    <row r="184" spans="1:5" ht="15.6" x14ac:dyDescent="0.3">
      <c r="A184" s="51" t="s">
        <v>121</v>
      </c>
      <c r="B184" s="51" t="s">
        <v>563</v>
      </c>
      <c r="C184" s="52"/>
      <c r="D184" s="53"/>
      <c r="E184" s="66">
        <f t="shared" si="2"/>
        <v>0</v>
      </c>
    </row>
    <row r="185" spans="1:5" ht="15.6" x14ac:dyDescent="0.3">
      <c r="A185" s="51" t="s">
        <v>122</v>
      </c>
      <c r="B185" s="51" t="s">
        <v>563</v>
      </c>
      <c r="C185" s="52">
        <v>34</v>
      </c>
      <c r="D185" s="53">
        <v>50000</v>
      </c>
      <c r="E185" s="66">
        <f t="shared" si="2"/>
        <v>1700000</v>
      </c>
    </row>
    <row r="186" spans="1:5" ht="15.6" x14ac:dyDescent="0.3">
      <c r="A186" s="51" t="s">
        <v>92</v>
      </c>
      <c r="B186" s="51" t="s">
        <v>563</v>
      </c>
      <c r="C186" s="52"/>
      <c r="D186" s="53"/>
      <c r="E186" s="66">
        <f t="shared" si="2"/>
        <v>0</v>
      </c>
    </row>
    <row r="187" spans="1:5" ht="15.6" x14ac:dyDescent="0.3">
      <c r="A187" s="51" t="s">
        <v>123</v>
      </c>
      <c r="B187" s="51" t="s">
        <v>563</v>
      </c>
      <c r="C187" s="52"/>
      <c r="D187" s="53"/>
      <c r="E187" s="66">
        <f t="shared" si="2"/>
        <v>0</v>
      </c>
    </row>
    <row r="188" spans="1:5" ht="15.6" x14ac:dyDescent="0.3">
      <c r="A188" s="51" t="s">
        <v>52</v>
      </c>
      <c r="B188" s="51" t="s">
        <v>563</v>
      </c>
      <c r="C188" s="52"/>
      <c r="D188" s="53"/>
      <c r="E188" s="66">
        <f t="shared" si="2"/>
        <v>0</v>
      </c>
    </row>
    <row r="189" spans="1:5" ht="15.6" x14ac:dyDescent="0.3">
      <c r="A189" s="51" t="s">
        <v>103</v>
      </c>
      <c r="B189" s="51" t="s">
        <v>563</v>
      </c>
      <c r="C189" s="52"/>
      <c r="D189" s="53"/>
      <c r="E189" s="66">
        <f t="shared" si="2"/>
        <v>0</v>
      </c>
    </row>
    <row r="190" spans="1:5" ht="15.6" x14ac:dyDescent="0.3">
      <c r="A190" s="51" t="s">
        <v>2</v>
      </c>
      <c r="B190" s="51" t="s">
        <v>563</v>
      </c>
      <c r="C190" s="52"/>
      <c r="D190" s="53"/>
      <c r="E190" s="66">
        <f t="shared" si="2"/>
        <v>0</v>
      </c>
    </row>
    <row r="191" spans="1:5" ht="15.6" x14ac:dyDescent="0.3">
      <c r="A191" s="51" t="s">
        <v>65</v>
      </c>
      <c r="B191" s="51" t="s">
        <v>563</v>
      </c>
      <c r="C191" s="52"/>
      <c r="D191" s="53"/>
      <c r="E191" s="66">
        <f t="shared" si="2"/>
        <v>0</v>
      </c>
    </row>
    <row r="192" spans="1:5" ht="15.6" x14ac:dyDescent="0.3">
      <c r="A192" s="51" t="s">
        <v>71</v>
      </c>
      <c r="B192" s="51" t="s">
        <v>563</v>
      </c>
      <c r="C192" s="52"/>
      <c r="D192" s="53"/>
      <c r="E192" s="66">
        <f t="shared" si="2"/>
        <v>0</v>
      </c>
    </row>
    <row r="193" spans="1:5" ht="15.6" x14ac:dyDescent="0.3">
      <c r="A193" s="51" t="s">
        <v>30</v>
      </c>
      <c r="B193" s="51" t="s">
        <v>563</v>
      </c>
      <c r="C193" s="52"/>
      <c r="D193" s="53"/>
      <c r="E193" s="66">
        <f t="shared" si="2"/>
        <v>0</v>
      </c>
    </row>
    <row r="194" spans="1:5" ht="15.6" x14ac:dyDescent="0.3">
      <c r="A194" s="51" t="s">
        <v>107</v>
      </c>
      <c r="B194" s="51" t="s">
        <v>563</v>
      </c>
      <c r="C194" s="52"/>
      <c r="D194" s="53"/>
      <c r="E194" s="66">
        <f t="shared" si="2"/>
        <v>0</v>
      </c>
    </row>
    <row r="195" spans="1:5" ht="15.6" x14ac:dyDescent="0.3">
      <c r="A195" s="51" t="s">
        <v>38</v>
      </c>
      <c r="B195" s="51" t="s">
        <v>563</v>
      </c>
      <c r="C195" s="52"/>
      <c r="D195" s="53"/>
      <c r="E195" s="66">
        <f t="shared" si="2"/>
        <v>0</v>
      </c>
    </row>
    <row r="196" spans="1:5" ht="15.6" x14ac:dyDescent="0.3">
      <c r="A196" s="51" t="s">
        <v>40</v>
      </c>
      <c r="B196" s="51" t="s">
        <v>563</v>
      </c>
      <c r="C196" s="52"/>
      <c r="D196" s="53"/>
      <c r="E196" s="66">
        <f t="shared" si="2"/>
        <v>0</v>
      </c>
    </row>
    <row r="197" spans="1:5" ht="15.6" x14ac:dyDescent="0.3">
      <c r="A197" s="51" t="e">
        <v>#N/A</v>
      </c>
      <c r="B197" s="51">
        <v>0</v>
      </c>
      <c r="C197" s="52"/>
      <c r="D197" s="53"/>
      <c r="E197" s="66">
        <f t="shared" si="2"/>
        <v>0</v>
      </c>
    </row>
    <row r="198" spans="1:5" x14ac:dyDescent="0.3">
      <c r="E198" s="83">
        <f>SUM(E171:E185)</f>
        <v>2720000</v>
      </c>
    </row>
    <row r="200" spans="1:5" x14ac:dyDescent="0.3">
      <c r="E200" s="83">
        <f>E198+E144</f>
        <v>57638000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>
    <pageSetUpPr fitToPage="1"/>
  </sheetPr>
  <dimension ref="A1:E222"/>
  <sheetViews>
    <sheetView topLeftCell="A82" workbookViewId="0">
      <selection activeCell="I222" sqref="I222"/>
    </sheetView>
  </sheetViews>
  <sheetFormatPr defaultRowHeight="14.4" x14ac:dyDescent="0.3"/>
  <cols>
    <col min="1" max="1" width="35.88671875" customWidth="1"/>
    <col min="3" max="3" width="16.5546875" customWidth="1"/>
    <col min="4" max="4" width="17.109375" customWidth="1"/>
    <col min="5" max="5" width="21.44140625" customWidth="1"/>
  </cols>
  <sheetData>
    <row r="1" spans="1:5" x14ac:dyDescent="0.3">
      <c r="A1" s="113"/>
      <c r="B1" s="113"/>
      <c r="C1" s="114"/>
      <c r="D1" s="114"/>
      <c r="E1" s="114"/>
    </row>
    <row r="2" spans="1:5" x14ac:dyDescent="0.3">
      <c r="A2" s="87" t="s">
        <v>621</v>
      </c>
      <c r="B2" s="87"/>
      <c r="C2" s="88"/>
      <c r="D2" s="88"/>
      <c r="E2" s="88"/>
    </row>
    <row r="3" spans="1:5" ht="34.950000000000003" customHeight="1" x14ac:dyDescent="0.3">
      <c r="A3" s="60" t="s">
        <v>0</v>
      </c>
      <c r="B3" s="60" t="s">
        <v>562</v>
      </c>
      <c r="C3" s="61" t="s">
        <v>544</v>
      </c>
      <c r="D3" s="82" t="s">
        <v>594</v>
      </c>
      <c r="E3" s="65" t="s">
        <v>129</v>
      </c>
    </row>
    <row r="4" spans="1:5" x14ac:dyDescent="0.3">
      <c r="A4" s="62" t="s">
        <v>1</v>
      </c>
      <c r="B4" s="62" t="s">
        <v>563</v>
      </c>
      <c r="C4" s="63">
        <v>30</v>
      </c>
      <c r="D4" s="66">
        <v>20000</v>
      </c>
      <c r="E4" s="66">
        <f>C4*D4</f>
        <v>600000</v>
      </c>
    </row>
    <row r="5" spans="1:5" hidden="1" x14ac:dyDescent="0.3">
      <c r="A5" s="62" t="s">
        <v>1</v>
      </c>
      <c r="B5" s="62" t="s">
        <v>566</v>
      </c>
      <c r="C5" s="63"/>
      <c r="D5" s="66"/>
      <c r="E5" s="66">
        <f t="shared" ref="E5:E68" si="0">C5*D5</f>
        <v>0</v>
      </c>
    </row>
    <row r="6" spans="1:5" hidden="1" x14ac:dyDescent="0.3">
      <c r="A6" s="62" t="s">
        <v>2</v>
      </c>
      <c r="B6" s="62" t="s">
        <v>564</v>
      </c>
      <c r="C6" s="63"/>
      <c r="D6" s="66"/>
      <c r="E6" s="66">
        <f t="shared" si="0"/>
        <v>0</v>
      </c>
    </row>
    <row r="7" spans="1:5" hidden="1" x14ac:dyDescent="0.3">
      <c r="A7" s="62" t="s">
        <v>3</v>
      </c>
      <c r="B7" s="62" t="s">
        <v>563</v>
      </c>
      <c r="C7" s="63"/>
      <c r="D7" s="66"/>
      <c r="E7" s="66">
        <f t="shared" si="0"/>
        <v>0</v>
      </c>
    </row>
    <row r="8" spans="1:5" hidden="1" x14ac:dyDescent="0.3">
      <c r="A8" s="62" t="s">
        <v>4</v>
      </c>
      <c r="B8" s="62" t="s">
        <v>565</v>
      </c>
      <c r="C8" s="63"/>
      <c r="D8" s="66"/>
      <c r="E8" s="66">
        <f t="shared" si="0"/>
        <v>0</v>
      </c>
    </row>
    <row r="9" spans="1:5" x14ac:dyDescent="0.3">
      <c r="A9" s="62" t="s">
        <v>5</v>
      </c>
      <c r="B9" s="62" t="s">
        <v>563</v>
      </c>
      <c r="C9" s="63">
        <v>35</v>
      </c>
      <c r="D9" s="66">
        <v>5500</v>
      </c>
      <c r="E9" s="66">
        <f t="shared" si="0"/>
        <v>192500</v>
      </c>
    </row>
    <row r="10" spans="1:5" x14ac:dyDescent="0.3">
      <c r="A10" s="62" t="s">
        <v>6</v>
      </c>
      <c r="B10" s="62" t="s">
        <v>563</v>
      </c>
      <c r="C10" s="63">
        <v>105</v>
      </c>
      <c r="D10" s="66">
        <v>14000</v>
      </c>
      <c r="E10" s="66">
        <f t="shared" si="0"/>
        <v>1470000</v>
      </c>
    </row>
    <row r="11" spans="1:5" hidden="1" x14ac:dyDescent="0.3">
      <c r="A11" s="62" t="s">
        <v>6</v>
      </c>
      <c r="B11" s="62" t="s">
        <v>566</v>
      </c>
      <c r="C11" s="63"/>
      <c r="D11" s="66"/>
      <c r="E11" s="66">
        <f t="shared" si="0"/>
        <v>0</v>
      </c>
    </row>
    <row r="12" spans="1:5" hidden="1" x14ac:dyDescent="0.3">
      <c r="A12" s="62" t="s">
        <v>7</v>
      </c>
      <c r="B12" s="62" t="s">
        <v>563</v>
      </c>
      <c r="C12" s="63"/>
      <c r="D12" s="66"/>
      <c r="E12" s="66">
        <f t="shared" si="0"/>
        <v>0</v>
      </c>
    </row>
    <row r="13" spans="1:5" x14ac:dyDescent="0.3">
      <c r="A13" s="62" t="s">
        <v>8</v>
      </c>
      <c r="B13" s="62" t="s">
        <v>563</v>
      </c>
      <c r="C13" s="63">
        <v>360</v>
      </c>
      <c r="D13" s="66">
        <v>25000</v>
      </c>
      <c r="E13" s="66">
        <f t="shared" si="0"/>
        <v>9000000</v>
      </c>
    </row>
    <row r="14" spans="1:5" hidden="1" x14ac:dyDescent="0.3">
      <c r="A14" s="62" t="s">
        <v>9</v>
      </c>
      <c r="B14" s="62" t="s">
        <v>563</v>
      </c>
      <c r="C14" s="63"/>
      <c r="D14" s="66"/>
      <c r="E14" s="66">
        <f t="shared" si="0"/>
        <v>0</v>
      </c>
    </row>
    <row r="15" spans="1:5" hidden="1" x14ac:dyDescent="0.3">
      <c r="A15" s="62" t="s">
        <v>9</v>
      </c>
      <c r="B15" s="62" t="s">
        <v>566</v>
      </c>
      <c r="C15" s="63"/>
      <c r="D15" s="66"/>
      <c r="E15" s="66">
        <f t="shared" si="0"/>
        <v>0</v>
      </c>
    </row>
    <row r="16" spans="1:5" hidden="1" x14ac:dyDescent="0.3">
      <c r="A16" s="62" t="s">
        <v>10</v>
      </c>
      <c r="B16" s="62" t="s">
        <v>563</v>
      </c>
      <c r="C16" s="63"/>
      <c r="D16" s="66"/>
      <c r="E16" s="66">
        <f t="shared" si="0"/>
        <v>0</v>
      </c>
    </row>
    <row r="17" spans="1:5" x14ac:dyDescent="0.3">
      <c r="A17" s="62" t="s">
        <v>10</v>
      </c>
      <c r="B17" s="62" t="s">
        <v>566</v>
      </c>
      <c r="C17" s="63">
        <v>2600</v>
      </c>
      <c r="D17" s="66">
        <v>4500</v>
      </c>
      <c r="E17" s="66">
        <f t="shared" si="0"/>
        <v>11700000</v>
      </c>
    </row>
    <row r="18" spans="1:5" hidden="1" x14ac:dyDescent="0.3">
      <c r="A18" s="62" t="s">
        <v>11</v>
      </c>
      <c r="B18" s="62" t="s">
        <v>563</v>
      </c>
      <c r="C18" s="63"/>
      <c r="D18" s="66"/>
      <c r="E18" s="66">
        <f t="shared" si="0"/>
        <v>0</v>
      </c>
    </row>
    <row r="19" spans="1:5" hidden="1" x14ac:dyDescent="0.3">
      <c r="A19" s="62" t="s">
        <v>11</v>
      </c>
      <c r="B19" s="62" t="s">
        <v>566</v>
      </c>
      <c r="C19" s="63"/>
      <c r="D19" s="66"/>
      <c r="E19" s="66">
        <f t="shared" si="0"/>
        <v>0</v>
      </c>
    </row>
    <row r="20" spans="1:5" x14ac:dyDescent="0.3">
      <c r="A20" s="62" t="s">
        <v>12</v>
      </c>
      <c r="B20" s="62" t="s">
        <v>563</v>
      </c>
      <c r="C20" s="63">
        <v>320</v>
      </c>
      <c r="D20" s="66">
        <v>25000</v>
      </c>
      <c r="E20" s="66">
        <f t="shared" si="0"/>
        <v>8000000</v>
      </c>
    </row>
    <row r="21" spans="1:5" hidden="1" x14ac:dyDescent="0.3">
      <c r="A21" s="62" t="s">
        <v>12</v>
      </c>
      <c r="B21" s="62" t="s">
        <v>566</v>
      </c>
      <c r="C21" s="63"/>
      <c r="D21" s="66"/>
      <c r="E21" s="66">
        <f t="shared" si="0"/>
        <v>0</v>
      </c>
    </row>
    <row r="22" spans="1:5" hidden="1" x14ac:dyDescent="0.3">
      <c r="A22" s="62" t="s">
        <v>13</v>
      </c>
      <c r="B22" s="62" t="s">
        <v>563</v>
      </c>
      <c r="C22" s="63"/>
      <c r="D22" s="66"/>
      <c r="E22" s="66">
        <f t="shared" si="0"/>
        <v>0</v>
      </c>
    </row>
    <row r="23" spans="1:5" hidden="1" x14ac:dyDescent="0.3">
      <c r="A23" s="62" t="s">
        <v>14</v>
      </c>
      <c r="B23" s="62" t="s">
        <v>566</v>
      </c>
      <c r="C23" s="63"/>
      <c r="D23" s="66"/>
      <c r="E23" s="66">
        <f t="shared" si="0"/>
        <v>0</v>
      </c>
    </row>
    <row r="24" spans="1:5" x14ac:dyDescent="0.3">
      <c r="A24" s="62" t="s">
        <v>15</v>
      </c>
      <c r="B24" s="62" t="s">
        <v>563</v>
      </c>
      <c r="C24" s="63">
        <v>120</v>
      </c>
      <c r="D24" s="66">
        <v>16000</v>
      </c>
      <c r="E24" s="66">
        <f t="shared" si="0"/>
        <v>1920000</v>
      </c>
    </row>
    <row r="25" spans="1:5" x14ac:dyDescent="0.3">
      <c r="A25" s="62" t="s">
        <v>15</v>
      </c>
      <c r="B25" s="62" t="s">
        <v>566</v>
      </c>
      <c r="C25" s="63">
        <v>76</v>
      </c>
      <c r="D25" s="66">
        <v>6000</v>
      </c>
      <c r="E25" s="66">
        <f t="shared" si="0"/>
        <v>456000</v>
      </c>
    </row>
    <row r="26" spans="1:5" hidden="1" x14ac:dyDescent="0.3">
      <c r="A26" s="62" t="s">
        <v>16</v>
      </c>
      <c r="B26" s="62" t="s">
        <v>563</v>
      </c>
      <c r="C26" s="63"/>
      <c r="D26" s="66"/>
      <c r="E26" s="66">
        <f t="shared" si="0"/>
        <v>0</v>
      </c>
    </row>
    <row r="27" spans="1:5" hidden="1" x14ac:dyDescent="0.3">
      <c r="A27" s="62" t="s">
        <v>18</v>
      </c>
      <c r="B27" s="62" t="s">
        <v>563</v>
      </c>
      <c r="C27" s="63"/>
      <c r="D27" s="66"/>
      <c r="E27" s="66">
        <f t="shared" si="0"/>
        <v>0</v>
      </c>
    </row>
    <row r="28" spans="1:5" hidden="1" x14ac:dyDescent="0.3">
      <c r="A28" s="62" t="s">
        <v>19</v>
      </c>
      <c r="B28" s="62" t="s">
        <v>563</v>
      </c>
      <c r="C28" s="63"/>
      <c r="D28" s="66"/>
      <c r="E28" s="66">
        <f t="shared" si="0"/>
        <v>0</v>
      </c>
    </row>
    <row r="29" spans="1:5" hidden="1" x14ac:dyDescent="0.3">
      <c r="A29" s="62" t="s">
        <v>19</v>
      </c>
      <c r="B29" s="62" t="s">
        <v>564</v>
      </c>
      <c r="C29" s="63"/>
      <c r="D29" s="66"/>
      <c r="E29" s="66">
        <f t="shared" si="0"/>
        <v>0</v>
      </c>
    </row>
    <row r="30" spans="1:5" x14ac:dyDescent="0.3">
      <c r="A30" s="62" t="s">
        <v>21</v>
      </c>
      <c r="B30" s="62" t="s">
        <v>563</v>
      </c>
      <c r="C30" s="63">
        <v>60</v>
      </c>
      <c r="D30" s="66">
        <v>16000</v>
      </c>
      <c r="E30" s="66">
        <f t="shared" si="0"/>
        <v>960000</v>
      </c>
    </row>
    <row r="31" spans="1:5" x14ac:dyDescent="0.3">
      <c r="A31" s="62" t="s">
        <v>22</v>
      </c>
      <c r="B31" s="62" t="s">
        <v>563</v>
      </c>
      <c r="C31" s="63">
        <v>135</v>
      </c>
      <c r="D31" s="66">
        <v>9000</v>
      </c>
      <c r="E31" s="66">
        <f t="shared" si="0"/>
        <v>1215000</v>
      </c>
    </row>
    <row r="32" spans="1:5" x14ac:dyDescent="0.3">
      <c r="A32" s="62" t="s">
        <v>23</v>
      </c>
      <c r="B32" s="62" t="s">
        <v>563</v>
      </c>
      <c r="C32" s="63">
        <v>574</v>
      </c>
      <c r="D32" s="66">
        <v>7500</v>
      </c>
      <c r="E32" s="66">
        <f t="shared" si="0"/>
        <v>4305000</v>
      </c>
    </row>
    <row r="33" spans="1:5" hidden="1" x14ac:dyDescent="0.3">
      <c r="A33" s="62" t="s">
        <v>24</v>
      </c>
      <c r="B33" s="62" t="s">
        <v>563</v>
      </c>
      <c r="C33" s="63"/>
      <c r="D33" s="66"/>
      <c r="E33" s="66">
        <f t="shared" si="0"/>
        <v>0</v>
      </c>
    </row>
    <row r="34" spans="1:5" hidden="1" x14ac:dyDescent="0.3">
      <c r="A34" s="62" t="s">
        <v>24</v>
      </c>
      <c r="B34" s="62" t="s">
        <v>566</v>
      </c>
      <c r="C34" s="63"/>
      <c r="D34" s="66"/>
      <c r="E34" s="66">
        <f t="shared" si="0"/>
        <v>0</v>
      </c>
    </row>
    <row r="35" spans="1:5" hidden="1" x14ac:dyDescent="0.3">
      <c r="A35" s="62" t="s">
        <v>557</v>
      </c>
      <c r="B35" s="62" t="s">
        <v>566</v>
      </c>
      <c r="C35" s="63"/>
      <c r="D35" s="66"/>
      <c r="E35" s="66">
        <f t="shared" si="0"/>
        <v>0</v>
      </c>
    </row>
    <row r="36" spans="1:5" hidden="1" x14ac:dyDescent="0.3">
      <c r="A36" s="62" t="s">
        <v>25</v>
      </c>
      <c r="B36" s="62" t="s">
        <v>563</v>
      </c>
      <c r="C36" s="63"/>
      <c r="D36" s="66"/>
      <c r="E36" s="66">
        <f t="shared" si="0"/>
        <v>0</v>
      </c>
    </row>
    <row r="37" spans="1:5" hidden="1" x14ac:dyDescent="0.3">
      <c r="A37" s="62" t="s">
        <v>25</v>
      </c>
      <c r="B37" s="62" t="s">
        <v>566</v>
      </c>
      <c r="C37" s="63"/>
      <c r="D37" s="66"/>
      <c r="E37" s="66">
        <f t="shared" si="0"/>
        <v>0</v>
      </c>
    </row>
    <row r="38" spans="1:5" hidden="1" x14ac:dyDescent="0.3">
      <c r="A38" s="62" t="s">
        <v>26</v>
      </c>
      <c r="B38" s="62" t="s">
        <v>563</v>
      </c>
      <c r="C38" s="63"/>
      <c r="D38" s="66"/>
      <c r="E38" s="66">
        <f t="shared" si="0"/>
        <v>0</v>
      </c>
    </row>
    <row r="39" spans="1:5" hidden="1" x14ac:dyDescent="0.3">
      <c r="A39" s="62" t="s">
        <v>26</v>
      </c>
      <c r="B39" s="62" t="s">
        <v>566</v>
      </c>
      <c r="C39" s="63"/>
      <c r="D39" s="66"/>
      <c r="E39" s="66">
        <f t="shared" si="0"/>
        <v>0</v>
      </c>
    </row>
    <row r="40" spans="1:5" hidden="1" x14ac:dyDescent="0.3">
      <c r="A40" s="62" t="s">
        <v>26</v>
      </c>
      <c r="B40" s="62" t="s">
        <v>567</v>
      </c>
      <c r="C40" s="63"/>
      <c r="D40" s="66"/>
      <c r="E40" s="66">
        <f t="shared" si="0"/>
        <v>0</v>
      </c>
    </row>
    <row r="41" spans="1:5" x14ac:dyDescent="0.3">
      <c r="A41" s="62" t="s">
        <v>27</v>
      </c>
      <c r="B41" s="62" t="s">
        <v>563</v>
      </c>
      <c r="C41" s="63">
        <v>26</v>
      </c>
      <c r="D41" s="66">
        <v>10000</v>
      </c>
      <c r="E41" s="66">
        <f t="shared" si="0"/>
        <v>260000</v>
      </c>
    </row>
    <row r="42" spans="1:5" hidden="1" x14ac:dyDescent="0.3">
      <c r="A42" s="62" t="s">
        <v>28</v>
      </c>
      <c r="B42" s="62" t="s">
        <v>568</v>
      </c>
      <c r="C42" s="64"/>
      <c r="D42" s="68"/>
      <c r="E42" s="66">
        <f t="shared" si="0"/>
        <v>0</v>
      </c>
    </row>
    <row r="43" spans="1:5" x14ac:dyDescent="0.3">
      <c r="A43" s="62" t="s">
        <v>28</v>
      </c>
      <c r="B43" s="62" t="s">
        <v>563</v>
      </c>
      <c r="C43" s="64">
        <v>375</v>
      </c>
      <c r="D43" s="68">
        <v>18000</v>
      </c>
      <c r="E43" s="66">
        <f t="shared" si="0"/>
        <v>6750000</v>
      </c>
    </row>
    <row r="44" spans="1:5" hidden="1" x14ac:dyDescent="0.3">
      <c r="A44" s="62" t="s">
        <v>28</v>
      </c>
      <c r="B44" s="62" t="s">
        <v>566</v>
      </c>
      <c r="C44" s="64"/>
      <c r="D44" s="68"/>
      <c r="E44" s="66">
        <f t="shared" si="0"/>
        <v>0</v>
      </c>
    </row>
    <row r="45" spans="1:5" hidden="1" x14ac:dyDescent="0.3">
      <c r="A45" s="62" t="s">
        <v>29</v>
      </c>
      <c r="B45" s="62" t="s">
        <v>568</v>
      </c>
      <c r="C45" s="64"/>
      <c r="D45" s="68"/>
      <c r="E45" s="66">
        <f t="shared" si="0"/>
        <v>0</v>
      </c>
    </row>
    <row r="46" spans="1:5" hidden="1" x14ac:dyDescent="0.3">
      <c r="A46" s="62" t="s">
        <v>29</v>
      </c>
      <c r="B46" s="62" t="s">
        <v>563</v>
      </c>
      <c r="C46" s="64"/>
      <c r="D46" s="68"/>
      <c r="E46" s="66">
        <f t="shared" si="0"/>
        <v>0</v>
      </c>
    </row>
    <row r="47" spans="1:5" hidden="1" x14ac:dyDescent="0.3">
      <c r="A47" s="62" t="s">
        <v>30</v>
      </c>
      <c r="B47" s="62" t="s">
        <v>563</v>
      </c>
      <c r="C47" s="64"/>
      <c r="D47" s="68"/>
      <c r="E47" s="66">
        <f t="shared" si="0"/>
        <v>0</v>
      </c>
    </row>
    <row r="48" spans="1:5" hidden="1" x14ac:dyDescent="0.3">
      <c r="A48" s="62" t="s">
        <v>30</v>
      </c>
      <c r="B48" s="62" t="s">
        <v>566</v>
      </c>
      <c r="C48" s="64"/>
      <c r="D48" s="68"/>
      <c r="E48" s="66">
        <f t="shared" si="0"/>
        <v>0</v>
      </c>
    </row>
    <row r="49" spans="1:5" hidden="1" x14ac:dyDescent="0.3">
      <c r="A49" s="62" t="s">
        <v>31</v>
      </c>
      <c r="B49" s="62" t="s">
        <v>563</v>
      </c>
      <c r="C49" s="64"/>
      <c r="D49" s="68"/>
      <c r="E49" s="66">
        <f t="shared" si="0"/>
        <v>0</v>
      </c>
    </row>
    <row r="50" spans="1:5" hidden="1" x14ac:dyDescent="0.3">
      <c r="A50" s="62" t="s">
        <v>32</v>
      </c>
      <c r="B50" s="62" t="s">
        <v>566</v>
      </c>
      <c r="C50" s="64"/>
      <c r="D50" s="68"/>
      <c r="E50" s="66">
        <f t="shared" si="0"/>
        <v>0</v>
      </c>
    </row>
    <row r="51" spans="1:5" hidden="1" x14ac:dyDescent="0.3">
      <c r="A51" s="62" t="s">
        <v>33</v>
      </c>
      <c r="B51" s="62" t="s">
        <v>563</v>
      </c>
      <c r="C51" s="64"/>
      <c r="D51" s="68"/>
      <c r="E51" s="66">
        <f t="shared" si="0"/>
        <v>0</v>
      </c>
    </row>
    <row r="52" spans="1:5" hidden="1" x14ac:dyDescent="0.3">
      <c r="A52" s="62" t="s">
        <v>33</v>
      </c>
      <c r="B52" s="62" t="s">
        <v>566</v>
      </c>
      <c r="C52" s="64"/>
      <c r="D52" s="68"/>
      <c r="E52" s="66">
        <f t="shared" si="0"/>
        <v>0</v>
      </c>
    </row>
    <row r="53" spans="1:5" hidden="1" x14ac:dyDescent="0.3">
      <c r="A53" s="62" t="s">
        <v>34</v>
      </c>
      <c r="B53" s="62" t="s">
        <v>566</v>
      </c>
      <c r="C53" s="64"/>
      <c r="D53" s="68"/>
      <c r="E53" s="66">
        <f t="shared" si="0"/>
        <v>0</v>
      </c>
    </row>
    <row r="54" spans="1:5" hidden="1" x14ac:dyDescent="0.3">
      <c r="A54" s="62" t="s">
        <v>35</v>
      </c>
      <c r="B54" s="62" t="s">
        <v>569</v>
      </c>
      <c r="C54" s="64"/>
      <c r="D54" s="68"/>
      <c r="E54" s="66">
        <f t="shared" si="0"/>
        <v>0</v>
      </c>
    </row>
    <row r="55" spans="1:5" hidden="1" x14ac:dyDescent="0.3">
      <c r="A55" s="62" t="s">
        <v>36</v>
      </c>
      <c r="B55" s="62" t="s">
        <v>571</v>
      </c>
      <c r="C55" s="64"/>
      <c r="D55" s="68"/>
      <c r="E55" s="66">
        <f t="shared" si="0"/>
        <v>0</v>
      </c>
    </row>
    <row r="56" spans="1:5" hidden="1" x14ac:dyDescent="0.3">
      <c r="A56" s="62" t="s">
        <v>37</v>
      </c>
      <c r="B56" s="62" t="s">
        <v>563</v>
      </c>
      <c r="C56" s="64"/>
      <c r="D56" s="68"/>
      <c r="E56" s="66">
        <f t="shared" si="0"/>
        <v>0</v>
      </c>
    </row>
    <row r="57" spans="1:5" hidden="1" x14ac:dyDescent="0.3">
      <c r="A57" s="62" t="s">
        <v>37</v>
      </c>
      <c r="B57" s="62" t="s">
        <v>566</v>
      </c>
      <c r="C57" s="64"/>
      <c r="D57" s="68"/>
      <c r="E57" s="66">
        <f t="shared" si="0"/>
        <v>0</v>
      </c>
    </row>
    <row r="58" spans="1:5" x14ac:dyDescent="0.3">
      <c r="A58" s="62" t="s">
        <v>38</v>
      </c>
      <c r="B58" s="62" t="s">
        <v>563</v>
      </c>
      <c r="C58" s="64">
        <v>3</v>
      </c>
      <c r="D58" s="68">
        <v>28000</v>
      </c>
      <c r="E58" s="66">
        <f t="shared" si="0"/>
        <v>84000</v>
      </c>
    </row>
    <row r="59" spans="1:5" hidden="1" x14ac:dyDescent="0.3">
      <c r="A59" s="62" t="s">
        <v>39</v>
      </c>
      <c r="B59" s="62" t="s">
        <v>568</v>
      </c>
      <c r="C59" s="64"/>
      <c r="D59" s="68"/>
      <c r="E59" s="66">
        <f t="shared" si="0"/>
        <v>0</v>
      </c>
    </row>
    <row r="60" spans="1:5" hidden="1" x14ac:dyDescent="0.3">
      <c r="A60" s="62" t="s">
        <v>40</v>
      </c>
      <c r="B60" s="62" t="s">
        <v>563</v>
      </c>
      <c r="C60" s="64"/>
      <c r="D60" s="68"/>
      <c r="E60" s="66">
        <f t="shared" si="0"/>
        <v>0</v>
      </c>
    </row>
    <row r="61" spans="1:5" hidden="1" x14ac:dyDescent="0.3">
      <c r="A61" s="62" t="s">
        <v>41</v>
      </c>
      <c r="B61" s="62" t="s">
        <v>568</v>
      </c>
      <c r="C61" s="64"/>
      <c r="D61" s="68"/>
      <c r="E61" s="66">
        <f t="shared" si="0"/>
        <v>0</v>
      </c>
    </row>
    <row r="62" spans="1:5" hidden="1" x14ac:dyDescent="0.3">
      <c r="A62" s="62" t="s">
        <v>42</v>
      </c>
      <c r="B62" s="62" t="s">
        <v>563</v>
      </c>
      <c r="C62" s="64"/>
      <c r="D62" s="68"/>
      <c r="E62" s="66">
        <f t="shared" si="0"/>
        <v>0</v>
      </c>
    </row>
    <row r="63" spans="1:5" hidden="1" x14ac:dyDescent="0.3">
      <c r="A63" s="62" t="s">
        <v>43</v>
      </c>
      <c r="B63" s="62" t="s">
        <v>566</v>
      </c>
      <c r="C63" s="64"/>
      <c r="D63" s="68"/>
      <c r="E63" s="66">
        <f t="shared" si="0"/>
        <v>0</v>
      </c>
    </row>
    <row r="64" spans="1:5" hidden="1" x14ac:dyDescent="0.3">
      <c r="A64" s="62" t="s">
        <v>44</v>
      </c>
      <c r="B64" s="62" t="s">
        <v>563</v>
      </c>
      <c r="C64" s="64"/>
      <c r="D64" s="68"/>
      <c r="E64" s="66">
        <f t="shared" si="0"/>
        <v>0</v>
      </c>
    </row>
    <row r="65" spans="1:5" hidden="1" x14ac:dyDescent="0.3">
      <c r="A65" s="62" t="s">
        <v>44</v>
      </c>
      <c r="B65" s="62" t="s">
        <v>566</v>
      </c>
      <c r="C65" s="64"/>
      <c r="D65" s="68"/>
      <c r="E65" s="66">
        <f t="shared" si="0"/>
        <v>0</v>
      </c>
    </row>
    <row r="66" spans="1:5" hidden="1" x14ac:dyDescent="0.3">
      <c r="A66" s="62" t="s">
        <v>45</v>
      </c>
      <c r="B66" s="62" t="s">
        <v>563</v>
      </c>
      <c r="C66" s="64"/>
      <c r="D66" s="68"/>
      <c r="E66" s="66">
        <f t="shared" si="0"/>
        <v>0</v>
      </c>
    </row>
    <row r="67" spans="1:5" hidden="1" x14ac:dyDescent="0.3">
      <c r="A67" s="62" t="s">
        <v>46</v>
      </c>
      <c r="B67" s="62" t="s">
        <v>568</v>
      </c>
      <c r="C67" s="64"/>
      <c r="D67" s="68"/>
      <c r="E67" s="66">
        <f t="shared" si="0"/>
        <v>0</v>
      </c>
    </row>
    <row r="68" spans="1:5" hidden="1" x14ac:dyDescent="0.3">
      <c r="A68" s="62" t="s">
        <v>47</v>
      </c>
      <c r="B68" s="62" t="s">
        <v>563</v>
      </c>
      <c r="C68" s="64"/>
      <c r="D68" s="68"/>
      <c r="E68" s="66">
        <f t="shared" si="0"/>
        <v>0</v>
      </c>
    </row>
    <row r="69" spans="1:5" x14ac:dyDescent="0.3">
      <c r="A69" s="62" t="s">
        <v>48</v>
      </c>
      <c r="B69" s="62" t="s">
        <v>563</v>
      </c>
      <c r="C69" s="64">
        <v>25</v>
      </c>
      <c r="D69" s="68">
        <v>10000</v>
      </c>
      <c r="E69" s="66">
        <f t="shared" ref="E69:E132" si="1">C69*D69</f>
        <v>250000</v>
      </c>
    </row>
    <row r="70" spans="1:5" x14ac:dyDescent="0.3">
      <c r="A70" s="62" t="s">
        <v>49</v>
      </c>
      <c r="B70" s="62" t="s">
        <v>563</v>
      </c>
      <c r="C70" s="64">
        <v>6</v>
      </c>
      <c r="D70" s="68">
        <v>9000</v>
      </c>
      <c r="E70" s="66">
        <f t="shared" si="1"/>
        <v>54000</v>
      </c>
    </row>
    <row r="71" spans="1:5" x14ac:dyDescent="0.3">
      <c r="A71" s="62" t="s">
        <v>50</v>
      </c>
      <c r="B71" s="62" t="s">
        <v>563</v>
      </c>
      <c r="C71" s="64">
        <v>2475</v>
      </c>
      <c r="D71" s="68">
        <v>6000</v>
      </c>
      <c r="E71" s="66">
        <f t="shared" si="1"/>
        <v>14850000</v>
      </c>
    </row>
    <row r="72" spans="1:5" x14ac:dyDescent="0.3">
      <c r="A72" s="62" t="s">
        <v>51</v>
      </c>
      <c r="B72" s="62" t="s">
        <v>563</v>
      </c>
      <c r="C72" s="64">
        <v>90</v>
      </c>
      <c r="D72" s="68">
        <v>18000</v>
      </c>
      <c r="E72" s="66">
        <f t="shared" si="1"/>
        <v>1620000</v>
      </c>
    </row>
    <row r="73" spans="1:5" hidden="1" x14ac:dyDescent="0.3">
      <c r="A73" s="62" t="s">
        <v>51</v>
      </c>
      <c r="B73" s="62" t="s">
        <v>570</v>
      </c>
      <c r="C73" s="64"/>
      <c r="D73" s="68"/>
      <c r="E73" s="66">
        <f t="shared" si="1"/>
        <v>0</v>
      </c>
    </row>
    <row r="74" spans="1:5" hidden="1" x14ac:dyDescent="0.3">
      <c r="A74" s="62" t="s">
        <v>52</v>
      </c>
      <c r="B74" s="62" t="s">
        <v>563</v>
      </c>
      <c r="C74" s="64"/>
      <c r="D74" s="68"/>
      <c r="E74" s="66">
        <f t="shared" si="1"/>
        <v>0</v>
      </c>
    </row>
    <row r="75" spans="1:5" hidden="1" x14ac:dyDescent="0.3">
      <c r="A75" s="62" t="s">
        <v>52</v>
      </c>
      <c r="B75" s="62" t="s">
        <v>570</v>
      </c>
      <c r="C75" s="64"/>
      <c r="D75" s="68"/>
      <c r="E75" s="66">
        <f t="shared" si="1"/>
        <v>0</v>
      </c>
    </row>
    <row r="76" spans="1:5" x14ac:dyDescent="0.3">
      <c r="A76" s="62" t="s">
        <v>53</v>
      </c>
      <c r="B76" s="62" t="s">
        <v>563</v>
      </c>
      <c r="C76" s="64">
        <v>20</v>
      </c>
      <c r="D76" s="68">
        <v>22000</v>
      </c>
      <c r="E76" s="66">
        <f t="shared" si="1"/>
        <v>440000</v>
      </c>
    </row>
    <row r="77" spans="1:5" hidden="1" x14ac:dyDescent="0.3">
      <c r="A77" s="62" t="s">
        <v>53</v>
      </c>
      <c r="B77" s="62" t="s">
        <v>564</v>
      </c>
      <c r="C77" s="64"/>
      <c r="D77" s="68"/>
      <c r="E77" s="66">
        <f t="shared" si="1"/>
        <v>0</v>
      </c>
    </row>
    <row r="78" spans="1:5" hidden="1" x14ac:dyDescent="0.3">
      <c r="A78" s="62" t="s">
        <v>54</v>
      </c>
      <c r="B78" s="62" t="s">
        <v>563</v>
      </c>
      <c r="C78" s="64"/>
      <c r="D78" s="68"/>
      <c r="E78" s="66">
        <f t="shared" si="1"/>
        <v>0</v>
      </c>
    </row>
    <row r="79" spans="1:5" hidden="1" x14ac:dyDescent="0.3">
      <c r="A79" s="62" t="s">
        <v>54</v>
      </c>
      <c r="B79" s="62" t="s">
        <v>564</v>
      </c>
      <c r="C79" s="64"/>
      <c r="D79" s="68"/>
      <c r="E79" s="66">
        <f t="shared" si="1"/>
        <v>0</v>
      </c>
    </row>
    <row r="80" spans="1:5" hidden="1" x14ac:dyDescent="0.3">
      <c r="A80" s="62" t="s">
        <v>55</v>
      </c>
      <c r="B80" s="62" t="s">
        <v>564</v>
      </c>
      <c r="C80" s="64"/>
      <c r="D80" s="68"/>
      <c r="E80" s="66">
        <f t="shared" si="1"/>
        <v>0</v>
      </c>
    </row>
    <row r="81" spans="1:5" hidden="1" x14ac:dyDescent="0.3">
      <c r="A81" s="62" t="s">
        <v>56</v>
      </c>
      <c r="B81" s="62" t="s">
        <v>565</v>
      </c>
      <c r="C81" s="64"/>
      <c r="D81" s="68"/>
      <c r="E81" s="66">
        <f t="shared" si="1"/>
        <v>0</v>
      </c>
    </row>
    <row r="82" spans="1:5" x14ac:dyDescent="0.3">
      <c r="A82" s="62" t="s">
        <v>57</v>
      </c>
      <c r="B82" s="62" t="s">
        <v>565</v>
      </c>
      <c r="C82" s="64">
        <v>5</v>
      </c>
      <c r="D82" s="68">
        <v>10000</v>
      </c>
      <c r="E82" s="66">
        <f t="shared" si="1"/>
        <v>50000</v>
      </c>
    </row>
    <row r="83" spans="1:5" hidden="1" x14ac:dyDescent="0.3">
      <c r="A83" s="62" t="s">
        <v>57</v>
      </c>
      <c r="B83" s="62" t="s">
        <v>563</v>
      </c>
      <c r="C83" s="64"/>
      <c r="D83" s="68"/>
      <c r="E83" s="66">
        <f t="shared" si="1"/>
        <v>0</v>
      </c>
    </row>
    <row r="84" spans="1:5" x14ac:dyDescent="0.3">
      <c r="A84" s="62" t="s">
        <v>58</v>
      </c>
      <c r="B84" s="62" t="s">
        <v>563</v>
      </c>
      <c r="C84" s="64">
        <v>11</v>
      </c>
      <c r="D84" s="68">
        <v>24000</v>
      </c>
      <c r="E84" s="66">
        <f t="shared" si="1"/>
        <v>264000</v>
      </c>
    </row>
    <row r="85" spans="1:5" x14ac:dyDescent="0.3">
      <c r="A85" s="62" t="s">
        <v>59</v>
      </c>
      <c r="B85" s="62" t="s">
        <v>565</v>
      </c>
      <c r="C85" s="64">
        <v>104</v>
      </c>
      <c r="D85" s="68">
        <v>6000</v>
      </c>
      <c r="E85" s="66">
        <f t="shared" si="1"/>
        <v>624000</v>
      </c>
    </row>
    <row r="86" spans="1:5" x14ac:dyDescent="0.3">
      <c r="A86" s="62" t="s">
        <v>60</v>
      </c>
      <c r="B86" s="62" t="s">
        <v>563</v>
      </c>
      <c r="C86" s="64">
        <v>500</v>
      </c>
      <c r="D86" s="68">
        <v>19000</v>
      </c>
      <c r="E86" s="66">
        <f t="shared" si="1"/>
        <v>9500000</v>
      </c>
    </row>
    <row r="87" spans="1:5" hidden="1" x14ac:dyDescent="0.3">
      <c r="A87" s="62" t="s">
        <v>60</v>
      </c>
      <c r="B87" s="62" t="s">
        <v>566</v>
      </c>
      <c r="C87" s="64"/>
      <c r="D87" s="68"/>
      <c r="E87" s="66">
        <f t="shared" si="1"/>
        <v>0</v>
      </c>
    </row>
    <row r="88" spans="1:5" hidden="1" x14ac:dyDescent="0.3">
      <c r="A88" s="62" t="s">
        <v>60</v>
      </c>
      <c r="B88" s="62" t="s">
        <v>564</v>
      </c>
      <c r="C88" s="64"/>
      <c r="D88" s="68"/>
      <c r="E88" s="66">
        <f t="shared" si="1"/>
        <v>0</v>
      </c>
    </row>
    <row r="89" spans="1:5" x14ac:dyDescent="0.3">
      <c r="A89" s="62" t="s">
        <v>61</v>
      </c>
      <c r="B89" s="62" t="s">
        <v>566</v>
      </c>
      <c r="C89" s="64">
        <v>60</v>
      </c>
      <c r="D89" s="68">
        <v>17000</v>
      </c>
      <c r="E89" s="66">
        <f t="shared" si="1"/>
        <v>1020000</v>
      </c>
    </row>
    <row r="90" spans="1:5" x14ac:dyDescent="0.3">
      <c r="A90" s="62" t="s">
        <v>62</v>
      </c>
      <c r="B90" s="62" t="s">
        <v>563</v>
      </c>
      <c r="C90" s="64">
        <v>16</v>
      </c>
      <c r="D90" s="68">
        <v>9000</v>
      </c>
      <c r="E90" s="66">
        <f t="shared" si="1"/>
        <v>144000</v>
      </c>
    </row>
    <row r="91" spans="1:5" hidden="1" x14ac:dyDescent="0.3">
      <c r="A91" s="62" t="s">
        <v>63</v>
      </c>
      <c r="B91" s="62" t="s">
        <v>564</v>
      </c>
      <c r="C91" s="64"/>
      <c r="D91" s="68"/>
      <c r="E91" s="66">
        <f t="shared" si="1"/>
        <v>0</v>
      </c>
    </row>
    <row r="92" spans="1:5" hidden="1" x14ac:dyDescent="0.3">
      <c r="A92" s="62" t="s">
        <v>64</v>
      </c>
      <c r="B92" s="62" t="s">
        <v>563</v>
      </c>
      <c r="C92" s="64"/>
      <c r="D92" s="68"/>
      <c r="E92" s="66">
        <f t="shared" si="1"/>
        <v>0</v>
      </c>
    </row>
    <row r="93" spans="1:5" hidden="1" x14ac:dyDescent="0.3">
      <c r="A93" s="62" t="s">
        <v>64</v>
      </c>
      <c r="B93" s="62" t="s">
        <v>564</v>
      </c>
      <c r="C93" s="64"/>
      <c r="D93" s="68"/>
      <c r="E93" s="66">
        <f t="shared" si="1"/>
        <v>0</v>
      </c>
    </row>
    <row r="94" spans="1:5" hidden="1" x14ac:dyDescent="0.3">
      <c r="A94" s="62" t="s">
        <v>65</v>
      </c>
      <c r="B94" s="62" t="s">
        <v>563</v>
      </c>
      <c r="C94" s="64"/>
      <c r="D94" s="68"/>
      <c r="E94" s="66">
        <f t="shared" si="1"/>
        <v>0</v>
      </c>
    </row>
    <row r="95" spans="1:5" hidden="1" x14ac:dyDescent="0.3">
      <c r="A95" s="62" t="s">
        <v>66</v>
      </c>
      <c r="B95" s="62" t="s">
        <v>566</v>
      </c>
      <c r="C95" s="64"/>
      <c r="D95" s="68"/>
      <c r="E95" s="66">
        <f t="shared" si="1"/>
        <v>0</v>
      </c>
    </row>
    <row r="96" spans="1:5" hidden="1" x14ac:dyDescent="0.3">
      <c r="A96" s="62" t="s">
        <v>67</v>
      </c>
      <c r="B96" s="62" t="s">
        <v>566</v>
      </c>
      <c r="C96" s="64"/>
      <c r="D96" s="68"/>
      <c r="E96" s="66">
        <f t="shared" si="1"/>
        <v>0</v>
      </c>
    </row>
    <row r="97" spans="1:5" x14ac:dyDescent="0.3">
      <c r="A97" s="62" t="s">
        <v>68</v>
      </c>
      <c r="B97" s="62" t="s">
        <v>566</v>
      </c>
      <c r="C97" s="64">
        <v>0</v>
      </c>
      <c r="D97" s="68">
        <v>11000</v>
      </c>
      <c r="E97" s="66">
        <f t="shared" si="1"/>
        <v>0</v>
      </c>
    </row>
    <row r="98" spans="1:5" hidden="1" x14ac:dyDescent="0.3">
      <c r="A98" s="62" t="s">
        <v>69</v>
      </c>
      <c r="B98" s="62" t="s">
        <v>563</v>
      </c>
      <c r="C98" s="64"/>
      <c r="D98" s="68"/>
      <c r="E98" s="66">
        <f t="shared" si="1"/>
        <v>0</v>
      </c>
    </row>
    <row r="99" spans="1:5" hidden="1" x14ac:dyDescent="0.3">
      <c r="A99" s="62" t="s">
        <v>69</v>
      </c>
      <c r="B99" s="62" t="s">
        <v>564</v>
      </c>
      <c r="C99" s="64"/>
      <c r="D99" s="68"/>
      <c r="E99" s="66">
        <f t="shared" si="1"/>
        <v>0</v>
      </c>
    </row>
    <row r="100" spans="1:5" hidden="1" x14ac:dyDescent="0.3">
      <c r="A100" s="62" t="s">
        <v>70</v>
      </c>
      <c r="B100" s="62" t="s">
        <v>563</v>
      </c>
      <c r="C100" s="64"/>
      <c r="D100" s="68"/>
      <c r="E100" s="66">
        <f t="shared" si="1"/>
        <v>0</v>
      </c>
    </row>
    <row r="101" spans="1:5" x14ac:dyDescent="0.3">
      <c r="A101" s="62" t="s">
        <v>71</v>
      </c>
      <c r="B101" s="62" t="s">
        <v>563</v>
      </c>
      <c r="C101" s="64">
        <v>30</v>
      </c>
      <c r="D101" s="68">
        <v>12000</v>
      </c>
      <c r="E101" s="66">
        <f t="shared" si="1"/>
        <v>360000</v>
      </c>
    </row>
    <row r="102" spans="1:5" hidden="1" x14ac:dyDescent="0.3">
      <c r="A102" s="62" t="s">
        <v>72</v>
      </c>
      <c r="B102" s="62" t="s">
        <v>564</v>
      </c>
      <c r="C102" s="64"/>
      <c r="D102" s="68"/>
      <c r="E102" s="66">
        <f t="shared" si="1"/>
        <v>0</v>
      </c>
    </row>
    <row r="103" spans="1:5" hidden="1" x14ac:dyDescent="0.3">
      <c r="A103" s="62" t="s">
        <v>73</v>
      </c>
      <c r="B103" s="62" t="s">
        <v>563</v>
      </c>
      <c r="C103" s="64"/>
      <c r="D103" s="68"/>
      <c r="E103" s="66">
        <f t="shared" si="1"/>
        <v>0</v>
      </c>
    </row>
    <row r="104" spans="1:5" hidden="1" x14ac:dyDescent="0.3">
      <c r="A104" s="62" t="s">
        <v>73</v>
      </c>
      <c r="B104" s="62" t="s">
        <v>566</v>
      </c>
      <c r="C104" s="64"/>
      <c r="D104" s="68"/>
      <c r="E104" s="66">
        <f t="shared" si="1"/>
        <v>0</v>
      </c>
    </row>
    <row r="105" spans="1:5" hidden="1" x14ac:dyDescent="0.3">
      <c r="A105" s="62" t="s">
        <v>74</v>
      </c>
      <c r="B105" s="62" t="s">
        <v>563</v>
      </c>
      <c r="C105" s="64"/>
      <c r="D105" s="68"/>
      <c r="E105" s="66">
        <f t="shared" si="1"/>
        <v>0</v>
      </c>
    </row>
    <row r="106" spans="1:5" hidden="1" x14ac:dyDescent="0.3">
      <c r="A106" s="62" t="s">
        <v>75</v>
      </c>
      <c r="B106" s="62" t="s">
        <v>565</v>
      </c>
      <c r="C106" s="64"/>
      <c r="D106" s="68"/>
      <c r="E106" s="66">
        <f t="shared" si="1"/>
        <v>0</v>
      </c>
    </row>
    <row r="107" spans="1:5" hidden="1" x14ac:dyDescent="0.3">
      <c r="A107" s="62" t="s">
        <v>75</v>
      </c>
      <c r="B107" s="62" t="s">
        <v>563</v>
      </c>
      <c r="C107" s="64"/>
      <c r="D107" s="68"/>
      <c r="E107" s="66">
        <f t="shared" si="1"/>
        <v>0</v>
      </c>
    </row>
    <row r="108" spans="1:5" x14ac:dyDescent="0.3">
      <c r="A108" s="62" t="s">
        <v>76</v>
      </c>
      <c r="B108" s="62" t="s">
        <v>563</v>
      </c>
      <c r="C108" s="64">
        <v>145</v>
      </c>
      <c r="D108" s="68">
        <v>24000</v>
      </c>
      <c r="E108" s="66">
        <f t="shared" si="1"/>
        <v>3480000</v>
      </c>
    </row>
    <row r="109" spans="1:5" hidden="1" x14ac:dyDescent="0.3">
      <c r="A109" s="62" t="s">
        <v>76</v>
      </c>
      <c r="B109" s="62" t="s">
        <v>570</v>
      </c>
      <c r="C109" s="64"/>
      <c r="D109" s="68"/>
      <c r="E109" s="66">
        <f t="shared" si="1"/>
        <v>0</v>
      </c>
    </row>
    <row r="110" spans="1:5" hidden="1" x14ac:dyDescent="0.3">
      <c r="A110" s="62" t="s">
        <v>77</v>
      </c>
      <c r="B110" s="62" t="s">
        <v>565</v>
      </c>
      <c r="C110" s="64"/>
      <c r="D110" s="68"/>
      <c r="E110" s="66">
        <f t="shared" si="1"/>
        <v>0</v>
      </c>
    </row>
    <row r="111" spans="1:5" hidden="1" x14ac:dyDescent="0.3">
      <c r="A111" s="62" t="s">
        <v>77</v>
      </c>
      <c r="B111" s="62" t="s">
        <v>563</v>
      </c>
      <c r="C111" s="64"/>
      <c r="D111" s="68"/>
      <c r="E111" s="66">
        <f t="shared" si="1"/>
        <v>0</v>
      </c>
    </row>
    <row r="112" spans="1:5" x14ac:dyDescent="0.3">
      <c r="A112" s="62" t="s">
        <v>78</v>
      </c>
      <c r="B112" s="62" t="s">
        <v>563</v>
      </c>
      <c r="C112" s="64">
        <v>125</v>
      </c>
      <c r="D112" s="68">
        <v>14000</v>
      </c>
      <c r="E112" s="66">
        <f t="shared" si="1"/>
        <v>1750000</v>
      </c>
    </row>
    <row r="113" spans="1:5" hidden="1" x14ac:dyDescent="0.3">
      <c r="A113" s="62" t="s">
        <v>78</v>
      </c>
      <c r="B113" s="62" t="s">
        <v>570</v>
      </c>
      <c r="C113" s="64"/>
      <c r="D113" s="68"/>
      <c r="E113" s="66">
        <f t="shared" si="1"/>
        <v>0</v>
      </c>
    </row>
    <row r="114" spans="1:5" x14ac:dyDescent="0.3">
      <c r="A114" s="62" t="s">
        <v>79</v>
      </c>
      <c r="B114" s="62" t="s">
        <v>563</v>
      </c>
      <c r="C114" s="64">
        <v>60</v>
      </c>
      <c r="D114" s="68">
        <v>22000</v>
      </c>
      <c r="E114" s="66">
        <f t="shared" si="1"/>
        <v>1320000</v>
      </c>
    </row>
    <row r="115" spans="1:5" hidden="1" x14ac:dyDescent="0.3">
      <c r="A115" s="62" t="s">
        <v>79</v>
      </c>
      <c r="B115" s="62" t="s">
        <v>570</v>
      </c>
      <c r="C115" s="64"/>
      <c r="D115" s="68"/>
      <c r="E115" s="66">
        <f t="shared" si="1"/>
        <v>0</v>
      </c>
    </row>
    <row r="116" spans="1:5" hidden="1" x14ac:dyDescent="0.3">
      <c r="A116" s="62" t="s">
        <v>80</v>
      </c>
      <c r="B116" s="62" t="s">
        <v>566</v>
      </c>
      <c r="C116" s="64"/>
      <c r="D116" s="68"/>
      <c r="E116" s="66">
        <f t="shared" si="1"/>
        <v>0</v>
      </c>
    </row>
    <row r="117" spans="1:5" hidden="1" x14ac:dyDescent="0.3">
      <c r="A117" s="62" t="s">
        <v>81</v>
      </c>
      <c r="B117" s="62" t="s">
        <v>563</v>
      </c>
      <c r="C117" s="64"/>
      <c r="D117" s="68"/>
      <c r="E117" s="66">
        <f t="shared" si="1"/>
        <v>0</v>
      </c>
    </row>
    <row r="118" spans="1:5" hidden="1" x14ac:dyDescent="0.3">
      <c r="A118" s="62" t="s">
        <v>81</v>
      </c>
      <c r="B118" s="62" t="s">
        <v>607</v>
      </c>
      <c r="C118" s="64"/>
      <c r="D118" s="68"/>
      <c r="E118" s="66">
        <f t="shared" si="1"/>
        <v>0</v>
      </c>
    </row>
    <row r="119" spans="1:5" hidden="1" x14ac:dyDescent="0.3">
      <c r="A119" s="62" t="s">
        <v>82</v>
      </c>
      <c r="B119" s="62" t="s">
        <v>563</v>
      </c>
      <c r="C119" s="64"/>
      <c r="D119" s="68"/>
      <c r="E119" s="66">
        <f t="shared" si="1"/>
        <v>0</v>
      </c>
    </row>
    <row r="120" spans="1:5" hidden="1" x14ac:dyDescent="0.3">
      <c r="A120" s="62" t="s">
        <v>83</v>
      </c>
      <c r="B120" s="62" t="s">
        <v>563</v>
      </c>
      <c r="C120" s="64"/>
      <c r="D120" s="68"/>
      <c r="E120" s="66">
        <f t="shared" si="1"/>
        <v>0</v>
      </c>
    </row>
    <row r="121" spans="1:5" hidden="1" x14ac:dyDescent="0.3">
      <c r="A121" s="62" t="s">
        <v>84</v>
      </c>
      <c r="B121" s="62" t="s">
        <v>563</v>
      </c>
      <c r="C121" s="64"/>
      <c r="D121" s="68"/>
      <c r="E121" s="66">
        <f t="shared" si="1"/>
        <v>0</v>
      </c>
    </row>
    <row r="122" spans="1:5" hidden="1" x14ac:dyDescent="0.3">
      <c r="A122" s="62" t="s">
        <v>85</v>
      </c>
      <c r="B122" s="62" t="s">
        <v>563</v>
      </c>
      <c r="C122" s="64"/>
      <c r="D122" s="68"/>
      <c r="E122" s="66">
        <f t="shared" si="1"/>
        <v>0</v>
      </c>
    </row>
    <row r="123" spans="1:5" hidden="1" x14ac:dyDescent="0.3">
      <c r="A123" s="62" t="s">
        <v>86</v>
      </c>
      <c r="B123" s="62" t="s">
        <v>565</v>
      </c>
      <c r="C123" s="64"/>
      <c r="D123" s="68"/>
      <c r="E123" s="66">
        <f t="shared" si="1"/>
        <v>0</v>
      </c>
    </row>
    <row r="124" spans="1:5" hidden="1" x14ac:dyDescent="0.3">
      <c r="A124" s="62" t="s">
        <v>87</v>
      </c>
      <c r="B124" s="62" t="s">
        <v>563</v>
      </c>
      <c r="C124" s="64"/>
      <c r="D124" s="68"/>
      <c r="E124" s="66">
        <f t="shared" si="1"/>
        <v>0</v>
      </c>
    </row>
    <row r="125" spans="1:5" hidden="1" x14ac:dyDescent="0.3">
      <c r="A125" s="62" t="s">
        <v>88</v>
      </c>
      <c r="B125" s="62" t="s">
        <v>565</v>
      </c>
      <c r="C125" s="64"/>
      <c r="D125" s="68"/>
      <c r="E125" s="66">
        <f t="shared" si="1"/>
        <v>0</v>
      </c>
    </row>
    <row r="126" spans="1:5" hidden="1" x14ac:dyDescent="0.3">
      <c r="A126" s="62" t="s">
        <v>89</v>
      </c>
      <c r="B126" s="62" t="s">
        <v>563</v>
      </c>
      <c r="C126" s="64"/>
      <c r="D126" s="68"/>
      <c r="E126" s="66">
        <f t="shared" si="1"/>
        <v>0</v>
      </c>
    </row>
    <row r="127" spans="1:5" hidden="1" x14ac:dyDescent="0.3">
      <c r="A127" s="62" t="s">
        <v>90</v>
      </c>
      <c r="B127" s="62" t="s">
        <v>563</v>
      </c>
      <c r="C127" s="64"/>
      <c r="D127" s="68"/>
      <c r="E127" s="66">
        <f t="shared" si="1"/>
        <v>0</v>
      </c>
    </row>
    <row r="128" spans="1:5" hidden="1" x14ac:dyDescent="0.3">
      <c r="A128" s="62" t="s">
        <v>91</v>
      </c>
      <c r="B128" s="62" t="s">
        <v>563</v>
      </c>
      <c r="C128" s="64"/>
      <c r="D128" s="68"/>
      <c r="E128" s="66">
        <f t="shared" si="1"/>
        <v>0</v>
      </c>
    </row>
    <row r="129" spans="1:5" x14ac:dyDescent="0.3">
      <c r="A129" s="62" t="s">
        <v>92</v>
      </c>
      <c r="B129" s="62" t="s">
        <v>563</v>
      </c>
      <c r="C129" s="64">
        <v>149</v>
      </c>
      <c r="D129" s="68">
        <v>16000</v>
      </c>
      <c r="E129" s="66">
        <f t="shared" si="1"/>
        <v>2384000</v>
      </c>
    </row>
    <row r="130" spans="1:5" hidden="1" x14ac:dyDescent="0.3">
      <c r="A130" s="62" t="s">
        <v>93</v>
      </c>
      <c r="B130" s="62" t="s">
        <v>563</v>
      </c>
      <c r="C130" s="64"/>
      <c r="D130" s="68"/>
      <c r="E130" s="66">
        <f t="shared" si="1"/>
        <v>0</v>
      </c>
    </row>
    <row r="131" spans="1:5" hidden="1" x14ac:dyDescent="0.3">
      <c r="A131" s="62" t="s">
        <v>97</v>
      </c>
      <c r="B131" s="62" t="s">
        <v>564</v>
      </c>
      <c r="C131" s="64"/>
      <c r="D131" s="68"/>
      <c r="E131" s="66">
        <f t="shared" si="1"/>
        <v>0</v>
      </c>
    </row>
    <row r="132" spans="1:5" hidden="1" x14ac:dyDescent="0.3">
      <c r="A132" s="62" t="s">
        <v>98</v>
      </c>
      <c r="B132" s="62" t="s">
        <v>566</v>
      </c>
      <c r="C132" s="64"/>
      <c r="D132" s="68"/>
      <c r="E132" s="66">
        <f t="shared" si="1"/>
        <v>0</v>
      </c>
    </row>
    <row r="133" spans="1:5" hidden="1" x14ac:dyDescent="0.3">
      <c r="A133" s="62" t="s">
        <v>99</v>
      </c>
      <c r="B133" s="62" t="s">
        <v>566</v>
      </c>
      <c r="C133" s="64"/>
      <c r="D133" s="68"/>
      <c r="E133" s="66">
        <f t="shared" ref="E133:E198" si="2">C133*D133</f>
        <v>0</v>
      </c>
    </row>
    <row r="134" spans="1:5" hidden="1" x14ac:dyDescent="0.3">
      <c r="A134" s="62" t="s">
        <v>100</v>
      </c>
      <c r="B134" s="62" t="s">
        <v>564</v>
      </c>
      <c r="C134" s="64"/>
      <c r="D134" s="68"/>
      <c r="E134" s="66">
        <f t="shared" si="2"/>
        <v>0</v>
      </c>
    </row>
    <row r="135" spans="1:5" hidden="1" x14ac:dyDescent="0.3">
      <c r="A135" s="62" t="s">
        <v>121</v>
      </c>
      <c r="B135" s="62" t="s">
        <v>563</v>
      </c>
      <c r="C135" s="64"/>
      <c r="D135" s="68"/>
      <c r="E135" s="66">
        <f t="shared" si="2"/>
        <v>0</v>
      </c>
    </row>
    <row r="136" spans="1:5" hidden="1" x14ac:dyDescent="0.3">
      <c r="A136" s="62" t="s">
        <v>101</v>
      </c>
      <c r="B136" s="62" t="s">
        <v>563</v>
      </c>
      <c r="C136" s="64"/>
      <c r="D136" s="68"/>
      <c r="E136" s="66">
        <f t="shared" si="2"/>
        <v>0</v>
      </c>
    </row>
    <row r="137" spans="1:5" x14ac:dyDescent="0.3">
      <c r="A137" s="62" t="s">
        <v>102</v>
      </c>
      <c r="B137" s="62" t="s">
        <v>563</v>
      </c>
      <c r="C137" s="64">
        <v>1060</v>
      </c>
      <c r="D137" s="68">
        <v>26000</v>
      </c>
      <c r="E137" s="66">
        <f t="shared" si="2"/>
        <v>27560000</v>
      </c>
    </row>
    <row r="138" spans="1:5" hidden="1" x14ac:dyDescent="0.3">
      <c r="A138" s="62" t="s">
        <v>103</v>
      </c>
      <c r="B138" s="62" t="s">
        <v>563</v>
      </c>
      <c r="C138" s="64"/>
      <c r="D138" s="68"/>
      <c r="E138" s="66">
        <f t="shared" si="2"/>
        <v>0</v>
      </c>
    </row>
    <row r="139" spans="1:5" hidden="1" x14ac:dyDescent="0.3">
      <c r="A139" s="62" t="s">
        <v>573</v>
      </c>
      <c r="B139" s="62" t="s">
        <v>563</v>
      </c>
      <c r="C139" s="64"/>
      <c r="D139" s="68"/>
      <c r="E139" s="66">
        <f t="shared" si="2"/>
        <v>0</v>
      </c>
    </row>
    <row r="140" spans="1:5" hidden="1" x14ac:dyDescent="0.3">
      <c r="A140" s="62" t="s">
        <v>573</v>
      </c>
      <c r="B140" s="62" t="s">
        <v>566</v>
      </c>
      <c r="C140" s="64"/>
      <c r="D140" s="68"/>
      <c r="E140" s="66">
        <f t="shared" si="2"/>
        <v>0</v>
      </c>
    </row>
    <row r="141" spans="1:5" hidden="1" x14ac:dyDescent="0.3">
      <c r="A141" s="62" t="s">
        <v>560</v>
      </c>
      <c r="B141" s="62" t="s">
        <v>563</v>
      </c>
      <c r="C141" s="64"/>
      <c r="D141" s="68"/>
      <c r="E141" s="66">
        <f t="shared" si="2"/>
        <v>0</v>
      </c>
    </row>
    <row r="142" spans="1:5" hidden="1" x14ac:dyDescent="0.3">
      <c r="A142" s="62" t="s">
        <v>560</v>
      </c>
      <c r="B142" s="62" t="s">
        <v>566</v>
      </c>
      <c r="C142" s="64"/>
      <c r="D142" s="68"/>
      <c r="E142" s="66">
        <f t="shared" si="2"/>
        <v>0</v>
      </c>
    </row>
    <row r="143" spans="1:5" hidden="1" x14ac:dyDescent="0.3">
      <c r="A143" s="62" t="s">
        <v>559</v>
      </c>
      <c r="B143" s="62" t="s">
        <v>563</v>
      </c>
      <c r="C143" s="64"/>
      <c r="D143" s="68"/>
      <c r="E143" s="66">
        <f t="shared" si="2"/>
        <v>0</v>
      </c>
    </row>
    <row r="144" spans="1:5" hidden="1" x14ac:dyDescent="0.3">
      <c r="A144" s="62" t="s">
        <v>559</v>
      </c>
      <c r="B144" s="62" t="s">
        <v>566</v>
      </c>
      <c r="C144" s="64"/>
      <c r="D144" s="68"/>
      <c r="E144" s="66">
        <f t="shared" si="2"/>
        <v>0</v>
      </c>
    </row>
    <row r="145" spans="1:5" hidden="1" x14ac:dyDescent="0.3">
      <c r="A145" s="62" t="s">
        <v>600</v>
      </c>
      <c r="B145" s="62" t="s">
        <v>566</v>
      </c>
      <c r="C145" s="64"/>
      <c r="D145" s="68"/>
      <c r="E145" s="66">
        <f t="shared" si="2"/>
        <v>0</v>
      </c>
    </row>
    <row r="146" spans="1:5" hidden="1" x14ac:dyDescent="0.3">
      <c r="A146" s="62" t="s">
        <v>610</v>
      </c>
      <c r="B146" s="62" t="s">
        <v>563</v>
      </c>
      <c r="C146" s="64"/>
      <c r="D146" s="68"/>
      <c r="E146" s="66">
        <f t="shared" si="2"/>
        <v>0</v>
      </c>
    </row>
    <row r="147" spans="1:5" hidden="1" x14ac:dyDescent="0.3">
      <c r="A147" s="62" t="s">
        <v>599</v>
      </c>
      <c r="B147" s="62" t="s">
        <v>566</v>
      </c>
      <c r="C147" s="64"/>
      <c r="D147" s="68"/>
      <c r="E147" s="66">
        <f t="shared" si="2"/>
        <v>0</v>
      </c>
    </row>
    <row r="148" spans="1:5" hidden="1" x14ac:dyDescent="0.3">
      <c r="A148" s="62" t="s">
        <v>108</v>
      </c>
      <c r="B148" s="62" t="s">
        <v>563</v>
      </c>
      <c r="C148" s="64"/>
      <c r="D148" s="68"/>
      <c r="E148" s="66">
        <f t="shared" si="2"/>
        <v>0</v>
      </c>
    </row>
    <row r="149" spans="1:5" x14ac:dyDescent="0.3">
      <c r="A149" s="62" t="s">
        <v>577</v>
      </c>
      <c r="B149" s="62" t="s">
        <v>566</v>
      </c>
      <c r="C149" s="64">
        <v>27</v>
      </c>
      <c r="D149" s="68">
        <v>20000</v>
      </c>
      <c r="E149" s="66">
        <f t="shared" si="2"/>
        <v>540000</v>
      </c>
    </row>
    <row r="150" spans="1:5" hidden="1" x14ac:dyDescent="0.3">
      <c r="A150" s="62" t="s">
        <v>118</v>
      </c>
      <c r="B150" s="62" t="s">
        <v>571</v>
      </c>
      <c r="C150" s="64"/>
      <c r="D150" s="68"/>
      <c r="E150" s="66">
        <f t="shared" si="2"/>
        <v>0</v>
      </c>
    </row>
    <row r="151" spans="1:5" hidden="1" x14ac:dyDescent="0.3">
      <c r="A151" s="62" t="s">
        <v>585</v>
      </c>
      <c r="B151" s="62" t="s">
        <v>563</v>
      </c>
      <c r="C151" s="64"/>
      <c r="D151" s="68"/>
      <c r="E151" s="66">
        <f t="shared" si="2"/>
        <v>0</v>
      </c>
    </row>
    <row r="152" spans="1:5" hidden="1" x14ac:dyDescent="0.3">
      <c r="A152" s="62" t="s">
        <v>619</v>
      </c>
      <c r="B152" s="62" t="s">
        <v>563</v>
      </c>
      <c r="C152" s="64"/>
      <c r="D152" s="68"/>
      <c r="E152" s="66">
        <f t="shared" si="2"/>
        <v>0</v>
      </c>
    </row>
    <row r="153" spans="1:5" hidden="1" x14ac:dyDescent="0.3">
      <c r="A153" s="62" t="s">
        <v>535</v>
      </c>
      <c r="B153" s="62" t="s">
        <v>563</v>
      </c>
      <c r="C153" s="64"/>
      <c r="D153" s="68"/>
      <c r="E153" s="66">
        <f t="shared" si="2"/>
        <v>0</v>
      </c>
    </row>
    <row r="154" spans="1:5" hidden="1" x14ac:dyDescent="0.3">
      <c r="A154" s="62" t="s">
        <v>116</v>
      </c>
      <c r="B154" s="62" t="s">
        <v>563</v>
      </c>
      <c r="C154" s="64"/>
      <c r="D154" s="68"/>
      <c r="E154" s="66">
        <f t="shared" si="2"/>
        <v>0</v>
      </c>
    </row>
    <row r="155" spans="1:5" hidden="1" x14ac:dyDescent="0.3">
      <c r="A155" s="62" t="s">
        <v>538</v>
      </c>
      <c r="B155" s="62" t="s">
        <v>563</v>
      </c>
      <c r="C155" s="64"/>
      <c r="D155" s="68"/>
      <c r="E155" s="66">
        <f t="shared" si="2"/>
        <v>0</v>
      </c>
    </row>
    <row r="156" spans="1:5" hidden="1" x14ac:dyDescent="0.3">
      <c r="A156" s="62" t="s">
        <v>524</v>
      </c>
      <c r="B156" s="62" t="s">
        <v>563</v>
      </c>
      <c r="C156" s="64"/>
      <c r="D156" s="68"/>
      <c r="E156" s="66">
        <f t="shared" si="2"/>
        <v>0</v>
      </c>
    </row>
    <row r="157" spans="1:5" hidden="1" x14ac:dyDescent="0.3">
      <c r="A157" s="62" t="s">
        <v>110</v>
      </c>
      <c r="B157" s="62" t="s">
        <v>563</v>
      </c>
      <c r="C157" s="64"/>
      <c r="D157" s="68"/>
      <c r="E157" s="66">
        <f t="shared" si="2"/>
        <v>0</v>
      </c>
    </row>
    <row r="158" spans="1:5" hidden="1" x14ac:dyDescent="0.3">
      <c r="A158" s="62" t="s">
        <v>120</v>
      </c>
      <c r="B158" s="62" t="s">
        <v>563</v>
      </c>
      <c r="C158" s="64"/>
      <c r="D158" s="68"/>
      <c r="E158" s="66">
        <f t="shared" si="2"/>
        <v>0</v>
      </c>
    </row>
    <row r="159" spans="1:5" hidden="1" x14ac:dyDescent="0.3">
      <c r="A159" s="62" t="s">
        <v>537</v>
      </c>
      <c r="B159" s="62" t="s">
        <v>563</v>
      </c>
      <c r="C159" s="64"/>
      <c r="D159" s="68"/>
      <c r="E159" s="66">
        <f t="shared" si="2"/>
        <v>0</v>
      </c>
    </row>
    <row r="160" spans="1:5" x14ac:dyDescent="0.3">
      <c r="A160" s="62" t="s">
        <v>109</v>
      </c>
      <c r="B160" s="62" t="s">
        <v>563</v>
      </c>
      <c r="C160" s="64">
        <v>2</v>
      </c>
      <c r="D160" s="68">
        <v>18000</v>
      </c>
      <c r="E160" s="66">
        <f t="shared" si="2"/>
        <v>36000</v>
      </c>
    </row>
    <row r="161" spans="1:5" hidden="1" x14ac:dyDescent="0.3">
      <c r="A161" s="62" t="s">
        <v>123</v>
      </c>
      <c r="B161" s="62" t="s">
        <v>563</v>
      </c>
      <c r="C161" s="64"/>
      <c r="D161" s="68"/>
      <c r="E161" s="66">
        <f t="shared" si="2"/>
        <v>0</v>
      </c>
    </row>
    <row r="162" spans="1:5" hidden="1" x14ac:dyDescent="0.3">
      <c r="A162" s="62" t="s">
        <v>583</v>
      </c>
      <c r="B162" s="62" t="s">
        <v>566</v>
      </c>
      <c r="C162" s="64"/>
      <c r="D162" s="68"/>
      <c r="E162" s="66">
        <f t="shared" si="2"/>
        <v>0</v>
      </c>
    </row>
    <row r="163" spans="1:5" hidden="1" x14ac:dyDescent="0.3">
      <c r="A163" s="62" t="e">
        <v>#N/A</v>
      </c>
      <c r="B163" s="62">
        <v>0</v>
      </c>
      <c r="C163" s="64"/>
      <c r="D163" s="68"/>
      <c r="E163" s="66">
        <f t="shared" si="2"/>
        <v>0</v>
      </c>
    </row>
    <row r="164" spans="1:5" hidden="1" x14ac:dyDescent="0.3">
      <c r="A164" s="89"/>
      <c r="B164" s="89"/>
      <c r="C164" s="90"/>
      <c r="D164" s="91"/>
      <c r="E164" s="66">
        <f t="shared" si="2"/>
        <v>0</v>
      </c>
    </row>
    <row r="165" spans="1:5" x14ac:dyDescent="0.3">
      <c r="A165" s="89" t="s">
        <v>552</v>
      </c>
      <c r="B165" s="62" t="s">
        <v>563</v>
      </c>
      <c r="C165" s="90">
        <v>53</v>
      </c>
      <c r="D165" s="91">
        <v>10000</v>
      </c>
      <c r="E165" s="66">
        <f t="shared" si="2"/>
        <v>530000</v>
      </c>
    </row>
    <row r="166" spans="1:5" x14ac:dyDescent="0.3">
      <c r="A166" s="89" t="s">
        <v>553</v>
      </c>
      <c r="B166" s="62" t="s">
        <v>563</v>
      </c>
      <c r="C166" s="90">
        <v>90</v>
      </c>
      <c r="D166" s="91">
        <v>15000</v>
      </c>
      <c r="E166" s="66">
        <f t="shared" si="2"/>
        <v>1350000</v>
      </c>
    </row>
    <row r="167" spans="1:5" x14ac:dyDescent="0.3">
      <c r="A167" s="89" t="s">
        <v>618</v>
      </c>
      <c r="B167" s="62" t="s">
        <v>563</v>
      </c>
      <c r="C167" s="90">
        <v>17</v>
      </c>
      <c r="D167" s="91">
        <v>18000</v>
      </c>
      <c r="E167" s="66">
        <f t="shared" si="2"/>
        <v>306000</v>
      </c>
    </row>
    <row r="168" spans="1:5" hidden="1" x14ac:dyDescent="0.3">
      <c r="E168" s="66">
        <f t="shared" si="2"/>
        <v>0</v>
      </c>
    </row>
    <row r="169" spans="1:5" ht="15.6" hidden="1" x14ac:dyDescent="0.3">
      <c r="A169" s="72"/>
      <c r="B169" s="72"/>
      <c r="C169" s="72"/>
      <c r="D169" s="72"/>
      <c r="E169" s="66">
        <f t="shared" si="2"/>
        <v>0</v>
      </c>
    </row>
    <row r="170" spans="1:5" ht="15.6" x14ac:dyDescent="0.3">
      <c r="A170" s="72" t="s">
        <v>642</v>
      </c>
      <c r="B170" s="62" t="s">
        <v>563</v>
      </c>
      <c r="C170" s="72">
        <v>64.5</v>
      </c>
      <c r="D170" s="72">
        <v>210000</v>
      </c>
      <c r="E170" s="66">
        <f t="shared" si="2"/>
        <v>13545000</v>
      </c>
    </row>
    <row r="171" spans="1:5" ht="15.6" x14ac:dyDescent="0.3">
      <c r="A171" s="72"/>
      <c r="B171" s="72"/>
      <c r="C171" s="72"/>
      <c r="D171" s="72"/>
      <c r="E171" s="66">
        <f>SUBTOTAL(9,E4:E170)</f>
        <v>128889500</v>
      </c>
    </row>
    <row r="172" spans="1:5" ht="31.2" x14ac:dyDescent="0.3">
      <c r="A172" s="48" t="s">
        <v>0</v>
      </c>
      <c r="B172" s="48" t="s">
        <v>562</v>
      </c>
      <c r="C172" s="49" t="s">
        <v>544</v>
      </c>
      <c r="D172" s="50" t="s">
        <v>594</v>
      </c>
      <c r="E172" s="66" t="s">
        <v>129</v>
      </c>
    </row>
    <row r="173" spans="1:5" ht="15.6" hidden="1" x14ac:dyDescent="0.3">
      <c r="A173" s="51" t="s">
        <v>1</v>
      </c>
      <c r="B173" s="51" t="s">
        <v>563</v>
      </c>
      <c r="C173" s="52"/>
      <c r="D173" s="53"/>
      <c r="E173" s="66">
        <f t="shared" si="2"/>
        <v>0</v>
      </c>
    </row>
    <row r="174" spans="1:5" ht="15.6" hidden="1" x14ac:dyDescent="0.3">
      <c r="A174" s="51" t="s">
        <v>117</v>
      </c>
      <c r="B174" s="51" t="s">
        <v>564</v>
      </c>
      <c r="C174" s="52"/>
      <c r="D174" s="53"/>
      <c r="E174" s="66">
        <f t="shared" si="2"/>
        <v>0</v>
      </c>
    </row>
    <row r="175" spans="1:5" ht="15.6" hidden="1" x14ac:dyDescent="0.3">
      <c r="A175" s="51" t="s">
        <v>5</v>
      </c>
      <c r="B175" s="51" t="s">
        <v>563</v>
      </c>
      <c r="C175" s="52"/>
      <c r="D175" s="53"/>
      <c r="E175" s="66">
        <f t="shared" si="2"/>
        <v>0</v>
      </c>
    </row>
    <row r="176" spans="1:5" ht="15.6" hidden="1" x14ac:dyDescent="0.3">
      <c r="A176" s="51" t="s">
        <v>6</v>
      </c>
      <c r="B176" s="51" t="s">
        <v>563</v>
      </c>
      <c r="C176" s="52"/>
      <c r="D176" s="53"/>
      <c r="E176" s="66">
        <f t="shared" si="2"/>
        <v>0</v>
      </c>
    </row>
    <row r="177" spans="1:5" ht="15.6" hidden="1" x14ac:dyDescent="0.3">
      <c r="A177" s="51" t="s">
        <v>8</v>
      </c>
      <c r="B177" s="51" t="s">
        <v>563</v>
      </c>
      <c r="C177" s="52"/>
      <c r="D177" s="53"/>
      <c r="E177" s="66">
        <f t="shared" si="2"/>
        <v>0</v>
      </c>
    </row>
    <row r="178" spans="1:5" ht="15.6" hidden="1" x14ac:dyDescent="0.3">
      <c r="A178" s="51" t="s">
        <v>119</v>
      </c>
      <c r="B178" s="51" t="s">
        <v>566</v>
      </c>
      <c r="C178" s="52"/>
      <c r="D178" s="53"/>
      <c r="E178" s="66">
        <f t="shared" si="2"/>
        <v>0</v>
      </c>
    </row>
    <row r="179" spans="1:5" ht="15.6" hidden="1" x14ac:dyDescent="0.3">
      <c r="A179" s="51" t="s">
        <v>12</v>
      </c>
      <c r="B179" s="51" t="s">
        <v>563</v>
      </c>
      <c r="C179" s="52"/>
      <c r="D179" s="53"/>
      <c r="E179" s="66">
        <f t="shared" si="2"/>
        <v>0</v>
      </c>
    </row>
    <row r="180" spans="1:5" ht="15.6" hidden="1" x14ac:dyDescent="0.3">
      <c r="A180" s="51" t="s">
        <v>14</v>
      </c>
      <c r="B180" s="51" t="s">
        <v>566</v>
      </c>
      <c r="C180" s="52"/>
      <c r="D180" s="53"/>
      <c r="E180" s="66">
        <f t="shared" si="2"/>
        <v>0</v>
      </c>
    </row>
    <row r="181" spans="1:5" ht="15.6" hidden="1" x14ac:dyDescent="0.3">
      <c r="A181" s="51" t="s">
        <v>15</v>
      </c>
      <c r="B181" s="51" t="s">
        <v>563</v>
      </c>
      <c r="C181" s="52"/>
      <c r="D181" s="53"/>
      <c r="E181" s="66">
        <f t="shared" si="2"/>
        <v>0</v>
      </c>
    </row>
    <row r="182" spans="1:5" ht="15.6" hidden="1" x14ac:dyDescent="0.3">
      <c r="A182" s="51" t="s">
        <v>16</v>
      </c>
      <c r="B182" s="51" t="s">
        <v>563</v>
      </c>
      <c r="C182" s="52"/>
      <c r="D182" s="53"/>
      <c r="E182" s="66">
        <f t="shared" si="2"/>
        <v>0</v>
      </c>
    </row>
    <row r="183" spans="1:5" ht="15.6" hidden="1" x14ac:dyDescent="0.3">
      <c r="A183" s="51" t="s">
        <v>110</v>
      </c>
      <c r="B183" s="51" t="s">
        <v>563</v>
      </c>
      <c r="C183" s="52"/>
      <c r="D183" s="53"/>
      <c r="E183" s="66">
        <f t="shared" si="2"/>
        <v>0</v>
      </c>
    </row>
    <row r="184" spans="1:5" ht="15.6" hidden="1" x14ac:dyDescent="0.3">
      <c r="A184" s="51" t="s">
        <v>17</v>
      </c>
      <c r="B184" s="51" t="s">
        <v>563</v>
      </c>
      <c r="C184" s="52"/>
      <c r="D184" s="53"/>
      <c r="E184" s="66">
        <f t="shared" si="2"/>
        <v>0</v>
      </c>
    </row>
    <row r="185" spans="1:5" ht="15.6" hidden="1" x14ac:dyDescent="0.3">
      <c r="A185" s="51" t="s">
        <v>21</v>
      </c>
      <c r="B185" s="51" t="s">
        <v>563</v>
      </c>
      <c r="C185" s="52"/>
      <c r="D185" s="53"/>
      <c r="E185" s="66">
        <f t="shared" si="2"/>
        <v>0</v>
      </c>
    </row>
    <row r="186" spans="1:5" ht="15.6" hidden="1" x14ac:dyDescent="0.3">
      <c r="A186" s="51" t="s">
        <v>22</v>
      </c>
      <c r="B186" s="51" t="s">
        <v>563</v>
      </c>
      <c r="C186" s="52"/>
      <c r="D186" s="53"/>
      <c r="E186" s="66">
        <f t="shared" si="2"/>
        <v>0</v>
      </c>
    </row>
    <row r="187" spans="1:5" ht="15.6" hidden="1" x14ac:dyDescent="0.3">
      <c r="A187" s="51" t="s">
        <v>23</v>
      </c>
      <c r="B187" s="51" t="s">
        <v>563</v>
      </c>
      <c r="C187" s="52"/>
      <c r="D187" s="53"/>
      <c r="E187" s="66">
        <f t="shared" si="2"/>
        <v>0</v>
      </c>
    </row>
    <row r="188" spans="1:5" ht="15.6" hidden="1" x14ac:dyDescent="0.3">
      <c r="A188" s="51" t="s">
        <v>27</v>
      </c>
      <c r="B188" s="51" t="s">
        <v>563</v>
      </c>
      <c r="C188" s="52"/>
      <c r="D188" s="53"/>
      <c r="E188" s="66">
        <f t="shared" si="2"/>
        <v>0</v>
      </c>
    </row>
    <row r="189" spans="1:5" ht="15.6" hidden="1" x14ac:dyDescent="0.3">
      <c r="A189" s="51" t="s">
        <v>28</v>
      </c>
      <c r="B189" s="51" t="s">
        <v>563</v>
      </c>
      <c r="C189" s="52"/>
      <c r="D189" s="53"/>
      <c r="E189" s="66">
        <f t="shared" si="2"/>
        <v>0</v>
      </c>
    </row>
    <row r="190" spans="1:5" ht="15.6" hidden="1" x14ac:dyDescent="0.3">
      <c r="A190" s="51" t="s">
        <v>29</v>
      </c>
      <c r="B190" s="51" t="s">
        <v>563</v>
      </c>
      <c r="C190" s="52"/>
      <c r="D190" s="53"/>
      <c r="E190" s="66">
        <f t="shared" si="2"/>
        <v>0</v>
      </c>
    </row>
    <row r="191" spans="1:5" ht="15.6" hidden="1" x14ac:dyDescent="0.3">
      <c r="A191" s="51" t="s">
        <v>39</v>
      </c>
      <c r="B191" s="51" t="s">
        <v>568</v>
      </c>
      <c r="C191" s="52"/>
      <c r="D191" s="53"/>
      <c r="E191" s="66">
        <f t="shared" si="2"/>
        <v>0</v>
      </c>
    </row>
    <row r="192" spans="1:5" ht="15.6" hidden="1" x14ac:dyDescent="0.3">
      <c r="A192" s="51" t="s">
        <v>41</v>
      </c>
      <c r="B192" s="51" t="s">
        <v>568</v>
      </c>
      <c r="C192" s="52"/>
      <c r="D192" s="53"/>
      <c r="E192" s="66">
        <f t="shared" si="2"/>
        <v>0</v>
      </c>
    </row>
    <row r="193" spans="1:5" ht="15.6" hidden="1" x14ac:dyDescent="0.3">
      <c r="A193" s="51" t="s">
        <v>46</v>
      </c>
      <c r="B193" s="51" t="s">
        <v>568</v>
      </c>
      <c r="C193" s="52"/>
      <c r="D193" s="53"/>
      <c r="E193" s="66">
        <f t="shared" si="2"/>
        <v>0</v>
      </c>
    </row>
    <row r="194" spans="1:5" ht="15.6" hidden="1" x14ac:dyDescent="0.3">
      <c r="A194" s="51" t="s">
        <v>48</v>
      </c>
      <c r="B194" s="51" t="s">
        <v>563</v>
      </c>
      <c r="C194" s="52"/>
      <c r="D194" s="53"/>
      <c r="E194" s="66">
        <f t="shared" si="2"/>
        <v>0</v>
      </c>
    </row>
    <row r="195" spans="1:5" ht="15.6" hidden="1" x14ac:dyDescent="0.3">
      <c r="A195" s="51" t="s">
        <v>50</v>
      </c>
      <c r="B195" s="51" t="s">
        <v>563</v>
      </c>
      <c r="C195" s="52"/>
      <c r="D195" s="53"/>
      <c r="E195" s="66">
        <f t="shared" si="2"/>
        <v>0</v>
      </c>
    </row>
    <row r="196" spans="1:5" ht="15.6" hidden="1" x14ac:dyDescent="0.3">
      <c r="A196" s="51" t="s">
        <v>51</v>
      </c>
      <c r="B196" s="51" t="s">
        <v>563</v>
      </c>
      <c r="C196" s="52"/>
      <c r="D196" s="53"/>
      <c r="E196" s="66">
        <f t="shared" si="2"/>
        <v>0</v>
      </c>
    </row>
    <row r="197" spans="1:5" ht="15.6" hidden="1" x14ac:dyDescent="0.3">
      <c r="A197" s="51" t="s">
        <v>53</v>
      </c>
      <c r="B197" s="51" t="s">
        <v>563</v>
      </c>
      <c r="C197" s="52"/>
      <c r="D197" s="53"/>
      <c r="E197" s="66">
        <f t="shared" si="2"/>
        <v>0</v>
      </c>
    </row>
    <row r="198" spans="1:5" ht="15.6" hidden="1" x14ac:dyDescent="0.3">
      <c r="A198" s="51" t="s">
        <v>56</v>
      </c>
      <c r="B198" s="51" t="s">
        <v>565</v>
      </c>
      <c r="C198" s="52"/>
      <c r="D198" s="53"/>
      <c r="E198" s="66">
        <f t="shared" si="2"/>
        <v>0</v>
      </c>
    </row>
    <row r="199" spans="1:5" ht="15.6" hidden="1" x14ac:dyDescent="0.3">
      <c r="A199" s="51" t="s">
        <v>60</v>
      </c>
      <c r="B199" s="51" t="s">
        <v>563</v>
      </c>
      <c r="C199" s="52"/>
      <c r="D199" s="53"/>
      <c r="E199" s="66">
        <f t="shared" ref="E199:E219" si="3">C199*D199</f>
        <v>0</v>
      </c>
    </row>
    <row r="200" spans="1:5" ht="15.6" hidden="1" x14ac:dyDescent="0.3">
      <c r="A200" s="51" t="s">
        <v>62</v>
      </c>
      <c r="B200" s="51" t="s">
        <v>563</v>
      </c>
      <c r="C200" s="52"/>
      <c r="D200" s="53"/>
      <c r="E200" s="66">
        <f t="shared" si="3"/>
        <v>0</v>
      </c>
    </row>
    <row r="201" spans="1:5" ht="15.6" hidden="1" x14ac:dyDescent="0.3">
      <c r="A201" s="51" t="s">
        <v>67</v>
      </c>
      <c r="B201" s="51" t="s">
        <v>566</v>
      </c>
      <c r="C201" s="52"/>
      <c r="D201" s="53"/>
      <c r="E201" s="66">
        <f t="shared" si="3"/>
        <v>0</v>
      </c>
    </row>
    <row r="202" spans="1:5" ht="15.6" x14ac:dyDescent="0.3">
      <c r="A202" s="51" t="s">
        <v>68</v>
      </c>
      <c r="B202" s="51" t="s">
        <v>566</v>
      </c>
      <c r="C202" s="52">
        <v>3</v>
      </c>
      <c r="D202" s="53">
        <v>11000</v>
      </c>
      <c r="E202" s="66">
        <f t="shared" si="3"/>
        <v>33000</v>
      </c>
    </row>
    <row r="203" spans="1:5" ht="15.6" x14ac:dyDescent="0.3">
      <c r="A203" s="51" t="s">
        <v>72</v>
      </c>
      <c r="B203" s="51" t="s">
        <v>564</v>
      </c>
      <c r="C203" s="52">
        <v>4</v>
      </c>
      <c r="D203" s="53">
        <v>12000</v>
      </c>
      <c r="E203" s="66">
        <f t="shared" si="3"/>
        <v>48000</v>
      </c>
    </row>
    <row r="204" spans="1:5" ht="15.6" hidden="1" x14ac:dyDescent="0.3">
      <c r="A204" s="51" t="s">
        <v>76</v>
      </c>
      <c r="B204" s="51" t="s">
        <v>563</v>
      </c>
      <c r="C204" s="52"/>
      <c r="D204" s="53"/>
      <c r="E204" s="66">
        <f t="shared" si="3"/>
        <v>0</v>
      </c>
    </row>
    <row r="205" spans="1:5" ht="15.6" hidden="1" x14ac:dyDescent="0.3">
      <c r="A205" s="51" t="s">
        <v>78</v>
      </c>
      <c r="B205" s="51" t="s">
        <v>563</v>
      </c>
      <c r="C205" s="52"/>
      <c r="D205" s="53"/>
      <c r="E205" s="66">
        <f t="shared" si="3"/>
        <v>0</v>
      </c>
    </row>
    <row r="206" spans="1:5" ht="15.6" hidden="1" x14ac:dyDescent="0.3">
      <c r="A206" s="51" t="s">
        <v>79</v>
      </c>
      <c r="B206" s="51" t="s">
        <v>563</v>
      </c>
      <c r="C206" s="52"/>
      <c r="D206" s="53"/>
      <c r="E206" s="66">
        <f t="shared" si="3"/>
        <v>0</v>
      </c>
    </row>
    <row r="207" spans="1:5" ht="15.6" hidden="1" x14ac:dyDescent="0.3">
      <c r="A207" s="51" t="s">
        <v>82</v>
      </c>
      <c r="B207" s="51" t="s">
        <v>563</v>
      </c>
      <c r="C207" s="52"/>
      <c r="D207" s="53"/>
      <c r="E207" s="66">
        <f t="shared" si="3"/>
        <v>0</v>
      </c>
    </row>
    <row r="208" spans="1:5" ht="15.6" x14ac:dyDescent="0.3">
      <c r="A208" s="51" t="s">
        <v>87</v>
      </c>
      <c r="B208" s="51" t="s">
        <v>563</v>
      </c>
      <c r="C208" s="52">
        <v>110</v>
      </c>
      <c r="D208" s="53">
        <v>12000</v>
      </c>
      <c r="E208" s="66">
        <f t="shared" si="3"/>
        <v>1320000</v>
      </c>
    </row>
    <row r="209" spans="1:5" ht="15.6" hidden="1" x14ac:dyDescent="0.3">
      <c r="A209" s="51" t="s">
        <v>120</v>
      </c>
      <c r="B209" s="51" t="s">
        <v>563</v>
      </c>
      <c r="C209" s="52"/>
      <c r="D209" s="53"/>
      <c r="E209" s="66">
        <f t="shared" si="3"/>
        <v>0</v>
      </c>
    </row>
    <row r="210" spans="1:5" ht="15.6" hidden="1" x14ac:dyDescent="0.3">
      <c r="A210" s="51" t="s">
        <v>109</v>
      </c>
      <c r="B210" s="51" t="s">
        <v>563</v>
      </c>
      <c r="C210" s="52"/>
      <c r="D210" s="53"/>
      <c r="E210" s="66">
        <f t="shared" si="3"/>
        <v>0</v>
      </c>
    </row>
    <row r="211" spans="1:5" ht="15.6" hidden="1" x14ac:dyDescent="0.3">
      <c r="A211" s="51" t="s">
        <v>121</v>
      </c>
      <c r="B211" s="51" t="s">
        <v>563</v>
      </c>
      <c r="C211" s="52"/>
      <c r="D211" s="53"/>
      <c r="E211" s="66">
        <f t="shared" si="3"/>
        <v>0</v>
      </c>
    </row>
    <row r="212" spans="1:5" ht="15.6" hidden="1" x14ac:dyDescent="0.3">
      <c r="A212" s="115" t="s">
        <v>111</v>
      </c>
      <c r="B212" s="115" t="s">
        <v>563</v>
      </c>
      <c r="C212" s="116"/>
      <c r="D212" s="117"/>
      <c r="E212" s="71">
        <f t="shared" si="3"/>
        <v>0</v>
      </c>
    </row>
    <row r="213" spans="1:5" ht="15.6" x14ac:dyDescent="0.3">
      <c r="A213" s="51" t="s">
        <v>122</v>
      </c>
      <c r="B213" s="51" t="s">
        <v>563</v>
      </c>
      <c r="C213" s="52">
        <v>20</v>
      </c>
      <c r="D213" s="53">
        <v>50000</v>
      </c>
      <c r="E213" s="66">
        <f t="shared" si="3"/>
        <v>1000000</v>
      </c>
    </row>
    <row r="214" spans="1:5" ht="15.6" hidden="1" x14ac:dyDescent="0.3">
      <c r="A214" s="76" t="s">
        <v>123</v>
      </c>
      <c r="B214" s="76" t="s">
        <v>563</v>
      </c>
      <c r="C214" s="77"/>
      <c r="D214" s="78"/>
      <c r="E214" s="118">
        <f t="shared" si="3"/>
        <v>0</v>
      </c>
    </row>
    <row r="215" spans="1:5" ht="15.6" hidden="1" x14ac:dyDescent="0.3">
      <c r="A215" s="51" t="s">
        <v>92</v>
      </c>
      <c r="B215" s="51" t="s">
        <v>563</v>
      </c>
      <c r="C215" s="52"/>
      <c r="D215" s="53"/>
      <c r="E215" s="66">
        <f t="shared" si="3"/>
        <v>0</v>
      </c>
    </row>
    <row r="216" spans="1:5" ht="15.6" hidden="1" x14ac:dyDescent="0.3">
      <c r="A216" s="51" t="s">
        <v>124</v>
      </c>
      <c r="B216" s="51" t="s">
        <v>566</v>
      </c>
      <c r="C216" s="52"/>
      <c r="D216" s="53"/>
      <c r="E216" s="66">
        <f t="shared" si="3"/>
        <v>0</v>
      </c>
    </row>
    <row r="217" spans="1:5" ht="15.6" hidden="1" x14ac:dyDescent="0.3">
      <c r="A217" s="51" t="e">
        <v>#N/A</v>
      </c>
      <c r="B217" s="51">
        <v>0</v>
      </c>
      <c r="C217" s="52"/>
      <c r="D217" s="53"/>
      <c r="E217" s="66">
        <f t="shared" si="3"/>
        <v>0</v>
      </c>
    </row>
    <row r="218" spans="1:5" ht="15.6" hidden="1" x14ac:dyDescent="0.3">
      <c r="A218" s="72"/>
      <c r="B218" s="72"/>
      <c r="C218" s="72"/>
      <c r="D218" s="72"/>
      <c r="E218" s="71">
        <f t="shared" si="3"/>
        <v>0</v>
      </c>
    </row>
    <row r="219" spans="1:5" ht="15.6" x14ac:dyDescent="0.3">
      <c r="A219" s="119" t="s">
        <v>620</v>
      </c>
      <c r="B219" s="119"/>
      <c r="C219" s="119">
        <v>779</v>
      </c>
      <c r="D219" s="119">
        <v>6000</v>
      </c>
      <c r="E219" s="66">
        <f t="shared" si="3"/>
        <v>4674000</v>
      </c>
    </row>
    <row r="220" spans="1:5" x14ac:dyDescent="0.3">
      <c r="E220" s="83">
        <f>SUM(E202:E219)</f>
        <v>7075000</v>
      </c>
    </row>
    <row r="222" spans="1:5" x14ac:dyDescent="0.3">
      <c r="E222" s="161">
        <f>+E171+E220</f>
        <v>135964500</v>
      </c>
    </row>
  </sheetData>
  <autoFilter ref="A3:E219" xr:uid="{00000000-0009-0000-0000-00001A000000}">
    <filterColumn colId="2">
      <customFilters>
        <customFilter operator="notEqual" val=" "/>
      </customFilters>
    </filterColumn>
  </autoFilter>
  <pageMargins left="0.7" right="0.7" top="0.75" bottom="0.75" header="0.3" footer="0.3"/>
  <pageSetup paperSize="9" scale="8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>
    <pageSetUpPr fitToPage="1"/>
  </sheetPr>
  <dimension ref="A1:E213"/>
  <sheetViews>
    <sheetView workbookViewId="0">
      <pane xSplit="1" ySplit="3" topLeftCell="B49" activePane="bottomRight" state="frozen"/>
      <selection pane="topRight" activeCell="B1" sqref="B1"/>
      <selection pane="bottomLeft" activeCell="A4" sqref="A4"/>
      <selection pane="bottomRight" activeCell="C215" sqref="C215"/>
    </sheetView>
  </sheetViews>
  <sheetFormatPr defaultColWidth="8.88671875" defaultRowHeight="15.6" x14ac:dyDescent="0.3"/>
  <cols>
    <col min="1" max="1" width="31" style="120" customWidth="1"/>
    <col min="2" max="2" width="7.88671875" style="120" customWidth="1"/>
    <col min="3" max="3" width="13.44140625" style="121" bestFit="1" customWidth="1"/>
    <col min="4" max="4" width="16.44140625" style="129" bestFit="1" customWidth="1"/>
    <col min="5" max="5" width="20.33203125" style="129" customWidth="1"/>
    <col min="6" max="16384" width="8.88671875" style="127"/>
  </cols>
  <sheetData>
    <row r="1" spans="1:5" s="120" customFormat="1" x14ac:dyDescent="0.3">
      <c r="C1" s="121"/>
      <c r="D1" s="121"/>
      <c r="E1" s="121"/>
    </row>
    <row r="2" spans="1:5" s="120" customFormat="1" x14ac:dyDescent="0.3">
      <c r="C2" s="121"/>
      <c r="D2" s="121"/>
      <c r="E2" s="121"/>
    </row>
    <row r="3" spans="1:5" s="125" customFormat="1" ht="31.2" x14ac:dyDescent="0.3">
      <c r="A3" s="138" t="s">
        <v>628</v>
      </c>
      <c r="B3" s="138" t="s">
        <v>562</v>
      </c>
      <c r="C3" s="124" t="s">
        <v>544</v>
      </c>
      <c r="D3" s="139" t="s">
        <v>623</v>
      </c>
      <c r="E3" s="124" t="s">
        <v>624</v>
      </c>
    </row>
    <row r="4" spans="1:5" x14ac:dyDescent="0.3">
      <c r="A4" s="133" t="s">
        <v>21</v>
      </c>
      <c r="B4" s="134" t="s">
        <v>563</v>
      </c>
      <c r="C4" s="123">
        <v>14</v>
      </c>
      <c r="D4" s="128">
        <v>16000</v>
      </c>
      <c r="E4" s="126">
        <f t="shared" ref="E4:E35" si="0">+D4*C4</f>
        <v>224000</v>
      </c>
    </row>
    <row r="5" spans="1:5" x14ac:dyDescent="0.3">
      <c r="A5" s="133" t="s">
        <v>22</v>
      </c>
      <c r="B5" s="134" t="s">
        <v>563</v>
      </c>
      <c r="C5" s="123">
        <v>220</v>
      </c>
      <c r="D5" s="128">
        <v>9000</v>
      </c>
      <c r="E5" s="126">
        <f t="shared" si="0"/>
        <v>1980000</v>
      </c>
    </row>
    <row r="6" spans="1:5" x14ac:dyDescent="0.3">
      <c r="A6" s="133" t="s">
        <v>23</v>
      </c>
      <c r="B6" s="134" t="s">
        <v>563</v>
      </c>
      <c r="C6" s="123">
        <v>336</v>
      </c>
      <c r="D6" s="128">
        <v>7500</v>
      </c>
      <c r="E6" s="126">
        <f t="shared" si="0"/>
        <v>2520000</v>
      </c>
    </row>
    <row r="7" spans="1:5" hidden="1" x14ac:dyDescent="0.3">
      <c r="A7" s="54" t="s">
        <v>48</v>
      </c>
      <c r="B7" s="54" t="s">
        <v>563</v>
      </c>
      <c r="C7" s="55"/>
      <c r="D7" s="128"/>
      <c r="E7" s="126">
        <f t="shared" si="0"/>
        <v>0</v>
      </c>
    </row>
    <row r="8" spans="1:5" x14ac:dyDescent="0.3">
      <c r="A8" s="133" t="s">
        <v>49</v>
      </c>
      <c r="B8" s="134" t="s">
        <v>563</v>
      </c>
      <c r="C8" s="123">
        <v>21</v>
      </c>
      <c r="D8" s="128">
        <v>9000</v>
      </c>
      <c r="E8" s="126">
        <f t="shared" si="0"/>
        <v>189000</v>
      </c>
    </row>
    <row r="9" spans="1:5" x14ac:dyDescent="0.3">
      <c r="A9" s="133" t="s">
        <v>50</v>
      </c>
      <c r="B9" s="134" t="s">
        <v>563</v>
      </c>
      <c r="C9" s="123">
        <v>1000</v>
      </c>
      <c r="D9" s="128">
        <v>6000</v>
      </c>
      <c r="E9" s="126">
        <f t="shared" si="0"/>
        <v>6000000</v>
      </c>
    </row>
    <row r="10" spans="1:5" hidden="1" x14ac:dyDescent="0.3">
      <c r="A10" s="54" t="s">
        <v>84</v>
      </c>
      <c r="B10" s="54" t="s">
        <v>563</v>
      </c>
      <c r="C10" s="55"/>
      <c r="D10" s="128"/>
      <c r="E10" s="126">
        <f t="shared" si="0"/>
        <v>0</v>
      </c>
    </row>
    <row r="11" spans="1:5" hidden="1" x14ac:dyDescent="0.3">
      <c r="A11" s="54" t="s">
        <v>121</v>
      </c>
      <c r="B11" s="54" t="s">
        <v>563</v>
      </c>
      <c r="C11" s="55"/>
      <c r="D11" s="128"/>
      <c r="E11" s="126">
        <f t="shared" si="0"/>
        <v>0</v>
      </c>
    </row>
    <row r="12" spans="1:5" x14ac:dyDescent="0.3">
      <c r="A12" s="133" t="s">
        <v>51</v>
      </c>
      <c r="B12" s="134" t="s">
        <v>563</v>
      </c>
      <c r="C12" s="123">
        <v>50</v>
      </c>
      <c r="D12" s="128">
        <v>18000</v>
      </c>
      <c r="E12" s="126">
        <f t="shared" si="0"/>
        <v>900000</v>
      </c>
    </row>
    <row r="13" spans="1:5" hidden="1" x14ac:dyDescent="0.3">
      <c r="A13" s="54" t="s">
        <v>51</v>
      </c>
      <c r="B13" s="54" t="s">
        <v>570</v>
      </c>
      <c r="C13" s="55"/>
      <c r="D13" s="128"/>
      <c r="E13" s="126">
        <f t="shared" si="0"/>
        <v>0</v>
      </c>
    </row>
    <row r="14" spans="1:5" x14ac:dyDescent="0.3">
      <c r="A14" s="133" t="s">
        <v>52</v>
      </c>
      <c r="B14" s="134" t="s">
        <v>563</v>
      </c>
      <c r="C14" s="123">
        <v>62</v>
      </c>
      <c r="D14" s="128">
        <v>14000</v>
      </c>
      <c r="E14" s="126">
        <f t="shared" si="0"/>
        <v>868000</v>
      </c>
    </row>
    <row r="15" spans="1:5" hidden="1" x14ac:dyDescent="0.3">
      <c r="A15" s="54" t="s">
        <v>52</v>
      </c>
      <c r="B15" s="54" t="s">
        <v>570</v>
      </c>
      <c r="C15" s="55"/>
      <c r="D15" s="128"/>
      <c r="E15" s="126">
        <f t="shared" si="0"/>
        <v>0</v>
      </c>
    </row>
    <row r="16" spans="1:5" hidden="1" x14ac:dyDescent="0.3">
      <c r="A16" s="54" t="s">
        <v>90</v>
      </c>
      <c r="B16" s="54" t="s">
        <v>563</v>
      </c>
      <c r="C16" s="55"/>
      <c r="D16" s="128"/>
      <c r="E16" s="126">
        <f t="shared" si="0"/>
        <v>0</v>
      </c>
    </row>
    <row r="17" spans="1:5" x14ac:dyDescent="0.3">
      <c r="A17" s="133" t="s">
        <v>92</v>
      </c>
      <c r="B17" s="134" t="s">
        <v>563</v>
      </c>
      <c r="C17" s="123">
        <v>55</v>
      </c>
      <c r="D17" s="128">
        <v>16000</v>
      </c>
      <c r="E17" s="126">
        <f t="shared" si="0"/>
        <v>880000</v>
      </c>
    </row>
    <row r="18" spans="1:5" hidden="1" x14ac:dyDescent="0.3">
      <c r="A18" s="54" t="s">
        <v>91</v>
      </c>
      <c r="B18" s="54" t="s">
        <v>563</v>
      </c>
      <c r="C18" s="55"/>
      <c r="D18" s="128"/>
      <c r="E18" s="126">
        <f t="shared" si="0"/>
        <v>0</v>
      </c>
    </row>
    <row r="19" spans="1:5" hidden="1" x14ac:dyDescent="0.3">
      <c r="A19" s="54" t="s">
        <v>116</v>
      </c>
      <c r="B19" s="54" t="s">
        <v>563</v>
      </c>
      <c r="C19" s="55"/>
      <c r="D19" s="128"/>
      <c r="E19" s="126">
        <f t="shared" si="0"/>
        <v>0</v>
      </c>
    </row>
    <row r="20" spans="1:5" hidden="1" x14ac:dyDescent="0.3">
      <c r="A20" s="54" t="s">
        <v>110</v>
      </c>
      <c r="B20" s="54" t="s">
        <v>563</v>
      </c>
      <c r="C20" s="55"/>
      <c r="D20" s="128"/>
      <c r="E20" s="126">
        <f t="shared" si="0"/>
        <v>0</v>
      </c>
    </row>
    <row r="21" spans="1:5" hidden="1" x14ac:dyDescent="0.3">
      <c r="A21" s="54" t="s">
        <v>524</v>
      </c>
      <c r="B21" s="54" t="s">
        <v>563</v>
      </c>
      <c r="C21" s="55"/>
      <c r="D21" s="128"/>
      <c r="E21" s="126">
        <f t="shared" si="0"/>
        <v>0</v>
      </c>
    </row>
    <row r="22" spans="1:5" hidden="1" x14ac:dyDescent="0.3">
      <c r="A22" s="54" t="s">
        <v>18</v>
      </c>
      <c r="B22" s="54" t="s">
        <v>563</v>
      </c>
      <c r="C22" s="57"/>
      <c r="D22" s="126"/>
      <c r="E22" s="126">
        <f t="shared" si="0"/>
        <v>0</v>
      </c>
    </row>
    <row r="23" spans="1:5" hidden="1" x14ac:dyDescent="0.3">
      <c r="A23" s="54" t="s">
        <v>19</v>
      </c>
      <c r="B23" s="54" t="s">
        <v>563</v>
      </c>
      <c r="C23" s="57"/>
      <c r="D23" s="126"/>
      <c r="E23" s="126">
        <f t="shared" si="0"/>
        <v>0</v>
      </c>
    </row>
    <row r="24" spans="1:5" hidden="1" x14ac:dyDescent="0.3">
      <c r="A24" s="54" t="s">
        <v>19</v>
      </c>
      <c r="B24" s="54" t="s">
        <v>564</v>
      </c>
      <c r="C24" s="57"/>
      <c r="D24" s="126"/>
      <c r="E24" s="126">
        <f t="shared" si="0"/>
        <v>0</v>
      </c>
    </row>
    <row r="25" spans="1:5" x14ac:dyDescent="0.3">
      <c r="A25" s="133" t="s">
        <v>53</v>
      </c>
      <c r="B25" s="134" t="s">
        <v>563</v>
      </c>
      <c r="C25" s="123">
        <v>116</v>
      </c>
      <c r="D25" s="128">
        <v>22000</v>
      </c>
      <c r="E25" s="126">
        <f t="shared" si="0"/>
        <v>2552000</v>
      </c>
    </row>
    <row r="26" spans="1:5" hidden="1" x14ac:dyDescent="0.3">
      <c r="A26" s="54" t="s">
        <v>53</v>
      </c>
      <c r="B26" s="54" t="s">
        <v>564</v>
      </c>
      <c r="C26" s="55"/>
      <c r="D26" s="128"/>
      <c r="E26" s="126">
        <f t="shared" si="0"/>
        <v>0</v>
      </c>
    </row>
    <row r="27" spans="1:5" ht="16.2" hidden="1" customHeight="1" x14ac:dyDescent="0.3">
      <c r="A27" s="54" t="s">
        <v>54</v>
      </c>
      <c r="B27" s="54" t="s">
        <v>563</v>
      </c>
      <c r="C27" s="55"/>
      <c r="D27" s="128"/>
      <c r="E27" s="126">
        <f t="shared" si="0"/>
        <v>0</v>
      </c>
    </row>
    <row r="28" spans="1:5" hidden="1" x14ac:dyDescent="0.3">
      <c r="A28" s="54" t="s">
        <v>54</v>
      </c>
      <c r="B28" s="54" t="s">
        <v>564</v>
      </c>
      <c r="C28" s="55"/>
      <c r="D28" s="128"/>
      <c r="E28" s="126">
        <f t="shared" si="0"/>
        <v>0</v>
      </c>
    </row>
    <row r="29" spans="1:5" hidden="1" x14ac:dyDescent="0.3">
      <c r="A29" s="54" t="s">
        <v>55</v>
      </c>
      <c r="B29" s="54" t="s">
        <v>564</v>
      </c>
      <c r="C29" s="55"/>
      <c r="D29" s="128"/>
      <c r="E29" s="126">
        <f t="shared" si="0"/>
        <v>0</v>
      </c>
    </row>
    <row r="30" spans="1:5" x14ac:dyDescent="0.3">
      <c r="A30" s="133" t="s">
        <v>56</v>
      </c>
      <c r="B30" s="134" t="s">
        <v>565</v>
      </c>
      <c r="C30" s="123">
        <v>129</v>
      </c>
      <c r="D30" s="128">
        <v>9000</v>
      </c>
      <c r="E30" s="126">
        <f t="shared" si="0"/>
        <v>1161000</v>
      </c>
    </row>
    <row r="31" spans="1:5" hidden="1" x14ac:dyDescent="0.3">
      <c r="A31" s="54" t="s">
        <v>525</v>
      </c>
      <c r="B31" s="54" t="s">
        <v>563</v>
      </c>
      <c r="C31" s="55"/>
      <c r="D31" s="128"/>
      <c r="E31" s="126">
        <f t="shared" si="0"/>
        <v>0</v>
      </c>
    </row>
    <row r="32" spans="1:5" x14ac:dyDescent="0.3">
      <c r="A32" s="133" t="s">
        <v>103</v>
      </c>
      <c r="B32" s="134" t="s">
        <v>563</v>
      </c>
      <c r="C32" s="123">
        <v>6</v>
      </c>
      <c r="D32" s="128">
        <v>25000</v>
      </c>
      <c r="E32" s="126">
        <f t="shared" si="0"/>
        <v>150000</v>
      </c>
    </row>
    <row r="33" spans="1:5" hidden="1" x14ac:dyDescent="0.3">
      <c r="A33" s="54" t="s">
        <v>57</v>
      </c>
      <c r="B33" s="54" t="s">
        <v>565</v>
      </c>
      <c r="C33" s="55"/>
      <c r="D33" s="128"/>
      <c r="E33" s="126">
        <f t="shared" si="0"/>
        <v>0</v>
      </c>
    </row>
    <row r="34" spans="1:5" hidden="1" x14ac:dyDescent="0.3">
      <c r="A34" s="54" t="s">
        <v>57</v>
      </c>
      <c r="B34" s="54" t="s">
        <v>563</v>
      </c>
      <c r="C34" s="55"/>
      <c r="D34" s="128"/>
      <c r="E34" s="126">
        <f t="shared" si="0"/>
        <v>0</v>
      </c>
    </row>
    <row r="35" spans="1:5" x14ac:dyDescent="0.3">
      <c r="A35" s="133" t="s">
        <v>58</v>
      </c>
      <c r="B35" s="134" t="s">
        <v>563</v>
      </c>
      <c r="C35" s="123">
        <v>8</v>
      </c>
      <c r="D35" s="128">
        <v>24000</v>
      </c>
      <c r="E35" s="126">
        <f t="shared" si="0"/>
        <v>192000</v>
      </c>
    </row>
    <row r="36" spans="1:5" x14ac:dyDescent="0.3">
      <c r="A36" s="133" t="s">
        <v>59</v>
      </c>
      <c r="B36" s="134" t="s">
        <v>565</v>
      </c>
      <c r="C36" s="123">
        <v>67</v>
      </c>
      <c r="D36" s="128">
        <v>6000</v>
      </c>
      <c r="E36" s="126">
        <f t="shared" ref="E36:E67" si="1">+D36*C36</f>
        <v>402000</v>
      </c>
    </row>
    <row r="37" spans="1:5" hidden="1" x14ac:dyDescent="0.3">
      <c r="A37" s="54" t="s">
        <v>86</v>
      </c>
      <c r="B37" s="54" t="s">
        <v>565</v>
      </c>
      <c r="C37" s="55"/>
      <c r="D37" s="128"/>
      <c r="E37" s="126">
        <f t="shared" si="1"/>
        <v>0</v>
      </c>
    </row>
    <row r="38" spans="1:5" x14ac:dyDescent="0.3">
      <c r="A38" s="133" t="s">
        <v>60</v>
      </c>
      <c r="B38" s="134" t="s">
        <v>563</v>
      </c>
      <c r="C38" s="123">
        <v>480</v>
      </c>
      <c r="D38" s="128">
        <v>19000</v>
      </c>
      <c r="E38" s="126">
        <f t="shared" si="1"/>
        <v>9120000</v>
      </c>
    </row>
    <row r="39" spans="1:5" hidden="1" x14ac:dyDescent="0.3">
      <c r="A39" s="54" t="s">
        <v>60</v>
      </c>
      <c r="B39" s="54" t="s">
        <v>566</v>
      </c>
      <c r="C39" s="55"/>
      <c r="D39" s="128"/>
      <c r="E39" s="126">
        <f t="shared" si="1"/>
        <v>0</v>
      </c>
    </row>
    <row r="40" spans="1:5" hidden="1" x14ac:dyDescent="0.3">
      <c r="A40" s="54" t="s">
        <v>60</v>
      </c>
      <c r="B40" s="54" t="s">
        <v>564</v>
      </c>
      <c r="C40" s="55"/>
      <c r="D40" s="128"/>
      <c r="E40" s="126">
        <f t="shared" si="1"/>
        <v>0</v>
      </c>
    </row>
    <row r="41" spans="1:5" x14ac:dyDescent="0.3">
      <c r="A41" s="133" t="s">
        <v>61</v>
      </c>
      <c r="B41" s="134" t="s">
        <v>566</v>
      </c>
      <c r="C41" s="123">
        <v>100</v>
      </c>
      <c r="D41" s="128">
        <v>17000</v>
      </c>
      <c r="E41" s="126">
        <f t="shared" si="1"/>
        <v>1700000</v>
      </c>
    </row>
    <row r="42" spans="1:5" x14ac:dyDescent="0.3">
      <c r="A42" s="133" t="s">
        <v>1</v>
      </c>
      <c r="B42" s="134" t="s">
        <v>563</v>
      </c>
      <c r="C42" s="123">
        <v>20</v>
      </c>
      <c r="D42" s="128">
        <v>20000</v>
      </c>
      <c r="E42" s="126">
        <f t="shared" si="1"/>
        <v>400000</v>
      </c>
    </row>
    <row r="43" spans="1:5" hidden="1" x14ac:dyDescent="0.3">
      <c r="A43" s="54" t="s">
        <v>1</v>
      </c>
      <c r="B43" s="54" t="s">
        <v>566</v>
      </c>
      <c r="C43" s="57"/>
      <c r="D43" s="126"/>
      <c r="E43" s="126">
        <f t="shared" si="1"/>
        <v>0</v>
      </c>
    </row>
    <row r="44" spans="1:5" hidden="1" x14ac:dyDescent="0.3">
      <c r="A44" s="54" t="s">
        <v>2</v>
      </c>
      <c r="B44" s="54" t="s">
        <v>563</v>
      </c>
      <c r="C44" s="57"/>
      <c r="D44" s="126"/>
      <c r="E44" s="126">
        <f t="shared" si="1"/>
        <v>0</v>
      </c>
    </row>
    <row r="45" spans="1:5" ht="13.2" hidden="1" customHeight="1" x14ac:dyDescent="0.3">
      <c r="A45" s="54" t="s">
        <v>2</v>
      </c>
      <c r="B45" s="54" t="s">
        <v>564</v>
      </c>
      <c r="C45" s="57"/>
      <c r="D45" s="126"/>
      <c r="E45" s="126">
        <f t="shared" si="1"/>
        <v>0</v>
      </c>
    </row>
    <row r="46" spans="1:5" x14ac:dyDescent="0.3">
      <c r="A46" s="133" t="s">
        <v>62</v>
      </c>
      <c r="B46" s="134" t="s">
        <v>563</v>
      </c>
      <c r="C46" s="123">
        <v>2</v>
      </c>
      <c r="D46" s="128">
        <v>9000</v>
      </c>
      <c r="E46" s="126">
        <f t="shared" si="1"/>
        <v>18000</v>
      </c>
    </row>
    <row r="47" spans="1:5" hidden="1" x14ac:dyDescent="0.3">
      <c r="A47" s="54" t="s">
        <v>63</v>
      </c>
      <c r="B47" s="54" t="s">
        <v>564</v>
      </c>
      <c r="C47" s="55"/>
      <c r="D47" s="128"/>
      <c r="E47" s="126">
        <f t="shared" si="1"/>
        <v>0</v>
      </c>
    </row>
    <row r="48" spans="1:5" hidden="1" x14ac:dyDescent="0.3">
      <c r="A48" s="54" t="s">
        <v>583</v>
      </c>
      <c r="B48" s="54" t="s">
        <v>566</v>
      </c>
      <c r="C48" s="55"/>
      <c r="D48" s="128"/>
      <c r="E48" s="126">
        <f t="shared" si="1"/>
        <v>0</v>
      </c>
    </row>
    <row r="49" spans="1:5" x14ac:dyDescent="0.3">
      <c r="A49" s="133" t="s">
        <v>24</v>
      </c>
      <c r="B49" s="134" t="s">
        <v>563</v>
      </c>
      <c r="C49" s="123">
        <v>3</v>
      </c>
      <c r="D49" s="128">
        <v>32000</v>
      </c>
      <c r="E49" s="126">
        <f t="shared" si="1"/>
        <v>96000</v>
      </c>
    </row>
    <row r="50" spans="1:5" hidden="1" x14ac:dyDescent="0.3">
      <c r="A50" s="54" t="s">
        <v>24</v>
      </c>
      <c r="B50" s="54" t="s">
        <v>566</v>
      </c>
      <c r="C50" s="57"/>
      <c r="D50" s="126"/>
      <c r="E50" s="126">
        <f t="shared" si="1"/>
        <v>0</v>
      </c>
    </row>
    <row r="51" spans="1:5" hidden="1" x14ac:dyDescent="0.3">
      <c r="A51" s="54" t="s">
        <v>557</v>
      </c>
      <c r="B51" s="54" t="s">
        <v>566</v>
      </c>
      <c r="C51" s="57"/>
      <c r="D51" s="126"/>
      <c r="E51" s="126">
        <f t="shared" si="1"/>
        <v>0</v>
      </c>
    </row>
    <row r="52" spans="1:5" hidden="1" x14ac:dyDescent="0.3">
      <c r="A52" s="54" t="s">
        <v>25</v>
      </c>
      <c r="B52" s="54" t="s">
        <v>563</v>
      </c>
      <c r="C52" s="57"/>
      <c r="D52" s="126"/>
      <c r="E52" s="126">
        <f t="shared" si="1"/>
        <v>0</v>
      </c>
    </row>
    <row r="53" spans="1:5" hidden="1" x14ac:dyDescent="0.3">
      <c r="A53" s="54" t="s">
        <v>25</v>
      </c>
      <c r="B53" s="54" t="s">
        <v>566</v>
      </c>
      <c r="C53" s="57"/>
      <c r="D53" s="126"/>
      <c r="E53" s="126">
        <f t="shared" si="1"/>
        <v>0</v>
      </c>
    </row>
    <row r="54" spans="1:5" hidden="1" x14ac:dyDescent="0.3">
      <c r="A54" s="54" t="s">
        <v>26</v>
      </c>
      <c r="B54" s="54" t="s">
        <v>563</v>
      </c>
      <c r="C54" s="57"/>
      <c r="D54" s="126"/>
      <c r="E54" s="126">
        <f t="shared" si="1"/>
        <v>0</v>
      </c>
    </row>
    <row r="55" spans="1:5" hidden="1" x14ac:dyDescent="0.3">
      <c r="A55" s="54" t="s">
        <v>26</v>
      </c>
      <c r="B55" s="54" t="s">
        <v>566</v>
      </c>
      <c r="C55" s="57"/>
      <c r="D55" s="126"/>
      <c r="E55" s="126">
        <f t="shared" si="1"/>
        <v>0</v>
      </c>
    </row>
    <row r="56" spans="1:5" hidden="1" x14ac:dyDescent="0.3">
      <c r="A56" s="54" t="s">
        <v>26</v>
      </c>
      <c r="B56" s="54" t="s">
        <v>567</v>
      </c>
      <c r="C56" s="55"/>
      <c r="D56" s="128"/>
      <c r="E56" s="126">
        <f t="shared" si="1"/>
        <v>0</v>
      </c>
    </row>
    <row r="57" spans="1:5" hidden="1" x14ac:dyDescent="0.3">
      <c r="A57" s="54" t="s">
        <v>573</v>
      </c>
      <c r="B57" s="54" t="s">
        <v>563</v>
      </c>
      <c r="C57" s="55"/>
      <c r="D57" s="128"/>
      <c r="E57" s="126">
        <f t="shared" si="1"/>
        <v>0</v>
      </c>
    </row>
    <row r="58" spans="1:5" hidden="1" x14ac:dyDescent="0.3">
      <c r="A58" s="54" t="s">
        <v>573</v>
      </c>
      <c r="B58" s="54" t="s">
        <v>566</v>
      </c>
      <c r="C58" s="55"/>
      <c r="D58" s="128"/>
      <c r="E58" s="126">
        <f t="shared" si="1"/>
        <v>0</v>
      </c>
    </row>
    <row r="59" spans="1:5" x14ac:dyDescent="0.3">
      <c r="A59" s="133" t="s">
        <v>27</v>
      </c>
      <c r="B59" s="134" t="s">
        <v>563</v>
      </c>
      <c r="C59" s="123">
        <v>95</v>
      </c>
      <c r="D59" s="128">
        <v>12000</v>
      </c>
      <c r="E59" s="126">
        <f t="shared" si="1"/>
        <v>1140000</v>
      </c>
    </row>
    <row r="60" spans="1:5" hidden="1" x14ac:dyDescent="0.3">
      <c r="A60" s="54" t="s">
        <v>560</v>
      </c>
      <c r="B60" s="54" t="s">
        <v>563</v>
      </c>
      <c r="C60" s="55"/>
      <c r="D60" s="128"/>
      <c r="E60" s="126">
        <f t="shared" si="1"/>
        <v>0</v>
      </c>
    </row>
    <row r="61" spans="1:5" hidden="1" x14ac:dyDescent="0.3">
      <c r="A61" s="54" t="s">
        <v>560</v>
      </c>
      <c r="B61" s="54" t="s">
        <v>566</v>
      </c>
      <c r="C61" s="55"/>
      <c r="D61" s="128"/>
      <c r="E61" s="126">
        <f t="shared" si="1"/>
        <v>0</v>
      </c>
    </row>
    <row r="62" spans="1:5" hidden="1" x14ac:dyDescent="0.3">
      <c r="A62" s="54" t="s">
        <v>28</v>
      </c>
      <c r="B62" s="54" t="s">
        <v>568</v>
      </c>
      <c r="C62" s="55"/>
      <c r="D62" s="128"/>
      <c r="E62" s="126">
        <f t="shared" si="1"/>
        <v>0</v>
      </c>
    </row>
    <row r="63" spans="1:5" hidden="1" x14ac:dyDescent="0.3">
      <c r="A63" s="54" t="s">
        <v>28</v>
      </c>
      <c r="B63" s="54" t="s">
        <v>563</v>
      </c>
      <c r="C63" s="55"/>
      <c r="D63" s="128"/>
      <c r="E63" s="126">
        <f t="shared" si="1"/>
        <v>0</v>
      </c>
    </row>
    <row r="64" spans="1:5" hidden="1" x14ac:dyDescent="0.3">
      <c r="A64" s="54" t="s">
        <v>28</v>
      </c>
      <c r="B64" s="54" t="s">
        <v>566</v>
      </c>
      <c r="C64" s="55"/>
      <c r="D64" s="128"/>
      <c r="E64" s="126">
        <f t="shared" si="1"/>
        <v>0</v>
      </c>
    </row>
    <row r="65" spans="1:5" hidden="1" x14ac:dyDescent="0.3">
      <c r="A65" s="54" t="s">
        <v>64</v>
      </c>
      <c r="B65" s="54" t="s">
        <v>563</v>
      </c>
      <c r="C65" s="55"/>
      <c r="D65" s="128"/>
      <c r="E65" s="126">
        <f t="shared" si="1"/>
        <v>0</v>
      </c>
    </row>
    <row r="66" spans="1:5" hidden="1" x14ac:dyDescent="0.3">
      <c r="A66" s="54" t="s">
        <v>64</v>
      </c>
      <c r="B66" s="54" t="s">
        <v>564</v>
      </c>
      <c r="C66" s="55"/>
      <c r="D66" s="128"/>
      <c r="E66" s="126">
        <f t="shared" si="1"/>
        <v>0</v>
      </c>
    </row>
    <row r="67" spans="1:5" hidden="1" x14ac:dyDescent="0.3">
      <c r="A67" s="54" t="s">
        <v>87</v>
      </c>
      <c r="B67" s="54" t="s">
        <v>563</v>
      </c>
      <c r="C67" s="55"/>
      <c r="D67" s="128"/>
      <c r="E67" s="126">
        <f t="shared" si="1"/>
        <v>0</v>
      </c>
    </row>
    <row r="68" spans="1:5" hidden="1" x14ac:dyDescent="0.3">
      <c r="A68" s="54" t="s">
        <v>3</v>
      </c>
      <c r="B68" s="54" t="s">
        <v>563</v>
      </c>
      <c r="C68" s="57"/>
      <c r="D68" s="126"/>
      <c r="E68" s="126">
        <f t="shared" ref="E68:E99" si="2">+D68*C68</f>
        <v>0</v>
      </c>
    </row>
    <row r="69" spans="1:5" hidden="1" x14ac:dyDescent="0.3">
      <c r="A69" s="54" t="s">
        <v>4</v>
      </c>
      <c r="B69" s="54" t="s">
        <v>565</v>
      </c>
      <c r="C69" s="57"/>
      <c r="D69" s="126"/>
      <c r="E69" s="126">
        <f t="shared" si="2"/>
        <v>0</v>
      </c>
    </row>
    <row r="70" spans="1:5" x14ac:dyDescent="0.3">
      <c r="A70" s="133" t="s">
        <v>117</v>
      </c>
      <c r="B70" s="134" t="s">
        <v>563</v>
      </c>
      <c r="C70" s="123">
        <v>3</v>
      </c>
      <c r="D70" s="128">
        <v>16000</v>
      </c>
      <c r="E70" s="126">
        <f t="shared" si="2"/>
        <v>48000</v>
      </c>
    </row>
    <row r="71" spans="1:5" x14ac:dyDescent="0.3">
      <c r="A71" s="133" t="s">
        <v>5</v>
      </c>
      <c r="B71" s="134" t="s">
        <v>563</v>
      </c>
      <c r="C71" s="123">
        <v>20</v>
      </c>
      <c r="D71" s="128">
        <v>6000</v>
      </c>
      <c r="E71" s="126">
        <f t="shared" si="2"/>
        <v>120000</v>
      </c>
    </row>
    <row r="72" spans="1:5" x14ac:dyDescent="0.3">
      <c r="A72" s="133" t="s">
        <v>6</v>
      </c>
      <c r="B72" s="134" t="s">
        <v>563</v>
      </c>
      <c r="C72" s="123">
        <v>55</v>
      </c>
      <c r="D72" s="128">
        <v>14000</v>
      </c>
      <c r="E72" s="126">
        <f t="shared" si="2"/>
        <v>770000</v>
      </c>
    </row>
    <row r="73" spans="1:5" hidden="1" x14ac:dyDescent="0.3">
      <c r="A73" s="54" t="s">
        <v>6</v>
      </c>
      <c r="B73" s="54" t="s">
        <v>566</v>
      </c>
      <c r="C73" s="57"/>
      <c r="D73" s="126"/>
      <c r="E73" s="126">
        <f t="shared" si="2"/>
        <v>0</v>
      </c>
    </row>
    <row r="74" spans="1:5" x14ac:dyDescent="0.3">
      <c r="A74" s="133" t="s">
        <v>7</v>
      </c>
      <c r="B74" s="134" t="s">
        <v>563</v>
      </c>
      <c r="C74" s="123">
        <v>5</v>
      </c>
      <c r="D74" s="128">
        <v>45000</v>
      </c>
      <c r="E74" s="126">
        <f t="shared" si="2"/>
        <v>225000</v>
      </c>
    </row>
    <row r="75" spans="1:5" hidden="1" x14ac:dyDescent="0.3">
      <c r="A75" s="54" t="s">
        <v>538</v>
      </c>
      <c r="B75" s="54" t="s">
        <v>563</v>
      </c>
      <c r="C75" s="55"/>
      <c r="D75" s="128"/>
      <c r="E75" s="126">
        <f t="shared" si="2"/>
        <v>0</v>
      </c>
    </row>
    <row r="76" spans="1:5" x14ac:dyDescent="0.3">
      <c r="A76" s="133" t="s">
        <v>8</v>
      </c>
      <c r="B76" s="134" t="s">
        <v>563</v>
      </c>
      <c r="C76" s="123">
        <v>320</v>
      </c>
      <c r="D76" s="128">
        <v>25000</v>
      </c>
      <c r="E76" s="126">
        <f t="shared" si="2"/>
        <v>8000000</v>
      </c>
    </row>
    <row r="77" spans="1:5" hidden="1" x14ac:dyDescent="0.3">
      <c r="A77" s="54" t="s">
        <v>9</v>
      </c>
      <c r="B77" s="54" t="s">
        <v>563</v>
      </c>
      <c r="C77" s="57"/>
      <c r="D77" s="126"/>
      <c r="E77" s="126">
        <f t="shared" si="2"/>
        <v>0</v>
      </c>
    </row>
    <row r="78" spans="1:5" hidden="1" x14ac:dyDescent="0.3">
      <c r="A78" s="54" t="s">
        <v>9</v>
      </c>
      <c r="B78" s="54" t="s">
        <v>566</v>
      </c>
      <c r="C78" s="57"/>
      <c r="D78" s="126"/>
      <c r="E78" s="126">
        <f t="shared" si="2"/>
        <v>0</v>
      </c>
    </row>
    <row r="79" spans="1:5" hidden="1" x14ac:dyDescent="0.3">
      <c r="A79" s="54" t="s">
        <v>10</v>
      </c>
      <c r="B79" s="54" t="s">
        <v>563</v>
      </c>
      <c r="C79" s="57"/>
      <c r="D79" s="126"/>
      <c r="E79" s="126">
        <f t="shared" si="2"/>
        <v>0</v>
      </c>
    </row>
    <row r="80" spans="1:5" x14ac:dyDescent="0.3">
      <c r="A80" s="133" t="s">
        <v>10</v>
      </c>
      <c r="B80" s="134" t="s">
        <v>566</v>
      </c>
      <c r="C80" s="123">
        <v>2400</v>
      </c>
      <c r="D80" s="128">
        <v>2600</v>
      </c>
      <c r="E80" s="126">
        <f t="shared" si="2"/>
        <v>6240000</v>
      </c>
    </row>
    <row r="81" spans="1:5" x14ac:dyDescent="0.3">
      <c r="A81" s="133" t="s">
        <v>102</v>
      </c>
      <c r="B81" s="134" t="s">
        <v>563</v>
      </c>
      <c r="C81" s="123">
        <v>540</v>
      </c>
      <c r="D81" s="128">
        <v>26000</v>
      </c>
      <c r="E81" s="126">
        <f t="shared" si="2"/>
        <v>14040000</v>
      </c>
    </row>
    <row r="82" spans="1:5" hidden="1" x14ac:dyDescent="0.3">
      <c r="A82" s="54" t="s">
        <v>11</v>
      </c>
      <c r="B82" s="54" t="s">
        <v>563</v>
      </c>
      <c r="C82" s="57"/>
      <c r="D82" s="126"/>
      <c r="E82" s="126">
        <f t="shared" si="2"/>
        <v>0</v>
      </c>
    </row>
    <row r="83" spans="1:5" hidden="1" x14ac:dyDescent="0.3">
      <c r="A83" s="54" t="s">
        <v>11</v>
      </c>
      <c r="B83" s="54" t="s">
        <v>566</v>
      </c>
      <c r="C83" s="57"/>
      <c r="D83" s="126"/>
      <c r="E83" s="126">
        <f t="shared" si="2"/>
        <v>0</v>
      </c>
    </row>
    <row r="84" spans="1:5" x14ac:dyDescent="0.3">
      <c r="A84" s="133" t="s">
        <v>12</v>
      </c>
      <c r="B84" s="134" t="s">
        <v>563</v>
      </c>
      <c r="C84" s="123">
        <v>200</v>
      </c>
      <c r="D84" s="128">
        <v>25000</v>
      </c>
      <c r="E84" s="126">
        <f t="shared" si="2"/>
        <v>5000000</v>
      </c>
    </row>
    <row r="85" spans="1:5" hidden="1" x14ac:dyDescent="0.3">
      <c r="A85" s="54" t="s">
        <v>12</v>
      </c>
      <c r="B85" s="54" t="s">
        <v>566</v>
      </c>
      <c r="C85" s="57"/>
      <c r="D85" s="126"/>
      <c r="E85" s="126">
        <f t="shared" si="2"/>
        <v>0</v>
      </c>
    </row>
    <row r="86" spans="1:5" hidden="1" x14ac:dyDescent="0.3">
      <c r="A86" s="54" t="s">
        <v>13</v>
      </c>
      <c r="B86" s="54" t="s">
        <v>563</v>
      </c>
      <c r="C86" s="57"/>
      <c r="D86" s="126"/>
      <c r="E86" s="126">
        <f t="shared" si="2"/>
        <v>0</v>
      </c>
    </row>
    <row r="87" spans="1:5" hidden="1" x14ac:dyDescent="0.3">
      <c r="A87" s="54" t="s">
        <v>619</v>
      </c>
      <c r="B87" s="54" t="s">
        <v>563</v>
      </c>
      <c r="C87" s="55"/>
      <c r="D87" s="128"/>
      <c r="E87" s="126">
        <f t="shared" si="2"/>
        <v>0</v>
      </c>
    </row>
    <row r="88" spans="1:5" x14ac:dyDescent="0.3">
      <c r="A88" s="133" t="s">
        <v>14</v>
      </c>
      <c r="B88" s="134" t="s">
        <v>566</v>
      </c>
      <c r="C88" s="123">
        <v>20</v>
      </c>
      <c r="D88" s="128">
        <v>12000</v>
      </c>
      <c r="E88" s="126">
        <f t="shared" si="2"/>
        <v>240000</v>
      </c>
    </row>
    <row r="89" spans="1:5" x14ac:dyDescent="0.3">
      <c r="A89" s="133" t="s">
        <v>15</v>
      </c>
      <c r="B89" s="134" t="s">
        <v>563</v>
      </c>
      <c r="C89" s="123">
        <v>285</v>
      </c>
      <c r="D89" s="128">
        <v>16000</v>
      </c>
      <c r="E89" s="126">
        <f t="shared" si="2"/>
        <v>4560000</v>
      </c>
    </row>
    <row r="90" spans="1:5" x14ac:dyDescent="0.3">
      <c r="A90" s="133" t="s">
        <v>15</v>
      </c>
      <c r="B90" s="134" t="s">
        <v>566</v>
      </c>
      <c r="C90" s="123">
        <v>50</v>
      </c>
      <c r="D90" s="128">
        <v>8000</v>
      </c>
      <c r="E90" s="126">
        <f t="shared" si="2"/>
        <v>400000</v>
      </c>
    </row>
    <row r="91" spans="1:5" hidden="1" x14ac:dyDescent="0.3">
      <c r="A91" s="54" t="s">
        <v>521</v>
      </c>
      <c r="B91" s="54" t="s">
        <v>563</v>
      </c>
      <c r="C91" s="55"/>
      <c r="D91" s="128"/>
      <c r="E91" s="126">
        <f t="shared" si="2"/>
        <v>0</v>
      </c>
    </row>
    <row r="92" spans="1:5" hidden="1" x14ac:dyDescent="0.3">
      <c r="A92" s="54" t="s">
        <v>521</v>
      </c>
      <c r="B92" s="54" t="s">
        <v>564</v>
      </c>
      <c r="C92" s="55"/>
      <c r="D92" s="128"/>
      <c r="E92" s="126">
        <f t="shared" si="2"/>
        <v>0</v>
      </c>
    </row>
    <row r="93" spans="1:5" hidden="1" x14ac:dyDescent="0.3">
      <c r="A93" s="54" t="s">
        <v>16</v>
      </c>
      <c r="B93" s="54" t="s">
        <v>563</v>
      </c>
      <c r="C93" s="57"/>
      <c r="D93" s="126"/>
      <c r="E93" s="126">
        <f t="shared" si="2"/>
        <v>0</v>
      </c>
    </row>
    <row r="94" spans="1:5" hidden="1" x14ac:dyDescent="0.3">
      <c r="A94" s="54" t="s">
        <v>104</v>
      </c>
      <c r="B94" s="54" t="s">
        <v>563</v>
      </c>
      <c r="C94" s="55"/>
      <c r="D94" s="128"/>
      <c r="E94" s="126">
        <f t="shared" si="2"/>
        <v>0</v>
      </c>
    </row>
    <row r="95" spans="1:5" hidden="1" x14ac:dyDescent="0.3">
      <c r="A95" s="54" t="s">
        <v>108</v>
      </c>
      <c r="B95" s="54" t="s">
        <v>563</v>
      </c>
      <c r="C95" s="55"/>
      <c r="D95" s="128"/>
      <c r="E95" s="126">
        <f t="shared" si="2"/>
        <v>0</v>
      </c>
    </row>
    <row r="96" spans="1:5" hidden="1" x14ac:dyDescent="0.3">
      <c r="A96" s="54" t="s">
        <v>68</v>
      </c>
      <c r="B96" s="54" t="s">
        <v>566</v>
      </c>
      <c r="C96" s="55"/>
      <c r="D96" s="128"/>
      <c r="E96" s="126">
        <f t="shared" si="2"/>
        <v>0</v>
      </c>
    </row>
    <row r="97" spans="1:5" hidden="1" x14ac:dyDescent="0.3">
      <c r="A97" s="54" t="s">
        <v>65</v>
      </c>
      <c r="B97" s="54" t="s">
        <v>563</v>
      </c>
      <c r="C97" s="55"/>
      <c r="D97" s="128"/>
      <c r="E97" s="126">
        <f t="shared" si="2"/>
        <v>0</v>
      </c>
    </row>
    <row r="98" spans="1:5" hidden="1" x14ac:dyDescent="0.3">
      <c r="A98" s="54" t="s">
        <v>66</v>
      </c>
      <c r="B98" s="54" t="s">
        <v>566</v>
      </c>
      <c r="C98" s="55"/>
      <c r="D98" s="128"/>
      <c r="E98" s="126">
        <f t="shared" si="2"/>
        <v>0</v>
      </c>
    </row>
    <row r="99" spans="1:5" hidden="1" x14ac:dyDescent="0.3">
      <c r="A99" s="54" t="s">
        <v>67</v>
      </c>
      <c r="B99" s="54" t="s">
        <v>566</v>
      </c>
      <c r="C99" s="55"/>
      <c r="D99" s="128"/>
      <c r="E99" s="126">
        <f t="shared" si="2"/>
        <v>0</v>
      </c>
    </row>
    <row r="100" spans="1:5" hidden="1" x14ac:dyDescent="0.3">
      <c r="A100" s="54" t="s">
        <v>69</v>
      </c>
      <c r="B100" s="54" t="s">
        <v>563</v>
      </c>
      <c r="C100" s="55"/>
      <c r="D100" s="128"/>
      <c r="E100" s="126">
        <f t="shared" ref="E100:E131" si="3">+D100*C100</f>
        <v>0</v>
      </c>
    </row>
    <row r="101" spans="1:5" hidden="1" x14ac:dyDescent="0.3">
      <c r="A101" s="54" t="s">
        <v>69</v>
      </c>
      <c r="B101" s="54" t="s">
        <v>564</v>
      </c>
      <c r="C101" s="55"/>
      <c r="D101" s="128"/>
      <c r="E101" s="126">
        <f t="shared" si="3"/>
        <v>0</v>
      </c>
    </row>
    <row r="102" spans="1:5" hidden="1" x14ac:dyDescent="0.3">
      <c r="A102" s="54" t="s">
        <v>70</v>
      </c>
      <c r="B102" s="54" t="s">
        <v>563</v>
      </c>
      <c r="C102" s="55"/>
      <c r="D102" s="128"/>
      <c r="E102" s="126">
        <f t="shared" si="3"/>
        <v>0</v>
      </c>
    </row>
    <row r="103" spans="1:5" hidden="1" x14ac:dyDescent="0.3">
      <c r="A103" s="54" t="s">
        <v>83</v>
      </c>
      <c r="B103" s="54" t="s">
        <v>563</v>
      </c>
      <c r="C103" s="55"/>
      <c r="D103" s="128"/>
      <c r="E103" s="126">
        <f t="shared" si="3"/>
        <v>0</v>
      </c>
    </row>
    <row r="104" spans="1:5" hidden="1" x14ac:dyDescent="0.3">
      <c r="A104" s="54" t="s">
        <v>98</v>
      </c>
      <c r="B104" s="54" t="s">
        <v>566</v>
      </c>
      <c r="C104" s="55"/>
      <c r="D104" s="128"/>
      <c r="E104" s="126">
        <f t="shared" si="3"/>
        <v>0</v>
      </c>
    </row>
    <row r="105" spans="1:5" hidden="1" x14ac:dyDescent="0.3">
      <c r="A105" s="54" t="s">
        <v>71</v>
      </c>
      <c r="B105" s="54" t="s">
        <v>563</v>
      </c>
      <c r="C105" s="55"/>
      <c r="D105" s="128"/>
      <c r="E105" s="126">
        <f t="shared" si="3"/>
        <v>0</v>
      </c>
    </row>
    <row r="106" spans="1:5" hidden="1" x14ac:dyDescent="0.3">
      <c r="A106" s="54" t="s">
        <v>72</v>
      </c>
      <c r="B106" s="54" t="s">
        <v>564</v>
      </c>
      <c r="C106" s="55"/>
      <c r="D106" s="128"/>
      <c r="E106" s="126">
        <f t="shared" si="3"/>
        <v>0</v>
      </c>
    </row>
    <row r="107" spans="1:5" hidden="1" x14ac:dyDescent="0.3">
      <c r="A107" s="54" t="s">
        <v>73</v>
      </c>
      <c r="B107" s="54" t="s">
        <v>563</v>
      </c>
      <c r="C107" s="55"/>
      <c r="D107" s="128"/>
      <c r="E107" s="126">
        <f t="shared" si="3"/>
        <v>0</v>
      </c>
    </row>
    <row r="108" spans="1:5" hidden="1" x14ac:dyDescent="0.3">
      <c r="A108" s="54" t="s">
        <v>73</v>
      </c>
      <c r="B108" s="54" t="s">
        <v>566</v>
      </c>
      <c r="C108" s="55"/>
      <c r="D108" s="128"/>
      <c r="E108" s="126">
        <f t="shared" si="3"/>
        <v>0</v>
      </c>
    </row>
    <row r="109" spans="1:5" x14ac:dyDescent="0.3">
      <c r="A109" s="133" t="s">
        <v>74</v>
      </c>
      <c r="B109" s="134" t="s">
        <v>563</v>
      </c>
      <c r="C109" s="123">
        <v>7</v>
      </c>
      <c r="D109" s="128">
        <v>7000</v>
      </c>
      <c r="E109" s="126">
        <f t="shared" si="3"/>
        <v>49000</v>
      </c>
    </row>
    <row r="110" spans="1:5" hidden="1" x14ac:dyDescent="0.3">
      <c r="A110" s="54" t="s">
        <v>29</v>
      </c>
      <c r="B110" s="54" t="s">
        <v>568</v>
      </c>
      <c r="C110" s="55"/>
      <c r="D110" s="128"/>
      <c r="E110" s="126">
        <f t="shared" si="3"/>
        <v>0</v>
      </c>
    </row>
    <row r="111" spans="1:5" x14ac:dyDescent="0.3">
      <c r="A111" s="133" t="s">
        <v>29</v>
      </c>
      <c r="B111" s="134" t="s">
        <v>563</v>
      </c>
      <c r="C111" s="123">
        <v>25</v>
      </c>
      <c r="D111" s="128">
        <v>39000</v>
      </c>
      <c r="E111" s="126">
        <f t="shared" si="3"/>
        <v>975000</v>
      </c>
    </row>
    <row r="112" spans="1:5" x14ac:dyDescent="0.3">
      <c r="A112" s="54" t="s">
        <v>93</v>
      </c>
      <c r="B112" s="54" t="s">
        <v>563</v>
      </c>
      <c r="C112" s="55">
        <v>1000</v>
      </c>
      <c r="D112" s="128">
        <v>24000</v>
      </c>
      <c r="E112" s="126">
        <f t="shared" si="3"/>
        <v>24000000</v>
      </c>
    </row>
    <row r="113" spans="1:5" hidden="1" x14ac:dyDescent="0.3">
      <c r="A113" s="54" t="s">
        <v>20</v>
      </c>
      <c r="B113" s="54" t="s">
        <v>564</v>
      </c>
      <c r="C113" s="57"/>
      <c r="D113" s="126"/>
      <c r="E113" s="126">
        <f t="shared" si="3"/>
        <v>0</v>
      </c>
    </row>
    <row r="114" spans="1:5" hidden="1" x14ac:dyDescent="0.3">
      <c r="A114" s="54" t="s">
        <v>123</v>
      </c>
      <c r="B114" s="54" t="s">
        <v>563</v>
      </c>
      <c r="C114" s="55"/>
      <c r="D114" s="128"/>
      <c r="E114" s="126">
        <f t="shared" si="3"/>
        <v>0</v>
      </c>
    </row>
    <row r="115" spans="1:5" x14ac:dyDescent="0.3">
      <c r="A115" s="153" t="s">
        <v>337</v>
      </c>
      <c r="B115" s="122" t="s">
        <v>606</v>
      </c>
      <c r="C115" s="123">
        <v>122.5</v>
      </c>
      <c r="D115" s="128">
        <v>210000</v>
      </c>
      <c r="E115" s="126">
        <f t="shared" si="3"/>
        <v>25725000</v>
      </c>
    </row>
    <row r="116" spans="1:5" x14ac:dyDescent="0.3">
      <c r="A116" s="54" t="s">
        <v>641</v>
      </c>
      <c r="B116" s="54" t="s">
        <v>563</v>
      </c>
      <c r="C116" s="55">
        <v>150</v>
      </c>
      <c r="D116" s="128">
        <v>18600</v>
      </c>
      <c r="E116" s="126">
        <f t="shared" si="3"/>
        <v>2790000</v>
      </c>
    </row>
    <row r="117" spans="1:5" hidden="1" x14ac:dyDescent="0.3">
      <c r="A117" s="54" t="s">
        <v>118</v>
      </c>
      <c r="B117" s="54" t="s">
        <v>571</v>
      </c>
      <c r="C117" s="55"/>
      <c r="D117" s="128"/>
      <c r="E117" s="126">
        <f t="shared" si="3"/>
        <v>0</v>
      </c>
    </row>
    <row r="118" spans="1:5" hidden="1" x14ac:dyDescent="0.3">
      <c r="A118" s="54" t="s">
        <v>34</v>
      </c>
      <c r="B118" s="54" t="s">
        <v>566</v>
      </c>
      <c r="C118" s="55"/>
      <c r="D118" s="128"/>
      <c r="E118" s="126">
        <f t="shared" si="3"/>
        <v>0</v>
      </c>
    </row>
    <row r="119" spans="1:5" hidden="1" x14ac:dyDescent="0.3">
      <c r="A119" s="54" t="s">
        <v>30</v>
      </c>
      <c r="B119" s="54" t="s">
        <v>566</v>
      </c>
      <c r="C119" s="55"/>
      <c r="D119" s="128"/>
      <c r="E119" s="126">
        <f t="shared" si="3"/>
        <v>0</v>
      </c>
    </row>
    <row r="120" spans="1:5" x14ac:dyDescent="0.3">
      <c r="A120" s="133" t="s">
        <v>31</v>
      </c>
      <c r="B120" s="134" t="s">
        <v>563</v>
      </c>
      <c r="C120" s="123">
        <v>2</v>
      </c>
      <c r="D120" s="128">
        <v>14000</v>
      </c>
      <c r="E120" s="126">
        <f t="shared" si="3"/>
        <v>28000</v>
      </c>
    </row>
    <row r="121" spans="1:5" hidden="1" x14ac:dyDescent="0.3">
      <c r="A121" s="54" t="s">
        <v>32</v>
      </c>
      <c r="B121" s="54" t="s">
        <v>566</v>
      </c>
      <c r="C121" s="55"/>
      <c r="D121" s="128"/>
      <c r="E121" s="126">
        <f t="shared" si="3"/>
        <v>0</v>
      </c>
    </row>
    <row r="122" spans="1:5" hidden="1" x14ac:dyDescent="0.3">
      <c r="A122" s="54" t="s">
        <v>33</v>
      </c>
      <c r="B122" s="54" t="s">
        <v>566</v>
      </c>
      <c r="C122" s="55"/>
      <c r="D122" s="128"/>
      <c r="E122" s="126">
        <f t="shared" si="3"/>
        <v>0</v>
      </c>
    </row>
    <row r="123" spans="1:5" hidden="1" x14ac:dyDescent="0.3">
      <c r="A123" s="54" t="s">
        <v>35</v>
      </c>
      <c r="B123" s="54" t="s">
        <v>563</v>
      </c>
      <c r="C123" s="55"/>
      <c r="D123" s="128"/>
      <c r="E123" s="126">
        <f t="shared" si="3"/>
        <v>0</v>
      </c>
    </row>
    <row r="124" spans="1:5" hidden="1" x14ac:dyDescent="0.3">
      <c r="A124" s="54" t="s">
        <v>35</v>
      </c>
      <c r="B124" s="54" t="s">
        <v>569</v>
      </c>
      <c r="C124" s="55"/>
      <c r="D124" s="128"/>
      <c r="E124" s="126">
        <f t="shared" si="3"/>
        <v>0</v>
      </c>
    </row>
    <row r="125" spans="1:5" hidden="1" x14ac:dyDescent="0.3">
      <c r="A125" s="54" t="s">
        <v>610</v>
      </c>
      <c r="B125" s="54" t="s">
        <v>563</v>
      </c>
      <c r="C125" s="55"/>
      <c r="D125" s="128"/>
      <c r="E125" s="126">
        <f t="shared" si="3"/>
        <v>0</v>
      </c>
    </row>
    <row r="126" spans="1:5" hidden="1" x14ac:dyDescent="0.3">
      <c r="A126" s="54" t="s">
        <v>99</v>
      </c>
      <c r="B126" s="54" t="s">
        <v>566</v>
      </c>
      <c r="C126" s="55"/>
      <c r="D126" s="128"/>
      <c r="E126" s="126">
        <f t="shared" si="3"/>
        <v>0</v>
      </c>
    </row>
    <row r="127" spans="1:5" hidden="1" x14ac:dyDescent="0.3">
      <c r="A127" s="54" t="s">
        <v>101</v>
      </c>
      <c r="B127" s="54" t="s">
        <v>563</v>
      </c>
      <c r="C127" s="55"/>
      <c r="D127" s="128"/>
      <c r="E127" s="126">
        <f t="shared" si="3"/>
        <v>0</v>
      </c>
    </row>
    <row r="128" spans="1:5" hidden="1" x14ac:dyDescent="0.3">
      <c r="A128" s="54" t="s">
        <v>97</v>
      </c>
      <c r="B128" s="54" t="s">
        <v>564</v>
      </c>
      <c r="C128" s="55"/>
      <c r="D128" s="128"/>
      <c r="E128" s="126">
        <f t="shared" si="3"/>
        <v>0</v>
      </c>
    </row>
    <row r="129" spans="1:5" hidden="1" x14ac:dyDescent="0.3">
      <c r="A129" s="54" t="s">
        <v>75</v>
      </c>
      <c r="B129" s="54" t="s">
        <v>565</v>
      </c>
      <c r="C129" s="55"/>
      <c r="D129" s="128"/>
      <c r="E129" s="126">
        <f t="shared" si="3"/>
        <v>0</v>
      </c>
    </row>
    <row r="130" spans="1:5" hidden="1" x14ac:dyDescent="0.3">
      <c r="A130" s="54" t="s">
        <v>75</v>
      </c>
      <c r="B130" s="54" t="s">
        <v>563</v>
      </c>
      <c r="C130" s="55"/>
      <c r="D130" s="128"/>
      <c r="E130" s="126">
        <f t="shared" si="3"/>
        <v>0</v>
      </c>
    </row>
    <row r="131" spans="1:5" x14ac:dyDescent="0.3">
      <c r="A131" s="133" t="s">
        <v>76</v>
      </c>
      <c r="B131" s="134" t="s">
        <v>563</v>
      </c>
      <c r="C131" s="123">
        <v>150</v>
      </c>
      <c r="D131" s="128">
        <v>20000</v>
      </c>
      <c r="E131" s="126">
        <f t="shared" si="3"/>
        <v>3000000</v>
      </c>
    </row>
    <row r="132" spans="1:5" hidden="1" x14ac:dyDescent="0.3">
      <c r="A132" s="54" t="s">
        <v>76</v>
      </c>
      <c r="B132" s="54" t="s">
        <v>570</v>
      </c>
      <c r="C132" s="55"/>
      <c r="D132" s="128"/>
      <c r="E132" s="126">
        <f t="shared" ref="E132:E156" si="4">+D132*C132</f>
        <v>0</v>
      </c>
    </row>
    <row r="133" spans="1:5" hidden="1" x14ac:dyDescent="0.3">
      <c r="A133" s="54" t="s">
        <v>77</v>
      </c>
      <c r="B133" s="54" t="s">
        <v>565</v>
      </c>
      <c r="C133" s="55"/>
      <c r="D133" s="128"/>
      <c r="E133" s="126">
        <f t="shared" si="4"/>
        <v>0</v>
      </c>
    </row>
    <row r="134" spans="1:5" ht="15.6" hidden="1" customHeight="1" x14ac:dyDescent="0.3">
      <c r="A134" s="54" t="s">
        <v>77</v>
      </c>
      <c r="B134" s="54" t="s">
        <v>563</v>
      </c>
      <c r="C134" s="55"/>
      <c r="D134" s="128"/>
      <c r="E134" s="126">
        <f t="shared" si="4"/>
        <v>0</v>
      </c>
    </row>
    <row r="135" spans="1:5" x14ac:dyDescent="0.3">
      <c r="A135" s="133" t="s">
        <v>78</v>
      </c>
      <c r="B135" s="134" t="s">
        <v>563</v>
      </c>
      <c r="C135" s="123">
        <v>100</v>
      </c>
      <c r="D135" s="128">
        <v>12000</v>
      </c>
      <c r="E135" s="126">
        <f t="shared" si="4"/>
        <v>1200000</v>
      </c>
    </row>
    <row r="136" spans="1:5" hidden="1" x14ac:dyDescent="0.3">
      <c r="A136" s="54" t="s">
        <v>78</v>
      </c>
      <c r="B136" s="54" t="s">
        <v>570</v>
      </c>
      <c r="C136" s="55"/>
      <c r="D136" s="128"/>
      <c r="E136" s="126">
        <f t="shared" si="4"/>
        <v>0</v>
      </c>
    </row>
    <row r="137" spans="1:5" x14ac:dyDescent="0.3">
      <c r="A137" s="133" t="s">
        <v>79</v>
      </c>
      <c r="B137" s="134" t="s">
        <v>563</v>
      </c>
      <c r="C137" s="123">
        <v>100</v>
      </c>
      <c r="D137" s="128">
        <v>21000</v>
      </c>
      <c r="E137" s="126">
        <f t="shared" si="4"/>
        <v>2100000</v>
      </c>
    </row>
    <row r="138" spans="1:5" hidden="1" x14ac:dyDescent="0.3">
      <c r="A138" s="54" t="s">
        <v>79</v>
      </c>
      <c r="B138" s="54" t="s">
        <v>570</v>
      </c>
      <c r="C138" s="55"/>
      <c r="D138" s="128"/>
      <c r="E138" s="126">
        <f t="shared" si="4"/>
        <v>0</v>
      </c>
    </row>
    <row r="139" spans="1:5" x14ac:dyDescent="0.3">
      <c r="A139" s="153" t="s">
        <v>553</v>
      </c>
      <c r="B139" s="122" t="s">
        <v>615</v>
      </c>
      <c r="C139" s="123">
        <v>55</v>
      </c>
      <c r="D139" s="128">
        <v>15000</v>
      </c>
      <c r="E139" s="126">
        <f t="shared" si="4"/>
        <v>825000</v>
      </c>
    </row>
    <row r="140" spans="1:5" hidden="1" x14ac:dyDescent="0.3">
      <c r="A140" s="54" t="s">
        <v>107</v>
      </c>
      <c r="B140" s="54" t="s">
        <v>563</v>
      </c>
      <c r="C140" s="55"/>
      <c r="D140" s="128"/>
      <c r="E140" s="126">
        <f t="shared" si="4"/>
        <v>0</v>
      </c>
    </row>
    <row r="141" spans="1:5" hidden="1" x14ac:dyDescent="0.3">
      <c r="A141" s="54" t="s">
        <v>80</v>
      </c>
      <c r="B141" s="54" t="s">
        <v>566</v>
      </c>
      <c r="C141" s="55"/>
      <c r="D141" s="128"/>
      <c r="E141" s="126">
        <f t="shared" si="4"/>
        <v>0</v>
      </c>
    </row>
    <row r="142" spans="1:5" x14ac:dyDescent="0.3">
      <c r="A142" s="153" t="s">
        <v>622</v>
      </c>
      <c r="B142" s="122" t="s">
        <v>615</v>
      </c>
      <c r="C142" s="123">
        <v>30</v>
      </c>
      <c r="D142" s="128">
        <v>7000</v>
      </c>
      <c r="E142" s="126">
        <f t="shared" si="4"/>
        <v>210000</v>
      </c>
    </row>
    <row r="143" spans="1:5" hidden="1" x14ac:dyDescent="0.3">
      <c r="A143" s="54" t="s">
        <v>559</v>
      </c>
      <c r="B143" s="54" t="s">
        <v>563</v>
      </c>
      <c r="C143" s="55"/>
      <c r="D143" s="128"/>
      <c r="E143" s="126">
        <f t="shared" si="4"/>
        <v>0</v>
      </c>
    </row>
    <row r="144" spans="1:5" hidden="1" x14ac:dyDescent="0.3">
      <c r="A144" s="54" t="s">
        <v>559</v>
      </c>
      <c r="B144" s="54" t="s">
        <v>566</v>
      </c>
      <c r="C144" s="55"/>
      <c r="D144" s="128"/>
      <c r="E144" s="126">
        <f t="shared" si="4"/>
        <v>0</v>
      </c>
    </row>
    <row r="145" spans="1:5" hidden="1" x14ac:dyDescent="0.3">
      <c r="A145" s="54" t="s">
        <v>599</v>
      </c>
      <c r="B145" s="54" t="s">
        <v>566</v>
      </c>
      <c r="C145" s="55"/>
      <c r="D145" s="128"/>
      <c r="E145" s="126">
        <f t="shared" si="4"/>
        <v>0</v>
      </c>
    </row>
    <row r="146" spans="1:5" hidden="1" x14ac:dyDescent="0.3">
      <c r="A146" s="54" t="s">
        <v>36</v>
      </c>
      <c r="B146" s="54" t="s">
        <v>563</v>
      </c>
      <c r="C146" s="55"/>
      <c r="D146" s="128"/>
      <c r="E146" s="126">
        <f t="shared" si="4"/>
        <v>0</v>
      </c>
    </row>
    <row r="147" spans="1:5" hidden="1" x14ac:dyDescent="0.3">
      <c r="A147" s="54" t="s">
        <v>36</v>
      </c>
      <c r="B147" s="54" t="s">
        <v>571</v>
      </c>
      <c r="C147" s="55"/>
      <c r="D147" s="128"/>
      <c r="E147" s="126">
        <f t="shared" si="4"/>
        <v>0</v>
      </c>
    </row>
    <row r="148" spans="1:5" hidden="1" x14ac:dyDescent="0.3">
      <c r="A148" s="54" t="s">
        <v>600</v>
      </c>
      <c r="B148" s="54" t="s">
        <v>566</v>
      </c>
      <c r="C148" s="55"/>
      <c r="D148" s="128"/>
      <c r="E148" s="126">
        <f t="shared" si="4"/>
        <v>0</v>
      </c>
    </row>
    <row r="149" spans="1:5" hidden="1" x14ac:dyDescent="0.3">
      <c r="A149" s="54" t="s">
        <v>100</v>
      </c>
      <c r="B149" s="54" t="s">
        <v>564</v>
      </c>
      <c r="C149" s="55"/>
      <c r="D149" s="128"/>
      <c r="E149" s="126">
        <f t="shared" si="4"/>
        <v>0</v>
      </c>
    </row>
    <row r="150" spans="1:5" hidden="1" x14ac:dyDescent="0.3">
      <c r="A150" s="54" t="s">
        <v>577</v>
      </c>
      <c r="B150" s="54" t="s">
        <v>566</v>
      </c>
      <c r="C150" s="55"/>
      <c r="D150" s="128"/>
      <c r="E150" s="126">
        <f t="shared" si="4"/>
        <v>0</v>
      </c>
    </row>
    <row r="151" spans="1:5" hidden="1" x14ac:dyDescent="0.3">
      <c r="A151" s="54" t="s">
        <v>81</v>
      </c>
      <c r="B151" s="54" t="s">
        <v>563</v>
      </c>
      <c r="C151" s="55"/>
      <c r="D151" s="128"/>
      <c r="E151" s="126">
        <f t="shared" si="4"/>
        <v>0</v>
      </c>
    </row>
    <row r="152" spans="1:5" hidden="1" x14ac:dyDescent="0.3">
      <c r="A152" s="54" t="s">
        <v>81</v>
      </c>
      <c r="B152" s="54" t="s">
        <v>607</v>
      </c>
      <c r="C152" s="55"/>
      <c r="D152" s="128"/>
      <c r="E152" s="126">
        <f t="shared" si="4"/>
        <v>0</v>
      </c>
    </row>
    <row r="153" spans="1:5" hidden="1" x14ac:dyDescent="0.3">
      <c r="A153" s="54" t="s">
        <v>85</v>
      </c>
      <c r="B153" s="54" t="s">
        <v>563</v>
      </c>
      <c r="C153" s="55"/>
      <c r="D153" s="128"/>
      <c r="E153" s="126">
        <f t="shared" si="4"/>
        <v>0</v>
      </c>
    </row>
    <row r="154" spans="1:5" hidden="1" x14ac:dyDescent="0.3">
      <c r="A154" s="54" t="s">
        <v>88</v>
      </c>
      <c r="B154" s="54" t="s">
        <v>565</v>
      </c>
      <c r="C154" s="55"/>
      <c r="D154" s="128"/>
      <c r="E154" s="126">
        <f t="shared" si="4"/>
        <v>0</v>
      </c>
    </row>
    <row r="155" spans="1:5" hidden="1" x14ac:dyDescent="0.3">
      <c r="A155" s="54" t="s">
        <v>642</v>
      </c>
      <c r="B155" s="54" t="s">
        <v>563</v>
      </c>
      <c r="C155" s="55"/>
      <c r="D155" s="128"/>
      <c r="E155" s="126">
        <f t="shared" si="4"/>
        <v>0</v>
      </c>
    </row>
    <row r="156" spans="1:5" x14ac:dyDescent="0.3">
      <c r="A156" s="133" t="s">
        <v>82</v>
      </c>
      <c r="B156" s="134" t="s">
        <v>563</v>
      </c>
      <c r="C156" s="123">
        <v>40</v>
      </c>
      <c r="D156" s="128">
        <v>14000</v>
      </c>
      <c r="E156" s="126">
        <f t="shared" si="4"/>
        <v>560000</v>
      </c>
    </row>
    <row r="157" spans="1:5" x14ac:dyDescent="0.3">
      <c r="A157" s="133"/>
      <c r="B157" s="133"/>
      <c r="C157" s="123">
        <v>0</v>
      </c>
      <c r="D157" s="142" t="s">
        <v>626</v>
      </c>
      <c r="E157" s="132">
        <f>SUBTOTAL(9,E4:E156)</f>
        <v>131597000</v>
      </c>
    </row>
    <row r="158" spans="1:5" ht="31.2" x14ac:dyDescent="0.3">
      <c r="A158" s="140" t="s">
        <v>629</v>
      </c>
      <c r="B158" s="140" t="s">
        <v>562</v>
      </c>
      <c r="C158" s="49" t="s">
        <v>544</v>
      </c>
      <c r="D158" s="139" t="s">
        <v>623</v>
      </c>
      <c r="E158" s="124" t="s">
        <v>624</v>
      </c>
    </row>
    <row r="159" spans="1:5" hidden="1" x14ac:dyDescent="0.3">
      <c r="A159" s="51" t="s">
        <v>21</v>
      </c>
      <c r="B159" s="51" t="s">
        <v>563</v>
      </c>
      <c r="C159" s="52"/>
      <c r="D159" s="66"/>
      <c r="E159" s="66">
        <f t="shared" ref="E159:E190" si="5">+D159*C159</f>
        <v>0</v>
      </c>
    </row>
    <row r="160" spans="1:5" x14ac:dyDescent="0.3">
      <c r="A160" s="135" t="s">
        <v>22</v>
      </c>
      <c r="B160" s="136" t="s">
        <v>563</v>
      </c>
      <c r="C160" s="137">
        <v>200</v>
      </c>
      <c r="D160" s="130">
        <v>9000</v>
      </c>
      <c r="E160" s="66">
        <f t="shared" si="5"/>
        <v>1800000</v>
      </c>
    </row>
    <row r="161" spans="1:5" hidden="1" x14ac:dyDescent="0.3">
      <c r="A161" s="51" t="s">
        <v>23</v>
      </c>
      <c r="B161" s="51" t="s">
        <v>563</v>
      </c>
      <c r="C161" s="52"/>
      <c r="D161" s="66"/>
      <c r="E161" s="66">
        <f t="shared" si="5"/>
        <v>0</v>
      </c>
    </row>
    <row r="162" spans="1:5" x14ac:dyDescent="0.3">
      <c r="A162" s="135" t="s">
        <v>48</v>
      </c>
      <c r="B162" s="136" t="s">
        <v>563</v>
      </c>
      <c r="C162" s="137">
        <v>10</v>
      </c>
      <c r="D162" s="130">
        <v>10000</v>
      </c>
      <c r="E162" s="66">
        <f t="shared" si="5"/>
        <v>100000</v>
      </c>
    </row>
    <row r="163" spans="1:5" x14ac:dyDescent="0.3">
      <c r="A163" s="135" t="s">
        <v>50</v>
      </c>
      <c r="B163" s="136" t="s">
        <v>563</v>
      </c>
      <c r="C163" s="137">
        <v>1000</v>
      </c>
      <c r="D163" s="130">
        <v>6000</v>
      </c>
      <c r="E163" s="66">
        <f t="shared" si="5"/>
        <v>6000000</v>
      </c>
    </row>
    <row r="164" spans="1:5" x14ac:dyDescent="0.3">
      <c r="A164" s="135" t="s">
        <v>51</v>
      </c>
      <c r="B164" s="136" t="s">
        <v>563</v>
      </c>
      <c r="C164" s="137">
        <v>60</v>
      </c>
      <c r="D164" s="130">
        <v>18000</v>
      </c>
      <c r="E164" s="66">
        <f t="shared" si="5"/>
        <v>1080000</v>
      </c>
    </row>
    <row r="165" spans="1:5" hidden="1" x14ac:dyDescent="0.3">
      <c r="A165" s="51" t="s">
        <v>52</v>
      </c>
      <c r="B165" s="51" t="s">
        <v>563</v>
      </c>
      <c r="C165" s="52"/>
      <c r="D165" s="68"/>
      <c r="E165" s="66">
        <f t="shared" si="5"/>
        <v>0</v>
      </c>
    </row>
    <row r="166" spans="1:5" hidden="1" x14ac:dyDescent="0.3">
      <c r="A166" s="51" t="s">
        <v>92</v>
      </c>
      <c r="B166" s="51" t="s">
        <v>563</v>
      </c>
      <c r="C166" s="52"/>
      <c r="D166" s="68"/>
      <c r="E166" s="66">
        <f t="shared" si="5"/>
        <v>0</v>
      </c>
    </row>
    <row r="167" spans="1:5" hidden="1" x14ac:dyDescent="0.3">
      <c r="A167" s="51" t="s">
        <v>110</v>
      </c>
      <c r="B167" s="51" t="s">
        <v>563</v>
      </c>
      <c r="C167" s="52"/>
      <c r="D167" s="66"/>
      <c r="E167" s="66">
        <f t="shared" si="5"/>
        <v>0</v>
      </c>
    </row>
    <row r="168" spans="1:5" hidden="1" x14ac:dyDescent="0.3">
      <c r="A168" s="51" t="s">
        <v>17</v>
      </c>
      <c r="B168" s="51" t="s">
        <v>563</v>
      </c>
      <c r="C168" s="52"/>
      <c r="D168" s="66"/>
      <c r="E168" s="66">
        <f t="shared" si="5"/>
        <v>0</v>
      </c>
    </row>
    <row r="169" spans="1:5" x14ac:dyDescent="0.3">
      <c r="A169" s="135" t="s">
        <v>53</v>
      </c>
      <c r="B169" s="136" t="s">
        <v>563</v>
      </c>
      <c r="C169" s="137">
        <v>100</v>
      </c>
      <c r="D169" s="130">
        <v>22000</v>
      </c>
      <c r="E169" s="66">
        <f t="shared" si="5"/>
        <v>2200000</v>
      </c>
    </row>
    <row r="170" spans="1:5" hidden="1" x14ac:dyDescent="0.3">
      <c r="A170" s="51" t="s">
        <v>56</v>
      </c>
      <c r="B170" s="51" t="s">
        <v>565</v>
      </c>
      <c r="C170" s="52"/>
      <c r="D170" s="66"/>
      <c r="E170" s="66">
        <f t="shared" si="5"/>
        <v>0</v>
      </c>
    </row>
    <row r="171" spans="1:5" hidden="1" x14ac:dyDescent="0.3">
      <c r="A171" s="51" t="s">
        <v>103</v>
      </c>
      <c r="B171" s="51" t="s">
        <v>563</v>
      </c>
      <c r="C171" s="52"/>
      <c r="D171" s="68"/>
      <c r="E171" s="66">
        <f t="shared" si="5"/>
        <v>0</v>
      </c>
    </row>
    <row r="172" spans="1:5" x14ac:dyDescent="0.3">
      <c r="A172" s="135" t="s">
        <v>60</v>
      </c>
      <c r="B172" s="136" t="s">
        <v>563</v>
      </c>
      <c r="C172" s="137">
        <v>500</v>
      </c>
      <c r="D172" s="130">
        <v>19000</v>
      </c>
      <c r="E172" s="66">
        <f t="shared" si="5"/>
        <v>9500000</v>
      </c>
    </row>
    <row r="173" spans="1:5" hidden="1" x14ac:dyDescent="0.3">
      <c r="A173" s="51" t="s">
        <v>1</v>
      </c>
      <c r="B173" s="51" t="s">
        <v>563</v>
      </c>
      <c r="C173" s="52"/>
      <c r="D173" s="66"/>
      <c r="E173" s="66">
        <f t="shared" si="5"/>
        <v>0</v>
      </c>
    </row>
    <row r="174" spans="1:5" hidden="1" x14ac:dyDescent="0.3">
      <c r="A174" s="51" t="s">
        <v>2</v>
      </c>
      <c r="B174" s="51" t="s">
        <v>563</v>
      </c>
      <c r="C174" s="52"/>
      <c r="D174" s="68"/>
      <c r="E174" s="66">
        <f t="shared" si="5"/>
        <v>0</v>
      </c>
    </row>
    <row r="175" spans="1:5" hidden="1" x14ac:dyDescent="0.3">
      <c r="A175" s="51" t="s">
        <v>62</v>
      </c>
      <c r="B175" s="51" t="s">
        <v>563</v>
      </c>
      <c r="C175" s="52"/>
      <c r="D175" s="66"/>
      <c r="E175" s="66">
        <f t="shared" si="5"/>
        <v>0</v>
      </c>
    </row>
    <row r="176" spans="1:5" hidden="1" x14ac:dyDescent="0.3">
      <c r="A176" s="51" t="s">
        <v>27</v>
      </c>
      <c r="B176" s="51" t="s">
        <v>563</v>
      </c>
      <c r="C176" s="52"/>
      <c r="D176" s="66"/>
      <c r="E176" s="66">
        <f t="shared" si="5"/>
        <v>0</v>
      </c>
    </row>
    <row r="177" spans="1:5" hidden="1" x14ac:dyDescent="0.3">
      <c r="A177" s="51" t="s">
        <v>109</v>
      </c>
      <c r="B177" s="51" t="s">
        <v>563</v>
      </c>
      <c r="C177" s="52"/>
      <c r="D177" s="66"/>
      <c r="E177" s="66">
        <f t="shared" si="5"/>
        <v>0</v>
      </c>
    </row>
    <row r="178" spans="1:5" x14ac:dyDescent="0.3">
      <c r="A178" s="135" t="s">
        <v>125</v>
      </c>
      <c r="B178" s="136" t="s">
        <v>563</v>
      </c>
      <c r="C178" s="137">
        <v>779</v>
      </c>
      <c r="D178" s="130">
        <v>6000</v>
      </c>
      <c r="E178" s="66">
        <f t="shared" si="5"/>
        <v>4674000</v>
      </c>
    </row>
    <row r="179" spans="1:5" x14ac:dyDescent="0.3">
      <c r="A179" s="135" t="s">
        <v>28</v>
      </c>
      <c r="B179" s="136" t="s">
        <v>563</v>
      </c>
      <c r="C179" s="137">
        <v>100</v>
      </c>
      <c r="D179" s="130">
        <v>18000</v>
      </c>
      <c r="E179" s="66">
        <f t="shared" si="5"/>
        <v>1800000</v>
      </c>
    </row>
    <row r="180" spans="1:5" hidden="1" x14ac:dyDescent="0.3">
      <c r="A180" s="51" t="s">
        <v>120</v>
      </c>
      <c r="B180" s="51" t="s">
        <v>563</v>
      </c>
      <c r="C180" s="52"/>
      <c r="D180" s="66"/>
      <c r="E180" s="66">
        <f t="shared" si="5"/>
        <v>0</v>
      </c>
    </row>
    <row r="181" spans="1:5" x14ac:dyDescent="0.3">
      <c r="A181" s="135" t="s">
        <v>87</v>
      </c>
      <c r="B181" s="136" t="s">
        <v>563</v>
      </c>
      <c r="C181" s="137">
        <v>60</v>
      </c>
      <c r="D181" s="130">
        <v>12000</v>
      </c>
      <c r="E181" s="66">
        <f t="shared" si="5"/>
        <v>720000</v>
      </c>
    </row>
    <row r="182" spans="1:5" hidden="1" x14ac:dyDescent="0.3">
      <c r="A182" s="51" t="s">
        <v>117</v>
      </c>
      <c r="B182" s="51" t="s">
        <v>564</v>
      </c>
      <c r="C182" s="52"/>
      <c r="D182" s="66"/>
      <c r="E182" s="66">
        <f t="shared" si="5"/>
        <v>0</v>
      </c>
    </row>
    <row r="183" spans="1:5" hidden="1" x14ac:dyDescent="0.3">
      <c r="A183" s="51" t="s">
        <v>5</v>
      </c>
      <c r="B183" s="51" t="s">
        <v>563</v>
      </c>
      <c r="C183" s="52"/>
      <c r="D183" s="66"/>
      <c r="E183" s="66">
        <f t="shared" si="5"/>
        <v>0</v>
      </c>
    </row>
    <row r="184" spans="1:5" x14ac:dyDescent="0.3">
      <c r="A184" s="135" t="s">
        <v>6</v>
      </c>
      <c r="B184" s="136" t="s">
        <v>563</v>
      </c>
      <c r="C184" s="137">
        <v>50</v>
      </c>
      <c r="D184" s="130">
        <v>14000</v>
      </c>
      <c r="E184" s="66">
        <f t="shared" si="5"/>
        <v>700000</v>
      </c>
    </row>
    <row r="185" spans="1:5" x14ac:dyDescent="0.3">
      <c r="A185" s="135" t="s">
        <v>8</v>
      </c>
      <c r="B185" s="136" t="s">
        <v>563</v>
      </c>
      <c r="C185" s="137">
        <v>200</v>
      </c>
      <c r="D185" s="130">
        <v>25000</v>
      </c>
      <c r="E185" s="66">
        <f t="shared" si="5"/>
        <v>5000000</v>
      </c>
    </row>
    <row r="186" spans="1:5" hidden="1" x14ac:dyDescent="0.3">
      <c r="A186" s="51" t="s">
        <v>119</v>
      </c>
      <c r="B186" s="51" t="s">
        <v>566</v>
      </c>
      <c r="C186" s="52"/>
      <c r="D186" s="66"/>
      <c r="E186" s="66">
        <f t="shared" si="5"/>
        <v>0</v>
      </c>
    </row>
    <row r="187" spans="1:5" hidden="1" x14ac:dyDescent="0.3">
      <c r="A187" s="51" t="s">
        <v>12</v>
      </c>
      <c r="B187" s="51" t="s">
        <v>563</v>
      </c>
      <c r="C187" s="52"/>
      <c r="D187" s="66"/>
      <c r="E187" s="66">
        <f t="shared" si="5"/>
        <v>0</v>
      </c>
    </row>
    <row r="188" spans="1:5" hidden="1" x14ac:dyDescent="0.3">
      <c r="A188" s="51" t="s">
        <v>14</v>
      </c>
      <c r="B188" s="51" t="s">
        <v>566</v>
      </c>
      <c r="C188" s="52"/>
      <c r="D188" s="66"/>
      <c r="E188" s="66">
        <f t="shared" si="5"/>
        <v>0</v>
      </c>
    </row>
    <row r="189" spans="1:5" hidden="1" x14ac:dyDescent="0.3">
      <c r="A189" s="51" t="s">
        <v>111</v>
      </c>
      <c r="B189" s="51" t="s">
        <v>563</v>
      </c>
      <c r="C189" s="52"/>
      <c r="D189" s="68"/>
      <c r="E189" s="66">
        <f t="shared" si="5"/>
        <v>0</v>
      </c>
    </row>
    <row r="190" spans="1:5" hidden="1" x14ac:dyDescent="0.3">
      <c r="A190" s="51" t="s">
        <v>15</v>
      </c>
      <c r="B190" s="51" t="s">
        <v>563</v>
      </c>
      <c r="C190" s="52"/>
      <c r="D190" s="66"/>
      <c r="E190" s="66">
        <f t="shared" si="5"/>
        <v>0</v>
      </c>
    </row>
    <row r="191" spans="1:5" hidden="1" x14ac:dyDescent="0.3">
      <c r="A191" s="51" t="s">
        <v>16</v>
      </c>
      <c r="B191" s="51" t="s">
        <v>563</v>
      </c>
      <c r="C191" s="52"/>
      <c r="D191" s="66"/>
      <c r="E191" s="66">
        <f t="shared" ref="E191:E211" si="6">+D191*C191</f>
        <v>0</v>
      </c>
    </row>
    <row r="192" spans="1:5" hidden="1" x14ac:dyDescent="0.3">
      <c r="A192" s="51" t="s">
        <v>68</v>
      </c>
      <c r="B192" s="51" t="s">
        <v>566</v>
      </c>
      <c r="C192" s="52"/>
      <c r="D192" s="66"/>
      <c r="E192" s="66">
        <f t="shared" si="6"/>
        <v>0</v>
      </c>
    </row>
    <row r="193" spans="1:5" hidden="1" x14ac:dyDescent="0.3">
      <c r="A193" s="51" t="s">
        <v>65</v>
      </c>
      <c r="B193" s="51" t="s">
        <v>563</v>
      </c>
      <c r="C193" s="52"/>
      <c r="D193" s="68"/>
      <c r="E193" s="66">
        <f t="shared" si="6"/>
        <v>0</v>
      </c>
    </row>
    <row r="194" spans="1:5" hidden="1" x14ac:dyDescent="0.3">
      <c r="A194" s="51" t="s">
        <v>67</v>
      </c>
      <c r="B194" s="51" t="s">
        <v>566</v>
      </c>
      <c r="C194" s="52"/>
      <c r="D194" s="66"/>
      <c r="E194" s="66">
        <f t="shared" si="6"/>
        <v>0</v>
      </c>
    </row>
    <row r="195" spans="1:5" hidden="1" x14ac:dyDescent="0.3">
      <c r="A195" s="51" t="s">
        <v>71</v>
      </c>
      <c r="B195" s="51" t="s">
        <v>563</v>
      </c>
      <c r="C195" s="52"/>
      <c r="D195" s="68"/>
      <c r="E195" s="66">
        <f t="shared" si="6"/>
        <v>0</v>
      </c>
    </row>
    <row r="196" spans="1:5" hidden="1" x14ac:dyDescent="0.3">
      <c r="A196" s="51" t="s">
        <v>72</v>
      </c>
      <c r="B196" s="51" t="s">
        <v>564</v>
      </c>
      <c r="C196" s="52"/>
      <c r="D196" s="66"/>
      <c r="E196" s="66">
        <f t="shared" si="6"/>
        <v>0</v>
      </c>
    </row>
    <row r="197" spans="1:5" hidden="1" x14ac:dyDescent="0.3">
      <c r="A197" s="51" t="s">
        <v>29</v>
      </c>
      <c r="B197" s="51" t="s">
        <v>563</v>
      </c>
      <c r="C197" s="52"/>
      <c r="D197" s="66"/>
      <c r="E197" s="66">
        <f t="shared" si="6"/>
        <v>0</v>
      </c>
    </row>
    <row r="198" spans="1:5" hidden="1" x14ac:dyDescent="0.3">
      <c r="A198" s="51" t="s">
        <v>123</v>
      </c>
      <c r="B198" s="51" t="s">
        <v>563</v>
      </c>
      <c r="C198" s="52"/>
      <c r="D198" s="68"/>
      <c r="E198" s="66">
        <f t="shared" si="6"/>
        <v>0</v>
      </c>
    </row>
    <row r="199" spans="1:5" hidden="1" x14ac:dyDescent="0.3">
      <c r="A199" s="51" t="s">
        <v>30</v>
      </c>
      <c r="B199" s="51" t="s">
        <v>563</v>
      </c>
      <c r="C199" s="52"/>
      <c r="D199" s="68"/>
      <c r="E199" s="66">
        <f t="shared" si="6"/>
        <v>0</v>
      </c>
    </row>
    <row r="200" spans="1:5" x14ac:dyDescent="0.3">
      <c r="A200" s="135" t="s">
        <v>122</v>
      </c>
      <c r="B200" s="136" t="s">
        <v>563</v>
      </c>
      <c r="C200" s="137">
        <v>22</v>
      </c>
      <c r="D200" s="130">
        <v>50000</v>
      </c>
      <c r="E200" s="66">
        <f t="shared" si="6"/>
        <v>1100000</v>
      </c>
    </row>
    <row r="201" spans="1:5" x14ac:dyDescent="0.3">
      <c r="A201" s="135" t="s">
        <v>76</v>
      </c>
      <c r="B201" s="136" t="s">
        <v>563</v>
      </c>
      <c r="C201" s="137">
        <v>100</v>
      </c>
      <c r="D201" s="130">
        <v>24000</v>
      </c>
      <c r="E201" s="66">
        <f t="shared" si="6"/>
        <v>2400000</v>
      </c>
    </row>
    <row r="202" spans="1:5" x14ac:dyDescent="0.3">
      <c r="A202" s="135" t="s">
        <v>78</v>
      </c>
      <c r="B202" s="136" t="s">
        <v>563</v>
      </c>
      <c r="C202" s="137">
        <v>40</v>
      </c>
      <c r="D202" s="130">
        <v>14000</v>
      </c>
      <c r="E202" s="66">
        <f t="shared" si="6"/>
        <v>560000</v>
      </c>
    </row>
    <row r="203" spans="1:5" x14ac:dyDescent="0.3">
      <c r="A203" s="135" t="s">
        <v>79</v>
      </c>
      <c r="B203" s="136" t="s">
        <v>563</v>
      </c>
      <c r="C203" s="137">
        <v>50</v>
      </c>
      <c r="D203" s="130">
        <v>22000</v>
      </c>
      <c r="E203" s="66">
        <f t="shared" si="6"/>
        <v>1100000</v>
      </c>
    </row>
    <row r="204" spans="1:5" hidden="1" x14ac:dyDescent="0.3">
      <c r="A204" s="51" t="s">
        <v>107</v>
      </c>
      <c r="B204" s="51" t="s">
        <v>563</v>
      </c>
      <c r="C204" s="52"/>
      <c r="D204" s="68"/>
      <c r="E204" s="66">
        <f t="shared" si="6"/>
        <v>0</v>
      </c>
    </row>
    <row r="205" spans="1:5" x14ac:dyDescent="0.3">
      <c r="A205" s="135" t="s">
        <v>82</v>
      </c>
      <c r="B205" s="136" t="s">
        <v>563</v>
      </c>
      <c r="C205" s="137">
        <v>100</v>
      </c>
      <c r="D205" s="130">
        <v>14000</v>
      </c>
      <c r="E205" s="66">
        <f t="shared" si="6"/>
        <v>1400000</v>
      </c>
    </row>
    <row r="206" spans="1:5" hidden="1" x14ac:dyDescent="0.3">
      <c r="A206" s="51" t="s">
        <v>38</v>
      </c>
      <c r="B206" s="51" t="s">
        <v>563</v>
      </c>
      <c r="C206" s="52"/>
      <c r="D206" s="68"/>
      <c r="E206" s="66">
        <f t="shared" si="6"/>
        <v>0</v>
      </c>
    </row>
    <row r="207" spans="1:5" hidden="1" x14ac:dyDescent="0.3">
      <c r="A207" s="51" t="s">
        <v>39</v>
      </c>
      <c r="B207" s="51" t="s">
        <v>568</v>
      </c>
      <c r="C207" s="52"/>
      <c r="D207" s="66"/>
      <c r="E207" s="66">
        <f t="shared" si="6"/>
        <v>0</v>
      </c>
    </row>
    <row r="208" spans="1:5" hidden="1" x14ac:dyDescent="0.3">
      <c r="A208" s="51" t="s">
        <v>40</v>
      </c>
      <c r="B208" s="51" t="s">
        <v>563</v>
      </c>
      <c r="C208" s="52"/>
      <c r="D208" s="68"/>
      <c r="E208" s="66">
        <f t="shared" si="6"/>
        <v>0</v>
      </c>
    </row>
    <row r="209" spans="1:5" hidden="1" x14ac:dyDescent="0.3">
      <c r="A209" s="51" t="s">
        <v>41</v>
      </c>
      <c r="B209" s="51" t="s">
        <v>568</v>
      </c>
      <c r="C209" s="52"/>
      <c r="D209" s="66"/>
      <c r="E209" s="66">
        <f t="shared" si="6"/>
        <v>0</v>
      </c>
    </row>
    <row r="210" spans="1:5" hidden="1" x14ac:dyDescent="0.3">
      <c r="A210" s="51" t="s">
        <v>46</v>
      </c>
      <c r="B210" s="51" t="s">
        <v>568</v>
      </c>
      <c r="C210" s="52"/>
      <c r="D210" s="66"/>
      <c r="E210" s="66">
        <f t="shared" si="6"/>
        <v>0</v>
      </c>
    </row>
    <row r="211" spans="1:5" hidden="1" x14ac:dyDescent="0.3">
      <c r="A211" s="51" t="e">
        <v>#N/A</v>
      </c>
      <c r="B211" s="51">
        <v>0</v>
      </c>
      <c r="C211" s="52"/>
      <c r="D211" s="68"/>
      <c r="E211" s="66">
        <f t="shared" si="6"/>
        <v>0</v>
      </c>
    </row>
    <row r="212" spans="1:5" x14ac:dyDescent="0.3">
      <c r="C212" s="121">
        <v>0</v>
      </c>
      <c r="D212" s="131" t="s">
        <v>627</v>
      </c>
      <c r="E212" s="131">
        <f>SUBTOTAL(9,E160:E205)</f>
        <v>40134000</v>
      </c>
    </row>
    <row r="213" spans="1:5" x14ac:dyDescent="0.3">
      <c r="C213" s="121">
        <v>0</v>
      </c>
      <c r="D213" s="141" t="s">
        <v>625</v>
      </c>
      <c r="E213" s="141">
        <f>+E157+E212</f>
        <v>171731000</v>
      </c>
    </row>
  </sheetData>
  <autoFilter ref="A3:CQ213" xr:uid="{00000000-0009-0000-0000-00001B000000}">
    <filterColumn colId="2">
      <customFilters>
        <customFilter operator="notEqual" val=" "/>
      </customFilters>
    </filterColumn>
  </autoFilter>
  <pageMargins left="0.7" right="0.7" top="0.75" bottom="0.75" header="0.3" footer="0.3"/>
  <pageSetup paperSize="9" scale="7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3:F181"/>
  <sheetViews>
    <sheetView tabSelected="1" workbookViewId="0">
      <pane xSplit="1" ySplit="3" topLeftCell="B38" activePane="bottomRight" state="frozen"/>
      <selection pane="topRight" activeCell="B1" sqref="B1"/>
      <selection pane="bottomLeft" activeCell="A4" sqref="A4"/>
      <selection pane="bottomRight" activeCell="F85" sqref="F85"/>
    </sheetView>
  </sheetViews>
  <sheetFormatPr defaultColWidth="8.88671875" defaultRowHeight="15.6" x14ac:dyDescent="0.3"/>
  <cols>
    <col min="1" max="1" width="44.88671875" style="120" bestFit="1" customWidth="1"/>
    <col min="2" max="2" width="13.44140625" style="120" bestFit="1" customWidth="1"/>
    <col min="3" max="3" width="13.44140625" style="121" bestFit="1" customWidth="1"/>
    <col min="4" max="4" width="16.109375" style="121" customWidth="1"/>
    <col min="5" max="5" width="15.44140625" style="154" customWidth="1"/>
    <col min="6" max="16384" width="8.88671875" style="120"/>
  </cols>
  <sheetData>
    <row r="3" spans="1:5" s="151" customFormat="1" ht="31.2" x14ac:dyDescent="0.3">
      <c r="A3" s="149" t="s">
        <v>628</v>
      </c>
      <c r="B3" s="149" t="s">
        <v>562</v>
      </c>
      <c r="C3" s="144" t="s">
        <v>544</v>
      </c>
      <c r="D3" s="143" t="s">
        <v>623</v>
      </c>
      <c r="E3" s="144" t="s">
        <v>624</v>
      </c>
    </row>
    <row r="4" spans="1:5" x14ac:dyDescent="0.3">
      <c r="A4" s="134" t="s">
        <v>21</v>
      </c>
      <c r="B4" s="134" t="s">
        <v>563</v>
      </c>
      <c r="C4" s="123">
        <v>5</v>
      </c>
      <c r="D4" s="123">
        <v>16000</v>
      </c>
      <c r="E4" s="150">
        <f>+D4*C4</f>
        <v>80000</v>
      </c>
    </row>
    <row r="5" spans="1:5" x14ac:dyDescent="0.3">
      <c r="A5" s="134" t="s">
        <v>22</v>
      </c>
      <c r="B5" s="134" t="s">
        <v>563</v>
      </c>
      <c r="C5" s="123">
        <v>80</v>
      </c>
      <c r="D5" s="123">
        <v>9000</v>
      </c>
      <c r="E5" s="150">
        <f t="shared" ref="E5:E68" si="0">+D5*C5</f>
        <v>720000</v>
      </c>
    </row>
    <row r="6" spans="1:5" x14ac:dyDescent="0.3">
      <c r="A6" s="134" t="s">
        <v>23</v>
      </c>
      <c r="B6" s="134" t="s">
        <v>563</v>
      </c>
      <c r="C6" s="123">
        <v>588</v>
      </c>
      <c r="D6" s="123">
        <v>7500</v>
      </c>
      <c r="E6" s="150">
        <f t="shared" si="0"/>
        <v>4410000</v>
      </c>
    </row>
    <row r="7" spans="1:5" hidden="1" x14ac:dyDescent="0.3">
      <c r="A7" s="133" t="s">
        <v>48</v>
      </c>
      <c r="B7" s="133" t="s">
        <v>563</v>
      </c>
      <c r="C7" s="150">
        <v>0</v>
      </c>
      <c r="D7" s="150"/>
      <c r="E7" s="150">
        <f t="shared" si="0"/>
        <v>0</v>
      </c>
    </row>
    <row r="8" spans="1:5" x14ac:dyDescent="0.3">
      <c r="A8" s="134" t="s">
        <v>49</v>
      </c>
      <c r="B8" s="134" t="s">
        <v>563</v>
      </c>
      <c r="C8" s="123">
        <v>23</v>
      </c>
      <c r="D8" s="123">
        <v>9000</v>
      </c>
      <c r="E8" s="150">
        <f t="shared" si="0"/>
        <v>207000</v>
      </c>
    </row>
    <row r="9" spans="1:5" x14ac:dyDescent="0.3">
      <c r="A9" s="134" t="s">
        <v>50</v>
      </c>
      <c r="B9" s="134" t="s">
        <v>563</v>
      </c>
      <c r="C9" s="123">
        <v>630</v>
      </c>
      <c r="D9" s="123">
        <v>6000</v>
      </c>
      <c r="E9" s="150">
        <f t="shared" si="0"/>
        <v>3780000</v>
      </c>
    </row>
    <row r="10" spans="1:5" hidden="1" x14ac:dyDescent="0.3">
      <c r="A10" s="133" t="s">
        <v>84</v>
      </c>
      <c r="B10" s="133" t="s">
        <v>563</v>
      </c>
      <c r="C10" s="150">
        <v>0</v>
      </c>
      <c r="D10" s="150"/>
      <c r="E10" s="150">
        <f t="shared" si="0"/>
        <v>0</v>
      </c>
    </row>
    <row r="11" spans="1:5" hidden="1" x14ac:dyDescent="0.3">
      <c r="A11" s="133" t="s">
        <v>121</v>
      </c>
      <c r="B11" s="133" t="s">
        <v>563</v>
      </c>
      <c r="C11" s="150">
        <v>0</v>
      </c>
      <c r="D11" s="150"/>
      <c r="E11" s="150">
        <f t="shared" si="0"/>
        <v>0</v>
      </c>
    </row>
    <row r="12" spans="1:5" x14ac:dyDescent="0.3">
      <c r="A12" s="134" t="s">
        <v>51</v>
      </c>
      <c r="B12" s="134" t="s">
        <v>563</v>
      </c>
      <c r="C12" s="123">
        <v>100</v>
      </c>
      <c r="D12" s="123">
        <v>18000</v>
      </c>
      <c r="E12" s="150">
        <f t="shared" si="0"/>
        <v>1800000</v>
      </c>
    </row>
    <row r="13" spans="1:5" hidden="1" x14ac:dyDescent="0.3">
      <c r="A13" s="133" t="s">
        <v>51</v>
      </c>
      <c r="B13" s="133" t="s">
        <v>570</v>
      </c>
      <c r="C13" s="150"/>
      <c r="D13" s="150"/>
      <c r="E13" s="150">
        <f t="shared" si="0"/>
        <v>0</v>
      </c>
    </row>
    <row r="14" spans="1:5" x14ac:dyDescent="0.3">
      <c r="A14" s="134" t="s">
        <v>52</v>
      </c>
      <c r="B14" s="134" t="s">
        <v>563</v>
      </c>
      <c r="C14" s="123">
        <v>62</v>
      </c>
      <c r="D14" s="123">
        <v>14000</v>
      </c>
      <c r="E14" s="150">
        <f t="shared" si="0"/>
        <v>868000</v>
      </c>
    </row>
    <row r="15" spans="1:5" hidden="1" x14ac:dyDescent="0.3">
      <c r="A15" s="133" t="s">
        <v>52</v>
      </c>
      <c r="B15" s="133" t="s">
        <v>570</v>
      </c>
      <c r="C15" s="150"/>
      <c r="D15" s="150"/>
      <c r="E15" s="150">
        <f t="shared" si="0"/>
        <v>0</v>
      </c>
    </row>
    <row r="16" spans="1:5" x14ac:dyDescent="0.3">
      <c r="A16" s="134" t="s">
        <v>92</v>
      </c>
      <c r="B16" s="134" t="s">
        <v>563</v>
      </c>
      <c r="C16" s="123">
        <v>96</v>
      </c>
      <c r="D16" s="123">
        <v>16000</v>
      </c>
      <c r="E16" s="150">
        <f t="shared" si="0"/>
        <v>1536000</v>
      </c>
    </row>
    <row r="17" spans="1:5" hidden="1" x14ac:dyDescent="0.3">
      <c r="A17" s="133" t="s">
        <v>91</v>
      </c>
      <c r="B17" s="133" t="s">
        <v>563</v>
      </c>
      <c r="C17" s="150">
        <v>0</v>
      </c>
      <c r="D17" s="150"/>
      <c r="E17" s="150">
        <f t="shared" si="0"/>
        <v>0</v>
      </c>
    </row>
    <row r="18" spans="1:5" x14ac:dyDescent="0.3">
      <c r="A18" s="134" t="s">
        <v>110</v>
      </c>
      <c r="B18" s="134" t="s">
        <v>563</v>
      </c>
      <c r="C18" s="123">
        <v>1</v>
      </c>
      <c r="D18" s="123">
        <v>27000</v>
      </c>
      <c r="E18" s="150">
        <f t="shared" si="0"/>
        <v>27000</v>
      </c>
    </row>
    <row r="19" spans="1:5" hidden="1" x14ac:dyDescent="0.3">
      <c r="A19" s="133" t="s">
        <v>524</v>
      </c>
      <c r="B19" s="133" t="s">
        <v>563</v>
      </c>
      <c r="C19" s="150">
        <v>0</v>
      </c>
      <c r="D19" s="150"/>
      <c r="E19" s="150">
        <f t="shared" si="0"/>
        <v>0</v>
      </c>
    </row>
    <row r="20" spans="1:5" hidden="1" x14ac:dyDescent="0.3">
      <c r="A20" s="133" t="s">
        <v>18</v>
      </c>
      <c r="B20" s="133" t="s">
        <v>563</v>
      </c>
      <c r="C20" s="150">
        <v>0</v>
      </c>
      <c r="D20" s="150"/>
      <c r="E20" s="150">
        <f t="shared" si="0"/>
        <v>0</v>
      </c>
    </row>
    <row r="21" spans="1:5" hidden="1" x14ac:dyDescent="0.3">
      <c r="A21" s="133" t="s">
        <v>19</v>
      </c>
      <c r="B21" s="133" t="s">
        <v>563</v>
      </c>
      <c r="C21" s="150">
        <v>0</v>
      </c>
      <c r="D21" s="150"/>
      <c r="E21" s="150">
        <f t="shared" si="0"/>
        <v>0</v>
      </c>
    </row>
    <row r="22" spans="1:5" hidden="1" x14ac:dyDescent="0.3">
      <c r="A22" s="133" t="s">
        <v>19</v>
      </c>
      <c r="B22" s="133" t="s">
        <v>564</v>
      </c>
      <c r="C22" s="150">
        <v>0</v>
      </c>
      <c r="D22" s="150"/>
      <c r="E22" s="150">
        <f t="shared" si="0"/>
        <v>0</v>
      </c>
    </row>
    <row r="23" spans="1:5" x14ac:dyDescent="0.3">
      <c r="A23" s="134" t="s">
        <v>53</v>
      </c>
      <c r="B23" s="134" t="s">
        <v>563</v>
      </c>
      <c r="C23" s="123">
        <v>125</v>
      </c>
      <c r="D23" s="123">
        <v>22000</v>
      </c>
      <c r="E23" s="150">
        <f t="shared" si="0"/>
        <v>2750000</v>
      </c>
    </row>
    <row r="24" spans="1:5" hidden="1" x14ac:dyDescent="0.3">
      <c r="A24" s="133" t="s">
        <v>53</v>
      </c>
      <c r="B24" s="133" t="s">
        <v>564</v>
      </c>
      <c r="C24" s="150"/>
      <c r="D24" s="150"/>
      <c r="E24" s="150">
        <f t="shared" si="0"/>
        <v>0</v>
      </c>
    </row>
    <row r="25" spans="1:5" hidden="1" x14ac:dyDescent="0.3">
      <c r="A25" s="133" t="s">
        <v>54</v>
      </c>
      <c r="B25" s="133" t="s">
        <v>563</v>
      </c>
      <c r="C25" s="150">
        <v>0</v>
      </c>
      <c r="D25" s="150"/>
      <c r="E25" s="150">
        <f t="shared" si="0"/>
        <v>0</v>
      </c>
    </row>
    <row r="26" spans="1:5" hidden="1" x14ac:dyDescent="0.3">
      <c r="A26" s="133" t="s">
        <v>54</v>
      </c>
      <c r="B26" s="133" t="s">
        <v>564</v>
      </c>
      <c r="C26" s="150">
        <v>0</v>
      </c>
      <c r="D26" s="150"/>
      <c r="E26" s="150">
        <f t="shared" si="0"/>
        <v>0</v>
      </c>
    </row>
    <row r="27" spans="1:5" hidden="1" x14ac:dyDescent="0.3">
      <c r="A27" s="133" t="s">
        <v>55</v>
      </c>
      <c r="B27" s="133" t="s">
        <v>564</v>
      </c>
      <c r="C27" s="150">
        <v>0</v>
      </c>
      <c r="D27" s="150"/>
      <c r="E27" s="150">
        <f t="shared" si="0"/>
        <v>0</v>
      </c>
    </row>
    <row r="28" spans="1:5" x14ac:dyDescent="0.3">
      <c r="A28" s="134" t="s">
        <v>56</v>
      </c>
      <c r="B28" s="134" t="s">
        <v>565</v>
      </c>
      <c r="C28" s="123">
        <v>140</v>
      </c>
      <c r="D28" s="123">
        <v>9000</v>
      </c>
      <c r="E28" s="150">
        <f t="shared" si="0"/>
        <v>1260000</v>
      </c>
    </row>
    <row r="29" spans="1:5" x14ac:dyDescent="0.3">
      <c r="A29" s="134" t="s">
        <v>103</v>
      </c>
      <c r="B29" s="134" t="s">
        <v>563</v>
      </c>
      <c r="C29" s="123">
        <v>7</v>
      </c>
      <c r="D29" s="123">
        <v>25000</v>
      </c>
      <c r="E29" s="150">
        <f t="shared" si="0"/>
        <v>175000</v>
      </c>
    </row>
    <row r="30" spans="1:5" hidden="1" x14ac:dyDescent="0.3">
      <c r="A30" s="133" t="s">
        <v>57</v>
      </c>
      <c r="B30" s="133" t="s">
        <v>565</v>
      </c>
      <c r="C30" s="150">
        <v>0</v>
      </c>
      <c r="D30" s="150"/>
      <c r="E30" s="150">
        <f t="shared" si="0"/>
        <v>0</v>
      </c>
    </row>
    <row r="31" spans="1:5" hidden="1" x14ac:dyDescent="0.3">
      <c r="A31" s="133" t="s">
        <v>57</v>
      </c>
      <c r="B31" s="133" t="s">
        <v>563</v>
      </c>
      <c r="C31" s="150">
        <v>0</v>
      </c>
      <c r="D31" s="150"/>
      <c r="E31" s="150">
        <f t="shared" si="0"/>
        <v>0</v>
      </c>
    </row>
    <row r="32" spans="1:5" hidden="1" x14ac:dyDescent="0.3">
      <c r="A32" s="133" t="s">
        <v>58</v>
      </c>
      <c r="B32" s="133" t="s">
        <v>563</v>
      </c>
      <c r="C32" s="150">
        <v>0</v>
      </c>
      <c r="D32" s="150"/>
      <c r="E32" s="150">
        <f t="shared" si="0"/>
        <v>0</v>
      </c>
    </row>
    <row r="33" spans="1:5" x14ac:dyDescent="0.3">
      <c r="A33" s="134" t="s">
        <v>59</v>
      </c>
      <c r="B33" s="134" t="s">
        <v>565</v>
      </c>
      <c r="C33" s="123">
        <v>85</v>
      </c>
      <c r="D33" s="123">
        <v>6000</v>
      </c>
      <c r="E33" s="150">
        <f t="shared" si="0"/>
        <v>510000</v>
      </c>
    </row>
    <row r="34" spans="1:5" hidden="1" x14ac:dyDescent="0.3">
      <c r="A34" s="133" t="s">
        <v>86</v>
      </c>
      <c r="B34" s="133" t="s">
        <v>565</v>
      </c>
      <c r="C34" s="150">
        <v>0</v>
      </c>
      <c r="D34" s="150"/>
      <c r="E34" s="150">
        <f t="shared" si="0"/>
        <v>0</v>
      </c>
    </row>
    <row r="35" spans="1:5" x14ac:dyDescent="0.3">
      <c r="A35" s="134" t="s">
        <v>60</v>
      </c>
      <c r="B35" s="134" t="s">
        <v>563</v>
      </c>
      <c r="C35" s="123">
        <v>580</v>
      </c>
      <c r="D35" s="123">
        <v>19000</v>
      </c>
      <c r="E35" s="150">
        <f t="shared" si="0"/>
        <v>11020000</v>
      </c>
    </row>
    <row r="36" spans="1:5" hidden="1" x14ac:dyDescent="0.3">
      <c r="A36" s="133" t="s">
        <v>60</v>
      </c>
      <c r="B36" s="133" t="s">
        <v>566</v>
      </c>
      <c r="C36" s="150"/>
      <c r="D36" s="150"/>
      <c r="E36" s="150">
        <f t="shared" si="0"/>
        <v>0</v>
      </c>
    </row>
    <row r="37" spans="1:5" hidden="1" x14ac:dyDescent="0.3">
      <c r="A37" s="133" t="s">
        <v>60</v>
      </c>
      <c r="B37" s="133" t="s">
        <v>564</v>
      </c>
      <c r="C37" s="150"/>
      <c r="D37" s="150"/>
      <c r="E37" s="150">
        <f t="shared" si="0"/>
        <v>0</v>
      </c>
    </row>
    <row r="38" spans="1:5" x14ac:dyDescent="0.3">
      <c r="A38" s="134" t="s">
        <v>61</v>
      </c>
      <c r="B38" s="134" t="s">
        <v>566</v>
      </c>
      <c r="C38" s="123">
        <v>40</v>
      </c>
      <c r="D38" s="123">
        <v>17000</v>
      </c>
      <c r="E38" s="150">
        <f t="shared" si="0"/>
        <v>680000</v>
      </c>
    </row>
    <row r="39" spans="1:5" x14ac:dyDescent="0.3">
      <c r="A39" s="134" t="s">
        <v>1</v>
      </c>
      <c r="B39" s="134" t="s">
        <v>563</v>
      </c>
      <c r="C39" s="123">
        <v>40</v>
      </c>
      <c r="D39" s="123">
        <v>20000</v>
      </c>
      <c r="E39" s="150">
        <f t="shared" si="0"/>
        <v>800000</v>
      </c>
    </row>
    <row r="40" spans="1:5" hidden="1" x14ac:dyDescent="0.3">
      <c r="A40" s="133" t="s">
        <v>1</v>
      </c>
      <c r="B40" s="133" t="s">
        <v>566</v>
      </c>
      <c r="C40" s="150"/>
      <c r="D40" s="150"/>
      <c r="E40" s="150">
        <f t="shared" si="0"/>
        <v>0</v>
      </c>
    </row>
    <row r="41" spans="1:5" hidden="1" x14ac:dyDescent="0.3">
      <c r="A41" s="133" t="s">
        <v>2</v>
      </c>
      <c r="B41" s="133" t="s">
        <v>563</v>
      </c>
      <c r="C41" s="150">
        <v>0</v>
      </c>
      <c r="D41" s="150"/>
      <c r="E41" s="150">
        <f t="shared" si="0"/>
        <v>0</v>
      </c>
    </row>
    <row r="42" spans="1:5" hidden="1" x14ac:dyDescent="0.3">
      <c r="A42" s="133" t="s">
        <v>2</v>
      </c>
      <c r="B42" s="133" t="s">
        <v>564</v>
      </c>
      <c r="C42" s="150">
        <v>0</v>
      </c>
      <c r="D42" s="150"/>
      <c r="E42" s="150">
        <f t="shared" si="0"/>
        <v>0</v>
      </c>
    </row>
    <row r="43" spans="1:5" hidden="1" x14ac:dyDescent="0.3">
      <c r="A43" s="133" t="s">
        <v>62</v>
      </c>
      <c r="B43" s="133" t="s">
        <v>563</v>
      </c>
      <c r="C43" s="150">
        <v>0</v>
      </c>
      <c r="D43" s="150"/>
      <c r="E43" s="150">
        <f t="shared" si="0"/>
        <v>0</v>
      </c>
    </row>
    <row r="44" spans="1:5" hidden="1" x14ac:dyDescent="0.3">
      <c r="A44" s="133" t="s">
        <v>63</v>
      </c>
      <c r="B44" s="133" t="s">
        <v>564</v>
      </c>
      <c r="C44" s="150">
        <v>0</v>
      </c>
      <c r="D44" s="150"/>
      <c r="E44" s="150">
        <f t="shared" si="0"/>
        <v>0</v>
      </c>
    </row>
    <row r="45" spans="1:5" ht="13.2" hidden="1" customHeight="1" x14ac:dyDescent="0.3">
      <c r="A45" s="133" t="s">
        <v>583</v>
      </c>
      <c r="B45" s="133" t="s">
        <v>566</v>
      </c>
      <c r="C45" s="150">
        <v>0</v>
      </c>
      <c r="D45" s="150"/>
      <c r="E45" s="150">
        <f t="shared" si="0"/>
        <v>0</v>
      </c>
    </row>
    <row r="46" spans="1:5" hidden="1" x14ac:dyDescent="0.3">
      <c r="A46" s="133" t="s">
        <v>24</v>
      </c>
      <c r="B46" s="133" t="s">
        <v>563</v>
      </c>
      <c r="C46" s="150">
        <v>0</v>
      </c>
      <c r="D46" s="150"/>
      <c r="E46" s="150">
        <f t="shared" si="0"/>
        <v>0</v>
      </c>
    </row>
    <row r="47" spans="1:5" hidden="1" x14ac:dyDescent="0.3">
      <c r="A47" s="133" t="s">
        <v>24</v>
      </c>
      <c r="B47" s="133" t="s">
        <v>566</v>
      </c>
      <c r="C47" s="150">
        <v>0</v>
      </c>
      <c r="D47" s="150"/>
      <c r="E47" s="150">
        <f t="shared" si="0"/>
        <v>0</v>
      </c>
    </row>
    <row r="48" spans="1:5" hidden="1" x14ac:dyDescent="0.3">
      <c r="A48" s="133" t="s">
        <v>557</v>
      </c>
      <c r="B48" s="133" t="s">
        <v>566</v>
      </c>
      <c r="C48" s="150">
        <v>0</v>
      </c>
      <c r="D48" s="150"/>
      <c r="E48" s="150">
        <f t="shared" si="0"/>
        <v>0</v>
      </c>
    </row>
    <row r="49" spans="1:5" hidden="1" x14ac:dyDescent="0.3">
      <c r="A49" s="133" t="s">
        <v>25</v>
      </c>
      <c r="B49" s="133" t="s">
        <v>563</v>
      </c>
      <c r="C49" s="150">
        <v>0</v>
      </c>
      <c r="D49" s="150"/>
      <c r="E49" s="150">
        <f t="shared" si="0"/>
        <v>0</v>
      </c>
    </row>
    <row r="50" spans="1:5" hidden="1" x14ac:dyDescent="0.3">
      <c r="A50" s="133" t="s">
        <v>25</v>
      </c>
      <c r="B50" s="133" t="s">
        <v>566</v>
      </c>
      <c r="C50" s="150">
        <v>0</v>
      </c>
      <c r="D50" s="150"/>
      <c r="E50" s="150">
        <f t="shared" si="0"/>
        <v>0</v>
      </c>
    </row>
    <row r="51" spans="1:5" hidden="1" x14ac:dyDescent="0.3">
      <c r="A51" s="133" t="s">
        <v>26</v>
      </c>
      <c r="B51" s="133" t="s">
        <v>563</v>
      </c>
      <c r="C51" s="150">
        <v>0</v>
      </c>
      <c r="D51" s="150"/>
      <c r="E51" s="150">
        <f t="shared" si="0"/>
        <v>0</v>
      </c>
    </row>
    <row r="52" spans="1:5" hidden="1" x14ac:dyDescent="0.3">
      <c r="A52" s="133" t="s">
        <v>26</v>
      </c>
      <c r="B52" s="133" t="s">
        <v>566</v>
      </c>
      <c r="C52" s="150">
        <v>0</v>
      </c>
      <c r="D52" s="150"/>
      <c r="E52" s="150">
        <f t="shared" si="0"/>
        <v>0</v>
      </c>
    </row>
    <row r="53" spans="1:5" hidden="1" x14ac:dyDescent="0.3">
      <c r="A53" s="133" t="s">
        <v>26</v>
      </c>
      <c r="B53" s="133" t="s">
        <v>567</v>
      </c>
      <c r="C53" s="150">
        <v>0</v>
      </c>
      <c r="D53" s="150"/>
      <c r="E53" s="150">
        <f t="shared" si="0"/>
        <v>0</v>
      </c>
    </row>
    <row r="54" spans="1:5" hidden="1" x14ac:dyDescent="0.3">
      <c r="A54" s="133" t="s">
        <v>573</v>
      </c>
      <c r="B54" s="133" t="s">
        <v>563</v>
      </c>
      <c r="C54" s="150">
        <v>0</v>
      </c>
      <c r="D54" s="150"/>
      <c r="E54" s="150">
        <f t="shared" si="0"/>
        <v>0</v>
      </c>
    </row>
    <row r="55" spans="1:5" hidden="1" x14ac:dyDescent="0.3">
      <c r="A55" s="133" t="s">
        <v>573</v>
      </c>
      <c r="B55" s="133" t="s">
        <v>566</v>
      </c>
      <c r="C55" s="150">
        <v>0</v>
      </c>
      <c r="D55" s="150"/>
      <c r="E55" s="150">
        <f t="shared" si="0"/>
        <v>0</v>
      </c>
    </row>
    <row r="56" spans="1:5" hidden="1" x14ac:dyDescent="0.3">
      <c r="A56" s="133" t="s">
        <v>27</v>
      </c>
      <c r="B56" s="133" t="s">
        <v>563</v>
      </c>
      <c r="C56" s="150">
        <v>0</v>
      </c>
      <c r="D56" s="150"/>
      <c r="E56" s="150">
        <f t="shared" si="0"/>
        <v>0</v>
      </c>
    </row>
    <row r="57" spans="1:5" hidden="1" x14ac:dyDescent="0.3">
      <c r="A57" s="133" t="s">
        <v>560</v>
      </c>
      <c r="B57" s="133" t="s">
        <v>563</v>
      </c>
      <c r="C57" s="150">
        <v>0</v>
      </c>
      <c r="D57" s="150"/>
      <c r="E57" s="150">
        <f t="shared" si="0"/>
        <v>0</v>
      </c>
    </row>
    <row r="58" spans="1:5" hidden="1" x14ac:dyDescent="0.3">
      <c r="A58" s="133" t="s">
        <v>560</v>
      </c>
      <c r="B58" s="133" t="s">
        <v>566</v>
      </c>
      <c r="C58" s="150">
        <v>0</v>
      </c>
      <c r="D58" s="150"/>
      <c r="E58" s="150">
        <f t="shared" si="0"/>
        <v>0</v>
      </c>
    </row>
    <row r="59" spans="1:5" hidden="1" x14ac:dyDescent="0.3">
      <c r="A59" s="133" t="s">
        <v>28</v>
      </c>
      <c r="B59" s="133" t="s">
        <v>568</v>
      </c>
      <c r="C59" s="150"/>
      <c r="D59" s="150"/>
      <c r="E59" s="150">
        <f t="shared" si="0"/>
        <v>0</v>
      </c>
    </row>
    <row r="60" spans="1:5" x14ac:dyDescent="0.3">
      <c r="A60" s="134" t="s">
        <v>28</v>
      </c>
      <c r="B60" s="134" t="s">
        <v>563</v>
      </c>
      <c r="C60" s="123">
        <v>160</v>
      </c>
      <c r="D60" s="123">
        <v>18000</v>
      </c>
      <c r="E60" s="150">
        <f t="shared" si="0"/>
        <v>2880000</v>
      </c>
    </row>
    <row r="61" spans="1:5" hidden="1" x14ac:dyDescent="0.3">
      <c r="A61" s="133" t="s">
        <v>28</v>
      </c>
      <c r="B61" s="133" t="s">
        <v>566</v>
      </c>
      <c r="C61" s="150"/>
      <c r="D61" s="150"/>
      <c r="E61" s="150">
        <f t="shared" si="0"/>
        <v>0</v>
      </c>
    </row>
    <row r="62" spans="1:5" hidden="1" x14ac:dyDescent="0.3">
      <c r="A62" s="133" t="s">
        <v>64</v>
      </c>
      <c r="B62" s="133" t="s">
        <v>563</v>
      </c>
      <c r="C62" s="150">
        <v>0</v>
      </c>
      <c r="D62" s="150"/>
      <c r="E62" s="150">
        <f t="shared" si="0"/>
        <v>0</v>
      </c>
    </row>
    <row r="63" spans="1:5" hidden="1" x14ac:dyDescent="0.3">
      <c r="A63" s="133" t="s">
        <v>64</v>
      </c>
      <c r="B63" s="133" t="s">
        <v>564</v>
      </c>
      <c r="C63" s="150">
        <v>0</v>
      </c>
      <c r="D63" s="150"/>
      <c r="E63" s="150">
        <f t="shared" si="0"/>
        <v>0</v>
      </c>
    </row>
    <row r="64" spans="1:5" hidden="1" x14ac:dyDescent="0.3">
      <c r="A64" s="133" t="s">
        <v>87</v>
      </c>
      <c r="B64" s="133" t="s">
        <v>563</v>
      </c>
      <c r="C64" s="150">
        <v>0</v>
      </c>
      <c r="D64" s="150"/>
      <c r="E64" s="150">
        <f t="shared" si="0"/>
        <v>0</v>
      </c>
    </row>
    <row r="65" spans="1:6" hidden="1" x14ac:dyDescent="0.3">
      <c r="A65" s="133" t="s">
        <v>3</v>
      </c>
      <c r="B65" s="133" t="s">
        <v>563</v>
      </c>
      <c r="C65" s="150">
        <v>0</v>
      </c>
      <c r="D65" s="150"/>
      <c r="E65" s="150">
        <f t="shared" si="0"/>
        <v>0</v>
      </c>
    </row>
    <row r="66" spans="1:6" hidden="1" x14ac:dyDescent="0.3">
      <c r="A66" s="133" t="s">
        <v>4</v>
      </c>
      <c r="B66" s="133" t="s">
        <v>565</v>
      </c>
      <c r="C66" s="150">
        <v>0</v>
      </c>
      <c r="D66" s="150"/>
      <c r="E66" s="150">
        <f t="shared" si="0"/>
        <v>0</v>
      </c>
    </row>
    <row r="67" spans="1:6" x14ac:dyDescent="0.3">
      <c r="A67" s="152" t="s">
        <v>117</v>
      </c>
      <c r="B67" s="152" t="s">
        <v>563</v>
      </c>
      <c r="C67" s="123">
        <v>2.5</v>
      </c>
      <c r="D67" s="123">
        <v>16000</v>
      </c>
      <c r="E67" s="150">
        <f t="shared" si="0"/>
        <v>40000</v>
      </c>
    </row>
    <row r="68" spans="1:6" x14ac:dyDescent="0.3">
      <c r="A68" s="134" t="s">
        <v>5</v>
      </c>
      <c r="B68" s="134" t="s">
        <v>563</v>
      </c>
      <c r="C68" s="123">
        <v>25</v>
      </c>
      <c r="D68" s="123">
        <v>6000</v>
      </c>
      <c r="E68" s="150">
        <f t="shared" si="0"/>
        <v>150000</v>
      </c>
    </row>
    <row r="69" spans="1:6" x14ac:dyDescent="0.3">
      <c r="A69" s="134" t="s">
        <v>6</v>
      </c>
      <c r="B69" s="134" t="s">
        <v>563</v>
      </c>
      <c r="C69" s="123">
        <v>120</v>
      </c>
      <c r="D69" s="123">
        <v>14000</v>
      </c>
      <c r="E69" s="150">
        <f t="shared" ref="E69:E132" si="1">+D69*C69</f>
        <v>1680000</v>
      </c>
    </row>
    <row r="70" spans="1:6" hidden="1" x14ac:dyDescent="0.3">
      <c r="A70" s="133" t="s">
        <v>6</v>
      </c>
      <c r="B70" s="133" t="s">
        <v>566</v>
      </c>
      <c r="C70" s="150"/>
      <c r="D70" s="150"/>
      <c r="E70" s="150">
        <f t="shared" si="1"/>
        <v>0</v>
      </c>
    </row>
    <row r="71" spans="1:6" hidden="1" x14ac:dyDescent="0.3">
      <c r="A71" s="133" t="s">
        <v>7</v>
      </c>
      <c r="B71" s="133" t="s">
        <v>563</v>
      </c>
      <c r="C71" s="150">
        <v>0</v>
      </c>
      <c r="D71" s="150"/>
      <c r="E71" s="150">
        <f t="shared" si="1"/>
        <v>0</v>
      </c>
    </row>
    <row r="72" spans="1:6" x14ac:dyDescent="0.3">
      <c r="A72" s="134" t="s">
        <v>8</v>
      </c>
      <c r="B72" s="134" t="s">
        <v>563</v>
      </c>
      <c r="C72" s="123">
        <v>500</v>
      </c>
      <c r="D72" s="123">
        <v>25000</v>
      </c>
      <c r="E72" s="150">
        <f t="shared" si="1"/>
        <v>12500000</v>
      </c>
    </row>
    <row r="73" spans="1:6" hidden="1" x14ac:dyDescent="0.3">
      <c r="A73" s="133" t="s">
        <v>9</v>
      </c>
      <c r="B73" s="133" t="s">
        <v>563</v>
      </c>
      <c r="C73" s="150">
        <v>0</v>
      </c>
      <c r="D73" s="150"/>
      <c r="E73" s="150">
        <f t="shared" si="1"/>
        <v>0</v>
      </c>
    </row>
    <row r="74" spans="1:6" hidden="1" x14ac:dyDescent="0.3">
      <c r="A74" s="133" t="s">
        <v>9</v>
      </c>
      <c r="B74" s="133" t="s">
        <v>566</v>
      </c>
      <c r="C74" s="150">
        <v>0</v>
      </c>
      <c r="D74" s="150"/>
      <c r="E74" s="150">
        <f t="shared" si="1"/>
        <v>0</v>
      </c>
    </row>
    <row r="75" spans="1:6" x14ac:dyDescent="0.3">
      <c r="A75" s="134" t="s">
        <v>10</v>
      </c>
      <c r="B75" s="134" t="s">
        <v>566</v>
      </c>
      <c r="C75" s="123">
        <v>2400</v>
      </c>
      <c r="D75" s="123">
        <v>2600</v>
      </c>
      <c r="E75" s="150">
        <f t="shared" si="1"/>
        <v>6240000</v>
      </c>
      <c r="F75" s="158">
        <f>+D75/D72</f>
        <v>0.104</v>
      </c>
    </row>
    <row r="76" spans="1:6" x14ac:dyDescent="0.3">
      <c r="A76" s="134" t="s">
        <v>102</v>
      </c>
      <c r="B76" s="134" t="s">
        <v>563</v>
      </c>
      <c r="C76" s="123">
        <v>240</v>
      </c>
      <c r="D76" s="123">
        <v>26000</v>
      </c>
      <c r="E76" s="150">
        <f t="shared" si="1"/>
        <v>6240000</v>
      </c>
    </row>
    <row r="77" spans="1:6" x14ac:dyDescent="0.3">
      <c r="A77" s="134" t="s">
        <v>11</v>
      </c>
      <c r="B77" s="134" t="s">
        <v>563</v>
      </c>
      <c r="C77" s="123">
        <v>300</v>
      </c>
      <c r="D77" s="123">
        <v>11000</v>
      </c>
      <c r="E77" s="150">
        <f t="shared" si="1"/>
        <v>3300000</v>
      </c>
    </row>
    <row r="78" spans="1:6" hidden="1" x14ac:dyDescent="0.3">
      <c r="A78" s="133" t="s">
        <v>11</v>
      </c>
      <c r="B78" s="133" t="s">
        <v>566</v>
      </c>
      <c r="C78" s="150"/>
      <c r="D78" s="150"/>
      <c r="E78" s="150">
        <f t="shared" si="1"/>
        <v>0</v>
      </c>
    </row>
    <row r="79" spans="1:6" hidden="1" x14ac:dyDescent="0.3">
      <c r="A79" s="133" t="s">
        <v>12</v>
      </c>
      <c r="B79" s="133" t="s">
        <v>563</v>
      </c>
      <c r="C79" s="150">
        <v>0</v>
      </c>
      <c r="D79" s="150"/>
      <c r="E79" s="150">
        <f t="shared" si="1"/>
        <v>0</v>
      </c>
    </row>
    <row r="80" spans="1:6" hidden="1" x14ac:dyDescent="0.3">
      <c r="A80" s="133" t="s">
        <v>12</v>
      </c>
      <c r="B80" s="133" t="s">
        <v>566</v>
      </c>
      <c r="C80" s="150">
        <v>0</v>
      </c>
      <c r="D80" s="150"/>
      <c r="E80" s="150">
        <f t="shared" si="1"/>
        <v>0</v>
      </c>
    </row>
    <row r="81" spans="1:5" hidden="1" x14ac:dyDescent="0.3">
      <c r="A81" s="133" t="s">
        <v>13</v>
      </c>
      <c r="B81" s="133" t="s">
        <v>563</v>
      </c>
      <c r="C81" s="150">
        <v>0</v>
      </c>
      <c r="D81" s="150"/>
      <c r="E81" s="150">
        <f t="shared" si="1"/>
        <v>0</v>
      </c>
    </row>
    <row r="82" spans="1:5" hidden="1" x14ac:dyDescent="0.3">
      <c r="A82" s="133" t="s">
        <v>619</v>
      </c>
      <c r="B82" s="133" t="s">
        <v>563</v>
      </c>
      <c r="C82" s="150">
        <v>0</v>
      </c>
      <c r="D82" s="150"/>
      <c r="E82" s="150">
        <f t="shared" si="1"/>
        <v>0</v>
      </c>
    </row>
    <row r="83" spans="1:5" x14ac:dyDescent="0.3">
      <c r="A83" s="134" t="s">
        <v>14</v>
      </c>
      <c r="B83" s="134" t="s">
        <v>563</v>
      </c>
      <c r="C83" s="123">
        <v>5</v>
      </c>
      <c r="D83" s="123">
        <v>12000</v>
      </c>
      <c r="E83" s="150">
        <f t="shared" si="1"/>
        <v>60000</v>
      </c>
    </row>
    <row r="84" spans="1:5" hidden="1" x14ac:dyDescent="0.3">
      <c r="A84" s="133" t="s">
        <v>14</v>
      </c>
      <c r="B84" s="133" t="s">
        <v>566</v>
      </c>
      <c r="C84" s="150"/>
      <c r="D84" s="150"/>
      <c r="E84" s="150">
        <f t="shared" si="1"/>
        <v>0</v>
      </c>
    </row>
    <row r="85" spans="1:5" x14ac:dyDescent="0.3">
      <c r="A85" s="134" t="s">
        <v>15</v>
      </c>
      <c r="B85" s="134" t="s">
        <v>563</v>
      </c>
      <c r="C85" s="123">
        <v>365</v>
      </c>
      <c r="D85" s="123">
        <v>16000</v>
      </c>
      <c r="E85" s="150">
        <f t="shared" si="1"/>
        <v>5840000</v>
      </c>
    </row>
    <row r="86" spans="1:5" hidden="1" x14ac:dyDescent="0.3">
      <c r="A86" s="133" t="s">
        <v>15</v>
      </c>
      <c r="B86" s="133" t="s">
        <v>566</v>
      </c>
      <c r="C86" s="150"/>
      <c r="D86" s="150"/>
      <c r="E86" s="150">
        <f t="shared" si="1"/>
        <v>0</v>
      </c>
    </row>
    <row r="87" spans="1:5" hidden="1" x14ac:dyDescent="0.3">
      <c r="A87" s="133" t="s">
        <v>521</v>
      </c>
      <c r="B87" s="133" t="s">
        <v>563</v>
      </c>
      <c r="C87" s="150">
        <v>0</v>
      </c>
      <c r="D87" s="150"/>
      <c r="E87" s="150">
        <f t="shared" si="1"/>
        <v>0</v>
      </c>
    </row>
    <row r="88" spans="1:5" hidden="1" x14ac:dyDescent="0.3">
      <c r="A88" s="133" t="s">
        <v>521</v>
      </c>
      <c r="B88" s="133" t="s">
        <v>564</v>
      </c>
      <c r="C88" s="150">
        <v>0</v>
      </c>
      <c r="D88" s="150"/>
      <c r="E88" s="150">
        <f t="shared" si="1"/>
        <v>0</v>
      </c>
    </row>
    <row r="89" spans="1:5" x14ac:dyDescent="0.3">
      <c r="A89" s="134" t="s">
        <v>16</v>
      </c>
      <c r="B89" s="134" t="s">
        <v>563</v>
      </c>
      <c r="C89" s="123">
        <v>13</v>
      </c>
      <c r="D89" s="123">
        <v>22000</v>
      </c>
      <c r="E89" s="150">
        <f t="shared" si="1"/>
        <v>286000</v>
      </c>
    </row>
    <row r="90" spans="1:5" hidden="1" x14ac:dyDescent="0.3">
      <c r="A90" s="133" t="s">
        <v>104</v>
      </c>
      <c r="B90" s="133" t="s">
        <v>563</v>
      </c>
      <c r="C90" s="150">
        <v>0</v>
      </c>
      <c r="D90" s="150"/>
      <c r="E90" s="150">
        <f t="shared" si="1"/>
        <v>0</v>
      </c>
    </row>
    <row r="91" spans="1:5" hidden="1" x14ac:dyDescent="0.3">
      <c r="A91" s="133" t="s">
        <v>108</v>
      </c>
      <c r="B91" s="133" t="s">
        <v>563</v>
      </c>
      <c r="C91" s="150">
        <v>0</v>
      </c>
      <c r="D91" s="150"/>
      <c r="E91" s="150">
        <f t="shared" si="1"/>
        <v>0</v>
      </c>
    </row>
    <row r="92" spans="1:5" hidden="1" x14ac:dyDescent="0.3">
      <c r="A92" s="133" t="s">
        <v>68</v>
      </c>
      <c r="B92" s="133" t="s">
        <v>566</v>
      </c>
      <c r="C92" s="150">
        <v>0</v>
      </c>
      <c r="D92" s="150"/>
      <c r="E92" s="150">
        <f t="shared" si="1"/>
        <v>0</v>
      </c>
    </row>
    <row r="93" spans="1:5" hidden="1" x14ac:dyDescent="0.3">
      <c r="A93" s="133" t="s">
        <v>65</v>
      </c>
      <c r="B93" s="133" t="s">
        <v>563</v>
      </c>
      <c r="C93" s="150">
        <v>0</v>
      </c>
      <c r="D93" s="150"/>
      <c r="E93" s="150">
        <f t="shared" si="1"/>
        <v>0</v>
      </c>
    </row>
    <row r="94" spans="1:5" hidden="1" x14ac:dyDescent="0.3">
      <c r="A94" s="133" t="s">
        <v>66</v>
      </c>
      <c r="B94" s="133" t="s">
        <v>566</v>
      </c>
      <c r="C94" s="150">
        <v>0</v>
      </c>
      <c r="D94" s="150"/>
      <c r="E94" s="150">
        <f t="shared" si="1"/>
        <v>0</v>
      </c>
    </row>
    <row r="95" spans="1:5" hidden="1" x14ac:dyDescent="0.3">
      <c r="A95" s="133" t="s">
        <v>67</v>
      </c>
      <c r="B95" s="133" t="s">
        <v>566</v>
      </c>
      <c r="C95" s="150">
        <v>0</v>
      </c>
      <c r="D95" s="150"/>
      <c r="E95" s="150">
        <f t="shared" si="1"/>
        <v>0</v>
      </c>
    </row>
    <row r="96" spans="1:5" hidden="1" x14ac:dyDescent="0.3">
      <c r="A96" s="133" t="s">
        <v>69</v>
      </c>
      <c r="B96" s="133" t="s">
        <v>563</v>
      </c>
      <c r="C96" s="150">
        <v>0</v>
      </c>
      <c r="D96" s="150"/>
      <c r="E96" s="150">
        <f t="shared" si="1"/>
        <v>0</v>
      </c>
    </row>
    <row r="97" spans="1:5" hidden="1" x14ac:dyDescent="0.3">
      <c r="A97" s="133" t="s">
        <v>69</v>
      </c>
      <c r="B97" s="133" t="s">
        <v>564</v>
      </c>
      <c r="C97" s="150">
        <v>0</v>
      </c>
      <c r="D97" s="150"/>
      <c r="E97" s="150">
        <f t="shared" si="1"/>
        <v>0</v>
      </c>
    </row>
    <row r="98" spans="1:5" hidden="1" x14ac:dyDescent="0.3">
      <c r="A98" s="133" t="s">
        <v>526</v>
      </c>
      <c r="B98" s="133" t="s">
        <v>563</v>
      </c>
      <c r="C98" s="150">
        <v>0</v>
      </c>
      <c r="D98" s="150"/>
      <c r="E98" s="150">
        <f t="shared" si="1"/>
        <v>0</v>
      </c>
    </row>
    <row r="99" spans="1:5" hidden="1" x14ac:dyDescent="0.3">
      <c r="A99" s="133" t="s">
        <v>70</v>
      </c>
      <c r="B99" s="133" t="s">
        <v>563</v>
      </c>
      <c r="C99" s="150">
        <v>0</v>
      </c>
      <c r="D99" s="150"/>
      <c r="E99" s="150">
        <f t="shared" si="1"/>
        <v>0</v>
      </c>
    </row>
    <row r="100" spans="1:5" hidden="1" x14ac:dyDescent="0.3">
      <c r="A100" s="133" t="s">
        <v>83</v>
      </c>
      <c r="B100" s="133" t="s">
        <v>563</v>
      </c>
      <c r="C100" s="150">
        <v>0</v>
      </c>
      <c r="D100" s="150"/>
      <c r="E100" s="150">
        <f t="shared" si="1"/>
        <v>0</v>
      </c>
    </row>
    <row r="101" spans="1:5" hidden="1" x14ac:dyDescent="0.3">
      <c r="A101" s="133" t="s">
        <v>98</v>
      </c>
      <c r="B101" s="133" t="s">
        <v>566</v>
      </c>
      <c r="C101" s="150">
        <v>0</v>
      </c>
      <c r="D101" s="150"/>
      <c r="E101" s="150">
        <f t="shared" si="1"/>
        <v>0</v>
      </c>
    </row>
    <row r="102" spans="1:5" hidden="1" x14ac:dyDescent="0.3">
      <c r="A102" s="133" t="s">
        <v>71</v>
      </c>
      <c r="B102" s="133" t="s">
        <v>563</v>
      </c>
      <c r="C102" s="150">
        <v>0</v>
      </c>
      <c r="D102" s="150"/>
      <c r="E102" s="150">
        <f t="shared" si="1"/>
        <v>0</v>
      </c>
    </row>
    <row r="103" spans="1:5" x14ac:dyDescent="0.3">
      <c r="A103" s="134" t="s">
        <v>72</v>
      </c>
      <c r="B103" s="134" t="s">
        <v>564</v>
      </c>
      <c r="C103" s="123">
        <v>40</v>
      </c>
      <c r="D103" s="123">
        <v>13000</v>
      </c>
      <c r="E103" s="150">
        <f t="shared" si="1"/>
        <v>520000</v>
      </c>
    </row>
    <row r="104" spans="1:5" hidden="1" x14ac:dyDescent="0.3">
      <c r="A104" s="133" t="s">
        <v>73</v>
      </c>
      <c r="B104" s="133" t="s">
        <v>563</v>
      </c>
      <c r="C104" s="150">
        <v>0</v>
      </c>
      <c r="D104" s="150"/>
      <c r="E104" s="150">
        <f t="shared" si="1"/>
        <v>0</v>
      </c>
    </row>
    <row r="105" spans="1:5" hidden="1" x14ac:dyDescent="0.3">
      <c r="A105" s="133" t="s">
        <v>73</v>
      </c>
      <c r="B105" s="133" t="s">
        <v>566</v>
      </c>
      <c r="C105" s="150">
        <v>0</v>
      </c>
      <c r="D105" s="150"/>
      <c r="E105" s="150">
        <f t="shared" si="1"/>
        <v>0</v>
      </c>
    </row>
    <row r="106" spans="1:5" hidden="1" x14ac:dyDescent="0.3">
      <c r="A106" s="133" t="s">
        <v>74</v>
      </c>
      <c r="B106" s="133" t="s">
        <v>563</v>
      </c>
      <c r="C106" s="150">
        <v>0</v>
      </c>
      <c r="D106" s="150"/>
      <c r="E106" s="150">
        <f t="shared" si="1"/>
        <v>0</v>
      </c>
    </row>
    <row r="107" spans="1:5" hidden="1" x14ac:dyDescent="0.3">
      <c r="A107" s="133" t="s">
        <v>29</v>
      </c>
      <c r="B107" s="133" t="s">
        <v>568</v>
      </c>
      <c r="C107" s="150"/>
      <c r="D107" s="150"/>
      <c r="E107" s="150">
        <f t="shared" si="1"/>
        <v>0</v>
      </c>
    </row>
    <row r="108" spans="1:5" x14ac:dyDescent="0.3">
      <c r="A108" s="134" t="s">
        <v>29</v>
      </c>
      <c r="B108" s="134" t="s">
        <v>563</v>
      </c>
      <c r="C108" s="123">
        <v>80</v>
      </c>
      <c r="D108" s="123">
        <v>40000</v>
      </c>
      <c r="E108" s="150">
        <f t="shared" si="1"/>
        <v>3200000</v>
      </c>
    </row>
    <row r="109" spans="1:5" x14ac:dyDescent="0.3">
      <c r="A109" s="134" t="s">
        <v>93</v>
      </c>
      <c r="B109" s="134" t="s">
        <v>563</v>
      </c>
      <c r="C109" s="123">
        <f>650+770</f>
        <v>1420</v>
      </c>
      <c r="D109" s="123">
        <v>29000</v>
      </c>
      <c r="E109" s="150">
        <f t="shared" si="1"/>
        <v>41180000</v>
      </c>
    </row>
    <row r="110" spans="1:5" hidden="1" x14ac:dyDescent="0.3">
      <c r="A110" s="133" t="s">
        <v>20</v>
      </c>
      <c r="B110" s="133" t="s">
        <v>564</v>
      </c>
      <c r="C110" s="150">
        <v>0</v>
      </c>
      <c r="D110" s="150"/>
      <c r="E110" s="150">
        <f t="shared" si="1"/>
        <v>0</v>
      </c>
    </row>
    <row r="111" spans="1:5" hidden="1" x14ac:dyDescent="0.3">
      <c r="A111" s="133" t="s">
        <v>96</v>
      </c>
      <c r="B111" s="133" t="s">
        <v>563</v>
      </c>
      <c r="C111" s="150">
        <v>0</v>
      </c>
      <c r="D111" s="150"/>
      <c r="E111" s="150">
        <f t="shared" si="1"/>
        <v>0</v>
      </c>
    </row>
    <row r="112" spans="1:5" hidden="1" x14ac:dyDescent="0.3">
      <c r="A112" s="133" t="s">
        <v>123</v>
      </c>
      <c r="B112" s="133" t="s">
        <v>563</v>
      </c>
      <c r="C112" s="150">
        <v>0</v>
      </c>
      <c r="D112" s="150"/>
      <c r="E112" s="150">
        <f t="shared" si="1"/>
        <v>0</v>
      </c>
    </row>
    <row r="113" spans="1:5" x14ac:dyDescent="0.3">
      <c r="A113" s="122" t="s">
        <v>551</v>
      </c>
      <c r="B113" s="122" t="s">
        <v>563</v>
      </c>
      <c r="C113" s="123">
        <v>40</v>
      </c>
      <c r="D113" s="123">
        <v>8000</v>
      </c>
      <c r="E113" s="150">
        <f t="shared" si="1"/>
        <v>320000</v>
      </c>
    </row>
    <row r="114" spans="1:5" hidden="1" x14ac:dyDescent="0.3">
      <c r="A114" s="133" t="s">
        <v>118</v>
      </c>
      <c r="B114" s="133" t="s">
        <v>571</v>
      </c>
      <c r="C114" s="150">
        <v>0</v>
      </c>
      <c r="D114" s="150"/>
      <c r="E114" s="150">
        <f t="shared" si="1"/>
        <v>0</v>
      </c>
    </row>
    <row r="115" spans="1:5" hidden="1" x14ac:dyDescent="0.3">
      <c r="A115" s="133" t="s">
        <v>34</v>
      </c>
      <c r="B115" s="133" t="s">
        <v>566</v>
      </c>
      <c r="C115" s="150">
        <v>0</v>
      </c>
      <c r="D115" s="150"/>
      <c r="E115" s="150">
        <f t="shared" si="1"/>
        <v>0</v>
      </c>
    </row>
    <row r="116" spans="1:5" hidden="1" x14ac:dyDescent="0.3">
      <c r="A116" s="133" t="s">
        <v>30</v>
      </c>
      <c r="B116" s="133" t="s">
        <v>566</v>
      </c>
      <c r="C116" s="150">
        <v>0</v>
      </c>
      <c r="D116" s="150"/>
      <c r="E116" s="150">
        <f t="shared" si="1"/>
        <v>0</v>
      </c>
    </row>
    <row r="117" spans="1:5" hidden="1" x14ac:dyDescent="0.3">
      <c r="A117" s="133" t="s">
        <v>31</v>
      </c>
      <c r="B117" s="133" t="s">
        <v>563</v>
      </c>
      <c r="C117" s="150">
        <v>0</v>
      </c>
      <c r="D117" s="150"/>
      <c r="E117" s="150">
        <f t="shared" si="1"/>
        <v>0</v>
      </c>
    </row>
    <row r="118" spans="1:5" hidden="1" x14ac:dyDescent="0.3">
      <c r="A118" s="133" t="s">
        <v>32</v>
      </c>
      <c r="B118" s="133" t="s">
        <v>566</v>
      </c>
      <c r="C118" s="150">
        <v>0</v>
      </c>
      <c r="D118" s="150"/>
      <c r="E118" s="150">
        <f t="shared" si="1"/>
        <v>0</v>
      </c>
    </row>
    <row r="119" spans="1:5" hidden="1" x14ac:dyDescent="0.3">
      <c r="A119" s="133" t="s">
        <v>33</v>
      </c>
      <c r="B119" s="133" t="s">
        <v>566</v>
      </c>
      <c r="C119" s="150">
        <v>0</v>
      </c>
      <c r="D119" s="150"/>
      <c r="E119" s="150">
        <f t="shared" si="1"/>
        <v>0</v>
      </c>
    </row>
    <row r="120" spans="1:5" hidden="1" x14ac:dyDescent="0.3">
      <c r="A120" s="133" t="s">
        <v>35</v>
      </c>
      <c r="B120" s="133" t="s">
        <v>569</v>
      </c>
      <c r="C120" s="150">
        <v>0</v>
      </c>
      <c r="D120" s="150"/>
      <c r="E120" s="150">
        <f t="shared" si="1"/>
        <v>0</v>
      </c>
    </row>
    <row r="121" spans="1:5" hidden="1" x14ac:dyDescent="0.3">
      <c r="A121" s="133" t="s">
        <v>610</v>
      </c>
      <c r="B121" s="133" t="s">
        <v>563</v>
      </c>
      <c r="C121" s="150">
        <v>0</v>
      </c>
      <c r="D121" s="150"/>
      <c r="E121" s="150">
        <f t="shared" si="1"/>
        <v>0</v>
      </c>
    </row>
    <row r="122" spans="1:5" hidden="1" x14ac:dyDescent="0.3">
      <c r="A122" s="133" t="s">
        <v>99</v>
      </c>
      <c r="B122" s="133" t="s">
        <v>566</v>
      </c>
      <c r="C122" s="150">
        <v>0</v>
      </c>
      <c r="D122" s="150"/>
      <c r="E122" s="150">
        <f t="shared" si="1"/>
        <v>0</v>
      </c>
    </row>
    <row r="123" spans="1:5" hidden="1" x14ac:dyDescent="0.3">
      <c r="A123" s="133" t="s">
        <v>94</v>
      </c>
      <c r="B123" s="133" t="s">
        <v>563</v>
      </c>
      <c r="C123" s="150">
        <v>0</v>
      </c>
      <c r="D123" s="150"/>
      <c r="E123" s="150">
        <f t="shared" si="1"/>
        <v>0</v>
      </c>
    </row>
    <row r="124" spans="1:5" hidden="1" x14ac:dyDescent="0.3">
      <c r="A124" s="133" t="s">
        <v>97</v>
      </c>
      <c r="B124" s="133" t="s">
        <v>564</v>
      </c>
      <c r="C124" s="150">
        <v>0</v>
      </c>
      <c r="D124" s="150"/>
      <c r="E124" s="150">
        <f t="shared" si="1"/>
        <v>0</v>
      </c>
    </row>
    <row r="125" spans="1:5" hidden="1" x14ac:dyDescent="0.3">
      <c r="A125" s="133" t="s">
        <v>75</v>
      </c>
      <c r="B125" s="133" t="s">
        <v>565</v>
      </c>
      <c r="C125" s="150">
        <v>0</v>
      </c>
      <c r="D125" s="150"/>
      <c r="E125" s="150">
        <f t="shared" si="1"/>
        <v>0</v>
      </c>
    </row>
    <row r="126" spans="1:5" hidden="1" x14ac:dyDescent="0.3">
      <c r="A126" s="133" t="s">
        <v>75</v>
      </c>
      <c r="B126" s="133" t="s">
        <v>563</v>
      </c>
      <c r="C126" s="150">
        <v>0</v>
      </c>
      <c r="D126" s="150"/>
      <c r="E126" s="150">
        <f t="shared" si="1"/>
        <v>0</v>
      </c>
    </row>
    <row r="127" spans="1:5" x14ac:dyDescent="0.3">
      <c r="A127" s="134" t="s">
        <v>76</v>
      </c>
      <c r="B127" s="134" t="s">
        <v>563</v>
      </c>
      <c r="C127" s="123">
        <v>175</v>
      </c>
      <c r="D127" s="123">
        <v>20000</v>
      </c>
      <c r="E127" s="150">
        <f t="shared" si="1"/>
        <v>3500000</v>
      </c>
    </row>
    <row r="128" spans="1:5" hidden="1" x14ac:dyDescent="0.3">
      <c r="A128" s="133" t="s">
        <v>76</v>
      </c>
      <c r="B128" s="133" t="s">
        <v>570</v>
      </c>
      <c r="C128" s="150"/>
      <c r="D128" s="150"/>
      <c r="E128" s="150">
        <f t="shared" si="1"/>
        <v>0</v>
      </c>
    </row>
    <row r="129" spans="1:5" hidden="1" x14ac:dyDescent="0.3">
      <c r="A129" s="133" t="s">
        <v>77</v>
      </c>
      <c r="B129" s="133" t="s">
        <v>565</v>
      </c>
      <c r="C129" s="150">
        <v>0</v>
      </c>
      <c r="D129" s="150"/>
      <c r="E129" s="150">
        <f t="shared" si="1"/>
        <v>0</v>
      </c>
    </row>
    <row r="130" spans="1:5" hidden="1" x14ac:dyDescent="0.3">
      <c r="A130" s="133" t="s">
        <v>77</v>
      </c>
      <c r="B130" s="133" t="s">
        <v>563</v>
      </c>
      <c r="C130" s="150">
        <v>0</v>
      </c>
      <c r="D130" s="150"/>
      <c r="E130" s="150">
        <f t="shared" si="1"/>
        <v>0</v>
      </c>
    </row>
    <row r="131" spans="1:5" x14ac:dyDescent="0.3">
      <c r="A131" s="134" t="s">
        <v>78</v>
      </c>
      <c r="B131" s="134" t="s">
        <v>563</v>
      </c>
      <c r="C131" s="123">
        <v>80</v>
      </c>
      <c r="D131" s="123">
        <v>12000</v>
      </c>
      <c r="E131" s="150">
        <f t="shared" si="1"/>
        <v>960000</v>
      </c>
    </row>
    <row r="132" spans="1:5" hidden="1" x14ac:dyDescent="0.3">
      <c r="A132" s="133" t="s">
        <v>78</v>
      </c>
      <c r="B132" s="133" t="s">
        <v>570</v>
      </c>
      <c r="C132" s="150"/>
      <c r="D132" s="150"/>
      <c r="E132" s="150">
        <f t="shared" si="1"/>
        <v>0</v>
      </c>
    </row>
    <row r="133" spans="1:5" x14ac:dyDescent="0.3">
      <c r="A133" s="134" t="s">
        <v>79</v>
      </c>
      <c r="B133" s="134" t="s">
        <v>563</v>
      </c>
      <c r="C133" s="123">
        <v>57</v>
      </c>
      <c r="D133" s="123">
        <v>21000</v>
      </c>
      <c r="E133" s="150">
        <f t="shared" ref="E133:E169" si="2">+D133*C133</f>
        <v>1197000</v>
      </c>
    </row>
    <row r="134" spans="1:5" ht="15.6" hidden="1" customHeight="1" x14ac:dyDescent="0.3">
      <c r="A134" s="133" t="s">
        <v>79</v>
      </c>
      <c r="B134" s="133" t="s">
        <v>570</v>
      </c>
      <c r="C134" s="150"/>
      <c r="D134" s="150"/>
      <c r="E134" s="150">
        <f t="shared" si="2"/>
        <v>0</v>
      </c>
    </row>
    <row r="135" spans="1:5" x14ac:dyDescent="0.3">
      <c r="A135" s="122" t="s">
        <v>553</v>
      </c>
      <c r="B135" s="122" t="s">
        <v>563</v>
      </c>
      <c r="C135" s="123">
        <v>60</v>
      </c>
      <c r="D135" s="123">
        <v>15000</v>
      </c>
      <c r="E135" s="150">
        <f t="shared" si="2"/>
        <v>900000</v>
      </c>
    </row>
    <row r="136" spans="1:5" hidden="1" x14ac:dyDescent="0.3">
      <c r="A136" s="133" t="s">
        <v>107</v>
      </c>
      <c r="B136" s="133" t="s">
        <v>563</v>
      </c>
      <c r="C136" s="150">
        <v>0</v>
      </c>
      <c r="D136" s="150"/>
      <c r="E136" s="150">
        <f t="shared" si="2"/>
        <v>0</v>
      </c>
    </row>
    <row r="137" spans="1:5" hidden="1" x14ac:dyDescent="0.3">
      <c r="A137" s="133" t="s">
        <v>80</v>
      </c>
      <c r="B137" s="133" t="s">
        <v>566</v>
      </c>
      <c r="C137" s="150">
        <v>0</v>
      </c>
      <c r="D137" s="150"/>
      <c r="E137" s="150">
        <f t="shared" si="2"/>
        <v>0</v>
      </c>
    </row>
    <row r="138" spans="1:5" x14ac:dyDescent="0.3">
      <c r="A138" s="122" t="s">
        <v>552</v>
      </c>
      <c r="B138" s="122" t="s">
        <v>563</v>
      </c>
      <c r="C138" s="123">
        <v>36</v>
      </c>
      <c r="D138" s="123">
        <v>7000</v>
      </c>
      <c r="E138" s="150">
        <f t="shared" si="2"/>
        <v>252000</v>
      </c>
    </row>
    <row r="139" spans="1:5" x14ac:dyDescent="0.3">
      <c r="A139" s="122" t="s">
        <v>554</v>
      </c>
      <c r="B139" s="122" t="s">
        <v>563</v>
      </c>
      <c r="C139" s="123">
        <v>7</v>
      </c>
      <c r="D139" s="123">
        <v>16000</v>
      </c>
      <c r="E139" s="150">
        <f t="shared" si="2"/>
        <v>112000</v>
      </c>
    </row>
    <row r="140" spans="1:5" hidden="1" x14ac:dyDescent="0.3">
      <c r="A140" s="133" t="s">
        <v>559</v>
      </c>
      <c r="B140" s="133" t="s">
        <v>563</v>
      </c>
      <c r="C140" s="150">
        <v>0</v>
      </c>
      <c r="D140" s="150"/>
      <c r="E140" s="150">
        <f t="shared" si="2"/>
        <v>0</v>
      </c>
    </row>
    <row r="141" spans="1:5" hidden="1" x14ac:dyDescent="0.3">
      <c r="A141" s="133" t="s">
        <v>559</v>
      </c>
      <c r="B141" s="133" t="s">
        <v>566</v>
      </c>
      <c r="C141" s="150">
        <v>0</v>
      </c>
      <c r="D141" s="150"/>
      <c r="E141" s="150">
        <f t="shared" si="2"/>
        <v>0</v>
      </c>
    </row>
    <row r="142" spans="1:5" hidden="1" x14ac:dyDescent="0.3">
      <c r="A142" s="133" t="s">
        <v>599</v>
      </c>
      <c r="B142" s="133" t="s">
        <v>566</v>
      </c>
      <c r="C142" s="150">
        <v>0</v>
      </c>
      <c r="D142" s="150"/>
      <c r="E142" s="150">
        <f t="shared" si="2"/>
        <v>0</v>
      </c>
    </row>
    <row r="143" spans="1:5" hidden="1" x14ac:dyDescent="0.3">
      <c r="A143" s="133" t="s">
        <v>36</v>
      </c>
      <c r="B143" s="133" t="s">
        <v>571</v>
      </c>
      <c r="C143" s="150">
        <v>0</v>
      </c>
      <c r="D143" s="150"/>
      <c r="E143" s="150">
        <f t="shared" si="2"/>
        <v>0</v>
      </c>
    </row>
    <row r="144" spans="1:5" hidden="1" x14ac:dyDescent="0.3">
      <c r="A144" s="133" t="s">
        <v>600</v>
      </c>
      <c r="B144" s="133" t="s">
        <v>566</v>
      </c>
      <c r="C144" s="150">
        <v>0</v>
      </c>
      <c r="D144" s="150"/>
      <c r="E144" s="150">
        <f t="shared" si="2"/>
        <v>0</v>
      </c>
    </row>
    <row r="145" spans="1:5" hidden="1" x14ac:dyDescent="0.3">
      <c r="A145" s="133" t="s">
        <v>100</v>
      </c>
      <c r="B145" s="133" t="s">
        <v>564</v>
      </c>
      <c r="C145" s="150">
        <v>0</v>
      </c>
      <c r="D145" s="150"/>
      <c r="E145" s="150">
        <f t="shared" si="2"/>
        <v>0</v>
      </c>
    </row>
    <row r="146" spans="1:5" hidden="1" x14ac:dyDescent="0.3">
      <c r="A146" s="133" t="s">
        <v>630</v>
      </c>
      <c r="B146" s="133" t="s">
        <v>570</v>
      </c>
      <c r="C146" s="150">
        <v>0</v>
      </c>
      <c r="D146" s="150"/>
      <c r="E146" s="150">
        <f t="shared" si="2"/>
        <v>0</v>
      </c>
    </row>
    <row r="147" spans="1:5" hidden="1" x14ac:dyDescent="0.3">
      <c r="A147" s="133" t="s">
        <v>81</v>
      </c>
      <c r="B147" s="133" t="s">
        <v>563</v>
      </c>
      <c r="C147" s="150">
        <v>0</v>
      </c>
      <c r="D147" s="150"/>
      <c r="E147" s="150">
        <f t="shared" si="2"/>
        <v>0</v>
      </c>
    </row>
    <row r="148" spans="1:5" hidden="1" x14ac:dyDescent="0.3">
      <c r="A148" s="133" t="s">
        <v>81</v>
      </c>
      <c r="B148" s="133" t="s">
        <v>607</v>
      </c>
      <c r="C148" s="150">
        <v>0</v>
      </c>
      <c r="D148" s="150"/>
      <c r="E148" s="150">
        <f t="shared" si="2"/>
        <v>0</v>
      </c>
    </row>
    <row r="149" spans="1:5" hidden="1" x14ac:dyDescent="0.3">
      <c r="A149" s="133" t="s">
        <v>595</v>
      </c>
      <c r="B149" s="133" t="s">
        <v>563</v>
      </c>
      <c r="C149" s="150">
        <v>0</v>
      </c>
      <c r="D149" s="150"/>
      <c r="E149" s="150">
        <f t="shared" si="2"/>
        <v>0</v>
      </c>
    </row>
    <row r="150" spans="1:5" hidden="1" x14ac:dyDescent="0.3">
      <c r="A150" s="133" t="s">
        <v>85</v>
      </c>
      <c r="B150" s="133" t="s">
        <v>563</v>
      </c>
      <c r="C150" s="150">
        <v>0</v>
      </c>
      <c r="D150" s="150"/>
      <c r="E150" s="150">
        <f t="shared" si="2"/>
        <v>0</v>
      </c>
    </row>
    <row r="151" spans="1:5" hidden="1" x14ac:dyDescent="0.3">
      <c r="A151" s="133" t="s">
        <v>88</v>
      </c>
      <c r="B151" s="133" t="s">
        <v>565</v>
      </c>
      <c r="C151" s="150">
        <v>0</v>
      </c>
      <c r="D151" s="150"/>
      <c r="E151" s="150">
        <f t="shared" si="2"/>
        <v>0</v>
      </c>
    </row>
    <row r="152" spans="1:5" hidden="1" x14ac:dyDescent="0.3">
      <c r="A152" s="133" t="s">
        <v>89</v>
      </c>
      <c r="B152" s="133" t="s">
        <v>563</v>
      </c>
      <c r="C152" s="150">
        <v>0</v>
      </c>
      <c r="D152" s="150"/>
      <c r="E152" s="150">
        <f t="shared" si="2"/>
        <v>0</v>
      </c>
    </row>
    <row r="153" spans="1:5" hidden="1" x14ac:dyDescent="0.3">
      <c r="A153" s="133" t="s">
        <v>95</v>
      </c>
      <c r="B153" s="133" t="s">
        <v>563</v>
      </c>
      <c r="C153" s="150">
        <v>0</v>
      </c>
      <c r="D153" s="150"/>
      <c r="E153" s="150">
        <f t="shared" si="2"/>
        <v>0</v>
      </c>
    </row>
    <row r="154" spans="1:5" x14ac:dyDescent="0.3">
      <c r="A154" s="134" t="s">
        <v>82</v>
      </c>
      <c r="B154" s="134" t="s">
        <v>563</v>
      </c>
      <c r="C154" s="123">
        <v>135</v>
      </c>
      <c r="D154" s="123">
        <v>14000</v>
      </c>
      <c r="E154" s="150">
        <f t="shared" si="2"/>
        <v>1890000</v>
      </c>
    </row>
    <row r="155" spans="1:5" hidden="1" x14ac:dyDescent="0.3">
      <c r="A155" s="133" t="s">
        <v>112</v>
      </c>
      <c r="B155" s="133" t="s">
        <v>563</v>
      </c>
      <c r="C155" s="150">
        <v>0</v>
      </c>
      <c r="D155" s="150"/>
      <c r="E155" s="150">
        <f t="shared" si="2"/>
        <v>0</v>
      </c>
    </row>
    <row r="156" spans="1:5" hidden="1" x14ac:dyDescent="0.3">
      <c r="A156" s="133" t="s">
        <v>37</v>
      </c>
      <c r="B156" s="133" t="s">
        <v>563</v>
      </c>
      <c r="C156" s="150">
        <v>0</v>
      </c>
      <c r="D156" s="150"/>
      <c r="E156" s="150">
        <f t="shared" si="2"/>
        <v>0</v>
      </c>
    </row>
    <row r="157" spans="1:5" hidden="1" x14ac:dyDescent="0.3">
      <c r="A157" s="133" t="s">
        <v>37</v>
      </c>
      <c r="B157" s="133" t="s">
        <v>566</v>
      </c>
      <c r="C157" s="150">
        <v>0</v>
      </c>
      <c r="D157" s="150"/>
      <c r="E157" s="150">
        <f t="shared" si="2"/>
        <v>0</v>
      </c>
    </row>
    <row r="158" spans="1:5" hidden="1" x14ac:dyDescent="0.3">
      <c r="A158" s="133" t="s">
        <v>585</v>
      </c>
      <c r="B158" s="133" t="s">
        <v>563</v>
      </c>
      <c r="C158" s="150">
        <v>0</v>
      </c>
      <c r="D158" s="150"/>
      <c r="E158" s="150">
        <f t="shared" si="2"/>
        <v>0</v>
      </c>
    </row>
    <row r="159" spans="1:5" hidden="1" x14ac:dyDescent="0.3">
      <c r="A159" s="133" t="s">
        <v>38</v>
      </c>
      <c r="B159" s="133" t="s">
        <v>563</v>
      </c>
      <c r="C159" s="150">
        <v>0</v>
      </c>
      <c r="D159" s="150"/>
      <c r="E159" s="150">
        <f t="shared" si="2"/>
        <v>0</v>
      </c>
    </row>
    <row r="160" spans="1:5" hidden="1" x14ac:dyDescent="0.3">
      <c r="A160" s="133" t="s">
        <v>39</v>
      </c>
      <c r="B160" s="133" t="s">
        <v>568</v>
      </c>
      <c r="C160" s="150">
        <v>0</v>
      </c>
      <c r="D160" s="150"/>
      <c r="E160" s="150">
        <f t="shared" si="2"/>
        <v>0</v>
      </c>
    </row>
    <row r="161" spans="1:5" hidden="1" x14ac:dyDescent="0.3">
      <c r="A161" s="133" t="s">
        <v>47</v>
      </c>
      <c r="B161" s="133" t="s">
        <v>563</v>
      </c>
      <c r="C161" s="150">
        <v>0</v>
      </c>
      <c r="D161" s="150"/>
      <c r="E161" s="150">
        <f t="shared" si="2"/>
        <v>0</v>
      </c>
    </row>
    <row r="162" spans="1:5" hidden="1" x14ac:dyDescent="0.3">
      <c r="A162" s="133" t="s">
        <v>40</v>
      </c>
      <c r="B162" s="133" t="s">
        <v>563</v>
      </c>
      <c r="C162" s="150">
        <v>0</v>
      </c>
      <c r="D162" s="150"/>
      <c r="E162" s="150">
        <f t="shared" si="2"/>
        <v>0</v>
      </c>
    </row>
    <row r="163" spans="1:5" hidden="1" x14ac:dyDescent="0.3">
      <c r="A163" s="133" t="s">
        <v>41</v>
      </c>
      <c r="B163" s="133" t="s">
        <v>568</v>
      </c>
      <c r="C163" s="150">
        <v>0</v>
      </c>
      <c r="D163" s="150"/>
      <c r="E163" s="150">
        <f t="shared" si="2"/>
        <v>0</v>
      </c>
    </row>
    <row r="164" spans="1:5" hidden="1" x14ac:dyDescent="0.3">
      <c r="A164" s="133" t="s">
        <v>42</v>
      </c>
      <c r="B164" s="133" t="s">
        <v>563</v>
      </c>
      <c r="C164" s="150">
        <v>0</v>
      </c>
      <c r="D164" s="150"/>
      <c r="E164" s="150">
        <f t="shared" si="2"/>
        <v>0</v>
      </c>
    </row>
    <row r="165" spans="1:5" hidden="1" x14ac:dyDescent="0.3">
      <c r="A165" s="133" t="s">
        <v>43</v>
      </c>
      <c r="B165" s="133" t="s">
        <v>563</v>
      </c>
      <c r="C165" s="150">
        <v>0</v>
      </c>
      <c r="D165" s="150"/>
      <c r="E165" s="150">
        <f t="shared" si="2"/>
        <v>0</v>
      </c>
    </row>
    <row r="166" spans="1:5" hidden="1" x14ac:dyDescent="0.3">
      <c r="A166" s="133" t="s">
        <v>43</v>
      </c>
      <c r="B166" s="133" t="s">
        <v>566</v>
      </c>
      <c r="C166" s="150">
        <v>0</v>
      </c>
      <c r="D166" s="150"/>
      <c r="E166" s="150">
        <f t="shared" si="2"/>
        <v>0</v>
      </c>
    </row>
    <row r="167" spans="1:5" hidden="1" x14ac:dyDescent="0.3">
      <c r="A167" s="133" t="s">
        <v>44</v>
      </c>
      <c r="B167" s="133" t="s">
        <v>563</v>
      </c>
      <c r="C167" s="150">
        <v>0</v>
      </c>
      <c r="D167" s="150"/>
      <c r="E167" s="150">
        <f t="shared" si="2"/>
        <v>0</v>
      </c>
    </row>
    <row r="168" spans="1:5" hidden="1" x14ac:dyDescent="0.3">
      <c r="A168" s="133" t="s">
        <v>44</v>
      </c>
      <c r="B168" s="133" t="s">
        <v>566</v>
      </c>
      <c r="C168" s="150">
        <v>0</v>
      </c>
      <c r="D168" s="150"/>
      <c r="E168" s="150">
        <f t="shared" si="2"/>
        <v>0</v>
      </c>
    </row>
    <row r="169" spans="1:5" x14ac:dyDescent="0.3">
      <c r="A169" s="133" t="s">
        <v>642</v>
      </c>
      <c r="B169" s="133" t="s">
        <v>563</v>
      </c>
      <c r="C169" s="150">
        <v>119</v>
      </c>
      <c r="D169" s="150">
        <v>210000</v>
      </c>
      <c r="E169" s="150">
        <f t="shared" si="2"/>
        <v>24990000</v>
      </c>
    </row>
    <row r="170" spans="1:5" x14ac:dyDescent="0.3">
      <c r="A170" s="134"/>
      <c r="B170" s="134"/>
      <c r="C170" s="123"/>
      <c r="D170" s="142" t="s">
        <v>626</v>
      </c>
      <c r="E170" s="132">
        <f>SUM(E4:E169)</f>
        <v>148860000</v>
      </c>
    </row>
    <row r="171" spans="1:5" ht="31.2" x14ac:dyDescent="0.3">
      <c r="A171" s="147" t="s">
        <v>629</v>
      </c>
      <c r="B171" s="147" t="s">
        <v>562</v>
      </c>
      <c r="C171" s="148" t="s">
        <v>544</v>
      </c>
      <c r="D171" s="143" t="s">
        <v>623</v>
      </c>
      <c r="E171" s="144" t="s">
        <v>624</v>
      </c>
    </row>
    <row r="172" spans="1:5" x14ac:dyDescent="0.3">
      <c r="A172" s="135" t="s">
        <v>48</v>
      </c>
      <c r="B172" s="135" t="s">
        <v>563</v>
      </c>
      <c r="C172" s="146">
        <v>20</v>
      </c>
      <c r="D172" s="145">
        <v>10000</v>
      </c>
      <c r="E172" s="155">
        <f>+D172*C172</f>
        <v>200000</v>
      </c>
    </row>
    <row r="173" spans="1:5" x14ac:dyDescent="0.3">
      <c r="A173" s="135" t="s">
        <v>50</v>
      </c>
      <c r="B173" s="135" t="s">
        <v>563</v>
      </c>
      <c r="C173" s="146">
        <v>1000</v>
      </c>
      <c r="D173" s="145">
        <v>6000</v>
      </c>
      <c r="E173" s="155">
        <f t="shared" ref="E173:E179" si="3">+D173*C173</f>
        <v>6000000</v>
      </c>
    </row>
    <row r="174" spans="1:5" x14ac:dyDescent="0.3">
      <c r="A174" s="135" t="s">
        <v>27</v>
      </c>
      <c r="B174" s="135" t="s">
        <v>563</v>
      </c>
      <c r="C174" s="146">
        <v>160</v>
      </c>
      <c r="D174" s="145">
        <v>12000</v>
      </c>
      <c r="E174" s="155">
        <f t="shared" si="3"/>
        <v>1920000</v>
      </c>
    </row>
    <row r="175" spans="1:5" x14ac:dyDescent="0.3">
      <c r="A175" s="135" t="s">
        <v>87</v>
      </c>
      <c r="B175" s="135" t="s">
        <v>563</v>
      </c>
      <c r="C175" s="146">
        <v>100</v>
      </c>
      <c r="D175" s="145">
        <v>12000</v>
      </c>
      <c r="E175" s="155">
        <f t="shared" si="3"/>
        <v>1200000</v>
      </c>
    </row>
    <row r="176" spans="1:5" x14ac:dyDescent="0.3">
      <c r="A176" s="135" t="s">
        <v>12</v>
      </c>
      <c r="B176" s="135" t="s">
        <v>563</v>
      </c>
      <c r="C176" s="146">
        <v>310</v>
      </c>
      <c r="D176" s="145">
        <v>25000</v>
      </c>
      <c r="E176" s="155">
        <f t="shared" si="3"/>
        <v>7750000</v>
      </c>
    </row>
    <row r="177" spans="1:5" x14ac:dyDescent="0.3">
      <c r="A177" s="135" t="s">
        <v>67</v>
      </c>
      <c r="B177" s="135" t="s">
        <v>566</v>
      </c>
      <c r="C177" s="146">
        <v>4</v>
      </c>
      <c r="D177" s="145">
        <v>11000</v>
      </c>
      <c r="E177" s="155">
        <f t="shared" si="3"/>
        <v>44000</v>
      </c>
    </row>
    <row r="178" spans="1:5" x14ac:dyDescent="0.3">
      <c r="A178" s="135" t="s">
        <v>72</v>
      </c>
      <c r="B178" s="135" t="s">
        <v>564</v>
      </c>
      <c r="C178" s="146">
        <v>11</v>
      </c>
      <c r="D178" s="145">
        <v>13000</v>
      </c>
      <c r="E178" s="155">
        <f t="shared" si="3"/>
        <v>143000</v>
      </c>
    </row>
    <row r="179" spans="1:5" x14ac:dyDescent="0.3">
      <c r="A179" s="135" t="s">
        <v>122</v>
      </c>
      <c r="B179" s="135" t="s">
        <v>563</v>
      </c>
      <c r="C179" s="146">
        <v>46</v>
      </c>
      <c r="D179" s="145">
        <v>50000</v>
      </c>
      <c r="E179" s="155">
        <f t="shared" si="3"/>
        <v>2300000</v>
      </c>
    </row>
    <row r="180" spans="1:5" x14ac:dyDescent="0.3">
      <c r="D180" s="131" t="s">
        <v>627</v>
      </c>
      <c r="E180" s="156">
        <f>SUBTOTAL(9,E172:E179)</f>
        <v>19557000</v>
      </c>
    </row>
    <row r="181" spans="1:5" x14ac:dyDescent="0.3">
      <c r="D181" s="141" t="s">
        <v>625</v>
      </c>
      <c r="E181" s="157">
        <f>+E170+E180</f>
        <v>168417000</v>
      </c>
    </row>
  </sheetData>
  <autoFilter ref="A3:CS181" xr:uid="{00000000-0009-0000-0000-00001C000000}">
    <filterColumn colId="2">
      <filters>
        <filter val="1"/>
        <filter val="1,000"/>
        <filter val="1,420"/>
        <filter val="100"/>
        <filter val="11"/>
        <filter val="119"/>
        <filter val="120"/>
        <filter val="125"/>
        <filter val="13"/>
        <filter val="135"/>
        <filter val="140"/>
        <filter val="160"/>
        <filter val="175"/>
        <filter val="2,400"/>
        <filter val="20"/>
        <filter val="23"/>
        <filter val="240"/>
        <filter val="25"/>
        <filter val="3"/>
        <filter val="300"/>
        <filter val="310"/>
        <filter val="36"/>
        <filter val="365"/>
        <filter val="4"/>
        <filter val="40"/>
        <filter val="46"/>
        <filter val="5"/>
        <filter val="500"/>
        <filter val="57"/>
        <filter val="580"/>
        <filter val="588"/>
        <filter val="60"/>
        <filter val="62"/>
        <filter val="630"/>
        <filter val="7"/>
        <filter val="80"/>
        <filter val="85"/>
        <filter val="96"/>
        <filter val="Tồn_x000a_ĐL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K211"/>
  <sheetViews>
    <sheetView topLeftCell="A56" workbookViewId="0">
      <selection activeCell="H200" sqref="H200"/>
    </sheetView>
  </sheetViews>
  <sheetFormatPr defaultRowHeight="14.4" x14ac:dyDescent="0.3"/>
  <cols>
    <col min="1" max="1" width="33" customWidth="1"/>
    <col min="3" max="3" width="11.109375" customWidth="1"/>
    <col min="4" max="4" width="14.88671875" customWidth="1"/>
    <col min="5" max="5" width="18.44140625" customWidth="1"/>
    <col min="6" max="6" width="10" bestFit="1" customWidth="1"/>
    <col min="7" max="7" width="14.33203125" customWidth="1"/>
    <col min="8" max="8" width="37.88671875" bestFit="1" customWidth="1"/>
    <col min="9" max="10" width="14.6640625" style="104" bestFit="1" customWidth="1"/>
    <col min="11" max="11" width="16.109375" style="104" bestFit="1" customWidth="1"/>
  </cols>
  <sheetData>
    <row r="2" spans="1:11" x14ac:dyDescent="0.3">
      <c r="A2" s="87" t="s">
        <v>633</v>
      </c>
      <c r="B2" s="87"/>
      <c r="C2" s="88"/>
      <c r="D2" s="88"/>
      <c r="E2" s="88"/>
    </row>
    <row r="3" spans="1:11" ht="37.200000000000003" x14ac:dyDescent="0.3">
      <c r="A3" s="60" t="s">
        <v>0</v>
      </c>
      <c r="B3" s="60" t="s">
        <v>562</v>
      </c>
      <c r="C3" s="61" t="s">
        <v>544</v>
      </c>
      <c r="D3" s="82" t="s">
        <v>594</v>
      </c>
      <c r="E3" s="65" t="s">
        <v>129</v>
      </c>
    </row>
    <row r="4" spans="1:11" x14ac:dyDescent="0.3">
      <c r="A4" s="62" t="s">
        <v>1</v>
      </c>
      <c r="B4" s="62" t="s">
        <v>563</v>
      </c>
      <c r="C4" s="63">
        <v>278</v>
      </c>
      <c r="D4" s="66">
        <v>20000</v>
      </c>
      <c r="E4" s="66">
        <f>C4*D4</f>
        <v>5560000</v>
      </c>
    </row>
    <row r="5" spans="1:11" x14ac:dyDescent="0.3">
      <c r="A5" s="62" t="s">
        <v>1</v>
      </c>
      <c r="B5" s="62" t="s">
        <v>566</v>
      </c>
      <c r="C5" s="63"/>
      <c r="D5" s="66"/>
      <c r="E5" s="66">
        <f t="shared" ref="E5:E68" si="0">C5*D5</f>
        <v>0</v>
      </c>
      <c r="I5"/>
      <c r="J5"/>
      <c r="K5"/>
    </row>
    <row r="6" spans="1:11" x14ac:dyDescent="0.3">
      <c r="A6" s="62" t="s">
        <v>2</v>
      </c>
      <c r="B6" s="62" t="s">
        <v>564</v>
      </c>
      <c r="C6" s="63"/>
      <c r="D6" s="66"/>
      <c r="E6" s="66">
        <f t="shared" si="0"/>
        <v>0</v>
      </c>
      <c r="I6"/>
      <c r="J6"/>
      <c r="K6"/>
    </row>
    <row r="7" spans="1:11" x14ac:dyDescent="0.3">
      <c r="A7" s="62" t="s">
        <v>3</v>
      </c>
      <c r="B7" s="62" t="s">
        <v>563</v>
      </c>
      <c r="C7" s="63"/>
      <c r="D7" s="66"/>
      <c r="E7" s="66">
        <f t="shared" si="0"/>
        <v>0</v>
      </c>
      <c r="I7"/>
      <c r="J7"/>
      <c r="K7"/>
    </row>
    <row r="8" spans="1:11" x14ac:dyDescent="0.3">
      <c r="A8" s="62" t="s">
        <v>4</v>
      </c>
      <c r="B8" s="62" t="s">
        <v>565</v>
      </c>
      <c r="C8" s="63"/>
      <c r="D8" s="66"/>
      <c r="E8" s="66">
        <f t="shared" si="0"/>
        <v>0</v>
      </c>
      <c r="I8"/>
      <c r="J8"/>
      <c r="K8"/>
    </row>
    <row r="9" spans="1:11" x14ac:dyDescent="0.3">
      <c r="A9" s="62" t="s">
        <v>5</v>
      </c>
      <c r="B9" s="62" t="s">
        <v>563</v>
      </c>
      <c r="C9" s="63">
        <v>50</v>
      </c>
      <c r="D9" s="66">
        <v>6000</v>
      </c>
      <c r="E9" s="66">
        <f t="shared" si="0"/>
        <v>300000</v>
      </c>
    </row>
    <row r="10" spans="1:11" x14ac:dyDescent="0.3">
      <c r="A10" s="62" t="s">
        <v>6</v>
      </c>
      <c r="B10" s="62" t="s">
        <v>563</v>
      </c>
      <c r="C10" s="63">
        <v>225</v>
      </c>
      <c r="D10" s="66">
        <v>14000</v>
      </c>
      <c r="E10" s="66">
        <f t="shared" si="0"/>
        <v>3150000</v>
      </c>
    </row>
    <row r="11" spans="1:11" x14ac:dyDescent="0.3">
      <c r="A11" s="62" t="s">
        <v>6</v>
      </c>
      <c r="B11" s="62" t="s">
        <v>566</v>
      </c>
      <c r="C11" s="63"/>
      <c r="D11" s="66"/>
      <c r="E11" s="66">
        <f t="shared" si="0"/>
        <v>0</v>
      </c>
      <c r="I11"/>
      <c r="J11"/>
      <c r="K11"/>
    </row>
    <row r="12" spans="1:11" x14ac:dyDescent="0.3">
      <c r="A12" s="62" t="s">
        <v>7</v>
      </c>
      <c r="B12" s="62" t="s">
        <v>563</v>
      </c>
      <c r="C12" s="63">
        <v>1</v>
      </c>
      <c r="D12" s="66">
        <v>44000</v>
      </c>
      <c r="E12" s="66">
        <f t="shared" si="0"/>
        <v>44000</v>
      </c>
    </row>
    <row r="13" spans="1:11" x14ac:dyDescent="0.3">
      <c r="A13" s="62" t="s">
        <v>8</v>
      </c>
      <c r="B13" s="62" t="s">
        <v>563</v>
      </c>
      <c r="C13" s="63">
        <v>450</v>
      </c>
      <c r="D13" s="66">
        <v>25000</v>
      </c>
      <c r="E13" s="66">
        <f t="shared" si="0"/>
        <v>11250000</v>
      </c>
    </row>
    <row r="14" spans="1:11" x14ac:dyDescent="0.3">
      <c r="A14" s="62" t="s">
        <v>9</v>
      </c>
      <c r="B14" s="62" t="s">
        <v>563</v>
      </c>
      <c r="C14" s="63">
        <v>12</v>
      </c>
      <c r="D14" s="66">
        <v>20000</v>
      </c>
      <c r="E14" s="66">
        <f t="shared" si="0"/>
        <v>240000</v>
      </c>
    </row>
    <row r="15" spans="1:11" x14ac:dyDescent="0.3">
      <c r="A15" s="62" t="s">
        <v>10</v>
      </c>
      <c r="B15" s="62" t="s">
        <v>566</v>
      </c>
      <c r="C15" s="63">
        <v>2666.666666666667</v>
      </c>
      <c r="D15" s="66">
        <v>4800</v>
      </c>
      <c r="E15" s="66">
        <f t="shared" si="0"/>
        <v>12800000.000000002</v>
      </c>
    </row>
    <row r="16" spans="1:11" x14ac:dyDescent="0.3">
      <c r="A16" s="62" t="s">
        <v>11</v>
      </c>
      <c r="B16" s="62" t="s">
        <v>563</v>
      </c>
      <c r="C16" s="63">
        <v>140</v>
      </c>
      <c r="D16" s="66">
        <v>26000</v>
      </c>
      <c r="E16" s="66">
        <f t="shared" si="0"/>
        <v>3640000</v>
      </c>
    </row>
    <row r="17" spans="1:11" x14ac:dyDescent="0.3">
      <c r="A17" s="62" t="s">
        <v>11</v>
      </c>
      <c r="B17" s="62" t="s">
        <v>566</v>
      </c>
      <c r="C17" s="63"/>
      <c r="D17" s="66"/>
      <c r="E17" s="66">
        <f t="shared" si="0"/>
        <v>0</v>
      </c>
      <c r="I17"/>
      <c r="J17"/>
      <c r="K17"/>
    </row>
    <row r="18" spans="1:11" x14ac:dyDescent="0.3">
      <c r="A18" s="62" t="s">
        <v>12</v>
      </c>
      <c r="B18" s="62" t="s">
        <v>563</v>
      </c>
      <c r="C18" s="63">
        <v>210</v>
      </c>
      <c r="D18" s="66">
        <v>25000</v>
      </c>
      <c r="E18" s="66">
        <f t="shared" si="0"/>
        <v>5250000</v>
      </c>
    </row>
    <row r="19" spans="1:11" x14ac:dyDescent="0.3">
      <c r="A19" s="62" t="s">
        <v>12</v>
      </c>
      <c r="B19" s="62" t="s">
        <v>566</v>
      </c>
      <c r="C19" s="63"/>
      <c r="D19" s="66"/>
      <c r="E19" s="66">
        <f t="shared" si="0"/>
        <v>0</v>
      </c>
      <c r="I19"/>
      <c r="J19"/>
      <c r="K19"/>
    </row>
    <row r="20" spans="1:11" x14ac:dyDescent="0.3">
      <c r="A20" s="62" t="s">
        <v>13</v>
      </c>
      <c r="B20" s="62" t="s">
        <v>563</v>
      </c>
      <c r="C20" s="63"/>
      <c r="D20" s="66"/>
      <c r="E20" s="66">
        <f t="shared" si="0"/>
        <v>0</v>
      </c>
      <c r="I20"/>
      <c r="J20"/>
      <c r="K20"/>
    </row>
    <row r="21" spans="1:11" x14ac:dyDescent="0.3">
      <c r="A21" s="62" t="s">
        <v>14</v>
      </c>
      <c r="B21" s="62" t="s">
        <v>566</v>
      </c>
      <c r="C21" s="63"/>
      <c r="D21" s="66"/>
      <c r="E21" s="66">
        <f t="shared" si="0"/>
        <v>0</v>
      </c>
      <c r="I21"/>
      <c r="J21"/>
      <c r="K21"/>
    </row>
    <row r="22" spans="1:11" x14ac:dyDescent="0.3">
      <c r="A22" s="62" t="s">
        <v>15</v>
      </c>
      <c r="B22" s="62" t="s">
        <v>563</v>
      </c>
      <c r="C22" s="63">
        <v>680</v>
      </c>
      <c r="D22" s="66">
        <v>16000</v>
      </c>
      <c r="E22" s="66">
        <f t="shared" si="0"/>
        <v>10880000</v>
      </c>
    </row>
    <row r="23" spans="1:11" x14ac:dyDescent="0.3">
      <c r="A23" s="62" t="s">
        <v>15</v>
      </c>
      <c r="B23" s="62" t="s">
        <v>566</v>
      </c>
      <c r="C23" s="63"/>
      <c r="D23" s="66"/>
      <c r="E23" s="66">
        <f t="shared" si="0"/>
        <v>0</v>
      </c>
      <c r="I23"/>
      <c r="J23"/>
      <c r="K23"/>
    </row>
    <row r="24" spans="1:11" x14ac:dyDescent="0.3">
      <c r="A24" s="62" t="s">
        <v>16</v>
      </c>
      <c r="B24" s="62" t="s">
        <v>563</v>
      </c>
      <c r="C24" s="63">
        <v>10</v>
      </c>
      <c r="D24" s="66">
        <v>22000</v>
      </c>
      <c r="E24" s="66">
        <f t="shared" si="0"/>
        <v>220000</v>
      </c>
    </row>
    <row r="25" spans="1:11" x14ac:dyDescent="0.3">
      <c r="A25" s="62" t="s">
        <v>18</v>
      </c>
      <c r="B25" s="62" t="s">
        <v>563</v>
      </c>
      <c r="C25" s="63"/>
      <c r="D25" s="66"/>
      <c r="E25" s="66">
        <f t="shared" si="0"/>
        <v>0</v>
      </c>
      <c r="I25"/>
      <c r="J25"/>
      <c r="K25"/>
    </row>
    <row r="26" spans="1:11" x14ac:dyDescent="0.3">
      <c r="A26" s="62" t="s">
        <v>19</v>
      </c>
      <c r="B26" s="62" t="s">
        <v>563</v>
      </c>
      <c r="C26" s="63"/>
      <c r="D26" s="66"/>
      <c r="E26" s="66">
        <f t="shared" si="0"/>
        <v>0</v>
      </c>
      <c r="I26"/>
      <c r="J26"/>
      <c r="K26"/>
    </row>
    <row r="27" spans="1:11" x14ac:dyDescent="0.3">
      <c r="A27" s="62" t="s">
        <v>19</v>
      </c>
      <c r="B27" s="62" t="s">
        <v>564</v>
      </c>
      <c r="C27" s="63"/>
      <c r="D27" s="66"/>
      <c r="E27" s="66">
        <f t="shared" si="0"/>
        <v>0</v>
      </c>
      <c r="I27"/>
      <c r="J27"/>
      <c r="K27"/>
    </row>
    <row r="28" spans="1:11" x14ac:dyDescent="0.3">
      <c r="A28" s="62" t="s">
        <v>21</v>
      </c>
      <c r="B28" s="62" t="s">
        <v>563</v>
      </c>
      <c r="C28" s="63"/>
      <c r="D28" s="66"/>
      <c r="E28" s="66">
        <f t="shared" si="0"/>
        <v>0</v>
      </c>
      <c r="I28"/>
      <c r="J28"/>
      <c r="K28"/>
    </row>
    <row r="29" spans="1:11" x14ac:dyDescent="0.3">
      <c r="A29" s="62" t="s">
        <v>22</v>
      </c>
      <c r="B29" s="62" t="s">
        <v>563</v>
      </c>
      <c r="C29" s="63">
        <v>380</v>
      </c>
      <c r="D29" s="66">
        <v>9000</v>
      </c>
      <c r="E29" s="66">
        <f t="shared" si="0"/>
        <v>3420000</v>
      </c>
    </row>
    <row r="30" spans="1:11" x14ac:dyDescent="0.3">
      <c r="A30" s="62" t="s">
        <v>23</v>
      </c>
      <c r="B30" s="62" t="s">
        <v>563</v>
      </c>
      <c r="C30" s="63">
        <v>70</v>
      </c>
      <c r="D30" s="66">
        <v>7000</v>
      </c>
      <c r="E30" s="66">
        <f t="shared" si="0"/>
        <v>490000</v>
      </c>
    </row>
    <row r="31" spans="1:11" x14ac:dyDescent="0.3">
      <c r="A31" s="62" t="s">
        <v>24</v>
      </c>
      <c r="B31" s="62" t="s">
        <v>563</v>
      </c>
      <c r="C31" s="63"/>
      <c r="D31" s="66"/>
      <c r="E31" s="66">
        <f t="shared" si="0"/>
        <v>0</v>
      </c>
      <c r="I31"/>
      <c r="J31"/>
      <c r="K31"/>
    </row>
    <row r="32" spans="1:11" x14ac:dyDescent="0.3">
      <c r="A32" s="62" t="s">
        <v>24</v>
      </c>
      <c r="B32" s="62" t="s">
        <v>566</v>
      </c>
      <c r="C32" s="63"/>
      <c r="D32" s="66"/>
      <c r="E32" s="66">
        <f t="shared" si="0"/>
        <v>0</v>
      </c>
      <c r="I32"/>
      <c r="J32"/>
      <c r="K32"/>
    </row>
    <row r="33" spans="1:11" x14ac:dyDescent="0.3">
      <c r="A33" s="62" t="s">
        <v>557</v>
      </c>
      <c r="B33" s="62" t="s">
        <v>566</v>
      </c>
      <c r="C33" s="63"/>
      <c r="D33" s="66"/>
      <c r="E33" s="66">
        <f t="shared" si="0"/>
        <v>0</v>
      </c>
      <c r="I33"/>
      <c r="J33"/>
      <c r="K33"/>
    </row>
    <row r="34" spans="1:11" x14ac:dyDescent="0.3">
      <c r="A34" s="62" t="s">
        <v>25</v>
      </c>
      <c r="B34" s="62" t="s">
        <v>566</v>
      </c>
      <c r="C34" s="63"/>
      <c r="D34" s="66"/>
      <c r="E34" s="66">
        <f t="shared" si="0"/>
        <v>0</v>
      </c>
      <c r="I34"/>
      <c r="J34"/>
      <c r="K34"/>
    </row>
    <row r="35" spans="1:11" x14ac:dyDescent="0.3">
      <c r="A35" s="62" t="s">
        <v>26</v>
      </c>
      <c r="B35" s="62" t="s">
        <v>563</v>
      </c>
      <c r="C35" s="63"/>
      <c r="D35" s="66"/>
      <c r="E35" s="66">
        <f t="shared" si="0"/>
        <v>0</v>
      </c>
      <c r="I35"/>
      <c r="J35"/>
      <c r="K35"/>
    </row>
    <row r="36" spans="1:11" x14ac:dyDescent="0.3">
      <c r="A36" s="62" t="s">
        <v>26</v>
      </c>
      <c r="B36" s="62" t="s">
        <v>566</v>
      </c>
      <c r="C36" s="63"/>
      <c r="D36" s="66"/>
      <c r="E36" s="66">
        <f t="shared" si="0"/>
        <v>0</v>
      </c>
      <c r="I36"/>
      <c r="J36"/>
      <c r="K36"/>
    </row>
    <row r="37" spans="1:11" x14ac:dyDescent="0.3">
      <c r="A37" s="62" t="s">
        <v>26</v>
      </c>
      <c r="B37" s="62" t="s">
        <v>567</v>
      </c>
      <c r="C37" s="63"/>
      <c r="D37" s="66"/>
      <c r="E37" s="66">
        <f t="shared" si="0"/>
        <v>0</v>
      </c>
      <c r="I37"/>
      <c r="J37"/>
      <c r="K37"/>
    </row>
    <row r="38" spans="1:11" x14ac:dyDescent="0.3">
      <c r="A38" s="62" t="s">
        <v>27</v>
      </c>
      <c r="B38" s="62" t="s">
        <v>563</v>
      </c>
      <c r="C38" s="63"/>
      <c r="D38" s="66"/>
      <c r="E38" s="66">
        <f t="shared" si="0"/>
        <v>0</v>
      </c>
      <c r="I38"/>
      <c r="J38"/>
      <c r="K38"/>
    </row>
    <row r="39" spans="1:11" x14ac:dyDescent="0.3">
      <c r="A39" s="62" t="s">
        <v>28</v>
      </c>
      <c r="B39" s="62" t="s">
        <v>568</v>
      </c>
      <c r="C39" s="63"/>
      <c r="D39" s="66"/>
      <c r="E39" s="66">
        <f t="shared" si="0"/>
        <v>0</v>
      </c>
      <c r="I39"/>
      <c r="J39"/>
      <c r="K39"/>
    </row>
    <row r="40" spans="1:11" x14ac:dyDescent="0.3">
      <c r="A40" s="62" t="s">
        <v>28</v>
      </c>
      <c r="B40" s="62" t="s">
        <v>563</v>
      </c>
      <c r="C40" s="63">
        <v>240</v>
      </c>
      <c r="D40" s="66">
        <v>18000</v>
      </c>
      <c r="E40" s="66">
        <f t="shared" si="0"/>
        <v>4320000</v>
      </c>
    </row>
    <row r="41" spans="1:11" x14ac:dyDescent="0.3">
      <c r="A41" s="62" t="s">
        <v>28</v>
      </c>
      <c r="B41" s="62" t="s">
        <v>566</v>
      </c>
      <c r="C41" s="63"/>
      <c r="D41" s="66"/>
      <c r="E41" s="66">
        <f t="shared" si="0"/>
        <v>0</v>
      </c>
      <c r="I41"/>
      <c r="J41"/>
      <c r="K41"/>
    </row>
    <row r="42" spans="1:11" x14ac:dyDescent="0.3">
      <c r="A42" s="62" t="s">
        <v>29</v>
      </c>
      <c r="B42" s="62" t="s">
        <v>568</v>
      </c>
      <c r="C42" s="64"/>
      <c r="D42" s="68"/>
      <c r="E42" s="66">
        <f t="shared" si="0"/>
        <v>0</v>
      </c>
      <c r="I42"/>
      <c r="J42"/>
      <c r="K42"/>
    </row>
    <row r="43" spans="1:11" x14ac:dyDescent="0.3">
      <c r="A43" s="62" t="s">
        <v>29</v>
      </c>
      <c r="B43" s="62" t="s">
        <v>563</v>
      </c>
      <c r="C43" s="64">
        <v>60</v>
      </c>
      <c r="D43" s="68">
        <v>39000</v>
      </c>
      <c r="E43" s="66">
        <f t="shared" si="0"/>
        <v>2340000</v>
      </c>
    </row>
    <row r="44" spans="1:11" x14ac:dyDescent="0.3">
      <c r="A44" s="62" t="s">
        <v>30</v>
      </c>
      <c r="B44" s="62" t="s">
        <v>566</v>
      </c>
      <c r="C44" s="64"/>
      <c r="D44" s="68"/>
      <c r="E44" s="66">
        <f t="shared" si="0"/>
        <v>0</v>
      </c>
      <c r="I44"/>
      <c r="J44"/>
      <c r="K44"/>
    </row>
    <row r="45" spans="1:11" x14ac:dyDescent="0.3">
      <c r="A45" s="62" t="s">
        <v>31</v>
      </c>
      <c r="B45" s="62" t="s">
        <v>563</v>
      </c>
      <c r="C45" s="64"/>
      <c r="D45" s="68"/>
      <c r="E45" s="66">
        <f t="shared" si="0"/>
        <v>0</v>
      </c>
      <c r="I45"/>
      <c r="J45"/>
      <c r="K45"/>
    </row>
    <row r="46" spans="1:11" x14ac:dyDescent="0.3">
      <c r="A46" s="62" t="s">
        <v>32</v>
      </c>
      <c r="B46" s="62" t="s">
        <v>566</v>
      </c>
      <c r="C46" s="64"/>
      <c r="D46" s="68"/>
      <c r="E46" s="66">
        <f t="shared" si="0"/>
        <v>0</v>
      </c>
      <c r="I46"/>
      <c r="J46"/>
      <c r="K46"/>
    </row>
    <row r="47" spans="1:11" x14ac:dyDescent="0.3">
      <c r="A47" s="62" t="s">
        <v>34</v>
      </c>
      <c r="B47" s="62" t="s">
        <v>566</v>
      </c>
      <c r="C47" s="64"/>
      <c r="D47" s="68"/>
      <c r="E47" s="66">
        <f t="shared" si="0"/>
        <v>0</v>
      </c>
      <c r="I47"/>
      <c r="J47"/>
      <c r="K47"/>
    </row>
    <row r="48" spans="1:11" x14ac:dyDescent="0.3">
      <c r="A48" s="62" t="s">
        <v>35</v>
      </c>
      <c r="B48" s="62" t="s">
        <v>569</v>
      </c>
      <c r="C48" s="64"/>
      <c r="D48" s="68"/>
      <c r="E48" s="66">
        <f t="shared" si="0"/>
        <v>0</v>
      </c>
      <c r="I48"/>
      <c r="J48"/>
      <c r="K48"/>
    </row>
    <row r="49" spans="1:5" customFormat="1" x14ac:dyDescent="0.3">
      <c r="A49" s="62" t="s">
        <v>36</v>
      </c>
      <c r="B49" s="62" t="s">
        <v>571</v>
      </c>
      <c r="C49" s="64"/>
      <c r="D49" s="68"/>
      <c r="E49" s="66">
        <f t="shared" si="0"/>
        <v>0</v>
      </c>
    </row>
    <row r="50" spans="1:5" customFormat="1" x14ac:dyDescent="0.3">
      <c r="A50" s="62" t="s">
        <v>37</v>
      </c>
      <c r="B50" s="62" t="s">
        <v>563</v>
      </c>
      <c r="C50" s="64"/>
      <c r="D50" s="68"/>
      <c r="E50" s="66">
        <f t="shared" si="0"/>
        <v>0</v>
      </c>
    </row>
    <row r="51" spans="1:5" customFormat="1" x14ac:dyDescent="0.3">
      <c r="A51" s="62" t="s">
        <v>37</v>
      </c>
      <c r="B51" s="62" t="s">
        <v>566</v>
      </c>
      <c r="C51" s="64"/>
      <c r="D51" s="68"/>
      <c r="E51" s="66">
        <f t="shared" si="0"/>
        <v>0</v>
      </c>
    </row>
    <row r="52" spans="1:5" customFormat="1" x14ac:dyDescent="0.3">
      <c r="A52" s="62" t="s">
        <v>38</v>
      </c>
      <c r="B52" s="62" t="s">
        <v>563</v>
      </c>
      <c r="C52" s="64"/>
      <c r="D52" s="68"/>
      <c r="E52" s="66">
        <f t="shared" si="0"/>
        <v>0</v>
      </c>
    </row>
    <row r="53" spans="1:5" customFormat="1" x14ac:dyDescent="0.3">
      <c r="A53" s="62" t="s">
        <v>39</v>
      </c>
      <c r="B53" s="62" t="s">
        <v>568</v>
      </c>
      <c r="C53" s="64"/>
      <c r="D53" s="68"/>
      <c r="E53" s="66">
        <f t="shared" si="0"/>
        <v>0</v>
      </c>
    </row>
    <row r="54" spans="1:5" customFormat="1" x14ac:dyDescent="0.3">
      <c r="A54" s="62" t="s">
        <v>40</v>
      </c>
      <c r="B54" s="62" t="s">
        <v>563</v>
      </c>
      <c r="C54" s="64"/>
      <c r="D54" s="68"/>
      <c r="E54" s="66">
        <f t="shared" si="0"/>
        <v>0</v>
      </c>
    </row>
    <row r="55" spans="1:5" customFormat="1" x14ac:dyDescent="0.3">
      <c r="A55" s="62" t="s">
        <v>41</v>
      </c>
      <c r="B55" s="62" t="s">
        <v>568</v>
      </c>
      <c r="C55" s="64"/>
      <c r="D55" s="68"/>
      <c r="E55" s="66">
        <f t="shared" si="0"/>
        <v>0</v>
      </c>
    </row>
    <row r="56" spans="1:5" customFormat="1" x14ac:dyDescent="0.3">
      <c r="A56" s="62" t="s">
        <v>42</v>
      </c>
      <c r="B56" s="62" t="s">
        <v>563</v>
      </c>
      <c r="C56" s="64"/>
      <c r="D56" s="68"/>
      <c r="E56" s="66">
        <f t="shared" si="0"/>
        <v>0</v>
      </c>
    </row>
    <row r="57" spans="1:5" customFormat="1" x14ac:dyDescent="0.3">
      <c r="A57" s="62" t="s">
        <v>43</v>
      </c>
      <c r="B57" s="62" t="s">
        <v>566</v>
      </c>
      <c r="C57" s="64"/>
      <c r="D57" s="68"/>
      <c r="E57" s="66">
        <f t="shared" si="0"/>
        <v>0</v>
      </c>
    </row>
    <row r="58" spans="1:5" customFormat="1" x14ac:dyDescent="0.3">
      <c r="A58" s="62" t="s">
        <v>44</v>
      </c>
      <c r="B58" s="62" t="s">
        <v>566</v>
      </c>
      <c r="C58" s="64"/>
      <c r="D58" s="68"/>
      <c r="E58" s="66">
        <f t="shared" si="0"/>
        <v>0</v>
      </c>
    </row>
    <row r="59" spans="1:5" customFormat="1" x14ac:dyDescent="0.3">
      <c r="A59" s="62" t="s">
        <v>45</v>
      </c>
      <c r="B59" s="62" t="s">
        <v>563</v>
      </c>
      <c r="C59" s="64"/>
      <c r="D59" s="68"/>
      <c r="E59" s="66">
        <f t="shared" si="0"/>
        <v>0</v>
      </c>
    </row>
    <row r="60" spans="1:5" customFormat="1" x14ac:dyDescent="0.3">
      <c r="A60" s="62" t="s">
        <v>46</v>
      </c>
      <c r="B60" s="62" t="s">
        <v>568</v>
      </c>
      <c r="C60" s="64"/>
      <c r="D60" s="68"/>
      <c r="E60" s="66">
        <f t="shared" si="0"/>
        <v>0</v>
      </c>
    </row>
    <row r="61" spans="1:5" customFormat="1" x14ac:dyDescent="0.3">
      <c r="A61" s="62" t="s">
        <v>47</v>
      </c>
      <c r="B61" s="62" t="s">
        <v>563</v>
      </c>
      <c r="C61" s="64"/>
      <c r="D61" s="68"/>
      <c r="E61" s="66">
        <f t="shared" si="0"/>
        <v>0</v>
      </c>
    </row>
    <row r="62" spans="1:5" customFormat="1" x14ac:dyDescent="0.3">
      <c r="A62" s="62" t="s">
        <v>48</v>
      </c>
      <c r="B62" s="62" t="s">
        <v>563</v>
      </c>
      <c r="C62" s="64"/>
      <c r="D62" s="68"/>
      <c r="E62" s="66">
        <f t="shared" si="0"/>
        <v>0</v>
      </c>
    </row>
    <row r="63" spans="1:5" customFormat="1" x14ac:dyDescent="0.3">
      <c r="A63" s="62" t="s">
        <v>48</v>
      </c>
      <c r="B63" s="62" t="s">
        <v>570</v>
      </c>
      <c r="C63" s="64"/>
      <c r="D63" s="68"/>
      <c r="E63" s="66">
        <f t="shared" si="0"/>
        <v>0</v>
      </c>
    </row>
    <row r="64" spans="1:5" customFormat="1" x14ac:dyDescent="0.3">
      <c r="A64" s="62" t="s">
        <v>49</v>
      </c>
      <c r="B64" s="62" t="s">
        <v>563</v>
      </c>
      <c r="C64" s="64"/>
      <c r="D64" s="68"/>
      <c r="E64" s="66">
        <f t="shared" si="0"/>
        <v>0</v>
      </c>
    </row>
    <row r="65" spans="1:11" x14ac:dyDescent="0.3">
      <c r="A65" s="62" t="s">
        <v>50</v>
      </c>
      <c r="B65" s="62" t="s">
        <v>563</v>
      </c>
      <c r="C65" s="64">
        <v>1420</v>
      </c>
      <c r="D65" s="68">
        <v>7000</v>
      </c>
      <c r="E65" s="66">
        <f t="shared" si="0"/>
        <v>9940000</v>
      </c>
    </row>
    <row r="66" spans="1:11" x14ac:dyDescent="0.3">
      <c r="A66" s="62" t="s">
        <v>51</v>
      </c>
      <c r="B66" s="62" t="s">
        <v>563</v>
      </c>
      <c r="C66" s="64">
        <v>145</v>
      </c>
      <c r="D66" s="68">
        <v>16000</v>
      </c>
      <c r="E66" s="66">
        <f t="shared" si="0"/>
        <v>2320000</v>
      </c>
    </row>
    <row r="67" spans="1:11" x14ac:dyDescent="0.3">
      <c r="A67" s="62" t="s">
        <v>51</v>
      </c>
      <c r="B67" s="62" t="s">
        <v>570</v>
      </c>
      <c r="C67" s="64"/>
      <c r="D67" s="68"/>
      <c r="E67" s="66">
        <f t="shared" si="0"/>
        <v>0</v>
      </c>
      <c r="I67"/>
      <c r="J67"/>
      <c r="K67"/>
    </row>
    <row r="68" spans="1:11" x14ac:dyDescent="0.3">
      <c r="A68" s="62" t="s">
        <v>52</v>
      </c>
      <c r="B68" s="62" t="s">
        <v>563</v>
      </c>
      <c r="C68" s="64">
        <v>120</v>
      </c>
      <c r="D68" s="68">
        <v>12000</v>
      </c>
      <c r="E68" s="66">
        <f t="shared" si="0"/>
        <v>1440000</v>
      </c>
    </row>
    <row r="69" spans="1:11" x14ac:dyDescent="0.3">
      <c r="A69" s="62" t="s">
        <v>52</v>
      </c>
      <c r="B69" s="62" t="s">
        <v>570</v>
      </c>
      <c r="C69" s="64"/>
      <c r="D69" s="68"/>
      <c r="E69" s="66">
        <f t="shared" ref="E69:E131" si="1">C69*D69</f>
        <v>0</v>
      </c>
      <c r="I69"/>
      <c r="J69"/>
      <c r="K69"/>
    </row>
    <row r="70" spans="1:11" x14ac:dyDescent="0.3">
      <c r="A70" s="62" t="s">
        <v>53</v>
      </c>
      <c r="B70" s="62" t="s">
        <v>563</v>
      </c>
      <c r="C70" s="64">
        <v>48</v>
      </c>
      <c r="D70" s="68">
        <v>22000</v>
      </c>
      <c r="E70" s="66">
        <f t="shared" si="1"/>
        <v>1056000</v>
      </c>
    </row>
    <row r="71" spans="1:11" x14ac:dyDescent="0.3">
      <c r="A71" s="62" t="s">
        <v>53</v>
      </c>
      <c r="B71" s="62" t="s">
        <v>564</v>
      </c>
      <c r="C71" s="64"/>
      <c r="D71" s="68"/>
      <c r="E71" s="66">
        <f t="shared" si="1"/>
        <v>0</v>
      </c>
      <c r="I71"/>
      <c r="J71"/>
      <c r="K71"/>
    </row>
    <row r="72" spans="1:11" x14ac:dyDescent="0.3">
      <c r="A72" s="62" t="s">
        <v>54</v>
      </c>
      <c r="B72" s="62" t="s">
        <v>564</v>
      </c>
      <c r="C72" s="64"/>
      <c r="D72" s="68"/>
      <c r="E72" s="66">
        <f t="shared" si="1"/>
        <v>0</v>
      </c>
      <c r="I72"/>
      <c r="J72"/>
      <c r="K72"/>
    </row>
    <row r="73" spans="1:11" x14ac:dyDescent="0.3">
      <c r="A73" s="62" t="s">
        <v>55</v>
      </c>
      <c r="B73" s="62" t="s">
        <v>564</v>
      </c>
      <c r="C73" s="64"/>
      <c r="D73" s="68"/>
      <c r="E73" s="66">
        <f t="shared" si="1"/>
        <v>0</v>
      </c>
      <c r="I73"/>
      <c r="J73"/>
      <c r="K73"/>
    </row>
    <row r="74" spans="1:11" x14ac:dyDescent="0.3">
      <c r="A74" s="62" t="s">
        <v>56</v>
      </c>
      <c r="B74" s="62" t="s">
        <v>565</v>
      </c>
      <c r="C74" s="64">
        <v>265</v>
      </c>
      <c r="D74" s="68">
        <v>9000</v>
      </c>
      <c r="E74" s="66">
        <f t="shared" si="1"/>
        <v>2385000</v>
      </c>
    </row>
    <row r="75" spans="1:11" x14ac:dyDescent="0.3">
      <c r="A75" s="62" t="s">
        <v>57</v>
      </c>
      <c r="B75" s="62" t="s">
        <v>565</v>
      </c>
      <c r="C75" s="64"/>
      <c r="D75" s="68"/>
      <c r="E75" s="66">
        <f t="shared" si="1"/>
        <v>0</v>
      </c>
      <c r="I75"/>
      <c r="J75"/>
      <c r="K75"/>
    </row>
    <row r="76" spans="1:11" x14ac:dyDescent="0.3">
      <c r="A76" s="62" t="s">
        <v>58</v>
      </c>
      <c r="B76" s="62" t="s">
        <v>563</v>
      </c>
      <c r="C76" s="64"/>
      <c r="D76" s="68"/>
      <c r="E76" s="66">
        <f t="shared" si="1"/>
        <v>0</v>
      </c>
      <c r="I76"/>
      <c r="J76"/>
      <c r="K76"/>
    </row>
    <row r="77" spans="1:11" x14ac:dyDescent="0.3">
      <c r="A77" s="62" t="s">
        <v>59</v>
      </c>
      <c r="B77" s="62" t="s">
        <v>565</v>
      </c>
      <c r="C77" s="64">
        <v>160</v>
      </c>
      <c r="D77" s="68">
        <v>6000</v>
      </c>
      <c r="E77" s="66">
        <f t="shared" si="1"/>
        <v>960000</v>
      </c>
    </row>
    <row r="78" spans="1:11" x14ac:dyDescent="0.3">
      <c r="A78" s="62" t="s">
        <v>60</v>
      </c>
      <c r="B78" s="62" t="s">
        <v>563</v>
      </c>
      <c r="C78" s="64">
        <v>630</v>
      </c>
      <c r="D78" s="68">
        <v>19000</v>
      </c>
      <c r="E78" s="66">
        <f t="shared" si="1"/>
        <v>11970000</v>
      </c>
    </row>
    <row r="79" spans="1:11" x14ac:dyDescent="0.3">
      <c r="A79" s="62" t="s">
        <v>60</v>
      </c>
      <c r="B79" s="62" t="s">
        <v>566</v>
      </c>
      <c r="C79" s="64"/>
      <c r="D79" s="68"/>
      <c r="E79" s="66">
        <f t="shared" si="1"/>
        <v>0</v>
      </c>
      <c r="I79"/>
      <c r="J79"/>
      <c r="K79"/>
    </row>
    <row r="80" spans="1:11" x14ac:dyDescent="0.3">
      <c r="A80" s="62" t="s">
        <v>60</v>
      </c>
      <c r="B80" s="62" t="s">
        <v>564</v>
      </c>
      <c r="C80" s="64"/>
      <c r="D80" s="68"/>
      <c r="E80" s="66">
        <f t="shared" si="1"/>
        <v>0</v>
      </c>
      <c r="I80"/>
      <c r="J80"/>
      <c r="K80"/>
    </row>
    <row r="81" spans="1:11" x14ac:dyDescent="0.3">
      <c r="A81" s="62" t="s">
        <v>61</v>
      </c>
      <c r="B81" s="62" t="s">
        <v>566</v>
      </c>
      <c r="C81" s="64">
        <v>30</v>
      </c>
      <c r="D81" s="68">
        <v>17000</v>
      </c>
      <c r="E81" s="66">
        <f t="shared" si="1"/>
        <v>510000</v>
      </c>
    </row>
    <row r="82" spans="1:11" x14ac:dyDescent="0.3">
      <c r="A82" s="62" t="s">
        <v>62</v>
      </c>
      <c r="B82" s="62" t="s">
        <v>563</v>
      </c>
      <c r="C82" s="64"/>
      <c r="D82" s="68"/>
      <c r="E82" s="66">
        <f t="shared" si="1"/>
        <v>0</v>
      </c>
      <c r="I82"/>
      <c r="J82"/>
      <c r="K82"/>
    </row>
    <row r="83" spans="1:11" x14ac:dyDescent="0.3">
      <c r="A83" s="62" t="s">
        <v>63</v>
      </c>
      <c r="B83" s="62" t="s">
        <v>564</v>
      </c>
      <c r="C83" s="64"/>
      <c r="D83" s="68"/>
      <c r="E83" s="66">
        <f t="shared" si="1"/>
        <v>0</v>
      </c>
      <c r="I83"/>
      <c r="J83"/>
      <c r="K83"/>
    </row>
    <row r="84" spans="1:11" x14ac:dyDescent="0.3">
      <c r="A84" s="62" t="s">
        <v>64</v>
      </c>
      <c r="B84" s="62" t="s">
        <v>564</v>
      </c>
      <c r="C84" s="64"/>
      <c r="D84" s="68"/>
      <c r="E84" s="66">
        <f t="shared" si="1"/>
        <v>0</v>
      </c>
      <c r="I84"/>
      <c r="J84"/>
      <c r="K84"/>
    </row>
    <row r="85" spans="1:11" x14ac:dyDescent="0.3">
      <c r="A85" s="62" t="s">
        <v>65</v>
      </c>
      <c r="B85" s="62" t="s">
        <v>563</v>
      </c>
      <c r="C85" s="64"/>
      <c r="D85" s="68"/>
      <c r="E85" s="66">
        <f t="shared" si="1"/>
        <v>0</v>
      </c>
      <c r="I85"/>
      <c r="J85"/>
      <c r="K85"/>
    </row>
    <row r="86" spans="1:11" x14ac:dyDescent="0.3">
      <c r="A86" s="62" t="s">
        <v>66</v>
      </c>
      <c r="B86" s="62" t="s">
        <v>566</v>
      </c>
      <c r="C86" s="64"/>
      <c r="D86" s="68"/>
      <c r="E86" s="66">
        <f t="shared" si="1"/>
        <v>0</v>
      </c>
      <c r="I86"/>
      <c r="J86"/>
      <c r="K86"/>
    </row>
    <row r="87" spans="1:11" x14ac:dyDescent="0.3">
      <c r="A87" s="62" t="s">
        <v>67</v>
      </c>
      <c r="B87" s="62" t="s">
        <v>566</v>
      </c>
      <c r="C87" s="64">
        <v>10</v>
      </c>
      <c r="D87" s="68">
        <v>11000</v>
      </c>
      <c r="E87" s="66">
        <f t="shared" si="1"/>
        <v>110000</v>
      </c>
    </row>
    <row r="88" spans="1:11" x14ac:dyDescent="0.3">
      <c r="A88" s="62" t="s">
        <v>68</v>
      </c>
      <c r="B88" s="62" t="s">
        <v>566</v>
      </c>
      <c r="C88" s="64">
        <v>5</v>
      </c>
      <c r="D88" s="68">
        <v>11000</v>
      </c>
      <c r="E88" s="66">
        <f t="shared" si="1"/>
        <v>55000</v>
      </c>
    </row>
    <row r="89" spans="1:11" x14ac:dyDescent="0.3">
      <c r="A89" s="62" t="s">
        <v>69</v>
      </c>
      <c r="B89" s="62" t="s">
        <v>563</v>
      </c>
      <c r="C89" s="64"/>
      <c r="D89" s="68"/>
      <c r="E89" s="66">
        <f t="shared" si="1"/>
        <v>0</v>
      </c>
      <c r="I89"/>
      <c r="J89"/>
      <c r="K89"/>
    </row>
    <row r="90" spans="1:11" x14ac:dyDescent="0.3">
      <c r="A90" s="62" t="s">
        <v>69</v>
      </c>
      <c r="B90" s="62" t="s">
        <v>564</v>
      </c>
      <c r="C90" s="64"/>
      <c r="D90" s="68"/>
      <c r="E90" s="66">
        <f t="shared" si="1"/>
        <v>0</v>
      </c>
      <c r="I90"/>
      <c r="J90"/>
      <c r="K90"/>
    </row>
    <row r="91" spans="1:11" x14ac:dyDescent="0.3">
      <c r="A91" s="62" t="s">
        <v>70</v>
      </c>
      <c r="B91" s="62" t="s">
        <v>563</v>
      </c>
      <c r="C91" s="64"/>
      <c r="D91" s="68"/>
      <c r="E91" s="66">
        <f t="shared" si="1"/>
        <v>0</v>
      </c>
      <c r="I91"/>
      <c r="J91"/>
      <c r="K91"/>
    </row>
    <row r="92" spans="1:11" x14ac:dyDescent="0.3">
      <c r="A92" s="62" t="s">
        <v>71</v>
      </c>
      <c r="B92" s="62" t="s">
        <v>563</v>
      </c>
      <c r="C92" s="64"/>
      <c r="D92" s="68"/>
      <c r="E92" s="66">
        <f t="shared" si="1"/>
        <v>0</v>
      </c>
      <c r="I92"/>
      <c r="J92"/>
      <c r="K92"/>
    </row>
    <row r="93" spans="1:11" x14ac:dyDescent="0.3">
      <c r="A93" s="62" t="s">
        <v>72</v>
      </c>
      <c r="B93" s="62" t="s">
        <v>564</v>
      </c>
      <c r="C93" s="64"/>
      <c r="D93" s="68"/>
      <c r="E93" s="66">
        <f t="shared" si="1"/>
        <v>0</v>
      </c>
      <c r="I93"/>
      <c r="J93"/>
      <c r="K93"/>
    </row>
    <row r="94" spans="1:11" x14ac:dyDescent="0.3">
      <c r="A94" s="62" t="s">
        <v>73</v>
      </c>
      <c r="B94" s="62" t="s">
        <v>563</v>
      </c>
      <c r="C94" s="64"/>
      <c r="D94" s="68"/>
      <c r="E94" s="66">
        <f t="shared" si="1"/>
        <v>0</v>
      </c>
      <c r="I94"/>
      <c r="J94"/>
      <c r="K94"/>
    </row>
    <row r="95" spans="1:11" x14ac:dyDescent="0.3">
      <c r="A95" s="62" t="s">
        <v>73</v>
      </c>
      <c r="B95" s="62" t="s">
        <v>566</v>
      </c>
      <c r="C95" s="64"/>
      <c r="D95" s="68"/>
      <c r="E95" s="66">
        <f t="shared" si="1"/>
        <v>0</v>
      </c>
      <c r="I95"/>
      <c r="J95"/>
      <c r="K95"/>
    </row>
    <row r="96" spans="1:11" x14ac:dyDescent="0.3">
      <c r="A96" s="62" t="s">
        <v>74</v>
      </c>
      <c r="B96" s="62" t="s">
        <v>563</v>
      </c>
      <c r="C96" s="64"/>
      <c r="D96" s="68"/>
      <c r="E96" s="66">
        <f t="shared" si="1"/>
        <v>0</v>
      </c>
      <c r="I96"/>
      <c r="J96"/>
      <c r="K96"/>
    </row>
    <row r="97" spans="1:11" x14ac:dyDescent="0.3">
      <c r="A97" s="62" t="s">
        <v>75</v>
      </c>
      <c r="B97" s="62" t="s">
        <v>565</v>
      </c>
      <c r="C97" s="64"/>
      <c r="D97" s="68"/>
      <c r="E97" s="66">
        <f t="shared" si="1"/>
        <v>0</v>
      </c>
      <c r="I97"/>
      <c r="J97"/>
      <c r="K97"/>
    </row>
    <row r="98" spans="1:11" x14ac:dyDescent="0.3">
      <c r="A98" s="62" t="s">
        <v>75</v>
      </c>
      <c r="B98" s="62" t="s">
        <v>563</v>
      </c>
      <c r="C98" s="64"/>
      <c r="D98" s="68"/>
      <c r="E98" s="66">
        <f t="shared" si="1"/>
        <v>0</v>
      </c>
      <c r="I98"/>
      <c r="J98"/>
      <c r="K98"/>
    </row>
    <row r="99" spans="1:11" x14ac:dyDescent="0.3">
      <c r="A99" s="62" t="s">
        <v>76</v>
      </c>
      <c r="B99" s="62" t="s">
        <v>563</v>
      </c>
      <c r="C99" s="64">
        <v>270</v>
      </c>
      <c r="D99" s="68">
        <v>24000</v>
      </c>
      <c r="E99" s="66">
        <f t="shared" si="1"/>
        <v>6480000</v>
      </c>
    </row>
    <row r="100" spans="1:11" x14ac:dyDescent="0.3">
      <c r="A100" s="62" t="s">
        <v>76</v>
      </c>
      <c r="B100" s="62" t="s">
        <v>570</v>
      </c>
      <c r="C100" s="64"/>
      <c r="D100" s="68"/>
      <c r="E100" s="66">
        <f t="shared" si="1"/>
        <v>0</v>
      </c>
      <c r="I100"/>
      <c r="J100"/>
      <c r="K100"/>
    </row>
    <row r="101" spans="1:11" x14ac:dyDescent="0.3">
      <c r="A101" s="62" t="s">
        <v>77</v>
      </c>
      <c r="B101" s="62" t="s">
        <v>565</v>
      </c>
      <c r="C101" s="64"/>
      <c r="D101" s="68"/>
      <c r="E101" s="66">
        <f t="shared" si="1"/>
        <v>0</v>
      </c>
      <c r="I101"/>
      <c r="J101"/>
      <c r="K101"/>
    </row>
    <row r="102" spans="1:11" x14ac:dyDescent="0.3">
      <c r="A102" s="62" t="s">
        <v>77</v>
      </c>
      <c r="B102" s="62" t="s">
        <v>563</v>
      </c>
      <c r="C102" s="64"/>
      <c r="D102" s="68"/>
      <c r="E102" s="66">
        <f t="shared" si="1"/>
        <v>0</v>
      </c>
      <c r="I102"/>
      <c r="J102"/>
      <c r="K102"/>
    </row>
    <row r="103" spans="1:11" x14ac:dyDescent="0.3">
      <c r="A103" s="62" t="s">
        <v>78</v>
      </c>
      <c r="B103" s="62" t="s">
        <v>563</v>
      </c>
      <c r="C103" s="64">
        <v>155</v>
      </c>
      <c r="D103" s="68">
        <v>13000</v>
      </c>
      <c r="E103" s="66">
        <f t="shared" si="1"/>
        <v>2015000</v>
      </c>
    </row>
    <row r="104" spans="1:11" x14ac:dyDescent="0.3">
      <c r="A104" s="62" t="s">
        <v>78</v>
      </c>
      <c r="B104" s="62" t="s">
        <v>570</v>
      </c>
      <c r="C104" s="64"/>
      <c r="D104" s="68"/>
      <c r="E104" s="66">
        <f t="shared" si="1"/>
        <v>0</v>
      </c>
      <c r="I104"/>
      <c r="J104"/>
      <c r="K104"/>
    </row>
    <row r="105" spans="1:11" x14ac:dyDescent="0.3">
      <c r="A105" s="62" t="s">
        <v>79</v>
      </c>
      <c r="B105" s="62" t="s">
        <v>563</v>
      </c>
      <c r="C105" s="64">
        <v>130</v>
      </c>
      <c r="D105" s="68">
        <v>22000</v>
      </c>
      <c r="E105" s="66">
        <f t="shared" si="1"/>
        <v>2860000</v>
      </c>
    </row>
    <row r="106" spans="1:11" x14ac:dyDescent="0.3">
      <c r="A106" s="62" t="s">
        <v>79</v>
      </c>
      <c r="B106" s="62" t="s">
        <v>570</v>
      </c>
      <c r="C106" s="64"/>
      <c r="D106" s="68"/>
      <c r="E106" s="66">
        <f t="shared" si="1"/>
        <v>0</v>
      </c>
      <c r="I106"/>
      <c r="J106"/>
      <c r="K106"/>
    </row>
    <row r="107" spans="1:11" x14ac:dyDescent="0.3">
      <c r="A107" s="62" t="s">
        <v>80</v>
      </c>
      <c r="B107" s="62" t="s">
        <v>566</v>
      </c>
      <c r="C107" s="64"/>
      <c r="D107" s="68"/>
      <c r="E107" s="66">
        <f t="shared" si="1"/>
        <v>0</v>
      </c>
      <c r="I107"/>
      <c r="J107"/>
      <c r="K107"/>
    </row>
    <row r="108" spans="1:11" x14ac:dyDescent="0.3">
      <c r="A108" s="62" t="s">
        <v>81</v>
      </c>
      <c r="B108" s="62" t="s">
        <v>563</v>
      </c>
      <c r="C108" s="64"/>
      <c r="D108" s="68"/>
      <c r="E108" s="66">
        <f t="shared" si="1"/>
        <v>0</v>
      </c>
      <c r="I108"/>
      <c r="J108"/>
      <c r="K108"/>
    </row>
    <row r="109" spans="1:11" x14ac:dyDescent="0.3">
      <c r="A109" s="62" t="s">
        <v>81</v>
      </c>
      <c r="B109" s="62" t="s">
        <v>607</v>
      </c>
      <c r="C109" s="64"/>
      <c r="D109" s="68"/>
      <c r="E109" s="66">
        <f t="shared" si="1"/>
        <v>0</v>
      </c>
      <c r="I109"/>
      <c r="J109"/>
      <c r="K109"/>
    </row>
    <row r="110" spans="1:11" x14ac:dyDescent="0.3">
      <c r="A110" s="62" t="s">
        <v>82</v>
      </c>
      <c r="B110" s="62" t="s">
        <v>563</v>
      </c>
      <c r="C110" s="64">
        <v>70</v>
      </c>
      <c r="D110" s="68">
        <v>13500</v>
      </c>
      <c r="E110" s="66">
        <f t="shared" si="1"/>
        <v>945000</v>
      </c>
    </row>
    <row r="111" spans="1:11" x14ac:dyDescent="0.3">
      <c r="A111" s="62" t="s">
        <v>83</v>
      </c>
      <c r="B111" s="62" t="s">
        <v>563</v>
      </c>
      <c r="C111" s="64"/>
      <c r="D111" s="68"/>
      <c r="E111" s="66">
        <f t="shared" si="1"/>
        <v>0</v>
      </c>
      <c r="I111"/>
      <c r="J111"/>
      <c r="K111"/>
    </row>
    <row r="112" spans="1:11" x14ac:dyDescent="0.3">
      <c r="A112" s="62" t="s">
        <v>84</v>
      </c>
      <c r="B112" s="62" t="s">
        <v>563</v>
      </c>
      <c r="C112" s="64"/>
      <c r="D112" s="68"/>
      <c r="E112" s="66">
        <f t="shared" si="1"/>
        <v>0</v>
      </c>
      <c r="I112"/>
      <c r="J112"/>
      <c r="K112"/>
    </row>
    <row r="113" spans="1:11" x14ac:dyDescent="0.3">
      <c r="A113" s="62" t="s">
        <v>86</v>
      </c>
      <c r="B113" s="62" t="s">
        <v>565</v>
      </c>
      <c r="C113" s="64"/>
      <c r="D113" s="68"/>
      <c r="E113" s="66">
        <f t="shared" si="1"/>
        <v>0</v>
      </c>
      <c r="I113"/>
      <c r="J113"/>
      <c r="K113"/>
    </row>
    <row r="114" spans="1:11" x14ac:dyDescent="0.3">
      <c r="A114" s="62" t="s">
        <v>87</v>
      </c>
      <c r="B114" s="62" t="s">
        <v>563</v>
      </c>
      <c r="C114" s="64"/>
      <c r="D114" s="68"/>
      <c r="E114" s="66">
        <f t="shared" si="1"/>
        <v>0</v>
      </c>
      <c r="I114"/>
      <c r="J114"/>
      <c r="K114"/>
    </row>
    <row r="115" spans="1:11" x14ac:dyDescent="0.3">
      <c r="A115" s="62" t="s">
        <v>88</v>
      </c>
      <c r="B115" s="62" t="s">
        <v>565</v>
      </c>
      <c r="C115" s="64"/>
      <c r="D115" s="68"/>
      <c r="E115" s="66">
        <f t="shared" si="1"/>
        <v>0</v>
      </c>
      <c r="I115"/>
      <c r="J115"/>
      <c r="K115"/>
    </row>
    <row r="116" spans="1:11" x14ac:dyDescent="0.3">
      <c r="A116" s="62" t="s">
        <v>89</v>
      </c>
      <c r="B116" s="62" t="s">
        <v>563</v>
      </c>
      <c r="C116" s="64"/>
      <c r="D116" s="68"/>
      <c r="E116" s="66">
        <f t="shared" si="1"/>
        <v>0</v>
      </c>
      <c r="I116"/>
      <c r="J116"/>
      <c r="K116"/>
    </row>
    <row r="117" spans="1:11" x14ac:dyDescent="0.3">
      <c r="A117" s="62" t="s">
        <v>92</v>
      </c>
      <c r="B117" s="62" t="s">
        <v>563</v>
      </c>
      <c r="C117" s="64">
        <v>175</v>
      </c>
      <c r="D117" s="111">
        <v>16000</v>
      </c>
      <c r="E117" s="66">
        <f t="shared" si="1"/>
        <v>2800000</v>
      </c>
    </row>
    <row r="118" spans="1:11" x14ac:dyDescent="0.3">
      <c r="A118" s="62" t="s">
        <v>93</v>
      </c>
      <c r="B118" s="62" t="s">
        <v>563</v>
      </c>
      <c r="C118" s="64">
        <f>650+530</f>
        <v>1180</v>
      </c>
      <c r="D118" s="68">
        <v>24000</v>
      </c>
      <c r="E118" s="66">
        <f t="shared" si="1"/>
        <v>28320000</v>
      </c>
    </row>
    <row r="119" spans="1:11" x14ac:dyDescent="0.3">
      <c r="A119" s="62" t="s">
        <v>94</v>
      </c>
      <c r="B119" s="62" t="s">
        <v>563</v>
      </c>
      <c r="C119" s="64"/>
      <c r="D119" s="68"/>
      <c r="E119" s="66">
        <f t="shared" si="1"/>
        <v>0</v>
      </c>
      <c r="I119"/>
      <c r="J119"/>
      <c r="K119"/>
    </row>
    <row r="120" spans="1:11" x14ac:dyDescent="0.3">
      <c r="A120" s="62" t="s">
        <v>96</v>
      </c>
      <c r="B120" s="62" t="s">
        <v>563</v>
      </c>
      <c r="C120" s="64"/>
      <c r="D120" s="68"/>
      <c r="E120" s="66">
        <f t="shared" si="1"/>
        <v>0</v>
      </c>
      <c r="I120"/>
      <c r="J120"/>
      <c r="K120"/>
    </row>
    <row r="121" spans="1:11" x14ac:dyDescent="0.3">
      <c r="A121" s="62" t="s">
        <v>97</v>
      </c>
      <c r="B121" s="62" t="s">
        <v>564</v>
      </c>
      <c r="C121" s="64">
        <v>10</v>
      </c>
      <c r="D121" s="68">
        <v>7000</v>
      </c>
      <c r="E121" s="66">
        <f t="shared" si="1"/>
        <v>70000</v>
      </c>
    </row>
    <row r="122" spans="1:11" x14ac:dyDescent="0.3">
      <c r="A122" s="62" t="s">
        <v>98</v>
      </c>
      <c r="B122" s="62" t="s">
        <v>566</v>
      </c>
      <c r="C122" s="64"/>
      <c r="D122" s="68"/>
      <c r="E122" s="66">
        <f t="shared" si="1"/>
        <v>0</v>
      </c>
      <c r="I122"/>
      <c r="J122"/>
      <c r="K122"/>
    </row>
    <row r="123" spans="1:11" x14ac:dyDescent="0.3">
      <c r="A123" s="62" t="s">
        <v>99</v>
      </c>
      <c r="B123" s="62" t="s">
        <v>566</v>
      </c>
      <c r="C123" s="64"/>
      <c r="D123" s="68"/>
      <c r="E123" s="66">
        <f t="shared" si="1"/>
        <v>0</v>
      </c>
      <c r="I123"/>
      <c r="J123"/>
      <c r="K123"/>
    </row>
    <row r="124" spans="1:11" x14ac:dyDescent="0.3">
      <c r="A124" s="62" t="s">
        <v>100</v>
      </c>
      <c r="B124" s="62" t="s">
        <v>564</v>
      </c>
      <c r="C124" s="64"/>
      <c r="D124" s="68"/>
      <c r="E124" s="66">
        <f t="shared" si="1"/>
        <v>0</v>
      </c>
      <c r="I124"/>
      <c r="J124"/>
      <c r="K124"/>
    </row>
    <row r="125" spans="1:11" x14ac:dyDescent="0.3">
      <c r="A125" s="62" t="s">
        <v>101</v>
      </c>
      <c r="B125" s="62" t="s">
        <v>563</v>
      </c>
      <c r="C125" s="64"/>
      <c r="D125" s="68"/>
      <c r="E125" s="66">
        <f t="shared" si="1"/>
        <v>0</v>
      </c>
      <c r="I125"/>
      <c r="J125"/>
      <c r="K125"/>
    </row>
    <row r="126" spans="1:11" x14ac:dyDescent="0.3">
      <c r="A126" s="62" t="s">
        <v>102</v>
      </c>
      <c r="B126" s="62" t="s">
        <v>563</v>
      </c>
      <c r="C126" s="64">
        <v>180</v>
      </c>
      <c r="D126" s="68">
        <v>26000</v>
      </c>
      <c r="E126" s="66">
        <f t="shared" si="1"/>
        <v>4680000</v>
      </c>
    </row>
    <row r="127" spans="1:11" x14ac:dyDescent="0.3">
      <c r="A127" s="62" t="s">
        <v>103</v>
      </c>
      <c r="B127" s="62" t="s">
        <v>563</v>
      </c>
      <c r="C127" s="64">
        <v>50</v>
      </c>
      <c r="D127" s="68">
        <v>30000</v>
      </c>
      <c r="E127" s="66">
        <f t="shared" si="1"/>
        <v>1500000</v>
      </c>
    </row>
    <row r="128" spans="1:11" x14ac:dyDescent="0.3">
      <c r="A128" s="62" t="s">
        <v>104</v>
      </c>
      <c r="B128" s="62" t="s">
        <v>563</v>
      </c>
      <c r="C128" s="64"/>
      <c r="D128" s="68"/>
      <c r="E128" s="66">
        <f t="shared" si="1"/>
        <v>0</v>
      </c>
      <c r="I128"/>
      <c r="J128"/>
      <c r="K128"/>
    </row>
    <row r="129" spans="1:11" x14ac:dyDescent="0.3">
      <c r="A129" s="62" t="s">
        <v>573</v>
      </c>
      <c r="B129" s="62" t="s">
        <v>563</v>
      </c>
      <c r="C129" s="64"/>
      <c r="D129" s="68"/>
      <c r="E129" s="66">
        <f t="shared" si="1"/>
        <v>0</v>
      </c>
      <c r="I129"/>
      <c r="J129"/>
      <c r="K129"/>
    </row>
    <row r="130" spans="1:11" x14ac:dyDescent="0.3">
      <c r="A130" s="62" t="s">
        <v>573</v>
      </c>
      <c r="B130" s="62" t="s">
        <v>566</v>
      </c>
      <c r="C130" s="64"/>
      <c r="D130" s="68"/>
      <c r="E130" s="66">
        <f t="shared" si="1"/>
        <v>0</v>
      </c>
      <c r="I130"/>
      <c r="J130"/>
      <c r="K130"/>
    </row>
    <row r="131" spans="1:11" x14ac:dyDescent="0.3">
      <c r="A131" s="62" t="s">
        <v>600</v>
      </c>
      <c r="B131" s="62" t="s">
        <v>566</v>
      </c>
      <c r="C131" s="64"/>
      <c r="D131" s="68"/>
      <c r="E131" s="66">
        <f t="shared" si="1"/>
        <v>0</v>
      </c>
      <c r="I131"/>
      <c r="J131"/>
      <c r="K131"/>
    </row>
    <row r="132" spans="1:11" x14ac:dyDescent="0.3">
      <c r="A132" s="62" t="s">
        <v>560</v>
      </c>
      <c r="B132" s="62" t="s">
        <v>563</v>
      </c>
      <c r="C132" s="64"/>
      <c r="D132" s="68"/>
      <c r="E132" s="66">
        <f t="shared" ref="E132:E197" si="2">C132*D132</f>
        <v>0</v>
      </c>
      <c r="I132"/>
      <c r="J132"/>
      <c r="K132"/>
    </row>
    <row r="133" spans="1:11" x14ac:dyDescent="0.3">
      <c r="A133" s="62" t="s">
        <v>560</v>
      </c>
      <c r="B133" s="62" t="s">
        <v>566</v>
      </c>
      <c r="C133" s="64"/>
      <c r="D133" s="68"/>
      <c r="E133" s="66">
        <f t="shared" si="2"/>
        <v>0</v>
      </c>
      <c r="I133"/>
      <c r="J133"/>
      <c r="K133"/>
    </row>
    <row r="134" spans="1:11" x14ac:dyDescent="0.3">
      <c r="A134" s="62" t="s">
        <v>619</v>
      </c>
      <c r="B134" s="62" t="s">
        <v>563</v>
      </c>
      <c r="C134" s="64">
        <v>500</v>
      </c>
      <c r="D134" s="68">
        <v>18600</v>
      </c>
      <c r="E134" s="66">
        <f>C134*D134</f>
        <v>9300000</v>
      </c>
      <c r="I134"/>
      <c r="J134"/>
      <c r="K134"/>
    </row>
    <row r="135" spans="1:11" x14ac:dyDescent="0.3">
      <c r="A135" s="62" t="s">
        <v>585</v>
      </c>
      <c r="B135" s="62" t="s">
        <v>563</v>
      </c>
      <c r="C135" s="64"/>
      <c r="D135" s="68"/>
      <c r="E135" s="66">
        <f t="shared" si="2"/>
        <v>0</v>
      </c>
      <c r="I135"/>
      <c r="J135"/>
      <c r="K135"/>
    </row>
    <row r="136" spans="1:11" x14ac:dyDescent="0.3">
      <c r="A136" s="62" t="s">
        <v>558</v>
      </c>
      <c r="B136" s="62" t="s">
        <v>565</v>
      </c>
      <c r="C136" s="64"/>
      <c r="D136" s="68"/>
      <c r="E136" s="66">
        <f t="shared" si="2"/>
        <v>0</v>
      </c>
      <c r="I136"/>
      <c r="J136"/>
      <c r="K136"/>
    </row>
    <row r="137" spans="1:11" x14ac:dyDescent="0.3">
      <c r="A137" s="62" t="s">
        <v>110</v>
      </c>
      <c r="B137" s="62" t="s">
        <v>563</v>
      </c>
      <c r="C137" s="64">
        <v>4</v>
      </c>
      <c r="D137" s="68">
        <v>27000</v>
      </c>
      <c r="E137" s="66">
        <f t="shared" si="2"/>
        <v>108000</v>
      </c>
    </row>
    <row r="138" spans="1:11" x14ac:dyDescent="0.3">
      <c r="A138" s="62" t="s">
        <v>559</v>
      </c>
      <c r="B138" s="62" t="s">
        <v>563</v>
      </c>
      <c r="C138" s="64"/>
      <c r="D138" s="68"/>
      <c r="E138" s="66">
        <f t="shared" si="2"/>
        <v>0</v>
      </c>
      <c r="I138"/>
      <c r="J138"/>
      <c r="K138"/>
    </row>
    <row r="139" spans="1:11" x14ac:dyDescent="0.3">
      <c r="A139" s="62" t="s">
        <v>559</v>
      </c>
      <c r="B139" s="62" t="s">
        <v>566</v>
      </c>
      <c r="C139" s="64"/>
      <c r="D139" s="68"/>
      <c r="E139" s="66">
        <f t="shared" si="2"/>
        <v>0</v>
      </c>
      <c r="I139"/>
      <c r="J139"/>
      <c r="K139"/>
    </row>
    <row r="140" spans="1:11" x14ac:dyDescent="0.3">
      <c r="A140" s="62" t="s">
        <v>599</v>
      </c>
      <c r="B140" s="62" t="s">
        <v>566</v>
      </c>
      <c r="C140" s="64"/>
      <c r="D140" s="68"/>
      <c r="E140" s="66">
        <f t="shared" si="2"/>
        <v>0</v>
      </c>
      <c r="I140"/>
      <c r="J140"/>
      <c r="K140"/>
    </row>
    <row r="141" spans="1:11" x14ac:dyDescent="0.3">
      <c r="A141" s="62" t="s">
        <v>118</v>
      </c>
      <c r="B141" s="62" t="s">
        <v>571</v>
      </c>
      <c r="C141" s="64"/>
      <c r="D141" s="68"/>
      <c r="E141" s="66">
        <f t="shared" si="2"/>
        <v>0</v>
      </c>
      <c r="I141"/>
      <c r="J141"/>
      <c r="K141"/>
    </row>
    <row r="142" spans="1:11" x14ac:dyDescent="0.3">
      <c r="A142" s="62" t="s">
        <v>577</v>
      </c>
      <c r="B142" s="62" t="s">
        <v>566</v>
      </c>
      <c r="C142" s="64"/>
      <c r="D142" s="68"/>
      <c r="E142" s="66">
        <f t="shared" si="2"/>
        <v>0</v>
      </c>
      <c r="I142"/>
      <c r="J142"/>
      <c r="K142"/>
    </row>
    <row r="143" spans="1:11" x14ac:dyDescent="0.3">
      <c r="A143" s="62" t="s">
        <v>630</v>
      </c>
      <c r="B143" s="62" t="s">
        <v>570</v>
      </c>
      <c r="C143" s="64"/>
      <c r="D143" s="68"/>
      <c r="E143" s="66">
        <f t="shared" si="2"/>
        <v>0</v>
      </c>
      <c r="I143"/>
      <c r="J143"/>
      <c r="K143"/>
    </row>
    <row r="144" spans="1:11" x14ac:dyDescent="0.3">
      <c r="A144" s="62" t="s">
        <v>524</v>
      </c>
      <c r="B144" s="62" t="s">
        <v>563</v>
      </c>
      <c r="C144" s="64"/>
      <c r="D144" s="68"/>
      <c r="E144" s="66">
        <f t="shared" si="2"/>
        <v>0</v>
      </c>
      <c r="I144"/>
      <c r="J144"/>
      <c r="K144"/>
    </row>
    <row r="145" spans="1:11" x14ac:dyDescent="0.3">
      <c r="A145" s="62" t="s">
        <v>123</v>
      </c>
      <c r="B145" s="62" t="s">
        <v>563</v>
      </c>
      <c r="C145" s="64"/>
      <c r="D145" s="68"/>
      <c r="E145" s="66">
        <f t="shared" si="2"/>
        <v>0</v>
      </c>
      <c r="I145"/>
      <c r="J145"/>
      <c r="K145"/>
    </row>
    <row r="146" spans="1:11" x14ac:dyDescent="0.3">
      <c r="A146" s="62" t="s">
        <v>591</v>
      </c>
      <c r="B146" s="62" t="s">
        <v>563</v>
      </c>
      <c r="C146" s="64"/>
      <c r="D146" s="68"/>
      <c r="E146" s="66">
        <f t="shared" si="2"/>
        <v>0</v>
      </c>
      <c r="I146"/>
      <c r="J146"/>
      <c r="K146"/>
    </row>
    <row r="147" spans="1:11" x14ac:dyDescent="0.3">
      <c r="A147" s="62" t="s">
        <v>108</v>
      </c>
      <c r="B147" s="62" t="s">
        <v>566</v>
      </c>
      <c r="C147" s="64"/>
      <c r="D147" s="68"/>
      <c r="E147" s="66">
        <f t="shared" si="2"/>
        <v>0</v>
      </c>
      <c r="I147"/>
      <c r="J147"/>
      <c r="K147"/>
    </row>
    <row r="148" spans="1:11" x14ac:dyDescent="0.3">
      <c r="A148" s="62" t="s">
        <v>632</v>
      </c>
      <c r="B148" s="62" t="s">
        <v>563</v>
      </c>
      <c r="C148" s="64"/>
      <c r="D148" s="68"/>
      <c r="E148" s="66">
        <f t="shared" si="2"/>
        <v>0</v>
      </c>
      <c r="I148"/>
      <c r="J148"/>
      <c r="K148"/>
    </row>
    <row r="149" spans="1:11" x14ac:dyDescent="0.3">
      <c r="A149" s="62" t="s">
        <v>583</v>
      </c>
      <c r="B149" s="62" t="s">
        <v>566</v>
      </c>
      <c r="C149" s="64"/>
      <c r="D149" s="68"/>
      <c r="E149" s="66">
        <f t="shared" si="2"/>
        <v>0</v>
      </c>
      <c r="I149"/>
      <c r="J149"/>
      <c r="K149"/>
    </row>
    <row r="150" spans="1:11" x14ac:dyDescent="0.3">
      <c r="A150" s="62" t="s">
        <v>610</v>
      </c>
      <c r="B150" s="62" t="s">
        <v>563</v>
      </c>
      <c r="C150" s="64"/>
      <c r="D150" s="68"/>
      <c r="E150" s="66">
        <f t="shared" si="2"/>
        <v>0</v>
      </c>
      <c r="I150"/>
      <c r="J150"/>
      <c r="K150"/>
    </row>
    <row r="151" spans="1:11" x14ac:dyDescent="0.3">
      <c r="A151" s="62" t="e">
        <v>#N/A</v>
      </c>
      <c r="B151" s="62">
        <v>0</v>
      </c>
      <c r="C151" s="64"/>
      <c r="D151" s="68"/>
      <c r="E151" s="66">
        <f t="shared" si="2"/>
        <v>0</v>
      </c>
      <c r="I151"/>
      <c r="J151"/>
      <c r="K151"/>
    </row>
    <row r="152" spans="1:11" x14ac:dyDescent="0.3">
      <c r="A152" s="89" t="s">
        <v>631</v>
      </c>
      <c r="B152" s="89" t="s">
        <v>563</v>
      </c>
      <c r="C152" s="90">
        <v>55</v>
      </c>
      <c r="D152" s="91">
        <v>70000</v>
      </c>
      <c r="E152" s="66">
        <f t="shared" si="2"/>
        <v>3850000</v>
      </c>
    </row>
    <row r="153" spans="1:11" x14ac:dyDescent="0.3">
      <c r="A153" s="89" t="s">
        <v>552</v>
      </c>
      <c r="B153" s="89" t="s">
        <v>563</v>
      </c>
      <c r="C153" s="90">
        <v>30</v>
      </c>
      <c r="D153" s="91">
        <v>10000</v>
      </c>
      <c r="E153" s="66">
        <f t="shared" si="2"/>
        <v>300000</v>
      </c>
    </row>
    <row r="154" spans="1:11" x14ac:dyDescent="0.3">
      <c r="A154" s="89" t="s">
        <v>553</v>
      </c>
      <c r="B154" s="89" t="s">
        <v>563</v>
      </c>
      <c r="C154" s="90">
        <v>60</v>
      </c>
      <c r="D154" s="91">
        <v>18000</v>
      </c>
      <c r="E154" s="66">
        <f t="shared" si="2"/>
        <v>1080000</v>
      </c>
    </row>
    <row r="155" spans="1:11" x14ac:dyDescent="0.3">
      <c r="A155" s="89" t="s">
        <v>642</v>
      </c>
      <c r="B155" s="89" t="s">
        <v>563</v>
      </c>
      <c r="C155" s="90">
        <v>119</v>
      </c>
      <c r="D155" s="91">
        <v>210000</v>
      </c>
      <c r="E155" s="66">
        <f t="shared" si="2"/>
        <v>24990000</v>
      </c>
      <c r="I155"/>
      <c r="J155"/>
      <c r="K155"/>
    </row>
    <row r="156" spans="1:11" x14ac:dyDescent="0.3">
      <c r="A156" s="89"/>
      <c r="B156" s="89"/>
      <c r="C156" s="90"/>
      <c r="D156" s="91"/>
      <c r="E156" s="66">
        <f t="shared" si="2"/>
        <v>0</v>
      </c>
      <c r="I156"/>
      <c r="J156"/>
      <c r="K156"/>
    </row>
    <row r="157" spans="1:11" x14ac:dyDescent="0.3">
      <c r="E157" s="66">
        <f t="shared" si="2"/>
        <v>0</v>
      </c>
      <c r="I157"/>
      <c r="J157"/>
      <c r="K157"/>
    </row>
    <row r="158" spans="1:11" x14ac:dyDescent="0.3">
      <c r="E158" s="66">
        <f>SUM(E4:E157)</f>
        <v>183948000</v>
      </c>
      <c r="F158">
        <v>132169600</v>
      </c>
      <c r="G158" s="83">
        <f>+E158-F158</f>
        <v>51778400</v>
      </c>
    </row>
    <row r="159" spans="1:11" x14ac:dyDescent="0.3">
      <c r="E159" s="66"/>
    </row>
    <row r="160" spans="1:11" x14ac:dyDescent="0.3">
      <c r="A160" t="s">
        <v>0</v>
      </c>
      <c r="B160" t="s">
        <v>562</v>
      </c>
      <c r="C160" t="s">
        <v>544</v>
      </c>
      <c r="D160" t="s">
        <v>590</v>
      </c>
      <c r="E160" s="66" t="s">
        <v>129</v>
      </c>
    </row>
    <row r="161" spans="1:11" x14ac:dyDescent="0.3">
      <c r="A161" t="s">
        <v>1</v>
      </c>
      <c r="B161" t="s">
        <v>563</v>
      </c>
      <c r="E161" s="66">
        <f t="shared" si="2"/>
        <v>0</v>
      </c>
      <c r="I161"/>
      <c r="J161"/>
      <c r="K161"/>
    </row>
    <row r="162" spans="1:11" x14ac:dyDescent="0.3">
      <c r="A162" t="s">
        <v>117</v>
      </c>
      <c r="B162" t="s">
        <v>564</v>
      </c>
      <c r="E162" s="66">
        <f t="shared" si="2"/>
        <v>0</v>
      </c>
      <c r="I162"/>
      <c r="J162"/>
      <c r="K162"/>
    </row>
    <row r="163" spans="1:11" x14ac:dyDescent="0.3">
      <c r="A163" t="s">
        <v>5</v>
      </c>
      <c r="B163" t="s">
        <v>563</v>
      </c>
      <c r="E163" s="66">
        <f t="shared" si="2"/>
        <v>0</v>
      </c>
      <c r="G163" s="83">
        <f>+E158+E205</f>
        <v>206595000</v>
      </c>
      <c r="I163"/>
      <c r="J163"/>
      <c r="K163"/>
    </row>
    <row r="164" spans="1:11" x14ac:dyDescent="0.3">
      <c r="A164" t="s">
        <v>6</v>
      </c>
      <c r="B164" t="s">
        <v>563</v>
      </c>
      <c r="E164" s="66">
        <f t="shared" si="2"/>
        <v>0</v>
      </c>
      <c r="I164"/>
      <c r="J164"/>
      <c r="K164"/>
    </row>
    <row r="165" spans="1:11" x14ac:dyDescent="0.3">
      <c r="A165" t="s">
        <v>8</v>
      </c>
      <c r="B165" t="s">
        <v>563</v>
      </c>
      <c r="E165" s="66">
        <f t="shared" si="2"/>
        <v>0</v>
      </c>
      <c r="I165"/>
      <c r="J165"/>
      <c r="K165"/>
    </row>
    <row r="166" spans="1:11" x14ac:dyDescent="0.3">
      <c r="A166" t="s">
        <v>119</v>
      </c>
      <c r="B166" t="s">
        <v>566</v>
      </c>
      <c r="E166" s="66">
        <f t="shared" si="2"/>
        <v>0</v>
      </c>
      <c r="I166"/>
      <c r="J166"/>
      <c r="K166"/>
    </row>
    <row r="167" spans="1:11" x14ac:dyDescent="0.3">
      <c r="A167" t="s">
        <v>12</v>
      </c>
      <c r="B167" t="s">
        <v>563</v>
      </c>
      <c r="E167" s="66">
        <f t="shared" si="2"/>
        <v>0</v>
      </c>
      <c r="I167"/>
      <c r="J167"/>
      <c r="K167"/>
    </row>
    <row r="168" spans="1:11" x14ac:dyDescent="0.3">
      <c r="A168" t="s">
        <v>14</v>
      </c>
      <c r="B168" t="s">
        <v>566</v>
      </c>
      <c r="C168">
        <v>36</v>
      </c>
      <c r="D168">
        <v>12000</v>
      </c>
      <c r="E168" s="66">
        <f t="shared" si="2"/>
        <v>432000</v>
      </c>
    </row>
    <row r="169" spans="1:11" x14ac:dyDescent="0.3">
      <c r="A169" t="s">
        <v>15</v>
      </c>
      <c r="B169" t="s">
        <v>563</v>
      </c>
      <c r="E169" s="66">
        <f t="shared" si="2"/>
        <v>0</v>
      </c>
      <c r="I169"/>
      <c r="J169"/>
      <c r="K169"/>
    </row>
    <row r="170" spans="1:11" x14ac:dyDescent="0.3">
      <c r="A170" t="s">
        <v>16</v>
      </c>
      <c r="B170" t="s">
        <v>563</v>
      </c>
      <c r="E170" s="66">
        <f t="shared" si="2"/>
        <v>0</v>
      </c>
      <c r="I170"/>
      <c r="J170"/>
      <c r="K170"/>
    </row>
    <row r="171" spans="1:11" x14ac:dyDescent="0.3">
      <c r="A171" t="s">
        <v>110</v>
      </c>
      <c r="B171" t="s">
        <v>563</v>
      </c>
      <c r="E171" s="66">
        <f t="shared" si="2"/>
        <v>0</v>
      </c>
      <c r="I171"/>
      <c r="J171"/>
      <c r="K171"/>
    </row>
    <row r="172" spans="1:11" x14ac:dyDescent="0.3">
      <c r="A172" t="s">
        <v>17</v>
      </c>
      <c r="B172" t="s">
        <v>563</v>
      </c>
      <c r="E172" s="66">
        <f t="shared" si="2"/>
        <v>0</v>
      </c>
      <c r="I172"/>
      <c r="J172"/>
      <c r="K172"/>
    </row>
    <row r="173" spans="1:11" x14ac:dyDescent="0.3">
      <c r="A173" t="s">
        <v>21</v>
      </c>
      <c r="B173" t="s">
        <v>563</v>
      </c>
      <c r="E173" s="66">
        <f t="shared" si="2"/>
        <v>0</v>
      </c>
      <c r="I173"/>
      <c r="J173"/>
      <c r="K173"/>
    </row>
    <row r="174" spans="1:11" x14ac:dyDescent="0.3">
      <c r="A174" t="s">
        <v>22</v>
      </c>
      <c r="B174" t="s">
        <v>563</v>
      </c>
      <c r="E174" s="66">
        <f t="shared" si="2"/>
        <v>0</v>
      </c>
      <c r="I174"/>
      <c r="J174"/>
      <c r="K174"/>
    </row>
    <row r="175" spans="1:11" x14ac:dyDescent="0.3">
      <c r="A175" t="s">
        <v>23</v>
      </c>
      <c r="B175" t="s">
        <v>563</v>
      </c>
      <c r="C175">
        <v>600</v>
      </c>
      <c r="D175">
        <v>7500</v>
      </c>
      <c r="E175" s="66">
        <f t="shared" si="2"/>
        <v>4500000</v>
      </c>
    </row>
    <row r="176" spans="1:11" x14ac:dyDescent="0.3">
      <c r="A176" t="s">
        <v>27</v>
      </c>
      <c r="B176" t="s">
        <v>563</v>
      </c>
      <c r="E176" s="66">
        <f t="shared" si="2"/>
        <v>0</v>
      </c>
      <c r="I176"/>
      <c r="J176"/>
      <c r="K176"/>
    </row>
    <row r="177" spans="1:11" x14ac:dyDescent="0.3">
      <c r="A177" t="s">
        <v>28</v>
      </c>
      <c r="B177" t="s">
        <v>563</v>
      </c>
      <c r="E177" s="66">
        <f t="shared" si="2"/>
        <v>0</v>
      </c>
      <c r="I177"/>
      <c r="J177"/>
      <c r="K177"/>
    </row>
    <row r="178" spans="1:11" x14ac:dyDescent="0.3">
      <c r="A178" t="s">
        <v>29</v>
      </c>
      <c r="B178" t="s">
        <v>563</v>
      </c>
      <c r="E178" s="66">
        <f t="shared" si="2"/>
        <v>0</v>
      </c>
      <c r="I178"/>
      <c r="J178"/>
      <c r="K178"/>
    </row>
    <row r="179" spans="1:11" x14ac:dyDescent="0.3">
      <c r="A179" t="s">
        <v>39</v>
      </c>
      <c r="B179" t="s">
        <v>568</v>
      </c>
      <c r="E179" s="66">
        <f t="shared" si="2"/>
        <v>0</v>
      </c>
      <c r="I179"/>
      <c r="J179"/>
      <c r="K179"/>
    </row>
    <row r="180" spans="1:11" x14ac:dyDescent="0.3">
      <c r="A180" t="s">
        <v>41</v>
      </c>
      <c r="B180" t="s">
        <v>568</v>
      </c>
      <c r="E180" s="66">
        <f t="shared" si="2"/>
        <v>0</v>
      </c>
      <c r="I180"/>
      <c r="J180"/>
      <c r="K180"/>
    </row>
    <row r="181" spans="1:11" x14ac:dyDescent="0.3">
      <c r="A181" t="s">
        <v>46</v>
      </c>
      <c r="B181" t="s">
        <v>568</v>
      </c>
      <c r="E181" s="66">
        <f t="shared" si="2"/>
        <v>0</v>
      </c>
      <c r="I181"/>
      <c r="J181"/>
      <c r="K181"/>
    </row>
    <row r="182" spans="1:11" x14ac:dyDescent="0.3">
      <c r="A182" t="s">
        <v>48</v>
      </c>
      <c r="B182" t="s">
        <v>563</v>
      </c>
      <c r="C182">
        <v>35</v>
      </c>
      <c r="D182">
        <v>10000</v>
      </c>
      <c r="E182" s="66">
        <f t="shared" si="2"/>
        <v>350000</v>
      </c>
    </row>
    <row r="183" spans="1:11" x14ac:dyDescent="0.3">
      <c r="A183" t="s">
        <v>50</v>
      </c>
      <c r="B183" t="s">
        <v>563</v>
      </c>
      <c r="C183">
        <v>370</v>
      </c>
      <c r="D183">
        <v>7000</v>
      </c>
      <c r="E183" s="66">
        <f t="shared" si="2"/>
        <v>2590000</v>
      </c>
    </row>
    <row r="184" spans="1:11" x14ac:dyDescent="0.3">
      <c r="A184" t="s">
        <v>51</v>
      </c>
      <c r="B184" t="s">
        <v>563</v>
      </c>
      <c r="E184" s="66">
        <f t="shared" si="2"/>
        <v>0</v>
      </c>
      <c r="I184"/>
      <c r="J184"/>
      <c r="K184"/>
    </row>
    <row r="185" spans="1:11" x14ac:dyDescent="0.3">
      <c r="A185" t="s">
        <v>53</v>
      </c>
      <c r="B185" t="s">
        <v>563</v>
      </c>
      <c r="C185">
        <v>80</v>
      </c>
      <c r="D185">
        <v>22000</v>
      </c>
      <c r="E185" s="66">
        <f t="shared" si="2"/>
        <v>1760000</v>
      </c>
    </row>
    <row r="186" spans="1:11" x14ac:dyDescent="0.3">
      <c r="A186" t="s">
        <v>56</v>
      </c>
      <c r="B186" t="s">
        <v>565</v>
      </c>
      <c r="E186" s="66">
        <f t="shared" si="2"/>
        <v>0</v>
      </c>
      <c r="I186"/>
      <c r="J186"/>
      <c r="K186"/>
    </row>
    <row r="187" spans="1:11" x14ac:dyDescent="0.3">
      <c r="A187" t="s">
        <v>60</v>
      </c>
      <c r="B187" t="s">
        <v>563</v>
      </c>
      <c r="C187">
        <v>450</v>
      </c>
      <c r="D187">
        <v>19000</v>
      </c>
      <c r="E187" s="66">
        <f t="shared" si="2"/>
        <v>8550000</v>
      </c>
    </row>
    <row r="188" spans="1:11" x14ac:dyDescent="0.3">
      <c r="A188" t="s">
        <v>62</v>
      </c>
      <c r="B188" t="s">
        <v>563</v>
      </c>
      <c r="E188" s="66">
        <f t="shared" si="2"/>
        <v>0</v>
      </c>
      <c r="I188"/>
      <c r="J188"/>
      <c r="K188"/>
    </row>
    <row r="189" spans="1:11" x14ac:dyDescent="0.3">
      <c r="A189" t="s">
        <v>67</v>
      </c>
      <c r="B189" t="s">
        <v>566</v>
      </c>
      <c r="E189" s="66">
        <f t="shared" si="2"/>
        <v>0</v>
      </c>
      <c r="I189"/>
      <c r="J189"/>
      <c r="K189"/>
    </row>
    <row r="190" spans="1:11" x14ac:dyDescent="0.3">
      <c r="A190" t="s">
        <v>68</v>
      </c>
      <c r="B190" t="s">
        <v>566</v>
      </c>
      <c r="C190">
        <v>15</v>
      </c>
      <c r="D190">
        <v>11000</v>
      </c>
      <c r="E190" s="66">
        <f t="shared" si="2"/>
        <v>165000</v>
      </c>
    </row>
    <row r="191" spans="1:11" x14ac:dyDescent="0.3">
      <c r="A191" t="s">
        <v>72</v>
      </c>
      <c r="B191" t="s">
        <v>564</v>
      </c>
      <c r="C191">
        <v>140</v>
      </c>
      <c r="D191">
        <v>11000</v>
      </c>
      <c r="E191" s="66">
        <f t="shared" si="2"/>
        <v>1540000</v>
      </c>
    </row>
    <row r="192" spans="1:11" x14ac:dyDescent="0.3">
      <c r="A192" t="s">
        <v>76</v>
      </c>
      <c r="B192" t="s">
        <v>563</v>
      </c>
      <c r="E192" s="66">
        <f t="shared" si="2"/>
        <v>0</v>
      </c>
      <c r="I192"/>
      <c r="J192"/>
      <c r="K192"/>
    </row>
    <row r="193" spans="1:11" x14ac:dyDescent="0.3">
      <c r="A193" t="s">
        <v>78</v>
      </c>
      <c r="B193" t="s">
        <v>563</v>
      </c>
      <c r="E193" s="66">
        <f t="shared" si="2"/>
        <v>0</v>
      </c>
      <c r="I193"/>
      <c r="J193"/>
      <c r="K193"/>
    </row>
    <row r="194" spans="1:11" x14ac:dyDescent="0.3">
      <c r="A194" t="s">
        <v>79</v>
      </c>
      <c r="B194" t="s">
        <v>563</v>
      </c>
      <c r="E194" s="66">
        <f t="shared" si="2"/>
        <v>0</v>
      </c>
      <c r="I194"/>
      <c r="J194"/>
      <c r="K194"/>
    </row>
    <row r="195" spans="1:11" x14ac:dyDescent="0.3">
      <c r="A195" t="s">
        <v>82</v>
      </c>
      <c r="B195" t="s">
        <v>563</v>
      </c>
      <c r="C195">
        <v>140</v>
      </c>
      <c r="D195">
        <v>12000</v>
      </c>
      <c r="E195" s="66">
        <f t="shared" si="2"/>
        <v>1680000</v>
      </c>
    </row>
    <row r="196" spans="1:11" x14ac:dyDescent="0.3">
      <c r="A196" t="s">
        <v>87</v>
      </c>
      <c r="B196" t="s">
        <v>563</v>
      </c>
      <c r="C196">
        <v>90</v>
      </c>
      <c r="D196">
        <v>12000</v>
      </c>
      <c r="E196" s="66">
        <f t="shared" si="2"/>
        <v>1080000</v>
      </c>
    </row>
    <row r="197" spans="1:11" x14ac:dyDescent="0.3">
      <c r="A197" t="s">
        <v>120</v>
      </c>
      <c r="B197" t="s">
        <v>563</v>
      </c>
      <c r="E197" s="66">
        <f t="shared" si="2"/>
        <v>0</v>
      </c>
      <c r="I197"/>
      <c r="J197"/>
      <c r="K197"/>
    </row>
    <row r="198" spans="1:11" x14ac:dyDescent="0.3">
      <c r="A198" t="s">
        <v>109</v>
      </c>
      <c r="B198" t="s">
        <v>563</v>
      </c>
      <c r="E198" s="66">
        <f t="shared" ref="E198:E204" si="3">C198*D198</f>
        <v>0</v>
      </c>
      <c r="I198"/>
      <c r="J198"/>
      <c r="K198"/>
    </row>
    <row r="199" spans="1:11" x14ac:dyDescent="0.3">
      <c r="A199" t="s">
        <v>121</v>
      </c>
      <c r="B199" t="s">
        <v>563</v>
      </c>
      <c r="E199" s="66">
        <f t="shared" si="3"/>
        <v>0</v>
      </c>
      <c r="I199"/>
      <c r="J199"/>
      <c r="K199"/>
    </row>
    <row r="200" spans="1:11" x14ac:dyDescent="0.3">
      <c r="A200" t="s">
        <v>111</v>
      </c>
      <c r="B200" t="s">
        <v>563</v>
      </c>
      <c r="E200" s="66">
        <f t="shared" si="3"/>
        <v>0</v>
      </c>
      <c r="I200"/>
      <c r="J200"/>
      <c r="K200"/>
    </row>
    <row r="201" spans="1:11" x14ac:dyDescent="0.3">
      <c r="A201" t="s">
        <v>122</v>
      </c>
      <c r="B201" t="s">
        <v>563</v>
      </c>
      <c r="E201" s="66">
        <f t="shared" si="3"/>
        <v>0</v>
      </c>
      <c r="I201"/>
      <c r="J201"/>
      <c r="K201"/>
    </row>
    <row r="202" spans="1:11" x14ac:dyDescent="0.3">
      <c r="A202" t="s">
        <v>92</v>
      </c>
      <c r="B202" t="s">
        <v>563</v>
      </c>
      <c r="E202" s="66">
        <f t="shared" si="3"/>
        <v>0</v>
      </c>
      <c r="I202"/>
      <c r="J202"/>
      <c r="K202"/>
    </row>
    <row r="203" spans="1:11" x14ac:dyDescent="0.3">
      <c r="A203" t="s">
        <v>125</v>
      </c>
      <c r="B203" t="s">
        <v>563</v>
      </c>
      <c r="E203" s="66">
        <f t="shared" si="3"/>
        <v>0</v>
      </c>
      <c r="I203"/>
      <c r="J203"/>
      <c r="K203"/>
    </row>
    <row r="204" spans="1:11" x14ac:dyDescent="0.3">
      <c r="A204" t="e">
        <v>#N/A</v>
      </c>
      <c r="B204">
        <v>0</v>
      </c>
      <c r="E204" s="66">
        <f t="shared" si="3"/>
        <v>0</v>
      </c>
      <c r="I204"/>
      <c r="J204"/>
      <c r="K204"/>
    </row>
    <row r="205" spans="1:11" x14ac:dyDescent="0.3">
      <c r="E205" s="83">
        <f>SUM(E168:E196)</f>
        <v>22647000</v>
      </c>
    </row>
    <row r="206" spans="1:11" x14ac:dyDescent="0.3">
      <c r="E206" s="161">
        <f>SUM(E205,E158)</f>
        <v>206595000</v>
      </c>
      <c r="I206" s="104" t="s">
        <v>634</v>
      </c>
      <c r="J206" s="104" t="s">
        <v>635</v>
      </c>
      <c r="K206" s="104" t="s">
        <v>636</v>
      </c>
    </row>
    <row r="207" spans="1:11" x14ac:dyDescent="0.3">
      <c r="H207" t="s">
        <v>638</v>
      </c>
      <c r="K207" s="104">
        <v>9476104796</v>
      </c>
    </row>
    <row r="208" spans="1:11" x14ac:dyDescent="0.3">
      <c r="H208" t="s">
        <v>639</v>
      </c>
      <c r="I208" s="104">
        <v>114480500</v>
      </c>
      <c r="J208" s="104">
        <v>143401000</v>
      </c>
      <c r="K208" s="104">
        <f>J208+I208</f>
        <v>257881500</v>
      </c>
    </row>
    <row r="209" spans="8:11" x14ac:dyDescent="0.3">
      <c r="H209" t="s">
        <v>640</v>
      </c>
      <c r="I209" s="104">
        <v>90354101.733333334</v>
      </c>
      <c r="J209" s="104">
        <f>E158+E205</f>
        <v>206595000</v>
      </c>
      <c r="K209" s="104">
        <f>J209+I209</f>
        <v>296949101.73333335</v>
      </c>
    </row>
    <row r="211" spans="8:11" x14ac:dyDescent="0.3">
      <c r="H211" t="s">
        <v>637</v>
      </c>
      <c r="K211" s="104">
        <f>K207+K208-K209</f>
        <v>9437037194.2666664</v>
      </c>
    </row>
  </sheetData>
  <pageMargins left="0.7" right="0.7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1.9</vt:lpstr>
      <vt:lpstr>2.9</vt:lpstr>
      <vt:lpstr>3.9</vt:lpstr>
      <vt:lpstr>4.9</vt:lpstr>
      <vt:lpstr>5.9</vt:lpstr>
      <vt:lpstr>6.9</vt:lpstr>
      <vt:lpstr>7.9</vt:lpstr>
      <vt:lpstr>8.9</vt:lpstr>
      <vt:lpstr>9.9</vt:lpstr>
      <vt:lpstr>10.9</vt:lpstr>
      <vt:lpstr>11.9</vt:lpstr>
      <vt:lpstr>12.9</vt:lpstr>
      <vt:lpstr>13.9</vt:lpstr>
      <vt:lpstr>14.9</vt:lpstr>
      <vt:lpstr>15.9</vt:lpstr>
      <vt:lpstr>16.9</vt:lpstr>
      <vt:lpstr>17.9</vt:lpstr>
      <vt:lpstr>18.9</vt:lpstr>
      <vt:lpstr>19.9</vt:lpstr>
      <vt:lpstr>20.9</vt:lpstr>
      <vt:lpstr>21.9</vt:lpstr>
      <vt:lpstr>22.9</vt:lpstr>
      <vt:lpstr>23.9</vt:lpstr>
      <vt:lpstr>24.9</vt:lpstr>
      <vt:lpstr>25.9</vt:lpstr>
      <vt:lpstr>26.9</vt:lpstr>
      <vt:lpstr>27.9</vt:lpstr>
      <vt:lpstr>28.9</vt:lpstr>
      <vt:lpstr>29.9</vt:lpstr>
      <vt:lpstr>30.9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cp:lastPrinted>2024-10-09T06:47:54Z</cp:lastPrinted>
  <dcterms:created xsi:type="dcterms:W3CDTF">2024-09-02T04:39:20Z</dcterms:created>
  <dcterms:modified xsi:type="dcterms:W3CDTF">2024-10-18T07:52:47Z</dcterms:modified>
</cp:coreProperties>
</file>