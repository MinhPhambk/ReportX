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2.VEGA\#VƯỜN RAU ĐÀ LẠT\_BÁO CÁO CHUNG\03. GIÁ TRỊ HÀNG TỒN KHO\2025\"/>
    </mc:Choice>
  </mc:AlternateContent>
  <xr:revisionPtr revIDLastSave="0" documentId="13_ncr:1_{8B5D3F9C-B3C5-42CF-BFA6-EF798DC53105}" xr6:coauthVersionLast="47" xr6:coauthVersionMax="47" xr10:uidLastSave="{00000000-0000-0000-0000-000000000000}"/>
  <bookViews>
    <workbookView xWindow="-108" yWindow="-108" windowWidth="23256" windowHeight="12456" firstSheet="17" activeTab="30" xr2:uid="{00000000-000D-0000-FFFF-FFFF00000000}"/>
  </bookViews>
  <sheets>
    <sheet name="1.3" sheetId="1" r:id="rId1"/>
    <sheet name="2.3" sheetId="2" r:id="rId2"/>
    <sheet name="3.3" sheetId="3" r:id="rId3"/>
    <sheet name="4.3" sheetId="4" r:id="rId4"/>
    <sheet name="5.3" sheetId="5" r:id="rId5"/>
    <sheet name="6.3" sheetId="6" r:id="rId6"/>
    <sheet name="7.3" sheetId="7" r:id="rId7"/>
    <sheet name="8.3" sheetId="8" r:id="rId8"/>
    <sheet name="9.3" sheetId="9" r:id="rId9"/>
    <sheet name="10.3" sheetId="10" r:id="rId10"/>
    <sheet name="11.3" sheetId="11" r:id="rId11"/>
    <sheet name="12.3" sheetId="12" r:id="rId12"/>
    <sheet name="13.3" sheetId="13" r:id="rId13"/>
    <sheet name="14.3" sheetId="14" r:id="rId14"/>
    <sheet name="15.3" sheetId="15" r:id="rId15"/>
    <sheet name="16.3" sheetId="16" r:id="rId16"/>
    <sheet name="17.3" sheetId="17" r:id="rId17"/>
    <sheet name="18.3" sheetId="18" r:id="rId18"/>
    <sheet name="19.3" sheetId="19" r:id="rId19"/>
    <sheet name="20.3" sheetId="20" r:id="rId20"/>
    <sheet name="21.3" sheetId="21" r:id="rId21"/>
    <sheet name="22.3" sheetId="22" r:id="rId22"/>
    <sheet name="23.3" sheetId="23" r:id="rId23"/>
    <sheet name="24.3" sheetId="24" r:id="rId24"/>
    <sheet name="25.3" sheetId="25" r:id="rId25"/>
    <sheet name="26.3" sheetId="26" r:id="rId26"/>
    <sheet name="27.3" sheetId="27" r:id="rId27"/>
    <sheet name="28.3" sheetId="28" r:id="rId28"/>
    <sheet name="29.3" sheetId="29" r:id="rId29"/>
    <sheet name="30.3" sheetId="30" r:id="rId30"/>
    <sheet name="31.3" sheetId="31" r:id="rId31"/>
  </sheets>
  <definedNames>
    <definedName name="_xlnm._FilterDatabase" localSheetId="0" hidden="1">'1.3'!$A$2:$E$110</definedName>
    <definedName name="_xlnm._FilterDatabase" localSheetId="9" hidden="1">'10.3'!$A$2:$E$113</definedName>
    <definedName name="_xlnm._FilterDatabase" localSheetId="10" hidden="1">'11.3'!$A$2:$E$116</definedName>
    <definedName name="_xlnm._FilterDatabase" localSheetId="11" hidden="1">'12.3'!$A$2:$E$103</definedName>
    <definedName name="_xlnm._FilterDatabase" localSheetId="12" hidden="1">'13.3'!$A$2:$E$119</definedName>
    <definedName name="_xlnm._FilterDatabase" localSheetId="13" hidden="1">'14.3'!$A$2:$E$108</definedName>
    <definedName name="_xlnm._FilterDatabase" localSheetId="14" hidden="1">'15.3'!$A$2:$E$108</definedName>
    <definedName name="_xlnm._FilterDatabase" localSheetId="15" hidden="1">'16.3'!$A$2:$E$119</definedName>
    <definedName name="_xlnm._FilterDatabase" localSheetId="16" hidden="1">'17.3'!$A$2:$E$106</definedName>
    <definedName name="_xlnm._FilterDatabase" localSheetId="17" hidden="1">'18.3'!$A$2:$E$120</definedName>
    <definedName name="_xlnm._FilterDatabase" localSheetId="18" hidden="1">'19.3'!$A$2:$E$118</definedName>
    <definedName name="_xlnm._FilterDatabase" localSheetId="1" hidden="1">'2.3'!$A$2:$E$123</definedName>
    <definedName name="_xlnm._FilterDatabase" localSheetId="19" hidden="1">'20.3'!$A$3:$O$114</definedName>
    <definedName name="_xlnm._FilterDatabase" localSheetId="20" hidden="1">'21.3'!$A$2:$E$104</definedName>
    <definedName name="_xlnm._FilterDatabase" localSheetId="21" hidden="1">'22.3'!$A$1:$CT$111</definedName>
    <definedName name="_xlnm._FilterDatabase" localSheetId="22" hidden="1">'23.3'!$A$2:$E$117</definedName>
    <definedName name="_xlnm._FilterDatabase" localSheetId="23" hidden="1">'24.3'!$A$1:$CT$115</definedName>
    <definedName name="_xlnm._FilterDatabase" localSheetId="24" hidden="1">'25.3'!$A$2:$E$119</definedName>
    <definedName name="_xlnm._FilterDatabase" localSheetId="25" hidden="1">'26.3'!$A$2:$E$108</definedName>
    <definedName name="_xlnm._FilterDatabase" localSheetId="26" hidden="1">'27.3'!$A$2:$E$122</definedName>
    <definedName name="_xlnm._FilterDatabase" localSheetId="27" hidden="1">'28.3'!$A$2:$E$105</definedName>
    <definedName name="_xlnm._FilterDatabase" localSheetId="28" hidden="1">'29.3'!$A$2:$E$105</definedName>
    <definedName name="_xlnm._FilterDatabase" localSheetId="2" hidden="1">'3.3'!$A$3:$E$105</definedName>
    <definedName name="_xlnm._FilterDatabase" localSheetId="29" hidden="1">'30.3'!$A$2:$E$119</definedName>
    <definedName name="_xlnm._FilterDatabase" localSheetId="30" hidden="1">'31.3'!$A$1:$O$113</definedName>
    <definedName name="_xlnm._FilterDatabase" localSheetId="3" hidden="1">'4.3'!$A$2:$E$121</definedName>
    <definedName name="_xlnm._FilterDatabase" localSheetId="4" hidden="1">'5.3'!$A$2:$E$115</definedName>
    <definedName name="_xlnm._FilterDatabase" localSheetId="5" hidden="1">'6.3'!$A$2:$E$117</definedName>
    <definedName name="_xlnm._FilterDatabase" localSheetId="6" hidden="1">'7.3'!$A$2:$E$114</definedName>
    <definedName name="_xlnm._FilterDatabase" localSheetId="7" hidden="1">'8.3'!$A$2:$E$107</definedName>
    <definedName name="_xlnm._FilterDatabase" localSheetId="8" hidden="1">'9.3'!$A$2:$F$119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" i="24" l="1"/>
  <c r="H113" i="31"/>
  <c r="H7" i="31"/>
  <c r="H9" i="31"/>
  <c r="H10" i="31"/>
  <c r="H11" i="31"/>
  <c r="H17" i="31"/>
  <c r="H20" i="31"/>
  <c r="H25" i="31"/>
  <c r="H26" i="31"/>
  <c r="H30" i="31"/>
  <c r="H33" i="31"/>
  <c r="H34" i="31"/>
  <c r="H40" i="31"/>
  <c r="H41" i="31"/>
  <c r="H42" i="31"/>
  <c r="H47" i="31"/>
  <c r="H49" i="31"/>
  <c r="H50" i="31"/>
  <c r="H55" i="31"/>
  <c r="H57" i="31"/>
  <c r="H65" i="31"/>
  <c r="H66" i="31"/>
  <c r="H71" i="31"/>
  <c r="H73" i="31"/>
  <c r="H74" i="31"/>
  <c r="H76" i="31"/>
  <c r="H79" i="31"/>
  <c r="H81" i="31"/>
  <c r="H82" i="31"/>
  <c r="H87" i="31"/>
  <c r="H88" i="31"/>
  <c r="H89" i="31"/>
  <c r="H90" i="31"/>
  <c r="H91" i="31"/>
  <c r="H92" i="31"/>
  <c r="H97" i="31"/>
  <c r="H98" i="31"/>
  <c r="H100" i="31"/>
  <c r="H102" i="31"/>
  <c r="H104" i="31"/>
  <c r="H105" i="31"/>
  <c r="H106" i="31"/>
  <c r="H107" i="31"/>
  <c r="H108" i="31"/>
  <c r="H111" i="31"/>
  <c r="H112" i="31"/>
  <c r="H2" i="31"/>
  <c r="H3" i="31"/>
  <c r="H4" i="31"/>
  <c r="H5" i="31"/>
  <c r="H6" i="31"/>
  <c r="H8" i="31"/>
  <c r="H12" i="31"/>
  <c r="H13" i="31"/>
  <c r="H14" i="31"/>
  <c r="H15" i="31"/>
  <c r="H16" i="31"/>
  <c r="H18" i="31"/>
  <c r="H19" i="31"/>
  <c r="H21" i="31"/>
  <c r="H22" i="31"/>
  <c r="H23" i="31"/>
  <c r="H24" i="31"/>
  <c r="H27" i="31"/>
  <c r="H28" i="31"/>
  <c r="H29" i="31"/>
  <c r="H31" i="31"/>
  <c r="H32" i="31"/>
  <c r="H35" i="31"/>
  <c r="H36" i="31"/>
  <c r="H37" i="31"/>
  <c r="H38" i="31"/>
  <c r="H39" i="31"/>
  <c r="H43" i="31"/>
  <c r="H44" i="31"/>
  <c r="H45" i="31"/>
  <c r="H46" i="31"/>
  <c r="H48" i="31"/>
  <c r="H51" i="31"/>
  <c r="H52" i="31"/>
  <c r="H53" i="31"/>
  <c r="H54" i="31"/>
  <c r="H56" i="31"/>
  <c r="H58" i="31"/>
  <c r="H59" i="31"/>
  <c r="H60" i="31"/>
  <c r="H61" i="31"/>
  <c r="H62" i="31"/>
  <c r="H63" i="31"/>
  <c r="H64" i="31"/>
  <c r="H67" i="31"/>
  <c r="H68" i="31"/>
  <c r="H69" i="31"/>
  <c r="H70" i="31"/>
  <c r="H72" i="31"/>
  <c r="H75" i="31"/>
  <c r="H77" i="31"/>
  <c r="H78" i="31"/>
  <c r="H80" i="31"/>
  <c r="H83" i="31"/>
  <c r="H84" i="31"/>
  <c r="H85" i="31"/>
  <c r="H86" i="31"/>
  <c r="H93" i="31"/>
  <c r="H94" i="31"/>
  <c r="H95" i="31"/>
  <c r="H96" i="31"/>
  <c r="H99" i="31"/>
  <c r="H101" i="31"/>
  <c r="H103" i="31"/>
  <c r="H109" i="31"/>
  <c r="H110" i="31"/>
  <c r="E4" i="30" l="1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3" i="30"/>
  <c r="E120" i="30" s="1"/>
  <c r="E4" i="29" l="1"/>
  <c r="E106" i="29" s="1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3" i="29"/>
  <c r="E4" i="28" l="1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3" i="28"/>
  <c r="E106" i="28" s="1"/>
  <c r="E4" i="27" l="1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3" i="27"/>
  <c r="E123" i="27" l="1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3" i="26"/>
  <c r="E109" i="26" s="1"/>
  <c r="E4" i="25" l="1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3" i="25"/>
  <c r="E120" i="25" s="1"/>
  <c r="F102" i="24" l="1"/>
  <c r="F60" i="24"/>
  <c r="F35" i="24"/>
  <c r="F31" i="24"/>
  <c r="F29" i="24"/>
  <c r="F28" i="24"/>
  <c r="F27" i="24"/>
  <c r="F26" i="24"/>
  <c r="F24" i="24"/>
  <c r="F21" i="24"/>
  <c r="F16" i="24"/>
  <c r="F14" i="24"/>
  <c r="F10" i="24"/>
  <c r="F8" i="24"/>
  <c r="F7" i="24"/>
  <c r="F6" i="24"/>
  <c r="F4" i="24"/>
  <c r="F3" i="24"/>
  <c r="F2" i="24"/>
  <c r="F5" i="24"/>
  <c r="F9" i="24"/>
  <c r="F11" i="24"/>
  <c r="F12" i="24"/>
  <c r="F13" i="24"/>
  <c r="F15" i="24"/>
  <c r="F17" i="24"/>
  <c r="F18" i="24"/>
  <c r="F19" i="24"/>
  <c r="F20" i="24"/>
  <c r="F22" i="24"/>
  <c r="F23" i="24"/>
  <c r="F25" i="24"/>
  <c r="F30" i="24"/>
  <c r="F32" i="24"/>
  <c r="F33" i="24"/>
  <c r="F34" i="24"/>
  <c r="F36" i="24"/>
  <c r="F37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4" i="24"/>
  <c r="F57" i="24"/>
  <c r="F58" i="24"/>
  <c r="F59" i="24"/>
  <c r="F61" i="24"/>
  <c r="F62" i="24"/>
  <c r="F65" i="24"/>
  <c r="F67" i="24"/>
  <c r="F68" i="24"/>
  <c r="F69" i="24"/>
  <c r="F70" i="24"/>
  <c r="F71" i="24"/>
  <c r="F73" i="24"/>
  <c r="F74" i="24"/>
  <c r="F76" i="24"/>
  <c r="F77" i="24"/>
  <c r="F78" i="24"/>
  <c r="F81" i="24"/>
  <c r="F82" i="24"/>
  <c r="F83" i="24"/>
  <c r="F85" i="24"/>
  <c r="F86" i="24"/>
  <c r="F87" i="24"/>
  <c r="F88" i="24"/>
  <c r="F89" i="24"/>
  <c r="F90" i="24"/>
  <c r="F93" i="24"/>
  <c r="F94" i="24"/>
  <c r="F95" i="24"/>
  <c r="F96" i="24"/>
  <c r="F97" i="24"/>
  <c r="F98" i="24"/>
  <c r="F99" i="24"/>
  <c r="F101" i="24"/>
  <c r="F103" i="24"/>
  <c r="F104" i="24"/>
  <c r="F107" i="24"/>
  <c r="F108" i="24"/>
  <c r="F109" i="24"/>
  <c r="F110" i="24"/>
  <c r="F111" i="24"/>
  <c r="F112" i="24"/>
  <c r="F113" i="24"/>
  <c r="F92" i="24" l="1"/>
  <c r="F79" i="24"/>
  <c r="F63" i="24"/>
  <c r="F80" i="24"/>
  <c r="F100" i="24"/>
  <c r="F91" i="24"/>
  <c r="F56" i="24"/>
  <c r="F38" i="24"/>
  <c r="F64" i="24"/>
  <c r="F66" i="24"/>
  <c r="F84" i="24"/>
  <c r="F105" i="24"/>
  <c r="F53" i="24"/>
  <c r="F106" i="24"/>
  <c r="F75" i="24"/>
  <c r="F55" i="24"/>
  <c r="F72" i="24"/>
  <c r="F114" i="24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3" i="23"/>
  <c r="E118" i="23" s="1"/>
  <c r="J58" i="22" l="1"/>
  <c r="J97" i="22"/>
  <c r="J95" i="22"/>
  <c r="J82" i="22"/>
  <c r="J78" i="22"/>
  <c r="J70" i="22"/>
  <c r="J68" i="22"/>
  <c r="J61" i="22"/>
  <c r="J56" i="22"/>
  <c r="J55" i="22"/>
  <c r="J50" i="22"/>
  <c r="J44" i="22"/>
  <c r="J43" i="22"/>
  <c r="J36" i="22"/>
  <c r="J30" i="22"/>
  <c r="J28" i="22"/>
  <c r="J8" i="22"/>
  <c r="J2" i="22"/>
  <c r="J111" i="22"/>
  <c r="J104" i="22"/>
  <c r="J103" i="22"/>
  <c r="J102" i="22"/>
  <c r="J100" i="22"/>
  <c r="J99" i="22"/>
  <c r="J94" i="22"/>
  <c r="J92" i="22"/>
  <c r="J91" i="22"/>
  <c r="J89" i="22"/>
  <c r="J88" i="22"/>
  <c r="J83" i="22"/>
  <c r="J77" i="22"/>
  <c r="J75" i="22"/>
  <c r="J74" i="22"/>
  <c r="J73" i="22"/>
  <c r="J72" i="22"/>
  <c r="J71" i="22"/>
  <c r="J66" i="22"/>
  <c r="J64" i="22"/>
  <c r="J62" i="22"/>
  <c r="J59" i="22"/>
  <c r="J53" i="22"/>
  <c r="J52" i="22"/>
  <c r="J51" i="22"/>
  <c r="J48" i="22"/>
  <c r="J47" i="22"/>
  <c r="J41" i="22"/>
  <c r="J39" i="22"/>
  <c r="J38" i="22"/>
  <c r="J33" i="22"/>
  <c r="J32" i="22"/>
  <c r="J25" i="22"/>
  <c r="J22" i="22"/>
  <c r="J10" i="22"/>
  <c r="J7" i="22"/>
  <c r="J4" i="22"/>
  <c r="J3" i="22"/>
  <c r="J112" i="22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4" i="20"/>
  <c r="E115" i="20" s="1"/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3" i="21"/>
  <c r="E105" i="21" l="1"/>
  <c r="E4" i="19"/>
  <c r="E5" i="19"/>
  <c r="E49" i="19"/>
  <c r="E52" i="19"/>
  <c r="E8" i="19"/>
  <c r="E54" i="19"/>
  <c r="E10" i="19"/>
  <c r="E58" i="19"/>
  <c r="E61" i="19"/>
  <c r="E13" i="19"/>
  <c r="E63" i="19"/>
  <c r="E65" i="19"/>
  <c r="E16" i="19"/>
  <c r="E17" i="19"/>
  <c r="E7" i="19"/>
  <c r="E19" i="19"/>
  <c r="E20" i="19"/>
  <c r="E21" i="19"/>
  <c r="E22" i="19"/>
  <c r="E47" i="19"/>
  <c r="E24" i="19"/>
  <c r="E11" i="19"/>
  <c r="E12" i="19"/>
  <c r="E27" i="19"/>
  <c r="E28" i="19"/>
  <c r="E29" i="19"/>
  <c r="E23" i="19"/>
  <c r="E31" i="19"/>
  <c r="E32" i="19"/>
  <c r="E37" i="19"/>
  <c r="E34" i="19"/>
  <c r="E38" i="19"/>
  <c r="E75" i="19"/>
  <c r="E77" i="19"/>
  <c r="E82" i="19"/>
  <c r="E103" i="19"/>
  <c r="E40" i="19"/>
  <c r="E108" i="19"/>
  <c r="E42" i="19"/>
  <c r="E113" i="19"/>
  <c r="E44" i="19"/>
  <c r="E45" i="19"/>
  <c r="E46" i="19"/>
  <c r="E60" i="19"/>
  <c r="E30" i="19"/>
  <c r="E33" i="19"/>
  <c r="E50" i="19"/>
  <c r="E51" i="19"/>
  <c r="E3" i="19"/>
  <c r="E6" i="19"/>
  <c r="E15" i="19"/>
  <c r="E55" i="19"/>
  <c r="E26" i="19"/>
  <c r="E57" i="19"/>
  <c r="E35" i="19"/>
  <c r="E59" i="19"/>
  <c r="E36" i="19"/>
  <c r="E41" i="19"/>
  <c r="E62" i="19"/>
  <c r="E43" i="19"/>
  <c r="E64" i="19"/>
  <c r="E48" i="19"/>
  <c r="E66" i="19"/>
  <c r="E53" i="19"/>
  <c r="E68" i="19"/>
  <c r="E69" i="19"/>
  <c r="E70" i="19"/>
  <c r="E71" i="19"/>
  <c r="E72" i="19"/>
  <c r="E73" i="19"/>
  <c r="E74" i="19"/>
  <c r="E83" i="19"/>
  <c r="E76" i="19"/>
  <c r="E116" i="19"/>
  <c r="E78" i="19"/>
  <c r="E79" i="19"/>
  <c r="E80" i="19"/>
  <c r="E81" i="19"/>
  <c r="E117" i="19"/>
  <c r="E114" i="19"/>
  <c r="E84" i="19"/>
  <c r="E85" i="19"/>
  <c r="E86" i="19"/>
  <c r="E87" i="19"/>
  <c r="E88" i="19"/>
  <c r="E89" i="19"/>
  <c r="E90" i="19"/>
  <c r="E91" i="19"/>
  <c r="E92" i="19"/>
  <c r="E93" i="19"/>
  <c r="E94" i="19"/>
  <c r="E9" i="19"/>
  <c r="E96" i="19"/>
  <c r="E97" i="19"/>
  <c r="E98" i="19"/>
  <c r="E99" i="19"/>
  <c r="E100" i="19"/>
  <c r="E101" i="19"/>
  <c r="E102" i="19"/>
  <c r="E14" i="19"/>
  <c r="E67" i="19"/>
  <c r="E105" i="19"/>
  <c r="E106" i="19"/>
  <c r="E107" i="19"/>
  <c r="E18" i="19"/>
  <c r="E109" i="19"/>
  <c r="E110" i="19"/>
  <c r="E111" i="19"/>
  <c r="E25" i="19"/>
  <c r="E56" i="19"/>
  <c r="E95" i="19"/>
  <c r="E104" i="19"/>
  <c r="E112" i="19"/>
  <c r="E118" i="19"/>
  <c r="E115" i="19"/>
  <c r="E39" i="19"/>
  <c r="E119" i="19" l="1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3" i="18"/>
  <c r="E121" i="18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3" i="17"/>
  <c r="E107" i="17" l="1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3" i="16"/>
  <c r="E120" i="16" l="1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3" i="15"/>
  <c r="E109" i="15" l="1"/>
  <c r="E108" i="14" l="1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3" i="14"/>
  <c r="E109" i="14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3" i="13"/>
  <c r="E120" i="13" l="1"/>
  <c r="E102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3" i="12"/>
  <c r="E3" i="12"/>
  <c r="E104" i="12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3" i="11"/>
  <c r="E117" i="11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3" i="10"/>
  <c r="E114" i="10" s="1"/>
  <c r="E4" i="9" l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120" i="9" s="1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3" i="9"/>
  <c r="E4" i="8" l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3" i="8"/>
  <c r="E108" i="8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3" i="7"/>
  <c r="E115" i="7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3" i="6"/>
  <c r="E118" i="6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3" i="5"/>
  <c r="E116" i="5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3" i="4"/>
  <c r="E122" i="4" s="1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4" i="3"/>
  <c r="E106" i="3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3" i="2"/>
  <c r="E124" i="2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3" i="1"/>
  <c r="E111" i="1" l="1"/>
</calcChain>
</file>

<file path=xl/sharedStrings.xml><?xml version="1.0" encoding="utf-8"?>
<sst xmlns="http://schemas.openxmlformats.org/spreadsheetml/2006/main" count="7406" uniqueCount="258">
  <si>
    <t>Tên Sản phẩm</t>
  </si>
  <si>
    <t>ĐVT</t>
  </si>
  <si>
    <t>Bắp Cải Tím</t>
  </si>
  <si>
    <t>Kg</t>
  </si>
  <si>
    <t>Bắp Cải Trái Tim</t>
  </si>
  <si>
    <t>Bắp Cải Trắng</t>
  </si>
  <si>
    <t>Bí Đỏ Hồ Lô</t>
  </si>
  <si>
    <t>Bí Đỏ Tròn</t>
  </si>
  <si>
    <t>Bí Non Nhật</t>
  </si>
  <si>
    <t>Trái</t>
  </si>
  <si>
    <t>Bí Ngòi Vàng</t>
  </si>
  <si>
    <t>Bí Ngòi Xanh</t>
  </si>
  <si>
    <t>Bông Cải Trắng</t>
  </si>
  <si>
    <t>Bông Cải Xanh 10Cm</t>
  </si>
  <si>
    <t>Bông Cải Xanh 12Cm</t>
  </si>
  <si>
    <t>Bông Cải Xanh 7Cm</t>
  </si>
  <si>
    <t>Bông Cải Xanh Baby</t>
  </si>
  <si>
    <t>Vỉ</t>
  </si>
  <si>
    <t>Bông Cải Xanh Cây</t>
  </si>
  <si>
    <t>Cây</t>
  </si>
  <si>
    <t>Bông Cải Xanh Cọng</t>
  </si>
  <si>
    <t>Bơ Booth</t>
  </si>
  <si>
    <t>Cà Chua Beef</t>
  </si>
  <si>
    <t>Vỉ 650gr</t>
  </si>
  <si>
    <t>Cà Chua Beef Trung</t>
  </si>
  <si>
    <t>Vỉ 500gr</t>
  </si>
  <si>
    <t>Cà Chua Bi Đỏ</t>
  </si>
  <si>
    <t>Hộp 300gr</t>
  </si>
  <si>
    <t>Cà Chua Bi Mix</t>
  </si>
  <si>
    <t>Hộp</t>
  </si>
  <si>
    <t>Cà Chua Socola</t>
  </si>
  <si>
    <t>Hộp 250GR</t>
  </si>
  <si>
    <t>Cà Chua Thường</t>
  </si>
  <si>
    <t>Cà Chua Thường Trung</t>
  </si>
  <si>
    <t>Túi</t>
  </si>
  <si>
    <t>Cà Rốt</t>
  </si>
  <si>
    <t>Cà Rốt Baby</t>
  </si>
  <si>
    <t>Cà Tím</t>
  </si>
  <si>
    <t>Cặp</t>
  </si>
  <si>
    <t>Cải Bó Xôi</t>
  </si>
  <si>
    <t>Cải Cầu Vồng</t>
  </si>
  <si>
    <t>Cải Kale</t>
  </si>
  <si>
    <t>Cải Thảo</t>
  </si>
  <si>
    <t>Cải Thảo Hỏa Tiễn</t>
  </si>
  <si>
    <t>Cải Thảo Kim Chi</t>
  </si>
  <si>
    <t>Cần Tây</t>
  </si>
  <si>
    <t>Củ Cải Đỏ</t>
  </si>
  <si>
    <t>Củ Cải Trắng</t>
  </si>
  <si>
    <t>Củ Dền</t>
  </si>
  <si>
    <t>Củ Gừng</t>
  </si>
  <si>
    <t>Củ Hành Tây</t>
  </si>
  <si>
    <t>Túi 300gr</t>
  </si>
  <si>
    <t>Củ Hành Tây Trung</t>
  </si>
  <si>
    <t>Củ Khoai Lang Mật Size 23</t>
  </si>
  <si>
    <t>Củ Khoai Lang Mật Size 46</t>
  </si>
  <si>
    <t>Củ Khoai Lang Nhật</t>
  </si>
  <si>
    <t>Củ Khoai Mỡ</t>
  </si>
  <si>
    <t>Củ Khoai Sâm</t>
  </si>
  <si>
    <t>Củ Khoai Tây Bi Vàng</t>
  </si>
  <si>
    <t>Củ Khoai Tây Vàng</t>
  </si>
  <si>
    <t>Củ Khoai Tây Vàng Trung</t>
  </si>
  <si>
    <t>Củ Su Hào</t>
  </si>
  <si>
    <t>Chanh Dây Tím</t>
  </si>
  <si>
    <t>Chuối Laba</t>
  </si>
  <si>
    <t>Dưa Leo Baby</t>
  </si>
  <si>
    <t>Dưa Leo Nhật</t>
  </si>
  <si>
    <t>Dưa Leo Thường</t>
  </si>
  <si>
    <t>Đậu Cove Nhật</t>
  </si>
  <si>
    <t>Đậu Cove Trắng</t>
  </si>
  <si>
    <t>Đậu Đỏ</t>
  </si>
  <si>
    <t>Đậu Ngự</t>
  </si>
  <si>
    <t>Đậu Trắng</t>
  </si>
  <si>
    <t>Hành Paro</t>
  </si>
  <si>
    <t>Hạt Dẻ Ngố</t>
  </si>
  <si>
    <t>Lá Mè</t>
  </si>
  <si>
    <t>Lá Nha Đam</t>
  </si>
  <si>
    <t>Mận Hậu</t>
  </si>
  <si>
    <t>Hộp 350gr</t>
  </si>
  <si>
    <t>Hộp 500gr</t>
  </si>
  <si>
    <t>Ớt Chuông Ba Màu</t>
  </si>
  <si>
    <t>Ớt Chuông Baby</t>
  </si>
  <si>
    <t>Ớt Chuông Đỏ</t>
  </si>
  <si>
    <t>Ớt Chuông Vàng</t>
  </si>
  <si>
    <t>Ớt Chuông Xanh</t>
  </si>
  <si>
    <t>Ớt Sweet Palemo</t>
  </si>
  <si>
    <t>Rau Bầu Đất</t>
  </si>
  <si>
    <t>Trái Bưởi Diễn</t>
  </si>
  <si>
    <t>Trái Bưởi Đường</t>
  </si>
  <si>
    <t>Trái Cam Canh</t>
  </si>
  <si>
    <t>Trái Khổ Qua</t>
  </si>
  <si>
    <t>Trái Su Su</t>
  </si>
  <si>
    <t>Xà Lách Lolo Xanh</t>
  </si>
  <si>
    <t>Xà Lách Lolo Xanh T.C</t>
  </si>
  <si>
    <t>Xà Lách Lolo Xanh T.C Cây</t>
  </si>
  <si>
    <t>Xà Lách Mỡ T.C</t>
  </si>
  <si>
    <t>Xà Lách Mỡ T.C Cây</t>
  </si>
  <si>
    <t>Xà Lách Romaine T.C</t>
  </si>
  <si>
    <t>Xà Lách Thủy Tinh T.C</t>
  </si>
  <si>
    <t>Xà Lách Thủy Tinh T.C Cây</t>
  </si>
  <si>
    <t>hàng tồn cuối ngày 1/3</t>
  </si>
  <si>
    <t>tồn</t>
  </si>
  <si>
    <t>giá</t>
  </si>
  <si>
    <t>thành tiền</t>
  </si>
  <si>
    <t>Bí Đao Xanh</t>
  </si>
  <si>
    <t>Củ Hành Tây Tím</t>
  </si>
  <si>
    <t>Củ Khoai Tây Hồng</t>
  </si>
  <si>
    <t>Đậu Hà Lan Trái</t>
  </si>
  <si>
    <t>Hồng Treo Gió</t>
  </si>
  <si>
    <t>Ớt Chuông Đỏ Trung</t>
  </si>
  <si>
    <t>Ớt Chuông Vàng Trung</t>
  </si>
  <si>
    <t>Ớt Chuông Xanh Trung</t>
  </si>
  <si>
    <t>Trái Bầu</t>
  </si>
  <si>
    <t>Trái Mâm Xôi</t>
  </si>
  <si>
    <t>Xà Lách Carol</t>
  </si>
  <si>
    <t>hagnf tồn cuối ngày 2/3</t>
  </si>
  <si>
    <t>Cà Chua Thường Bắc</t>
  </si>
  <si>
    <t>Túi 500gr</t>
  </si>
  <si>
    <t>Đậu Tươi Hỗn Hợp Túi 100gr</t>
  </si>
  <si>
    <t>hàng tồn cuối ngày 3/3</t>
  </si>
  <si>
    <t>Rau Mầm</t>
  </si>
  <si>
    <t>Xà Lách Lolo Xanh Sushi</t>
  </si>
  <si>
    <t>hàng tồn cuối ngày 4/3</t>
  </si>
  <si>
    <t>Bông Atiso</t>
  </si>
  <si>
    <t>hàng tồn cuối ngày 5/3</t>
  </si>
  <si>
    <t>Bông Cải Xanh Gốc Dài</t>
  </si>
  <si>
    <t>hàng tồn cuối ngày 6/3</t>
  </si>
  <si>
    <t>hàng tồn cuối ngày 7/3</t>
  </si>
  <si>
    <t>Cà Chua Beef 500Gr</t>
  </si>
  <si>
    <t>Củ Khoai Lang Mật Size Xô</t>
  </si>
  <si>
    <t>hàng tồn cuối ngày 8/3</t>
  </si>
  <si>
    <t xml:space="preserve">hàng tồn cuối ngày 9/3 </t>
  </si>
  <si>
    <t xml:space="preserve">tồn </t>
  </si>
  <si>
    <t>Củ Cải Muối</t>
  </si>
  <si>
    <t>hàng tồn cuối ngày 10/3</t>
  </si>
  <si>
    <t>hàng tồn cuối ngày 11/3</t>
  </si>
  <si>
    <t>Cà Chua Beef Chùm</t>
  </si>
  <si>
    <t>hàng tồn cuối ngày 12/3</t>
  </si>
  <si>
    <t>Ổi Găng</t>
  </si>
  <si>
    <t>hàng tồn cuối ngày 13/3</t>
  </si>
  <si>
    <t>hàng tồn cuối ngày 14/3</t>
  </si>
  <si>
    <t>Bơ Sáp</t>
  </si>
  <si>
    <t xml:space="preserve">hàng tồn cuối ngày 15/3 </t>
  </si>
  <si>
    <t>Quả Mơ</t>
  </si>
  <si>
    <t>Củ Kiệu</t>
  </si>
  <si>
    <t>hàng tồn cuối ngày 18/3</t>
  </si>
  <si>
    <t>hàng tồn cuối ngày 19/3 vr</t>
  </si>
  <si>
    <t>hàng tồn cuối ngày 21/3</t>
  </si>
  <si>
    <t>hàng tồn cuối ngày 20/3</t>
  </si>
  <si>
    <t>Tổng
Xuất
合出荷数量</t>
  </si>
  <si>
    <t>Note</t>
  </si>
  <si>
    <t>PAK</t>
  </si>
  <si>
    <t>KINGS</t>
  </si>
  <si>
    <t>紫キャベツ</t>
  </si>
  <si>
    <t>ハートキャベツ</t>
  </si>
  <si>
    <t>キャベツ</t>
  </si>
  <si>
    <t>とうがん</t>
  </si>
  <si>
    <t>バターナッツカボチャ</t>
  </si>
  <si>
    <t>カボチャ(丸)</t>
  </si>
  <si>
    <t>ズッキーニ（緑）</t>
  </si>
  <si>
    <t>ミニカボチャ</t>
  </si>
  <si>
    <t>Boothアボカド</t>
  </si>
  <si>
    <t>Sapアボカド</t>
  </si>
  <si>
    <t>アーティチョーク</t>
  </si>
  <si>
    <t>カリフラワー</t>
  </si>
  <si>
    <t>ブロッコリー 10Cm</t>
  </si>
  <si>
    <t>Coopブロッコリー</t>
  </si>
  <si>
    <t>Aeonブロッコリー</t>
  </si>
  <si>
    <t>Babyブロッコリー</t>
  </si>
  <si>
    <t>Bigc ブロッコリー</t>
  </si>
  <si>
    <t>Beefトマト（大）</t>
  </si>
  <si>
    <t>Beefトマト（中サイズ）</t>
  </si>
  <si>
    <t>赤いミニトマト</t>
  </si>
  <si>
    <t>ミックスミニトマト</t>
  </si>
  <si>
    <t>socolaトマト</t>
  </si>
  <si>
    <t>Ritaトマト（大）</t>
  </si>
  <si>
    <t>Ritaトマト（中）</t>
  </si>
  <si>
    <t>人参（大）</t>
  </si>
  <si>
    <t>Babyにんじん</t>
  </si>
  <si>
    <t>ナス</t>
  </si>
  <si>
    <t>ほうれん草</t>
  </si>
  <si>
    <t>レンポほうれん草</t>
  </si>
  <si>
    <t>ケール</t>
  </si>
  <si>
    <t>白菜</t>
  </si>
  <si>
    <t>Kim chi</t>
  </si>
  <si>
    <t>セロリ</t>
  </si>
  <si>
    <t>labaバナナ</t>
  </si>
  <si>
    <t>カブ</t>
  </si>
  <si>
    <t>大根</t>
  </si>
  <si>
    <t>ビーツ</t>
  </si>
  <si>
    <t>ショウガ</t>
  </si>
  <si>
    <t>玉ねぎ（大）</t>
  </si>
  <si>
    <t>玉ねぎ（中）</t>
  </si>
  <si>
    <t>蜂蜜サツマイモ　（2-3個/㎏）</t>
  </si>
  <si>
    <t>蜂蜜サツマイモ　（4-6個/㎏）</t>
  </si>
  <si>
    <t>サツマイモ</t>
  </si>
  <si>
    <t>やつがしら</t>
  </si>
  <si>
    <t>ポテト（大）</t>
  </si>
  <si>
    <t>ポテト（中）</t>
  </si>
  <si>
    <t>Su Hao</t>
  </si>
  <si>
    <t>インゲン</t>
  </si>
  <si>
    <t>インゲン（白）</t>
  </si>
  <si>
    <t>金時豆</t>
  </si>
  <si>
    <t>花豆·</t>
  </si>
  <si>
    <t>白花豆</t>
  </si>
  <si>
    <t>Babyきゅうり</t>
  </si>
  <si>
    <t>きゅうり（日本製）</t>
  </si>
  <si>
    <t>きゅうり</t>
  </si>
  <si>
    <t>長ネギ</t>
  </si>
  <si>
    <t>栗（大）</t>
  </si>
  <si>
    <t>エゴマ</t>
  </si>
  <si>
    <t>アロエ</t>
  </si>
  <si>
    <t>すもも</t>
  </si>
  <si>
    <t>3類のパプリカ</t>
  </si>
  <si>
    <t>babyパプリカ</t>
  </si>
  <si>
    <t>パプリカ（赤）（大）</t>
  </si>
  <si>
    <t>パプリカ（赤）（中）</t>
  </si>
  <si>
    <t>パプリカ（黄色）（大）</t>
  </si>
  <si>
    <t>パプリカ（黄色）（中）</t>
  </si>
  <si>
    <t>ピーマン（大）</t>
  </si>
  <si>
    <t>スイートパレルモ（パプリカ類）</t>
  </si>
  <si>
    <t>ギヌラ・プロカンベンス</t>
  </si>
  <si>
    <t>ゴーヤ</t>
  </si>
  <si>
    <t>はやとうり</t>
  </si>
  <si>
    <t>Loloレタス</t>
  </si>
  <si>
    <t>水耕Loloレタス</t>
  </si>
  <si>
    <t>水耕Loloレタス（本）</t>
  </si>
  <si>
    <t>サラダ菜</t>
  </si>
  <si>
    <t>サラダ菜（本）</t>
  </si>
  <si>
    <t>水耕ロメインレタス</t>
  </si>
  <si>
    <t>水耕フリルレタス</t>
  </si>
  <si>
    <t>水耕フリルレタス（本）</t>
  </si>
  <si>
    <t>GIÁ NHẬP</t>
  </si>
  <si>
    <t>TIỀN</t>
  </si>
  <si>
    <t>Tồn
ĐL</t>
  </si>
  <si>
    <t>hàng tồn cuối ngày 23/3</t>
  </si>
  <si>
    <t>Tồn
ĐL
現在個</t>
  </si>
  <si>
    <t>Cà Chua Bi Cam Sữa</t>
  </si>
  <si>
    <t>オレンジミニトマト</t>
  </si>
  <si>
    <t>長い白菜</t>
  </si>
  <si>
    <t>赤玉ねぎ</t>
  </si>
  <si>
    <t>ミックスの生豆（100gr/袋）</t>
  </si>
  <si>
    <t>干し柿</t>
  </si>
  <si>
    <t>グアバ</t>
  </si>
  <si>
    <t>ピーマン（中）</t>
  </si>
  <si>
    <t>HỘP 250GR</t>
  </si>
  <si>
    <t>hàng tồn cuối ngày 25/3</t>
  </si>
  <si>
    <t>hàng tồn cuối ngày 26/3</t>
  </si>
  <si>
    <t>hàng tồn cuối ngày 27/3</t>
  </si>
  <si>
    <t>HỘP 500GR</t>
  </si>
  <si>
    <t xml:space="preserve">hàng tồn cuối ngày 28/3 </t>
  </si>
  <si>
    <t>H ộp</t>
  </si>
  <si>
    <t xml:space="preserve">hàng tồn cuối ngày 29/3 </t>
  </si>
  <si>
    <t>Hồng Giòn Đà Lạt</t>
  </si>
  <si>
    <t>hàng tồn cuối ngày 30/3</t>
  </si>
  <si>
    <t>紫のパッションフルーツ</t>
  </si>
  <si>
    <t>しおずけ大根</t>
  </si>
  <si>
    <t>ミニポテト</t>
  </si>
  <si>
    <t xml:space="preserve">Tồn
ĐL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</si>
</sst>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2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5" fontId="2" fillId="4" borderId="1" xfId="1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165" fontId="5" fillId="3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165" fontId="6" fillId="4" borderId="1" xfId="1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65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165" fontId="2" fillId="6" borderId="1" xfId="1" applyNumberFormat="1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165" fontId="7" fillId="4" borderId="1" xfId="1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65" fontId="9" fillId="3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4" fillId="4" borderId="1" xfId="1" applyNumberFormat="1" applyFont="1" applyFill="1" applyBorder="1" applyAlignment="1">
      <alignment vertical="center"/>
    </xf>
    <xf numFmtId="166" fontId="3" fillId="3" borderId="1" xfId="1" applyNumberFormat="1" applyFont="1" applyFill="1" applyBorder="1" applyAlignment="1">
      <alignment horizontal="center" vertical="center" wrapText="1"/>
    </xf>
    <xf numFmtId="165" fontId="0" fillId="6" borderId="1" xfId="1" applyNumberFormat="1" applyFont="1" applyFill="1" applyBorder="1" applyAlignment="1">
      <alignment vertical="center"/>
    </xf>
    <xf numFmtId="165" fontId="3" fillId="3" borderId="0" xfId="1" applyNumberFormat="1" applyFont="1" applyFill="1" applyBorder="1" applyAlignment="1">
      <alignment horizontal="center" vertical="center" wrapText="1"/>
    </xf>
    <xf numFmtId="0" fontId="10" fillId="7" borderId="0" xfId="0" applyFont="1" applyFill="1"/>
    <xf numFmtId="0" fontId="10" fillId="7" borderId="0" xfId="0" applyFont="1" applyFill="1" applyAlignment="1">
      <alignment vertical="center"/>
    </xf>
    <xf numFmtId="165" fontId="10" fillId="7" borderId="0" xfId="0" applyNumberFormat="1" applyFont="1" applyFill="1" applyAlignment="1">
      <alignment vertical="center"/>
    </xf>
    <xf numFmtId="165" fontId="3" fillId="8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65" fontId="6" fillId="0" borderId="1" xfId="1" applyNumberFormat="1" applyFont="1" applyBorder="1" applyAlignment="1">
      <alignment vertical="center" wrapText="1"/>
    </xf>
    <xf numFmtId="165" fontId="3" fillId="7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1" fillId="7" borderId="0" xfId="0" applyFont="1" applyFill="1"/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165" fontId="3" fillId="7" borderId="1" xfId="1" applyNumberFormat="1" applyFont="1" applyFill="1" applyBorder="1" applyAlignment="1">
      <alignment horizontal="center" vertical="center"/>
    </xf>
    <xf numFmtId="165" fontId="11" fillId="7" borderId="1" xfId="1" applyNumberFormat="1" applyFont="1" applyFill="1" applyBorder="1" applyAlignment="1">
      <alignment vertical="center"/>
    </xf>
    <xf numFmtId="165" fontId="11" fillId="7" borderId="0" xfId="1" applyNumberFormat="1" applyFont="1" applyFill="1"/>
    <xf numFmtId="0" fontId="3" fillId="9" borderId="1" xfId="0" applyFont="1" applyFill="1" applyBorder="1" applyAlignment="1">
      <alignment vertical="center"/>
    </xf>
    <xf numFmtId="165" fontId="3" fillId="10" borderId="1" xfId="1" applyNumberFormat="1" applyFont="1" applyFill="1" applyBorder="1" applyAlignment="1">
      <alignment horizontal="center" vertical="center" wrapText="1"/>
    </xf>
    <xf numFmtId="165" fontId="11" fillId="10" borderId="1" xfId="1" applyNumberFormat="1" applyFont="1" applyFill="1" applyBorder="1" applyAlignment="1">
      <alignment vertical="center"/>
    </xf>
    <xf numFmtId="165" fontId="11" fillId="7" borderId="0" xfId="1" applyNumberFormat="1" applyFont="1" applyFill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/>
    <xf numFmtId="165" fontId="11" fillId="7" borderId="1" xfId="1" applyNumberFormat="1" applyFont="1" applyFill="1" applyBorder="1"/>
    <xf numFmtId="0" fontId="0" fillId="7" borderId="0" xfId="0" applyFill="1"/>
    <xf numFmtId="0" fontId="2" fillId="2" borderId="1" xfId="0" applyFont="1" applyFill="1" applyBorder="1" applyAlignment="1">
      <alignment horizontal="center" vertical="center"/>
    </xf>
    <xf numFmtId="165" fontId="2" fillId="7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165" fontId="6" fillId="7" borderId="1" xfId="1" applyNumberFormat="1" applyFont="1" applyFill="1" applyBorder="1" applyAlignment="1">
      <alignment vertical="center"/>
    </xf>
    <xf numFmtId="165" fontId="0" fillId="7" borderId="0" xfId="0" applyNumberFormat="1" applyFill="1"/>
    <xf numFmtId="165" fontId="3" fillId="7" borderId="1" xfId="1" applyNumberFormat="1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vertical="center" wrapText="1"/>
    </xf>
    <xf numFmtId="165" fontId="11" fillId="7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1"/>
  <sheetViews>
    <sheetView workbookViewId="0">
      <selection activeCell="H31" sqref="H31"/>
    </sheetView>
  </sheetViews>
  <sheetFormatPr defaultRowHeight="14.4" x14ac:dyDescent="0.3"/>
  <cols>
    <col min="1" max="1" width="27.77734375" customWidth="1"/>
    <col min="3" max="3" width="10.44140625" customWidth="1"/>
    <col min="4" max="4" width="13.44140625" customWidth="1"/>
    <col min="5" max="5" width="16.88671875" customWidth="1"/>
  </cols>
  <sheetData>
    <row r="1" spans="1:5" x14ac:dyDescent="0.3">
      <c r="A1" t="s">
        <v>99</v>
      </c>
    </row>
    <row r="2" spans="1:5" ht="42" customHeight="1" x14ac:dyDescent="0.3">
      <c r="A2" s="1" t="s">
        <v>0</v>
      </c>
      <c r="B2" s="1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4" t="s">
        <v>2</v>
      </c>
      <c r="B3" s="4" t="s">
        <v>3</v>
      </c>
      <c r="C3" s="5">
        <v>3</v>
      </c>
      <c r="D3" s="2">
        <v>18000</v>
      </c>
      <c r="E3" s="7">
        <f>C3*D3</f>
        <v>54000</v>
      </c>
    </row>
    <row r="4" spans="1:5" ht="15.6" x14ac:dyDescent="0.3">
      <c r="A4" s="6" t="s">
        <v>4</v>
      </c>
      <c r="B4" s="6" t="s">
        <v>3</v>
      </c>
      <c r="C4" s="2">
        <v>657</v>
      </c>
      <c r="D4" s="2">
        <v>5000</v>
      </c>
      <c r="E4" s="7">
        <f t="shared" ref="E4:E67" si="0">C4*D4</f>
        <v>3285000</v>
      </c>
    </row>
    <row r="5" spans="1:5" ht="15.6" x14ac:dyDescent="0.3">
      <c r="A5" s="8" t="s">
        <v>5</v>
      </c>
      <c r="B5" s="8" t="s">
        <v>3</v>
      </c>
      <c r="C5" s="2">
        <v>808</v>
      </c>
      <c r="D5" s="2">
        <v>3500</v>
      </c>
      <c r="E5" s="7">
        <f t="shared" si="0"/>
        <v>2828000</v>
      </c>
    </row>
    <row r="6" spans="1:5" ht="15.6" hidden="1" x14ac:dyDescent="0.3">
      <c r="A6" s="8" t="s">
        <v>6</v>
      </c>
      <c r="B6" s="8" t="s">
        <v>3</v>
      </c>
      <c r="C6" s="2">
        <v>0</v>
      </c>
      <c r="D6" s="2"/>
      <c r="E6" s="7">
        <f t="shared" si="0"/>
        <v>0</v>
      </c>
    </row>
    <row r="7" spans="1:5" ht="15.6" x14ac:dyDescent="0.3">
      <c r="A7" s="4" t="s">
        <v>7</v>
      </c>
      <c r="B7" s="4" t="s">
        <v>3</v>
      </c>
      <c r="C7" s="5">
        <v>260</v>
      </c>
      <c r="D7" s="2">
        <v>11000</v>
      </c>
      <c r="E7" s="7">
        <f t="shared" si="0"/>
        <v>2860000</v>
      </c>
    </row>
    <row r="8" spans="1:5" ht="15.6" x14ac:dyDescent="0.3">
      <c r="A8" s="8" t="s">
        <v>8</v>
      </c>
      <c r="B8" s="8" t="s">
        <v>3</v>
      </c>
      <c r="C8" s="2">
        <v>15</v>
      </c>
      <c r="D8" s="2">
        <v>15000</v>
      </c>
      <c r="E8" s="7">
        <f t="shared" si="0"/>
        <v>225000</v>
      </c>
    </row>
    <row r="9" spans="1:5" ht="15.6" hidden="1" x14ac:dyDescent="0.3">
      <c r="A9" s="4" t="s">
        <v>8</v>
      </c>
      <c r="B9" s="4" t="s">
        <v>9</v>
      </c>
      <c r="C9" s="5">
        <v>0</v>
      </c>
      <c r="D9" s="2"/>
      <c r="E9" s="7">
        <f t="shared" si="0"/>
        <v>0</v>
      </c>
    </row>
    <row r="10" spans="1:5" ht="15.6" hidden="1" x14ac:dyDescent="0.3">
      <c r="A10" s="8" t="s">
        <v>10</v>
      </c>
      <c r="B10" s="8" t="s">
        <v>3</v>
      </c>
      <c r="C10" s="2">
        <v>0</v>
      </c>
      <c r="D10" s="2"/>
      <c r="E10" s="7">
        <f t="shared" si="0"/>
        <v>0</v>
      </c>
    </row>
    <row r="11" spans="1:5" ht="15.6" x14ac:dyDescent="0.3">
      <c r="A11" s="8" t="s">
        <v>11</v>
      </c>
      <c r="B11" s="8" t="s">
        <v>3</v>
      </c>
      <c r="C11" s="2">
        <v>200</v>
      </c>
      <c r="D11" s="2">
        <v>13000</v>
      </c>
      <c r="E11" s="7">
        <f t="shared" si="0"/>
        <v>2600000</v>
      </c>
    </row>
    <row r="12" spans="1:5" ht="15.6" hidden="1" x14ac:dyDescent="0.3">
      <c r="A12" s="8" t="s">
        <v>11</v>
      </c>
      <c r="B12" s="8" t="s">
        <v>9</v>
      </c>
      <c r="C12" s="2">
        <v>0</v>
      </c>
      <c r="D12" s="2"/>
      <c r="E12" s="7">
        <f t="shared" si="0"/>
        <v>0</v>
      </c>
    </row>
    <row r="13" spans="1:5" ht="15.6" x14ac:dyDescent="0.3">
      <c r="A13" s="8" t="s">
        <v>12</v>
      </c>
      <c r="B13" s="8" t="s">
        <v>3</v>
      </c>
      <c r="C13" s="2">
        <v>11</v>
      </c>
      <c r="D13" s="2">
        <v>12000</v>
      </c>
      <c r="E13" s="7">
        <f t="shared" si="0"/>
        <v>132000</v>
      </c>
    </row>
    <row r="14" spans="1:5" ht="15.6" hidden="1" x14ac:dyDescent="0.3">
      <c r="A14" s="8" t="s">
        <v>13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hidden="1" x14ac:dyDescent="0.3">
      <c r="A15" s="8" t="s">
        <v>14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hidden="1" x14ac:dyDescent="0.3">
      <c r="A16" s="8" t="s">
        <v>15</v>
      </c>
      <c r="B16" s="8" t="s">
        <v>3</v>
      </c>
      <c r="C16" s="2">
        <v>0</v>
      </c>
      <c r="D16" s="2"/>
      <c r="E16" s="7">
        <f t="shared" si="0"/>
        <v>0</v>
      </c>
    </row>
    <row r="17" spans="1:5" ht="15.6" hidden="1" x14ac:dyDescent="0.3">
      <c r="A17" s="8" t="s">
        <v>16</v>
      </c>
      <c r="B17" s="8" t="s">
        <v>17</v>
      </c>
      <c r="C17" s="2">
        <v>0</v>
      </c>
      <c r="D17" s="2"/>
      <c r="E17" s="7">
        <f t="shared" si="0"/>
        <v>0</v>
      </c>
    </row>
    <row r="18" spans="1:5" ht="15.6" hidden="1" x14ac:dyDescent="0.3">
      <c r="A18" s="8" t="s">
        <v>18</v>
      </c>
      <c r="B18" s="8" t="s">
        <v>19</v>
      </c>
      <c r="C18" s="2">
        <v>0</v>
      </c>
      <c r="D18" s="2"/>
      <c r="E18" s="7">
        <f t="shared" si="0"/>
        <v>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2"/>
      <c r="E19" s="7">
        <f t="shared" si="0"/>
        <v>0</v>
      </c>
    </row>
    <row r="20" spans="1:5" ht="15.6" hidden="1" x14ac:dyDescent="0.3">
      <c r="A20" s="8" t="s">
        <v>21</v>
      </c>
      <c r="B20" s="8" t="s">
        <v>3</v>
      </c>
      <c r="C20" s="2">
        <v>0</v>
      </c>
      <c r="D20" s="2"/>
      <c r="E20" s="7">
        <f t="shared" si="0"/>
        <v>0</v>
      </c>
    </row>
    <row r="21" spans="1:5" ht="15.6" x14ac:dyDescent="0.3">
      <c r="A21" s="8" t="s">
        <v>22</v>
      </c>
      <c r="B21" s="8" t="s">
        <v>3</v>
      </c>
      <c r="C21" s="2">
        <v>95</v>
      </c>
      <c r="D21" s="2">
        <v>16000</v>
      </c>
      <c r="E21" s="7">
        <f t="shared" si="0"/>
        <v>1520000</v>
      </c>
    </row>
    <row r="22" spans="1:5" ht="15.6" hidden="1" x14ac:dyDescent="0.3">
      <c r="A22" s="8" t="s">
        <v>22</v>
      </c>
      <c r="B22" s="8" t="s">
        <v>17</v>
      </c>
      <c r="C22" s="2">
        <v>0</v>
      </c>
      <c r="D22" s="2"/>
      <c r="E22" s="7">
        <f t="shared" si="0"/>
        <v>0</v>
      </c>
    </row>
    <row r="23" spans="1:5" ht="15.6" hidden="1" x14ac:dyDescent="0.3">
      <c r="A23" s="8" t="s">
        <v>22</v>
      </c>
      <c r="B23" s="8" t="s">
        <v>23</v>
      </c>
      <c r="C23" s="2">
        <v>0</v>
      </c>
      <c r="D23" s="2"/>
      <c r="E23" s="7">
        <f t="shared" si="0"/>
        <v>0</v>
      </c>
    </row>
    <row r="24" spans="1:5" ht="15.6" x14ac:dyDescent="0.3">
      <c r="A24" s="8" t="s">
        <v>24</v>
      </c>
      <c r="B24" s="8" t="s">
        <v>3</v>
      </c>
      <c r="C24" s="2">
        <v>33</v>
      </c>
      <c r="D24" s="2">
        <v>10000</v>
      </c>
      <c r="E24" s="7">
        <f t="shared" si="0"/>
        <v>330000</v>
      </c>
    </row>
    <row r="25" spans="1:5" ht="15.6" x14ac:dyDescent="0.3">
      <c r="A25" s="8" t="s">
        <v>24</v>
      </c>
      <c r="B25" s="8" t="s">
        <v>25</v>
      </c>
      <c r="C25" s="2">
        <v>20</v>
      </c>
      <c r="D25" s="2">
        <v>8000</v>
      </c>
      <c r="E25" s="7">
        <f t="shared" si="0"/>
        <v>160000</v>
      </c>
    </row>
    <row r="26" spans="1:5" ht="15.6" x14ac:dyDescent="0.3">
      <c r="A26" s="8" t="s">
        <v>26</v>
      </c>
      <c r="B26" s="8" t="s">
        <v>3</v>
      </c>
      <c r="C26" s="2">
        <v>10</v>
      </c>
      <c r="D26" s="2">
        <v>20000</v>
      </c>
      <c r="E26" s="7">
        <f t="shared" si="0"/>
        <v>200000</v>
      </c>
    </row>
    <row r="27" spans="1:5" ht="15.6" x14ac:dyDescent="0.3">
      <c r="A27" s="8" t="s">
        <v>26</v>
      </c>
      <c r="B27" s="8" t="s">
        <v>27</v>
      </c>
      <c r="C27" s="2">
        <v>92</v>
      </c>
      <c r="D27" s="2">
        <v>6000</v>
      </c>
      <c r="E27" s="7">
        <f t="shared" si="0"/>
        <v>552000</v>
      </c>
    </row>
    <row r="28" spans="1:5" ht="15.6" x14ac:dyDescent="0.3">
      <c r="A28" s="8" t="s">
        <v>28</v>
      </c>
      <c r="B28" s="8" t="s">
        <v>29</v>
      </c>
      <c r="C28" s="2">
        <v>9</v>
      </c>
      <c r="D28" s="2">
        <v>12000</v>
      </c>
      <c r="E28" s="7">
        <f t="shared" si="0"/>
        <v>108000</v>
      </c>
    </row>
    <row r="29" spans="1:5" ht="15.6" hidden="1" x14ac:dyDescent="0.3">
      <c r="A29" s="4" t="s">
        <v>30</v>
      </c>
      <c r="B29" s="4" t="s">
        <v>3</v>
      </c>
      <c r="C29" s="2">
        <v>0</v>
      </c>
      <c r="D29" s="2"/>
      <c r="E29" s="7">
        <f t="shared" si="0"/>
        <v>0</v>
      </c>
    </row>
    <row r="30" spans="1:5" ht="15.6" x14ac:dyDescent="0.3">
      <c r="A30" s="8" t="s">
        <v>30</v>
      </c>
      <c r="B30" s="8" t="s">
        <v>27</v>
      </c>
      <c r="C30" s="2">
        <v>60</v>
      </c>
      <c r="D30" s="2">
        <v>10000</v>
      </c>
      <c r="E30" s="7">
        <f t="shared" si="0"/>
        <v>600000</v>
      </c>
    </row>
    <row r="31" spans="1:5" ht="15.6" x14ac:dyDescent="0.3">
      <c r="A31" s="8" t="s">
        <v>30</v>
      </c>
      <c r="B31" s="8" t="s">
        <v>31</v>
      </c>
      <c r="C31" s="2">
        <v>461</v>
      </c>
      <c r="D31" s="2">
        <v>7500</v>
      </c>
      <c r="E31" s="7">
        <f t="shared" si="0"/>
        <v>3457500</v>
      </c>
    </row>
    <row r="32" spans="1:5" ht="15.6" x14ac:dyDescent="0.3">
      <c r="A32" s="6" t="s">
        <v>32</v>
      </c>
      <c r="B32" s="6" t="s">
        <v>3</v>
      </c>
      <c r="C32" s="5">
        <v>315</v>
      </c>
      <c r="D32" s="2">
        <v>15000</v>
      </c>
      <c r="E32" s="7">
        <f t="shared" si="0"/>
        <v>4725000</v>
      </c>
    </row>
    <row r="33" spans="1:5" ht="15.6" hidden="1" x14ac:dyDescent="0.3">
      <c r="A33" s="8" t="s">
        <v>32</v>
      </c>
      <c r="B33" s="8" t="s">
        <v>17</v>
      </c>
      <c r="C33" s="2">
        <v>0</v>
      </c>
      <c r="D33" s="2"/>
      <c r="E33" s="7">
        <f t="shared" si="0"/>
        <v>0</v>
      </c>
    </row>
    <row r="34" spans="1:5" ht="15.6" hidden="1" x14ac:dyDescent="0.3">
      <c r="A34" s="6" t="s">
        <v>33</v>
      </c>
      <c r="B34" s="6" t="s">
        <v>34</v>
      </c>
      <c r="C34" s="2">
        <v>0</v>
      </c>
      <c r="D34" s="2"/>
      <c r="E34" s="7">
        <f t="shared" si="0"/>
        <v>0</v>
      </c>
    </row>
    <row r="35" spans="1:5" ht="15.6" x14ac:dyDescent="0.3">
      <c r="A35" s="8" t="s">
        <v>35</v>
      </c>
      <c r="B35" s="8" t="s">
        <v>3</v>
      </c>
      <c r="C35" s="2">
        <v>211</v>
      </c>
      <c r="D35" s="2">
        <v>6000</v>
      </c>
      <c r="E35" s="7">
        <f t="shared" si="0"/>
        <v>1266000</v>
      </c>
    </row>
    <row r="36" spans="1:5" ht="15.6" hidden="1" x14ac:dyDescent="0.3">
      <c r="A36" s="8" t="s">
        <v>35</v>
      </c>
      <c r="B36" s="8" t="s">
        <v>34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36</v>
      </c>
      <c r="B37" s="8" t="s">
        <v>17</v>
      </c>
      <c r="C37" s="2">
        <v>3</v>
      </c>
      <c r="D37" s="2">
        <v>6000</v>
      </c>
      <c r="E37" s="7">
        <f t="shared" si="0"/>
        <v>18000</v>
      </c>
    </row>
    <row r="38" spans="1:5" ht="15.6" x14ac:dyDescent="0.3">
      <c r="A38" s="8" t="s">
        <v>37</v>
      </c>
      <c r="B38" s="8" t="s">
        <v>3</v>
      </c>
      <c r="C38" s="2">
        <v>40</v>
      </c>
      <c r="D38" s="2">
        <v>8000</v>
      </c>
      <c r="E38" s="7">
        <f t="shared" si="0"/>
        <v>320000</v>
      </c>
    </row>
    <row r="39" spans="1:5" ht="15.6" hidden="1" x14ac:dyDescent="0.3">
      <c r="A39" s="8" t="s">
        <v>37</v>
      </c>
      <c r="B39" s="8" t="s">
        <v>38</v>
      </c>
      <c r="C39" s="2">
        <v>0</v>
      </c>
      <c r="D39" s="2"/>
      <c r="E39" s="7">
        <f t="shared" si="0"/>
        <v>0</v>
      </c>
    </row>
    <row r="40" spans="1:5" ht="15.6" x14ac:dyDescent="0.3">
      <c r="A40" s="8" t="s">
        <v>39</v>
      </c>
      <c r="B40" s="8" t="s">
        <v>3</v>
      </c>
      <c r="C40" s="2">
        <v>12</v>
      </c>
      <c r="D40" s="2">
        <v>24000</v>
      </c>
      <c r="E40" s="7">
        <f t="shared" si="0"/>
        <v>288000</v>
      </c>
    </row>
    <row r="41" spans="1:5" ht="15.6" hidden="1" x14ac:dyDescent="0.3">
      <c r="A41" s="8" t="s">
        <v>39</v>
      </c>
      <c r="B41" s="8" t="s">
        <v>34</v>
      </c>
      <c r="C41" s="2">
        <v>0</v>
      </c>
      <c r="D41" s="2"/>
      <c r="E41" s="7">
        <f t="shared" si="0"/>
        <v>0</v>
      </c>
    </row>
    <row r="42" spans="1:5" ht="15.6" x14ac:dyDescent="0.3">
      <c r="A42" s="8" t="s">
        <v>40</v>
      </c>
      <c r="B42" s="8" t="s">
        <v>34</v>
      </c>
      <c r="C42" s="2">
        <v>8</v>
      </c>
      <c r="D42" s="2">
        <v>3000</v>
      </c>
      <c r="E42" s="7">
        <f t="shared" si="0"/>
        <v>24000</v>
      </c>
    </row>
    <row r="43" spans="1:5" ht="15.6" x14ac:dyDescent="0.3">
      <c r="A43" s="8" t="s">
        <v>41</v>
      </c>
      <c r="B43" s="8" t="s">
        <v>34</v>
      </c>
      <c r="C43" s="2">
        <v>13</v>
      </c>
      <c r="D43" s="2">
        <v>3300</v>
      </c>
      <c r="E43" s="7">
        <f t="shared" si="0"/>
        <v>42900</v>
      </c>
    </row>
    <row r="44" spans="1:5" ht="15.6" hidden="1" x14ac:dyDescent="0.3">
      <c r="A44" s="4" t="s">
        <v>42</v>
      </c>
      <c r="B44" s="4" t="s">
        <v>3</v>
      </c>
      <c r="C44" s="5">
        <v>0</v>
      </c>
      <c r="D44" s="2"/>
      <c r="E44" s="7">
        <f t="shared" si="0"/>
        <v>0</v>
      </c>
    </row>
    <row r="45" spans="1:5" ht="15.6" x14ac:dyDescent="0.3">
      <c r="A45" s="4" t="s">
        <v>43</v>
      </c>
      <c r="B45" s="4" t="s">
        <v>3</v>
      </c>
      <c r="C45" s="5">
        <v>4</v>
      </c>
      <c r="D45" s="2">
        <v>14000</v>
      </c>
      <c r="E45" s="7">
        <f t="shared" si="0"/>
        <v>56000</v>
      </c>
    </row>
    <row r="46" spans="1:5" ht="15.6" x14ac:dyDescent="0.3">
      <c r="A46" s="8" t="s">
        <v>44</v>
      </c>
      <c r="B46" s="8" t="s">
        <v>3</v>
      </c>
      <c r="C46" s="2">
        <v>150</v>
      </c>
      <c r="D46" s="2">
        <v>3000</v>
      </c>
      <c r="E46" s="7">
        <f t="shared" si="0"/>
        <v>450000</v>
      </c>
    </row>
    <row r="47" spans="1:5" ht="15.6" hidden="1" x14ac:dyDescent="0.3">
      <c r="A47" s="8" t="s">
        <v>45</v>
      </c>
      <c r="B47" s="8" t="s">
        <v>3</v>
      </c>
      <c r="C47" s="2">
        <v>0</v>
      </c>
      <c r="D47" s="2"/>
      <c r="E47" s="7">
        <f t="shared" si="0"/>
        <v>0</v>
      </c>
    </row>
    <row r="48" spans="1:5" ht="15.6" hidden="1" x14ac:dyDescent="0.3">
      <c r="A48" s="8" t="s">
        <v>45</v>
      </c>
      <c r="B48" s="8" t="s">
        <v>19</v>
      </c>
      <c r="C48" s="2">
        <v>0</v>
      </c>
      <c r="D48" s="2"/>
      <c r="E48" s="7">
        <f t="shared" si="0"/>
        <v>0</v>
      </c>
    </row>
    <row r="49" spans="1:5" ht="15.6" x14ac:dyDescent="0.3">
      <c r="A49" s="8" t="s">
        <v>46</v>
      </c>
      <c r="B49" s="8" t="s">
        <v>29</v>
      </c>
      <c r="C49" s="2">
        <v>14</v>
      </c>
      <c r="D49" s="2">
        <v>10000</v>
      </c>
      <c r="E49" s="7">
        <f t="shared" si="0"/>
        <v>140000</v>
      </c>
    </row>
    <row r="50" spans="1:5" ht="15.6" x14ac:dyDescent="0.3">
      <c r="A50" s="4" t="s">
        <v>47</v>
      </c>
      <c r="B50" s="4" t="s">
        <v>3</v>
      </c>
      <c r="C50" s="5">
        <v>10</v>
      </c>
      <c r="D50" s="2">
        <v>4500</v>
      </c>
      <c r="E50" s="7">
        <f t="shared" si="0"/>
        <v>45000</v>
      </c>
    </row>
    <row r="51" spans="1:5" ht="15.6" x14ac:dyDescent="0.3">
      <c r="A51" s="4" t="s">
        <v>48</v>
      </c>
      <c r="B51" s="4" t="s">
        <v>3</v>
      </c>
      <c r="C51" s="5">
        <v>15</v>
      </c>
      <c r="D51" s="2">
        <v>9000</v>
      </c>
      <c r="E51" s="7">
        <f t="shared" si="0"/>
        <v>135000</v>
      </c>
    </row>
    <row r="52" spans="1:5" ht="15.6" hidden="1" x14ac:dyDescent="0.3">
      <c r="A52" s="8" t="s">
        <v>48</v>
      </c>
      <c r="B52" s="8" t="s">
        <v>34</v>
      </c>
      <c r="C52" s="2">
        <v>0</v>
      </c>
      <c r="D52" s="2"/>
      <c r="E52" s="7">
        <f t="shared" si="0"/>
        <v>0</v>
      </c>
    </row>
    <row r="53" spans="1:5" ht="15.6" x14ac:dyDescent="0.3">
      <c r="A53" s="8" t="s">
        <v>49</v>
      </c>
      <c r="B53" s="8" t="s">
        <v>3</v>
      </c>
      <c r="C53" s="2">
        <v>8</v>
      </c>
      <c r="D53" s="2">
        <v>19000</v>
      </c>
      <c r="E53" s="7">
        <f t="shared" si="0"/>
        <v>152000</v>
      </c>
    </row>
    <row r="54" spans="1:5" ht="15.6" x14ac:dyDescent="0.3">
      <c r="A54" s="8" t="s">
        <v>50</v>
      </c>
      <c r="B54" s="8" t="s">
        <v>3</v>
      </c>
      <c r="C54" s="2">
        <v>1210</v>
      </c>
      <c r="D54" s="2">
        <v>5000</v>
      </c>
      <c r="E54" s="7">
        <f t="shared" si="0"/>
        <v>6050000</v>
      </c>
    </row>
    <row r="55" spans="1:5" ht="15.6" hidden="1" x14ac:dyDescent="0.3">
      <c r="A55" s="8" t="s">
        <v>50</v>
      </c>
      <c r="B55" s="8" t="s">
        <v>51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52</v>
      </c>
      <c r="B56" s="8" t="s">
        <v>34</v>
      </c>
      <c r="C56" s="2">
        <v>133</v>
      </c>
      <c r="D56" s="2">
        <v>1800</v>
      </c>
      <c r="E56" s="7">
        <f t="shared" si="0"/>
        <v>239400</v>
      </c>
    </row>
    <row r="57" spans="1:5" ht="15.6" x14ac:dyDescent="0.3">
      <c r="A57" s="8" t="s">
        <v>53</v>
      </c>
      <c r="B57" s="8" t="s">
        <v>3</v>
      </c>
      <c r="C57" s="2">
        <v>2515</v>
      </c>
      <c r="D57" s="2">
        <v>25000</v>
      </c>
      <c r="E57" s="7">
        <f t="shared" si="0"/>
        <v>62875000</v>
      </c>
    </row>
    <row r="58" spans="1:5" ht="15.6" x14ac:dyDescent="0.3">
      <c r="A58" s="8" t="s">
        <v>54</v>
      </c>
      <c r="B58" s="8" t="s">
        <v>3</v>
      </c>
      <c r="C58" s="2">
        <v>30</v>
      </c>
      <c r="D58" s="2">
        <v>25000</v>
      </c>
      <c r="E58" s="7">
        <f t="shared" si="0"/>
        <v>750000</v>
      </c>
    </row>
    <row r="59" spans="1:5" ht="15.6" x14ac:dyDescent="0.3">
      <c r="A59" s="4" t="s">
        <v>55</v>
      </c>
      <c r="B59" s="4" t="s">
        <v>3</v>
      </c>
      <c r="C59" s="5">
        <v>160</v>
      </c>
      <c r="D59" s="2">
        <v>15000</v>
      </c>
      <c r="E59" s="7">
        <f t="shared" si="0"/>
        <v>2400000</v>
      </c>
    </row>
    <row r="60" spans="1:5" ht="15.6" x14ac:dyDescent="0.3">
      <c r="A60" s="8" t="s">
        <v>56</v>
      </c>
      <c r="B60" s="8" t="s">
        <v>3</v>
      </c>
      <c r="C60" s="2">
        <v>15</v>
      </c>
      <c r="D60" s="2">
        <v>25000</v>
      </c>
      <c r="E60" s="7">
        <f t="shared" si="0"/>
        <v>375000</v>
      </c>
    </row>
    <row r="61" spans="1:5" ht="15.6" hidden="1" x14ac:dyDescent="0.3">
      <c r="A61" s="8" t="s">
        <v>57</v>
      </c>
      <c r="B61" s="8" t="s">
        <v>3</v>
      </c>
      <c r="C61" s="2">
        <v>0</v>
      </c>
      <c r="D61" s="2"/>
      <c r="E61" s="7">
        <f t="shared" si="0"/>
        <v>0</v>
      </c>
    </row>
    <row r="62" spans="1:5" ht="15.6" x14ac:dyDescent="0.3">
      <c r="A62" s="8" t="s">
        <v>58</v>
      </c>
      <c r="B62" s="8" t="s">
        <v>3</v>
      </c>
      <c r="C62" s="2">
        <v>3</v>
      </c>
      <c r="D62" s="2">
        <v>4000</v>
      </c>
      <c r="E62" s="7">
        <f t="shared" si="0"/>
        <v>12000</v>
      </c>
    </row>
    <row r="63" spans="1:5" ht="15.6" hidden="1" x14ac:dyDescent="0.3">
      <c r="A63" s="8" t="s">
        <v>58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4" t="s">
        <v>59</v>
      </c>
      <c r="B64" s="4" t="s">
        <v>3</v>
      </c>
      <c r="C64" s="5">
        <v>270</v>
      </c>
      <c r="D64" s="2">
        <v>14000</v>
      </c>
      <c r="E64" s="7">
        <f t="shared" si="0"/>
        <v>3780000</v>
      </c>
    </row>
    <row r="65" spans="1:5" ht="15.6" hidden="1" x14ac:dyDescent="0.3">
      <c r="A65" s="8" t="s">
        <v>59</v>
      </c>
      <c r="B65" s="8" t="s">
        <v>34</v>
      </c>
      <c r="C65" s="2">
        <v>0</v>
      </c>
      <c r="D65" s="2"/>
      <c r="E65" s="7">
        <f t="shared" si="0"/>
        <v>0</v>
      </c>
    </row>
    <row r="66" spans="1:5" ht="15.6" x14ac:dyDescent="0.3">
      <c r="A66" s="8" t="s">
        <v>60</v>
      </c>
      <c r="B66" s="8" t="s">
        <v>34</v>
      </c>
      <c r="C66" s="2">
        <v>140</v>
      </c>
      <c r="D66" s="2">
        <v>4000</v>
      </c>
      <c r="E66" s="7">
        <f t="shared" si="0"/>
        <v>560000</v>
      </c>
    </row>
    <row r="67" spans="1:5" ht="15.6" hidden="1" x14ac:dyDescent="0.3">
      <c r="A67" s="4" t="s">
        <v>61</v>
      </c>
      <c r="B67" s="4" t="s">
        <v>3</v>
      </c>
      <c r="C67" s="5">
        <v>0</v>
      </c>
      <c r="D67" s="2"/>
      <c r="E67" s="7">
        <f t="shared" si="0"/>
        <v>0</v>
      </c>
    </row>
    <row r="68" spans="1:5" ht="15.6" hidden="1" x14ac:dyDescent="0.3">
      <c r="A68" s="8" t="s">
        <v>62</v>
      </c>
      <c r="B68" s="8" t="s">
        <v>3</v>
      </c>
      <c r="C68" s="2">
        <v>0</v>
      </c>
      <c r="D68" s="2"/>
      <c r="E68" s="7">
        <f t="shared" ref="E68:E110" si="1">C68*D68</f>
        <v>0</v>
      </c>
    </row>
    <row r="69" spans="1:5" ht="15.6" hidden="1" x14ac:dyDescent="0.3">
      <c r="A69" s="8" t="s">
        <v>63</v>
      </c>
      <c r="B69" s="8" t="s">
        <v>3</v>
      </c>
      <c r="C69" s="2">
        <v>0</v>
      </c>
      <c r="D69" s="2"/>
      <c r="E69" s="7">
        <f t="shared" si="1"/>
        <v>0</v>
      </c>
    </row>
    <row r="70" spans="1:5" ht="15.6" hidden="1" x14ac:dyDescent="0.3">
      <c r="A70" s="6" t="s">
        <v>64</v>
      </c>
      <c r="B70" s="6" t="s">
        <v>3</v>
      </c>
      <c r="C70" s="5">
        <v>0</v>
      </c>
      <c r="D70" s="2"/>
      <c r="E70" s="7">
        <f t="shared" si="1"/>
        <v>0</v>
      </c>
    </row>
    <row r="71" spans="1:5" ht="15.6" x14ac:dyDescent="0.3">
      <c r="A71" s="8" t="s">
        <v>64</v>
      </c>
      <c r="B71" s="8" t="s">
        <v>17</v>
      </c>
      <c r="C71" s="2">
        <v>1034</v>
      </c>
      <c r="D71" s="2">
        <v>8500</v>
      </c>
      <c r="E71" s="7">
        <f t="shared" si="1"/>
        <v>8789000</v>
      </c>
    </row>
    <row r="72" spans="1:5" ht="15.6" x14ac:dyDescent="0.3">
      <c r="A72" s="8" t="s">
        <v>65</v>
      </c>
      <c r="B72" s="8" t="s">
        <v>3</v>
      </c>
      <c r="C72" s="2">
        <v>15</v>
      </c>
      <c r="D72" s="2">
        <v>16000</v>
      </c>
      <c r="E72" s="7">
        <f t="shared" si="1"/>
        <v>240000</v>
      </c>
    </row>
    <row r="73" spans="1:5" ht="15.6" x14ac:dyDescent="0.3">
      <c r="A73" s="8" t="s">
        <v>66</v>
      </c>
      <c r="B73" s="8" t="s">
        <v>3</v>
      </c>
      <c r="C73" s="2">
        <v>15</v>
      </c>
      <c r="D73" s="2">
        <v>15000</v>
      </c>
      <c r="E73" s="7">
        <f t="shared" si="1"/>
        <v>225000</v>
      </c>
    </row>
    <row r="74" spans="1:5" ht="15.6" x14ac:dyDescent="0.3">
      <c r="A74" s="8" t="s">
        <v>67</v>
      </c>
      <c r="B74" s="8" t="s">
        <v>34</v>
      </c>
      <c r="C74" s="2">
        <v>8</v>
      </c>
      <c r="D74" s="2">
        <v>6000</v>
      </c>
      <c r="E74" s="7">
        <f t="shared" si="1"/>
        <v>48000</v>
      </c>
    </row>
    <row r="75" spans="1:5" ht="15.6" hidden="1" x14ac:dyDescent="0.3">
      <c r="A75" s="8" t="s">
        <v>68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hidden="1" x14ac:dyDescent="0.3">
      <c r="A76" s="8" t="s">
        <v>68</v>
      </c>
      <c r="B76" s="8" t="s">
        <v>34</v>
      </c>
      <c r="C76" s="2">
        <v>0</v>
      </c>
      <c r="D76" s="2"/>
      <c r="E76" s="7">
        <f t="shared" si="1"/>
        <v>0</v>
      </c>
    </row>
    <row r="77" spans="1:5" ht="15.6" x14ac:dyDescent="0.3">
      <c r="A77" s="8" t="s">
        <v>69</v>
      </c>
      <c r="B77" s="8" t="s">
        <v>3</v>
      </c>
      <c r="C77" s="2">
        <v>0.5</v>
      </c>
      <c r="D77" s="2">
        <v>80000</v>
      </c>
      <c r="E77" s="7">
        <f t="shared" si="1"/>
        <v>40000</v>
      </c>
    </row>
    <row r="78" spans="1:5" ht="15.6" hidden="1" x14ac:dyDescent="0.3">
      <c r="A78" s="8" t="s">
        <v>70</v>
      </c>
      <c r="B78" s="8" t="s">
        <v>3</v>
      </c>
      <c r="C78" s="2">
        <v>0</v>
      </c>
      <c r="D78" s="2"/>
      <c r="E78" s="7">
        <f t="shared" si="1"/>
        <v>0</v>
      </c>
    </row>
    <row r="79" spans="1:5" ht="15.6" x14ac:dyDescent="0.3">
      <c r="A79" s="8" t="s">
        <v>71</v>
      </c>
      <c r="B79" s="8" t="s">
        <v>3</v>
      </c>
      <c r="C79" s="2">
        <v>0.5</v>
      </c>
      <c r="D79" s="2">
        <v>70000</v>
      </c>
      <c r="E79" s="7">
        <f t="shared" si="1"/>
        <v>35000</v>
      </c>
    </row>
    <row r="80" spans="1:5" ht="15.6" x14ac:dyDescent="0.3">
      <c r="A80" s="8" t="s">
        <v>72</v>
      </c>
      <c r="B80" s="8" t="s">
        <v>3</v>
      </c>
      <c r="C80" s="2">
        <v>2</v>
      </c>
      <c r="D80" s="2">
        <v>10000</v>
      </c>
      <c r="E80" s="7">
        <f t="shared" si="1"/>
        <v>20000</v>
      </c>
    </row>
    <row r="81" spans="1:5" ht="15.6" hidden="1" x14ac:dyDescent="0.3">
      <c r="A81" s="8" t="s">
        <v>72</v>
      </c>
      <c r="B81" s="8" t="s">
        <v>19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73</v>
      </c>
      <c r="B82" s="8" t="s">
        <v>3</v>
      </c>
      <c r="C82" s="2">
        <v>0</v>
      </c>
      <c r="D82" s="2"/>
      <c r="E82" s="7">
        <f t="shared" si="1"/>
        <v>0</v>
      </c>
    </row>
    <row r="83" spans="1:5" ht="15.6" hidden="1" x14ac:dyDescent="0.3">
      <c r="A83" s="8" t="s">
        <v>74</v>
      </c>
      <c r="B83" s="8" t="s">
        <v>34</v>
      </c>
      <c r="C83" s="2">
        <v>0</v>
      </c>
      <c r="D83" s="2"/>
      <c r="E83" s="7">
        <f t="shared" si="1"/>
        <v>0</v>
      </c>
    </row>
    <row r="84" spans="1:5" ht="15.6" x14ac:dyDescent="0.3">
      <c r="A84" s="8" t="s">
        <v>75</v>
      </c>
      <c r="B84" s="8" t="s">
        <v>3</v>
      </c>
      <c r="C84" s="2">
        <v>34</v>
      </c>
      <c r="D84" s="2">
        <v>14000</v>
      </c>
      <c r="E84" s="7">
        <f t="shared" si="1"/>
        <v>476000</v>
      </c>
    </row>
    <row r="85" spans="1:5" ht="15.6" hidden="1" x14ac:dyDescent="0.3">
      <c r="A85" s="8" t="s">
        <v>76</v>
      </c>
      <c r="B85" s="8" t="s">
        <v>77</v>
      </c>
      <c r="C85" s="2">
        <v>0</v>
      </c>
      <c r="D85" s="2"/>
      <c r="E85" s="7">
        <f t="shared" si="1"/>
        <v>0</v>
      </c>
    </row>
    <row r="86" spans="1:5" ht="15.6" hidden="1" x14ac:dyDescent="0.3">
      <c r="A86" s="8" t="s">
        <v>76</v>
      </c>
      <c r="B86" s="8" t="s">
        <v>78</v>
      </c>
      <c r="C86" s="2">
        <v>0</v>
      </c>
      <c r="D86" s="2"/>
      <c r="E86" s="7">
        <f t="shared" si="1"/>
        <v>0</v>
      </c>
    </row>
    <row r="87" spans="1:5" ht="15.6" hidden="1" x14ac:dyDescent="0.3">
      <c r="A87" s="4" t="s">
        <v>79</v>
      </c>
      <c r="B87" s="4" t="s">
        <v>17</v>
      </c>
      <c r="C87" s="5">
        <v>0</v>
      </c>
      <c r="D87" s="2"/>
      <c r="E87" s="7">
        <f t="shared" si="1"/>
        <v>0</v>
      </c>
    </row>
    <row r="88" spans="1:5" ht="15.6" hidden="1" x14ac:dyDescent="0.3">
      <c r="A88" s="8" t="s">
        <v>80</v>
      </c>
      <c r="B88" s="8" t="s">
        <v>29</v>
      </c>
      <c r="C88" s="2">
        <v>0</v>
      </c>
      <c r="D88" s="2"/>
      <c r="E88" s="7">
        <f t="shared" si="1"/>
        <v>0</v>
      </c>
    </row>
    <row r="89" spans="1:5" ht="15.6" x14ac:dyDescent="0.3">
      <c r="A89" s="8" t="s">
        <v>80</v>
      </c>
      <c r="B89" s="8" t="s">
        <v>3</v>
      </c>
      <c r="C89" s="2">
        <v>5</v>
      </c>
      <c r="D89" s="2">
        <v>35000</v>
      </c>
      <c r="E89" s="7">
        <f t="shared" si="1"/>
        <v>175000</v>
      </c>
    </row>
    <row r="90" spans="1:5" ht="15.6" x14ac:dyDescent="0.3">
      <c r="A90" s="8" t="s">
        <v>81</v>
      </c>
      <c r="B90" s="8" t="s">
        <v>3</v>
      </c>
      <c r="C90" s="2">
        <v>63</v>
      </c>
      <c r="D90" s="2">
        <v>24000</v>
      </c>
      <c r="E90" s="7">
        <f t="shared" si="1"/>
        <v>1512000</v>
      </c>
    </row>
    <row r="91" spans="1:5" ht="15.6" hidden="1" x14ac:dyDescent="0.3">
      <c r="A91" s="4" t="s">
        <v>81</v>
      </c>
      <c r="B91" s="4" t="s">
        <v>9</v>
      </c>
      <c r="C91" s="5">
        <v>0</v>
      </c>
      <c r="D91" s="2"/>
      <c r="E91" s="7">
        <f t="shared" si="1"/>
        <v>0</v>
      </c>
    </row>
    <row r="92" spans="1:5" ht="15.6" x14ac:dyDescent="0.3">
      <c r="A92" s="8" t="s">
        <v>82</v>
      </c>
      <c r="B92" s="8" t="s">
        <v>3</v>
      </c>
      <c r="C92" s="2">
        <v>55</v>
      </c>
      <c r="D92" s="2">
        <v>26000</v>
      </c>
      <c r="E92" s="7">
        <f t="shared" si="1"/>
        <v>1430000</v>
      </c>
    </row>
    <row r="93" spans="1:5" ht="15.6" hidden="1" x14ac:dyDescent="0.3">
      <c r="A93" s="4" t="s">
        <v>82</v>
      </c>
      <c r="B93" s="4" t="s">
        <v>9</v>
      </c>
      <c r="C93" s="5">
        <v>0</v>
      </c>
      <c r="D93" s="2"/>
      <c r="E93" s="7">
        <f t="shared" si="1"/>
        <v>0</v>
      </c>
    </row>
    <row r="94" spans="1:5" ht="15.6" x14ac:dyDescent="0.3">
      <c r="A94" s="8" t="s">
        <v>83</v>
      </c>
      <c r="B94" s="8" t="s">
        <v>3</v>
      </c>
      <c r="C94" s="2">
        <v>55</v>
      </c>
      <c r="D94" s="2">
        <v>30000</v>
      </c>
      <c r="E94" s="7">
        <f t="shared" si="1"/>
        <v>1650000</v>
      </c>
    </row>
    <row r="95" spans="1:5" ht="15.6" hidden="1" x14ac:dyDescent="0.3">
      <c r="A95" s="8" t="s">
        <v>83</v>
      </c>
      <c r="B95" s="8" t="s">
        <v>9</v>
      </c>
      <c r="C95" s="2">
        <v>0</v>
      </c>
      <c r="D95" s="2"/>
      <c r="E95" s="7">
        <f t="shared" si="1"/>
        <v>0</v>
      </c>
    </row>
    <row r="96" spans="1:5" ht="15.6" x14ac:dyDescent="0.3">
      <c r="A96" s="8" t="s">
        <v>84</v>
      </c>
      <c r="B96" s="8" t="s">
        <v>34</v>
      </c>
      <c r="C96" s="2">
        <v>50</v>
      </c>
      <c r="D96" s="2">
        <v>17000</v>
      </c>
      <c r="E96" s="7">
        <f t="shared" si="1"/>
        <v>850000</v>
      </c>
    </row>
    <row r="97" spans="1:5" ht="15.6" x14ac:dyDescent="0.3">
      <c r="A97" s="8" t="s">
        <v>85</v>
      </c>
      <c r="B97" s="8" t="s">
        <v>34</v>
      </c>
      <c r="C97" s="2">
        <v>3</v>
      </c>
      <c r="D97" s="2">
        <v>8750</v>
      </c>
      <c r="E97" s="7">
        <f t="shared" si="1"/>
        <v>26250</v>
      </c>
    </row>
    <row r="98" spans="1:5" ht="15.6" x14ac:dyDescent="0.3">
      <c r="A98" s="8" t="s">
        <v>86</v>
      </c>
      <c r="B98" s="8" t="s">
        <v>9</v>
      </c>
      <c r="C98" s="2">
        <v>1355</v>
      </c>
      <c r="D98" s="2">
        <v>9000</v>
      </c>
      <c r="E98" s="7">
        <f t="shared" si="1"/>
        <v>12195000</v>
      </c>
    </row>
    <row r="99" spans="1:5" ht="15.6" x14ac:dyDescent="0.3">
      <c r="A99" s="8" t="s">
        <v>87</v>
      </c>
      <c r="B99" s="8" t="s">
        <v>9</v>
      </c>
      <c r="C99" s="2">
        <v>353</v>
      </c>
      <c r="D99" s="2">
        <v>11361</v>
      </c>
      <c r="E99" s="7">
        <f t="shared" si="1"/>
        <v>4010433</v>
      </c>
    </row>
    <row r="100" spans="1:5" ht="15.6" hidden="1" x14ac:dyDescent="0.3">
      <c r="A100" s="8" t="s">
        <v>88</v>
      </c>
      <c r="B100" s="8" t="s">
        <v>3</v>
      </c>
      <c r="C100" s="2">
        <v>0</v>
      </c>
      <c r="D100" s="2"/>
      <c r="E100" s="7">
        <f t="shared" si="1"/>
        <v>0</v>
      </c>
    </row>
    <row r="101" spans="1:5" ht="15.6" x14ac:dyDescent="0.3">
      <c r="A101" s="8" t="s">
        <v>89</v>
      </c>
      <c r="B101" s="8" t="s">
        <v>3</v>
      </c>
      <c r="C101" s="2">
        <v>10</v>
      </c>
      <c r="D101" s="2">
        <v>18000</v>
      </c>
      <c r="E101" s="7">
        <f t="shared" si="1"/>
        <v>180000</v>
      </c>
    </row>
    <row r="102" spans="1:5" ht="15.6" x14ac:dyDescent="0.3">
      <c r="A102" s="8" t="s">
        <v>90</v>
      </c>
      <c r="B102" s="8" t="s">
        <v>3</v>
      </c>
      <c r="C102" s="2">
        <v>135</v>
      </c>
      <c r="D102" s="2">
        <v>4500</v>
      </c>
      <c r="E102" s="7">
        <f t="shared" si="1"/>
        <v>607500</v>
      </c>
    </row>
    <row r="103" spans="1:5" ht="15.6" hidden="1" x14ac:dyDescent="0.3">
      <c r="A103" s="8" t="s">
        <v>91</v>
      </c>
      <c r="B103" s="8" t="s">
        <v>3</v>
      </c>
      <c r="C103" s="2">
        <v>0</v>
      </c>
      <c r="D103" s="2"/>
      <c r="E103" s="7">
        <f t="shared" si="1"/>
        <v>0</v>
      </c>
    </row>
    <row r="104" spans="1:5" ht="15.6" hidden="1" x14ac:dyDescent="0.3">
      <c r="A104" s="8" t="s">
        <v>92</v>
      </c>
      <c r="B104" s="8" t="s">
        <v>3</v>
      </c>
      <c r="C104" s="2">
        <v>0</v>
      </c>
      <c r="D104" s="2"/>
      <c r="E104" s="7">
        <f t="shared" si="1"/>
        <v>0</v>
      </c>
    </row>
    <row r="105" spans="1:5" ht="15.6" hidden="1" x14ac:dyDescent="0.3">
      <c r="A105" s="4" t="s">
        <v>93</v>
      </c>
      <c r="B105" s="4" t="s">
        <v>19</v>
      </c>
      <c r="C105" s="2">
        <v>0</v>
      </c>
      <c r="D105" s="2"/>
      <c r="E105" s="7">
        <f t="shared" si="1"/>
        <v>0</v>
      </c>
    </row>
    <row r="106" spans="1:5" ht="15.6" x14ac:dyDescent="0.3">
      <c r="A106" s="8" t="s">
        <v>94</v>
      </c>
      <c r="B106" s="8" t="s">
        <v>3</v>
      </c>
      <c r="C106" s="2">
        <v>2</v>
      </c>
      <c r="D106" s="2">
        <v>24000</v>
      </c>
      <c r="E106" s="7">
        <f t="shared" si="1"/>
        <v>48000</v>
      </c>
    </row>
    <row r="107" spans="1:5" ht="15.6" hidden="1" x14ac:dyDescent="0.3">
      <c r="A107" s="4" t="s">
        <v>95</v>
      </c>
      <c r="B107" s="4" t="s">
        <v>19</v>
      </c>
      <c r="C107" s="2">
        <v>0</v>
      </c>
      <c r="D107" s="2"/>
      <c r="E107" s="7">
        <f t="shared" si="1"/>
        <v>0</v>
      </c>
    </row>
    <row r="108" spans="1:5" ht="15.6" hidden="1" x14ac:dyDescent="0.3">
      <c r="A108" s="8" t="s">
        <v>96</v>
      </c>
      <c r="B108" s="8" t="s">
        <v>3</v>
      </c>
      <c r="C108" s="2">
        <v>0</v>
      </c>
      <c r="D108" s="2"/>
      <c r="E108" s="7">
        <f t="shared" si="1"/>
        <v>0</v>
      </c>
    </row>
    <row r="109" spans="1:5" ht="15.6" x14ac:dyDescent="0.3">
      <c r="A109" s="8" t="s">
        <v>97</v>
      </c>
      <c r="B109" s="8" t="s">
        <v>3</v>
      </c>
      <c r="C109" s="2">
        <v>2</v>
      </c>
      <c r="D109" s="2">
        <v>25000</v>
      </c>
      <c r="E109" s="7">
        <f t="shared" si="1"/>
        <v>50000</v>
      </c>
    </row>
    <row r="110" spans="1:5" ht="15.6" hidden="1" x14ac:dyDescent="0.3">
      <c r="A110" s="4" t="s">
        <v>98</v>
      </c>
      <c r="B110" s="4" t="s">
        <v>19</v>
      </c>
      <c r="C110" s="5">
        <v>0</v>
      </c>
      <c r="D110" s="2"/>
      <c r="E110" s="7">
        <f t="shared" si="1"/>
        <v>0</v>
      </c>
    </row>
    <row r="111" spans="1:5" x14ac:dyDescent="0.3">
      <c r="E111" s="9">
        <f>SUM(E3:E109)</f>
        <v>136221983</v>
      </c>
    </row>
  </sheetData>
  <autoFilter ref="A2:E110" xr:uid="{00000000-0009-0000-0000-000000000000}">
    <filterColumn colId="2">
      <filters>
        <filter val="1"/>
        <filter val="1,034"/>
        <filter val="1,210"/>
        <filter val="1,355"/>
        <filter val="10"/>
        <filter val="11"/>
        <filter val="12"/>
        <filter val="13"/>
        <filter val="133"/>
        <filter val="135"/>
        <filter val="14"/>
        <filter val="140"/>
        <filter val="15"/>
        <filter val="150"/>
        <filter val="160"/>
        <filter val="2"/>
        <filter val="2,515"/>
        <filter val="20"/>
        <filter val="200"/>
        <filter val="211"/>
        <filter val="260"/>
        <filter val="270"/>
        <filter val="3"/>
        <filter val="30"/>
        <filter val="315"/>
        <filter val="33"/>
        <filter val="34"/>
        <filter val="353"/>
        <filter val="4"/>
        <filter val="40"/>
        <filter val="461"/>
        <filter val="5"/>
        <filter val="50"/>
        <filter val="55"/>
        <filter val="60"/>
        <filter val="63"/>
        <filter val="657"/>
        <filter val="8"/>
        <filter val="808"/>
        <filter val="9"/>
        <filter val="92"/>
        <filter val="9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24"/>
  <sheetViews>
    <sheetView workbookViewId="0">
      <selection activeCell="G7" sqref="G7"/>
    </sheetView>
  </sheetViews>
  <sheetFormatPr defaultRowHeight="14.4" x14ac:dyDescent="0.3"/>
  <cols>
    <col min="1" max="1" width="24.6640625" customWidth="1"/>
    <col min="5" max="5" width="17.21875" customWidth="1"/>
  </cols>
  <sheetData>
    <row r="1" spans="1:5" x14ac:dyDescent="0.3">
      <c r="A1" t="s">
        <v>114</v>
      </c>
    </row>
    <row r="2" spans="1:5" ht="46.8" customHeight="1" x14ac:dyDescent="0.3">
      <c r="A2" s="10" t="s">
        <v>0</v>
      </c>
      <c r="B2" s="10" t="s">
        <v>1</v>
      </c>
      <c r="C2" s="2" t="s">
        <v>100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23</v>
      </c>
      <c r="D3" s="7">
        <v>18000</v>
      </c>
      <c r="E3" s="12">
        <f>C3*D3</f>
        <v>414000</v>
      </c>
    </row>
    <row r="4" spans="1:5" ht="15.6" x14ac:dyDescent="0.3">
      <c r="A4" s="8" t="s">
        <v>4</v>
      </c>
      <c r="B4" s="8" t="s">
        <v>3</v>
      </c>
      <c r="C4" s="2">
        <v>790</v>
      </c>
      <c r="D4" s="7">
        <v>4000</v>
      </c>
      <c r="E4" s="12">
        <f t="shared" ref="E4:E67" si="0">C4*D4</f>
        <v>3160000</v>
      </c>
    </row>
    <row r="5" spans="1:5" ht="15.6" x14ac:dyDescent="0.3">
      <c r="A5" s="8" t="s">
        <v>5</v>
      </c>
      <c r="B5" s="8" t="s">
        <v>3</v>
      </c>
      <c r="C5" s="2">
        <v>490</v>
      </c>
      <c r="D5" s="7">
        <v>4000</v>
      </c>
      <c r="E5" s="12">
        <f t="shared" si="0"/>
        <v>1960000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x14ac:dyDescent="0.3">
      <c r="A7" s="8" t="s">
        <v>6</v>
      </c>
      <c r="B7" s="8" t="s">
        <v>3</v>
      </c>
      <c r="C7" s="2">
        <v>2</v>
      </c>
      <c r="D7" s="7">
        <v>8000</v>
      </c>
      <c r="E7" s="12">
        <f t="shared" si="0"/>
        <v>16000</v>
      </c>
    </row>
    <row r="8" spans="1:5" ht="15.6" x14ac:dyDescent="0.3">
      <c r="A8" s="8" t="s">
        <v>7</v>
      </c>
      <c r="B8" s="8" t="s">
        <v>3</v>
      </c>
      <c r="C8" s="2">
        <v>600</v>
      </c>
      <c r="D8" s="7">
        <v>10500</v>
      </c>
      <c r="E8" s="12">
        <f t="shared" si="0"/>
        <v>6300000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7"/>
      <c r="E9" s="12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130</v>
      </c>
      <c r="D10" s="7">
        <v>13000</v>
      </c>
      <c r="E10" s="12">
        <f t="shared" si="0"/>
        <v>1690000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7"/>
      <c r="E11" s="12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41</v>
      </c>
      <c r="D12" s="7">
        <v>15000</v>
      </c>
      <c r="E12" s="12">
        <f t="shared" si="0"/>
        <v>615000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7"/>
      <c r="E13" s="12">
        <f t="shared" si="0"/>
        <v>0</v>
      </c>
    </row>
    <row r="14" spans="1:5" ht="15.6" hidden="1" x14ac:dyDescent="0.3">
      <c r="A14" s="8" t="s">
        <v>21</v>
      </c>
      <c r="B14" s="8" t="s">
        <v>3</v>
      </c>
      <c r="C14" s="2">
        <v>0</v>
      </c>
      <c r="D14" s="7"/>
      <c r="E14" s="12">
        <f t="shared" si="0"/>
        <v>0</v>
      </c>
    </row>
    <row r="15" spans="1:5" ht="15.6" x14ac:dyDescent="0.3">
      <c r="A15" s="8" t="s">
        <v>12</v>
      </c>
      <c r="B15" s="8" t="s">
        <v>3</v>
      </c>
      <c r="C15" s="2">
        <v>20</v>
      </c>
      <c r="D15" s="7">
        <v>12000</v>
      </c>
      <c r="E15" s="12">
        <f t="shared" si="0"/>
        <v>240000</v>
      </c>
    </row>
    <row r="16" spans="1:5" ht="15.6" hidden="1" x14ac:dyDescent="0.3">
      <c r="A16" s="8" t="s">
        <v>13</v>
      </c>
      <c r="B16" s="8" t="s">
        <v>3</v>
      </c>
      <c r="C16" s="2">
        <v>0</v>
      </c>
      <c r="D16" s="7"/>
      <c r="E16" s="12">
        <f t="shared" si="0"/>
        <v>0</v>
      </c>
    </row>
    <row r="17" spans="1:5" ht="15.6" hidden="1" x14ac:dyDescent="0.3">
      <c r="A17" s="8" t="s">
        <v>14</v>
      </c>
      <c r="B17" s="8" t="s">
        <v>3</v>
      </c>
      <c r="C17" s="2">
        <v>0</v>
      </c>
      <c r="D17" s="7"/>
      <c r="E17" s="12">
        <f t="shared" si="0"/>
        <v>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7"/>
      <c r="E18" s="12">
        <f t="shared" si="0"/>
        <v>0</v>
      </c>
    </row>
    <row r="19" spans="1:5" ht="15.6" hidden="1" x14ac:dyDescent="0.3">
      <c r="A19" s="8" t="s">
        <v>16</v>
      </c>
      <c r="B19" s="8" t="s">
        <v>17</v>
      </c>
      <c r="C19" s="2">
        <v>0</v>
      </c>
      <c r="D19" s="7"/>
      <c r="E19" s="12">
        <f t="shared" si="0"/>
        <v>0</v>
      </c>
    </row>
    <row r="20" spans="1:5" ht="15.6" hidden="1" x14ac:dyDescent="0.3">
      <c r="A20" s="8" t="s">
        <v>18</v>
      </c>
      <c r="B20" s="8" t="s">
        <v>19</v>
      </c>
      <c r="C20" s="2">
        <v>0</v>
      </c>
      <c r="D20" s="7"/>
      <c r="E20" s="12">
        <f t="shared" si="0"/>
        <v>0</v>
      </c>
    </row>
    <row r="21" spans="1:5" ht="15.6" hidden="1" x14ac:dyDescent="0.3">
      <c r="A21" s="8" t="s">
        <v>20</v>
      </c>
      <c r="B21" s="8" t="s">
        <v>3</v>
      </c>
      <c r="C21" s="2">
        <v>0</v>
      </c>
      <c r="D21" s="7"/>
      <c r="E21" s="12">
        <f t="shared" si="0"/>
        <v>0</v>
      </c>
    </row>
    <row r="22" spans="1:5" ht="15.6" x14ac:dyDescent="0.3">
      <c r="A22" s="8" t="s">
        <v>22</v>
      </c>
      <c r="B22" s="8" t="s">
        <v>3</v>
      </c>
      <c r="C22" s="2">
        <v>175</v>
      </c>
      <c r="D22" s="7">
        <v>16000</v>
      </c>
      <c r="E22" s="12">
        <f t="shared" si="0"/>
        <v>2800000</v>
      </c>
    </row>
    <row r="23" spans="1:5" ht="15.6" hidden="1" x14ac:dyDescent="0.3">
      <c r="A23" s="8" t="s">
        <v>22</v>
      </c>
      <c r="B23" s="8" t="s">
        <v>17</v>
      </c>
      <c r="C23" s="2">
        <v>0</v>
      </c>
      <c r="D23" s="7"/>
      <c r="E23" s="12">
        <f t="shared" si="0"/>
        <v>0</v>
      </c>
    </row>
    <row r="24" spans="1:5" ht="15.6" x14ac:dyDescent="0.3">
      <c r="A24" s="8" t="s">
        <v>22</v>
      </c>
      <c r="B24" s="8" t="s">
        <v>23</v>
      </c>
      <c r="C24" s="2">
        <v>10</v>
      </c>
      <c r="D24" s="7">
        <v>12000</v>
      </c>
      <c r="E24" s="12">
        <f t="shared" si="0"/>
        <v>120000</v>
      </c>
    </row>
    <row r="25" spans="1:5" ht="15.6" x14ac:dyDescent="0.3">
      <c r="A25" s="8" t="s">
        <v>24</v>
      </c>
      <c r="B25" s="8" t="s">
        <v>3</v>
      </c>
      <c r="C25" s="2">
        <v>33</v>
      </c>
      <c r="D25" s="7">
        <v>14000</v>
      </c>
      <c r="E25" s="12">
        <f t="shared" si="0"/>
        <v>462000</v>
      </c>
    </row>
    <row r="26" spans="1:5" ht="15.6" hidden="1" x14ac:dyDescent="0.3">
      <c r="A26" s="8" t="s">
        <v>24</v>
      </c>
      <c r="B26" s="8" t="s">
        <v>25</v>
      </c>
      <c r="C26" s="2">
        <v>0</v>
      </c>
      <c r="D26" s="7"/>
      <c r="E26" s="12">
        <f t="shared" si="0"/>
        <v>0</v>
      </c>
    </row>
    <row r="27" spans="1:5" ht="15.6" x14ac:dyDescent="0.3">
      <c r="A27" s="8" t="s">
        <v>26</v>
      </c>
      <c r="B27" s="8" t="s">
        <v>78</v>
      </c>
      <c r="C27" s="2">
        <v>9</v>
      </c>
      <c r="D27" s="7">
        <v>10000</v>
      </c>
      <c r="E27" s="12">
        <f t="shared" si="0"/>
        <v>90000</v>
      </c>
    </row>
    <row r="28" spans="1:5" ht="15.6" x14ac:dyDescent="0.3">
      <c r="A28" s="8" t="s">
        <v>26</v>
      </c>
      <c r="B28" s="8" t="s">
        <v>27</v>
      </c>
      <c r="C28" s="2">
        <v>89</v>
      </c>
      <c r="D28" s="7">
        <v>6000</v>
      </c>
      <c r="E28" s="12">
        <f t="shared" si="0"/>
        <v>534000</v>
      </c>
    </row>
    <row r="29" spans="1:5" ht="15.6" x14ac:dyDescent="0.3">
      <c r="A29" s="8" t="s">
        <v>28</v>
      </c>
      <c r="B29" s="8" t="s">
        <v>29</v>
      </c>
      <c r="C29" s="2">
        <v>27</v>
      </c>
      <c r="D29" s="7">
        <v>12000</v>
      </c>
      <c r="E29" s="12">
        <f t="shared" si="0"/>
        <v>324000</v>
      </c>
    </row>
    <row r="30" spans="1:5" ht="15.6" x14ac:dyDescent="0.3">
      <c r="A30" s="8" t="s">
        <v>30</v>
      </c>
      <c r="B30" s="8" t="s">
        <v>3</v>
      </c>
      <c r="C30" s="2">
        <v>10</v>
      </c>
      <c r="D30" s="7">
        <v>30000</v>
      </c>
      <c r="E30" s="12">
        <f t="shared" si="0"/>
        <v>300000</v>
      </c>
    </row>
    <row r="31" spans="1:5" ht="15.6" x14ac:dyDescent="0.3">
      <c r="A31" s="8" t="s">
        <v>30</v>
      </c>
      <c r="B31" s="8" t="s">
        <v>31</v>
      </c>
      <c r="C31" s="2">
        <v>392</v>
      </c>
      <c r="D31" s="7">
        <v>7500</v>
      </c>
      <c r="E31" s="12">
        <f t="shared" si="0"/>
        <v>2940000</v>
      </c>
    </row>
    <row r="32" spans="1:5" ht="15.6" x14ac:dyDescent="0.3">
      <c r="A32" s="8" t="s">
        <v>32</v>
      </c>
      <c r="B32" s="8" t="s">
        <v>3</v>
      </c>
      <c r="C32" s="2">
        <v>630</v>
      </c>
      <c r="D32" s="7">
        <v>16000</v>
      </c>
      <c r="E32" s="12">
        <f t="shared" si="0"/>
        <v>10080000</v>
      </c>
    </row>
    <row r="33" spans="1:5" ht="15.6" hidden="1" x14ac:dyDescent="0.3">
      <c r="A33" s="8" t="s">
        <v>32</v>
      </c>
      <c r="B33" s="8" t="s">
        <v>17</v>
      </c>
      <c r="C33" s="2">
        <v>0</v>
      </c>
      <c r="D33" s="7"/>
      <c r="E33" s="12">
        <f t="shared" si="0"/>
        <v>0</v>
      </c>
    </row>
    <row r="34" spans="1:5" ht="15.6" x14ac:dyDescent="0.3">
      <c r="A34" s="8" t="s">
        <v>33</v>
      </c>
      <c r="B34" s="8" t="s">
        <v>34</v>
      </c>
      <c r="C34" s="2">
        <v>6</v>
      </c>
      <c r="D34" s="7">
        <v>12000</v>
      </c>
      <c r="E34" s="12">
        <f t="shared" si="0"/>
        <v>72000</v>
      </c>
    </row>
    <row r="35" spans="1:5" ht="15.6" x14ac:dyDescent="0.3">
      <c r="A35" s="8" t="s">
        <v>35</v>
      </c>
      <c r="B35" s="8" t="s">
        <v>3</v>
      </c>
      <c r="C35" s="2">
        <v>175</v>
      </c>
      <c r="D35" s="7">
        <v>6000</v>
      </c>
      <c r="E35" s="12">
        <f t="shared" si="0"/>
        <v>1050000</v>
      </c>
    </row>
    <row r="36" spans="1:5" ht="15.6" hidden="1" x14ac:dyDescent="0.3">
      <c r="A36" s="8" t="s">
        <v>35</v>
      </c>
      <c r="B36" s="8" t="s">
        <v>34</v>
      </c>
      <c r="C36" s="2">
        <v>0</v>
      </c>
      <c r="D36" s="7"/>
      <c r="E36" s="12">
        <f t="shared" si="0"/>
        <v>0</v>
      </c>
    </row>
    <row r="37" spans="1:5" ht="15.6" hidden="1" x14ac:dyDescent="0.3">
      <c r="A37" s="8" t="s">
        <v>36</v>
      </c>
      <c r="B37" s="8" t="s">
        <v>3</v>
      </c>
      <c r="C37" s="2">
        <v>0</v>
      </c>
      <c r="D37" s="7"/>
      <c r="E37" s="12">
        <f t="shared" si="0"/>
        <v>0</v>
      </c>
    </row>
    <row r="38" spans="1:5" ht="15.6" x14ac:dyDescent="0.3">
      <c r="A38" s="8" t="s">
        <v>36</v>
      </c>
      <c r="B38" s="8" t="s">
        <v>17</v>
      </c>
      <c r="C38" s="2">
        <v>13</v>
      </c>
      <c r="D38" s="7">
        <v>6000</v>
      </c>
      <c r="E38" s="12">
        <f t="shared" si="0"/>
        <v>78000</v>
      </c>
    </row>
    <row r="39" spans="1:5" ht="15.6" x14ac:dyDescent="0.3">
      <c r="A39" s="8" t="s">
        <v>37</v>
      </c>
      <c r="B39" s="8" t="s">
        <v>3</v>
      </c>
      <c r="C39" s="2">
        <v>55</v>
      </c>
      <c r="D39" s="7">
        <v>8000</v>
      </c>
      <c r="E39" s="12">
        <f t="shared" si="0"/>
        <v>440000</v>
      </c>
    </row>
    <row r="40" spans="1:5" ht="15.6" hidden="1" x14ac:dyDescent="0.3">
      <c r="A40" s="8" t="s">
        <v>37</v>
      </c>
      <c r="B40" s="8" t="s">
        <v>38</v>
      </c>
      <c r="C40" s="2">
        <v>0</v>
      </c>
      <c r="D40" s="7"/>
      <c r="E40" s="12">
        <f t="shared" si="0"/>
        <v>0</v>
      </c>
    </row>
    <row r="41" spans="1:5" ht="15.6" x14ac:dyDescent="0.3">
      <c r="A41" s="8" t="s">
        <v>39</v>
      </c>
      <c r="B41" s="8" t="s">
        <v>3</v>
      </c>
      <c r="C41" s="2">
        <v>10</v>
      </c>
      <c r="D41" s="7">
        <v>8700</v>
      </c>
      <c r="E41" s="12">
        <f t="shared" si="0"/>
        <v>87000</v>
      </c>
    </row>
    <row r="42" spans="1:5" ht="15.6" hidden="1" x14ac:dyDescent="0.3">
      <c r="A42" s="8" t="s">
        <v>39</v>
      </c>
      <c r="B42" s="8" t="s">
        <v>34</v>
      </c>
      <c r="C42" s="2">
        <v>0</v>
      </c>
      <c r="D42" s="7"/>
      <c r="E42" s="12">
        <f t="shared" si="0"/>
        <v>0</v>
      </c>
    </row>
    <row r="43" spans="1:5" ht="15.6" hidden="1" x14ac:dyDescent="0.3">
      <c r="A43" s="8" t="s">
        <v>40</v>
      </c>
      <c r="B43" s="8" t="s">
        <v>3</v>
      </c>
      <c r="C43" s="2">
        <v>0</v>
      </c>
      <c r="D43" s="7"/>
      <c r="E43" s="12">
        <f t="shared" si="0"/>
        <v>0</v>
      </c>
    </row>
    <row r="44" spans="1:5" ht="15.6" x14ac:dyDescent="0.3">
      <c r="A44" s="8" t="s">
        <v>40</v>
      </c>
      <c r="B44" s="8" t="s">
        <v>34</v>
      </c>
      <c r="C44" s="2">
        <v>8</v>
      </c>
      <c r="D44" s="7">
        <v>3000</v>
      </c>
      <c r="E44" s="12">
        <f t="shared" si="0"/>
        <v>24000</v>
      </c>
    </row>
    <row r="45" spans="1:5" ht="15.6" hidden="1" x14ac:dyDescent="0.3">
      <c r="A45" s="8" t="s">
        <v>41</v>
      </c>
      <c r="B45" s="8" t="s">
        <v>3</v>
      </c>
      <c r="C45" s="2">
        <v>0</v>
      </c>
      <c r="D45" s="7"/>
      <c r="E45" s="12">
        <f t="shared" si="0"/>
        <v>0</v>
      </c>
    </row>
    <row r="46" spans="1:5" ht="15.6" x14ac:dyDescent="0.3">
      <c r="A46" s="8" t="s">
        <v>41</v>
      </c>
      <c r="B46" s="8" t="s">
        <v>34</v>
      </c>
      <c r="C46" s="2">
        <v>11</v>
      </c>
      <c r="D46" s="7">
        <v>3300</v>
      </c>
      <c r="E46" s="12">
        <f t="shared" si="0"/>
        <v>36300</v>
      </c>
    </row>
    <row r="47" spans="1:5" ht="15.6" x14ac:dyDescent="0.3">
      <c r="A47" s="8" t="s">
        <v>42</v>
      </c>
      <c r="B47" s="8" t="s">
        <v>3</v>
      </c>
      <c r="C47" s="2">
        <v>950</v>
      </c>
      <c r="D47" s="7">
        <v>5000</v>
      </c>
      <c r="E47" s="12">
        <f t="shared" si="0"/>
        <v>4750000</v>
      </c>
    </row>
    <row r="48" spans="1:5" ht="15.6" hidden="1" x14ac:dyDescent="0.3">
      <c r="A48" s="8" t="s">
        <v>43</v>
      </c>
      <c r="B48" s="8" t="s">
        <v>3</v>
      </c>
      <c r="C48" s="2">
        <v>0</v>
      </c>
      <c r="D48" s="7"/>
      <c r="E48" s="12">
        <f t="shared" si="0"/>
        <v>0</v>
      </c>
    </row>
    <row r="49" spans="1:5" ht="15.6" x14ac:dyDescent="0.3">
      <c r="A49" s="8" t="s">
        <v>44</v>
      </c>
      <c r="B49" s="8" t="s">
        <v>3</v>
      </c>
      <c r="C49" s="2">
        <v>700</v>
      </c>
      <c r="D49" s="7">
        <v>3000</v>
      </c>
      <c r="E49" s="12">
        <f t="shared" si="0"/>
        <v>2100000</v>
      </c>
    </row>
    <row r="50" spans="1:5" ht="15.6" x14ac:dyDescent="0.3">
      <c r="A50" s="8" t="s">
        <v>45</v>
      </c>
      <c r="B50" s="8" t="s">
        <v>3</v>
      </c>
      <c r="C50" s="2">
        <v>5</v>
      </c>
      <c r="D50" s="7">
        <v>10000</v>
      </c>
      <c r="E50" s="12">
        <f t="shared" si="0"/>
        <v>50000</v>
      </c>
    </row>
    <row r="51" spans="1:5" ht="15.6" hidden="1" x14ac:dyDescent="0.3">
      <c r="A51" s="8" t="s">
        <v>45</v>
      </c>
      <c r="B51" s="8" t="s">
        <v>19</v>
      </c>
      <c r="C51" s="2">
        <v>0</v>
      </c>
      <c r="D51" s="7"/>
      <c r="E51" s="12">
        <f t="shared" si="0"/>
        <v>0</v>
      </c>
    </row>
    <row r="52" spans="1:5" ht="15.6" hidden="1" x14ac:dyDescent="0.3">
      <c r="A52" s="8" t="s">
        <v>62</v>
      </c>
      <c r="B52" s="8" t="s">
        <v>3</v>
      </c>
      <c r="C52" s="2">
        <v>0</v>
      </c>
      <c r="D52" s="7"/>
      <c r="E52" s="12">
        <f t="shared" si="0"/>
        <v>0</v>
      </c>
    </row>
    <row r="53" spans="1:5" ht="15.6" hidden="1" x14ac:dyDescent="0.3">
      <c r="A53" s="8" t="s">
        <v>63</v>
      </c>
      <c r="B53" s="8" t="s">
        <v>3</v>
      </c>
      <c r="C53" s="2">
        <v>0</v>
      </c>
      <c r="D53" s="7"/>
      <c r="E53" s="12">
        <f t="shared" si="0"/>
        <v>0</v>
      </c>
    </row>
    <row r="54" spans="1:5" ht="15.6" x14ac:dyDescent="0.3">
      <c r="A54" s="8" t="s">
        <v>46</v>
      </c>
      <c r="B54" s="8" t="s">
        <v>29</v>
      </c>
      <c r="C54" s="2">
        <v>5</v>
      </c>
      <c r="D54" s="7">
        <v>10000</v>
      </c>
      <c r="E54" s="12">
        <f t="shared" si="0"/>
        <v>50000</v>
      </c>
    </row>
    <row r="55" spans="1:5" ht="15.6" hidden="1" x14ac:dyDescent="0.3">
      <c r="A55" s="8" t="s">
        <v>46</v>
      </c>
      <c r="B55" s="8" t="s">
        <v>3</v>
      </c>
      <c r="C55" s="2">
        <v>0</v>
      </c>
      <c r="D55" s="7"/>
      <c r="E55" s="12">
        <f t="shared" si="0"/>
        <v>0</v>
      </c>
    </row>
    <row r="56" spans="1:5" ht="15.6" x14ac:dyDescent="0.3">
      <c r="A56" s="8" t="s">
        <v>47</v>
      </c>
      <c r="B56" s="8" t="s">
        <v>3</v>
      </c>
      <c r="C56" s="2">
        <v>17</v>
      </c>
      <c r="D56" s="7">
        <v>4500</v>
      </c>
      <c r="E56" s="12">
        <f t="shared" si="0"/>
        <v>76500</v>
      </c>
    </row>
    <row r="57" spans="1:5" ht="15.6" x14ac:dyDescent="0.3">
      <c r="A57" s="8" t="s">
        <v>48</v>
      </c>
      <c r="B57" s="8" t="s">
        <v>3</v>
      </c>
      <c r="C57" s="2">
        <v>40</v>
      </c>
      <c r="D57" s="7">
        <v>8000</v>
      </c>
      <c r="E57" s="12">
        <f t="shared" si="0"/>
        <v>320000</v>
      </c>
    </row>
    <row r="58" spans="1:5" ht="15.6" hidden="1" x14ac:dyDescent="0.3">
      <c r="A58" s="8" t="s">
        <v>48</v>
      </c>
      <c r="B58" s="8" t="s">
        <v>34</v>
      </c>
      <c r="C58" s="2">
        <v>0</v>
      </c>
      <c r="D58" s="7"/>
      <c r="E58" s="12">
        <f t="shared" si="0"/>
        <v>0</v>
      </c>
    </row>
    <row r="59" spans="1:5" ht="15.6" x14ac:dyDescent="0.3">
      <c r="A59" s="8" t="s">
        <v>49</v>
      </c>
      <c r="B59" s="8" t="s">
        <v>3</v>
      </c>
      <c r="C59" s="2">
        <v>6</v>
      </c>
      <c r="D59" s="7">
        <v>19000</v>
      </c>
      <c r="E59" s="12">
        <f t="shared" si="0"/>
        <v>114000</v>
      </c>
    </row>
    <row r="60" spans="1:5" ht="15.6" x14ac:dyDescent="0.3">
      <c r="A60" s="8" t="s">
        <v>50</v>
      </c>
      <c r="B60" s="8" t="s">
        <v>3</v>
      </c>
      <c r="C60" s="2">
        <v>945</v>
      </c>
      <c r="D60" s="7">
        <v>7000</v>
      </c>
      <c r="E60" s="12">
        <f t="shared" si="0"/>
        <v>6615000</v>
      </c>
    </row>
    <row r="61" spans="1:5" ht="15.6" hidden="1" x14ac:dyDescent="0.3">
      <c r="A61" s="8" t="s">
        <v>50</v>
      </c>
      <c r="B61" s="8" t="s">
        <v>51</v>
      </c>
      <c r="C61" s="2">
        <v>0</v>
      </c>
      <c r="D61" s="7"/>
      <c r="E61" s="12">
        <f t="shared" si="0"/>
        <v>0</v>
      </c>
    </row>
    <row r="62" spans="1:5" ht="15.6" hidden="1" x14ac:dyDescent="0.3">
      <c r="A62" s="8" t="s">
        <v>104</v>
      </c>
      <c r="B62" s="8" t="s">
        <v>3</v>
      </c>
      <c r="C62" s="2">
        <v>0</v>
      </c>
      <c r="D62" s="7"/>
      <c r="E62" s="12">
        <f t="shared" si="0"/>
        <v>0</v>
      </c>
    </row>
    <row r="63" spans="1:5" ht="15.6" x14ac:dyDescent="0.3">
      <c r="A63" s="8" t="s">
        <v>52</v>
      </c>
      <c r="B63" s="8" t="s">
        <v>34</v>
      </c>
      <c r="C63" s="2">
        <v>66</v>
      </c>
      <c r="D63" s="7">
        <v>1800</v>
      </c>
      <c r="E63" s="12">
        <f t="shared" si="0"/>
        <v>118800</v>
      </c>
    </row>
    <row r="64" spans="1:5" ht="15.6" x14ac:dyDescent="0.3">
      <c r="A64" s="8" t="s">
        <v>53</v>
      </c>
      <c r="B64" s="8" t="s">
        <v>3</v>
      </c>
      <c r="C64" s="2">
        <v>2300</v>
      </c>
      <c r="D64" s="7">
        <v>25000</v>
      </c>
      <c r="E64" s="12">
        <f t="shared" si="0"/>
        <v>57500000</v>
      </c>
    </row>
    <row r="65" spans="1:5" ht="15.6" x14ac:dyDescent="0.3">
      <c r="A65" s="8" t="s">
        <v>54</v>
      </c>
      <c r="B65" s="8" t="s">
        <v>3</v>
      </c>
      <c r="C65" s="2">
        <v>15</v>
      </c>
      <c r="D65" s="7">
        <v>25000</v>
      </c>
      <c r="E65" s="12">
        <f t="shared" si="0"/>
        <v>375000</v>
      </c>
    </row>
    <row r="66" spans="1:5" ht="15.6" hidden="1" x14ac:dyDescent="0.3">
      <c r="A66" s="8" t="s">
        <v>54</v>
      </c>
      <c r="B66" s="8" t="s">
        <v>34</v>
      </c>
      <c r="C66" s="2">
        <v>0</v>
      </c>
      <c r="D66" s="7"/>
      <c r="E66" s="12">
        <f t="shared" si="0"/>
        <v>0</v>
      </c>
    </row>
    <row r="67" spans="1:5" ht="15.6" x14ac:dyDescent="0.3">
      <c r="A67" s="8" t="s">
        <v>55</v>
      </c>
      <c r="B67" s="8" t="s">
        <v>3</v>
      </c>
      <c r="C67" s="2">
        <v>110</v>
      </c>
      <c r="D67" s="7">
        <v>16000</v>
      </c>
      <c r="E67" s="12">
        <f t="shared" si="0"/>
        <v>1760000</v>
      </c>
    </row>
    <row r="68" spans="1:5" ht="15.6" x14ac:dyDescent="0.3">
      <c r="A68" s="8" t="s">
        <v>56</v>
      </c>
      <c r="B68" s="8" t="s">
        <v>3</v>
      </c>
      <c r="C68" s="2">
        <v>27</v>
      </c>
      <c r="D68" s="7">
        <v>25000</v>
      </c>
      <c r="E68" s="12">
        <f t="shared" ref="E68:E123" si="1">C68*D68</f>
        <v>675000</v>
      </c>
    </row>
    <row r="69" spans="1:5" ht="15.6" hidden="1" x14ac:dyDescent="0.3">
      <c r="A69" s="8" t="s">
        <v>57</v>
      </c>
      <c r="B69" s="8" t="s">
        <v>3</v>
      </c>
      <c r="C69" s="2">
        <v>0</v>
      </c>
      <c r="D69" s="7"/>
      <c r="E69" s="12">
        <f t="shared" si="1"/>
        <v>0</v>
      </c>
    </row>
    <row r="70" spans="1:5" ht="15.6" x14ac:dyDescent="0.3">
      <c r="A70" s="8" t="s">
        <v>58</v>
      </c>
      <c r="B70" s="8" t="s">
        <v>3</v>
      </c>
      <c r="C70" s="2">
        <v>2</v>
      </c>
      <c r="D70" s="7">
        <v>8000</v>
      </c>
      <c r="E70" s="12">
        <f t="shared" si="1"/>
        <v>16000</v>
      </c>
    </row>
    <row r="71" spans="1:5" ht="15.6" hidden="1" x14ac:dyDescent="0.3">
      <c r="A71" s="8" t="s">
        <v>58</v>
      </c>
      <c r="B71" s="8" t="s">
        <v>34</v>
      </c>
      <c r="C71" s="2">
        <v>0</v>
      </c>
      <c r="D71" s="7"/>
      <c r="E71" s="12">
        <f t="shared" si="1"/>
        <v>0</v>
      </c>
    </row>
    <row r="72" spans="1:5" ht="15.6" hidden="1" x14ac:dyDescent="0.3">
      <c r="A72" s="8" t="s">
        <v>105</v>
      </c>
      <c r="B72" s="8" t="s">
        <v>3</v>
      </c>
      <c r="C72" s="2">
        <v>0</v>
      </c>
      <c r="D72" s="7"/>
      <c r="E72" s="12">
        <f t="shared" si="1"/>
        <v>0</v>
      </c>
    </row>
    <row r="73" spans="1:5" ht="15.6" x14ac:dyDescent="0.3">
      <c r="A73" s="8" t="s">
        <v>59</v>
      </c>
      <c r="B73" s="8" t="s">
        <v>3</v>
      </c>
      <c r="C73" s="2">
        <v>250</v>
      </c>
      <c r="D73" s="7">
        <v>14000</v>
      </c>
      <c r="E73" s="12">
        <f t="shared" si="1"/>
        <v>3500000</v>
      </c>
    </row>
    <row r="74" spans="1:5" ht="15.6" hidden="1" x14ac:dyDescent="0.3">
      <c r="A74" s="8" t="s">
        <v>59</v>
      </c>
      <c r="B74" s="8" t="s">
        <v>34</v>
      </c>
      <c r="C74" s="2">
        <v>0</v>
      </c>
      <c r="D74" s="7"/>
      <c r="E74" s="12">
        <f t="shared" si="1"/>
        <v>0</v>
      </c>
    </row>
    <row r="75" spans="1:5" ht="15.6" x14ac:dyDescent="0.3">
      <c r="A75" s="8" t="s">
        <v>60</v>
      </c>
      <c r="B75" s="8" t="s">
        <v>34</v>
      </c>
      <c r="C75" s="2">
        <v>40</v>
      </c>
      <c r="D75" s="7">
        <v>5400</v>
      </c>
      <c r="E75" s="12">
        <f t="shared" si="1"/>
        <v>216000</v>
      </c>
    </row>
    <row r="76" spans="1:5" ht="15.6" x14ac:dyDescent="0.3">
      <c r="A76" s="8" t="s">
        <v>61</v>
      </c>
      <c r="B76" s="8" t="s">
        <v>3</v>
      </c>
      <c r="C76" s="2">
        <v>10</v>
      </c>
      <c r="D76" s="7">
        <v>9000</v>
      </c>
      <c r="E76" s="12">
        <f t="shared" si="1"/>
        <v>90000</v>
      </c>
    </row>
    <row r="77" spans="1:5" ht="15.6" x14ac:dyDescent="0.3">
      <c r="A77" s="8" t="s">
        <v>67</v>
      </c>
      <c r="B77" s="8" t="s">
        <v>34</v>
      </c>
      <c r="C77" s="2">
        <v>12</v>
      </c>
      <c r="D77" s="7">
        <v>6000</v>
      </c>
      <c r="E77" s="12">
        <f t="shared" si="1"/>
        <v>72000</v>
      </c>
    </row>
    <row r="78" spans="1:5" ht="15.6" hidden="1" x14ac:dyDescent="0.3">
      <c r="A78" s="8" t="s">
        <v>68</v>
      </c>
      <c r="B78" s="8" t="s">
        <v>3</v>
      </c>
      <c r="C78" s="2">
        <v>0</v>
      </c>
      <c r="D78" s="7"/>
      <c r="E78" s="12">
        <f t="shared" si="1"/>
        <v>0</v>
      </c>
    </row>
    <row r="79" spans="1:5" ht="15.6" hidden="1" x14ac:dyDescent="0.3">
      <c r="A79" s="8" t="s">
        <v>68</v>
      </c>
      <c r="B79" s="8" t="s">
        <v>34</v>
      </c>
      <c r="C79" s="2">
        <v>0</v>
      </c>
      <c r="D79" s="7"/>
      <c r="E79" s="12">
        <f t="shared" si="1"/>
        <v>0</v>
      </c>
    </row>
    <row r="80" spans="1:5" ht="15.6" hidden="1" x14ac:dyDescent="0.3">
      <c r="A80" s="8" t="s">
        <v>69</v>
      </c>
      <c r="B80" s="8" t="s">
        <v>3</v>
      </c>
      <c r="C80" s="2">
        <v>0</v>
      </c>
      <c r="D80" s="7"/>
      <c r="E80" s="12">
        <f t="shared" si="1"/>
        <v>0</v>
      </c>
    </row>
    <row r="81" spans="1:5" ht="15.6" hidden="1" x14ac:dyDescent="0.3">
      <c r="A81" s="8" t="s">
        <v>106</v>
      </c>
      <c r="B81" s="8" t="s">
        <v>3</v>
      </c>
      <c r="C81" s="2">
        <v>0</v>
      </c>
      <c r="D81" s="7"/>
      <c r="E81" s="12">
        <f t="shared" si="1"/>
        <v>0</v>
      </c>
    </row>
    <row r="82" spans="1:5" ht="15.6" hidden="1" x14ac:dyDescent="0.3">
      <c r="A82" s="8" t="s">
        <v>70</v>
      </c>
      <c r="B82" s="8" t="s">
        <v>3</v>
      </c>
      <c r="C82" s="2">
        <v>0</v>
      </c>
      <c r="D82" s="7"/>
      <c r="E82" s="12">
        <f t="shared" si="1"/>
        <v>0</v>
      </c>
    </row>
    <row r="83" spans="1:5" ht="15.6" hidden="1" x14ac:dyDescent="0.3">
      <c r="A83" s="8" t="s">
        <v>71</v>
      </c>
      <c r="B83" s="8" t="s">
        <v>3</v>
      </c>
      <c r="C83" s="2">
        <v>0</v>
      </c>
      <c r="D83" s="7"/>
      <c r="E83" s="12">
        <f t="shared" si="1"/>
        <v>0</v>
      </c>
    </row>
    <row r="84" spans="1:5" ht="15.6" hidden="1" x14ac:dyDescent="0.3">
      <c r="A84" s="8" t="s">
        <v>64</v>
      </c>
      <c r="B84" s="8" t="s">
        <v>3</v>
      </c>
      <c r="C84" s="2">
        <v>0</v>
      </c>
      <c r="D84" s="7"/>
      <c r="E84" s="12">
        <f t="shared" si="1"/>
        <v>0</v>
      </c>
    </row>
    <row r="85" spans="1:5" ht="15.6" x14ac:dyDescent="0.3">
      <c r="A85" s="8" t="s">
        <v>64</v>
      </c>
      <c r="B85" s="8" t="s">
        <v>17</v>
      </c>
      <c r="C85" s="2">
        <v>522</v>
      </c>
      <c r="D85" s="7">
        <v>8500</v>
      </c>
      <c r="E85" s="12">
        <f t="shared" si="1"/>
        <v>4437000</v>
      </c>
    </row>
    <row r="86" spans="1:5" ht="15.6" x14ac:dyDescent="0.3">
      <c r="A86" s="8" t="s">
        <v>65</v>
      </c>
      <c r="B86" s="8" t="s">
        <v>3</v>
      </c>
      <c r="C86" s="2">
        <v>6</v>
      </c>
      <c r="D86" s="7">
        <v>15000</v>
      </c>
      <c r="E86" s="12">
        <f t="shared" si="1"/>
        <v>90000</v>
      </c>
    </row>
    <row r="87" spans="1:5" ht="15.6" x14ac:dyDescent="0.3">
      <c r="A87" s="8" t="s">
        <v>66</v>
      </c>
      <c r="B87" s="8" t="s">
        <v>3</v>
      </c>
      <c r="C87" s="2">
        <v>25</v>
      </c>
      <c r="D87" s="7">
        <v>13000</v>
      </c>
      <c r="E87" s="12">
        <f t="shared" si="1"/>
        <v>325000</v>
      </c>
    </row>
    <row r="88" spans="1:5" ht="15.6" x14ac:dyDescent="0.3">
      <c r="A88" s="8" t="s">
        <v>72</v>
      </c>
      <c r="B88" s="8" t="s">
        <v>3</v>
      </c>
      <c r="C88" s="2">
        <v>5</v>
      </c>
      <c r="D88" s="7">
        <v>10000</v>
      </c>
      <c r="E88" s="12">
        <f t="shared" si="1"/>
        <v>50000</v>
      </c>
    </row>
    <row r="89" spans="1:5" ht="15.6" hidden="1" x14ac:dyDescent="0.3">
      <c r="A89" s="8" t="s">
        <v>72</v>
      </c>
      <c r="B89" s="8" t="s">
        <v>19</v>
      </c>
      <c r="C89" s="2">
        <v>0</v>
      </c>
      <c r="D89" s="7"/>
      <c r="E89" s="12">
        <f t="shared" si="1"/>
        <v>0</v>
      </c>
    </row>
    <row r="90" spans="1:5" ht="15.6" hidden="1" x14ac:dyDescent="0.3">
      <c r="A90" s="8" t="s">
        <v>73</v>
      </c>
      <c r="B90" s="8" t="s">
        <v>3</v>
      </c>
      <c r="C90" s="2">
        <v>0</v>
      </c>
      <c r="D90" s="7"/>
      <c r="E90" s="12">
        <f t="shared" si="1"/>
        <v>0</v>
      </c>
    </row>
    <row r="91" spans="1:5" ht="15.6" hidden="1" x14ac:dyDescent="0.3">
      <c r="A91" s="8" t="s">
        <v>107</v>
      </c>
      <c r="B91" s="8" t="s">
        <v>29</v>
      </c>
      <c r="C91" s="2">
        <v>0</v>
      </c>
      <c r="D91" s="7"/>
      <c r="E91" s="12">
        <f t="shared" si="1"/>
        <v>0</v>
      </c>
    </row>
    <row r="92" spans="1:5" ht="15.6" hidden="1" x14ac:dyDescent="0.3">
      <c r="A92" s="8" t="s">
        <v>74</v>
      </c>
      <c r="B92" s="8" t="s">
        <v>34</v>
      </c>
      <c r="C92" s="2">
        <v>0</v>
      </c>
      <c r="D92" s="7"/>
      <c r="E92" s="12">
        <f t="shared" si="1"/>
        <v>0</v>
      </c>
    </row>
    <row r="93" spans="1:5" ht="15.6" x14ac:dyDescent="0.3">
      <c r="A93" s="8" t="s">
        <v>75</v>
      </c>
      <c r="B93" s="8" t="s">
        <v>3</v>
      </c>
      <c r="C93" s="2">
        <v>11</v>
      </c>
      <c r="D93" s="7">
        <v>14000</v>
      </c>
      <c r="E93" s="12">
        <f t="shared" si="1"/>
        <v>154000</v>
      </c>
    </row>
    <row r="94" spans="1:5" ht="15.6" hidden="1" x14ac:dyDescent="0.3">
      <c r="A94" s="8" t="s">
        <v>79</v>
      </c>
      <c r="B94" s="8" t="s">
        <v>17</v>
      </c>
      <c r="C94" s="2">
        <v>0</v>
      </c>
      <c r="D94" s="7"/>
      <c r="E94" s="12">
        <f t="shared" si="1"/>
        <v>0</v>
      </c>
    </row>
    <row r="95" spans="1:5" ht="15.6" hidden="1" x14ac:dyDescent="0.3">
      <c r="A95" s="8" t="s">
        <v>80</v>
      </c>
      <c r="B95" s="8" t="s">
        <v>29</v>
      </c>
      <c r="C95" s="2">
        <v>0</v>
      </c>
      <c r="D95" s="7"/>
      <c r="E95" s="12">
        <f t="shared" si="1"/>
        <v>0</v>
      </c>
    </row>
    <row r="96" spans="1:5" ht="15.6" x14ac:dyDescent="0.3">
      <c r="A96" s="8" t="s">
        <v>80</v>
      </c>
      <c r="B96" s="8" t="s">
        <v>3</v>
      </c>
      <c r="C96" s="2">
        <v>15</v>
      </c>
      <c r="D96" s="7">
        <v>35000</v>
      </c>
      <c r="E96" s="12">
        <f t="shared" si="1"/>
        <v>525000</v>
      </c>
    </row>
    <row r="97" spans="1:5" ht="15.6" x14ac:dyDescent="0.3">
      <c r="A97" s="8" t="s">
        <v>81</v>
      </c>
      <c r="B97" s="8" t="s">
        <v>3</v>
      </c>
      <c r="C97" s="2">
        <v>73</v>
      </c>
      <c r="D97" s="7">
        <v>24000</v>
      </c>
      <c r="E97" s="12">
        <f t="shared" si="1"/>
        <v>1752000</v>
      </c>
    </row>
    <row r="98" spans="1:5" ht="15.6" hidden="1" x14ac:dyDescent="0.3">
      <c r="A98" s="8" t="s">
        <v>81</v>
      </c>
      <c r="B98" s="8" t="s">
        <v>9</v>
      </c>
      <c r="C98" s="2">
        <v>0</v>
      </c>
      <c r="D98" s="7"/>
      <c r="E98" s="12">
        <f t="shared" si="1"/>
        <v>0</v>
      </c>
    </row>
    <row r="99" spans="1:5" ht="15.6" x14ac:dyDescent="0.3">
      <c r="A99" s="8" t="s">
        <v>108</v>
      </c>
      <c r="B99" s="8" t="s">
        <v>3</v>
      </c>
      <c r="C99" s="2">
        <v>10</v>
      </c>
      <c r="D99" s="7">
        <v>19000</v>
      </c>
      <c r="E99" s="12">
        <f t="shared" si="1"/>
        <v>190000</v>
      </c>
    </row>
    <row r="100" spans="1:5" ht="15.6" x14ac:dyDescent="0.3">
      <c r="A100" s="8" t="s">
        <v>82</v>
      </c>
      <c r="B100" s="8" t="s">
        <v>3</v>
      </c>
      <c r="C100" s="2">
        <v>56</v>
      </c>
      <c r="D100" s="7">
        <v>26000</v>
      </c>
      <c r="E100" s="12">
        <f t="shared" si="1"/>
        <v>1456000</v>
      </c>
    </row>
    <row r="101" spans="1:5" ht="15.6" hidden="1" x14ac:dyDescent="0.3">
      <c r="A101" s="8" t="s">
        <v>82</v>
      </c>
      <c r="B101" s="8" t="s">
        <v>9</v>
      </c>
      <c r="C101" s="2">
        <v>0</v>
      </c>
      <c r="D101" s="7"/>
      <c r="E101" s="12">
        <f t="shared" si="1"/>
        <v>0</v>
      </c>
    </row>
    <row r="102" spans="1:5" ht="15.6" x14ac:dyDescent="0.3">
      <c r="A102" s="8" t="s">
        <v>109</v>
      </c>
      <c r="B102" s="8" t="s">
        <v>3</v>
      </c>
      <c r="C102" s="2">
        <v>10</v>
      </c>
      <c r="D102" s="7">
        <v>21000</v>
      </c>
      <c r="E102" s="12">
        <f t="shared" si="1"/>
        <v>210000</v>
      </c>
    </row>
    <row r="103" spans="1:5" ht="15.6" hidden="1" x14ac:dyDescent="0.3">
      <c r="A103" s="8" t="s">
        <v>83</v>
      </c>
      <c r="B103" s="8" t="s">
        <v>3</v>
      </c>
      <c r="C103" s="2">
        <v>0</v>
      </c>
      <c r="D103" s="7"/>
      <c r="E103" s="12">
        <f t="shared" si="1"/>
        <v>0</v>
      </c>
    </row>
    <row r="104" spans="1:5" ht="15.6" hidden="1" x14ac:dyDescent="0.3">
      <c r="A104" s="8" t="s">
        <v>83</v>
      </c>
      <c r="B104" s="8" t="s">
        <v>9</v>
      </c>
      <c r="C104" s="2">
        <v>0</v>
      </c>
      <c r="D104" s="7"/>
      <c r="E104" s="12">
        <f t="shared" si="1"/>
        <v>0</v>
      </c>
    </row>
    <row r="105" spans="1:5" ht="15.6" x14ac:dyDescent="0.3">
      <c r="A105" s="8" t="s">
        <v>110</v>
      </c>
      <c r="B105" s="8" t="s">
        <v>3</v>
      </c>
      <c r="C105" s="2">
        <v>10</v>
      </c>
      <c r="D105" s="7">
        <v>25000</v>
      </c>
      <c r="E105" s="12">
        <f t="shared" si="1"/>
        <v>250000</v>
      </c>
    </row>
    <row r="106" spans="1:5" ht="15.6" x14ac:dyDescent="0.3">
      <c r="A106" s="8" t="s">
        <v>84</v>
      </c>
      <c r="B106" s="8" t="s">
        <v>34</v>
      </c>
      <c r="C106" s="2">
        <v>40</v>
      </c>
      <c r="D106" s="7">
        <v>17000</v>
      </c>
      <c r="E106" s="12">
        <f t="shared" si="1"/>
        <v>680000</v>
      </c>
    </row>
    <row r="107" spans="1:5" ht="15.6" x14ac:dyDescent="0.3">
      <c r="A107" s="8" t="s">
        <v>85</v>
      </c>
      <c r="B107" s="8" t="s">
        <v>34</v>
      </c>
      <c r="C107" s="2">
        <v>6</v>
      </c>
      <c r="D107" s="7">
        <v>7850</v>
      </c>
      <c r="E107" s="12">
        <f t="shared" si="1"/>
        <v>47100</v>
      </c>
    </row>
    <row r="108" spans="1:5" ht="15.6" hidden="1" x14ac:dyDescent="0.3">
      <c r="A108" s="8" t="s">
        <v>111</v>
      </c>
      <c r="B108" s="8" t="s">
        <v>3</v>
      </c>
      <c r="C108" s="2">
        <v>0</v>
      </c>
      <c r="D108" s="7"/>
      <c r="E108" s="12">
        <f t="shared" si="1"/>
        <v>0</v>
      </c>
    </row>
    <row r="109" spans="1:5" ht="15.6" x14ac:dyDescent="0.3">
      <c r="A109" s="8" t="s">
        <v>86</v>
      </c>
      <c r="B109" s="8" t="s">
        <v>9</v>
      </c>
      <c r="C109" s="2">
        <v>1355</v>
      </c>
      <c r="D109" s="7">
        <v>9000</v>
      </c>
      <c r="E109" s="12">
        <f t="shared" si="1"/>
        <v>12195000</v>
      </c>
    </row>
    <row r="110" spans="1:5" ht="15.6" x14ac:dyDescent="0.3">
      <c r="A110" s="8" t="s">
        <v>87</v>
      </c>
      <c r="B110" s="8" t="s">
        <v>9</v>
      </c>
      <c r="C110" s="2">
        <v>355</v>
      </c>
      <c r="D110" s="7">
        <v>11361</v>
      </c>
      <c r="E110" s="12">
        <f t="shared" si="1"/>
        <v>4033155</v>
      </c>
    </row>
    <row r="111" spans="1:5" ht="15.6" hidden="1" x14ac:dyDescent="0.3">
      <c r="A111" s="8" t="s">
        <v>88</v>
      </c>
      <c r="B111" s="8" t="s">
        <v>3</v>
      </c>
      <c r="C111" s="2">
        <v>0</v>
      </c>
      <c r="D111" s="7"/>
      <c r="E111" s="12">
        <f t="shared" si="1"/>
        <v>0</v>
      </c>
    </row>
    <row r="112" spans="1:5" ht="15.6" x14ac:dyDescent="0.3">
      <c r="A112" s="8" t="s">
        <v>89</v>
      </c>
      <c r="B112" s="8" t="s">
        <v>3</v>
      </c>
      <c r="C112" s="2">
        <v>20</v>
      </c>
      <c r="D112" s="7">
        <v>18000</v>
      </c>
      <c r="E112" s="12">
        <f t="shared" si="1"/>
        <v>360000</v>
      </c>
    </row>
    <row r="113" spans="1:5" ht="15.6" hidden="1" x14ac:dyDescent="0.3">
      <c r="A113" s="8" t="s">
        <v>112</v>
      </c>
      <c r="B113" s="8" t="s">
        <v>29</v>
      </c>
      <c r="C113" s="2">
        <v>0</v>
      </c>
      <c r="D113" s="7"/>
      <c r="E113" s="12">
        <f t="shared" si="1"/>
        <v>0</v>
      </c>
    </row>
    <row r="114" spans="1:5" ht="15.6" hidden="1" x14ac:dyDescent="0.3">
      <c r="A114" s="8" t="s">
        <v>90</v>
      </c>
      <c r="B114" s="8" t="s">
        <v>3</v>
      </c>
      <c r="C114" s="2">
        <v>0</v>
      </c>
      <c r="D114" s="7"/>
      <c r="E114" s="12">
        <f t="shared" si="1"/>
        <v>0</v>
      </c>
    </row>
    <row r="115" spans="1:5" ht="15.6" hidden="1" x14ac:dyDescent="0.3">
      <c r="A115" s="8" t="s">
        <v>113</v>
      </c>
      <c r="B115" s="8" t="s">
        <v>3</v>
      </c>
      <c r="C115" s="2">
        <v>0</v>
      </c>
      <c r="D115" s="7"/>
      <c r="E115" s="12">
        <f t="shared" si="1"/>
        <v>0</v>
      </c>
    </row>
    <row r="116" spans="1:5" ht="15.6" hidden="1" x14ac:dyDescent="0.3">
      <c r="A116" s="8" t="s">
        <v>91</v>
      </c>
      <c r="B116" s="8" t="s">
        <v>3</v>
      </c>
      <c r="C116" s="2">
        <v>0</v>
      </c>
      <c r="D116" s="7"/>
      <c r="E116" s="12">
        <f t="shared" si="1"/>
        <v>0</v>
      </c>
    </row>
    <row r="117" spans="1:5" ht="15.6" x14ac:dyDescent="0.3">
      <c r="A117" s="8" t="s">
        <v>92</v>
      </c>
      <c r="B117" s="8" t="s">
        <v>3</v>
      </c>
      <c r="C117" s="2">
        <v>6</v>
      </c>
      <c r="D117" s="7">
        <v>25000</v>
      </c>
      <c r="E117" s="12">
        <f t="shared" si="1"/>
        <v>150000</v>
      </c>
    </row>
    <row r="118" spans="1:5" ht="15.6" hidden="1" x14ac:dyDescent="0.3">
      <c r="A118" s="8" t="s">
        <v>93</v>
      </c>
      <c r="B118" s="8" t="s">
        <v>19</v>
      </c>
      <c r="C118" s="2">
        <v>0</v>
      </c>
      <c r="D118" s="7"/>
      <c r="E118" s="12">
        <f t="shared" si="1"/>
        <v>0</v>
      </c>
    </row>
    <row r="119" spans="1:5" ht="15.6" x14ac:dyDescent="0.3">
      <c r="A119" s="8" t="s">
        <v>94</v>
      </c>
      <c r="B119" s="8" t="s">
        <v>3</v>
      </c>
      <c r="C119" s="2">
        <v>6</v>
      </c>
      <c r="D119" s="7">
        <v>24000</v>
      </c>
      <c r="E119" s="12">
        <f t="shared" si="1"/>
        <v>144000</v>
      </c>
    </row>
    <row r="120" spans="1:5" ht="15.6" hidden="1" x14ac:dyDescent="0.3">
      <c r="A120" s="8" t="s">
        <v>95</v>
      </c>
      <c r="B120" s="8" t="s">
        <v>19</v>
      </c>
      <c r="C120" s="2">
        <v>0</v>
      </c>
      <c r="D120" s="7"/>
      <c r="E120" s="12">
        <f t="shared" si="1"/>
        <v>0</v>
      </c>
    </row>
    <row r="121" spans="1:5" ht="15.6" hidden="1" x14ac:dyDescent="0.3">
      <c r="A121" s="8" t="s">
        <v>96</v>
      </c>
      <c r="B121" s="8" t="s">
        <v>3</v>
      </c>
      <c r="C121" s="2">
        <v>0</v>
      </c>
      <c r="D121" s="7"/>
      <c r="E121" s="12">
        <f t="shared" si="1"/>
        <v>0</v>
      </c>
    </row>
    <row r="122" spans="1:5" ht="15.6" x14ac:dyDescent="0.3">
      <c r="A122" s="8" t="s">
        <v>97</v>
      </c>
      <c r="B122" s="8" t="s">
        <v>3</v>
      </c>
      <c r="C122" s="2">
        <v>7</v>
      </c>
      <c r="D122" s="7">
        <v>25000</v>
      </c>
      <c r="E122" s="12">
        <f t="shared" si="1"/>
        <v>175000</v>
      </c>
    </row>
    <row r="123" spans="1:5" ht="15.6" x14ac:dyDescent="0.3">
      <c r="A123" s="8" t="s">
        <v>98</v>
      </c>
      <c r="B123" s="8" t="s">
        <v>19</v>
      </c>
      <c r="C123" s="2">
        <v>187</v>
      </c>
      <c r="D123" s="7">
        <v>7500</v>
      </c>
      <c r="E123" s="12">
        <f t="shared" si="1"/>
        <v>1402500</v>
      </c>
    </row>
    <row r="124" spans="1:5" x14ac:dyDescent="0.3">
      <c r="E124" s="9">
        <f>SUM(E3:E123)</f>
        <v>140856355</v>
      </c>
    </row>
  </sheetData>
  <autoFilter ref="A2:E123" xr:uid="{00000000-0009-0000-0000-000001000000}">
    <filterColumn colId="2">
      <filters>
        <filter val="1,355"/>
        <filter val="10"/>
        <filter val="11"/>
        <filter val="110"/>
        <filter val="12"/>
        <filter val="13"/>
        <filter val="130"/>
        <filter val="15"/>
        <filter val="17"/>
        <filter val="175"/>
        <filter val="187"/>
        <filter val="2"/>
        <filter val="2,300"/>
        <filter val="20"/>
        <filter val="23"/>
        <filter val="25"/>
        <filter val="250"/>
        <filter val="27"/>
        <filter val="33"/>
        <filter val="35"/>
        <filter val="355"/>
        <filter val="392"/>
        <filter val="40"/>
        <filter val="41"/>
        <filter val="490"/>
        <filter val="5"/>
        <filter val="522"/>
        <filter val="55"/>
        <filter val="56"/>
        <filter val="6"/>
        <filter val="600"/>
        <filter val="630"/>
        <filter val="66"/>
        <filter val="7"/>
        <filter val="700"/>
        <filter val="73"/>
        <filter val="790"/>
        <filter val="8"/>
        <filter val="89"/>
        <filter val="9"/>
        <filter val="945"/>
        <filter val="95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E106"/>
  <sheetViews>
    <sheetView workbookViewId="0">
      <selection activeCell="F3" sqref="F3"/>
    </sheetView>
  </sheetViews>
  <sheetFormatPr defaultRowHeight="14.4" x14ac:dyDescent="0.3"/>
  <cols>
    <col min="1" max="1" width="25.88671875" customWidth="1"/>
    <col min="4" max="4" width="12.21875" customWidth="1"/>
    <col min="5" max="5" width="16.6640625" customWidth="1"/>
  </cols>
  <sheetData>
    <row r="2" spans="1:5" x14ac:dyDescent="0.3">
      <c r="A2" t="s">
        <v>118</v>
      </c>
    </row>
    <row r="3" spans="1:5" ht="57" customHeight="1" x14ac:dyDescent="0.3">
      <c r="A3" s="10" t="s">
        <v>0</v>
      </c>
      <c r="B3" s="10" t="s">
        <v>1</v>
      </c>
      <c r="C3" s="2" t="s">
        <v>100</v>
      </c>
      <c r="D3" s="2" t="s">
        <v>101</v>
      </c>
      <c r="E3" s="3" t="s">
        <v>102</v>
      </c>
    </row>
    <row r="4" spans="1:5" ht="15.6" x14ac:dyDescent="0.3">
      <c r="A4" s="8" t="s">
        <v>2</v>
      </c>
      <c r="B4" s="8" t="s">
        <v>3</v>
      </c>
      <c r="C4" s="2">
        <v>15</v>
      </c>
      <c r="D4" s="2">
        <v>18000</v>
      </c>
      <c r="E4" s="7">
        <f>C4*D4</f>
        <v>270000</v>
      </c>
    </row>
    <row r="5" spans="1:5" ht="15.6" x14ac:dyDescent="0.3">
      <c r="A5" s="8" t="s">
        <v>4</v>
      </c>
      <c r="B5" s="8" t="s">
        <v>3</v>
      </c>
      <c r="C5" s="2">
        <v>215</v>
      </c>
      <c r="D5" s="2">
        <v>4000</v>
      </c>
      <c r="E5" s="7">
        <f t="shared" ref="E5:E68" si="0">C5*D5</f>
        <v>860000</v>
      </c>
    </row>
    <row r="6" spans="1:5" ht="15.6" x14ac:dyDescent="0.3">
      <c r="A6" s="8" t="s">
        <v>5</v>
      </c>
      <c r="B6" s="8" t="s">
        <v>3</v>
      </c>
      <c r="C6" s="2">
        <v>80</v>
      </c>
      <c r="D6" s="2">
        <v>3500</v>
      </c>
      <c r="E6" s="7">
        <f t="shared" si="0"/>
        <v>280000</v>
      </c>
    </row>
    <row r="7" spans="1:5" ht="15.6" hidden="1" x14ac:dyDescent="0.3">
      <c r="A7" s="8" t="s">
        <v>103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6</v>
      </c>
      <c r="B8" s="8" t="s">
        <v>3</v>
      </c>
      <c r="C8" s="2">
        <v>5</v>
      </c>
      <c r="D8" s="2">
        <v>8000</v>
      </c>
      <c r="E8" s="7">
        <f t="shared" si="0"/>
        <v>40000</v>
      </c>
    </row>
    <row r="9" spans="1:5" ht="15.6" x14ac:dyDescent="0.3">
      <c r="A9" s="8" t="s">
        <v>7</v>
      </c>
      <c r="B9" s="8" t="s">
        <v>3</v>
      </c>
      <c r="C9" s="2">
        <v>280</v>
      </c>
      <c r="D9" s="2">
        <v>10500</v>
      </c>
      <c r="E9" s="7">
        <f t="shared" si="0"/>
        <v>2940000</v>
      </c>
    </row>
    <row r="10" spans="1:5" ht="15.6" x14ac:dyDescent="0.3">
      <c r="A10" s="8" t="s">
        <v>11</v>
      </c>
      <c r="B10" s="8" t="s">
        <v>3</v>
      </c>
      <c r="C10" s="2">
        <v>225</v>
      </c>
      <c r="D10" s="2">
        <v>10000</v>
      </c>
      <c r="E10" s="7">
        <f t="shared" si="0"/>
        <v>2250000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35</v>
      </c>
      <c r="D12" s="2">
        <v>15000</v>
      </c>
      <c r="E12" s="7">
        <f t="shared" si="0"/>
        <v>525000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12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hidden="1" x14ac:dyDescent="0.3">
      <c r="A15" s="8" t="s">
        <v>14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x14ac:dyDescent="0.3">
      <c r="A16" s="8" t="s">
        <v>15</v>
      </c>
      <c r="B16" s="8" t="s">
        <v>3</v>
      </c>
      <c r="C16" s="2">
        <v>25</v>
      </c>
      <c r="D16" s="2">
        <v>20000</v>
      </c>
      <c r="E16" s="7">
        <f t="shared" si="0"/>
        <v>500000</v>
      </c>
    </row>
    <row r="17" spans="1:5" ht="15.6" hidden="1" x14ac:dyDescent="0.3">
      <c r="A17" s="8" t="s">
        <v>16</v>
      </c>
      <c r="B17" s="8" t="s">
        <v>17</v>
      </c>
      <c r="C17" s="2">
        <v>0</v>
      </c>
      <c r="D17" s="2"/>
      <c r="E17" s="7">
        <f t="shared" si="0"/>
        <v>0</v>
      </c>
    </row>
    <row r="18" spans="1:5" ht="15.6" hidden="1" x14ac:dyDescent="0.3">
      <c r="A18" s="8" t="s">
        <v>20</v>
      </c>
      <c r="B18" s="8" t="s">
        <v>3</v>
      </c>
      <c r="C18" s="2">
        <v>0</v>
      </c>
      <c r="D18" s="2"/>
      <c r="E18" s="7">
        <f t="shared" si="0"/>
        <v>0</v>
      </c>
    </row>
    <row r="19" spans="1:5" ht="15.6" x14ac:dyDescent="0.3">
      <c r="A19" s="8" t="s">
        <v>22</v>
      </c>
      <c r="B19" s="8" t="s">
        <v>3</v>
      </c>
      <c r="C19" s="2">
        <v>95</v>
      </c>
      <c r="D19" s="2">
        <v>16000</v>
      </c>
      <c r="E19" s="7">
        <f t="shared" si="0"/>
        <v>1520000</v>
      </c>
    </row>
    <row r="20" spans="1:5" ht="15.6" hidden="1" x14ac:dyDescent="0.3">
      <c r="A20" s="8" t="s">
        <v>22</v>
      </c>
      <c r="B20" s="8" t="s">
        <v>23</v>
      </c>
      <c r="C20" s="2">
        <v>0</v>
      </c>
      <c r="D20" s="2"/>
      <c r="E20" s="7">
        <f t="shared" si="0"/>
        <v>0</v>
      </c>
    </row>
    <row r="21" spans="1:5" ht="15.6" x14ac:dyDescent="0.3">
      <c r="A21" s="8" t="s">
        <v>24</v>
      </c>
      <c r="B21" s="8" t="s">
        <v>3</v>
      </c>
      <c r="C21" s="2">
        <v>5</v>
      </c>
      <c r="D21" s="2">
        <v>14000</v>
      </c>
      <c r="E21" s="7">
        <f t="shared" si="0"/>
        <v>70000</v>
      </c>
    </row>
    <row r="22" spans="1:5" ht="15.6" hidden="1" x14ac:dyDescent="0.3">
      <c r="A22" s="8" t="s">
        <v>24</v>
      </c>
      <c r="B22" s="8" t="s">
        <v>25</v>
      </c>
      <c r="C22" s="2">
        <v>0</v>
      </c>
      <c r="D22" s="2"/>
      <c r="E22" s="7">
        <f t="shared" si="0"/>
        <v>0</v>
      </c>
    </row>
    <row r="23" spans="1:5" ht="15.6" x14ac:dyDescent="0.3">
      <c r="A23" s="8" t="s">
        <v>26</v>
      </c>
      <c r="B23" s="8" t="s">
        <v>3</v>
      </c>
      <c r="C23" s="2">
        <v>17</v>
      </c>
      <c r="D23" s="2">
        <v>18000</v>
      </c>
      <c r="E23" s="7">
        <f t="shared" si="0"/>
        <v>306000</v>
      </c>
    </row>
    <row r="24" spans="1:5" ht="15.6" hidden="1" x14ac:dyDescent="0.3">
      <c r="A24" s="8" t="s">
        <v>26</v>
      </c>
      <c r="B24" s="8" t="s">
        <v>27</v>
      </c>
      <c r="C24" s="2">
        <v>0</v>
      </c>
      <c r="D24" s="2"/>
      <c r="E24" s="7">
        <f t="shared" si="0"/>
        <v>0</v>
      </c>
    </row>
    <row r="25" spans="1:5" ht="15.6" x14ac:dyDescent="0.3">
      <c r="A25" s="8" t="s">
        <v>28</v>
      </c>
      <c r="B25" s="8" t="s">
        <v>29</v>
      </c>
      <c r="C25" s="2">
        <v>8</v>
      </c>
      <c r="D25" s="2">
        <v>12000</v>
      </c>
      <c r="E25" s="7">
        <f t="shared" si="0"/>
        <v>96000</v>
      </c>
    </row>
    <row r="26" spans="1:5" ht="15.6" hidden="1" x14ac:dyDescent="0.3">
      <c r="A26" s="8" t="s">
        <v>30</v>
      </c>
      <c r="B26" s="8" t="s">
        <v>3</v>
      </c>
      <c r="C26" s="2">
        <v>0</v>
      </c>
      <c r="D26" s="2"/>
      <c r="E26" s="7">
        <f t="shared" si="0"/>
        <v>0</v>
      </c>
    </row>
    <row r="27" spans="1:5" ht="15.6" x14ac:dyDescent="0.3">
      <c r="A27" s="8" t="s">
        <v>30</v>
      </c>
      <c r="B27" s="8" t="s">
        <v>31</v>
      </c>
      <c r="C27" s="2">
        <v>111</v>
      </c>
      <c r="D27" s="2">
        <v>7500</v>
      </c>
      <c r="E27" s="7">
        <f t="shared" si="0"/>
        <v>832500</v>
      </c>
    </row>
    <row r="28" spans="1:5" ht="15.6" x14ac:dyDescent="0.3">
      <c r="A28" s="8" t="s">
        <v>32</v>
      </c>
      <c r="B28" s="8" t="s">
        <v>3</v>
      </c>
      <c r="C28" s="2">
        <v>520</v>
      </c>
      <c r="D28" s="2">
        <v>17000</v>
      </c>
      <c r="E28" s="7">
        <f t="shared" si="0"/>
        <v>8840000</v>
      </c>
    </row>
    <row r="29" spans="1:5" ht="15.6" hidden="1" x14ac:dyDescent="0.3">
      <c r="A29" s="8" t="s">
        <v>32</v>
      </c>
      <c r="B29" s="8" t="s">
        <v>17</v>
      </c>
      <c r="C29" s="2">
        <v>0</v>
      </c>
      <c r="D29" s="2"/>
      <c r="E29" s="7">
        <f t="shared" si="0"/>
        <v>0</v>
      </c>
    </row>
    <row r="30" spans="1:5" ht="15.6" x14ac:dyDescent="0.3">
      <c r="A30" s="8" t="s">
        <v>115</v>
      </c>
      <c r="B30" s="8" t="s">
        <v>3</v>
      </c>
      <c r="C30" s="2">
        <v>520</v>
      </c>
      <c r="D30" s="2">
        <v>3862</v>
      </c>
      <c r="E30" s="7">
        <f t="shared" si="0"/>
        <v>2008240</v>
      </c>
    </row>
    <row r="31" spans="1:5" ht="15.6" x14ac:dyDescent="0.3">
      <c r="A31" s="8" t="s">
        <v>33</v>
      </c>
      <c r="B31" s="8" t="s">
        <v>34</v>
      </c>
      <c r="C31" s="2">
        <v>100</v>
      </c>
      <c r="D31" s="2">
        <v>12000</v>
      </c>
      <c r="E31" s="7">
        <f t="shared" si="0"/>
        <v>1200000</v>
      </c>
    </row>
    <row r="32" spans="1:5" ht="15.6" x14ac:dyDescent="0.3">
      <c r="A32" s="8" t="s">
        <v>35</v>
      </c>
      <c r="B32" s="8" t="s">
        <v>3</v>
      </c>
      <c r="C32" s="2">
        <v>140</v>
      </c>
      <c r="D32" s="2">
        <v>6000</v>
      </c>
      <c r="E32" s="7">
        <f t="shared" si="0"/>
        <v>840000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2"/>
      <c r="E33" s="7">
        <f t="shared" si="0"/>
        <v>0</v>
      </c>
    </row>
    <row r="34" spans="1:5" ht="15.6" x14ac:dyDescent="0.3">
      <c r="A34" s="8" t="s">
        <v>36</v>
      </c>
      <c r="B34" s="8" t="s">
        <v>17</v>
      </c>
      <c r="C34" s="2">
        <v>13</v>
      </c>
      <c r="D34" s="2">
        <v>6000</v>
      </c>
      <c r="E34" s="7">
        <f t="shared" si="0"/>
        <v>78000</v>
      </c>
    </row>
    <row r="35" spans="1:5" ht="15.6" x14ac:dyDescent="0.3">
      <c r="A35" s="8" t="s">
        <v>37</v>
      </c>
      <c r="B35" s="8" t="s">
        <v>3</v>
      </c>
      <c r="C35" s="2">
        <v>52</v>
      </c>
      <c r="D35" s="2">
        <v>8000</v>
      </c>
      <c r="E35" s="7">
        <f t="shared" si="0"/>
        <v>416000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2"/>
      <c r="E36" s="7">
        <f t="shared" si="0"/>
        <v>0</v>
      </c>
    </row>
    <row r="37" spans="1:5" ht="15.6" hidden="1" x14ac:dyDescent="0.3">
      <c r="A37" s="8" t="s">
        <v>39</v>
      </c>
      <c r="B37" s="8" t="s">
        <v>3</v>
      </c>
      <c r="C37" s="2">
        <v>0</v>
      </c>
      <c r="D37" s="2"/>
      <c r="E37" s="7">
        <f t="shared" si="0"/>
        <v>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40</v>
      </c>
      <c r="B39" s="8" t="s">
        <v>34</v>
      </c>
      <c r="C39" s="2">
        <v>6</v>
      </c>
      <c r="D39" s="2">
        <v>3000</v>
      </c>
      <c r="E39" s="7">
        <f t="shared" si="0"/>
        <v>18000</v>
      </c>
    </row>
    <row r="40" spans="1:5" ht="15.6" x14ac:dyDescent="0.3">
      <c r="A40" s="8" t="s">
        <v>41</v>
      </c>
      <c r="B40" s="8" t="s">
        <v>34</v>
      </c>
      <c r="C40" s="2">
        <v>20</v>
      </c>
      <c r="D40" s="2">
        <v>3300</v>
      </c>
      <c r="E40" s="7">
        <f t="shared" si="0"/>
        <v>66000</v>
      </c>
    </row>
    <row r="41" spans="1:5" ht="15.6" x14ac:dyDescent="0.3">
      <c r="A41" s="8" t="s">
        <v>42</v>
      </c>
      <c r="B41" s="8" t="s">
        <v>3</v>
      </c>
      <c r="C41" s="2">
        <v>1400</v>
      </c>
      <c r="D41" s="2">
        <v>5000</v>
      </c>
      <c r="E41" s="7">
        <f t="shared" si="0"/>
        <v>7000000</v>
      </c>
    </row>
    <row r="42" spans="1:5" ht="15.6" hidden="1" x14ac:dyDescent="0.3">
      <c r="A42" s="8" t="s">
        <v>43</v>
      </c>
      <c r="B42" s="8" t="s">
        <v>3</v>
      </c>
      <c r="C42" s="2">
        <v>0</v>
      </c>
      <c r="D42" s="2"/>
      <c r="E42" s="7">
        <f t="shared" si="0"/>
        <v>0</v>
      </c>
    </row>
    <row r="43" spans="1:5" ht="15.6" x14ac:dyDescent="0.3">
      <c r="A43" s="8" t="s">
        <v>44</v>
      </c>
      <c r="B43" s="8" t="s">
        <v>3</v>
      </c>
      <c r="C43" s="2">
        <v>700</v>
      </c>
      <c r="D43" s="2">
        <v>3000</v>
      </c>
      <c r="E43" s="7">
        <f t="shared" si="0"/>
        <v>2100000</v>
      </c>
    </row>
    <row r="44" spans="1:5" ht="15.6" x14ac:dyDescent="0.3">
      <c r="A44" s="8" t="s">
        <v>45</v>
      </c>
      <c r="B44" s="8" t="s">
        <v>3</v>
      </c>
      <c r="C44" s="2">
        <v>60</v>
      </c>
      <c r="D44" s="2">
        <v>9000</v>
      </c>
      <c r="E44" s="7">
        <f t="shared" si="0"/>
        <v>540000</v>
      </c>
    </row>
    <row r="45" spans="1:5" ht="15.6" hidden="1" x14ac:dyDescent="0.3">
      <c r="A45" s="8" t="s">
        <v>45</v>
      </c>
      <c r="B45" s="8" t="s">
        <v>19</v>
      </c>
      <c r="C45" s="2">
        <v>0</v>
      </c>
      <c r="D45" s="2"/>
      <c r="E45" s="7">
        <f t="shared" si="0"/>
        <v>0</v>
      </c>
    </row>
    <row r="46" spans="1:5" ht="15.6" hidden="1" x14ac:dyDescent="0.3">
      <c r="A46" s="8" t="s">
        <v>62</v>
      </c>
      <c r="B46" s="8" t="s">
        <v>3</v>
      </c>
      <c r="C46" s="2">
        <v>0</v>
      </c>
      <c r="D46" s="2"/>
      <c r="E46" s="7">
        <f t="shared" si="0"/>
        <v>0</v>
      </c>
    </row>
    <row r="47" spans="1:5" ht="15.6" x14ac:dyDescent="0.3">
      <c r="A47" s="8" t="s">
        <v>63</v>
      </c>
      <c r="B47" s="8" t="s">
        <v>3</v>
      </c>
      <c r="C47" s="2">
        <v>10</v>
      </c>
      <c r="D47" s="2">
        <v>14000</v>
      </c>
      <c r="E47" s="7">
        <f t="shared" si="0"/>
        <v>140000</v>
      </c>
    </row>
    <row r="48" spans="1:5" ht="15.6" hidden="1" x14ac:dyDescent="0.3">
      <c r="A48" s="8" t="s">
        <v>46</v>
      </c>
      <c r="B48" s="8" t="s">
        <v>29</v>
      </c>
      <c r="C48" s="2">
        <v>0</v>
      </c>
      <c r="D48" s="2"/>
      <c r="E48" s="7">
        <f t="shared" si="0"/>
        <v>0</v>
      </c>
    </row>
    <row r="49" spans="1:5" ht="15.6" hidden="1" x14ac:dyDescent="0.3">
      <c r="A49" s="8" t="s">
        <v>47</v>
      </c>
      <c r="B49" s="8" t="s">
        <v>3</v>
      </c>
      <c r="C49" s="2">
        <v>0</v>
      </c>
      <c r="D49" s="2"/>
      <c r="E49" s="7">
        <f t="shared" si="0"/>
        <v>0</v>
      </c>
    </row>
    <row r="50" spans="1:5" ht="15.6" x14ac:dyDescent="0.3">
      <c r="A50" s="8" t="s">
        <v>48</v>
      </c>
      <c r="B50" s="8" t="s">
        <v>3</v>
      </c>
      <c r="C50" s="2">
        <v>37</v>
      </c>
      <c r="D50" s="2">
        <v>8000</v>
      </c>
      <c r="E50" s="7">
        <f t="shared" si="0"/>
        <v>296000</v>
      </c>
    </row>
    <row r="51" spans="1:5" ht="15.6" hidden="1" x14ac:dyDescent="0.3">
      <c r="A51" s="8" t="s">
        <v>48</v>
      </c>
      <c r="B51" s="8" t="s">
        <v>34</v>
      </c>
      <c r="C51" s="2">
        <v>0</v>
      </c>
      <c r="D51" s="2"/>
      <c r="E51" s="7">
        <f t="shared" si="0"/>
        <v>0</v>
      </c>
    </row>
    <row r="52" spans="1:5" ht="15.6" x14ac:dyDescent="0.3">
      <c r="A52" s="8" t="s">
        <v>49</v>
      </c>
      <c r="B52" s="8" t="s">
        <v>3</v>
      </c>
      <c r="C52" s="2">
        <v>5</v>
      </c>
      <c r="D52" s="2">
        <v>19000</v>
      </c>
      <c r="E52" s="7">
        <f t="shared" si="0"/>
        <v>95000</v>
      </c>
    </row>
    <row r="53" spans="1:5" ht="15.6" x14ac:dyDescent="0.3">
      <c r="A53" s="8" t="s">
        <v>50</v>
      </c>
      <c r="B53" s="8" t="s">
        <v>3</v>
      </c>
      <c r="C53" s="2">
        <v>750</v>
      </c>
      <c r="D53" s="2">
        <v>6500</v>
      </c>
      <c r="E53" s="7">
        <f t="shared" si="0"/>
        <v>4875000</v>
      </c>
    </row>
    <row r="54" spans="1:5" ht="15.6" hidden="1" x14ac:dyDescent="0.3">
      <c r="A54" s="8" t="s">
        <v>50</v>
      </c>
      <c r="B54" s="8" t="s">
        <v>51</v>
      </c>
      <c r="C54" s="2">
        <v>0</v>
      </c>
      <c r="D54" s="2"/>
      <c r="E54" s="7">
        <f t="shared" si="0"/>
        <v>0</v>
      </c>
    </row>
    <row r="55" spans="1:5" ht="15.6" x14ac:dyDescent="0.3">
      <c r="A55" s="8" t="s">
        <v>52</v>
      </c>
      <c r="B55" s="8" t="s">
        <v>34</v>
      </c>
      <c r="C55" s="2">
        <v>150</v>
      </c>
      <c r="D55" s="2">
        <v>1800</v>
      </c>
      <c r="E55" s="7">
        <f t="shared" si="0"/>
        <v>270000</v>
      </c>
    </row>
    <row r="56" spans="1:5" ht="15.6" x14ac:dyDescent="0.3">
      <c r="A56" s="8" t="s">
        <v>53</v>
      </c>
      <c r="B56" s="8" t="s">
        <v>3</v>
      </c>
      <c r="C56" s="2">
        <v>2175</v>
      </c>
      <c r="D56" s="2">
        <v>25000</v>
      </c>
      <c r="E56" s="7">
        <f t="shared" si="0"/>
        <v>54375000</v>
      </c>
    </row>
    <row r="57" spans="1:5" ht="15.6" x14ac:dyDescent="0.3">
      <c r="A57" s="8" t="s">
        <v>54</v>
      </c>
      <c r="B57" s="8" t="s">
        <v>3</v>
      </c>
      <c r="C57" s="2">
        <v>25</v>
      </c>
      <c r="D57" s="2">
        <v>25000</v>
      </c>
      <c r="E57" s="7">
        <f t="shared" si="0"/>
        <v>625000</v>
      </c>
    </row>
    <row r="58" spans="1:5" ht="15.6" hidden="1" x14ac:dyDescent="0.3">
      <c r="A58" s="8" t="s">
        <v>54</v>
      </c>
      <c r="B58" s="8" t="s">
        <v>34</v>
      </c>
      <c r="C58" s="2">
        <v>0</v>
      </c>
      <c r="D58" s="2"/>
      <c r="E58" s="7">
        <f t="shared" si="0"/>
        <v>0</v>
      </c>
    </row>
    <row r="59" spans="1:5" ht="15.6" x14ac:dyDescent="0.3">
      <c r="A59" s="8" t="s">
        <v>55</v>
      </c>
      <c r="B59" s="8" t="s">
        <v>3</v>
      </c>
      <c r="C59" s="2">
        <v>40</v>
      </c>
      <c r="D59" s="2">
        <v>16000</v>
      </c>
      <c r="E59" s="7">
        <f t="shared" si="0"/>
        <v>640000</v>
      </c>
    </row>
    <row r="60" spans="1:5" ht="15.6" x14ac:dyDescent="0.3">
      <c r="A60" s="8" t="s">
        <v>56</v>
      </c>
      <c r="B60" s="8" t="s">
        <v>3</v>
      </c>
      <c r="C60" s="2">
        <v>35</v>
      </c>
      <c r="D60" s="2">
        <v>28000</v>
      </c>
      <c r="E60" s="7">
        <f t="shared" si="0"/>
        <v>980000</v>
      </c>
    </row>
    <row r="61" spans="1:5" ht="15.6" x14ac:dyDescent="0.3">
      <c r="A61" s="8" t="s">
        <v>58</v>
      </c>
      <c r="B61" s="8" t="s">
        <v>34</v>
      </c>
      <c r="C61" s="2">
        <v>6</v>
      </c>
      <c r="D61" s="2">
        <v>4000</v>
      </c>
      <c r="E61" s="7">
        <f t="shared" si="0"/>
        <v>24000</v>
      </c>
    </row>
    <row r="62" spans="1:5" ht="15.6" x14ac:dyDescent="0.3">
      <c r="A62" s="8" t="s">
        <v>59</v>
      </c>
      <c r="B62" s="8" t="s">
        <v>3</v>
      </c>
      <c r="C62" s="2">
        <v>135</v>
      </c>
      <c r="D62" s="2">
        <v>14000</v>
      </c>
      <c r="E62" s="7">
        <f t="shared" si="0"/>
        <v>1890000</v>
      </c>
    </row>
    <row r="63" spans="1:5" ht="15.6" hidden="1" x14ac:dyDescent="0.3">
      <c r="A63" s="8" t="s">
        <v>59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8" t="s">
        <v>60</v>
      </c>
      <c r="B64" s="8" t="s">
        <v>34</v>
      </c>
      <c r="C64" s="2">
        <v>76</v>
      </c>
      <c r="D64" s="2">
        <v>5000</v>
      </c>
      <c r="E64" s="7">
        <f t="shared" si="0"/>
        <v>380000</v>
      </c>
    </row>
    <row r="65" spans="1:5" ht="15.6" x14ac:dyDescent="0.3">
      <c r="A65" s="8" t="s">
        <v>61</v>
      </c>
      <c r="B65" s="8" t="s">
        <v>3</v>
      </c>
      <c r="C65" s="2">
        <v>10</v>
      </c>
      <c r="D65" s="2">
        <v>9000</v>
      </c>
      <c r="E65" s="7">
        <f t="shared" si="0"/>
        <v>90000</v>
      </c>
    </row>
    <row r="66" spans="1:5" ht="15.6" x14ac:dyDescent="0.3">
      <c r="A66" s="8" t="s">
        <v>67</v>
      </c>
      <c r="B66" s="8" t="s">
        <v>34</v>
      </c>
      <c r="C66" s="2">
        <v>16</v>
      </c>
      <c r="D66" s="2">
        <v>6000</v>
      </c>
      <c r="E66" s="7">
        <f t="shared" si="0"/>
        <v>96000</v>
      </c>
    </row>
    <row r="67" spans="1:5" ht="15.6" hidden="1" x14ac:dyDescent="0.3">
      <c r="A67" s="8" t="s">
        <v>68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x14ac:dyDescent="0.3">
      <c r="A68" s="8" t="s">
        <v>68</v>
      </c>
      <c r="B68" s="8" t="s">
        <v>34</v>
      </c>
      <c r="C68" s="2">
        <v>11</v>
      </c>
      <c r="D68" s="2">
        <v>6500</v>
      </c>
      <c r="E68" s="7">
        <f t="shared" si="0"/>
        <v>71500</v>
      </c>
    </row>
    <row r="69" spans="1:5" ht="15.6" hidden="1" x14ac:dyDescent="0.3">
      <c r="A69" s="8" t="s">
        <v>68</v>
      </c>
      <c r="B69" s="8" t="s">
        <v>116</v>
      </c>
      <c r="C69" s="2">
        <v>0</v>
      </c>
      <c r="D69" s="2"/>
      <c r="E69" s="7">
        <f t="shared" ref="E69:E105" si="1">C69*D69</f>
        <v>0</v>
      </c>
    </row>
    <row r="70" spans="1:5" ht="15.6" hidden="1" x14ac:dyDescent="0.3">
      <c r="A70" s="8" t="s">
        <v>69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x14ac:dyDescent="0.3">
      <c r="A71" s="8" t="s">
        <v>71</v>
      </c>
      <c r="B71" s="8" t="s">
        <v>3</v>
      </c>
      <c r="C71" s="2">
        <v>0.5</v>
      </c>
      <c r="D71" s="2">
        <v>70000</v>
      </c>
      <c r="E71" s="7">
        <f t="shared" si="1"/>
        <v>35000</v>
      </c>
    </row>
    <row r="72" spans="1:5" ht="15.6" hidden="1" x14ac:dyDescent="0.3">
      <c r="A72" s="8" t="s">
        <v>117</v>
      </c>
      <c r="B72" s="8" t="s">
        <v>34</v>
      </c>
      <c r="C72" s="2">
        <v>0</v>
      </c>
      <c r="D72" s="2"/>
      <c r="E72" s="7">
        <f t="shared" si="1"/>
        <v>0</v>
      </c>
    </row>
    <row r="73" spans="1:5" ht="15.6" hidden="1" x14ac:dyDescent="0.3">
      <c r="A73" s="8" t="s">
        <v>64</v>
      </c>
      <c r="B73" s="8" t="s">
        <v>3</v>
      </c>
      <c r="C73" s="2">
        <v>0</v>
      </c>
      <c r="D73" s="2"/>
      <c r="E73" s="7">
        <f t="shared" si="1"/>
        <v>0</v>
      </c>
    </row>
    <row r="74" spans="1:5" ht="15.6" x14ac:dyDescent="0.3">
      <c r="A74" s="8" t="s">
        <v>64</v>
      </c>
      <c r="B74" s="8" t="s">
        <v>17</v>
      </c>
      <c r="C74" s="2">
        <v>478</v>
      </c>
      <c r="D74" s="2">
        <v>8500</v>
      </c>
      <c r="E74" s="7">
        <f t="shared" si="1"/>
        <v>4063000</v>
      </c>
    </row>
    <row r="75" spans="1:5" ht="15.6" hidden="1" x14ac:dyDescent="0.3">
      <c r="A75" s="8" t="s">
        <v>65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x14ac:dyDescent="0.3">
      <c r="A76" s="8" t="s">
        <v>66</v>
      </c>
      <c r="B76" s="8" t="s">
        <v>3</v>
      </c>
      <c r="C76" s="2">
        <v>15</v>
      </c>
      <c r="D76" s="2">
        <v>13000</v>
      </c>
      <c r="E76" s="7">
        <f t="shared" si="1"/>
        <v>195000</v>
      </c>
    </row>
    <row r="77" spans="1:5" ht="15.6" x14ac:dyDescent="0.3">
      <c r="A77" s="8" t="s">
        <v>72</v>
      </c>
      <c r="B77" s="8" t="s">
        <v>3</v>
      </c>
      <c r="C77" s="2">
        <v>10</v>
      </c>
      <c r="D77" s="2">
        <v>10000</v>
      </c>
      <c r="E77" s="7">
        <f t="shared" si="1"/>
        <v>100000</v>
      </c>
    </row>
    <row r="78" spans="1:5" ht="15.6" hidden="1" x14ac:dyDescent="0.3">
      <c r="A78" s="8" t="s">
        <v>72</v>
      </c>
      <c r="B78" s="8" t="s">
        <v>19</v>
      </c>
      <c r="C78" s="2">
        <v>0</v>
      </c>
      <c r="D78" s="2"/>
      <c r="E78" s="7">
        <f t="shared" si="1"/>
        <v>0</v>
      </c>
    </row>
    <row r="79" spans="1:5" ht="15.6" hidden="1" x14ac:dyDescent="0.3">
      <c r="A79" s="8" t="s">
        <v>74</v>
      </c>
      <c r="B79" s="8" t="s">
        <v>34</v>
      </c>
      <c r="C79" s="2">
        <v>0</v>
      </c>
      <c r="D79" s="2"/>
      <c r="E79" s="7">
        <f t="shared" si="1"/>
        <v>0</v>
      </c>
    </row>
    <row r="80" spans="1:5" ht="15.6" x14ac:dyDescent="0.3">
      <c r="A80" s="8" t="s">
        <v>75</v>
      </c>
      <c r="B80" s="8" t="s">
        <v>3</v>
      </c>
      <c r="C80" s="2">
        <v>14</v>
      </c>
      <c r="D80" s="2">
        <v>14000</v>
      </c>
      <c r="E80" s="7">
        <f t="shared" si="1"/>
        <v>196000</v>
      </c>
    </row>
    <row r="81" spans="1:5" ht="15.6" hidden="1" x14ac:dyDescent="0.3">
      <c r="A81" s="8" t="s">
        <v>79</v>
      </c>
      <c r="B81" s="8" t="s">
        <v>17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80</v>
      </c>
      <c r="B82" s="8" t="s">
        <v>29</v>
      </c>
      <c r="C82" s="2">
        <v>0</v>
      </c>
      <c r="D82" s="2"/>
      <c r="E82" s="7">
        <f t="shared" si="1"/>
        <v>0</v>
      </c>
    </row>
    <row r="83" spans="1:5" ht="15.6" x14ac:dyDescent="0.3">
      <c r="A83" s="8" t="s">
        <v>81</v>
      </c>
      <c r="B83" s="8" t="s">
        <v>3</v>
      </c>
      <c r="C83" s="2">
        <v>30</v>
      </c>
      <c r="D83" s="2">
        <v>24000</v>
      </c>
      <c r="E83" s="7">
        <f t="shared" si="1"/>
        <v>720000</v>
      </c>
    </row>
    <row r="84" spans="1:5" ht="15.6" hidden="1" x14ac:dyDescent="0.3">
      <c r="A84" s="8" t="s">
        <v>81</v>
      </c>
      <c r="B84" s="8" t="s">
        <v>9</v>
      </c>
      <c r="C84" s="2">
        <v>0</v>
      </c>
      <c r="D84" s="2"/>
      <c r="E84" s="7">
        <f t="shared" si="1"/>
        <v>0</v>
      </c>
    </row>
    <row r="85" spans="1:5" ht="15.6" x14ac:dyDescent="0.3">
      <c r="A85" s="8" t="s">
        <v>108</v>
      </c>
      <c r="B85" s="8" t="s">
        <v>3</v>
      </c>
      <c r="C85" s="2">
        <v>25</v>
      </c>
      <c r="D85" s="2">
        <v>19000</v>
      </c>
      <c r="E85" s="7">
        <f t="shared" si="1"/>
        <v>475000</v>
      </c>
    </row>
    <row r="86" spans="1:5" ht="15.6" x14ac:dyDescent="0.3">
      <c r="A86" s="8" t="s">
        <v>82</v>
      </c>
      <c r="B86" s="8" t="s">
        <v>3</v>
      </c>
      <c r="C86" s="2">
        <v>50</v>
      </c>
      <c r="D86" s="2">
        <v>26000</v>
      </c>
      <c r="E86" s="7">
        <f t="shared" si="1"/>
        <v>1300000</v>
      </c>
    </row>
    <row r="87" spans="1:5" ht="15.6" hidden="1" x14ac:dyDescent="0.3">
      <c r="A87" s="8" t="s">
        <v>82</v>
      </c>
      <c r="B87" s="8" t="s">
        <v>9</v>
      </c>
      <c r="C87" s="2">
        <v>0</v>
      </c>
      <c r="D87" s="2"/>
      <c r="E87" s="7">
        <f t="shared" si="1"/>
        <v>0</v>
      </c>
    </row>
    <row r="88" spans="1:5" ht="15.6" x14ac:dyDescent="0.3">
      <c r="A88" s="8" t="s">
        <v>109</v>
      </c>
      <c r="B88" s="8" t="s">
        <v>3</v>
      </c>
      <c r="C88" s="2">
        <v>25</v>
      </c>
      <c r="D88" s="2">
        <v>21000</v>
      </c>
      <c r="E88" s="7">
        <f t="shared" si="1"/>
        <v>525000</v>
      </c>
    </row>
    <row r="89" spans="1:5" ht="15.6" x14ac:dyDescent="0.3">
      <c r="A89" s="8" t="s">
        <v>83</v>
      </c>
      <c r="B89" s="8" t="s">
        <v>3</v>
      </c>
      <c r="C89" s="2">
        <v>78</v>
      </c>
      <c r="D89" s="2">
        <v>30000</v>
      </c>
      <c r="E89" s="7">
        <f t="shared" si="1"/>
        <v>2340000</v>
      </c>
    </row>
    <row r="90" spans="1:5" ht="15.6" hidden="1" x14ac:dyDescent="0.3">
      <c r="A90" s="8" t="s">
        <v>83</v>
      </c>
      <c r="B90" s="8" t="s">
        <v>9</v>
      </c>
      <c r="C90" s="2">
        <v>0</v>
      </c>
      <c r="D90" s="2"/>
      <c r="E90" s="7">
        <f t="shared" si="1"/>
        <v>0</v>
      </c>
    </row>
    <row r="91" spans="1:5" ht="15.6" x14ac:dyDescent="0.3">
      <c r="A91" s="8" t="s">
        <v>110</v>
      </c>
      <c r="B91" s="8" t="s">
        <v>3</v>
      </c>
      <c r="C91" s="2">
        <v>20</v>
      </c>
      <c r="D91" s="2">
        <v>25000</v>
      </c>
      <c r="E91" s="7">
        <f t="shared" si="1"/>
        <v>500000</v>
      </c>
    </row>
    <row r="92" spans="1:5" ht="15.6" x14ac:dyDescent="0.3">
      <c r="A92" s="8" t="s">
        <v>84</v>
      </c>
      <c r="B92" s="8" t="s">
        <v>34</v>
      </c>
      <c r="C92" s="2">
        <v>50</v>
      </c>
      <c r="D92" s="2">
        <v>17000</v>
      </c>
      <c r="E92" s="7">
        <f t="shared" si="1"/>
        <v>850000</v>
      </c>
    </row>
    <row r="93" spans="1:5" ht="15.6" hidden="1" x14ac:dyDescent="0.3">
      <c r="A93" s="8" t="s">
        <v>85</v>
      </c>
      <c r="B93" s="8" t="s">
        <v>34</v>
      </c>
      <c r="C93" s="2">
        <v>0</v>
      </c>
      <c r="D93" s="2"/>
      <c r="E93" s="7">
        <f t="shared" si="1"/>
        <v>0</v>
      </c>
    </row>
    <row r="94" spans="1:5" ht="15.6" hidden="1" x14ac:dyDescent="0.3">
      <c r="A94" s="8" t="s">
        <v>111</v>
      </c>
      <c r="B94" s="8" t="s">
        <v>3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86</v>
      </c>
      <c r="B95" s="8" t="s">
        <v>9</v>
      </c>
      <c r="C95" s="2">
        <v>1355</v>
      </c>
      <c r="D95" s="2">
        <v>9000</v>
      </c>
      <c r="E95" s="7">
        <f t="shared" si="1"/>
        <v>12195000</v>
      </c>
    </row>
    <row r="96" spans="1:5" ht="15.6" x14ac:dyDescent="0.3">
      <c r="A96" s="8" t="s">
        <v>87</v>
      </c>
      <c r="B96" s="8" t="s">
        <v>9</v>
      </c>
      <c r="C96" s="2">
        <v>353</v>
      </c>
      <c r="D96" s="2">
        <v>11361</v>
      </c>
      <c r="E96" s="7">
        <f t="shared" si="1"/>
        <v>4010433</v>
      </c>
    </row>
    <row r="97" spans="1:5" ht="15.6" x14ac:dyDescent="0.3">
      <c r="A97" s="8" t="s">
        <v>89</v>
      </c>
      <c r="B97" s="8" t="s">
        <v>3</v>
      </c>
      <c r="C97" s="2">
        <v>10</v>
      </c>
      <c r="D97" s="2">
        <v>18000</v>
      </c>
      <c r="E97" s="7">
        <f t="shared" si="1"/>
        <v>180000</v>
      </c>
    </row>
    <row r="98" spans="1:5" ht="15.6" x14ac:dyDescent="0.3">
      <c r="A98" s="8" t="s">
        <v>90</v>
      </c>
      <c r="B98" s="8" t="s">
        <v>3</v>
      </c>
      <c r="C98" s="2">
        <v>35</v>
      </c>
      <c r="D98" s="2">
        <v>5000</v>
      </c>
      <c r="E98" s="7">
        <f t="shared" si="1"/>
        <v>175000</v>
      </c>
    </row>
    <row r="99" spans="1:5" ht="15.6" hidden="1" x14ac:dyDescent="0.3">
      <c r="A99" s="8" t="s">
        <v>91</v>
      </c>
      <c r="B99" s="8" t="s">
        <v>3</v>
      </c>
      <c r="C99" s="2">
        <v>0</v>
      </c>
      <c r="D99" s="2"/>
      <c r="E99" s="7">
        <f t="shared" si="1"/>
        <v>0</v>
      </c>
    </row>
    <row r="100" spans="1:5" ht="15.6" hidden="1" x14ac:dyDescent="0.3">
      <c r="A100" s="8" t="s">
        <v>92</v>
      </c>
      <c r="B100" s="8" t="s">
        <v>3</v>
      </c>
      <c r="C100" s="2">
        <v>0</v>
      </c>
      <c r="D100" s="2"/>
      <c r="E100" s="7">
        <f t="shared" si="1"/>
        <v>0</v>
      </c>
    </row>
    <row r="101" spans="1:5" ht="15.6" x14ac:dyDescent="0.3">
      <c r="A101" s="8" t="s">
        <v>93</v>
      </c>
      <c r="B101" s="8" t="s">
        <v>19</v>
      </c>
      <c r="C101" s="2">
        <v>90</v>
      </c>
      <c r="D101" s="2">
        <v>6800</v>
      </c>
      <c r="E101" s="7">
        <f t="shared" si="1"/>
        <v>612000</v>
      </c>
    </row>
    <row r="102" spans="1:5" ht="15.6" hidden="1" x14ac:dyDescent="0.3">
      <c r="A102" s="8" t="s">
        <v>94</v>
      </c>
      <c r="B102" s="8" t="s">
        <v>3</v>
      </c>
      <c r="C102" s="2">
        <v>0</v>
      </c>
      <c r="D102" s="2"/>
      <c r="E102" s="7">
        <f t="shared" si="1"/>
        <v>0</v>
      </c>
    </row>
    <row r="103" spans="1:5" ht="15.6" hidden="1" x14ac:dyDescent="0.3">
      <c r="A103" s="8" t="s">
        <v>95</v>
      </c>
      <c r="B103" s="8" t="s">
        <v>19</v>
      </c>
      <c r="C103" s="2">
        <v>0</v>
      </c>
      <c r="D103" s="2"/>
      <c r="E103" s="7">
        <f t="shared" si="1"/>
        <v>0</v>
      </c>
    </row>
    <row r="104" spans="1:5" ht="15.6" hidden="1" x14ac:dyDescent="0.3">
      <c r="A104" s="8" t="s">
        <v>97</v>
      </c>
      <c r="B104" s="8" t="s">
        <v>3</v>
      </c>
      <c r="C104" s="2">
        <v>0</v>
      </c>
      <c r="D104" s="2"/>
      <c r="E104" s="7">
        <f t="shared" si="1"/>
        <v>0</v>
      </c>
    </row>
    <row r="105" spans="1:5" ht="15.6" hidden="1" x14ac:dyDescent="0.3">
      <c r="A105" s="8" t="s">
        <v>98</v>
      </c>
      <c r="B105" s="8" t="s">
        <v>19</v>
      </c>
      <c r="C105" s="2">
        <v>0</v>
      </c>
      <c r="D105" s="2"/>
      <c r="E105" s="7">
        <f t="shared" si="1"/>
        <v>0</v>
      </c>
    </row>
    <row r="106" spans="1:5" x14ac:dyDescent="0.3">
      <c r="E106" s="9">
        <f>SUM(E4:E101)</f>
        <v>126914673</v>
      </c>
    </row>
  </sheetData>
  <autoFilter ref="A3:E105" xr:uid="{00000000-0009-0000-0000-000002000000}">
    <filterColumn colId="2">
      <filters>
        <filter val="1"/>
        <filter val="1,355"/>
        <filter val="1,400"/>
        <filter val="10"/>
        <filter val="100"/>
        <filter val="11"/>
        <filter val="111"/>
        <filter val="13"/>
        <filter val="135"/>
        <filter val="14"/>
        <filter val="140"/>
        <filter val="15"/>
        <filter val="150"/>
        <filter val="16"/>
        <filter val="17"/>
        <filter val="2,175"/>
        <filter val="20"/>
        <filter val="215"/>
        <filter val="225"/>
        <filter val="25"/>
        <filter val="280"/>
        <filter val="30"/>
        <filter val="35"/>
        <filter val="353"/>
        <filter val="37"/>
        <filter val="40"/>
        <filter val="478"/>
        <filter val="5"/>
        <filter val="50"/>
        <filter val="52"/>
        <filter val="520"/>
        <filter val="6"/>
        <filter val="60"/>
        <filter val="700"/>
        <filter val="750"/>
        <filter val="76"/>
        <filter val="78"/>
        <filter val="8"/>
        <filter val="80"/>
        <filter val="90"/>
        <filter val="9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22"/>
  <sheetViews>
    <sheetView workbookViewId="0">
      <selection activeCell="H27" sqref="H27"/>
    </sheetView>
  </sheetViews>
  <sheetFormatPr defaultRowHeight="14.4" x14ac:dyDescent="0.3"/>
  <cols>
    <col min="1" max="1" width="27.33203125" customWidth="1"/>
    <col min="3" max="3" width="10.77734375" customWidth="1"/>
    <col min="4" max="4" width="13.33203125" customWidth="1"/>
    <col min="5" max="5" width="17.5546875" customWidth="1"/>
  </cols>
  <sheetData>
    <row r="1" spans="1:5" x14ac:dyDescent="0.3">
      <c r="A1" t="s">
        <v>121</v>
      </c>
    </row>
    <row r="2" spans="1:5" ht="49.2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80</v>
      </c>
      <c r="D3" s="2">
        <v>18000</v>
      </c>
      <c r="E3" s="7">
        <f>C3*D3</f>
        <v>1440000</v>
      </c>
    </row>
    <row r="4" spans="1:5" ht="15.6" x14ac:dyDescent="0.3">
      <c r="A4" s="8" t="s">
        <v>4</v>
      </c>
      <c r="B4" s="8" t="s">
        <v>3</v>
      </c>
      <c r="C4" s="2">
        <v>550</v>
      </c>
      <c r="D4" s="2">
        <v>4000</v>
      </c>
      <c r="E4" s="7">
        <f t="shared" ref="E4:E67" si="0">C4*D4</f>
        <v>2200000</v>
      </c>
    </row>
    <row r="5" spans="1:5" ht="15.6" x14ac:dyDescent="0.3">
      <c r="A5" s="8" t="s">
        <v>5</v>
      </c>
      <c r="B5" s="8" t="s">
        <v>3</v>
      </c>
      <c r="C5" s="2">
        <v>236</v>
      </c>
      <c r="D5" s="2">
        <v>4000</v>
      </c>
      <c r="E5" s="7">
        <f t="shared" si="0"/>
        <v>944000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1680</v>
      </c>
      <c r="D8" s="2">
        <v>9500</v>
      </c>
      <c r="E8" s="7">
        <f t="shared" si="0"/>
        <v>15960000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175</v>
      </c>
      <c r="D10" s="2">
        <v>10000</v>
      </c>
      <c r="E10" s="7">
        <f t="shared" si="0"/>
        <v>1750000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70</v>
      </c>
      <c r="D12" s="2">
        <v>15000</v>
      </c>
      <c r="E12" s="7">
        <f t="shared" si="0"/>
        <v>1050000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21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x14ac:dyDescent="0.3">
      <c r="A15" s="8" t="s">
        <v>12</v>
      </c>
      <c r="B15" s="8" t="s">
        <v>3</v>
      </c>
      <c r="C15" s="2">
        <v>32</v>
      </c>
      <c r="D15" s="2">
        <v>12000</v>
      </c>
      <c r="E15" s="7">
        <f t="shared" si="0"/>
        <v>384000</v>
      </c>
    </row>
    <row r="16" spans="1:5" ht="15.6" hidden="1" x14ac:dyDescent="0.3">
      <c r="A16" s="8" t="s">
        <v>13</v>
      </c>
      <c r="B16" s="8" t="s">
        <v>3</v>
      </c>
      <c r="C16" s="2">
        <v>0</v>
      </c>
      <c r="D16" s="2"/>
      <c r="E16" s="7">
        <f t="shared" si="0"/>
        <v>0</v>
      </c>
    </row>
    <row r="17" spans="1:5" ht="15.6" x14ac:dyDescent="0.3">
      <c r="A17" s="8" t="s">
        <v>14</v>
      </c>
      <c r="B17" s="8" t="s">
        <v>3</v>
      </c>
      <c r="C17" s="2">
        <v>87</v>
      </c>
      <c r="D17" s="2">
        <v>13000</v>
      </c>
      <c r="E17" s="7">
        <f t="shared" si="0"/>
        <v>1131000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2"/>
      <c r="E18" s="7">
        <f t="shared" si="0"/>
        <v>0</v>
      </c>
    </row>
    <row r="19" spans="1:5" ht="15.6" hidden="1" x14ac:dyDescent="0.3">
      <c r="A19" s="8" t="s">
        <v>16</v>
      </c>
      <c r="B19" s="8" t="s">
        <v>17</v>
      </c>
      <c r="C19" s="2">
        <v>0</v>
      </c>
      <c r="D19" s="2"/>
      <c r="E19" s="7">
        <f t="shared" si="0"/>
        <v>0</v>
      </c>
    </row>
    <row r="20" spans="1:5" ht="15.6" hidden="1" x14ac:dyDescent="0.3">
      <c r="A20" s="8" t="s">
        <v>18</v>
      </c>
      <c r="B20" s="8" t="s">
        <v>19</v>
      </c>
      <c r="C20" s="2">
        <v>0</v>
      </c>
      <c r="D20" s="2"/>
      <c r="E20" s="7">
        <f t="shared" si="0"/>
        <v>0</v>
      </c>
    </row>
    <row r="21" spans="1:5" ht="15.6" hidden="1" x14ac:dyDescent="0.3">
      <c r="A21" s="8" t="s">
        <v>20</v>
      </c>
      <c r="B21" s="8" t="s">
        <v>3</v>
      </c>
      <c r="C21" s="2">
        <v>0</v>
      </c>
      <c r="D21" s="2"/>
      <c r="E21" s="7">
        <f t="shared" si="0"/>
        <v>0</v>
      </c>
    </row>
    <row r="22" spans="1:5" ht="15.6" x14ac:dyDescent="0.3">
      <c r="A22" s="8" t="s">
        <v>22</v>
      </c>
      <c r="B22" s="8" t="s">
        <v>3</v>
      </c>
      <c r="C22" s="2">
        <v>235</v>
      </c>
      <c r="D22" s="2">
        <v>16000</v>
      </c>
      <c r="E22" s="7">
        <f t="shared" si="0"/>
        <v>3760000</v>
      </c>
    </row>
    <row r="23" spans="1:5" ht="15.6" hidden="1" x14ac:dyDescent="0.3">
      <c r="A23" s="8" t="s">
        <v>22</v>
      </c>
      <c r="B23" s="8" t="s">
        <v>17</v>
      </c>
      <c r="C23" s="2">
        <v>0</v>
      </c>
      <c r="D23" s="2"/>
      <c r="E23" s="7">
        <f t="shared" si="0"/>
        <v>0</v>
      </c>
    </row>
    <row r="24" spans="1:5" ht="15.6" hidden="1" x14ac:dyDescent="0.3">
      <c r="A24" s="8" t="s">
        <v>22</v>
      </c>
      <c r="B24" s="8" t="s">
        <v>23</v>
      </c>
      <c r="C24" s="2">
        <v>0</v>
      </c>
      <c r="D24" s="2"/>
      <c r="E24" s="7">
        <f t="shared" si="0"/>
        <v>0</v>
      </c>
    </row>
    <row r="25" spans="1:5" ht="15.6" x14ac:dyDescent="0.3">
      <c r="A25" s="8" t="s">
        <v>24</v>
      </c>
      <c r="B25" s="8" t="s">
        <v>3</v>
      </c>
      <c r="C25" s="2">
        <v>68</v>
      </c>
      <c r="D25" s="2">
        <v>14000</v>
      </c>
      <c r="E25" s="7">
        <f t="shared" si="0"/>
        <v>952000</v>
      </c>
    </row>
    <row r="26" spans="1:5" ht="15.6" hidden="1" x14ac:dyDescent="0.3">
      <c r="A26" s="8" t="s">
        <v>24</v>
      </c>
      <c r="B26" s="8" t="s">
        <v>25</v>
      </c>
      <c r="C26" s="2">
        <v>0</v>
      </c>
      <c r="D26" s="2"/>
      <c r="E26" s="7">
        <f t="shared" si="0"/>
        <v>0</v>
      </c>
    </row>
    <row r="27" spans="1:5" ht="15.6" x14ac:dyDescent="0.3">
      <c r="A27" s="8" t="s">
        <v>26</v>
      </c>
      <c r="B27" s="8" t="s">
        <v>3</v>
      </c>
      <c r="C27" s="2">
        <v>9</v>
      </c>
      <c r="D27" s="2">
        <v>18000</v>
      </c>
      <c r="E27" s="7">
        <f t="shared" si="0"/>
        <v>162000</v>
      </c>
    </row>
    <row r="28" spans="1:5" ht="15.6" x14ac:dyDescent="0.3">
      <c r="A28" s="8" t="s">
        <v>26</v>
      </c>
      <c r="B28" s="8" t="s">
        <v>27</v>
      </c>
      <c r="C28" s="2">
        <v>60</v>
      </c>
      <c r="D28" s="2">
        <v>5400</v>
      </c>
      <c r="E28" s="7">
        <f t="shared" si="0"/>
        <v>324000</v>
      </c>
    </row>
    <row r="29" spans="1:5" ht="15.6" x14ac:dyDescent="0.3">
      <c r="A29" s="8" t="s">
        <v>28</v>
      </c>
      <c r="B29" s="8" t="s">
        <v>29</v>
      </c>
      <c r="C29" s="2">
        <v>5</v>
      </c>
      <c r="D29" s="2">
        <v>12000</v>
      </c>
      <c r="E29" s="7">
        <f t="shared" si="0"/>
        <v>60000</v>
      </c>
    </row>
    <row r="30" spans="1:5" ht="15.6" hidden="1" x14ac:dyDescent="0.3">
      <c r="A30" s="8" t="s">
        <v>30</v>
      </c>
      <c r="B30" s="8" t="s">
        <v>3</v>
      </c>
      <c r="C30" s="2">
        <v>0</v>
      </c>
      <c r="D30" s="2"/>
      <c r="E30" s="7">
        <f t="shared" si="0"/>
        <v>0</v>
      </c>
    </row>
    <row r="31" spans="1:5" ht="15.6" x14ac:dyDescent="0.3">
      <c r="A31" s="8" t="s">
        <v>30</v>
      </c>
      <c r="B31" s="8" t="s">
        <v>31</v>
      </c>
      <c r="C31" s="2">
        <v>187</v>
      </c>
      <c r="D31" s="2">
        <v>7500</v>
      </c>
      <c r="E31" s="7">
        <f t="shared" si="0"/>
        <v>1402500</v>
      </c>
    </row>
    <row r="32" spans="1:5" ht="15.6" x14ac:dyDescent="0.3">
      <c r="A32" s="8" t="s">
        <v>32</v>
      </c>
      <c r="B32" s="8" t="s">
        <v>3</v>
      </c>
      <c r="C32" s="2">
        <v>50</v>
      </c>
      <c r="D32" s="2">
        <v>17000</v>
      </c>
      <c r="E32" s="7">
        <f t="shared" si="0"/>
        <v>850000</v>
      </c>
    </row>
    <row r="33" spans="1:5" ht="15.6" hidden="1" x14ac:dyDescent="0.3">
      <c r="A33" s="8" t="s">
        <v>32</v>
      </c>
      <c r="B33" s="8" t="s">
        <v>17</v>
      </c>
      <c r="C33" s="2">
        <v>0</v>
      </c>
      <c r="D33" s="2"/>
      <c r="E33" s="7">
        <f t="shared" si="0"/>
        <v>0</v>
      </c>
    </row>
    <row r="34" spans="1:5" ht="15.6" x14ac:dyDescent="0.3">
      <c r="A34" s="8" t="s">
        <v>33</v>
      </c>
      <c r="B34" s="8" t="s">
        <v>34</v>
      </c>
      <c r="C34" s="2">
        <v>140</v>
      </c>
      <c r="D34" s="2">
        <v>12000</v>
      </c>
      <c r="E34" s="7">
        <f t="shared" si="0"/>
        <v>1680000</v>
      </c>
    </row>
    <row r="35" spans="1:5" ht="15.6" x14ac:dyDescent="0.3">
      <c r="A35" s="8" t="s">
        <v>35</v>
      </c>
      <c r="B35" s="8" t="s">
        <v>3</v>
      </c>
      <c r="C35" s="2">
        <v>5</v>
      </c>
      <c r="D35" s="2">
        <v>6500</v>
      </c>
      <c r="E35" s="7">
        <f t="shared" si="0"/>
        <v>32500</v>
      </c>
    </row>
    <row r="36" spans="1:5" ht="15.6" hidden="1" x14ac:dyDescent="0.3">
      <c r="A36" s="8" t="s">
        <v>35</v>
      </c>
      <c r="B36" s="8" t="s">
        <v>34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36</v>
      </c>
      <c r="B37" s="8" t="s">
        <v>17</v>
      </c>
      <c r="C37" s="2">
        <v>10</v>
      </c>
      <c r="D37" s="2">
        <v>6000</v>
      </c>
      <c r="E37" s="7">
        <f t="shared" si="0"/>
        <v>60000</v>
      </c>
    </row>
    <row r="38" spans="1:5" ht="15.6" x14ac:dyDescent="0.3">
      <c r="A38" s="8" t="s">
        <v>37</v>
      </c>
      <c r="B38" s="8" t="s">
        <v>3</v>
      </c>
      <c r="C38" s="2">
        <v>57</v>
      </c>
      <c r="D38" s="2">
        <v>8000</v>
      </c>
      <c r="E38" s="7">
        <f t="shared" si="0"/>
        <v>456000</v>
      </c>
    </row>
    <row r="39" spans="1:5" ht="15.6" hidden="1" x14ac:dyDescent="0.3">
      <c r="A39" s="8" t="s">
        <v>37</v>
      </c>
      <c r="B39" s="8" t="s">
        <v>38</v>
      </c>
      <c r="C39" s="2">
        <v>0</v>
      </c>
      <c r="D39" s="2"/>
      <c r="E39" s="7">
        <f t="shared" si="0"/>
        <v>0</v>
      </c>
    </row>
    <row r="40" spans="1:5" ht="15.6" x14ac:dyDescent="0.3">
      <c r="A40" s="8" t="s">
        <v>39</v>
      </c>
      <c r="B40" s="8" t="s">
        <v>3</v>
      </c>
      <c r="C40" s="2">
        <v>8</v>
      </c>
      <c r="D40" s="2">
        <v>22000</v>
      </c>
      <c r="E40" s="7">
        <f t="shared" si="0"/>
        <v>176000</v>
      </c>
    </row>
    <row r="41" spans="1:5" ht="15.6" hidden="1" x14ac:dyDescent="0.3">
      <c r="A41" s="8" t="s">
        <v>39</v>
      </c>
      <c r="B41" s="8" t="s">
        <v>34</v>
      </c>
      <c r="C41" s="2">
        <v>0</v>
      </c>
      <c r="D41" s="2"/>
      <c r="E41" s="7">
        <f t="shared" si="0"/>
        <v>0</v>
      </c>
    </row>
    <row r="42" spans="1:5" ht="15.6" hidden="1" x14ac:dyDescent="0.3">
      <c r="A42" s="8" t="s">
        <v>40</v>
      </c>
      <c r="B42" s="8" t="s">
        <v>3</v>
      </c>
      <c r="C42" s="2">
        <v>0</v>
      </c>
      <c r="D42" s="2"/>
      <c r="E42" s="7">
        <f t="shared" si="0"/>
        <v>0</v>
      </c>
    </row>
    <row r="43" spans="1:5" ht="15.6" x14ac:dyDescent="0.3">
      <c r="A43" s="8" t="s">
        <v>40</v>
      </c>
      <c r="B43" s="8" t="s">
        <v>34</v>
      </c>
      <c r="C43" s="2">
        <v>3</v>
      </c>
      <c r="D43" s="2">
        <v>3000</v>
      </c>
      <c r="E43" s="7">
        <f t="shared" si="0"/>
        <v>9000</v>
      </c>
    </row>
    <row r="44" spans="1:5" ht="15.6" hidden="1" x14ac:dyDescent="0.3">
      <c r="A44" s="8" t="s">
        <v>41</v>
      </c>
      <c r="B44" s="8" t="s">
        <v>3</v>
      </c>
      <c r="C44" s="2">
        <v>0</v>
      </c>
      <c r="D44" s="2"/>
      <c r="E44" s="7">
        <f t="shared" si="0"/>
        <v>0</v>
      </c>
    </row>
    <row r="45" spans="1:5" ht="15.6" x14ac:dyDescent="0.3">
      <c r="A45" s="8" t="s">
        <v>41</v>
      </c>
      <c r="B45" s="8" t="s">
        <v>34</v>
      </c>
      <c r="C45" s="2">
        <v>9</v>
      </c>
      <c r="D45" s="2">
        <v>3300</v>
      </c>
      <c r="E45" s="7">
        <f t="shared" si="0"/>
        <v>29700</v>
      </c>
    </row>
    <row r="46" spans="1:5" ht="15.6" x14ac:dyDescent="0.3">
      <c r="A46" s="8" t="s">
        <v>42</v>
      </c>
      <c r="B46" s="8" t="s">
        <v>3</v>
      </c>
      <c r="C46" s="2">
        <v>540</v>
      </c>
      <c r="D46" s="2">
        <v>3000</v>
      </c>
      <c r="E46" s="7">
        <f t="shared" si="0"/>
        <v>1620000</v>
      </c>
    </row>
    <row r="47" spans="1:5" ht="15.6" x14ac:dyDescent="0.3">
      <c r="A47" s="8" t="s">
        <v>43</v>
      </c>
      <c r="B47" s="8" t="s">
        <v>3</v>
      </c>
      <c r="C47" s="2">
        <v>2</v>
      </c>
      <c r="D47" s="2">
        <v>14000</v>
      </c>
      <c r="E47" s="7">
        <f t="shared" si="0"/>
        <v>28000</v>
      </c>
    </row>
    <row r="48" spans="1:5" ht="15.6" x14ac:dyDescent="0.3">
      <c r="A48" s="8" t="s">
        <v>44</v>
      </c>
      <c r="B48" s="8" t="s">
        <v>3</v>
      </c>
      <c r="C48" s="2">
        <v>250</v>
      </c>
      <c r="D48" s="2">
        <v>3000</v>
      </c>
      <c r="E48" s="7">
        <f t="shared" si="0"/>
        <v>750000</v>
      </c>
    </row>
    <row r="49" spans="1:5" ht="15.6" hidden="1" x14ac:dyDescent="0.3">
      <c r="A49" s="8" t="s">
        <v>45</v>
      </c>
      <c r="B49" s="8" t="s">
        <v>3</v>
      </c>
      <c r="C49" s="2">
        <v>0</v>
      </c>
      <c r="D49" s="2"/>
      <c r="E49" s="7">
        <f t="shared" si="0"/>
        <v>0</v>
      </c>
    </row>
    <row r="50" spans="1:5" ht="15.6" hidden="1" x14ac:dyDescent="0.3">
      <c r="A50" s="8" t="s">
        <v>45</v>
      </c>
      <c r="B50" s="8" t="s">
        <v>19</v>
      </c>
      <c r="C50" s="2">
        <v>0</v>
      </c>
      <c r="D50" s="2"/>
      <c r="E50" s="7">
        <f t="shared" si="0"/>
        <v>0</v>
      </c>
    </row>
    <row r="51" spans="1:5" ht="15.6" x14ac:dyDescent="0.3">
      <c r="A51" s="8" t="s">
        <v>62</v>
      </c>
      <c r="B51" s="8" t="s">
        <v>3</v>
      </c>
      <c r="C51" s="2">
        <v>13</v>
      </c>
      <c r="D51" s="2">
        <v>28000</v>
      </c>
      <c r="E51" s="7">
        <f t="shared" si="0"/>
        <v>364000</v>
      </c>
    </row>
    <row r="52" spans="1:5" ht="15.6" hidden="1" x14ac:dyDescent="0.3">
      <c r="A52" s="8" t="s">
        <v>63</v>
      </c>
      <c r="B52" s="8" t="s">
        <v>3</v>
      </c>
      <c r="C52" s="2">
        <v>0</v>
      </c>
      <c r="D52" s="2"/>
      <c r="E52" s="7">
        <f t="shared" si="0"/>
        <v>0</v>
      </c>
    </row>
    <row r="53" spans="1:5" ht="15.6" hidden="1" x14ac:dyDescent="0.3">
      <c r="A53" s="8" t="s">
        <v>46</v>
      </c>
      <c r="B53" s="8" t="s">
        <v>29</v>
      </c>
      <c r="C53" s="2">
        <v>0</v>
      </c>
      <c r="D53" s="2"/>
      <c r="E53" s="7">
        <f t="shared" si="0"/>
        <v>0</v>
      </c>
    </row>
    <row r="54" spans="1:5" ht="15.6" hidden="1" x14ac:dyDescent="0.3">
      <c r="A54" s="8" t="s">
        <v>46</v>
      </c>
      <c r="B54" s="8" t="s">
        <v>3</v>
      </c>
      <c r="C54" s="2">
        <v>0</v>
      </c>
      <c r="D54" s="2"/>
      <c r="E54" s="7">
        <f t="shared" si="0"/>
        <v>0</v>
      </c>
    </row>
    <row r="55" spans="1:5" ht="15.6" hidden="1" x14ac:dyDescent="0.3">
      <c r="A55" s="8" t="s">
        <v>47</v>
      </c>
      <c r="B55" s="8" t="s">
        <v>3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48</v>
      </c>
      <c r="B56" s="8" t="s">
        <v>3</v>
      </c>
      <c r="C56" s="2">
        <v>47</v>
      </c>
      <c r="D56" s="2">
        <v>8000</v>
      </c>
      <c r="E56" s="7">
        <f t="shared" si="0"/>
        <v>376000</v>
      </c>
    </row>
    <row r="57" spans="1:5" ht="15.6" hidden="1" x14ac:dyDescent="0.3">
      <c r="A57" s="8" t="s">
        <v>48</v>
      </c>
      <c r="B57" s="8" t="s">
        <v>34</v>
      </c>
      <c r="C57" s="2">
        <v>0</v>
      </c>
      <c r="D57" s="2"/>
      <c r="E57" s="7">
        <f t="shared" si="0"/>
        <v>0</v>
      </c>
    </row>
    <row r="58" spans="1:5" ht="15.6" x14ac:dyDescent="0.3">
      <c r="A58" s="8" t="s">
        <v>49</v>
      </c>
      <c r="B58" s="8" t="s">
        <v>3</v>
      </c>
      <c r="C58" s="2">
        <v>11</v>
      </c>
      <c r="D58" s="2">
        <v>19000</v>
      </c>
      <c r="E58" s="7">
        <f t="shared" si="0"/>
        <v>209000</v>
      </c>
    </row>
    <row r="59" spans="1:5" ht="15.6" x14ac:dyDescent="0.3">
      <c r="A59" s="8" t="s">
        <v>50</v>
      </c>
      <c r="B59" s="8" t="s">
        <v>3</v>
      </c>
      <c r="C59" s="2">
        <v>360</v>
      </c>
      <c r="D59" s="2">
        <v>6500</v>
      </c>
      <c r="E59" s="7">
        <f t="shared" si="0"/>
        <v>2340000</v>
      </c>
    </row>
    <row r="60" spans="1:5" ht="15.6" hidden="1" x14ac:dyDescent="0.3">
      <c r="A60" s="8" t="s">
        <v>50</v>
      </c>
      <c r="B60" s="8" t="s">
        <v>51</v>
      </c>
      <c r="C60" s="2">
        <v>0</v>
      </c>
      <c r="D60" s="2"/>
      <c r="E60" s="7">
        <f t="shared" si="0"/>
        <v>0</v>
      </c>
    </row>
    <row r="61" spans="1:5" ht="15.6" x14ac:dyDescent="0.3">
      <c r="A61" s="8" t="s">
        <v>104</v>
      </c>
      <c r="B61" s="8" t="s">
        <v>3</v>
      </c>
      <c r="C61" s="2">
        <v>5</v>
      </c>
      <c r="D61" s="2">
        <v>20000</v>
      </c>
      <c r="E61" s="7">
        <f t="shared" si="0"/>
        <v>100000</v>
      </c>
    </row>
    <row r="62" spans="1:5" ht="15.6" x14ac:dyDescent="0.3">
      <c r="A62" s="8" t="s">
        <v>52</v>
      </c>
      <c r="B62" s="8" t="s">
        <v>34</v>
      </c>
      <c r="C62" s="2">
        <v>116</v>
      </c>
      <c r="D62" s="2">
        <v>1800</v>
      </c>
      <c r="E62" s="7">
        <f t="shared" si="0"/>
        <v>208800</v>
      </c>
    </row>
    <row r="63" spans="1:5" ht="15.6" x14ac:dyDescent="0.3">
      <c r="A63" s="8" t="s">
        <v>53</v>
      </c>
      <c r="B63" s="8" t="s">
        <v>3</v>
      </c>
      <c r="C63" s="2">
        <v>1550</v>
      </c>
      <c r="D63" s="2">
        <v>25000</v>
      </c>
      <c r="E63" s="7">
        <f t="shared" si="0"/>
        <v>38750000</v>
      </c>
    </row>
    <row r="64" spans="1:5" ht="15.6" x14ac:dyDescent="0.3">
      <c r="A64" s="8" t="s">
        <v>54</v>
      </c>
      <c r="B64" s="8" t="s">
        <v>3</v>
      </c>
      <c r="C64" s="2">
        <v>25</v>
      </c>
      <c r="D64" s="2">
        <v>25000</v>
      </c>
      <c r="E64" s="7">
        <f t="shared" si="0"/>
        <v>625000</v>
      </c>
    </row>
    <row r="65" spans="1:5" ht="15.6" hidden="1" x14ac:dyDescent="0.3">
      <c r="A65" s="8" t="s">
        <v>54</v>
      </c>
      <c r="B65" s="8" t="s">
        <v>34</v>
      </c>
      <c r="C65" s="2">
        <v>0</v>
      </c>
      <c r="D65" s="2"/>
      <c r="E65" s="7">
        <f t="shared" si="0"/>
        <v>0</v>
      </c>
    </row>
    <row r="66" spans="1:5" ht="15.6" x14ac:dyDescent="0.3">
      <c r="A66" s="8" t="s">
        <v>55</v>
      </c>
      <c r="B66" s="8" t="s">
        <v>3</v>
      </c>
      <c r="C66" s="2">
        <v>60</v>
      </c>
      <c r="D66" s="2">
        <v>16000</v>
      </c>
      <c r="E66" s="7">
        <f t="shared" si="0"/>
        <v>960000</v>
      </c>
    </row>
    <row r="67" spans="1:5" ht="15.6" x14ac:dyDescent="0.3">
      <c r="A67" s="8" t="s">
        <v>56</v>
      </c>
      <c r="B67" s="8" t="s">
        <v>3</v>
      </c>
      <c r="C67" s="2">
        <v>34</v>
      </c>
      <c r="D67" s="2">
        <v>25000</v>
      </c>
      <c r="E67" s="7">
        <f t="shared" si="0"/>
        <v>850000</v>
      </c>
    </row>
    <row r="68" spans="1:5" ht="15.6" hidden="1" x14ac:dyDescent="0.3">
      <c r="A68" s="8" t="s">
        <v>57</v>
      </c>
      <c r="B68" s="8" t="s">
        <v>3</v>
      </c>
      <c r="C68" s="2">
        <v>0</v>
      </c>
      <c r="D68" s="2"/>
      <c r="E68" s="7">
        <f t="shared" ref="E68:E121" si="1">C68*D68</f>
        <v>0</v>
      </c>
    </row>
    <row r="69" spans="1:5" ht="15.6" x14ac:dyDescent="0.3">
      <c r="A69" s="8" t="s">
        <v>58</v>
      </c>
      <c r="B69" s="8" t="s">
        <v>3</v>
      </c>
      <c r="C69" s="2">
        <v>2</v>
      </c>
      <c r="D69" s="2">
        <v>8000</v>
      </c>
      <c r="E69" s="7">
        <f t="shared" si="1"/>
        <v>16000</v>
      </c>
    </row>
    <row r="70" spans="1:5" ht="15.6" hidden="1" x14ac:dyDescent="0.3">
      <c r="A70" s="8" t="s">
        <v>58</v>
      </c>
      <c r="B70" s="8" t="s">
        <v>34</v>
      </c>
      <c r="C70" s="2">
        <v>0</v>
      </c>
      <c r="D70" s="2"/>
      <c r="E70" s="7">
        <f t="shared" si="1"/>
        <v>0</v>
      </c>
    </row>
    <row r="71" spans="1:5" ht="15.6" hidden="1" x14ac:dyDescent="0.3">
      <c r="A71" s="8" t="s">
        <v>105</v>
      </c>
      <c r="B71" s="8" t="s">
        <v>3</v>
      </c>
      <c r="C71" s="2">
        <v>0</v>
      </c>
      <c r="D71" s="2"/>
      <c r="E71" s="7">
        <f t="shared" si="1"/>
        <v>0</v>
      </c>
    </row>
    <row r="72" spans="1:5" ht="15.6" x14ac:dyDescent="0.3">
      <c r="A72" s="8" t="s">
        <v>59</v>
      </c>
      <c r="B72" s="8" t="s">
        <v>3</v>
      </c>
      <c r="C72" s="2">
        <v>1080</v>
      </c>
      <c r="D72" s="2">
        <v>14000</v>
      </c>
      <c r="E72" s="7">
        <f t="shared" si="1"/>
        <v>15120000</v>
      </c>
    </row>
    <row r="73" spans="1:5" ht="15.6" hidden="1" x14ac:dyDescent="0.3">
      <c r="A73" s="8" t="s">
        <v>59</v>
      </c>
      <c r="B73" s="8" t="s">
        <v>34</v>
      </c>
      <c r="C73" s="2">
        <v>0</v>
      </c>
      <c r="D73" s="2"/>
      <c r="E73" s="7">
        <f t="shared" si="1"/>
        <v>0</v>
      </c>
    </row>
    <row r="74" spans="1:5" ht="15.6" x14ac:dyDescent="0.3">
      <c r="A74" s="8" t="s">
        <v>60</v>
      </c>
      <c r="B74" s="8" t="s">
        <v>34</v>
      </c>
      <c r="C74" s="2">
        <v>100</v>
      </c>
      <c r="D74" s="2">
        <v>5000</v>
      </c>
      <c r="E74" s="7">
        <f t="shared" si="1"/>
        <v>500000</v>
      </c>
    </row>
    <row r="75" spans="1:5" ht="15.6" hidden="1" x14ac:dyDescent="0.3">
      <c r="A75" s="8" t="s">
        <v>61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x14ac:dyDescent="0.3">
      <c r="A76" s="8" t="s">
        <v>67</v>
      </c>
      <c r="B76" s="8" t="s">
        <v>34</v>
      </c>
      <c r="C76" s="2">
        <v>24</v>
      </c>
      <c r="D76" s="2">
        <v>6000</v>
      </c>
      <c r="E76" s="7">
        <f t="shared" si="1"/>
        <v>144000</v>
      </c>
    </row>
    <row r="77" spans="1:5" ht="15.6" hidden="1" x14ac:dyDescent="0.3">
      <c r="A77" s="8" t="s">
        <v>68</v>
      </c>
      <c r="B77" s="8" t="s">
        <v>3</v>
      </c>
      <c r="C77" s="2">
        <v>0</v>
      </c>
      <c r="D77" s="2"/>
      <c r="E77" s="7">
        <f t="shared" si="1"/>
        <v>0</v>
      </c>
    </row>
    <row r="78" spans="1:5" ht="15.6" x14ac:dyDescent="0.3">
      <c r="A78" s="8" t="s">
        <v>68</v>
      </c>
      <c r="B78" s="8" t="s">
        <v>34</v>
      </c>
      <c r="C78" s="2">
        <v>23</v>
      </c>
      <c r="D78" s="2">
        <v>6500</v>
      </c>
      <c r="E78" s="7">
        <f t="shared" si="1"/>
        <v>149500</v>
      </c>
    </row>
    <row r="79" spans="1:5" ht="15.6" hidden="1" x14ac:dyDescent="0.3">
      <c r="A79" s="8" t="s">
        <v>69</v>
      </c>
      <c r="B79" s="8" t="s">
        <v>3</v>
      </c>
      <c r="C79" s="2">
        <v>0</v>
      </c>
      <c r="D79" s="2"/>
      <c r="E79" s="7">
        <f t="shared" si="1"/>
        <v>0</v>
      </c>
    </row>
    <row r="80" spans="1:5" ht="15.6" hidden="1" x14ac:dyDescent="0.3">
      <c r="A80" s="8" t="s">
        <v>106</v>
      </c>
      <c r="B80" s="8" t="s">
        <v>3</v>
      </c>
      <c r="C80" s="2">
        <v>0.3</v>
      </c>
      <c r="D80" s="2"/>
      <c r="E80" s="7">
        <f t="shared" si="1"/>
        <v>0</v>
      </c>
    </row>
    <row r="81" spans="1:5" ht="15.6" hidden="1" x14ac:dyDescent="0.3">
      <c r="A81" s="8" t="s">
        <v>70</v>
      </c>
      <c r="B81" s="8" t="s">
        <v>3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71</v>
      </c>
      <c r="B82" s="8" t="s">
        <v>3</v>
      </c>
      <c r="C82" s="2">
        <v>0</v>
      </c>
      <c r="D82" s="2"/>
      <c r="E82" s="7">
        <f t="shared" si="1"/>
        <v>0</v>
      </c>
    </row>
    <row r="83" spans="1:5" ht="15.6" hidden="1" x14ac:dyDescent="0.3">
      <c r="A83" s="8" t="s">
        <v>117</v>
      </c>
      <c r="B83" s="8" t="s">
        <v>34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64</v>
      </c>
      <c r="B84" s="8" t="s">
        <v>3</v>
      </c>
      <c r="C84" s="2">
        <v>0</v>
      </c>
      <c r="D84" s="2"/>
      <c r="E84" s="7">
        <f t="shared" si="1"/>
        <v>0</v>
      </c>
    </row>
    <row r="85" spans="1:5" ht="15.6" x14ac:dyDescent="0.3">
      <c r="A85" s="8" t="s">
        <v>64</v>
      </c>
      <c r="B85" s="8" t="s">
        <v>17</v>
      </c>
      <c r="C85" s="2">
        <v>265</v>
      </c>
      <c r="D85" s="2">
        <v>8500</v>
      </c>
      <c r="E85" s="7">
        <f t="shared" si="1"/>
        <v>2252500</v>
      </c>
    </row>
    <row r="86" spans="1:5" ht="15.6" hidden="1" x14ac:dyDescent="0.3">
      <c r="A86" s="8" t="s">
        <v>65</v>
      </c>
      <c r="B86" s="8" t="s">
        <v>3</v>
      </c>
      <c r="C86" s="2">
        <v>0</v>
      </c>
      <c r="D86" s="2"/>
      <c r="E86" s="7">
        <f t="shared" si="1"/>
        <v>0</v>
      </c>
    </row>
    <row r="87" spans="1:5" ht="15.6" x14ac:dyDescent="0.3">
      <c r="A87" s="8" t="s">
        <v>66</v>
      </c>
      <c r="B87" s="8" t="s">
        <v>3</v>
      </c>
      <c r="C87" s="2">
        <v>25</v>
      </c>
      <c r="D87" s="2">
        <v>13000</v>
      </c>
      <c r="E87" s="7">
        <f t="shared" si="1"/>
        <v>325000</v>
      </c>
    </row>
    <row r="88" spans="1:5" ht="15.6" x14ac:dyDescent="0.3">
      <c r="A88" s="8" t="s">
        <v>72</v>
      </c>
      <c r="B88" s="8" t="s">
        <v>3</v>
      </c>
      <c r="C88" s="2">
        <v>13</v>
      </c>
      <c r="D88" s="2">
        <v>10000</v>
      </c>
      <c r="E88" s="7">
        <f t="shared" si="1"/>
        <v>130000</v>
      </c>
    </row>
    <row r="89" spans="1:5" ht="15.6" hidden="1" x14ac:dyDescent="0.3">
      <c r="A89" s="8" t="s">
        <v>72</v>
      </c>
      <c r="B89" s="8" t="s">
        <v>19</v>
      </c>
      <c r="C89" s="2">
        <v>0</v>
      </c>
      <c r="D89" s="2"/>
      <c r="E89" s="7">
        <f t="shared" si="1"/>
        <v>0</v>
      </c>
    </row>
    <row r="90" spans="1:5" ht="15.6" hidden="1" x14ac:dyDescent="0.3">
      <c r="A90" s="8" t="s">
        <v>73</v>
      </c>
      <c r="B90" s="8" t="s">
        <v>3</v>
      </c>
      <c r="C90" s="2">
        <v>0</v>
      </c>
      <c r="D90" s="2"/>
      <c r="E90" s="7">
        <f t="shared" si="1"/>
        <v>0</v>
      </c>
    </row>
    <row r="91" spans="1:5" ht="15.6" hidden="1" x14ac:dyDescent="0.3">
      <c r="A91" s="8" t="s">
        <v>107</v>
      </c>
      <c r="B91" s="8" t="s">
        <v>29</v>
      </c>
      <c r="C91" s="2">
        <v>0</v>
      </c>
      <c r="D91" s="2"/>
      <c r="E91" s="7">
        <f t="shared" si="1"/>
        <v>0</v>
      </c>
    </row>
    <row r="92" spans="1:5" ht="15.6" hidden="1" x14ac:dyDescent="0.3">
      <c r="A92" s="8" t="s">
        <v>74</v>
      </c>
      <c r="B92" s="8" t="s">
        <v>34</v>
      </c>
      <c r="C92" s="2">
        <v>0</v>
      </c>
      <c r="D92" s="2"/>
      <c r="E92" s="7">
        <f t="shared" si="1"/>
        <v>0</v>
      </c>
    </row>
    <row r="93" spans="1:5" ht="15.6" x14ac:dyDescent="0.3">
      <c r="A93" s="8" t="s">
        <v>75</v>
      </c>
      <c r="B93" s="8" t="s">
        <v>3</v>
      </c>
      <c r="C93" s="2">
        <v>13</v>
      </c>
      <c r="D93" s="2">
        <v>14000</v>
      </c>
      <c r="E93" s="7">
        <f t="shared" si="1"/>
        <v>182000</v>
      </c>
    </row>
    <row r="94" spans="1:5" ht="15.6" hidden="1" x14ac:dyDescent="0.3">
      <c r="A94" s="8" t="s">
        <v>79</v>
      </c>
      <c r="B94" s="8" t="s">
        <v>17</v>
      </c>
      <c r="C94" s="2">
        <v>0</v>
      </c>
      <c r="D94" s="2"/>
      <c r="E94" s="7">
        <f t="shared" si="1"/>
        <v>0</v>
      </c>
    </row>
    <row r="95" spans="1:5" ht="15.6" hidden="1" x14ac:dyDescent="0.3">
      <c r="A95" s="8" t="s">
        <v>80</v>
      </c>
      <c r="B95" s="8" t="s">
        <v>29</v>
      </c>
      <c r="C95" s="2">
        <v>0</v>
      </c>
      <c r="D95" s="2"/>
      <c r="E95" s="7">
        <f t="shared" si="1"/>
        <v>0</v>
      </c>
    </row>
    <row r="96" spans="1:5" ht="15.6" x14ac:dyDescent="0.3">
      <c r="A96" s="8" t="s">
        <v>80</v>
      </c>
      <c r="B96" s="8" t="s">
        <v>3</v>
      </c>
      <c r="C96" s="2">
        <v>4</v>
      </c>
      <c r="D96" s="2">
        <v>28000</v>
      </c>
      <c r="E96" s="7">
        <f t="shared" si="1"/>
        <v>112000</v>
      </c>
    </row>
    <row r="97" spans="1:5" ht="15.6" x14ac:dyDescent="0.3">
      <c r="A97" s="8" t="s">
        <v>81</v>
      </c>
      <c r="B97" s="8" t="s">
        <v>3</v>
      </c>
      <c r="C97" s="2">
        <v>92</v>
      </c>
      <c r="D97" s="2">
        <v>24000</v>
      </c>
      <c r="E97" s="7">
        <f t="shared" si="1"/>
        <v>2208000</v>
      </c>
    </row>
    <row r="98" spans="1:5" ht="15.6" hidden="1" x14ac:dyDescent="0.3">
      <c r="A98" s="8" t="s">
        <v>81</v>
      </c>
      <c r="B98" s="8" t="s">
        <v>9</v>
      </c>
      <c r="C98" s="2">
        <v>0</v>
      </c>
      <c r="D98" s="2"/>
      <c r="E98" s="7">
        <f t="shared" si="1"/>
        <v>0</v>
      </c>
    </row>
    <row r="99" spans="1:5" ht="15.6" x14ac:dyDescent="0.3">
      <c r="A99" s="8" t="s">
        <v>82</v>
      </c>
      <c r="B99" s="8" t="s">
        <v>3</v>
      </c>
      <c r="C99" s="2">
        <v>50</v>
      </c>
      <c r="D99" s="2">
        <v>26000</v>
      </c>
      <c r="E99" s="7">
        <f t="shared" si="1"/>
        <v>1300000</v>
      </c>
    </row>
    <row r="100" spans="1:5" ht="15.6" hidden="1" x14ac:dyDescent="0.3">
      <c r="A100" s="8" t="s">
        <v>82</v>
      </c>
      <c r="B100" s="8" t="s">
        <v>9</v>
      </c>
      <c r="C100" s="2">
        <v>0</v>
      </c>
      <c r="D100" s="2"/>
      <c r="E100" s="7">
        <f t="shared" si="1"/>
        <v>0</v>
      </c>
    </row>
    <row r="101" spans="1:5" ht="15.6" x14ac:dyDescent="0.3">
      <c r="A101" s="8" t="s">
        <v>83</v>
      </c>
      <c r="B101" s="8" t="s">
        <v>3</v>
      </c>
      <c r="C101" s="2">
        <v>85</v>
      </c>
      <c r="D101" s="2">
        <v>30000</v>
      </c>
      <c r="E101" s="7">
        <f t="shared" si="1"/>
        <v>2550000</v>
      </c>
    </row>
    <row r="102" spans="1:5" ht="15.6" hidden="1" x14ac:dyDescent="0.3">
      <c r="A102" s="8" t="s">
        <v>83</v>
      </c>
      <c r="B102" s="8" t="s">
        <v>9</v>
      </c>
      <c r="C102" s="2">
        <v>0</v>
      </c>
      <c r="D102" s="2"/>
      <c r="E102" s="7">
        <f t="shared" si="1"/>
        <v>0</v>
      </c>
    </row>
    <row r="103" spans="1:5" ht="15.6" x14ac:dyDescent="0.3">
      <c r="A103" s="8" t="s">
        <v>110</v>
      </c>
      <c r="B103" s="8" t="s">
        <v>3</v>
      </c>
      <c r="C103" s="2">
        <v>20</v>
      </c>
      <c r="D103" s="2">
        <v>25000</v>
      </c>
      <c r="E103" s="7">
        <f t="shared" si="1"/>
        <v>500000</v>
      </c>
    </row>
    <row r="104" spans="1:5" ht="15.6" x14ac:dyDescent="0.3">
      <c r="A104" s="8" t="s">
        <v>84</v>
      </c>
      <c r="B104" s="8" t="s">
        <v>34</v>
      </c>
      <c r="C104" s="2">
        <v>67</v>
      </c>
      <c r="D104" s="2">
        <v>17000</v>
      </c>
      <c r="E104" s="7">
        <f t="shared" si="1"/>
        <v>1139000</v>
      </c>
    </row>
    <row r="105" spans="1:5" ht="15.6" hidden="1" x14ac:dyDescent="0.3">
      <c r="A105" s="8" t="s">
        <v>85</v>
      </c>
      <c r="B105" s="8" t="s">
        <v>34</v>
      </c>
      <c r="C105" s="2">
        <v>0</v>
      </c>
      <c r="D105" s="2"/>
      <c r="E105" s="7">
        <f t="shared" si="1"/>
        <v>0</v>
      </c>
    </row>
    <row r="106" spans="1:5" ht="15.6" hidden="1" x14ac:dyDescent="0.3">
      <c r="A106" s="8" t="s">
        <v>119</v>
      </c>
      <c r="B106" s="8" t="s">
        <v>3</v>
      </c>
      <c r="C106" s="2">
        <v>0</v>
      </c>
      <c r="D106" s="2"/>
      <c r="E106" s="7">
        <f t="shared" si="1"/>
        <v>0</v>
      </c>
    </row>
    <row r="107" spans="1:5" ht="15.6" hidden="1" x14ac:dyDescent="0.3">
      <c r="A107" s="8" t="s">
        <v>111</v>
      </c>
      <c r="B107" s="8" t="s">
        <v>3</v>
      </c>
      <c r="C107" s="2">
        <v>0</v>
      </c>
      <c r="D107" s="2"/>
      <c r="E107" s="7">
        <f t="shared" si="1"/>
        <v>0</v>
      </c>
    </row>
    <row r="108" spans="1:5" ht="15.6" x14ac:dyDescent="0.3">
      <c r="A108" s="8" t="s">
        <v>86</v>
      </c>
      <c r="B108" s="8" t="s">
        <v>9</v>
      </c>
      <c r="C108" s="2">
        <v>1350</v>
      </c>
      <c r="D108" s="2">
        <v>9000</v>
      </c>
      <c r="E108" s="7">
        <f t="shared" si="1"/>
        <v>12150000</v>
      </c>
    </row>
    <row r="109" spans="1:5" ht="15.6" x14ac:dyDescent="0.3">
      <c r="A109" s="8" t="s">
        <v>87</v>
      </c>
      <c r="B109" s="8" t="s">
        <v>9</v>
      </c>
      <c r="C109" s="2">
        <v>353</v>
      </c>
      <c r="D109" s="2">
        <v>11361</v>
      </c>
      <c r="E109" s="7">
        <f t="shared" si="1"/>
        <v>4010433</v>
      </c>
    </row>
    <row r="110" spans="1:5" ht="15.6" hidden="1" x14ac:dyDescent="0.3">
      <c r="A110" s="8" t="s">
        <v>88</v>
      </c>
      <c r="B110" s="8" t="s">
        <v>3</v>
      </c>
      <c r="C110" s="2">
        <v>0</v>
      </c>
      <c r="D110" s="2"/>
      <c r="E110" s="7">
        <f t="shared" si="1"/>
        <v>0</v>
      </c>
    </row>
    <row r="111" spans="1:5" ht="15.6" x14ac:dyDescent="0.3">
      <c r="A111" s="8" t="s">
        <v>89</v>
      </c>
      <c r="B111" s="8" t="s">
        <v>3</v>
      </c>
      <c r="C111" s="2">
        <v>5</v>
      </c>
      <c r="D111" s="2">
        <v>18000</v>
      </c>
      <c r="E111" s="7">
        <f t="shared" si="1"/>
        <v>90000</v>
      </c>
    </row>
    <row r="112" spans="1:5" ht="15.6" x14ac:dyDescent="0.3">
      <c r="A112" s="8" t="s">
        <v>90</v>
      </c>
      <c r="B112" s="8" t="s">
        <v>3</v>
      </c>
      <c r="C112" s="2">
        <v>52</v>
      </c>
      <c r="D112" s="2">
        <v>6000</v>
      </c>
      <c r="E112" s="7">
        <f t="shared" si="1"/>
        <v>312000</v>
      </c>
    </row>
    <row r="113" spans="1:5" ht="15.6" x14ac:dyDescent="0.3">
      <c r="A113" s="8" t="s">
        <v>91</v>
      </c>
      <c r="B113" s="8" t="s">
        <v>3</v>
      </c>
      <c r="C113" s="2">
        <v>11</v>
      </c>
      <c r="D113" s="2">
        <v>13000</v>
      </c>
      <c r="E113" s="7">
        <f t="shared" si="1"/>
        <v>143000</v>
      </c>
    </row>
    <row r="114" spans="1:5" ht="15.6" hidden="1" x14ac:dyDescent="0.3">
      <c r="A114" s="8" t="s">
        <v>120</v>
      </c>
      <c r="B114" s="8" t="s">
        <v>3</v>
      </c>
      <c r="C114" s="2">
        <v>0</v>
      </c>
      <c r="D114" s="2"/>
      <c r="E114" s="7">
        <f t="shared" si="1"/>
        <v>0</v>
      </c>
    </row>
    <row r="115" spans="1:5" ht="15.6" hidden="1" x14ac:dyDescent="0.3">
      <c r="A115" s="8" t="s">
        <v>92</v>
      </c>
      <c r="B115" s="8" t="s">
        <v>3</v>
      </c>
      <c r="C115" s="2">
        <v>0</v>
      </c>
      <c r="D115" s="2"/>
      <c r="E115" s="7">
        <f t="shared" si="1"/>
        <v>0</v>
      </c>
    </row>
    <row r="116" spans="1:5" ht="15.6" x14ac:dyDescent="0.3">
      <c r="A116" s="8" t="s">
        <v>93</v>
      </c>
      <c r="B116" s="8" t="s">
        <v>19</v>
      </c>
      <c r="C116" s="2">
        <v>45</v>
      </c>
      <c r="D116" s="2">
        <v>6800</v>
      </c>
      <c r="E116" s="7">
        <f t="shared" si="1"/>
        <v>306000</v>
      </c>
    </row>
    <row r="117" spans="1:5" ht="15.6" x14ac:dyDescent="0.3">
      <c r="A117" s="8" t="s">
        <v>94</v>
      </c>
      <c r="B117" s="8" t="s">
        <v>3</v>
      </c>
      <c r="C117" s="2">
        <v>2</v>
      </c>
      <c r="D117" s="2">
        <v>21000</v>
      </c>
      <c r="E117" s="7">
        <f t="shared" si="1"/>
        <v>42000</v>
      </c>
    </row>
    <row r="118" spans="1:5" ht="15.6" hidden="1" x14ac:dyDescent="0.3">
      <c r="A118" s="8" t="s">
        <v>95</v>
      </c>
      <c r="B118" s="8" t="s">
        <v>19</v>
      </c>
      <c r="C118" s="2">
        <v>0</v>
      </c>
      <c r="D118" s="2"/>
      <c r="E118" s="7">
        <f t="shared" si="1"/>
        <v>0</v>
      </c>
    </row>
    <row r="119" spans="1:5" ht="15.6" hidden="1" x14ac:dyDescent="0.3">
      <c r="A119" s="8" t="s">
        <v>96</v>
      </c>
      <c r="B119" s="8" t="s">
        <v>3</v>
      </c>
      <c r="C119" s="2">
        <v>0</v>
      </c>
      <c r="D119" s="2"/>
      <c r="E119" s="7">
        <f t="shared" si="1"/>
        <v>0</v>
      </c>
    </row>
    <row r="120" spans="1:5" ht="15.6" hidden="1" x14ac:dyDescent="0.3">
      <c r="A120" s="8" t="s">
        <v>97</v>
      </c>
      <c r="B120" s="8" t="s">
        <v>3</v>
      </c>
      <c r="C120" s="2">
        <v>0</v>
      </c>
      <c r="D120" s="2"/>
      <c r="E120" s="7">
        <f t="shared" si="1"/>
        <v>0</v>
      </c>
    </row>
    <row r="121" spans="1:5" ht="15.6" x14ac:dyDescent="0.3">
      <c r="A121" s="8" t="s">
        <v>98</v>
      </c>
      <c r="B121" s="8" t="s">
        <v>19</v>
      </c>
      <c r="C121" s="2">
        <v>70</v>
      </c>
      <c r="D121" s="2">
        <v>7000</v>
      </c>
      <c r="E121" s="7">
        <f t="shared" si="1"/>
        <v>490000</v>
      </c>
    </row>
    <row r="122" spans="1:5" x14ac:dyDescent="0.3">
      <c r="E122" s="9">
        <f>SUM(E3:E121)</f>
        <v>126164933</v>
      </c>
    </row>
  </sheetData>
  <autoFilter ref="A2:E121" xr:uid="{00000000-0009-0000-0000-000003000000}">
    <filterColumn colId="2">
      <filters>
        <filter val="1,080"/>
        <filter val="1,350"/>
        <filter val="1,550"/>
        <filter val="1,680"/>
        <filter val="10"/>
        <filter val="100"/>
        <filter val="11"/>
        <filter val="116"/>
        <filter val="13"/>
        <filter val="140"/>
        <filter val="175"/>
        <filter val="187"/>
        <filter val="2"/>
        <filter val="20"/>
        <filter val="23"/>
        <filter val="235"/>
        <filter val="236"/>
        <filter val="24"/>
        <filter val="25"/>
        <filter val="250"/>
        <filter val="265"/>
        <filter val="3"/>
        <filter val="32"/>
        <filter val="34"/>
        <filter val="353"/>
        <filter val="360"/>
        <filter val="4"/>
        <filter val="45"/>
        <filter val="47"/>
        <filter val="5"/>
        <filter val="50"/>
        <filter val="52"/>
        <filter val="540"/>
        <filter val="550"/>
        <filter val="57"/>
        <filter val="60"/>
        <filter val="67"/>
        <filter val="68"/>
        <filter val="70"/>
        <filter val="8"/>
        <filter val="80"/>
        <filter val="85"/>
        <filter val="87"/>
        <filter val="9"/>
        <filter val="9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16"/>
  <sheetViews>
    <sheetView workbookViewId="0">
      <selection activeCell="H23" sqref="H23"/>
    </sheetView>
  </sheetViews>
  <sheetFormatPr defaultRowHeight="14.4" x14ac:dyDescent="0.3"/>
  <cols>
    <col min="1" max="1" width="28.77734375" customWidth="1"/>
    <col min="4" max="4" width="13.77734375" customWidth="1"/>
    <col min="5" max="5" width="18.5546875" customWidth="1"/>
  </cols>
  <sheetData>
    <row r="1" spans="1:5" x14ac:dyDescent="0.3">
      <c r="A1" t="s">
        <v>123</v>
      </c>
    </row>
    <row r="2" spans="1:5" ht="44.4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13" t="s">
        <v>2</v>
      </c>
      <c r="B3" s="13" t="s">
        <v>3</v>
      </c>
      <c r="C3" s="5">
        <v>5</v>
      </c>
      <c r="D3" s="5">
        <v>19000</v>
      </c>
      <c r="E3" s="14">
        <f>C3*D3</f>
        <v>95000</v>
      </c>
    </row>
    <row r="4" spans="1:5" ht="15.6" x14ac:dyDescent="0.3">
      <c r="A4" s="15" t="s">
        <v>4</v>
      </c>
      <c r="B4" s="15" t="s">
        <v>3</v>
      </c>
      <c r="C4" s="5">
        <v>670</v>
      </c>
      <c r="D4" s="5">
        <v>4000</v>
      </c>
      <c r="E4" s="14">
        <f t="shared" ref="E4:E67" si="0">C4*D4</f>
        <v>2680000</v>
      </c>
    </row>
    <row r="5" spans="1:5" ht="15.6" x14ac:dyDescent="0.3">
      <c r="A5" s="8" t="s">
        <v>5</v>
      </c>
      <c r="B5" s="8" t="s">
        <v>3</v>
      </c>
      <c r="C5" s="2">
        <v>390</v>
      </c>
      <c r="D5" s="2">
        <v>4000</v>
      </c>
      <c r="E5" s="14">
        <f t="shared" si="0"/>
        <v>1560000</v>
      </c>
    </row>
    <row r="6" spans="1:5" ht="15.6" x14ac:dyDescent="0.3">
      <c r="A6" s="8" t="s">
        <v>103</v>
      </c>
      <c r="B6" s="8" t="s">
        <v>3</v>
      </c>
      <c r="C6" s="2">
        <v>7</v>
      </c>
      <c r="D6" s="2">
        <v>12000</v>
      </c>
      <c r="E6" s="14">
        <f t="shared" si="0"/>
        <v>84000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14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2351</v>
      </c>
      <c r="D8" s="2">
        <v>9500</v>
      </c>
      <c r="E8" s="14">
        <f t="shared" si="0"/>
        <v>22334500</v>
      </c>
    </row>
    <row r="9" spans="1:5" ht="15.6" x14ac:dyDescent="0.3">
      <c r="A9" s="13" t="s">
        <v>8</v>
      </c>
      <c r="B9" s="13" t="s">
        <v>3</v>
      </c>
      <c r="C9" s="5">
        <v>6</v>
      </c>
      <c r="D9" s="5">
        <v>15000</v>
      </c>
      <c r="E9" s="14">
        <f t="shared" si="0"/>
        <v>90000</v>
      </c>
    </row>
    <row r="10" spans="1:5" ht="15.6" hidden="1" x14ac:dyDescent="0.3">
      <c r="A10" s="13" t="s">
        <v>8</v>
      </c>
      <c r="B10" s="13" t="s">
        <v>9</v>
      </c>
      <c r="C10" s="5">
        <v>0</v>
      </c>
      <c r="D10" s="5"/>
      <c r="E10" s="14">
        <f t="shared" si="0"/>
        <v>0</v>
      </c>
    </row>
    <row r="11" spans="1:5" ht="15.6" hidden="1" x14ac:dyDescent="0.3">
      <c r="A11" s="8" t="s">
        <v>10</v>
      </c>
      <c r="B11" s="8" t="s">
        <v>3</v>
      </c>
      <c r="C11" s="2">
        <v>0</v>
      </c>
      <c r="D11" s="2"/>
      <c r="E11" s="14">
        <f t="shared" si="0"/>
        <v>0</v>
      </c>
    </row>
    <row r="12" spans="1:5" ht="15.6" x14ac:dyDescent="0.3">
      <c r="A12" s="13" t="s">
        <v>11</v>
      </c>
      <c r="B12" s="13" t="s">
        <v>3</v>
      </c>
      <c r="C12" s="5">
        <v>164</v>
      </c>
      <c r="D12" s="5">
        <v>10000</v>
      </c>
      <c r="E12" s="14">
        <f t="shared" si="0"/>
        <v>1640000</v>
      </c>
    </row>
    <row r="13" spans="1:5" ht="15.6" hidden="1" x14ac:dyDescent="0.3">
      <c r="A13" s="15" t="s">
        <v>11</v>
      </c>
      <c r="B13" s="15" t="s">
        <v>9</v>
      </c>
      <c r="C13" s="5">
        <v>0</v>
      </c>
      <c r="D13" s="5"/>
      <c r="E13" s="14">
        <f t="shared" si="0"/>
        <v>0</v>
      </c>
    </row>
    <row r="14" spans="1:5" ht="15.6" hidden="1" x14ac:dyDescent="0.3">
      <c r="A14" s="8" t="s">
        <v>122</v>
      </c>
      <c r="B14" s="8" t="s">
        <v>3</v>
      </c>
      <c r="C14" s="2">
        <v>0</v>
      </c>
      <c r="D14" s="2"/>
      <c r="E14" s="14">
        <f t="shared" si="0"/>
        <v>0</v>
      </c>
    </row>
    <row r="15" spans="1:5" ht="15.6" hidden="1" x14ac:dyDescent="0.3">
      <c r="A15" s="8" t="s">
        <v>12</v>
      </c>
      <c r="B15" s="8" t="s">
        <v>3</v>
      </c>
      <c r="C15" s="2">
        <v>0</v>
      </c>
      <c r="D15" s="2"/>
      <c r="E15" s="14">
        <f t="shared" si="0"/>
        <v>0</v>
      </c>
    </row>
    <row r="16" spans="1:5" ht="15.6" hidden="1" x14ac:dyDescent="0.3">
      <c r="A16" s="8" t="s">
        <v>13</v>
      </c>
      <c r="B16" s="8" t="s">
        <v>3</v>
      </c>
      <c r="C16" s="2">
        <v>0</v>
      </c>
      <c r="D16" s="2"/>
      <c r="E16" s="14">
        <f t="shared" si="0"/>
        <v>0</v>
      </c>
    </row>
    <row r="17" spans="1:5" ht="15.6" x14ac:dyDescent="0.3">
      <c r="A17" s="8" t="s">
        <v>14</v>
      </c>
      <c r="B17" s="8" t="s">
        <v>3</v>
      </c>
      <c r="C17" s="2">
        <v>148</v>
      </c>
      <c r="D17" s="2">
        <v>13000</v>
      </c>
      <c r="E17" s="14">
        <f t="shared" si="0"/>
        <v>1924000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2"/>
      <c r="E18" s="14">
        <f t="shared" si="0"/>
        <v>0</v>
      </c>
    </row>
    <row r="19" spans="1:5" ht="15.6" hidden="1" x14ac:dyDescent="0.3">
      <c r="A19" s="8" t="s">
        <v>16</v>
      </c>
      <c r="B19" s="8" t="s">
        <v>17</v>
      </c>
      <c r="C19" s="2">
        <v>0</v>
      </c>
      <c r="D19" s="2"/>
      <c r="E19" s="14">
        <f t="shared" si="0"/>
        <v>0</v>
      </c>
    </row>
    <row r="20" spans="1:5" ht="15.6" x14ac:dyDescent="0.3">
      <c r="A20" s="8" t="s">
        <v>18</v>
      </c>
      <c r="B20" s="8" t="s">
        <v>19</v>
      </c>
      <c r="C20" s="2">
        <v>50</v>
      </c>
      <c r="D20" s="2">
        <v>5000</v>
      </c>
      <c r="E20" s="14">
        <f t="shared" si="0"/>
        <v>250000</v>
      </c>
    </row>
    <row r="21" spans="1:5" ht="15.6" hidden="1" x14ac:dyDescent="0.3">
      <c r="A21" s="8" t="s">
        <v>20</v>
      </c>
      <c r="B21" s="8" t="s">
        <v>3</v>
      </c>
      <c r="C21" s="2">
        <v>0</v>
      </c>
      <c r="D21" s="2"/>
      <c r="E21" s="14">
        <f t="shared" si="0"/>
        <v>0</v>
      </c>
    </row>
    <row r="22" spans="1:5" ht="15.6" hidden="1" x14ac:dyDescent="0.3">
      <c r="A22" s="8" t="s">
        <v>21</v>
      </c>
      <c r="B22" s="8" t="s">
        <v>3</v>
      </c>
      <c r="C22" s="2">
        <v>0</v>
      </c>
      <c r="D22" s="2"/>
      <c r="E22" s="14">
        <f t="shared" si="0"/>
        <v>0</v>
      </c>
    </row>
    <row r="23" spans="1:5" ht="15.6" x14ac:dyDescent="0.3">
      <c r="A23" s="8" t="s">
        <v>22</v>
      </c>
      <c r="B23" s="8" t="s">
        <v>3</v>
      </c>
      <c r="C23" s="2">
        <v>165</v>
      </c>
      <c r="D23" s="2">
        <v>16000</v>
      </c>
      <c r="E23" s="14">
        <f t="shared" si="0"/>
        <v>2640000</v>
      </c>
    </row>
    <row r="24" spans="1:5" ht="15.6" hidden="1" x14ac:dyDescent="0.3">
      <c r="A24" s="8" t="s">
        <v>22</v>
      </c>
      <c r="B24" s="8" t="s">
        <v>17</v>
      </c>
      <c r="C24" s="2">
        <v>0</v>
      </c>
      <c r="D24" s="2"/>
      <c r="E24" s="14">
        <f t="shared" si="0"/>
        <v>0</v>
      </c>
    </row>
    <row r="25" spans="1:5" ht="15.6" hidden="1" x14ac:dyDescent="0.3">
      <c r="A25" s="8" t="s">
        <v>22</v>
      </c>
      <c r="B25" s="8" t="s">
        <v>23</v>
      </c>
      <c r="C25" s="2">
        <v>0</v>
      </c>
      <c r="D25" s="2"/>
      <c r="E25" s="14">
        <f t="shared" si="0"/>
        <v>0</v>
      </c>
    </row>
    <row r="26" spans="1:5" ht="15.6" x14ac:dyDescent="0.3">
      <c r="A26" s="8" t="s">
        <v>24</v>
      </c>
      <c r="B26" s="8" t="s">
        <v>3</v>
      </c>
      <c r="C26" s="2">
        <v>46</v>
      </c>
      <c r="D26" s="2">
        <v>14000</v>
      </c>
      <c r="E26" s="14">
        <f t="shared" si="0"/>
        <v>644000</v>
      </c>
    </row>
    <row r="27" spans="1:5" ht="15.6" hidden="1" x14ac:dyDescent="0.3">
      <c r="A27" s="8" t="s">
        <v>24</v>
      </c>
      <c r="B27" s="8" t="s">
        <v>25</v>
      </c>
      <c r="C27" s="2">
        <v>0</v>
      </c>
      <c r="D27" s="2"/>
      <c r="E27" s="14">
        <f t="shared" si="0"/>
        <v>0</v>
      </c>
    </row>
    <row r="28" spans="1:5" ht="15.6" x14ac:dyDescent="0.3">
      <c r="A28" s="8" t="s">
        <v>26</v>
      </c>
      <c r="B28" s="8" t="s">
        <v>3</v>
      </c>
      <c r="C28" s="2">
        <v>13</v>
      </c>
      <c r="D28" s="2">
        <v>18000</v>
      </c>
      <c r="E28" s="14">
        <f t="shared" si="0"/>
        <v>234000</v>
      </c>
    </row>
    <row r="29" spans="1:5" ht="15.6" x14ac:dyDescent="0.3">
      <c r="A29" s="8" t="s">
        <v>26</v>
      </c>
      <c r="B29" s="8" t="s">
        <v>27</v>
      </c>
      <c r="C29" s="2">
        <v>34</v>
      </c>
      <c r="D29" s="2">
        <v>5400</v>
      </c>
      <c r="E29" s="14">
        <f t="shared" si="0"/>
        <v>183600</v>
      </c>
    </row>
    <row r="30" spans="1:5" ht="15.6" x14ac:dyDescent="0.3">
      <c r="A30" s="8" t="s">
        <v>28</v>
      </c>
      <c r="B30" s="8" t="s">
        <v>29</v>
      </c>
      <c r="C30" s="2">
        <v>2</v>
      </c>
      <c r="D30" s="2">
        <v>12000</v>
      </c>
      <c r="E30" s="14">
        <f t="shared" si="0"/>
        <v>24000</v>
      </c>
    </row>
    <row r="31" spans="1:5" ht="15.6" hidden="1" x14ac:dyDescent="0.3">
      <c r="A31" s="8" t="s">
        <v>30</v>
      </c>
      <c r="B31" s="8" t="s">
        <v>3</v>
      </c>
      <c r="C31" s="2">
        <v>0</v>
      </c>
      <c r="D31" s="2"/>
      <c r="E31" s="14">
        <f t="shared" si="0"/>
        <v>0</v>
      </c>
    </row>
    <row r="32" spans="1:5" ht="15.6" x14ac:dyDescent="0.3">
      <c r="A32" s="8" t="s">
        <v>30</v>
      </c>
      <c r="B32" s="8" t="s">
        <v>31</v>
      </c>
      <c r="C32" s="2">
        <v>12</v>
      </c>
      <c r="D32" s="2">
        <v>7500</v>
      </c>
      <c r="E32" s="14">
        <f t="shared" si="0"/>
        <v>90000</v>
      </c>
    </row>
    <row r="33" spans="1:5" ht="15.6" x14ac:dyDescent="0.3">
      <c r="A33" s="15" t="s">
        <v>32</v>
      </c>
      <c r="B33" s="15" t="s">
        <v>3</v>
      </c>
      <c r="C33" s="16">
        <v>275</v>
      </c>
      <c r="D33" s="16">
        <v>17000</v>
      </c>
      <c r="E33" s="14">
        <f t="shared" si="0"/>
        <v>4675000</v>
      </c>
    </row>
    <row r="34" spans="1:5" ht="15.6" hidden="1" x14ac:dyDescent="0.3">
      <c r="A34" s="15" t="s">
        <v>32</v>
      </c>
      <c r="B34" s="15" t="s">
        <v>17</v>
      </c>
      <c r="C34" s="16">
        <v>0</v>
      </c>
      <c r="D34" s="16"/>
      <c r="E34" s="14">
        <f t="shared" si="0"/>
        <v>0</v>
      </c>
    </row>
    <row r="35" spans="1:5" ht="15.6" x14ac:dyDescent="0.3">
      <c r="A35" s="8" t="s">
        <v>33</v>
      </c>
      <c r="B35" s="8" t="s">
        <v>34</v>
      </c>
      <c r="C35" s="2">
        <v>20</v>
      </c>
      <c r="D35" s="2">
        <v>12000</v>
      </c>
      <c r="E35" s="14">
        <f t="shared" si="0"/>
        <v>240000</v>
      </c>
    </row>
    <row r="36" spans="1:5" ht="15.6" x14ac:dyDescent="0.3">
      <c r="A36" s="13" t="s">
        <v>35</v>
      </c>
      <c r="B36" s="13" t="s">
        <v>3</v>
      </c>
      <c r="C36" s="5">
        <v>46</v>
      </c>
      <c r="D36" s="5">
        <v>6500</v>
      </c>
      <c r="E36" s="14">
        <f t="shared" si="0"/>
        <v>299000</v>
      </c>
    </row>
    <row r="37" spans="1:5" ht="15.6" hidden="1" x14ac:dyDescent="0.3">
      <c r="A37" s="8" t="s">
        <v>35</v>
      </c>
      <c r="B37" s="8" t="s">
        <v>34</v>
      </c>
      <c r="C37" s="2">
        <v>0</v>
      </c>
      <c r="D37" s="2"/>
      <c r="E37" s="14">
        <f t="shared" si="0"/>
        <v>0</v>
      </c>
    </row>
    <row r="38" spans="1:5" ht="15.6" hidden="1" x14ac:dyDescent="0.3">
      <c r="A38" s="8" t="s">
        <v>36</v>
      </c>
      <c r="B38" s="8" t="s">
        <v>17</v>
      </c>
      <c r="C38" s="2">
        <v>0</v>
      </c>
      <c r="D38" s="2"/>
      <c r="E38" s="14">
        <f t="shared" si="0"/>
        <v>0</v>
      </c>
    </row>
    <row r="39" spans="1:5" ht="15.6" x14ac:dyDescent="0.3">
      <c r="A39" s="8" t="s">
        <v>37</v>
      </c>
      <c r="B39" s="8" t="s">
        <v>3</v>
      </c>
      <c r="C39" s="2">
        <v>42</v>
      </c>
      <c r="D39" s="2">
        <v>8000</v>
      </c>
      <c r="E39" s="14">
        <f t="shared" si="0"/>
        <v>336000</v>
      </c>
    </row>
    <row r="40" spans="1:5" ht="15.6" hidden="1" x14ac:dyDescent="0.3">
      <c r="A40" s="8" t="s">
        <v>37</v>
      </c>
      <c r="B40" s="8" t="s">
        <v>38</v>
      </c>
      <c r="C40" s="2">
        <v>0</v>
      </c>
      <c r="D40" s="2"/>
      <c r="E40" s="14">
        <f t="shared" si="0"/>
        <v>0</v>
      </c>
    </row>
    <row r="41" spans="1:5" ht="15.6" x14ac:dyDescent="0.3">
      <c r="A41" s="15" t="s">
        <v>39</v>
      </c>
      <c r="B41" s="15" t="s">
        <v>3</v>
      </c>
      <c r="C41" s="5">
        <v>15</v>
      </c>
      <c r="D41" s="5">
        <v>15000</v>
      </c>
      <c r="E41" s="14">
        <f t="shared" si="0"/>
        <v>225000</v>
      </c>
    </row>
    <row r="42" spans="1:5" ht="15.6" hidden="1" x14ac:dyDescent="0.3">
      <c r="A42" s="15" t="s">
        <v>39</v>
      </c>
      <c r="B42" s="15" t="s">
        <v>34</v>
      </c>
      <c r="C42" s="2">
        <v>0</v>
      </c>
      <c r="D42" s="2"/>
      <c r="E42" s="14">
        <f t="shared" si="0"/>
        <v>0</v>
      </c>
    </row>
    <row r="43" spans="1:5" ht="15.6" x14ac:dyDescent="0.3">
      <c r="A43" s="8" t="s">
        <v>40</v>
      </c>
      <c r="B43" s="8" t="s">
        <v>34</v>
      </c>
      <c r="C43" s="2">
        <v>11</v>
      </c>
      <c r="D43" s="2">
        <v>3000</v>
      </c>
      <c r="E43" s="14">
        <f t="shared" si="0"/>
        <v>33000</v>
      </c>
    </row>
    <row r="44" spans="1:5" ht="15.6" x14ac:dyDescent="0.3">
      <c r="A44" s="8" t="s">
        <v>41</v>
      </c>
      <c r="B44" s="8" t="s">
        <v>34</v>
      </c>
      <c r="C44" s="2">
        <v>18</v>
      </c>
      <c r="D44" s="2">
        <v>3000</v>
      </c>
      <c r="E44" s="14">
        <f t="shared" si="0"/>
        <v>54000</v>
      </c>
    </row>
    <row r="45" spans="1:5" ht="15.6" x14ac:dyDescent="0.3">
      <c r="A45" s="15" t="s">
        <v>42</v>
      </c>
      <c r="B45" s="15" t="s">
        <v>3</v>
      </c>
      <c r="C45" s="2">
        <v>630</v>
      </c>
      <c r="D45" s="2">
        <v>3000</v>
      </c>
      <c r="E45" s="14">
        <f t="shared" si="0"/>
        <v>1890000</v>
      </c>
    </row>
    <row r="46" spans="1:5" ht="15.6" hidden="1" x14ac:dyDescent="0.3">
      <c r="A46" s="8" t="s">
        <v>43</v>
      </c>
      <c r="B46" s="8" t="s">
        <v>3</v>
      </c>
      <c r="C46" s="2">
        <v>0</v>
      </c>
      <c r="D46" s="2"/>
      <c r="E46" s="14">
        <f t="shared" si="0"/>
        <v>0</v>
      </c>
    </row>
    <row r="47" spans="1:5" ht="15.6" x14ac:dyDescent="0.3">
      <c r="A47" s="8" t="s">
        <v>44</v>
      </c>
      <c r="B47" s="8" t="s">
        <v>3</v>
      </c>
      <c r="C47" s="2">
        <v>1110</v>
      </c>
      <c r="D47" s="2">
        <v>3000</v>
      </c>
      <c r="E47" s="14">
        <f t="shared" si="0"/>
        <v>3330000</v>
      </c>
    </row>
    <row r="48" spans="1:5" ht="15.6" x14ac:dyDescent="0.3">
      <c r="A48" s="15" t="s">
        <v>45</v>
      </c>
      <c r="B48" s="15" t="s">
        <v>3</v>
      </c>
      <c r="C48" s="5">
        <v>5</v>
      </c>
      <c r="D48" s="5">
        <v>9000</v>
      </c>
      <c r="E48" s="14">
        <f t="shared" si="0"/>
        <v>45000</v>
      </c>
    </row>
    <row r="49" spans="1:5" ht="15.6" hidden="1" x14ac:dyDescent="0.3">
      <c r="A49" s="8" t="s">
        <v>45</v>
      </c>
      <c r="B49" s="8" t="s">
        <v>19</v>
      </c>
      <c r="C49" s="2">
        <v>0</v>
      </c>
      <c r="D49" s="2"/>
      <c r="E49" s="14">
        <f t="shared" si="0"/>
        <v>0</v>
      </c>
    </row>
    <row r="50" spans="1:5" ht="15.6" hidden="1" x14ac:dyDescent="0.3">
      <c r="A50" s="8" t="s">
        <v>46</v>
      </c>
      <c r="B50" s="8" t="s">
        <v>29</v>
      </c>
      <c r="C50" s="2">
        <v>0</v>
      </c>
      <c r="D50" s="2"/>
      <c r="E50" s="14">
        <f t="shared" si="0"/>
        <v>0</v>
      </c>
    </row>
    <row r="51" spans="1:5" ht="15.6" hidden="1" x14ac:dyDescent="0.3">
      <c r="A51" s="8" t="s">
        <v>47</v>
      </c>
      <c r="B51" s="8" t="s">
        <v>3</v>
      </c>
      <c r="C51" s="2">
        <v>0</v>
      </c>
      <c r="D51" s="2"/>
      <c r="E51" s="14">
        <f t="shared" si="0"/>
        <v>0</v>
      </c>
    </row>
    <row r="52" spans="1:5" ht="15.6" x14ac:dyDescent="0.3">
      <c r="A52" s="15" t="s">
        <v>48</v>
      </c>
      <c r="B52" s="15" t="s">
        <v>3</v>
      </c>
      <c r="C52" s="5">
        <v>70</v>
      </c>
      <c r="D52" s="5">
        <v>8000</v>
      </c>
      <c r="E52" s="14">
        <f t="shared" si="0"/>
        <v>560000</v>
      </c>
    </row>
    <row r="53" spans="1:5" ht="15.6" hidden="1" x14ac:dyDescent="0.3">
      <c r="A53" s="8" t="s">
        <v>48</v>
      </c>
      <c r="B53" s="8" t="s">
        <v>34</v>
      </c>
      <c r="C53" s="2">
        <v>0</v>
      </c>
      <c r="D53" s="2"/>
      <c r="E53" s="14">
        <f t="shared" si="0"/>
        <v>0</v>
      </c>
    </row>
    <row r="54" spans="1:5" ht="15.6" x14ac:dyDescent="0.3">
      <c r="A54" s="8" t="s">
        <v>49</v>
      </c>
      <c r="B54" s="8" t="s">
        <v>3</v>
      </c>
      <c r="C54" s="2">
        <v>8</v>
      </c>
      <c r="D54" s="2">
        <v>19000</v>
      </c>
      <c r="E54" s="14">
        <f t="shared" si="0"/>
        <v>152000</v>
      </c>
    </row>
    <row r="55" spans="1:5" ht="15.6" x14ac:dyDescent="0.3">
      <c r="A55" s="8" t="s">
        <v>50</v>
      </c>
      <c r="B55" s="8" t="s">
        <v>3</v>
      </c>
      <c r="C55" s="2">
        <v>80</v>
      </c>
      <c r="D55" s="2">
        <v>6500</v>
      </c>
      <c r="E55" s="14">
        <f t="shared" si="0"/>
        <v>520000</v>
      </c>
    </row>
    <row r="56" spans="1:5" ht="15.6" hidden="1" x14ac:dyDescent="0.3">
      <c r="A56" s="8" t="s">
        <v>50</v>
      </c>
      <c r="B56" s="8" t="s">
        <v>51</v>
      </c>
      <c r="C56" s="2">
        <v>0</v>
      </c>
      <c r="D56" s="2"/>
      <c r="E56" s="14">
        <f t="shared" si="0"/>
        <v>0</v>
      </c>
    </row>
    <row r="57" spans="1:5" ht="15.6" x14ac:dyDescent="0.3">
      <c r="A57" s="8" t="s">
        <v>104</v>
      </c>
      <c r="B57" s="8" t="s">
        <v>3</v>
      </c>
      <c r="C57" s="2">
        <v>5</v>
      </c>
      <c r="D57" s="2">
        <v>20000</v>
      </c>
      <c r="E57" s="14">
        <f t="shared" si="0"/>
        <v>100000</v>
      </c>
    </row>
    <row r="58" spans="1:5" ht="15.6" x14ac:dyDescent="0.3">
      <c r="A58" s="8" t="s">
        <v>52</v>
      </c>
      <c r="B58" s="8" t="s">
        <v>34</v>
      </c>
      <c r="C58" s="2">
        <v>150</v>
      </c>
      <c r="D58" s="2">
        <v>1800</v>
      </c>
      <c r="E58" s="14">
        <f t="shared" si="0"/>
        <v>270000</v>
      </c>
    </row>
    <row r="59" spans="1:5" ht="15.6" x14ac:dyDescent="0.3">
      <c r="A59" s="8" t="s">
        <v>53</v>
      </c>
      <c r="B59" s="8" t="s">
        <v>3</v>
      </c>
      <c r="C59" s="2">
        <v>928</v>
      </c>
      <c r="D59" s="2">
        <v>25000</v>
      </c>
      <c r="E59" s="14">
        <f t="shared" si="0"/>
        <v>23200000</v>
      </c>
    </row>
    <row r="60" spans="1:5" ht="15.6" x14ac:dyDescent="0.3">
      <c r="A60" s="8" t="s">
        <v>54</v>
      </c>
      <c r="B60" s="8" t="s">
        <v>3</v>
      </c>
      <c r="C60" s="2">
        <v>15</v>
      </c>
      <c r="D60" s="2">
        <v>25000</v>
      </c>
      <c r="E60" s="14">
        <f t="shared" si="0"/>
        <v>375000</v>
      </c>
    </row>
    <row r="61" spans="1:5" ht="15.6" hidden="1" x14ac:dyDescent="0.3">
      <c r="A61" s="8" t="s">
        <v>54</v>
      </c>
      <c r="B61" s="8" t="s">
        <v>34</v>
      </c>
      <c r="C61" s="2">
        <v>0</v>
      </c>
      <c r="D61" s="2"/>
      <c r="E61" s="14">
        <f t="shared" si="0"/>
        <v>0</v>
      </c>
    </row>
    <row r="62" spans="1:5" ht="15.6" x14ac:dyDescent="0.3">
      <c r="A62" s="8" t="s">
        <v>55</v>
      </c>
      <c r="B62" s="8" t="s">
        <v>3</v>
      </c>
      <c r="C62" s="2">
        <v>30</v>
      </c>
      <c r="D62" s="2">
        <v>16000</v>
      </c>
      <c r="E62" s="14">
        <f t="shared" si="0"/>
        <v>480000</v>
      </c>
    </row>
    <row r="63" spans="1:5" ht="15.6" x14ac:dyDescent="0.3">
      <c r="A63" s="8" t="s">
        <v>56</v>
      </c>
      <c r="B63" s="8" t="s">
        <v>3</v>
      </c>
      <c r="C63" s="2">
        <v>39</v>
      </c>
      <c r="D63" s="2">
        <v>25000</v>
      </c>
      <c r="E63" s="14">
        <f t="shared" si="0"/>
        <v>975000</v>
      </c>
    </row>
    <row r="64" spans="1:5" ht="15.6" hidden="1" x14ac:dyDescent="0.3">
      <c r="A64" s="8" t="s">
        <v>57</v>
      </c>
      <c r="B64" s="8" t="s">
        <v>3</v>
      </c>
      <c r="C64" s="2">
        <v>0</v>
      </c>
      <c r="D64" s="2"/>
      <c r="E64" s="14">
        <f t="shared" si="0"/>
        <v>0</v>
      </c>
    </row>
    <row r="65" spans="1:5" ht="15.6" hidden="1" x14ac:dyDescent="0.3">
      <c r="A65" s="8" t="s">
        <v>58</v>
      </c>
      <c r="B65" s="8" t="s">
        <v>34</v>
      </c>
      <c r="C65" s="2">
        <v>0</v>
      </c>
      <c r="D65" s="2"/>
      <c r="E65" s="14">
        <f t="shared" si="0"/>
        <v>0</v>
      </c>
    </row>
    <row r="66" spans="1:5" ht="15.6" x14ac:dyDescent="0.3">
      <c r="A66" s="8" t="s">
        <v>59</v>
      </c>
      <c r="B66" s="8" t="s">
        <v>3</v>
      </c>
      <c r="C66" s="2">
        <v>1145</v>
      </c>
      <c r="D66" s="2">
        <v>14000</v>
      </c>
      <c r="E66" s="14">
        <f t="shared" si="0"/>
        <v>16030000</v>
      </c>
    </row>
    <row r="67" spans="1:5" ht="15.6" hidden="1" x14ac:dyDescent="0.3">
      <c r="A67" s="8" t="s">
        <v>59</v>
      </c>
      <c r="B67" s="8" t="s">
        <v>34</v>
      </c>
      <c r="C67" s="2">
        <v>0</v>
      </c>
      <c r="D67" s="2"/>
      <c r="E67" s="14">
        <f t="shared" si="0"/>
        <v>0</v>
      </c>
    </row>
    <row r="68" spans="1:5" ht="15.6" x14ac:dyDescent="0.3">
      <c r="A68" s="8" t="s">
        <v>60</v>
      </c>
      <c r="B68" s="8" t="s">
        <v>34</v>
      </c>
      <c r="C68" s="2">
        <v>40</v>
      </c>
      <c r="D68" s="2">
        <v>5000</v>
      </c>
      <c r="E68" s="14">
        <f t="shared" ref="E68:E115" si="1">C68*D68</f>
        <v>200000</v>
      </c>
    </row>
    <row r="69" spans="1:5" ht="15.6" x14ac:dyDescent="0.3">
      <c r="A69" s="13" t="s">
        <v>61</v>
      </c>
      <c r="B69" s="13" t="s">
        <v>3</v>
      </c>
      <c r="C69" s="5">
        <v>2</v>
      </c>
      <c r="D69" s="5">
        <v>10000</v>
      </c>
      <c r="E69" s="14">
        <f t="shared" si="1"/>
        <v>20000</v>
      </c>
    </row>
    <row r="70" spans="1:5" ht="15.6" x14ac:dyDescent="0.3">
      <c r="A70" s="8" t="s">
        <v>62</v>
      </c>
      <c r="B70" s="8" t="s">
        <v>3</v>
      </c>
      <c r="C70" s="2">
        <v>2</v>
      </c>
      <c r="D70" s="2">
        <v>28000</v>
      </c>
      <c r="E70" s="14">
        <f t="shared" si="1"/>
        <v>56000</v>
      </c>
    </row>
    <row r="71" spans="1:5" ht="15.6" hidden="1" x14ac:dyDescent="0.3">
      <c r="A71" s="8" t="s">
        <v>63</v>
      </c>
      <c r="B71" s="8" t="s">
        <v>3</v>
      </c>
      <c r="C71" s="2">
        <v>0</v>
      </c>
      <c r="D71" s="2"/>
      <c r="E71" s="14">
        <f t="shared" si="1"/>
        <v>0</v>
      </c>
    </row>
    <row r="72" spans="1:5" ht="15.6" hidden="1" x14ac:dyDescent="0.3">
      <c r="A72" s="15" t="s">
        <v>64</v>
      </c>
      <c r="B72" s="15" t="s">
        <v>3</v>
      </c>
      <c r="C72" s="2">
        <v>0</v>
      </c>
      <c r="D72" s="2"/>
      <c r="E72" s="14">
        <f t="shared" si="1"/>
        <v>0</v>
      </c>
    </row>
    <row r="73" spans="1:5" ht="15.6" x14ac:dyDescent="0.3">
      <c r="A73" s="8" t="s">
        <v>64</v>
      </c>
      <c r="B73" s="8" t="s">
        <v>17</v>
      </c>
      <c r="C73" s="2">
        <v>489</v>
      </c>
      <c r="D73" s="2">
        <v>6700</v>
      </c>
      <c r="E73" s="14">
        <f t="shared" si="1"/>
        <v>3276300</v>
      </c>
    </row>
    <row r="74" spans="1:5" ht="15.6" hidden="1" x14ac:dyDescent="0.3">
      <c r="A74" s="8" t="s">
        <v>65</v>
      </c>
      <c r="B74" s="8" t="s">
        <v>3</v>
      </c>
      <c r="C74" s="2">
        <v>0</v>
      </c>
      <c r="D74" s="2"/>
      <c r="E74" s="14">
        <f t="shared" si="1"/>
        <v>0</v>
      </c>
    </row>
    <row r="75" spans="1:5" ht="15.6" x14ac:dyDescent="0.3">
      <c r="A75" s="15" t="s">
        <v>66</v>
      </c>
      <c r="B75" s="15" t="s">
        <v>3</v>
      </c>
      <c r="C75" s="5">
        <v>20</v>
      </c>
      <c r="D75" s="5">
        <v>13000</v>
      </c>
      <c r="E75" s="14">
        <f t="shared" si="1"/>
        <v>260000</v>
      </c>
    </row>
    <row r="76" spans="1:5" ht="15.6" x14ac:dyDescent="0.3">
      <c r="A76" s="8" t="s">
        <v>67</v>
      </c>
      <c r="B76" s="8" t="s">
        <v>34</v>
      </c>
      <c r="C76" s="2">
        <v>13</v>
      </c>
      <c r="D76" s="2">
        <v>6000</v>
      </c>
      <c r="E76" s="14">
        <f t="shared" si="1"/>
        <v>78000</v>
      </c>
    </row>
    <row r="77" spans="1:5" ht="15.6" hidden="1" x14ac:dyDescent="0.3">
      <c r="A77" s="8" t="s">
        <v>68</v>
      </c>
      <c r="B77" s="8" t="s">
        <v>3</v>
      </c>
      <c r="C77" s="2">
        <v>0</v>
      </c>
      <c r="D77" s="2"/>
      <c r="E77" s="14">
        <f t="shared" si="1"/>
        <v>0</v>
      </c>
    </row>
    <row r="78" spans="1:5" ht="15.6" x14ac:dyDescent="0.3">
      <c r="A78" s="8" t="s">
        <v>68</v>
      </c>
      <c r="B78" s="8" t="s">
        <v>34</v>
      </c>
      <c r="C78" s="2">
        <v>48</v>
      </c>
      <c r="D78" s="2">
        <v>6500</v>
      </c>
      <c r="E78" s="14">
        <f t="shared" si="1"/>
        <v>312000</v>
      </c>
    </row>
    <row r="79" spans="1:5" ht="15.6" hidden="1" x14ac:dyDescent="0.3">
      <c r="A79" s="8" t="s">
        <v>69</v>
      </c>
      <c r="B79" s="8" t="s">
        <v>3</v>
      </c>
      <c r="C79" s="2">
        <v>0</v>
      </c>
      <c r="D79" s="2"/>
      <c r="E79" s="14">
        <f t="shared" si="1"/>
        <v>0</v>
      </c>
    </row>
    <row r="80" spans="1:5" ht="15.6" hidden="1" x14ac:dyDescent="0.3">
      <c r="A80" s="8" t="s">
        <v>70</v>
      </c>
      <c r="B80" s="8" t="s">
        <v>3</v>
      </c>
      <c r="C80" s="2">
        <v>0</v>
      </c>
      <c r="D80" s="2"/>
      <c r="E80" s="14">
        <f t="shared" si="1"/>
        <v>0</v>
      </c>
    </row>
    <row r="81" spans="1:5" ht="15.6" hidden="1" x14ac:dyDescent="0.3">
      <c r="A81" s="8" t="s">
        <v>71</v>
      </c>
      <c r="B81" s="8" t="s">
        <v>3</v>
      </c>
      <c r="C81" s="2">
        <v>0</v>
      </c>
      <c r="D81" s="2"/>
      <c r="E81" s="14">
        <f t="shared" si="1"/>
        <v>0</v>
      </c>
    </row>
    <row r="82" spans="1:5" ht="15.6" x14ac:dyDescent="0.3">
      <c r="A82" s="8" t="s">
        <v>72</v>
      </c>
      <c r="B82" s="8" t="s">
        <v>3</v>
      </c>
      <c r="C82" s="2">
        <v>12</v>
      </c>
      <c r="D82" s="2">
        <v>10000</v>
      </c>
      <c r="E82" s="14">
        <f t="shared" si="1"/>
        <v>120000</v>
      </c>
    </row>
    <row r="83" spans="1:5" ht="15.6" hidden="1" x14ac:dyDescent="0.3">
      <c r="A83" s="8" t="s">
        <v>72</v>
      </c>
      <c r="B83" s="8" t="s">
        <v>19</v>
      </c>
      <c r="C83" s="2">
        <v>0</v>
      </c>
      <c r="D83" s="2"/>
      <c r="E83" s="14">
        <f t="shared" si="1"/>
        <v>0</v>
      </c>
    </row>
    <row r="84" spans="1:5" ht="15.6" hidden="1" x14ac:dyDescent="0.3">
      <c r="A84" s="8" t="s">
        <v>73</v>
      </c>
      <c r="B84" s="8" t="s">
        <v>3</v>
      </c>
      <c r="C84" s="2">
        <v>0</v>
      </c>
      <c r="D84" s="2"/>
      <c r="E84" s="14">
        <f t="shared" si="1"/>
        <v>0</v>
      </c>
    </row>
    <row r="85" spans="1:5" ht="15.6" x14ac:dyDescent="0.3">
      <c r="A85" s="8" t="s">
        <v>107</v>
      </c>
      <c r="B85" s="8" t="s">
        <v>29</v>
      </c>
      <c r="C85" s="2">
        <v>1</v>
      </c>
      <c r="D85" s="2">
        <v>200000</v>
      </c>
      <c r="E85" s="14">
        <f t="shared" si="1"/>
        <v>200000</v>
      </c>
    </row>
    <row r="86" spans="1:5" ht="15.6" hidden="1" x14ac:dyDescent="0.3">
      <c r="A86" s="8" t="s">
        <v>74</v>
      </c>
      <c r="B86" s="8" t="s">
        <v>34</v>
      </c>
      <c r="C86" s="2">
        <v>0</v>
      </c>
      <c r="D86" s="2"/>
      <c r="E86" s="14">
        <f t="shared" si="1"/>
        <v>0</v>
      </c>
    </row>
    <row r="87" spans="1:5" ht="15.6" x14ac:dyDescent="0.3">
      <c r="A87" s="8" t="s">
        <v>75</v>
      </c>
      <c r="B87" s="8" t="s">
        <v>3</v>
      </c>
      <c r="C87" s="2">
        <v>13</v>
      </c>
      <c r="D87" s="2">
        <v>14000</v>
      </c>
      <c r="E87" s="14">
        <f t="shared" si="1"/>
        <v>182000</v>
      </c>
    </row>
    <row r="88" spans="1:5" ht="15.6" hidden="1" x14ac:dyDescent="0.3">
      <c r="A88" s="8" t="s">
        <v>79</v>
      </c>
      <c r="B88" s="8" t="s">
        <v>17</v>
      </c>
      <c r="C88" s="2">
        <v>0</v>
      </c>
      <c r="D88" s="2"/>
      <c r="E88" s="14">
        <f t="shared" si="1"/>
        <v>0</v>
      </c>
    </row>
    <row r="89" spans="1:5" ht="15.6" hidden="1" x14ac:dyDescent="0.3">
      <c r="A89" s="8" t="s">
        <v>80</v>
      </c>
      <c r="B89" s="8" t="s">
        <v>29</v>
      </c>
      <c r="C89" s="2">
        <v>0</v>
      </c>
      <c r="D89" s="2"/>
      <c r="E89" s="14">
        <f t="shared" si="1"/>
        <v>0</v>
      </c>
    </row>
    <row r="90" spans="1:5" ht="15.6" x14ac:dyDescent="0.3">
      <c r="A90" s="8" t="s">
        <v>80</v>
      </c>
      <c r="B90" s="8" t="s">
        <v>3</v>
      </c>
      <c r="C90" s="2">
        <v>10</v>
      </c>
      <c r="D90" s="2">
        <v>40000</v>
      </c>
      <c r="E90" s="14">
        <f t="shared" si="1"/>
        <v>400000</v>
      </c>
    </row>
    <row r="91" spans="1:5" ht="15.6" x14ac:dyDescent="0.3">
      <c r="A91" s="8" t="s">
        <v>81</v>
      </c>
      <c r="B91" s="8" t="s">
        <v>3</v>
      </c>
      <c r="C91" s="2">
        <v>65</v>
      </c>
      <c r="D91" s="2">
        <v>22000</v>
      </c>
      <c r="E91" s="14">
        <f t="shared" si="1"/>
        <v>1430000</v>
      </c>
    </row>
    <row r="92" spans="1:5" ht="15.6" hidden="1" x14ac:dyDescent="0.3">
      <c r="A92" s="8" t="s">
        <v>81</v>
      </c>
      <c r="B92" s="8" t="s">
        <v>9</v>
      </c>
      <c r="C92" s="2">
        <v>0</v>
      </c>
      <c r="D92" s="2"/>
      <c r="E92" s="14">
        <f t="shared" si="1"/>
        <v>0</v>
      </c>
    </row>
    <row r="93" spans="1:5" ht="15.6" x14ac:dyDescent="0.3">
      <c r="A93" s="8" t="s">
        <v>108</v>
      </c>
      <c r="B93" s="8" t="s">
        <v>3</v>
      </c>
      <c r="C93" s="2">
        <v>20</v>
      </c>
      <c r="D93" s="2">
        <v>17000</v>
      </c>
      <c r="E93" s="14">
        <f t="shared" si="1"/>
        <v>340000</v>
      </c>
    </row>
    <row r="94" spans="1:5" ht="15.6" x14ac:dyDescent="0.3">
      <c r="A94" s="8" t="s">
        <v>82</v>
      </c>
      <c r="B94" s="8" t="s">
        <v>3</v>
      </c>
      <c r="C94" s="2">
        <v>25</v>
      </c>
      <c r="D94" s="2">
        <v>20000</v>
      </c>
      <c r="E94" s="14">
        <f t="shared" si="1"/>
        <v>500000</v>
      </c>
    </row>
    <row r="95" spans="1:5" ht="15.6" hidden="1" x14ac:dyDescent="0.3">
      <c r="A95" s="8" t="s">
        <v>82</v>
      </c>
      <c r="B95" s="8" t="s">
        <v>9</v>
      </c>
      <c r="C95" s="2">
        <v>0</v>
      </c>
      <c r="D95" s="2"/>
      <c r="E95" s="14">
        <f t="shared" si="1"/>
        <v>0</v>
      </c>
    </row>
    <row r="96" spans="1:5" ht="15.6" x14ac:dyDescent="0.3">
      <c r="A96" s="8" t="s">
        <v>109</v>
      </c>
      <c r="B96" s="8" t="s">
        <v>3</v>
      </c>
      <c r="C96" s="2">
        <v>20</v>
      </c>
      <c r="D96" s="2">
        <v>15000</v>
      </c>
      <c r="E96" s="14">
        <f t="shared" si="1"/>
        <v>300000</v>
      </c>
    </row>
    <row r="97" spans="1:5" ht="15.6" x14ac:dyDescent="0.3">
      <c r="A97" s="8" t="s">
        <v>83</v>
      </c>
      <c r="B97" s="8" t="s">
        <v>3</v>
      </c>
      <c r="C97" s="2">
        <v>65</v>
      </c>
      <c r="D97" s="2">
        <v>28000</v>
      </c>
      <c r="E97" s="14">
        <f t="shared" si="1"/>
        <v>1820000</v>
      </c>
    </row>
    <row r="98" spans="1:5" ht="15.6" hidden="1" x14ac:dyDescent="0.3">
      <c r="A98" s="8" t="s">
        <v>83</v>
      </c>
      <c r="B98" s="8" t="s">
        <v>9</v>
      </c>
      <c r="C98" s="2">
        <v>0</v>
      </c>
      <c r="D98" s="2"/>
      <c r="E98" s="14">
        <f t="shared" si="1"/>
        <v>0</v>
      </c>
    </row>
    <row r="99" spans="1:5" ht="15.6" x14ac:dyDescent="0.3">
      <c r="A99" s="8" t="s">
        <v>110</v>
      </c>
      <c r="B99" s="8" t="s">
        <v>3</v>
      </c>
      <c r="C99" s="2">
        <v>20</v>
      </c>
      <c r="D99" s="2">
        <v>23000</v>
      </c>
      <c r="E99" s="14">
        <f t="shared" si="1"/>
        <v>460000</v>
      </c>
    </row>
    <row r="100" spans="1:5" ht="15.6" x14ac:dyDescent="0.3">
      <c r="A100" s="8" t="s">
        <v>84</v>
      </c>
      <c r="B100" s="8" t="s">
        <v>34</v>
      </c>
      <c r="C100" s="2">
        <v>30</v>
      </c>
      <c r="D100" s="2">
        <v>17000</v>
      </c>
      <c r="E100" s="14">
        <f t="shared" si="1"/>
        <v>510000</v>
      </c>
    </row>
    <row r="101" spans="1:5" ht="15.6" hidden="1" x14ac:dyDescent="0.3">
      <c r="A101" s="8" t="s">
        <v>85</v>
      </c>
      <c r="B101" s="8" t="s">
        <v>34</v>
      </c>
      <c r="C101" s="2">
        <v>0</v>
      </c>
      <c r="D101" s="2"/>
      <c r="E101" s="14">
        <f t="shared" si="1"/>
        <v>0</v>
      </c>
    </row>
    <row r="102" spans="1:5" ht="15.6" x14ac:dyDescent="0.3">
      <c r="A102" s="8" t="s">
        <v>86</v>
      </c>
      <c r="B102" s="8" t="s">
        <v>9</v>
      </c>
      <c r="C102" s="2">
        <v>895</v>
      </c>
      <c r="D102" s="2">
        <v>9000</v>
      </c>
      <c r="E102" s="14">
        <f t="shared" si="1"/>
        <v>8055000</v>
      </c>
    </row>
    <row r="103" spans="1:5" ht="15.6" x14ac:dyDescent="0.3">
      <c r="A103" s="8" t="s">
        <v>87</v>
      </c>
      <c r="B103" s="8" t="s">
        <v>9</v>
      </c>
      <c r="C103" s="2">
        <v>353</v>
      </c>
      <c r="D103" s="2">
        <v>11361</v>
      </c>
      <c r="E103" s="14">
        <f t="shared" si="1"/>
        <v>4010433</v>
      </c>
    </row>
    <row r="104" spans="1:5" ht="15.6" hidden="1" x14ac:dyDescent="0.3">
      <c r="A104" s="8" t="s">
        <v>88</v>
      </c>
      <c r="B104" s="8" t="s">
        <v>3</v>
      </c>
      <c r="C104" s="2">
        <v>0</v>
      </c>
      <c r="D104" s="2"/>
      <c r="E104" s="14">
        <f t="shared" si="1"/>
        <v>0</v>
      </c>
    </row>
    <row r="105" spans="1:5" ht="15.6" x14ac:dyDescent="0.3">
      <c r="A105" s="8" t="s">
        <v>89</v>
      </c>
      <c r="B105" s="8" t="s">
        <v>3</v>
      </c>
      <c r="C105" s="2">
        <v>14</v>
      </c>
      <c r="D105" s="2">
        <v>18000</v>
      </c>
      <c r="E105" s="14">
        <f t="shared" si="1"/>
        <v>252000</v>
      </c>
    </row>
    <row r="106" spans="1:5" ht="15.6" hidden="1" x14ac:dyDescent="0.3">
      <c r="A106" s="8" t="s">
        <v>112</v>
      </c>
      <c r="B106" s="8" t="s">
        <v>29</v>
      </c>
      <c r="C106" s="2">
        <v>0</v>
      </c>
      <c r="D106" s="2"/>
      <c r="E106" s="14">
        <f t="shared" si="1"/>
        <v>0</v>
      </c>
    </row>
    <row r="107" spans="1:5" ht="15.6" hidden="1" x14ac:dyDescent="0.3">
      <c r="A107" s="8" t="s">
        <v>90</v>
      </c>
      <c r="B107" s="8" t="s">
        <v>3</v>
      </c>
      <c r="C107" s="2">
        <v>0</v>
      </c>
      <c r="D107" s="2"/>
      <c r="E107" s="14">
        <f t="shared" si="1"/>
        <v>0</v>
      </c>
    </row>
    <row r="108" spans="1:5" ht="15.6" x14ac:dyDescent="0.3">
      <c r="A108" s="8" t="s">
        <v>91</v>
      </c>
      <c r="B108" s="8" t="s">
        <v>3</v>
      </c>
      <c r="C108" s="2">
        <v>13</v>
      </c>
      <c r="D108" s="2">
        <v>17000</v>
      </c>
      <c r="E108" s="14">
        <f t="shared" si="1"/>
        <v>221000</v>
      </c>
    </row>
    <row r="109" spans="1:5" ht="15.6" x14ac:dyDescent="0.3">
      <c r="A109" s="8" t="s">
        <v>92</v>
      </c>
      <c r="B109" s="8" t="s">
        <v>3</v>
      </c>
      <c r="C109" s="2">
        <v>2</v>
      </c>
      <c r="D109" s="2">
        <v>25000</v>
      </c>
      <c r="E109" s="14">
        <f t="shared" si="1"/>
        <v>50000</v>
      </c>
    </row>
    <row r="110" spans="1:5" ht="15.6" hidden="1" x14ac:dyDescent="0.3">
      <c r="A110" s="8" t="s">
        <v>93</v>
      </c>
      <c r="B110" s="8" t="s">
        <v>19</v>
      </c>
      <c r="C110" s="2">
        <v>0</v>
      </c>
      <c r="D110" s="2"/>
      <c r="E110" s="14">
        <f t="shared" si="1"/>
        <v>0</v>
      </c>
    </row>
    <row r="111" spans="1:5" ht="15.6" hidden="1" x14ac:dyDescent="0.3">
      <c r="A111" s="8" t="s">
        <v>94</v>
      </c>
      <c r="B111" s="8" t="s">
        <v>3</v>
      </c>
      <c r="C111" s="2">
        <v>0</v>
      </c>
      <c r="D111" s="2"/>
      <c r="E111" s="14">
        <f t="shared" si="1"/>
        <v>0</v>
      </c>
    </row>
    <row r="112" spans="1:5" ht="15.6" hidden="1" x14ac:dyDescent="0.3">
      <c r="A112" s="8" t="s">
        <v>95</v>
      </c>
      <c r="B112" s="8" t="s">
        <v>19</v>
      </c>
      <c r="C112" s="2">
        <v>0</v>
      </c>
      <c r="D112" s="2"/>
      <c r="E112" s="14">
        <f t="shared" si="1"/>
        <v>0</v>
      </c>
    </row>
    <row r="113" spans="1:5" ht="15.6" hidden="1" x14ac:dyDescent="0.3">
      <c r="A113" s="8" t="s">
        <v>96</v>
      </c>
      <c r="B113" s="8" t="s">
        <v>3</v>
      </c>
      <c r="C113" s="2">
        <v>0</v>
      </c>
      <c r="D113" s="2"/>
      <c r="E113" s="14">
        <f t="shared" si="1"/>
        <v>0</v>
      </c>
    </row>
    <row r="114" spans="1:5" ht="15.6" x14ac:dyDescent="0.3">
      <c r="A114" s="8" t="s">
        <v>97</v>
      </c>
      <c r="B114" s="8" t="s">
        <v>3</v>
      </c>
      <c r="C114" s="2">
        <v>22</v>
      </c>
      <c r="D114" s="2">
        <v>25000</v>
      </c>
      <c r="E114" s="14">
        <f t="shared" si="1"/>
        <v>550000</v>
      </c>
    </row>
    <row r="115" spans="1:5" ht="15.6" hidden="1" x14ac:dyDescent="0.3">
      <c r="A115" s="8" t="s">
        <v>98</v>
      </c>
      <c r="B115" s="8" t="s">
        <v>19</v>
      </c>
      <c r="C115" s="2">
        <v>0</v>
      </c>
      <c r="D115" s="2"/>
      <c r="E115" s="14">
        <f t="shared" si="1"/>
        <v>0</v>
      </c>
    </row>
    <row r="116" spans="1:5" x14ac:dyDescent="0.3">
      <c r="E116" s="9">
        <f>SUM(E3:E114)</f>
        <v>111864833</v>
      </c>
    </row>
  </sheetData>
  <autoFilter ref="A2:E115" xr:uid="{00000000-0009-0000-0000-000004000000}">
    <filterColumn colId="2">
      <filters>
        <filter val="1"/>
        <filter val="1,110"/>
        <filter val="1,145"/>
        <filter val="10"/>
        <filter val="11"/>
        <filter val="12"/>
        <filter val="13"/>
        <filter val="14"/>
        <filter val="148"/>
        <filter val="15"/>
        <filter val="150"/>
        <filter val="164"/>
        <filter val="165"/>
        <filter val="18"/>
        <filter val="2"/>
        <filter val="2,351"/>
        <filter val="20"/>
        <filter val="22"/>
        <filter val="25"/>
        <filter val="275"/>
        <filter val="30"/>
        <filter val="34"/>
        <filter val="353"/>
        <filter val="39"/>
        <filter val="390"/>
        <filter val="40"/>
        <filter val="42"/>
        <filter val="46"/>
        <filter val="48"/>
        <filter val="489"/>
        <filter val="5"/>
        <filter val="50"/>
        <filter val="6"/>
        <filter val="630"/>
        <filter val="65"/>
        <filter val="670"/>
        <filter val="7"/>
        <filter val="70"/>
        <filter val="8"/>
        <filter val="80"/>
        <filter val="895"/>
        <filter val="928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18"/>
  <sheetViews>
    <sheetView topLeftCell="A67" workbookViewId="0">
      <selection activeCell="D96" sqref="D96"/>
    </sheetView>
  </sheetViews>
  <sheetFormatPr defaultRowHeight="14.4" x14ac:dyDescent="0.3"/>
  <cols>
    <col min="1" max="1" width="30.77734375" customWidth="1"/>
    <col min="4" max="4" width="12.21875" customWidth="1"/>
    <col min="5" max="5" width="20.44140625" customWidth="1"/>
  </cols>
  <sheetData>
    <row r="1" spans="1:5" x14ac:dyDescent="0.3">
      <c r="A1" t="s">
        <v>125</v>
      </c>
    </row>
    <row r="2" spans="1:5" ht="42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15</v>
      </c>
      <c r="D3" s="2">
        <v>19000</v>
      </c>
      <c r="E3" s="7">
        <f>C3*D3</f>
        <v>285000</v>
      </c>
    </row>
    <row r="4" spans="1:5" ht="15.6" x14ac:dyDescent="0.3">
      <c r="A4" s="8" t="s">
        <v>4</v>
      </c>
      <c r="B4" s="8" t="s">
        <v>3</v>
      </c>
      <c r="C4" s="2">
        <v>350</v>
      </c>
      <c r="D4" s="2">
        <v>4000</v>
      </c>
      <c r="E4" s="7">
        <f t="shared" ref="E4:E67" si="0">C4*D4</f>
        <v>1400000</v>
      </c>
    </row>
    <row r="5" spans="1:5" ht="15.6" x14ac:dyDescent="0.3">
      <c r="A5" s="8" t="s">
        <v>5</v>
      </c>
      <c r="B5" s="8" t="s">
        <v>3</v>
      </c>
      <c r="C5" s="2">
        <v>540</v>
      </c>
      <c r="D5" s="2">
        <v>4000</v>
      </c>
      <c r="E5" s="7">
        <f t="shared" si="0"/>
        <v>2160000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2096</v>
      </c>
      <c r="D8" s="2">
        <v>9500</v>
      </c>
      <c r="E8" s="7">
        <f t="shared" si="0"/>
        <v>19912000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100</v>
      </c>
      <c r="D10" s="2">
        <v>9000</v>
      </c>
      <c r="E10" s="7">
        <f t="shared" si="0"/>
        <v>900000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30</v>
      </c>
      <c r="D12" s="2">
        <v>15000</v>
      </c>
      <c r="E12" s="7">
        <f t="shared" si="0"/>
        <v>450000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122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x14ac:dyDescent="0.3">
      <c r="A15" s="8" t="s">
        <v>12</v>
      </c>
      <c r="B15" s="8" t="s">
        <v>3</v>
      </c>
      <c r="C15" s="2">
        <v>5</v>
      </c>
      <c r="D15" s="2">
        <v>12000</v>
      </c>
      <c r="E15" s="7">
        <f t="shared" si="0"/>
        <v>60000</v>
      </c>
    </row>
    <row r="16" spans="1:5" ht="15.6" x14ac:dyDescent="0.3">
      <c r="A16" s="8" t="s">
        <v>14</v>
      </c>
      <c r="B16" s="8" t="s">
        <v>3</v>
      </c>
      <c r="C16" s="2">
        <v>60</v>
      </c>
      <c r="D16" s="2">
        <v>13000</v>
      </c>
      <c r="E16" s="7">
        <f t="shared" si="0"/>
        <v>780000</v>
      </c>
    </row>
    <row r="17" spans="1:5" ht="15.6" hidden="1" x14ac:dyDescent="0.3">
      <c r="A17" s="8" t="s">
        <v>15</v>
      </c>
      <c r="B17" s="8" t="s">
        <v>3</v>
      </c>
      <c r="C17" s="2">
        <v>0</v>
      </c>
      <c r="D17" s="2"/>
      <c r="E17" s="7">
        <f t="shared" si="0"/>
        <v>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2"/>
      <c r="E18" s="7">
        <f t="shared" si="0"/>
        <v>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2"/>
      <c r="E19" s="7">
        <f t="shared" si="0"/>
        <v>0</v>
      </c>
    </row>
    <row r="20" spans="1:5" ht="15.6" x14ac:dyDescent="0.3">
      <c r="A20" s="8" t="s">
        <v>124</v>
      </c>
      <c r="B20" s="8" t="s">
        <v>3</v>
      </c>
      <c r="C20" s="2">
        <v>60</v>
      </c>
      <c r="D20" s="2">
        <v>12000</v>
      </c>
      <c r="E20" s="7">
        <f t="shared" si="0"/>
        <v>720000</v>
      </c>
    </row>
    <row r="21" spans="1:5" ht="15.6" x14ac:dyDescent="0.3">
      <c r="A21" s="8" t="s">
        <v>22</v>
      </c>
      <c r="B21" s="8" t="s">
        <v>3</v>
      </c>
      <c r="C21" s="2">
        <v>90</v>
      </c>
      <c r="D21" s="2">
        <v>16000</v>
      </c>
      <c r="E21" s="7">
        <f t="shared" si="0"/>
        <v>1440000</v>
      </c>
    </row>
    <row r="22" spans="1:5" ht="15.6" hidden="1" x14ac:dyDescent="0.3">
      <c r="A22" s="8" t="s">
        <v>22</v>
      </c>
      <c r="B22" s="8" t="s">
        <v>23</v>
      </c>
      <c r="C22" s="2">
        <v>0</v>
      </c>
      <c r="D22" s="2"/>
      <c r="E22" s="7">
        <f t="shared" si="0"/>
        <v>0</v>
      </c>
    </row>
    <row r="23" spans="1:5" ht="15.6" x14ac:dyDescent="0.3">
      <c r="A23" s="8" t="s">
        <v>24</v>
      </c>
      <c r="B23" s="8" t="s">
        <v>3</v>
      </c>
      <c r="C23" s="2">
        <v>50</v>
      </c>
      <c r="D23" s="2">
        <v>14000</v>
      </c>
      <c r="E23" s="7">
        <f t="shared" si="0"/>
        <v>700000</v>
      </c>
    </row>
    <row r="24" spans="1:5" ht="15.6" hidden="1" x14ac:dyDescent="0.3">
      <c r="A24" s="8" t="s">
        <v>24</v>
      </c>
      <c r="B24" s="8" t="s">
        <v>25</v>
      </c>
      <c r="C24" s="2">
        <v>0</v>
      </c>
      <c r="D24" s="2"/>
      <c r="E24" s="7">
        <f t="shared" si="0"/>
        <v>0</v>
      </c>
    </row>
    <row r="25" spans="1:5" ht="15.6" x14ac:dyDescent="0.3">
      <c r="A25" s="8" t="s">
        <v>26</v>
      </c>
      <c r="B25" s="8" t="s">
        <v>3</v>
      </c>
      <c r="C25" s="2">
        <v>13</v>
      </c>
      <c r="D25" s="2">
        <v>18000</v>
      </c>
      <c r="E25" s="7">
        <f t="shared" si="0"/>
        <v>234000</v>
      </c>
    </row>
    <row r="26" spans="1:5" ht="15.6" hidden="1" x14ac:dyDescent="0.3">
      <c r="A26" s="8" t="s">
        <v>26</v>
      </c>
      <c r="B26" s="8" t="s">
        <v>27</v>
      </c>
      <c r="C26" s="2">
        <v>0</v>
      </c>
      <c r="D26" s="2"/>
      <c r="E26" s="7">
        <f t="shared" si="0"/>
        <v>0</v>
      </c>
    </row>
    <row r="27" spans="1:5" ht="15.6" x14ac:dyDescent="0.3">
      <c r="A27" s="8" t="s">
        <v>28</v>
      </c>
      <c r="B27" s="8" t="s">
        <v>29</v>
      </c>
      <c r="C27" s="2">
        <v>40</v>
      </c>
      <c r="D27" s="2">
        <v>12000</v>
      </c>
      <c r="E27" s="7">
        <f t="shared" si="0"/>
        <v>480000</v>
      </c>
    </row>
    <row r="28" spans="1:5" ht="15.6" hidden="1" x14ac:dyDescent="0.3">
      <c r="A28" s="8" t="s">
        <v>30</v>
      </c>
      <c r="B28" s="8" t="s">
        <v>3</v>
      </c>
      <c r="C28" s="2">
        <v>0</v>
      </c>
      <c r="D28" s="2"/>
      <c r="E28" s="7">
        <f t="shared" si="0"/>
        <v>0</v>
      </c>
    </row>
    <row r="29" spans="1:5" ht="15.6" hidden="1" x14ac:dyDescent="0.3">
      <c r="A29" s="8" t="s">
        <v>30</v>
      </c>
      <c r="B29" s="8" t="s">
        <v>31</v>
      </c>
      <c r="C29" s="2">
        <v>0</v>
      </c>
      <c r="D29" s="2"/>
      <c r="E29" s="7">
        <f t="shared" si="0"/>
        <v>0</v>
      </c>
    </row>
    <row r="30" spans="1:5" ht="15.6" x14ac:dyDescent="0.3">
      <c r="A30" s="8" t="s">
        <v>32</v>
      </c>
      <c r="B30" s="8" t="s">
        <v>3</v>
      </c>
      <c r="C30" s="2">
        <v>100</v>
      </c>
      <c r="D30" s="2">
        <v>14000</v>
      </c>
      <c r="E30" s="7">
        <f t="shared" si="0"/>
        <v>1400000</v>
      </c>
    </row>
    <row r="31" spans="1:5" ht="15.6" hidden="1" x14ac:dyDescent="0.3">
      <c r="A31" s="8" t="s">
        <v>32</v>
      </c>
      <c r="B31" s="8" t="s">
        <v>17</v>
      </c>
      <c r="C31" s="2">
        <v>0</v>
      </c>
      <c r="D31" s="2"/>
      <c r="E31" s="7">
        <f t="shared" si="0"/>
        <v>0</v>
      </c>
    </row>
    <row r="32" spans="1:5" ht="15.6" x14ac:dyDescent="0.3">
      <c r="A32" s="8" t="s">
        <v>33</v>
      </c>
      <c r="B32" s="8" t="s">
        <v>34</v>
      </c>
      <c r="C32" s="2">
        <v>50</v>
      </c>
      <c r="D32" s="2">
        <v>10000</v>
      </c>
      <c r="E32" s="7">
        <f t="shared" si="0"/>
        <v>500000</v>
      </c>
    </row>
    <row r="33" spans="1:5" ht="15.6" x14ac:dyDescent="0.3">
      <c r="A33" s="8" t="s">
        <v>35</v>
      </c>
      <c r="B33" s="8" t="s">
        <v>3</v>
      </c>
      <c r="C33" s="2">
        <v>145</v>
      </c>
      <c r="D33" s="2">
        <v>6500</v>
      </c>
      <c r="E33" s="7">
        <f t="shared" si="0"/>
        <v>942500</v>
      </c>
    </row>
    <row r="34" spans="1:5" ht="15.6" hidden="1" x14ac:dyDescent="0.3">
      <c r="A34" s="8" t="s">
        <v>35</v>
      </c>
      <c r="B34" s="8" t="s">
        <v>34</v>
      </c>
      <c r="C34" s="2">
        <v>0</v>
      </c>
      <c r="D34" s="2"/>
      <c r="E34" s="7">
        <f t="shared" si="0"/>
        <v>0</v>
      </c>
    </row>
    <row r="35" spans="1:5" ht="15.6" hidden="1" x14ac:dyDescent="0.3">
      <c r="A35" s="8" t="s">
        <v>36</v>
      </c>
      <c r="B35" s="8" t="s">
        <v>3</v>
      </c>
      <c r="C35" s="2">
        <v>0</v>
      </c>
      <c r="D35" s="2"/>
      <c r="E35" s="7">
        <f t="shared" si="0"/>
        <v>0</v>
      </c>
    </row>
    <row r="36" spans="1:5" ht="15.6" hidden="1" x14ac:dyDescent="0.3">
      <c r="A36" s="8" t="s">
        <v>36</v>
      </c>
      <c r="B36" s="8" t="s">
        <v>17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37</v>
      </c>
      <c r="B37" s="8" t="s">
        <v>3</v>
      </c>
      <c r="C37" s="2">
        <v>30</v>
      </c>
      <c r="D37" s="2">
        <v>8000</v>
      </c>
      <c r="E37" s="7">
        <f t="shared" si="0"/>
        <v>240000</v>
      </c>
    </row>
    <row r="38" spans="1:5" ht="15.6" hidden="1" x14ac:dyDescent="0.3">
      <c r="A38" s="8" t="s">
        <v>37</v>
      </c>
      <c r="B38" s="8" t="s">
        <v>38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39</v>
      </c>
      <c r="B39" s="8" t="s">
        <v>3</v>
      </c>
      <c r="C39" s="2">
        <v>2</v>
      </c>
      <c r="D39" s="2">
        <v>15000</v>
      </c>
      <c r="E39" s="7">
        <f t="shared" si="0"/>
        <v>30000</v>
      </c>
    </row>
    <row r="40" spans="1:5" ht="15.6" hidden="1" x14ac:dyDescent="0.3">
      <c r="A40" s="8" t="s">
        <v>39</v>
      </c>
      <c r="B40" s="8" t="s">
        <v>34</v>
      </c>
      <c r="C40" s="2">
        <v>0</v>
      </c>
      <c r="D40" s="2"/>
      <c r="E40" s="7">
        <f t="shared" si="0"/>
        <v>0</v>
      </c>
    </row>
    <row r="41" spans="1:5" ht="15.6" hidden="1" x14ac:dyDescent="0.3">
      <c r="A41" s="8" t="s">
        <v>40</v>
      </c>
      <c r="B41" s="8" t="s">
        <v>3</v>
      </c>
      <c r="C41" s="2">
        <v>0</v>
      </c>
      <c r="D41" s="2"/>
      <c r="E41" s="7">
        <f t="shared" si="0"/>
        <v>0</v>
      </c>
    </row>
    <row r="42" spans="1:5" ht="15.6" x14ac:dyDescent="0.3">
      <c r="A42" s="8" t="s">
        <v>40</v>
      </c>
      <c r="B42" s="8" t="s">
        <v>34</v>
      </c>
      <c r="C42" s="2">
        <v>11</v>
      </c>
      <c r="D42" s="2">
        <v>3000</v>
      </c>
      <c r="E42" s="7">
        <f t="shared" si="0"/>
        <v>33000</v>
      </c>
    </row>
    <row r="43" spans="1:5" ht="15.6" x14ac:dyDescent="0.3">
      <c r="A43" s="8" t="s">
        <v>41</v>
      </c>
      <c r="B43" s="8" t="s">
        <v>34</v>
      </c>
      <c r="C43" s="2">
        <v>11</v>
      </c>
      <c r="D43" s="2">
        <v>3000</v>
      </c>
      <c r="E43" s="7">
        <f t="shared" si="0"/>
        <v>33000</v>
      </c>
    </row>
    <row r="44" spans="1:5" ht="15.6" x14ac:dyDescent="0.3">
      <c r="A44" s="8" t="s">
        <v>42</v>
      </c>
      <c r="B44" s="8" t="s">
        <v>3</v>
      </c>
      <c r="C44" s="2">
        <v>610</v>
      </c>
      <c r="D44" s="2">
        <v>3000</v>
      </c>
      <c r="E44" s="7">
        <f t="shared" si="0"/>
        <v>1830000</v>
      </c>
    </row>
    <row r="45" spans="1:5" ht="15.6" hidden="1" x14ac:dyDescent="0.3">
      <c r="A45" s="8" t="s">
        <v>43</v>
      </c>
      <c r="B45" s="8" t="s">
        <v>3</v>
      </c>
      <c r="C45" s="2">
        <v>0</v>
      </c>
      <c r="D45" s="2"/>
      <c r="E45" s="7">
        <f t="shared" si="0"/>
        <v>0</v>
      </c>
    </row>
    <row r="46" spans="1:5" ht="15.6" x14ac:dyDescent="0.3">
      <c r="A46" s="8" t="s">
        <v>44</v>
      </c>
      <c r="B46" s="8" t="s">
        <v>3</v>
      </c>
      <c r="C46" s="2">
        <v>1160</v>
      </c>
      <c r="D46" s="2">
        <v>3000</v>
      </c>
      <c r="E46" s="7">
        <f t="shared" si="0"/>
        <v>3480000</v>
      </c>
    </row>
    <row r="47" spans="1:5" ht="15.6" hidden="1" x14ac:dyDescent="0.3">
      <c r="A47" s="8" t="s">
        <v>45</v>
      </c>
      <c r="B47" s="8" t="s">
        <v>3</v>
      </c>
      <c r="C47" s="2">
        <v>0</v>
      </c>
      <c r="D47" s="2"/>
      <c r="E47" s="7">
        <f t="shared" si="0"/>
        <v>0</v>
      </c>
    </row>
    <row r="48" spans="1:5" ht="15.6" hidden="1" x14ac:dyDescent="0.3">
      <c r="A48" s="8" t="s">
        <v>45</v>
      </c>
      <c r="B48" s="8" t="s">
        <v>19</v>
      </c>
      <c r="C48" s="2">
        <v>0</v>
      </c>
      <c r="D48" s="2"/>
      <c r="E48" s="7">
        <f t="shared" si="0"/>
        <v>0</v>
      </c>
    </row>
    <row r="49" spans="1:5" ht="15.6" hidden="1" x14ac:dyDescent="0.3">
      <c r="A49" s="8" t="s">
        <v>62</v>
      </c>
      <c r="B49" s="8" t="s">
        <v>3</v>
      </c>
      <c r="C49" s="2">
        <v>0</v>
      </c>
      <c r="D49" s="2"/>
      <c r="E49" s="7">
        <f t="shared" si="0"/>
        <v>0</v>
      </c>
    </row>
    <row r="50" spans="1:5" ht="15.6" hidden="1" x14ac:dyDescent="0.3">
      <c r="A50" s="8" t="s">
        <v>63</v>
      </c>
      <c r="B50" s="8" t="s">
        <v>3</v>
      </c>
      <c r="C50" s="2">
        <v>0</v>
      </c>
      <c r="D50" s="2"/>
      <c r="E50" s="7">
        <f t="shared" si="0"/>
        <v>0</v>
      </c>
    </row>
    <row r="51" spans="1:5" ht="15.6" hidden="1" x14ac:dyDescent="0.3">
      <c r="A51" s="8" t="s">
        <v>46</v>
      </c>
      <c r="B51" s="8" t="s">
        <v>29</v>
      </c>
      <c r="C51" s="2">
        <v>0</v>
      </c>
      <c r="D51" s="2"/>
      <c r="E51" s="7">
        <f t="shared" si="0"/>
        <v>0</v>
      </c>
    </row>
    <row r="52" spans="1:5" ht="15.6" hidden="1" x14ac:dyDescent="0.3">
      <c r="A52" s="8" t="s">
        <v>46</v>
      </c>
      <c r="B52" s="8" t="s">
        <v>3</v>
      </c>
      <c r="C52" s="2">
        <v>0</v>
      </c>
      <c r="D52" s="2"/>
      <c r="E52" s="7">
        <f t="shared" si="0"/>
        <v>0</v>
      </c>
    </row>
    <row r="53" spans="1:5" ht="15.6" hidden="1" x14ac:dyDescent="0.3">
      <c r="A53" s="8" t="s">
        <v>47</v>
      </c>
      <c r="B53" s="8" t="s">
        <v>3</v>
      </c>
      <c r="C53" s="2">
        <v>0</v>
      </c>
      <c r="D53" s="2"/>
      <c r="E53" s="7">
        <f t="shared" si="0"/>
        <v>0</v>
      </c>
    </row>
    <row r="54" spans="1:5" ht="15.6" x14ac:dyDescent="0.3">
      <c r="A54" s="8" t="s">
        <v>48</v>
      </c>
      <c r="B54" s="8" t="s">
        <v>3</v>
      </c>
      <c r="C54" s="2">
        <v>60</v>
      </c>
      <c r="D54" s="2">
        <v>8000</v>
      </c>
      <c r="E54" s="7">
        <f t="shared" si="0"/>
        <v>480000</v>
      </c>
    </row>
    <row r="55" spans="1:5" ht="15.6" hidden="1" x14ac:dyDescent="0.3">
      <c r="A55" s="8" t="s">
        <v>48</v>
      </c>
      <c r="B55" s="8" t="s">
        <v>34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49</v>
      </c>
      <c r="B56" s="8" t="s">
        <v>3</v>
      </c>
      <c r="C56" s="2">
        <v>8</v>
      </c>
      <c r="D56" s="2">
        <v>19000</v>
      </c>
      <c r="E56" s="7">
        <f t="shared" si="0"/>
        <v>152000</v>
      </c>
    </row>
    <row r="57" spans="1:5" ht="15.6" x14ac:dyDescent="0.3">
      <c r="A57" s="8" t="s">
        <v>50</v>
      </c>
      <c r="B57" s="8" t="s">
        <v>3</v>
      </c>
      <c r="C57" s="2">
        <v>100</v>
      </c>
      <c r="D57" s="2">
        <v>6500</v>
      </c>
      <c r="E57" s="7">
        <f t="shared" si="0"/>
        <v>650000</v>
      </c>
    </row>
    <row r="58" spans="1:5" ht="15.6" hidden="1" x14ac:dyDescent="0.3">
      <c r="A58" s="8" t="s">
        <v>50</v>
      </c>
      <c r="B58" s="8" t="s">
        <v>51</v>
      </c>
      <c r="C58" s="2">
        <v>0</v>
      </c>
      <c r="D58" s="2"/>
      <c r="E58" s="7">
        <f t="shared" si="0"/>
        <v>0</v>
      </c>
    </row>
    <row r="59" spans="1:5" ht="15.6" x14ac:dyDescent="0.3">
      <c r="A59" s="8" t="s">
        <v>104</v>
      </c>
      <c r="B59" s="8" t="s">
        <v>3</v>
      </c>
      <c r="C59" s="2">
        <v>5</v>
      </c>
      <c r="D59" s="2">
        <v>20000</v>
      </c>
      <c r="E59" s="7">
        <f t="shared" si="0"/>
        <v>100000</v>
      </c>
    </row>
    <row r="60" spans="1:5" ht="15.6" x14ac:dyDescent="0.3">
      <c r="A60" s="8" t="s">
        <v>52</v>
      </c>
      <c r="B60" s="8" t="s">
        <v>34</v>
      </c>
      <c r="C60" s="2">
        <v>100</v>
      </c>
      <c r="D60" s="2">
        <v>1800</v>
      </c>
      <c r="E60" s="7">
        <f t="shared" si="0"/>
        <v>180000</v>
      </c>
    </row>
    <row r="61" spans="1:5" ht="15.6" x14ac:dyDescent="0.3">
      <c r="A61" s="8" t="s">
        <v>53</v>
      </c>
      <c r="B61" s="8" t="s">
        <v>3</v>
      </c>
      <c r="C61" s="2">
        <v>830</v>
      </c>
      <c r="D61" s="2">
        <v>25000</v>
      </c>
      <c r="E61" s="7">
        <f t="shared" si="0"/>
        <v>20750000</v>
      </c>
    </row>
    <row r="62" spans="1:5" ht="15.6" hidden="1" x14ac:dyDescent="0.3">
      <c r="A62" s="8" t="s">
        <v>54</v>
      </c>
      <c r="B62" s="8" t="s">
        <v>3</v>
      </c>
      <c r="C62" s="2">
        <v>0</v>
      </c>
      <c r="D62" s="2"/>
      <c r="E62" s="7">
        <f t="shared" si="0"/>
        <v>0</v>
      </c>
    </row>
    <row r="63" spans="1:5" ht="15.6" hidden="1" x14ac:dyDescent="0.3">
      <c r="A63" s="8" t="s">
        <v>54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8" t="s">
        <v>55</v>
      </c>
      <c r="B64" s="8" t="s">
        <v>3</v>
      </c>
      <c r="C64" s="2">
        <v>150</v>
      </c>
      <c r="D64" s="2">
        <v>16000</v>
      </c>
      <c r="E64" s="7">
        <f t="shared" si="0"/>
        <v>2400000</v>
      </c>
    </row>
    <row r="65" spans="1:5" ht="15.6" hidden="1" x14ac:dyDescent="0.3">
      <c r="A65" s="8" t="s">
        <v>58</v>
      </c>
      <c r="B65" s="8" t="s">
        <v>34</v>
      </c>
      <c r="C65" s="2">
        <v>0</v>
      </c>
      <c r="D65" s="2"/>
      <c r="E65" s="7">
        <f t="shared" si="0"/>
        <v>0</v>
      </c>
    </row>
    <row r="66" spans="1:5" ht="15.6" hidden="1" x14ac:dyDescent="0.3">
      <c r="A66" s="8" t="s">
        <v>105</v>
      </c>
      <c r="B66" s="8" t="s">
        <v>3</v>
      </c>
      <c r="C66" s="2">
        <v>0</v>
      </c>
      <c r="D66" s="2"/>
      <c r="E66" s="7">
        <f t="shared" si="0"/>
        <v>0</v>
      </c>
    </row>
    <row r="67" spans="1:5" ht="15.6" x14ac:dyDescent="0.3">
      <c r="A67" s="8" t="s">
        <v>59</v>
      </c>
      <c r="B67" s="8" t="s">
        <v>3</v>
      </c>
      <c r="C67" s="2">
        <v>550</v>
      </c>
      <c r="D67" s="2">
        <v>14000</v>
      </c>
      <c r="E67" s="7">
        <f t="shared" si="0"/>
        <v>7700000</v>
      </c>
    </row>
    <row r="68" spans="1:5" ht="15.6" hidden="1" x14ac:dyDescent="0.3">
      <c r="A68" s="8" t="s">
        <v>59</v>
      </c>
      <c r="B68" s="8" t="s">
        <v>34</v>
      </c>
      <c r="C68" s="2">
        <v>0</v>
      </c>
      <c r="D68" s="2"/>
      <c r="E68" s="7">
        <f t="shared" ref="E68:E117" si="1">C68*D68</f>
        <v>0</v>
      </c>
    </row>
    <row r="69" spans="1:5" ht="15.6" x14ac:dyDescent="0.3">
      <c r="A69" s="8" t="s">
        <v>60</v>
      </c>
      <c r="B69" s="8" t="s">
        <v>34</v>
      </c>
      <c r="C69" s="2">
        <v>60</v>
      </c>
      <c r="D69" s="2">
        <v>5000</v>
      </c>
      <c r="E69" s="7">
        <f t="shared" si="1"/>
        <v>300000</v>
      </c>
    </row>
    <row r="70" spans="1:5" ht="15.6" hidden="1" x14ac:dyDescent="0.3">
      <c r="A70" s="8" t="s">
        <v>61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x14ac:dyDescent="0.3">
      <c r="A71" s="8" t="s">
        <v>67</v>
      </c>
      <c r="B71" s="8" t="s">
        <v>34</v>
      </c>
      <c r="C71" s="2">
        <v>30</v>
      </c>
      <c r="D71" s="2">
        <v>6000</v>
      </c>
      <c r="E71" s="7">
        <f t="shared" si="1"/>
        <v>180000</v>
      </c>
    </row>
    <row r="72" spans="1:5" ht="15.6" hidden="1" x14ac:dyDescent="0.3">
      <c r="A72" s="8" t="s">
        <v>68</v>
      </c>
      <c r="B72" s="8" t="s">
        <v>3</v>
      </c>
      <c r="C72" s="2">
        <v>0</v>
      </c>
      <c r="D72" s="2"/>
      <c r="E72" s="7">
        <f t="shared" si="1"/>
        <v>0</v>
      </c>
    </row>
    <row r="73" spans="1:5" ht="15.6" x14ac:dyDescent="0.3">
      <c r="A73" s="8" t="s">
        <v>68</v>
      </c>
      <c r="B73" s="8" t="s">
        <v>34</v>
      </c>
      <c r="C73" s="2">
        <v>28</v>
      </c>
      <c r="D73" s="2">
        <v>6500</v>
      </c>
      <c r="E73" s="7">
        <f t="shared" si="1"/>
        <v>182000</v>
      </c>
    </row>
    <row r="74" spans="1:5" ht="15.6" x14ac:dyDescent="0.3">
      <c r="A74" s="8" t="s">
        <v>69</v>
      </c>
      <c r="B74" s="8" t="s">
        <v>3</v>
      </c>
      <c r="C74" s="2">
        <v>0.5</v>
      </c>
      <c r="D74" s="2">
        <v>80000</v>
      </c>
      <c r="E74" s="7">
        <f t="shared" si="1"/>
        <v>40000</v>
      </c>
    </row>
    <row r="75" spans="1:5" ht="15.6" hidden="1" x14ac:dyDescent="0.3">
      <c r="A75" s="8" t="s">
        <v>106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x14ac:dyDescent="0.3">
      <c r="A76" s="8" t="s">
        <v>71</v>
      </c>
      <c r="B76" s="8" t="s">
        <v>3</v>
      </c>
      <c r="C76" s="2">
        <v>0.5</v>
      </c>
      <c r="D76" s="2">
        <v>70000</v>
      </c>
      <c r="E76" s="7">
        <f t="shared" si="1"/>
        <v>35000</v>
      </c>
    </row>
    <row r="77" spans="1:5" ht="15.6" hidden="1" x14ac:dyDescent="0.3">
      <c r="A77" s="8" t="s">
        <v>117</v>
      </c>
      <c r="B77" s="8" t="s">
        <v>34</v>
      </c>
      <c r="C77" s="2">
        <v>0</v>
      </c>
      <c r="D77" s="2"/>
      <c r="E77" s="7">
        <f t="shared" si="1"/>
        <v>0</v>
      </c>
    </row>
    <row r="78" spans="1:5" ht="15.6" hidden="1" x14ac:dyDescent="0.3">
      <c r="A78" s="8" t="s">
        <v>64</v>
      </c>
      <c r="B78" s="8" t="s">
        <v>3</v>
      </c>
      <c r="C78" s="2">
        <v>0</v>
      </c>
      <c r="D78" s="2"/>
      <c r="E78" s="7">
        <f t="shared" si="1"/>
        <v>0</v>
      </c>
    </row>
    <row r="79" spans="1:5" ht="15.6" x14ac:dyDescent="0.3">
      <c r="A79" s="8" t="s">
        <v>64</v>
      </c>
      <c r="B79" s="8" t="s">
        <v>17</v>
      </c>
      <c r="C79" s="2">
        <v>1101</v>
      </c>
      <c r="D79" s="2">
        <v>6700</v>
      </c>
      <c r="E79" s="7">
        <f t="shared" si="1"/>
        <v>7376700</v>
      </c>
    </row>
    <row r="80" spans="1:5" ht="15.6" x14ac:dyDescent="0.3">
      <c r="A80" s="8" t="s">
        <v>65</v>
      </c>
      <c r="B80" s="8" t="s">
        <v>3</v>
      </c>
      <c r="C80" s="2">
        <v>10</v>
      </c>
      <c r="D80" s="2">
        <v>16000</v>
      </c>
      <c r="E80" s="7">
        <f t="shared" si="1"/>
        <v>160000</v>
      </c>
    </row>
    <row r="81" spans="1:5" ht="15.6" x14ac:dyDescent="0.3">
      <c r="A81" s="8" t="s">
        <v>66</v>
      </c>
      <c r="B81" s="8" t="s">
        <v>3</v>
      </c>
      <c r="C81" s="2">
        <v>14</v>
      </c>
      <c r="D81" s="2">
        <v>13000</v>
      </c>
      <c r="E81" s="7">
        <f t="shared" si="1"/>
        <v>182000</v>
      </c>
    </row>
    <row r="82" spans="1:5" ht="15.6" x14ac:dyDescent="0.3">
      <c r="A82" s="8" t="s">
        <v>72</v>
      </c>
      <c r="B82" s="8" t="s">
        <v>3</v>
      </c>
      <c r="C82" s="2">
        <v>10</v>
      </c>
      <c r="D82" s="2">
        <v>10000</v>
      </c>
      <c r="E82" s="7">
        <f t="shared" si="1"/>
        <v>100000</v>
      </c>
    </row>
    <row r="83" spans="1:5" ht="15.6" hidden="1" x14ac:dyDescent="0.3">
      <c r="A83" s="8" t="s">
        <v>72</v>
      </c>
      <c r="B83" s="8" t="s">
        <v>19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107</v>
      </c>
      <c r="B84" s="8" t="s">
        <v>29</v>
      </c>
      <c r="C84" s="2">
        <v>0</v>
      </c>
      <c r="D84" s="2"/>
      <c r="E84" s="7">
        <f t="shared" si="1"/>
        <v>0</v>
      </c>
    </row>
    <row r="85" spans="1:5" ht="15.6" hidden="1" x14ac:dyDescent="0.3">
      <c r="A85" s="8" t="s">
        <v>74</v>
      </c>
      <c r="B85" s="8" t="s">
        <v>34</v>
      </c>
      <c r="C85" s="2">
        <v>0</v>
      </c>
      <c r="D85" s="2"/>
      <c r="E85" s="7">
        <f t="shared" si="1"/>
        <v>0</v>
      </c>
    </row>
    <row r="86" spans="1:5" ht="15.6" hidden="1" x14ac:dyDescent="0.3">
      <c r="A86" s="8" t="s">
        <v>75</v>
      </c>
      <c r="B86" s="8" t="s">
        <v>3</v>
      </c>
      <c r="C86" s="2">
        <v>0</v>
      </c>
      <c r="D86" s="2"/>
      <c r="E86" s="7">
        <f t="shared" si="1"/>
        <v>0</v>
      </c>
    </row>
    <row r="87" spans="1:5" ht="15.6" x14ac:dyDescent="0.3">
      <c r="A87" s="8" t="s">
        <v>76</v>
      </c>
      <c r="B87" s="8" t="s">
        <v>3</v>
      </c>
      <c r="C87" s="2">
        <v>165</v>
      </c>
      <c r="D87" s="2">
        <v>58000</v>
      </c>
      <c r="E87" s="7">
        <f t="shared" si="1"/>
        <v>9570000</v>
      </c>
    </row>
    <row r="88" spans="1:5" ht="15.6" hidden="1" x14ac:dyDescent="0.3">
      <c r="A88" s="8" t="s">
        <v>76</v>
      </c>
      <c r="B88" s="8" t="s">
        <v>77</v>
      </c>
      <c r="C88" s="2">
        <v>0</v>
      </c>
      <c r="D88" s="2"/>
      <c r="E88" s="7">
        <f t="shared" si="1"/>
        <v>0</v>
      </c>
    </row>
    <row r="89" spans="1:5" ht="15.6" hidden="1" x14ac:dyDescent="0.3">
      <c r="A89" s="8" t="s">
        <v>76</v>
      </c>
      <c r="B89" s="8" t="s">
        <v>78</v>
      </c>
      <c r="C89" s="2">
        <v>0</v>
      </c>
      <c r="D89" s="2"/>
      <c r="E89" s="7">
        <f t="shared" si="1"/>
        <v>0</v>
      </c>
    </row>
    <row r="90" spans="1:5" ht="15.6" hidden="1" x14ac:dyDescent="0.3">
      <c r="A90" s="8" t="s">
        <v>79</v>
      </c>
      <c r="B90" s="8" t="s">
        <v>17</v>
      </c>
      <c r="C90" s="2">
        <v>0</v>
      </c>
      <c r="D90" s="2"/>
      <c r="E90" s="7">
        <f t="shared" si="1"/>
        <v>0</v>
      </c>
    </row>
    <row r="91" spans="1:5" ht="15.6" hidden="1" x14ac:dyDescent="0.3">
      <c r="A91" s="8" t="s">
        <v>80</v>
      </c>
      <c r="B91" s="8" t="s">
        <v>29</v>
      </c>
      <c r="C91" s="2">
        <v>0</v>
      </c>
      <c r="D91" s="2"/>
      <c r="E91" s="7">
        <f t="shared" si="1"/>
        <v>0</v>
      </c>
    </row>
    <row r="92" spans="1:5" ht="15.6" hidden="1" x14ac:dyDescent="0.3">
      <c r="A92" s="8" t="s">
        <v>80</v>
      </c>
      <c r="B92" s="8" t="s">
        <v>3</v>
      </c>
      <c r="C92" s="2">
        <v>0</v>
      </c>
      <c r="D92" s="2"/>
      <c r="E92" s="7">
        <f t="shared" si="1"/>
        <v>0</v>
      </c>
    </row>
    <row r="93" spans="1:5" ht="15.6" x14ac:dyDescent="0.3">
      <c r="A93" s="8" t="s">
        <v>81</v>
      </c>
      <c r="B93" s="8" t="s">
        <v>3</v>
      </c>
      <c r="C93" s="2">
        <v>98</v>
      </c>
      <c r="D93" s="2">
        <v>22000</v>
      </c>
      <c r="E93" s="7">
        <f t="shared" si="1"/>
        <v>2156000</v>
      </c>
    </row>
    <row r="94" spans="1:5" ht="15.6" hidden="1" x14ac:dyDescent="0.3">
      <c r="A94" s="8" t="s">
        <v>81</v>
      </c>
      <c r="B94" s="8" t="s">
        <v>9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108</v>
      </c>
      <c r="B95" s="8" t="s">
        <v>3</v>
      </c>
      <c r="C95" s="2">
        <v>25</v>
      </c>
      <c r="D95" s="2">
        <v>17000</v>
      </c>
      <c r="E95" s="7">
        <f t="shared" si="1"/>
        <v>425000</v>
      </c>
    </row>
    <row r="96" spans="1:5" ht="15.6" x14ac:dyDescent="0.3">
      <c r="A96" s="8" t="s">
        <v>82</v>
      </c>
      <c r="B96" s="8" t="s">
        <v>3</v>
      </c>
      <c r="C96" s="2">
        <v>20</v>
      </c>
      <c r="D96" s="2">
        <v>20000</v>
      </c>
      <c r="E96" s="7">
        <f t="shared" si="1"/>
        <v>400000</v>
      </c>
    </row>
    <row r="97" spans="1:5" ht="15.6" hidden="1" x14ac:dyDescent="0.3">
      <c r="A97" s="8" t="s">
        <v>82</v>
      </c>
      <c r="B97" s="8" t="s">
        <v>9</v>
      </c>
      <c r="C97" s="2">
        <v>0</v>
      </c>
      <c r="D97" s="2"/>
      <c r="E97" s="7">
        <f t="shared" si="1"/>
        <v>0</v>
      </c>
    </row>
    <row r="98" spans="1:5" ht="15.6" x14ac:dyDescent="0.3">
      <c r="A98" s="8" t="s">
        <v>109</v>
      </c>
      <c r="B98" s="8" t="s">
        <v>3</v>
      </c>
      <c r="C98" s="2">
        <v>45</v>
      </c>
      <c r="D98" s="2">
        <v>15000</v>
      </c>
      <c r="E98" s="7">
        <f t="shared" si="1"/>
        <v>675000</v>
      </c>
    </row>
    <row r="99" spans="1:5" ht="15.6" x14ac:dyDescent="0.3">
      <c r="A99" s="8" t="s">
        <v>83</v>
      </c>
      <c r="B99" s="8" t="s">
        <v>3</v>
      </c>
      <c r="C99" s="2">
        <v>80</v>
      </c>
      <c r="D99" s="2">
        <v>28000</v>
      </c>
      <c r="E99" s="7">
        <f t="shared" si="1"/>
        <v>2240000</v>
      </c>
    </row>
    <row r="100" spans="1:5" ht="15.6" hidden="1" x14ac:dyDescent="0.3">
      <c r="A100" s="8" t="s">
        <v>83</v>
      </c>
      <c r="B100" s="8" t="s">
        <v>9</v>
      </c>
      <c r="C100" s="2">
        <v>0</v>
      </c>
      <c r="D100" s="2"/>
      <c r="E100" s="7">
        <f t="shared" si="1"/>
        <v>0</v>
      </c>
    </row>
    <row r="101" spans="1:5" ht="15.6" x14ac:dyDescent="0.3">
      <c r="A101" s="8" t="s">
        <v>110</v>
      </c>
      <c r="B101" s="8" t="s">
        <v>3</v>
      </c>
      <c r="C101" s="2">
        <v>15</v>
      </c>
      <c r="D101" s="2">
        <v>23000</v>
      </c>
      <c r="E101" s="7">
        <f t="shared" si="1"/>
        <v>345000</v>
      </c>
    </row>
    <row r="102" spans="1:5" ht="15.6" x14ac:dyDescent="0.3">
      <c r="A102" s="8" t="s">
        <v>84</v>
      </c>
      <c r="B102" s="8" t="s">
        <v>34</v>
      </c>
      <c r="C102" s="2">
        <v>51</v>
      </c>
      <c r="D102" s="2">
        <v>17000</v>
      </c>
      <c r="E102" s="7">
        <f t="shared" si="1"/>
        <v>867000</v>
      </c>
    </row>
    <row r="103" spans="1:5" ht="15.6" hidden="1" x14ac:dyDescent="0.3">
      <c r="A103" s="8" t="s">
        <v>85</v>
      </c>
      <c r="B103" s="8" t="s">
        <v>34</v>
      </c>
      <c r="C103" s="2">
        <v>0</v>
      </c>
      <c r="D103" s="2"/>
      <c r="E103" s="7">
        <f t="shared" si="1"/>
        <v>0</v>
      </c>
    </row>
    <row r="104" spans="1:5" ht="15.6" hidden="1" x14ac:dyDescent="0.3">
      <c r="A104" s="8" t="s">
        <v>111</v>
      </c>
      <c r="B104" s="8" t="s">
        <v>3</v>
      </c>
      <c r="C104" s="2">
        <v>0</v>
      </c>
      <c r="D104" s="2"/>
      <c r="E104" s="7">
        <f t="shared" si="1"/>
        <v>0</v>
      </c>
    </row>
    <row r="105" spans="1:5" ht="15.6" x14ac:dyDescent="0.3">
      <c r="A105" s="8" t="s">
        <v>86</v>
      </c>
      <c r="B105" s="8" t="s">
        <v>9</v>
      </c>
      <c r="C105" s="2">
        <v>823</v>
      </c>
      <c r="D105" s="2">
        <v>9000</v>
      </c>
      <c r="E105" s="7">
        <f t="shared" si="1"/>
        <v>7407000</v>
      </c>
    </row>
    <row r="106" spans="1:5" ht="15.6" x14ac:dyDescent="0.3">
      <c r="A106" s="8" t="s">
        <v>87</v>
      </c>
      <c r="B106" s="8" t="s">
        <v>9</v>
      </c>
      <c r="C106" s="2">
        <v>353</v>
      </c>
      <c r="D106" s="2">
        <v>11361</v>
      </c>
      <c r="E106" s="7">
        <f t="shared" si="1"/>
        <v>4010433</v>
      </c>
    </row>
    <row r="107" spans="1:5" ht="15.6" x14ac:dyDescent="0.3">
      <c r="A107" s="8" t="s">
        <v>89</v>
      </c>
      <c r="B107" s="8" t="s">
        <v>3</v>
      </c>
      <c r="C107" s="2">
        <v>10</v>
      </c>
      <c r="D107" s="2">
        <v>18000</v>
      </c>
      <c r="E107" s="7">
        <f t="shared" si="1"/>
        <v>180000</v>
      </c>
    </row>
    <row r="108" spans="1:5" ht="15.6" x14ac:dyDescent="0.3">
      <c r="A108" s="8" t="s">
        <v>90</v>
      </c>
      <c r="B108" s="8" t="s">
        <v>3</v>
      </c>
      <c r="C108" s="2">
        <v>15</v>
      </c>
      <c r="D108" s="2">
        <v>8000</v>
      </c>
      <c r="E108" s="7">
        <f t="shared" si="1"/>
        <v>120000</v>
      </c>
    </row>
    <row r="109" spans="1:5" ht="15.6" hidden="1" x14ac:dyDescent="0.3">
      <c r="A109" s="8" t="s">
        <v>113</v>
      </c>
      <c r="B109" s="8" t="s">
        <v>3</v>
      </c>
      <c r="C109" s="2">
        <v>0</v>
      </c>
      <c r="D109" s="2"/>
      <c r="E109" s="7">
        <f t="shared" si="1"/>
        <v>0</v>
      </c>
    </row>
    <row r="110" spans="1:5" ht="15.6" x14ac:dyDescent="0.3">
      <c r="A110" s="8" t="s">
        <v>91</v>
      </c>
      <c r="B110" s="8" t="s">
        <v>3</v>
      </c>
      <c r="C110" s="2">
        <v>23</v>
      </c>
      <c r="D110" s="2">
        <v>17000</v>
      </c>
      <c r="E110" s="7">
        <f t="shared" si="1"/>
        <v>391000</v>
      </c>
    </row>
    <row r="111" spans="1:5" ht="15.6" x14ac:dyDescent="0.3">
      <c r="A111" s="8" t="s">
        <v>92</v>
      </c>
      <c r="B111" s="8" t="s">
        <v>3</v>
      </c>
      <c r="C111" s="2">
        <v>7</v>
      </c>
      <c r="D111" s="2">
        <v>25000</v>
      </c>
      <c r="E111" s="7">
        <f t="shared" si="1"/>
        <v>175000</v>
      </c>
    </row>
    <row r="112" spans="1:5" ht="15.6" hidden="1" x14ac:dyDescent="0.3">
      <c r="A112" s="8" t="s">
        <v>93</v>
      </c>
      <c r="B112" s="8" t="s">
        <v>19</v>
      </c>
      <c r="C112" s="2">
        <v>0</v>
      </c>
      <c r="D112" s="2"/>
      <c r="E112" s="7">
        <f t="shared" si="1"/>
        <v>0</v>
      </c>
    </row>
    <row r="113" spans="1:5" ht="15.6" x14ac:dyDescent="0.3">
      <c r="A113" s="8" t="s">
        <v>94</v>
      </c>
      <c r="B113" s="8" t="s">
        <v>3</v>
      </c>
      <c r="C113" s="2">
        <v>2</v>
      </c>
      <c r="D113" s="2">
        <v>24000</v>
      </c>
      <c r="E113" s="7">
        <f t="shared" si="1"/>
        <v>48000</v>
      </c>
    </row>
    <row r="114" spans="1:5" ht="15.6" hidden="1" x14ac:dyDescent="0.3">
      <c r="A114" s="8" t="s">
        <v>95</v>
      </c>
      <c r="B114" s="8" t="s">
        <v>19</v>
      </c>
      <c r="C114" s="2">
        <v>0</v>
      </c>
      <c r="D114" s="2"/>
      <c r="E114" s="7">
        <f t="shared" si="1"/>
        <v>0</v>
      </c>
    </row>
    <row r="115" spans="1:5" ht="15.6" hidden="1" x14ac:dyDescent="0.3">
      <c r="A115" s="8" t="s">
        <v>96</v>
      </c>
      <c r="B115" s="8" t="s">
        <v>3</v>
      </c>
      <c r="C115" s="2">
        <v>0</v>
      </c>
      <c r="D115" s="2"/>
      <c r="E115" s="7">
        <f t="shared" si="1"/>
        <v>0</v>
      </c>
    </row>
    <row r="116" spans="1:5" ht="15.6" hidden="1" x14ac:dyDescent="0.3">
      <c r="A116" s="8" t="s">
        <v>97</v>
      </c>
      <c r="B116" s="8" t="s">
        <v>3</v>
      </c>
      <c r="C116" s="2">
        <v>0</v>
      </c>
      <c r="D116" s="2"/>
      <c r="E116" s="7">
        <f t="shared" si="1"/>
        <v>0</v>
      </c>
    </row>
    <row r="117" spans="1:5" ht="15.6" x14ac:dyDescent="0.3">
      <c r="A117" s="8" t="s">
        <v>98</v>
      </c>
      <c r="B117" s="8" t="s">
        <v>19</v>
      </c>
      <c r="C117" s="2">
        <v>135</v>
      </c>
      <c r="D117" s="2">
        <v>6000</v>
      </c>
      <c r="E117" s="7">
        <f t="shared" si="1"/>
        <v>810000</v>
      </c>
    </row>
    <row r="118" spans="1:5" x14ac:dyDescent="0.3">
      <c r="E118" s="9">
        <f>SUM(E3:E117)</f>
        <v>108796633</v>
      </c>
    </row>
  </sheetData>
  <autoFilter ref="A2:E117" xr:uid="{00000000-0009-0000-0000-000005000000}">
    <filterColumn colId="2">
      <filters>
        <filter val="1"/>
        <filter val="1,101"/>
        <filter val="1,160"/>
        <filter val="10"/>
        <filter val="100"/>
        <filter val="11"/>
        <filter val="13"/>
        <filter val="135"/>
        <filter val="14"/>
        <filter val="145"/>
        <filter val="15"/>
        <filter val="150"/>
        <filter val="165"/>
        <filter val="2"/>
        <filter val="2,096"/>
        <filter val="20"/>
        <filter val="23"/>
        <filter val="25"/>
        <filter val="28"/>
        <filter val="30"/>
        <filter val="350"/>
        <filter val="353"/>
        <filter val="45"/>
        <filter val="5"/>
        <filter val="50"/>
        <filter val="51"/>
        <filter val="540"/>
        <filter val="550"/>
        <filter val="60"/>
        <filter val="610"/>
        <filter val="7"/>
        <filter val="8"/>
        <filter val="80"/>
        <filter val="823"/>
        <filter val="830"/>
        <filter val="90"/>
        <filter val="9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115"/>
  <sheetViews>
    <sheetView topLeftCell="A56" workbookViewId="0">
      <selection activeCell="L47" sqref="L47"/>
    </sheetView>
  </sheetViews>
  <sheetFormatPr defaultRowHeight="14.4" x14ac:dyDescent="0.3"/>
  <cols>
    <col min="1" max="1" width="26.77734375" customWidth="1"/>
    <col min="3" max="3" width="11.6640625" customWidth="1"/>
    <col min="4" max="4" width="12" customWidth="1"/>
    <col min="5" max="5" width="19.88671875" customWidth="1"/>
  </cols>
  <sheetData>
    <row r="1" spans="1:5" x14ac:dyDescent="0.3">
      <c r="A1" t="s">
        <v>126</v>
      </c>
    </row>
    <row r="2" spans="1:5" ht="24.6" customHeight="1" x14ac:dyDescent="0.3">
      <c r="A2" t="s">
        <v>0</v>
      </c>
      <c r="B2" t="s">
        <v>1</v>
      </c>
      <c r="C2" t="s">
        <v>100</v>
      </c>
      <c r="D2" t="s">
        <v>101</v>
      </c>
      <c r="E2" t="s">
        <v>102</v>
      </c>
    </row>
    <row r="3" spans="1:5" x14ac:dyDescent="0.3">
      <c r="A3" t="s">
        <v>35</v>
      </c>
      <c r="B3" t="s">
        <v>3</v>
      </c>
      <c r="C3">
        <v>130</v>
      </c>
      <c r="D3">
        <v>6500</v>
      </c>
      <c r="E3" s="17">
        <f>C3*D3</f>
        <v>845000</v>
      </c>
    </row>
    <row r="4" spans="1:5" hidden="1" x14ac:dyDescent="0.3">
      <c r="A4" t="s">
        <v>35</v>
      </c>
      <c r="B4" t="s">
        <v>34</v>
      </c>
      <c r="C4">
        <v>0</v>
      </c>
      <c r="E4">
        <f t="shared" ref="E4:E67" si="0">C4*D4</f>
        <v>0</v>
      </c>
    </row>
    <row r="5" spans="1:5" hidden="1" x14ac:dyDescent="0.3">
      <c r="A5" t="s">
        <v>36</v>
      </c>
      <c r="B5" t="s">
        <v>17</v>
      </c>
      <c r="C5">
        <v>0</v>
      </c>
      <c r="E5">
        <f t="shared" si="0"/>
        <v>0</v>
      </c>
    </row>
    <row r="6" spans="1:5" hidden="1" x14ac:dyDescent="0.3">
      <c r="A6" t="s">
        <v>46</v>
      </c>
      <c r="B6" t="s">
        <v>29</v>
      </c>
      <c r="C6">
        <v>0</v>
      </c>
      <c r="E6">
        <f t="shared" si="0"/>
        <v>0</v>
      </c>
    </row>
    <row r="7" spans="1:5" x14ac:dyDescent="0.3">
      <c r="A7" t="s">
        <v>48</v>
      </c>
      <c r="B7" t="s">
        <v>3</v>
      </c>
      <c r="C7">
        <v>19</v>
      </c>
      <c r="D7">
        <v>8000</v>
      </c>
      <c r="E7" s="17">
        <f t="shared" si="0"/>
        <v>152000</v>
      </c>
    </row>
    <row r="8" spans="1:5" hidden="1" x14ac:dyDescent="0.3">
      <c r="A8" t="s">
        <v>48</v>
      </c>
      <c r="B8" t="s">
        <v>34</v>
      </c>
      <c r="C8">
        <v>0</v>
      </c>
      <c r="E8">
        <f t="shared" si="0"/>
        <v>0</v>
      </c>
    </row>
    <row r="9" spans="1:5" x14ac:dyDescent="0.3">
      <c r="A9" t="s">
        <v>50</v>
      </c>
      <c r="B9" t="s">
        <v>3</v>
      </c>
      <c r="C9">
        <v>480</v>
      </c>
      <c r="D9">
        <v>6000</v>
      </c>
      <c r="E9" s="17">
        <f t="shared" si="0"/>
        <v>2880000</v>
      </c>
    </row>
    <row r="10" spans="1:5" hidden="1" x14ac:dyDescent="0.3">
      <c r="A10" t="s">
        <v>50</v>
      </c>
      <c r="B10" t="s">
        <v>51</v>
      </c>
      <c r="C10">
        <v>0</v>
      </c>
      <c r="E10">
        <f t="shared" si="0"/>
        <v>0</v>
      </c>
    </row>
    <row r="11" spans="1:5" x14ac:dyDescent="0.3">
      <c r="A11" t="s">
        <v>52</v>
      </c>
      <c r="B11" t="s">
        <v>34</v>
      </c>
      <c r="C11">
        <v>30</v>
      </c>
      <c r="D11">
        <v>1800</v>
      </c>
      <c r="E11" s="17">
        <f t="shared" si="0"/>
        <v>54000</v>
      </c>
    </row>
    <row r="12" spans="1:5" x14ac:dyDescent="0.3">
      <c r="A12" t="s">
        <v>54</v>
      </c>
      <c r="B12" t="s">
        <v>3</v>
      </c>
      <c r="C12">
        <v>180</v>
      </c>
      <c r="D12">
        <v>26000</v>
      </c>
      <c r="E12" s="17">
        <f t="shared" si="0"/>
        <v>4680000</v>
      </c>
    </row>
    <row r="13" spans="1:5" hidden="1" x14ac:dyDescent="0.3">
      <c r="A13" t="s">
        <v>54</v>
      </c>
      <c r="B13" t="s">
        <v>34</v>
      </c>
      <c r="C13">
        <v>0</v>
      </c>
      <c r="E13">
        <f t="shared" si="0"/>
        <v>0</v>
      </c>
    </row>
    <row r="14" spans="1:5" x14ac:dyDescent="0.3">
      <c r="A14" t="s">
        <v>55</v>
      </c>
      <c r="B14" t="s">
        <v>3</v>
      </c>
      <c r="C14">
        <v>100</v>
      </c>
      <c r="D14">
        <v>16000</v>
      </c>
      <c r="E14" s="17">
        <f t="shared" si="0"/>
        <v>1600000</v>
      </c>
    </row>
    <row r="15" spans="1:5" x14ac:dyDescent="0.3">
      <c r="A15" t="s">
        <v>59</v>
      </c>
      <c r="B15" t="s">
        <v>3</v>
      </c>
      <c r="C15">
        <v>940</v>
      </c>
      <c r="D15">
        <v>14000</v>
      </c>
      <c r="E15" s="17">
        <f t="shared" si="0"/>
        <v>13160000</v>
      </c>
    </row>
    <row r="16" spans="1:5" hidden="1" x14ac:dyDescent="0.3">
      <c r="A16" t="s">
        <v>59</v>
      </c>
      <c r="B16" t="s">
        <v>34</v>
      </c>
      <c r="C16">
        <v>0</v>
      </c>
      <c r="E16">
        <f t="shared" si="0"/>
        <v>0</v>
      </c>
    </row>
    <row r="17" spans="1:5" hidden="1" x14ac:dyDescent="0.3">
      <c r="A17" t="s">
        <v>16</v>
      </c>
      <c r="B17" t="s">
        <v>17</v>
      </c>
      <c r="C17">
        <v>0</v>
      </c>
      <c r="E17">
        <f t="shared" si="0"/>
        <v>0</v>
      </c>
    </row>
    <row r="18" spans="1:5" x14ac:dyDescent="0.3">
      <c r="A18" t="s">
        <v>5</v>
      </c>
      <c r="B18" t="s">
        <v>3</v>
      </c>
      <c r="C18">
        <v>606</v>
      </c>
      <c r="D18">
        <v>4000</v>
      </c>
      <c r="E18" s="17">
        <f t="shared" si="0"/>
        <v>2424000</v>
      </c>
    </row>
    <row r="19" spans="1:5" hidden="1" x14ac:dyDescent="0.3">
      <c r="A19" t="s">
        <v>39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39</v>
      </c>
      <c r="B20" t="s">
        <v>34</v>
      </c>
      <c r="C20">
        <v>0</v>
      </c>
      <c r="E20">
        <f t="shared" si="0"/>
        <v>0</v>
      </c>
    </row>
    <row r="21" spans="1:5" x14ac:dyDescent="0.3">
      <c r="A21" t="s">
        <v>41</v>
      </c>
      <c r="B21" t="s">
        <v>34</v>
      </c>
      <c r="C21">
        <v>11</v>
      </c>
      <c r="D21">
        <v>3000</v>
      </c>
      <c r="E21" s="17">
        <f t="shared" si="0"/>
        <v>33000</v>
      </c>
    </row>
    <row r="22" spans="1:5" x14ac:dyDescent="0.3">
      <c r="A22" t="s">
        <v>42</v>
      </c>
      <c r="B22" t="s">
        <v>3</v>
      </c>
      <c r="C22">
        <v>270</v>
      </c>
      <c r="D22">
        <v>3000</v>
      </c>
      <c r="E22" s="17">
        <f t="shared" si="0"/>
        <v>810000</v>
      </c>
    </row>
    <row r="23" spans="1:5" x14ac:dyDescent="0.3">
      <c r="A23" t="s">
        <v>45</v>
      </c>
      <c r="B23" t="s">
        <v>3</v>
      </c>
      <c r="C23">
        <v>20</v>
      </c>
      <c r="D23">
        <v>9000</v>
      </c>
      <c r="E23" s="17">
        <f t="shared" si="0"/>
        <v>180000</v>
      </c>
    </row>
    <row r="24" spans="1:5" hidden="1" x14ac:dyDescent="0.3">
      <c r="A24" t="s">
        <v>45</v>
      </c>
      <c r="B24" t="s">
        <v>19</v>
      </c>
      <c r="C24">
        <v>0</v>
      </c>
      <c r="E24">
        <f t="shared" si="0"/>
        <v>0</v>
      </c>
    </row>
    <row r="25" spans="1:5" x14ac:dyDescent="0.3">
      <c r="A25" t="s">
        <v>7</v>
      </c>
      <c r="B25" t="s">
        <v>3</v>
      </c>
      <c r="C25">
        <v>1856</v>
      </c>
      <c r="D25">
        <v>9500</v>
      </c>
      <c r="E25" s="17">
        <f t="shared" si="0"/>
        <v>17632000</v>
      </c>
    </row>
    <row r="26" spans="1:5" x14ac:dyDescent="0.3">
      <c r="A26" t="s">
        <v>11</v>
      </c>
      <c r="B26" t="s">
        <v>3</v>
      </c>
      <c r="C26">
        <v>205</v>
      </c>
      <c r="D26">
        <v>9000</v>
      </c>
      <c r="E26" s="17">
        <f t="shared" si="0"/>
        <v>1845000</v>
      </c>
    </row>
    <row r="27" spans="1:5" hidden="1" x14ac:dyDescent="0.3">
      <c r="A27" t="s">
        <v>11</v>
      </c>
      <c r="B27" t="s">
        <v>9</v>
      </c>
      <c r="C27">
        <v>0</v>
      </c>
      <c r="E27">
        <f t="shared" si="0"/>
        <v>0</v>
      </c>
    </row>
    <row r="28" spans="1:5" x14ac:dyDescent="0.3">
      <c r="A28" t="s">
        <v>8</v>
      </c>
      <c r="B28" t="s">
        <v>3</v>
      </c>
      <c r="C28">
        <v>36</v>
      </c>
      <c r="D28">
        <v>15000</v>
      </c>
      <c r="E28" s="17">
        <f t="shared" si="0"/>
        <v>540000</v>
      </c>
    </row>
    <row r="29" spans="1:5" hidden="1" x14ac:dyDescent="0.3">
      <c r="A29" t="s">
        <v>8</v>
      </c>
      <c r="B29" t="s">
        <v>9</v>
      </c>
      <c r="C29">
        <v>0</v>
      </c>
      <c r="E29">
        <f t="shared" si="0"/>
        <v>0</v>
      </c>
    </row>
    <row r="30" spans="1:5" x14ac:dyDescent="0.3">
      <c r="A30" t="s">
        <v>22</v>
      </c>
      <c r="B30" t="s">
        <v>3</v>
      </c>
      <c r="C30">
        <v>250</v>
      </c>
      <c r="D30">
        <v>16000</v>
      </c>
      <c r="E30" s="17">
        <f t="shared" si="0"/>
        <v>4000000</v>
      </c>
    </row>
    <row r="31" spans="1:5" hidden="1" x14ac:dyDescent="0.3">
      <c r="A31" t="s">
        <v>22</v>
      </c>
      <c r="B31" t="s">
        <v>17</v>
      </c>
      <c r="C31">
        <v>0</v>
      </c>
      <c r="E31">
        <f t="shared" si="0"/>
        <v>0</v>
      </c>
    </row>
    <row r="32" spans="1:5" hidden="1" x14ac:dyDescent="0.3">
      <c r="A32" t="s">
        <v>22</v>
      </c>
      <c r="B32" t="s">
        <v>23</v>
      </c>
      <c r="C32">
        <v>0</v>
      </c>
      <c r="E32">
        <f t="shared" si="0"/>
        <v>0</v>
      </c>
    </row>
    <row r="33" spans="1:5" x14ac:dyDescent="0.3">
      <c r="A33" t="s">
        <v>32</v>
      </c>
      <c r="B33" t="s">
        <v>3</v>
      </c>
      <c r="C33">
        <v>320</v>
      </c>
      <c r="D33">
        <v>13000</v>
      </c>
      <c r="E33" s="17">
        <f t="shared" si="0"/>
        <v>4160000</v>
      </c>
    </row>
    <row r="34" spans="1:5" hidden="1" x14ac:dyDescent="0.3">
      <c r="A34" t="s">
        <v>32</v>
      </c>
      <c r="B34" t="s">
        <v>17</v>
      </c>
      <c r="C34">
        <v>0</v>
      </c>
      <c r="E34">
        <f t="shared" si="0"/>
        <v>0</v>
      </c>
    </row>
    <row r="35" spans="1:5" x14ac:dyDescent="0.3">
      <c r="A35" t="s">
        <v>33</v>
      </c>
      <c r="B35" t="s">
        <v>34</v>
      </c>
      <c r="C35">
        <v>125</v>
      </c>
      <c r="D35">
        <v>9000</v>
      </c>
      <c r="E35" s="17">
        <f t="shared" si="0"/>
        <v>1125000</v>
      </c>
    </row>
    <row r="36" spans="1:5" x14ac:dyDescent="0.3">
      <c r="A36" t="s">
        <v>64</v>
      </c>
      <c r="B36" t="s">
        <v>3</v>
      </c>
      <c r="C36">
        <v>1263</v>
      </c>
      <c r="D36">
        <v>6700</v>
      </c>
      <c r="E36" s="17">
        <f t="shared" si="0"/>
        <v>8462100</v>
      </c>
    </row>
    <row r="37" spans="1:5" hidden="1" x14ac:dyDescent="0.3">
      <c r="A37" t="s">
        <v>64</v>
      </c>
      <c r="B37" t="s">
        <v>17</v>
      </c>
      <c r="C37">
        <v>0</v>
      </c>
      <c r="E37">
        <f t="shared" si="0"/>
        <v>0</v>
      </c>
    </row>
    <row r="38" spans="1:5" x14ac:dyDescent="0.3">
      <c r="A38" t="s">
        <v>66</v>
      </c>
      <c r="B38" t="s">
        <v>3</v>
      </c>
      <c r="C38">
        <v>19</v>
      </c>
      <c r="D38">
        <v>13000</v>
      </c>
      <c r="E38" s="17">
        <f t="shared" si="0"/>
        <v>247000</v>
      </c>
    </row>
    <row r="39" spans="1:5" x14ac:dyDescent="0.3">
      <c r="A39" t="s">
        <v>81</v>
      </c>
      <c r="B39" t="s">
        <v>3</v>
      </c>
      <c r="C39">
        <v>100</v>
      </c>
      <c r="D39">
        <v>22000</v>
      </c>
      <c r="E39" s="17">
        <f t="shared" si="0"/>
        <v>2200000</v>
      </c>
    </row>
    <row r="40" spans="1:5" hidden="1" x14ac:dyDescent="0.3">
      <c r="A40" t="s">
        <v>81</v>
      </c>
      <c r="B40" t="s">
        <v>9</v>
      </c>
      <c r="C40">
        <v>0</v>
      </c>
      <c r="E40">
        <f t="shared" si="0"/>
        <v>0</v>
      </c>
    </row>
    <row r="41" spans="1:5" x14ac:dyDescent="0.3">
      <c r="A41" t="s">
        <v>82</v>
      </c>
      <c r="B41" t="s">
        <v>3</v>
      </c>
      <c r="C41">
        <v>105</v>
      </c>
      <c r="D41">
        <v>20000</v>
      </c>
      <c r="E41" s="17">
        <f t="shared" si="0"/>
        <v>2100000</v>
      </c>
    </row>
    <row r="42" spans="1:5" hidden="1" x14ac:dyDescent="0.3">
      <c r="A42" t="s">
        <v>82</v>
      </c>
      <c r="B42" t="s">
        <v>9</v>
      </c>
      <c r="C42">
        <v>0</v>
      </c>
      <c r="E42">
        <f t="shared" si="0"/>
        <v>0</v>
      </c>
    </row>
    <row r="43" spans="1:5" x14ac:dyDescent="0.3">
      <c r="A43" t="s">
        <v>83</v>
      </c>
      <c r="B43" t="s">
        <v>3</v>
      </c>
      <c r="C43">
        <v>90</v>
      </c>
      <c r="D43">
        <v>28000</v>
      </c>
      <c r="E43" s="17">
        <f t="shared" si="0"/>
        <v>2520000</v>
      </c>
    </row>
    <row r="44" spans="1:5" hidden="1" x14ac:dyDescent="0.3">
      <c r="A44" t="s">
        <v>83</v>
      </c>
      <c r="B44" t="s">
        <v>9</v>
      </c>
      <c r="C44">
        <v>0</v>
      </c>
      <c r="E44">
        <f t="shared" si="0"/>
        <v>0</v>
      </c>
    </row>
    <row r="45" spans="1:5" hidden="1" x14ac:dyDescent="0.3">
      <c r="A45" t="s">
        <v>21</v>
      </c>
      <c r="B45" t="s">
        <v>3</v>
      </c>
      <c r="C45">
        <v>0</v>
      </c>
      <c r="E45">
        <f t="shared" si="0"/>
        <v>0</v>
      </c>
    </row>
    <row r="46" spans="1:5" hidden="1" x14ac:dyDescent="0.3">
      <c r="A46" t="s">
        <v>79</v>
      </c>
      <c r="B46" t="s">
        <v>17</v>
      </c>
      <c r="C46">
        <v>0</v>
      </c>
      <c r="E46">
        <f t="shared" si="0"/>
        <v>0</v>
      </c>
    </row>
    <row r="47" spans="1:5" x14ac:dyDescent="0.3">
      <c r="A47" t="s">
        <v>53</v>
      </c>
      <c r="B47" t="s">
        <v>3</v>
      </c>
      <c r="C47">
        <v>980</v>
      </c>
      <c r="D47">
        <v>26000</v>
      </c>
      <c r="E47" s="17">
        <f t="shared" si="0"/>
        <v>25480000</v>
      </c>
    </row>
    <row r="48" spans="1:5" x14ac:dyDescent="0.3">
      <c r="A48" t="s">
        <v>26</v>
      </c>
      <c r="B48" t="s">
        <v>3</v>
      </c>
      <c r="C48">
        <v>17</v>
      </c>
      <c r="D48">
        <v>18000</v>
      </c>
      <c r="E48" s="17">
        <f t="shared" si="0"/>
        <v>306000</v>
      </c>
    </row>
    <row r="49" spans="1:5" x14ac:dyDescent="0.3">
      <c r="A49" t="s">
        <v>26</v>
      </c>
      <c r="B49" t="s">
        <v>27</v>
      </c>
      <c r="C49">
        <v>65</v>
      </c>
      <c r="D49">
        <v>5400</v>
      </c>
      <c r="E49" s="17">
        <f t="shared" si="0"/>
        <v>351000</v>
      </c>
    </row>
    <row r="50" spans="1:5" hidden="1" x14ac:dyDescent="0.3">
      <c r="A50" t="s">
        <v>57</v>
      </c>
      <c r="B50" t="s">
        <v>3</v>
      </c>
      <c r="C50">
        <v>0</v>
      </c>
      <c r="E50">
        <f t="shared" si="0"/>
        <v>0</v>
      </c>
    </row>
    <row r="51" spans="1:5" hidden="1" x14ac:dyDescent="0.3">
      <c r="A51" t="s">
        <v>73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2</v>
      </c>
      <c r="B52" t="s">
        <v>3</v>
      </c>
      <c r="C52">
        <v>12</v>
      </c>
      <c r="D52">
        <v>18000</v>
      </c>
      <c r="E52" s="17">
        <f t="shared" si="0"/>
        <v>216000</v>
      </c>
    </row>
    <row r="53" spans="1:5" x14ac:dyDescent="0.3">
      <c r="A53" t="s">
        <v>4</v>
      </c>
      <c r="B53" t="s">
        <v>3</v>
      </c>
      <c r="C53">
        <v>534</v>
      </c>
      <c r="D53">
        <v>4000</v>
      </c>
      <c r="E53" s="17">
        <f t="shared" si="0"/>
        <v>2136000</v>
      </c>
    </row>
    <row r="54" spans="1:5" x14ac:dyDescent="0.3">
      <c r="A54" t="s">
        <v>12</v>
      </c>
      <c r="B54" t="s">
        <v>3</v>
      </c>
      <c r="C54">
        <v>6</v>
      </c>
      <c r="D54">
        <v>12000</v>
      </c>
      <c r="E54" s="17">
        <f t="shared" si="0"/>
        <v>72000</v>
      </c>
    </row>
    <row r="55" spans="1:5" hidden="1" x14ac:dyDescent="0.3">
      <c r="A55" t="s">
        <v>13</v>
      </c>
      <c r="B55" t="s">
        <v>3</v>
      </c>
      <c r="C55">
        <v>0</v>
      </c>
      <c r="E55">
        <f t="shared" si="0"/>
        <v>0</v>
      </c>
    </row>
    <row r="56" spans="1:5" x14ac:dyDescent="0.3">
      <c r="A56" t="s">
        <v>24</v>
      </c>
      <c r="B56" t="s">
        <v>3</v>
      </c>
      <c r="C56">
        <v>38</v>
      </c>
      <c r="D56">
        <v>14000</v>
      </c>
      <c r="E56" s="17">
        <f t="shared" si="0"/>
        <v>532000</v>
      </c>
    </row>
    <row r="57" spans="1:5" hidden="1" x14ac:dyDescent="0.3">
      <c r="A57" t="s">
        <v>24</v>
      </c>
      <c r="B57" t="s">
        <v>25</v>
      </c>
      <c r="C57">
        <v>0</v>
      </c>
      <c r="E57">
        <f t="shared" si="0"/>
        <v>0</v>
      </c>
    </row>
    <row r="58" spans="1:5" x14ac:dyDescent="0.3">
      <c r="A58" t="s">
        <v>28</v>
      </c>
      <c r="B58" t="s">
        <v>29</v>
      </c>
      <c r="C58">
        <v>68</v>
      </c>
      <c r="D58">
        <v>12000</v>
      </c>
      <c r="E58" s="17">
        <f t="shared" si="0"/>
        <v>816000</v>
      </c>
    </row>
    <row r="59" spans="1:5" hidden="1" x14ac:dyDescent="0.3">
      <c r="A59" t="s">
        <v>30</v>
      </c>
      <c r="B59" t="s">
        <v>3</v>
      </c>
      <c r="C59">
        <v>0</v>
      </c>
      <c r="E59">
        <f t="shared" si="0"/>
        <v>0</v>
      </c>
    </row>
    <row r="60" spans="1:5" x14ac:dyDescent="0.3">
      <c r="A60" t="s">
        <v>30</v>
      </c>
      <c r="B60" t="s">
        <v>31</v>
      </c>
      <c r="C60">
        <v>40</v>
      </c>
      <c r="D60">
        <v>7500</v>
      </c>
      <c r="E60" s="17">
        <f t="shared" si="0"/>
        <v>300000</v>
      </c>
    </row>
    <row r="61" spans="1:5" x14ac:dyDescent="0.3">
      <c r="A61" t="s">
        <v>37</v>
      </c>
      <c r="B61" t="s">
        <v>3</v>
      </c>
      <c r="C61">
        <v>35</v>
      </c>
      <c r="D61">
        <v>8000</v>
      </c>
      <c r="E61" s="17">
        <f t="shared" si="0"/>
        <v>280000</v>
      </c>
    </row>
    <row r="62" spans="1:5" hidden="1" x14ac:dyDescent="0.3">
      <c r="A62" t="s">
        <v>37</v>
      </c>
      <c r="B62" t="s">
        <v>38</v>
      </c>
      <c r="C62">
        <v>0</v>
      </c>
      <c r="E62">
        <f t="shared" si="0"/>
        <v>0</v>
      </c>
    </row>
    <row r="63" spans="1:5" hidden="1" x14ac:dyDescent="0.3">
      <c r="A63" t="s">
        <v>40</v>
      </c>
      <c r="B63" t="s">
        <v>34</v>
      </c>
      <c r="C63">
        <v>0</v>
      </c>
      <c r="E63">
        <f t="shared" si="0"/>
        <v>0</v>
      </c>
    </row>
    <row r="64" spans="1:5" x14ac:dyDescent="0.3">
      <c r="A64" t="s">
        <v>56</v>
      </c>
      <c r="B64" t="s">
        <v>3</v>
      </c>
      <c r="C64">
        <v>38</v>
      </c>
      <c r="D64">
        <v>25000</v>
      </c>
      <c r="E64" s="17">
        <f t="shared" si="0"/>
        <v>950000</v>
      </c>
    </row>
    <row r="65" spans="1:5" hidden="1" x14ac:dyDescent="0.3">
      <c r="A65" t="s">
        <v>63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47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49</v>
      </c>
      <c r="B67" t="s">
        <v>3</v>
      </c>
      <c r="C67">
        <v>11</v>
      </c>
      <c r="D67">
        <v>19000</v>
      </c>
      <c r="E67" s="17">
        <f t="shared" si="0"/>
        <v>209000</v>
      </c>
    </row>
    <row r="68" spans="1:5" x14ac:dyDescent="0.3">
      <c r="A68" t="s">
        <v>61</v>
      </c>
      <c r="B68" t="s">
        <v>3</v>
      </c>
      <c r="C68">
        <v>5</v>
      </c>
      <c r="D68">
        <v>10000</v>
      </c>
      <c r="E68" s="17">
        <f t="shared" ref="E68:E114" si="1">C68*D68</f>
        <v>50000</v>
      </c>
    </row>
    <row r="69" spans="1:5" x14ac:dyDescent="0.3">
      <c r="A69" t="s">
        <v>67</v>
      </c>
      <c r="B69" t="s">
        <v>34</v>
      </c>
      <c r="C69">
        <v>9</v>
      </c>
      <c r="D69">
        <v>6000</v>
      </c>
      <c r="E69" s="17">
        <f t="shared" si="1"/>
        <v>54000</v>
      </c>
    </row>
    <row r="70" spans="1:5" hidden="1" x14ac:dyDescent="0.3">
      <c r="A70" t="s">
        <v>68</v>
      </c>
      <c r="B70" t="s">
        <v>3</v>
      </c>
      <c r="C70">
        <v>0</v>
      </c>
      <c r="E70">
        <f t="shared" si="1"/>
        <v>0</v>
      </c>
    </row>
    <row r="71" spans="1:5" x14ac:dyDescent="0.3">
      <c r="A71" t="s">
        <v>68</v>
      </c>
      <c r="B71" t="s">
        <v>34</v>
      </c>
      <c r="C71">
        <v>28</v>
      </c>
      <c r="D71">
        <v>6500</v>
      </c>
      <c r="E71" s="17">
        <f t="shared" si="1"/>
        <v>182000</v>
      </c>
    </row>
    <row r="72" spans="1:5" hidden="1" x14ac:dyDescent="0.3">
      <c r="A72" t="s">
        <v>69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70</v>
      </c>
      <c r="B73" t="s">
        <v>3</v>
      </c>
      <c r="C73">
        <v>0</v>
      </c>
      <c r="E73">
        <f t="shared" si="1"/>
        <v>0</v>
      </c>
    </row>
    <row r="74" spans="1:5" hidden="1" x14ac:dyDescent="0.3">
      <c r="A74" t="s">
        <v>71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72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72</v>
      </c>
      <c r="B76" t="s">
        <v>19</v>
      </c>
      <c r="C76">
        <v>0</v>
      </c>
      <c r="E76">
        <f t="shared" si="1"/>
        <v>0</v>
      </c>
    </row>
    <row r="77" spans="1:5" x14ac:dyDescent="0.3">
      <c r="A77" t="s">
        <v>89</v>
      </c>
      <c r="B77" t="s">
        <v>3</v>
      </c>
      <c r="C77">
        <v>11</v>
      </c>
      <c r="D77">
        <v>18000</v>
      </c>
      <c r="E77" s="17">
        <f t="shared" si="1"/>
        <v>198000</v>
      </c>
    </row>
    <row r="78" spans="1:5" hidden="1" x14ac:dyDescent="0.3">
      <c r="A78" t="s">
        <v>74</v>
      </c>
      <c r="B78" t="s">
        <v>34</v>
      </c>
      <c r="C78">
        <v>0</v>
      </c>
      <c r="E78">
        <f t="shared" si="1"/>
        <v>0</v>
      </c>
    </row>
    <row r="79" spans="1:5" x14ac:dyDescent="0.3">
      <c r="A79" t="s">
        <v>75</v>
      </c>
      <c r="B79" t="s">
        <v>3</v>
      </c>
      <c r="C79">
        <v>1</v>
      </c>
      <c r="D79">
        <v>14000</v>
      </c>
      <c r="E79" s="17">
        <f t="shared" si="1"/>
        <v>14000</v>
      </c>
    </row>
    <row r="80" spans="1:5" hidden="1" x14ac:dyDescent="0.3">
      <c r="A80" t="s">
        <v>80</v>
      </c>
      <c r="B80" t="s">
        <v>29</v>
      </c>
      <c r="C80">
        <v>0</v>
      </c>
      <c r="E80">
        <f t="shared" si="1"/>
        <v>0</v>
      </c>
    </row>
    <row r="81" spans="1:5" x14ac:dyDescent="0.3">
      <c r="A81" t="s">
        <v>80</v>
      </c>
      <c r="B81" t="s">
        <v>3</v>
      </c>
      <c r="C81">
        <v>12</v>
      </c>
      <c r="D81">
        <v>35000</v>
      </c>
      <c r="E81" s="17">
        <f t="shared" si="1"/>
        <v>420000</v>
      </c>
    </row>
    <row r="82" spans="1:5" x14ac:dyDescent="0.3">
      <c r="A82" t="s">
        <v>84</v>
      </c>
      <c r="B82" t="s">
        <v>34</v>
      </c>
      <c r="C82">
        <v>59</v>
      </c>
      <c r="D82">
        <v>17000</v>
      </c>
      <c r="E82" s="17">
        <f t="shared" si="1"/>
        <v>1003000</v>
      </c>
    </row>
    <row r="83" spans="1:5" x14ac:dyDescent="0.3">
      <c r="A83" t="s">
        <v>90</v>
      </c>
      <c r="B83" t="s">
        <v>3</v>
      </c>
      <c r="C83">
        <v>25</v>
      </c>
      <c r="D83">
        <v>7000</v>
      </c>
      <c r="E83" s="17">
        <f t="shared" si="1"/>
        <v>175000</v>
      </c>
    </row>
    <row r="84" spans="1:5" x14ac:dyDescent="0.3">
      <c r="A84" t="s">
        <v>86</v>
      </c>
      <c r="B84" t="s">
        <v>9</v>
      </c>
      <c r="C84">
        <v>703</v>
      </c>
      <c r="D84">
        <v>9000</v>
      </c>
      <c r="E84" s="17">
        <f t="shared" si="1"/>
        <v>6327000</v>
      </c>
    </row>
    <row r="85" spans="1:5" hidden="1" x14ac:dyDescent="0.3">
      <c r="A85" t="s">
        <v>88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94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96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97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98</v>
      </c>
      <c r="B89" t="s">
        <v>19</v>
      </c>
      <c r="C89">
        <v>0</v>
      </c>
      <c r="E89">
        <f t="shared" si="1"/>
        <v>0</v>
      </c>
    </row>
    <row r="90" spans="1:5" x14ac:dyDescent="0.3">
      <c r="A90" t="s">
        <v>18</v>
      </c>
      <c r="B90" t="s">
        <v>19</v>
      </c>
      <c r="C90">
        <v>360</v>
      </c>
      <c r="D90">
        <v>5000</v>
      </c>
      <c r="E90" s="17">
        <f t="shared" si="1"/>
        <v>1800000</v>
      </c>
    </row>
    <row r="91" spans="1:5" hidden="1" x14ac:dyDescent="0.3">
      <c r="A91" t="s">
        <v>62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20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43</v>
      </c>
      <c r="B93" t="s">
        <v>3</v>
      </c>
      <c r="C93">
        <v>0</v>
      </c>
      <c r="E93">
        <f t="shared" si="1"/>
        <v>0</v>
      </c>
    </row>
    <row r="94" spans="1:5" hidden="1" x14ac:dyDescent="0.3">
      <c r="A94" t="s">
        <v>95</v>
      </c>
      <c r="B94" t="s">
        <v>19</v>
      </c>
      <c r="C94">
        <v>0</v>
      </c>
      <c r="E94">
        <f t="shared" si="1"/>
        <v>0</v>
      </c>
    </row>
    <row r="95" spans="1:5" hidden="1" x14ac:dyDescent="0.3">
      <c r="A95" t="s">
        <v>93</v>
      </c>
      <c r="B95" t="s">
        <v>19</v>
      </c>
      <c r="C95">
        <v>0</v>
      </c>
      <c r="E95">
        <f t="shared" si="1"/>
        <v>0</v>
      </c>
    </row>
    <row r="96" spans="1:5" hidden="1" x14ac:dyDescent="0.3">
      <c r="A96" t="s">
        <v>103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10</v>
      </c>
      <c r="B97" t="s">
        <v>3</v>
      </c>
      <c r="C97">
        <v>0</v>
      </c>
      <c r="E97">
        <f t="shared" si="1"/>
        <v>0</v>
      </c>
    </row>
    <row r="98" spans="1:5" hidden="1" x14ac:dyDescent="0.3">
      <c r="A98" t="s">
        <v>15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6</v>
      </c>
      <c r="B99" t="s">
        <v>3</v>
      </c>
      <c r="C99">
        <v>0</v>
      </c>
      <c r="E99">
        <f t="shared" si="1"/>
        <v>0</v>
      </c>
    </row>
    <row r="100" spans="1:5" hidden="1" x14ac:dyDescent="0.3">
      <c r="A100" t="s">
        <v>85</v>
      </c>
      <c r="B100" t="s">
        <v>34</v>
      </c>
      <c r="C100">
        <v>0</v>
      </c>
      <c r="E100">
        <f t="shared" si="1"/>
        <v>0</v>
      </c>
    </row>
    <row r="101" spans="1:5" x14ac:dyDescent="0.3">
      <c r="A101" t="s">
        <v>60</v>
      </c>
      <c r="B101" t="s">
        <v>34</v>
      </c>
      <c r="C101">
        <v>100</v>
      </c>
      <c r="D101">
        <v>5000</v>
      </c>
      <c r="E101" s="17">
        <f t="shared" si="1"/>
        <v>500000</v>
      </c>
    </row>
    <row r="102" spans="1:5" hidden="1" x14ac:dyDescent="0.3">
      <c r="A102" t="s">
        <v>122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58</v>
      </c>
      <c r="B103" t="s">
        <v>34</v>
      </c>
      <c r="C103">
        <v>0</v>
      </c>
      <c r="E103">
        <f t="shared" si="1"/>
        <v>0</v>
      </c>
    </row>
    <row r="104" spans="1:5" hidden="1" x14ac:dyDescent="0.3">
      <c r="A104" t="s">
        <v>117</v>
      </c>
      <c r="B104" t="s">
        <v>34</v>
      </c>
      <c r="C104">
        <v>0</v>
      </c>
      <c r="E104">
        <f t="shared" si="1"/>
        <v>0</v>
      </c>
    </row>
    <row r="105" spans="1:5" x14ac:dyDescent="0.3">
      <c r="A105" t="s">
        <v>14</v>
      </c>
      <c r="B105" t="s">
        <v>3</v>
      </c>
      <c r="C105">
        <v>35</v>
      </c>
      <c r="D105">
        <v>12000</v>
      </c>
      <c r="E105" s="17">
        <f t="shared" si="1"/>
        <v>420000</v>
      </c>
    </row>
    <row r="106" spans="1:5" hidden="1" x14ac:dyDescent="0.3">
      <c r="A106" t="s">
        <v>92</v>
      </c>
      <c r="B106" t="s">
        <v>3</v>
      </c>
      <c r="C106">
        <v>0</v>
      </c>
      <c r="E106">
        <f t="shared" si="1"/>
        <v>0</v>
      </c>
    </row>
    <row r="107" spans="1:5" x14ac:dyDescent="0.3">
      <c r="A107" t="s">
        <v>91</v>
      </c>
      <c r="B107" t="s">
        <v>3</v>
      </c>
      <c r="C107">
        <v>45</v>
      </c>
      <c r="D107">
        <v>22000</v>
      </c>
      <c r="E107" s="17">
        <f t="shared" si="1"/>
        <v>990000</v>
      </c>
    </row>
    <row r="108" spans="1:5" hidden="1" x14ac:dyDescent="0.3">
      <c r="A108" t="s">
        <v>65</v>
      </c>
      <c r="B108" t="s">
        <v>3</v>
      </c>
      <c r="C108">
        <v>0</v>
      </c>
      <c r="E108">
        <f t="shared" si="1"/>
        <v>0</v>
      </c>
    </row>
    <row r="109" spans="1:5" x14ac:dyDescent="0.3">
      <c r="A109" t="s">
        <v>44</v>
      </c>
      <c r="B109" t="s">
        <v>3</v>
      </c>
      <c r="C109">
        <v>1760</v>
      </c>
      <c r="D109">
        <v>3000</v>
      </c>
      <c r="E109" s="17">
        <f t="shared" si="1"/>
        <v>5280000</v>
      </c>
    </row>
    <row r="110" spans="1:5" x14ac:dyDescent="0.3">
      <c r="A110" t="s">
        <v>104</v>
      </c>
      <c r="B110" t="s">
        <v>3</v>
      </c>
      <c r="C110">
        <v>5</v>
      </c>
      <c r="D110">
        <v>20000</v>
      </c>
      <c r="E110" s="17">
        <f t="shared" si="1"/>
        <v>100000</v>
      </c>
    </row>
    <row r="111" spans="1:5" x14ac:dyDescent="0.3">
      <c r="A111" t="s">
        <v>108</v>
      </c>
      <c r="B111" t="s">
        <v>3</v>
      </c>
      <c r="C111">
        <v>20</v>
      </c>
      <c r="D111">
        <v>17000</v>
      </c>
      <c r="E111" s="17">
        <f t="shared" si="1"/>
        <v>340000</v>
      </c>
    </row>
    <row r="112" spans="1:5" x14ac:dyDescent="0.3">
      <c r="A112" t="s">
        <v>109</v>
      </c>
      <c r="B112" t="s">
        <v>3</v>
      </c>
      <c r="C112">
        <v>5</v>
      </c>
      <c r="D112">
        <v>15000</v>
      </c>
      <c r="E112" s="17">
        <f t="shared" si="1"/>
        <v>75000</v>
      </c>
    </row>
    <row r="113" spans="1:5" x14ac:dyDescent="0.3">
      <c r="A113" t="s">
        <v>110</v>
      </c>
      <c r="B113" t="s">
        <v>3</v>
      </c>
      <c r="C113">
        <v>18</v>
      </c>
      <c r="D113">
        <v>23000</v>
      </c>
      <c r="E113" s="17">
        <f t="shared" si="1"/>
        <v>414000</v>
      </c>
    </row>
    <row r="114" spans="1:5" x14ac:dyDescent="0.3">
      <c r="A114" t="s">
        <v>87</v>
      </c>
      <c r="B114" t="s">
        <v>9</v>
      </c>
      <c r="C114">
        <v>353</v>
      </c>
      <c r="D114">
        <v>11361</v>
      </c>
      <c r="E114" s="17">
        <f t="shared" si="1"/>
        <v>4010433</v>
      </c>
    </row>
    <row r="115" spans="1:5" x14ac:dyDescent="0.3">
      <c r="E115" s="17">
        <f>SUM(E3:E114)</f>
        <v>125649533</v>
      </c>
    </row>
  </sheetData>
  <autoFilter ref="A2:E114" xr:uid="{00000000-0009-0000-0000-000006000000}">
    <filterColumn colId="2">
      <filters>
        <filter val="1"/>
        <filter val="100"/>
        <filter val="105"/>
        <filter val="11"/>
        <filter val="12"/>
        <filter val="125"/>
        <filter val="1263"/>
        <filter val="130"/>
        <filter val="17"/>
        <filter val="1760"/>
        <filter val="18"/>
        <filter val="180"/>
        <filter val="1856"/>
        <filter val="19"/>
        <filter val="20"/>
        <filter val="205"/>
        <filter val="25"/>
        <filter val="250"/>
        <filter val="270"/>
        <filter val="28"/>
        <filter val="30"/>
        <filter val="320"/>
        <filter val="35"/>
        <filter val="353"/>
        <filter val="36"/>
        <filter val="360"/>
        <filter val="38"/>
        <filter val="40"/>
        <filter val="45"/>
        <filter val="480"/>
        <filter val="5"/>
        <filter val="534"/>
        <filter val="59"/>
        <filter val="6"/>
        <filter val="606"/>
        <filter val="65"/>
        <filter val="68"/>
        <filter val="703"/>
        <filter val="9"/>
        <filter val="90"/>
        <filter val="940"/>
        <filter val="98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108"/>
  <sheetViews>
    <sheetView topLeftCell="A24" workbookViewId="0">
      <selection activeCell="H27" sqref="H27"/>
    </sheetView>
  </sheetViews>
  <sheetFormatPr defaultRowHeight="14.4" x14ac:dyDescent="0.3"/>
  <cols>
    <col min="1" max="1" width="28.33203125" customWidth="1"/>
    <col min="5" max="5" width="17.33203125" customWidth="1"/>
  </cols>
  <sheetData>
    <row r="1" spans="1:5" x14ac:dyDescent="0.3">
      <c r="A1" t="s">
        <v>129</v>
      </c>
    </row>
    <row r="2" spans="1:5" ht="34.200000000000003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25</v>
      </c>
      <c r="D3" s="2">
        <v>18000</v>
      </c>
      <c r="E3" s="7">
        <f>C3*D3</f>
        <v>450000</v>
      </c>
    </row>
    <row r="4" spans="1:5" ht="15.6" x14ac:dyDescent="0.3">
      <c r="A4" s="8" t="s">
        <v>4</v>
      </c>
      <c r="B4" s="8" t="s">
        <v>3</v>
      </c>
      <c r="C4" s="2">
        <v>380</v>
      </c>
      <c r="D4" s="2">
        <v>4000</v>
      </c>
      <c r="E4" s="7">
        <f t="shared" ref="E4:E67" si="0">C4*D4</f>
        <v>1520000</v>
      </c>
    </row>
    <row r="5" spans="1:5" ht="15.6" x14ac:dyDescent="0.3">
      <c r="A5" s="8" t="s">
        <v>5</v>
      </c>
      <c r="B5" s="8" t="s">
        <v>3</v>
      </c>
      <c r="C5" s="2">
        <v>950</v>
      </c>
      <c r="D5" s="2">
        <v>4000</v>
      </c>
      <c r="E5" s="7">
        <f t="shared" si="0"/>
        <v>3800000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x14ac:dyDescent="0.3">
      <c r="A7" s="8" t="s">
        <v>7</v>
      </c>
      <c r="B7" s="8" t="s">
        <v>3</v>
      </c>
      <c r="C7" s="2">
        <v>1561</v>
      </c>
      <c r="D7" s="2">
        <v>9500</v>
      </c>
      <c r="E7" s="7">
        <f t="shared" si="0"/>
        <v>14829500</v>
      </c>
    </row>
    <row r="8" spans="1:5" ht="15.6" x14ac:dyDescent="0.3">
      <c r="A8" s="8" t="s">
        <v>11</v>
      </c>
      <c r="B8" s="8" t="s">
        <v>3</v>
      </c>
      <c r="C8" s="2">
        <v>370</v>
      </c>
      <c r="D8" s="2">
        <v>9000</v>
      </c>
      <c r="E8" s="7">
        <f t="shared" si="0"/>
        <v>3330000</v>
      </c>
    </row>
    <row r="9" spans="1:5" ht="15.6" hidden="1" x14ac:dyDescent="0.3">
      <c r="A9" s="8" t="s">
        <v>11</v>
      </c>
      <c r="B9" s="8" t="s">
        <v>9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8</v>
      </c>
      <c r="B10" s="8" t="s">
        <v>3</v>
      </c>
      <c r="C10" s="2">
        <v>48</v>
      </c>
      <c r="D10" s="2">
        <v>15000</v>
      </c>
      <c r="E10" s="7">
        <f t="shared" si="0"/>
        <v>720000</v>
      </c>
    </row>
    <row r="11" spans="1:5" ht="15.6" hidden="1" x14ac:dyDescent="0.3">
      <c r="A11" s="8" t="s">
        <v>8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hidden="1" x14ac:dyDescent="0.3">
      <c r="A12" s="8" t="s">
        <v>122</v>
      </c>
      <c r="B12" s="8" t="s">
        <v>3</v>
      </c>
      <c r="C12" s="2">
        <v>0</v>
      </c>
      <c r="D12" s="2"/>
      <c r="E12" s="7">
        <f t="shared" si="0"/>
        <v>0</v>
      </c>
    </row>
    <row r="13" spans="1:5" ht="15.6" x14ac:dyDescent="0.3">
      <c r="A13" s="8" t="s">
        <v>12</v>
      </c>
      <c r="B13" s="8" t="s">
        <v>3</v>
      </c>
      <c r="C13" s="2">
        <v>15</v>
      </c>
      <c r="D13" s="2">
        <v>12000</v>
      </c>
      <c r="E13" s="7">
        <f t="shared" si="0"/>
        <v>180000</v>
      </c>
    </row>
    <row r="14" spans="1:5" ht="15.6" hidden="1" x14ac:dyDescent="0.3">
      <c r="A14" s="8" t="s">
        <v>14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x14ac:dyDescent="0.3">
      <c r="A15" s="8" t="s">
        <v>15</v>
      </c>
      <c r="B15" s="8" t="s">
        <v>3</v>
      </c>
      <c r="C15" s="2">
        <v>98</v>
      </c>
      <c r="D15" s="2">
        <v>20000</v>
      </c>
      <c r="E15" s="7">
        <f t="shared" si="0"/>
        <v>1960000</v>
      </c>
    </row>
    <row r="16" spans="1:5" ht="15.6" hidden="1" x14ac:dyDescent="0.3">
      <c r="A16" s="8" t="s">
        <v>16</v>
      </c>
      <c r="B16" s="8" t="s">
        <v>17</v>
      </c>
      <c r="C16" s="2">
        <v>0</v>
      </c>
      <c r="D16" s="2"/>
      <c r="E16" s="7">
        <f t="shared" si="0"/>
        <v>0</v>
      </c>
    </row>
    <row r="17" spans="1:5" ht="15.6" hidden="1" x14ac:dyDescent="0.3">
      <c r="A17" s="8" t="s">
        <v>20</v>
      </c>
      <c r="B17" s="8" t="s">
        <v>3</v>
      </c>
      <c r="C17" s="2">
        <v>0</v>
      </c>
      <c r="D17" s="2"/>
      <c r="E17" s="7">
        <f t="shared" si="0"/>
        <v>0</v>
      </c>
    </row>
    <row r="18" spans="1:5" ht="15.6" x14ac:dyDescent="0.3">
      <c r="A18" s="8" t="s">
        <v>22</v>
      </c>
      <c r="B18" s="8" t="s">
        <v>3</v>
      </c>
      <c r="C18" s="2">
        <v>340</v>
      </c>
      <c r="D18" s="2">
        <v>16000</v>
      </c>
      <c r="E18" s="7">
        <f t="shared" si="0"/>
        <v>5440000</v>
      </c>
    </row>
    <row r="19" spans="1:5" ht="15.6" hidden="1" x14ac:dyDescent="0.3">
      <c r="A19" s="8" t="s">
        <v>22</v>
      </c>
      <c r="B19" s="8" t="s">
        <v>23</v>
      </c>
      <c r="C19" s="2">
        <v>0</v>
      </c>
      <c r="D19" s="2"/>
      <c r="E19" s="7">
        <f t="shared" si="0"/>
        <v>0</v>
      </c>
    </row>
    <row r="20" spans="1:5" ht="15.6" x14ac:dyDescent="0.3">
      <c r="A20" s="8" t="s">
        <v>127</v>
      </c>
      <c r="B20" s="8" t="s">
        <v>25</v>
      </c>
      <c r="C20" s="2">
        <v>50</v>
      </c>
      <c r="D20" s="2">
        <v>8000</v>
      </c>
      <c r="E20" s="7">
        <f t="shared" si="0"/>
        <v>400000</v>
      </c>
    </row>
    <row r="21" spans="1:5" ht="15.6" x14ac:dyDescent="0.3">
      <c r="A21" s="8" t="s">
        <v>24</v>
      </c>
      <c r="B21" s="8" t="s">
        <v>3</v>
      </c>
      <c r="C21" s="2">
        <v>53</v>
      </c>
      <c r="D21" s="2">
        <v>14000</v>
      </c>
      <c r="E21" s="7">
        <f t="shared" si="0"/>
        <v>742000</v>
      </c>
    </row>
    <row r="22" spans="1:5" ht="15.6" hidden="1" x14ac:dyDescent="0.3">
      <c r="A22" s="8" t="s">
        <v>24</v>
      </c>
      <c r="B22" s="8" t="s">
        <v>25</v>
      </c>
      <c r="C22" s="2">
        <v>0</v>
      </c>
      <c r="D22" s="2"/>
      <c r="E22" s="7">
        <f t="shared" si="0"/>
        <v>0</v>
      </c>
    </row>
    <row r="23" spans="1:5" ht="15.6" x14ac:dyDescent="0.3">
      <c r="A23" s="8" t="s">
        <v>26</v>
      </c>
      <c r="B23" s="8" t="s">
        <v>3</v>
      </c>
      <c r="C23" s="2">
        <v>27</v>
      </c>
      <c r="D23" s="2">
        <v>18000</v>
      </c>
      <c r="E23" s="7">
        <f t="shared" si="0"/>
        <v>486000</v>
      </c>
    </row>
    <row r="24" spans="1:5" ht="15.6" x14ac:dyDescent="0.3">
      <c r="A24" s="8" t="s">
        <v>26</v>
      </c>
      <c r="B24" s="8" t="s">
        <v>27</v>
      </c>
      <c r="C24" s="2">
        <v>120</v>
      </c>
      <c r="D24" s="2">
        <v>5400</v>
      </c>
      <c r="E24" s="7">
        <f t="shared" si="0"/>
        <v>648000</v>
      </c>
    </row>
    <row r="25" spans="1:5" ht="15.6" x14ac:dyDescent="0.3">
      <c r="A25" s="8" t="s">
        <v>28</v>
      </c>
      <c r="B25" s="8" t="s">
        <v>29</v>
      </c>
      <c r="C25" s="2">
        <v>116</v>
      </c>
      <c r="D25" s="2">
        <v>12000</v>
      </c>
      <c r="E25" s="7">
        <f t="shared" si="0"/>
        <v>1392000</v>
      </c>
    </row>
    <row r="26" spans="1:5" ht="15.6" hidden="1" x14ac:dyDescent="0.3">
      <c r="A26" s="8" t="s">
        <v>30</v>
      </c>
      <c r="B26" s="8" t="s">
        <v>3</v>
      </c>
      <c r="C26" s="2">
        <v>0</v>
      </c>
      <c r="D26" s="2"/>
      <c r="E26" s="7">
        <f t="shared" si="0"/>
        <v>0</v>
      </c>
    </row>
    <row r="27" spans="1:5" ht="15.6" x14ac:dyDescent="0.3">
      <c r="A27" s="8" t="s">
        <v>30</v>
      </c>
      <c r="B27" s="8" t="s">
        <v>27</v>
      </c>
      <c r="C27" s="2">
        <v>175</v>
      </c>
      <c r="D27" s="2">
        <v>10000</v>
      </c>
      <c r="E27" s="7">
        <f t="shared" si="0"/>
        <v>1750000</v>
      </c>
    </row>
    <row r="28" spans="1:5" ht="15.6" x14ac:dyDescent="0.3">
      <c r="A28" s="8" t="s">
        <v>30</v>
      </c>
      <c r="B28" s="8" t="s">
        <v>31</v>
      </c>
      <c r="C28" s="2">
        <v>178</v>
      </c>
      <c r="D28" s="2">
        <v>7500</v>
      </c>
      <c r="E28" s="7">
        <f t="shared" si="0"/>
        <v>1335000</v>
      </c>
    </row>
    <row r="29" spans="1:5" ht="15.6" x14ac:dyDescent="0.3">
      <c r="A29" s="8" t="s">
        <v>32</v>
      </c>
      <c r="B29" s="8" t="s">
        <v>3</v>
      </c>
      <c r="C29" s="2">
        <v>540</v>
      </c>
      <c r="D29" s="2">
        <v>12000</v>
      </c>
      <c r="E29" s="7">
        <f t="shared" si="0"/>
        <v>6480000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2"/>
      <c r="E30" s="7">
        <f t="shared" si="0"/>
        <v>0</v>
      </c>
    </row>
    <row r="31" spans="1:5" ht="15.6" x14ac:dyDescent="0.3">
      <c r="A31" s="8" t="s">
        <v>33</v>
      </c>
      <c r="B31" s="8" t="s">
        <v>34</v>
      </c>
      <c r="C31" s="2">
        <v>240</v>
      </c>
      <c r="D31" s="2">
        <v>8000</v>
      </c>
      <c r="E31" s="7">
        <f t="shared" si="0"/>
        <v>1920000</v>
      </c>
    </row>
    <row r="32" spans="1:5" ht="15.6" x14ac:dyDescent="0.3">
      <c r="A32" s="8" t="s">
        <v>35</v>
      </c>
      <c r="B32" s="8" t="s">
        <v>3</v>
      </c>
      <c r="C32" s="2">
        <v>150</v>
      </c>
      <c r="D32" s="2">
        <v>6500</v>
      </c>
      <c r="E32" s="7">
        <f t="shared" si="0"/>
        <v>975000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2"/>
      <c r="E33" s="7">
        <f t="shared" si="0"/>
        <v>0</v>
      </c>
    </row>
    <row r="34" spans="1:5" ht="15.6" x14ac:dyDescent="0.3">
      <c r="A34" s="8" t="s">
        <v>36</v>
      </c>
      <c r="B34" s="8" t="s">
        <v>17</v>
      </c>
      <c r="C34" s="2">
        <v>9</v>
      </c>
      <c r="D34" s="2">
        <v>6000</v>
      </c>
      <c r="E34" s="7">
        <f t="shared" si="0"/>
        <v>54000</v>
      </c>
    </row>
    <row r="35" spans="1:5" ht="15.6" x14ac:dyDescent="0.3">
      <c r="A35" s="8" t="s">
        <v>37</v>
      </c>
      <c r="B35" s="8" t="s">
        <v>3</v>
      </c>
      <c r="C35" s="2">
        <v>50</v>
      </c>
      <c r="D35" s="2">
        <v>8000</v>
      </c>
      <c r="E35" s="7">
        <f t="shared" si="0"/>
        <v>400000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39</v>
      </c>
      <c r="B37" s="8" t="s">
        <v>3</v>
      </c>
      <c r="C37" s="2">
        <v>20</v>
      </c>
      <c r="D37" s="2">
        <v>15000</v>
      </c>
      <c r="E37" s="7">
        <f t="shared" si="0"/>
        <v>300000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41</v>
      </c>
      <c r="B39" s="8" t="s">
        <v>34</v>
      </c>
      <c r="C39" s="2">
        <v>25</v>
      </c>
      <c r="D39" s="2">
        <v>3000</v>
      </c>
      <c r="E39" s="7">
        <f t="shared" si="0"/>
        <v>75000</v>
      </c>
    </row>
    <row r="40" spans="1:5" ht="15.6" x14ac:dyDescent="0.3">
      <c r="A40" s="8" t="s">
        <v>42</v>
      </c>
      <c r="B40" s="8" t="s">
        <v>3</v>
      </c>
      <c r="C40" s="2">
        <v>710</v>
      </c>
      <c r="D40" s="2">
        <v>3000</v>
      </c>
      <c r="E40" s="7">
        <f t="shared" si="0"/>
        <v>2130000</v>
      </c>
    </row>
    <row r="41" spans="1:5" ht="15.6" hidden="1" x14ac:dyDescent="0.3">
      <c r="A41" s="8" t="s">
        <v>43</v>
      </c>
      <c r="B41" s="8" t="s">
        <v>3</v>
      </c>
      <c r="C41" s="2">
        <v>0</v>
      </c>
      <c r="D41" s="2"/>
      <c r="E41" s="7">
        <f t="shared" si="0"/>
        <v>0</v>
      </c>
    </row>
    <row r="42" spans="1:5" ht="15.6" x14ac:dyDescent="0.3">
      <c r="A42" s="8" t="s">
        <v>44</v>
      </c>
      <c r="B42" s="8" t="s">
        <v>3</v>
      </c>
      <c r="C42" s="2">
        <v>1870</v>
      </c>
      <c r="D42" s="2">
        <v>3000</v>
      </c>
      <c r="E42" s="7">
        <f t="shared" si="0"/>
        <v>5610000</v>
      </c>
    </row>
    <row r="43" spans="1:5" ht="15.6" x14ac:dyDescent="0.3">
      <c r="A43" s="8" t="s">
        <v>45</v>
      </c>
      <c r="B43" s="8" t="s">
        <v>3</v>
      </c>
      <c r="C43" s="2">
        <v>40</v>
      </c>
      <c r="D43" s="2">
        <v>9000</v>
      </c>
      <c r="E43" s="7">
        <f t="shared" si="0"/>
        <v>360000</v>
      </c>
    </row>
    <row r="44" spans="1:5" ht="15.6" hidden="1" x14ac:dyDescent="0.3">
      <c r="A44" s="8" t="s">
        <v>45</v>
      </c>
      <c r="B44" s="8" t="s">
        <v>19</v>
      </c>
      <c r="C44" s="2">
        <v>0</v>
      </c>
      <c r="D44" s="2"/>
      <c r="E44" s="7">
        <f t="shared" si="0"/>
        <v>0</v>
      </c>
    </row>
    <row r="45" spans="1:5" ht="15.6" hidden="1" x14ac:dyDescent="0.3">
      <c r="A45" s="8" t="s">
        <v>62</v>
      </c>
      <c r="B45" s="8" t="s">
        <v>3</v>
      </c>
      <c r="C45" s="2">
        <v>0</v>
      </c>
      <c r="D45" s="2"/>
      <c r="E45" s="7">
        <f t="shared" si="0"/>
        <v>0</v>
      </c>
    </row>
    <row r="46" spans="1:5" ht="15.6" x14ac:dyDescent="0.3">
      <c r="A46" s="8" t="s">
        <v>63</v>
      </c>
      <c r="B46" s="8" t="s">
        <v>3</v>
      </c>
      <c r="C46" s="2">
        <v>10</v>
      </c>
      <c r="D46" s="2">
        <v>14000</v>
      </c>
      <c r="E46" s="7">
        <f t="shared" si="0"/>
        <v>140000</v>
      </c>
    </row>
    <row r="47" spans="1:5" ht="15.6" hidden="1" x14ac:dyDescent="0.3">
      <c r="A47" s="8" t="s">
        <v>46</v>
      </c>
      <c r="B47" s="8" t="s">
        <v>29</v>
      </c>
      <c r="C47" s="2">
        <v>0</v>
      </c>
      <c r="D47" s="2"/>
      <c r="E47" s="7">
        <f t="shared" si="0"/>
        <v>0</v>
      </c>
    </row>
    <row r="48" spans="1:5" ht="15.6" x14ac:dyDescent="0.3">
      <c r="A48" s="8" t="s">
        <v>47</v>
      </c>
      <c r="B48" s="8" t="s">
        <v>3</v>
      </c>
      <c r="C48" s="2">
        <v>25</v>
      </c>
      <c r="D48" s="2">
        <v>5500</v>
      </c>
      <c r="E48" s="7">
        <f t="shared" si="0"/>
        <v>137500</v>
      </c>
    </row>
    <row r="49" spans="1:5" ht="15.6" x14ac:dyDescent="0.3">
      <c r="A49" s="8" t="s">
        <v>48</v>
      </c>
      <c r="B49" s="8" t="s">
        <v>3</v>
      </c>
      <c r="C49" s="2">
        <v>60</v>
      </c>
      <c r="D49" s="2">
        <v>8000</v>
      </c>
      <c r="E49" s="7">
        <f t="shared" si="0"/>
        <v>480000</v>
      </c>
    </row>
    <row r="50" spans="1:5" ht="15.6" hidden="1" x14ac:dyDescent="0.3">
      <c r="A50" s="8" t="s">
        <v>48</v>
      </c>
      <c r="B50" s="8" t="s">
        <v>34</v>
      </c>
      <c r="C50" s="2">
        <v>0</v>
      </c>
      <c r="D50" s="2"/>
      <c r="E50" s="7">
        <f t="shared" si="0"/>
        <v>0</v>
      </c>
    </row>
    <row r="51" spans="1:5" ht="15.6" x14ac:dyDescent="0.3">
      <c r="A51" s="8" t="s">
        <v>49</v>
      </c>
      <c r="B51" s="8" t="s">
        <v>3</v>
      </c>
      <c r="C51" s="2">
        <v>20</v>
      </c>
      <c r="D51" s="2">
        <v>19000</v>
      </c>
      <c r="E51" s="7">
        <f t="shared" si="0"/>
        <v>380000</v>
      </c>
    </row>
    <row r="52" spans="1:5" ht="15.6" x14ac:dyDescent="0.3">
      <c r="A52" s="8" t="s">
        <v>50</v>
      </c>
      <c r="B52" s="8" t="s">
        <v>3</v>
      </c>
      <c r="C52" s="2">
        <v>195</v>
      </c>
      <c r="D52" s="2">
        <v>6000</v>
      </c>
      <c r="E52" s="7">
        <f t="shared" si="0"/>
        <v>1170000</v>
      </c>
    </row>
    <row r="53" spans="1:5" ht="15.6" hidden="1" x14ac:dyDescent="0.3">
      <c r="A53" s="8" t="s">
        <v>50</v>
      </c>
      <c r="B53" s="8" t="s">
        <v>51</v>
      </c>
      <c r="C53" s="2">
        <v>0</v>
      </c>
      <c r="D53" s="2"/>
      <c r="E53" s="7">
        <f t="shared" si="0"/>
        <v>0</v>
      </c>
    </row>
    <row r="54" spans="1:5" ht="15.6" x14ac:dyDescent="0.3">
      <c r="A54" s="8" t="s">
        <v>104</v>
      </c>
      <c r="B54" s="8" t="s">
        <v>3</v>
      </c>
      <c r="C54" s="2">
        <v>5</v>
      </c>
      <c r="D54" s="2">
        <v>20000</v>
      </c>
      <c r="E54" s="7">
        <f t="shared" si="0"/>
        <v>100000</v>
      </c>
    </row>
    <row r="55" spans="1:5" ht="15.6" hidden="1" x14ac:dyDescent="0.3">
      <c r="A55" s="8" t="s">
        <v>52</v>
      </c>
      <c r="B55" s="8" t="s">
        <v>34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53</v>
      </c>
      <c r="B56" s="8" t="s">
        <v>3</v>
      </c>
      <c r="C56" s="2">
        <v>770</v>
      </c>
      <c r="D56" s="2">
        <v>26000</v>
      </c>
      <c r="E56" s="7">
        <f t="shared" si="0"/>
        <v>20020000</v>
      </c>
    </row>
    <row r="57" spans="1:5" ht="15.6" x14ac:dyDescent="0.3">
      <c r="A57" s="8" t="s">
        <v>54</v>
      </c>
      <c r="B57" s="8" t="s">
        <v>3</v>
      </c>
      <c r="C57" s="2">
        <v>300</v>
      </c>
      <c r="D57" s="2">
        <v>26000</v>
      </c>
      <c r="E57" s="7">
        <f t="shared" si="0"/>
        <v>7800000</v>
      </c>
    </row>
    <row r="58" spans="1:5" ht="15.6" x14ac:dyDescent="0.3">
      <c r="A58" s="8" t="s">
        <v>128</v>
      </c>
      <c r="B58" s="8" t="s">
        <v>3</v>
      </c>
      <c r="C58" s="2">
        <v>600</v>
      </c>
      <c r="D58" s="2">
        <v>21500</v>
      </c>
      <c r="E58" s="7">
        <f t="shared" si="0"/>
        <v>12900000</v>
      </c>
    </row>
    <row r="59" spans="1:5" ht="15.6" x14ac:dyDescent="0.3">
      <c r="A59" s="8" t="s">
        <v>55</v>
      </c>
      <c r="B59" s="8" t="s">
        <v>3</v>
      </c>
      <c r="C59" s="2">
        <v>260</v>
      </c>
      <c r="D59" s="2">
        <v>16000</v>
      </c>
      <c r="E59" s="7">
        <f t="shared" si="0"/>
        <v>4160000</v>
      </c>
    </row>
    <row r="60" spans="1:5" ht="15.6" x14ac:dyDescent="0.3">
      <c r="A60" s="8" t="s">
        <v>56</v>
      </c>
      <c r="B60" s="8" t="s">
        <v>3</v>
      </c>
      <c r="C60" s="2">
        <v>126</v>
      </c>
      <c r="D60" s="2">
        <v>25000</v>
      </c>
      <c r="E60" s="7">
        <f t="shared" si="0"/>
        <v>3150000</v>
      </c>
    </row>
    <row r="61" spans="1:5" ht="15.6" hidden="1" x14ac:dyDescent="0.3">
      <c r="A61" s="8" t="s">
        <v>58</v>
      </c>
      <c r="B61" s="8" t="s">
        <v>34</v>
      </c>
      <c r="C61" s="2">
        <v>0</v>
      </c>
      <c r="D61" s="2"/>
      <c r="E61" s="7">
        <f t="shared" si="0"/>
        <v>0</v>
      </c>
    </row>
    <row r="62" spans="1:5" ht="15.6" x14ac:dyDescent="0.3">
      <c r="A62" s="8" t="s">
        <v>59</v>
      </c>
      <c r="B62" s="8" t="s">
        <v>3</v>
      </c>
      <c r="C62" s="2">
        <v>1590</v>
      </c>
      <c r="D62" s="2">
        <v>14000</v>
      </c>
      <c r="E62" s="7">
        <f t="shared" si="0"/>
        <v>22260000</v>
      </c>
    </row>
    <row r="63" spans="1:5" ht="15.6" hidden="1" x14ac:dyDescent="0.3">
      <c r="A63" s="8" t="s">
        <v>59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8" t="s">
        <v>60</v>
      </c>
      <c r="B64" s="8" t="s">
        <v>34</v>
      </c>
      <c r="C64" s="2">
        <v>60</v>
      </c>
      <c r="D64" s="2">
        <v>5000</v>
      </c>
      <c r="E64" s="7">
        <f t="shared" si="0"/>
        <v>300000</v>
      </c>
    </row>
    <row r="65" spans="1:5" ht="15.6" x14ac:dyDescent="0.3">
      <c r="A65" s="8" t="s">
        <v>61</v>
      </c>
      <c r="B65" s="8" t="s">
        <v>3</v>
      </c>
      <c r="C65" s="2">
        <v>13</v>
      </c>
      <c r="D65" s="2">
        <v>10000</v>
      </c>
      <c r="E65" s="7">
        <f t="shared" si="0"/>
        <v>130000</v>
      </c>
    </row>
    <row r="66" spans="1:5" ht="15.6" x14ac:dyDescent="0.3">
      <c r="A66" s="8" t="s">
        <v>67</v>
      </c>
      <c r="B66" s="8" t="s">
        <v>34</v>
      </c>
      <c r="C66" s="2">
        <v>90</v>
      </c>
      <c r="D66" s="2">
        <v>6000</v>
      </c>
      <c r="E66" s="7">
        <f t="shared" si="0"/>
        <v>540000</v>
      </c>
    </row>
    <row r="67" spans="1:5" ht="15.6" hidden="1" x14ac:dyDescent="0.3">
      <c r="A67" s="8" t="s">
        <v>68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x14ac:dyDescent="0.3">
      <c r="A68" s="8" t="s">
        <v>68</v>
      </c>
      <c r="B68" s="8" t="s">
        <v>34</v>
      </c>
      <c r="C68" s="2">
        <v>70</v>
      </c>
      <c r="D68" s="2">
        <v>6500</v>
      </c>
      <c r="E68" s="7">
        <f t="shared" ref="E68:E107" si="1">C68*D68</f>
        <v>455000</v>
      </c>
    </row>
    <row r="69" spans="1:5" ht="15.6" hidden="1" x14ac:dyDescent="0.3">
      <c r="A69" s="8" t="s">
        <v>69</v>
      </c>
      <c r="B69" s="8" t="s">
        <v>3</v>
      </c>
      <c r="C69" s="2">
        <v>0</v>
      </c>
      <c r="D69" s="2"/>
      <c r="E69" s="7">
        <f t="shared" si="1"/>
        <v>0</v>
      </c>
    </row>
    <row r="70" spans="1:5" ht="15.6" hidden="1" x14ac:dyDescent="0.3">
      <c r="A70" s="8" t="s">
        <v>70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hidden="1" x14ac:dyDescent="0.3">
      <c r="A71" s="8" t="s">
        <v>71</v>
      </c>
      <c r="B71" s="8" t="s">
        <v>3</v>
      </c>
      <c r="C71" s="2">
        <v>0</v>
      </c>
      <c r="D71" s="2"/>
      <c r="E71" s="7">
        <f t="shared" si="1"/>
        <v>0</v>
      </c>
    </row>
    <row r="72" spans="1:5" ht="15.6" hidden="1" x14ac:dyDescent="0.3">
      <c r="A72" s="8" t="s">
        <v>117</v>
      </c>
      <c r="B72" s="8" t="s">
        <v>34</v>
      </c>
      <c r="C72" s="2">
        <v>0</v>
      </c>
      <c r="D72" s="2"/>
      <c r="E72" s="7">
        <f t="shared" si="1"/>
        <v>0</v>
      </c>
    </row>
    <row r="73" spans="1:5" ht="15.6" hidden="1" x14ac:dyDescent="0.3">
      <c r="A73" s="8" t="s">
        <v>64</v>
      </c>
      <c r="B73" s="8" t="s">
        <v>3</v>
      </c>
      <c r="C73" s="2">
        <v>0</v>
      </c>
      <c r="D73" s="2"/>
      <c r="E73" s="7">
        <f t="shared" si="1"/>
        <v>0</v>
      </c>
    </row>
    <row r="74" spans="1:5" ht="15.6" x14ac:dyDescent="0.3">
      <c r="A74" s="8" t="s">
        <v>64</v>
      </c>
      <c r="B74" s="8" t="s">
        <v>17</v>
      </c>
      <c r="C74" s="2">
        <v>1206</v>
      </c>
      <c r="D74" s="2">
        <v>6700</v>
      </c>
      <c r="E74" s="7">
        <f t="shared" si="1"/>
        <v>8080200</v>
      </c>
    </row>
    <row r="75" spans="1:5" ht="15.6" x14ac:dyDescent="0.3">
      <c r="A75" s="8" t="s">
        <v>66</v>
      </c>
      <c r="B75" s="8" t="s">
        <v>3</v>
      </c>
      <c r="C75" s="2">
        <v>42</v>
      </c>
      <c r="D75" s="2">
        <v>13000</v>
      </c>
      <c r="E75" s="7">
        <f t="shared" si="1"/>
        <v>546000</v>
      </c>
    </row>
    <row r="76" spans="1:5" ht="15.6" x14ac:dyDescent="0.3">
      <c r="A76" s="8" t="s">
        <v>72</v>
      </c>
      <c r="B76" s="8" t="s">
        <v>3</v>
      </c>
      <c r="C76" s="2">
        <v>8</v>
      </c>
      <c r="D76" s="2">
        <v>10000</v>
      </c>
      <c r="E76" s="7">
        <f t="shared" si="1"/>
        <v>80000</v>
      </c>
    </row>
    <row r="77" spans="1:5" ht="15.6" hidden="1" x14ac:dyDescent="0.3">
      <c r="A77" s="8" t="s">
        <v>72</v>
      </c>
      <c r="B77" s="8" t="s">
        <v>19</v>
      </c>
      <c r="C77" s="2">
        <v>0</v>
      </c>
      <c r="D77" s="2"/>
      <c r="E77" s="7">
        <f t="shared" si="1"/>
        <v>0</v>
      </c>
    </row>
    <row r="78" spans="1:5" ht="15.6" hidden="1" x14ac:dyDescent="0.3">
      <c r="A78" s="8" t="s">
        <v>74</v>
      </c>
      <c r="B78" s="8" t="s">
        <v>34</v>
      </c>
      <c r="C78" s="2">
        <v>0</v>
      </c>
      <c r="D78" s="2"/>
      <c r="E78" s="7">
        <f t="shared" si="1"/>
        <v>0</v>
      </c>
    </row>
    <row r="79" spans="1:5" ht="15.6" x14ac:dyDescent="0.3">
      <c r="A79" s="8" t="s">
        <v>75</v>
      </c>
      <c r="B79" s="8" t="s">
        <v>3</v>
      </c>
      <c r="C79" s="2">
        <v>23</v>
      </c>
      <c r="D79" s="2">
        <v>14000</v>
      </c>
      <c r="E79" s="7">
        <f t="shared" si="1"/>
        <v>322000</v>
      </c>
    </row>
    <row r="80" spans="1:5" ht="15.6" x14ac:dyDescent="0.3">
      <c r="A80" s="8" t="s">
        <v>76</v>
      </c>
      <c r="B80" s="8" t="s">
        <v>3</v>
      </c>
      <c r="C80" s="2">
        <v>220</v>
      </c>
      <c r="D80" s="2">
        <v>58000</v>
      </c>
      <c r="E80" s="7">
        <f t="shared" si="1"/>
        <v>12760000</v>
      </c>
    </row>
    <row r="81" spans="1:5" ht="15.6" hidden="1" x14ac:dyDescent="0.3">
      <c r="A81" s="8" t="s">
        <v>76</v>
      </c>
      <c r="B81" s="8" t="s">
        <v>77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76</v>
      </c>
      <c r="B82" s="8" t="s">
        <v>78</v>
      </c>
      <c r="C82" s="2">
        <v>0</v>
      </c>
      <c r="D82" s="2"/>
      <c r="E82" s="7">
        <f t="shared" si="1"/>
        <v>0</v>
      </c>
    </row>
    <row r="83" spans="1:5" ht="15.6" hidden="1" x14ac:dyDescent="0.3">
      <c r="A83" s="8" t="s">
        <v>79</v>
      </c>
      <c r="B83" s="8" t="s">
        <v>17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80</v>
      </c>
      <c r="B84" s="8" t="s">
        <v>29</v>
      </c>
      <c r="C84" s="2">
        <v>0</v>
      </c>
      <c r="D84" s="2"/>
      <c r="E84" s="7">
        <f t="shared" si="1"/>
        <v>0</v>
      </c>
    </row>
    <row r="85" spans="1:5" ht="15.6" x14ac:dyDescent="0.3">
      <c r="A85" s="8" t="s">
        <v>80</v>
      </c>
      <c r="B85" s="8" t="s">
        <v>3</v>
      </c>
      <c r="C85" s="2">
        <v>15</v>
      </c>
      <c r="D85" s="2">
        <v>35000</v>
      </c>
      <c r="E85" s="7">
        <f t="shared" si="1"/>
        <v>525000</v>
      </c>
    </row>
    <row r="86" spans="1:5" ht="15.6" x14ac:dyDescent="0.3">
      <c r="A86" s="8" t="s">
        <v>81</v>
      </c>
      <c r="B86" s="8" t="s">
        <v>3</v>
      </c>
      <c r="C86" s="2">
        <v>80</v>
      </c>
      <c r="D86" s="2">
        <v>22000</v>
      </c>
      <c r="E86" s="7">
        <f t="shared" si="1"/>
        <v>1760000</v>
      </c>
    </row>
    <row r="87" spans="1:5" ht="15.6" hidden="1" x14ac:dyDescent="0.3">
      <c r="A87" s="8" t="s">
        <v>81</v>
      </c>
      <c r="B87" s="8" t="s">
        <v>9</v>
      </c>
      <c r="C87" s="2">
        <v>0</v>
      </c>
      <c r="D87" s="2"/>
      <c r="E87" s="7">
        <f t="shared" si="1"/>
        <v>0</v>
      </c>
    </row>
    <row r="88" spans="1:5" ht="15.6" x14ac:dyDescent="0.3">
      <c r="A88" s="8" t="s">
        <v>108</v>
      </c>
      <c r="B88" s="8" t="s">
        <v>3</v>
      </c>
      <c r="C88" s="2">
        <v>22</v>
      </c>
      <c r="D88" s="2">
        <v>17000</v>
      </c>
      <c r="E88" s="7">
        <f t="shared" si="1"/>
        <v>374000</v>
      </c>
    </row>
    <row r="89" spans="1:5" ht="15.6" x14ac:dyDescent="0.3">
      <c r="A89" s="8" t="s">
        <v>82</v>
      </c>
      <c r="B89" s="8" t="s">
        <v>3</v>
      </c>
      <c r="C89" s="2">
        <v>145</v>
      </c>
      <c r="D89" s="2">
        <v>20000</v>
      </c>
      <c r="E89" s="7">
        <f t="shared" si="1"/>
        <v>2900000</v>
      </c>
    </row>
    <row r="90" spans="1:5" ht="15.6" hidden="1" x14ac:dyDescent="0.3">
      <c r="A90" s="8" t="s">
        <v>82</v>
      </c>
      <c r="B90" s="8" t="s">
        <v>9</v>
      </c>
      <c r="C90" s="2">
        <v>0</v>
      </c>
      <c r="D90" s="2"/>
      <c r="E90" s="7">
        <f t="shared" si="1"/>
        <v>0</v>
      </c>
    </row>
    <row r="91" spans="1:5" ht="15.6" x14ac:dyDescent="0.3">
      <c r="A91" s="8" t="s">
        <v>83</v>
      </c>
      <c r="B91" s="8" t="s">
        <v>3</v>
      </c>
      <c r="C91" s="2">
        <v>65</v>
      </c>
      <c r="D91" s="2">
        <v>15000</v>
      </c>
      <c r="E91" s="7">
        <f t="shared" si="1"/>
        <v>975000</v>
      </c>
    </row>
    <row r="92" spans="1:5" ht="15.6" hidden="1" x14ac:dyDescent="0.3">
      <c r="A92" s="8" t="s">
        <v>83</v>
      </c>
      <c r="B92" s="8" t="s">
        <v>9</v>
      </c>
      <c r="C92" s="2">
        <v>0</v>
      </c>
      <c r="D92" s="2"/>
      <c r="E92" s="7">
        <f t="shared" si="1"/>
        <v>0</v>
      </c>
    </row>
    <row r="93" spans="1:5" ht="15.6" x14ac:dyDescent="0.3">
      <c r="A93" s="8" t="s">
        <v>110</v>
      </c>
      <c r="B93" s="8" t="s">
        <v>3</v>
      </c>
      <c r="C93" s="2">
        <v>15</v>
      </c>
      <c r="D93" s="2">
        <v>25000</v>
      </c>
      <c r="E93" s="7">
        <f t="shared" si="1"/>
        <v>375000</v>
      </c>
    </row>
    <row r="94" spans="1:5" ht="15.6" x14ac:dyDescent="0.3">
      <c r="A94" s="8" t="s">
        <v>84</v>
      </c>
      <c r="B94" s="8" t="s">
        <v>34</v>
      </c>
      <c r="C94" s="2">
        <v>52</v>
      </c>
      <c r="D94" s="2">
        <v>17000</v>
      </c>
      <c r="E94" s="7">
        <f t="shared" si="1"/>
        <v>884000</v>
      </c>
    </row>
    <row r="95" spans="1:5" ht="15.6" hidden="1" x14ac:dyDescent="0.3">
      <c r="A95" s="8" t="s">
        <v>85</v>
      </c>
      <c r="B95" s="8" t="s">
        <v>34</v>
      </c>
      <c r="C95" s="2">
        <v>0</v>
      </c>
      <c r="D95" s="2"/>
      <c r="E95" s="7">
        <f t="shared" si="1"/>
        <v>0</v>
      </c>
    </row>
    <row r="96" spans="1:5" ht="15.6" x14ac:dyDescent="0.3">
      <c r="A96" s="8" t="s">
        <v>86</v>
      </c>
      <c r="B96" s="8" t="s">
        <v>9</v>
      </c>
      <c r="C96" s="2">
        <v>838</v>
      </c>
      <c r="D96" s="2">
        <v>9000</v>
      </c>
      <c r="E96" s="7">
        <f t="shared" si="1"/>
        <v>7542000</v>
      </c>
    </row>
    <row r="97" spans="1:5" ht="15.6" x14ac:dyDescent="0.3">
      <c r="A97" s="8" t="s">
        <v>87</v>
      </c>
      <c r="B97" s="8" t="s">
        <v>9</v>
      </c>
      <c r="C97" s="2">
        <v>353</v>
      </c>
      <c r="D97" s="2">
        <v>11361</v>
      </c>
      <c r="E97" s="7">
        <f t="shared" si="1"/>
        <v>4010433</v>
      </c>
    </row>
    <row r="98" spans="1:5" ht="15.6" x14ac:dyDescent="0.3">
      <c r="A98" s="8" t="s">
        <v>89</v>
      </c>
      <c r="B98" s="8" t="s">
        <v>3</v>
      </c>
      <c r="C98" s="2">
        <v>26</v>
      </c>
      <c r="D98" s="2">
        <v>18000</v>
      </c>
      <c r="E98" s="7">
        <f t="shared" si="1"/>
        <v>468000</v>
      </c>
    </row>
    <row r="99" spans="1:5" ht="15.6" hidden="1" x14ac:dyDescent="0.3">
      <c r="A99" s="8" t="s">
        <v>112</v>
      </c>
      <c r="B99" s="8" t="s">
        <v>29</v>
      </c>
      <c r="C99" s="2">
        <v>0</v>
      </c>
      <c r="D99" s="2"/>
      <c r="E99" s="7">
        <f t="shared" si="1"/>
        <v>0</v>
      </c>
    </row>
    <row r="100" spans="1:5" ht="15.6" x14ac:dyDescent="0.3">
      <c r="A100" s="8" t="s">
        <v>90</v>
      </c>
      <c r="B100" s="8" t="s">
        <v>3</v>
      </c>
      <c r="C100" s="2">
        <v>55</v>
      </c>
      <c r="D100" s="2">
        <v>8000</v>
      </c>
      <c r="E100" s="7">
        <f t="shared" si="1"/>
        <v>440000</v>
      </c>
    </row>
    <row r="101" spans="1:5" ht="15.6" x14ac:dyDescent="0.3">
      <c r="A101" s="8" t="s">
        <v>91</v>
      </c>
      <c r="B101" s="8" t="s">
        <v>3</v>
      </c>
      <c r="C101" s="2">
        <v>60</v>
      </c>
      <c r="D101" s="2">
        <v>22000</v>
      </c>
      <c r="E101" s="7">
        <f t="shared" si="1"/>
        <v>1320000</v>
      </c>
    </row>
    <row r="102" spans="1:5" ht="15.6" x14ac:dyDescent="0.3">
      <c r="A102" s="8" t="s">
        <v>92</v>
      </c>
      <c r="B102" s="8" t="s">
        <v>3</v>
      </c>
      <c r="C102" s="2">
        <v>14</v>
      </c>
      <c r="D102" s="2">
        <v>25000</v>
      </c>
      <c r="E102" s="7">
        <f t="shared" si="1"/>
        <v>350000</v>
      </c>
    </row>
    <row r="103" spans="1:5" ht="15.6" hidden="1" x14ac:dyDescent="0.3">
      <c r="A103" s="8" t="s">
        <v>93</v>
      </c>
      <c r="B103" s="8" t="s">
        <v>19</v>
      </c>
      <c r="C103" s="2">
        <v>0</v>
      </c>
      <c r="D103" s="2"/>
      <c r="E103" s="7">
        <f t="shared" si="1"/>
        <v>0</v>
      </c>
    </row>
    <row r="104" spans="1:5" ht="15.6" x14ac:dyDescent="0.3">
      <c r="A104" s="8" t="s">
        <v>94</v>
      </c>
      <c r="B104" s="8" t="s">
        <v>3</v>
      </c>
      <c r="C104" s="2">
        <v>7</v>
      </c>
      <c r="D104" s="2">
        <v>24000</v>
      </c>
      <c r="E104" s="7">
        <f t="shared" si="1"/>
        <v>168000</v>
      </c>
    </row>
    <row r="105" spans="1:5" ht="15.6" hidden="1" x14ac:dyDescent="0.3">
      <c r="A105" s="8" t="s">
        <v>95</v>
      </c>
      <c r="B105" s="8" t="s">
        <v>19</v>
      </c>
      <c r="C105" s="2">
        <v>0</v>
      </c>
      <c r="D105" s="2"/>
      <c r="E105" s="7">
        <f t="shared" si="1"/>
        <v>0</v>
      </c>
    </row>
    <row r="106" spans="1:5" ht="15.6" hidden="1" x14ac:dyDescent="0.3">
      <c r="A106" s="8" t="s">
        <v>97</v>
      </c>
      <c r="B106" s="8" t="s">
        <v>3</v>
      </c>
      <c r="C106" s="2">
        <v>0</v>
      </c>
      <c r="D106" s="2"/>
      <c r="E106" s="7">
        <f t="shared" si="1"/>
        <v>0</v>
      </c>
    </row>
    <row r="107" spans="1:5" ht="15.6" hidden="1" x14ac:dyDescent="0.3">
      <c r="A107" s="8" t="s">
        <v>98</v>
      </c>
      <c r="B107" s="8" t="s">
        <v>19</v>
      </c>
      <c r="C107" s="2">
        <v>0</v>
      </c>
      <c r="D107" s="2"/>
      <c r="E107" s="7">
        <f t="shared" si="1"/>
        <v>0</v>
      </c>
    </row>
    <row r="108" spans="1:5" x14ac:dyDescent="0.3">
      <c r="E108" s="9">
        <f>SUM(E3:E104)</f>
        <v>175288633</v>
      </c>
    </row>
  </sheetData>
  <autoFilter ref="A2:E107" xr:uid="{00000000-0009-0000-0000-000007000000}">
    <filterColumn colId="2">
      <filters>
        <filter val="1,206"/>
        <filter val="1,561"/>
        <filter val="1,590"/>
        <filter val="1,870"/>
        <filter val="10"/>
        <filter val="116"/>
        <filter val="120"/>
        <filter val="126"/>
        <filter val="13"/>
        <filter val="14"/>
        <filter val="145"/>
        <filter val="15"/>
        <filter val="150"/>
        <filter val="175"/>
        <filter val="178"/>
        <filter val="195"/>
        <filter val="20"/>
        <filter val="22"/>
        <filter val="220"/>
        <filter val="23"/>
        <filter val="240"/>
        <filter val="25"/>
        <filter val="26"/>
        <filter val="260"/>
        <filter val="27"/>
        <filter val="300"/>
        <filter val="340"/>
        <filter val="353"/>
        <filter val="370"/>
        <filter val="380"/>
        <filter val="40"/>
        <filter val="42"/>
        <filter val="48"/>
        <filter val="5"/>
        <filter val="50"/>
        <filter val="52"/>
        <filter val="53"/>
        <filter val="540"/>
        <filter val="55"/>
        <filter val="60"/>
        <filter val="600"/>
        <filter val="65"/>
        <filter val="7"/>
        <filter val="70"/>
        <filter val="710"/>
        <filter val="770"/>
        <filter val="8"/>
        <filter val="80"/>
        <filter val="838"/>
        <filter val="9"/>
        <filter val="90"/>
        <filter val="950"/>
        <filter val="98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120"/>
  <sheetViews>
    <sheetView workbookViewId="0">
      <selection activeCell="G4" sqref="G4"/>
    </sheetView>
  </sheetViews>
  <sheetFormatPr defaultRowHeight="14.4" x14ac:dyDescent="0.3"/>
  <cols>
    <col min="1" max="1" width="31" customWidth="1"/>
    <col min="4" max="4" width="12" customWidth="1"/>
    <col min="5" max="5" width="16.109375" customWidth="1"/>
  </cols>
  <sheetData>
    <row r="1" spans="1:5" x14ac:dyDescent="0.3">
      <c r="A1" t="s">
        <v>130</v>
      </c>
    </row>
    <row r="2" spans="1:5" ht="46.2" customHeight="1" x14ac:dyDescent="0.3">
      <c r="A2" s="10" t="s">
        <v>0</v>
      </c>
      <c r="B2" s="10" t="s">
        <v>1</v>
      </c>
      <c r="C2" s="2" t="s">
        <v>131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29</v>
      </c>
      <c r="D3" s="2">
        <v>18000</v>
      </c>
      <c r="E3" s="7">
        <f>C3*D3</f>
        <v>522000</v>
      </c>
    </row>
    <row r="4" spans="1:5" ht="15.6" x14ac:dyDescent="0.3">
      <c r="A4" s="8" t="s">
        <v>4</v>
      </c>
      <c r="B4" s="8" t="s">
        <v>3</v>
      </c>
      <c r="C4" s="2">
        <v>510</v>
      </c>
      <c r="D4" s="2">
        <v>4000</v>
      </c>
      <c r="E4" s="7">
        <f t="shared" ref="E4:E67" si="0">C4*D4</f>
        <v>2040000</v>
      </c>
    </row>
    <row r="5" spans="1:5" ht="15.6" x14ac:dyDescent="0.3">
      <c r="A5" s="8" t="s">
        <v>5</v>
      </c>
      <c r="B5" s="8" t="s">
        <v>3</v>
      </c>
      <c r="C5" s="2">
        <v>396</v>
      </c>
      <c r="D5" s="2">
        <v>4000</v>
      </c>
      <c r="E5" s="7">
        <f t="shared" si="0"/>
        <v>1584000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1084</v>
      </c>
      <c r="D8" s="2">
        <v>9500</v>
      </c>
      <c r="E8" s="7">
        <f t="shared" si="0"/>
        <v>10298000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217</v>
      </c>
      <c r="D10" s="2">
        <v>9000</v>
      </c>
      <c r="E10" s="7">
        <f t="shared" si="0"/>
        <v>1953000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34</v>
      </c>
      <c r="D12" s="2">
        <v>15000</v>
      </c>
      <c r="E12" s="7">
        <f t="shared" si="0"/>
        <v>510000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21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hidden="1" x14ac:dyDescent="0.3">
      <c r="A15" s="8" t="s">
        <v>122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x14ac:dyDescent="0.3">
      <c r="A16" s="8" t="s">
        <v>12</v>
      </c>
      <c r="B16" s="8" t="s">
        <v>3</v>
      </c>
      <c r="C16" s="2">
        <v>7</v>
      </c>
      <c r="D16" s="2">
        <v>12000</v>
      </c>
      <c r="E16" s="7">
        <f t="shared" si="0"/>
        <v>84000</v>
      </c>
    </row>
    <row r="17" spans="1:5" ht="15.6" hidden="1" x14ac:dyDescent="0.3">
      <c r="A17" s="8" t="s">
        <v>14</v>
      </c>
      <c r="B17" s="8" t="s">
        <v>3</v>
      </c>
      <c r="C17" s="2">
        <v>0</v>
      </c>
      <c r="D17" s="2"/>
      <c r="E17" s="7">
        <f t="shared" si="0"/>
        <v>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2"/>
      <c r="E18" s="7">
        <f t="shared" si="0"/>
        <v>0</v>
      </c>
    </row>
    <row r="19" spans="1:5" ht="15.6" x14ac:dyDescent="0.3">
      <c r="A19" s="8" t="s">
        <v>16</v>
      </c>
      <c r="B19" s="8" t="s">
        <v>17</v>
      </c>
      <c r="C19" s="2">
        <v>20</v>
      </c>
      <c r="D19" s="2">
        <v>6000</v>
      </c>
      <c r="E19" s="7">
        <f t="shared" si="0"/>
        <v>120000</v>
      </c>
    </row>
    <row r="20" spans="1:5" ht="15.6" x14ac:dyDescent="0.3">
      <c r="A20" s="8" t="s">
        <v>20</v>
      </c>
      <c r="B20" s="8" t="s">
        <v>3</v>
      </c>
      <c r="C20" s="2">
        <v>200</v>
      </c>
      <c r="D20" s="2">
        <v>14000</v>
      </c>
      <c r="E20" s="7">
        <f t="shared" si="0"/>
        <v>2800000</v>
      </c>
    </row>
    <row r="21" spans="1:5" ht="15.6" x14ac:dyDescent="0.3">
      <c r="A21" s="8" t="s">
        <v>22</v>
      </c>
      <c r="B21" s="8" t="s">
        <v>3</v>
      </c>
      <c r="C21" s="2">
        <v>280</v>
      </c>
      <c r="D21" s="2">
        <v>16000</v>
      </c>
      <c r="E21" s="7">
        <f t="shared" si="0"/>
        <v>4480000</v>
      </c>
    </row>
    <row r="22" spans="1:5" ht="15.6" hidden="1" x14ac:dyDescent="0.3">
      <c r="A22" s="8" t="s">
        <v>22</v>
      </c>
      <c r="B22" s="8" t="s">
        <v>23</v>
      </c>
      <c r="C22" s="2">
        <v>0</v>
      </c>
      <c r="D22" s="2"/>
      <c r="E22" s="7">
        <f t="shared" si="0"/>
        <v>0</v>
      </c>
    </row>
    <row r="23" spans="1:5" ht="15.6" x14ac:dyDescent="0.3">
      <c r="A23" s="8" t="s">
        <v>24</v>
      </c>
      <c r="B23" s="8" t="s">
        <v>3</v>
      </c>
      <c r="C23" s="2">
        <v>58</v>
      </c>
      <c r="D23" s="2">
        <v>14000</v>
      </c>
      <c r="E23" s="7">
        <f t="shared" si="0"/>
        <v>812000</v>
      </c>
    </row>
    <row r="24" spans="1:5" ht="15.6" x14ac:dyDescent="0.3">
      <c r="A24" s="8" t="s">
        <v>24</v>
      </c>
      <c r="B24" s="8" t="s">
        <v>25</v>
      </c>
      <c r="C24" s="2">
        <v>24</v>
      </c>
      <c r="D24" s="2">
        <v>8000</v>
      </c>
      <c r="E24" s="7">
        <f t="shared" si="0"/>
        <v>192000</v>
      </c>
    </row>
    <row r="25" spans="1:5" ht="15.6" x14ac:dyDescent="0.3">
      <c r="A25" s="8" t="s">
        <v>26</v>
      </c>
      <c r="B25" s="8" t="s">
        <v>3</v>
      </c>
      <c r="C25" s="2">
        <v>9</v>
      </c>
      <c r="D25" s="2">
        <v>18000</v>
      </c>
      <c r="E25" s="7">
        <f t="shared" si="0"/>
        <v>162000</v>
      </c>
    </row>
    <row r="26" spans="1:5" ht="15.6" x14ac:dyDescent="0.3">
      <c r="A26" s="8" t="s">
        <v>26</v>
      </c>
      <c r="B26" s="8" t="s">
        <v>27</v>
      </c>
      <c r="C26" s="2">
        <v>39</v>
      </c>
      <c r="D26" s="2">
        <v>5400</v>
      </c>
      <c r="E26" s="7">
        <f t="shared" si="0"/>
        <v>210600</v>
      </c>
    </row>
    <row r="27" spans="1:5" ht="15.6" x14ac:dyDescent="0.3">
      <c r="A27" s="8" t="s">
        <v>28</v>
      </c>
      <c r="B27" s="8" t="s">
        <v>29</v>
      </c>
      <c r="C27" s="2">
        <v>105</v>
      </c>
      <c r="D27" s="2">
        <v>12000</v>
      </c>
      <c r="E27" s="7">
        <f t="shared" si="0"/>
        <v>1260000</v>
      </c>
    </row>
    <row r="28" spans="1:5" ht="15.6" hidden="1" x14ac:dyDescent="0.3">
      <c r="A28" s="8" t="s">
        <v>30</v>
      </c>
      <c r="B28" s="8" t="s">
        <v>3</v>
      </c>
      <c r="C28" s="2">
        <v>0</v>
      </c>
      <c r="D28" s="2"/>
      <c r="E28" s="7">
        <f t="shared" si="0"/>
        <v>0</v>
      </c>
    </row>
    <row r="29" spans="1:5" ht="15.6" x14ac:dyDescent="0.3">
      <c r="A29" s="8" t="s">
        <v>30</v>
      </c>
      <c r="B29" s="8" t="s">
        <v>27</v>
      </c>
      <c r="C29" s="2">
        <v>286</v>
      </c>
      <c r="D29" s="2">
        <v>10000</v>
      </c>
      <c r="E29" s="7">
        <f t="shared" si="0"/>
        <v>2860000</v>
      </c>
    </row>
    <row r="30" spans="1:5" ht="15.6" x14ac:dyDescent="0.3">
      <c r="A30" s="8" t="s">
        <v>30</v>
      </c>
      <c r="B30" s="8" t="s">
        <v>31</v>
      </c>
      <c r="C30" s="2">
        <v>427</v>
      </c>
      <c r="D30" s="2">
        <v>7500</v>
      </c>
      <c r="E30" s="7">
        <f t="shared" si="0"/>
        <v>3202500</v>
      </c>
    </row>
    <row r="31" spans="1:5" ht="15.6" x14ac:dyDescent="0.3">
      <c r="A31" s="8" t="s">
        <v>32</v>
      </c>
      <c r="B31" s="8" t="s">
        <v>3</v>
      </c>
      <c r="C31" s="2">
        <v>420</v>
      </c>
      <c r="D31" s="2">
        <v>10000</v>
      </c>
      <c r="E31" s="7">
        <f t="shared" si="0"/>
        <v>4200000</v>
      </c>
    </row>
    <row r="32" spans="1:5" ht="15.6" hidden="1" x14ac:dyDescent="0.3">
      <c r="A32" s="8" t="s">
        <v>32</v>
      </c>
      <c r="B32" s="8" t="s">
        <v>17</v>
      </c>
      <c r="C32" s="2">
        <v>0</v>
      </c>
      <c r="D32" s="2"/>
      <c r="E32" s="7">
        <f t="shared" si="0"/>
        <v>0</v>
      </c>
    </row>
    <row r="33" spans="1:5" ht="15.6" x14ac:dyDescent="0.3">
      <c r="A33" s="8" t="s">
        <v>33</v>
      </c>
      <c r="B33" s="8" t="s">
        <v>34</v>
      </c>
      <c r="C33" s="2">
        <v>140</v>
      </c>
      <c r="D33" s="2">
        <v>8000</v>
      </c>
      <c r="E33" s="7">
        <f t="shared" si="0"/>
        <v>1120000</v>
      </c>
    </row>
    <row r="34" spans="1:5" ht="15.6" x14ac:dyDescent="0.3">
      <c r="A34" s="8" t="s">
        <v>35</v>
      </c>
      <c r="B34" s="8" t="s">
        <v>3</v>
      </c>
      <c r="C34" s="2">
        <v>20</v>
      </c>
      <c r="D34" s="2">
        <v>6500</v>
      </c>
      <c r="E34" s="7">
        <f t="shared" si="0"/>
        <v>130000</v>
      </c>
    </row>
    <row r="35" spans="1:5" ht="15.6" hidden="1" x14ac:dyDescent="0.3">
      <c r="A35" s="8" t="s">
        <v>35</v>
      </c>
      <c r="B35" s="8" t="s">
        <v>34</v>
      </c>
      <c r="C35" s="2">
        <v>0</v>
      </c>
      <c r="D35" s="2"/>
      <c r="E35" s="7">
        <f t="shared" si="0"/>
        <v>0</v>
      </c>
    </row>
    <row r="36" spans="1:5" ht="15.6" x14ac:dyDescent="0.3">
      <c r="A36" s="8" t="s">
        <v>36</v>
      </c>
      <c r="B36" s="8" t="s">
        <v>17</v>
      </c>
      <c r="C36" s="2">
        <v>10</v>
      </c>
      <c r="D36" s="2">
        <v>6000</v>
      </c>
      <c r="E36" s="7">
        <f t="shared" si="0"/>
        <v>60000</v>
      </c>
    </row>
    <row r="37" spans="1:5" ht="15.6" x14ac:dyDescent="0.3">
      <c r="A37" s="8" t="s">
        <v>37</v>
      </c>
      <c r="B37" s="8" t="s">
        <v>3</v>
      </c>
      <c r="C37" s="2">
        <v>69</v>
      </c>
      <c r="D37" s="2">
        <v>8000</v>
      </c>
      <c r="E37" s="7">
        <f t="shared" si="0"/>
        <v>552000</v>
      </c>
    </row>
    <row r="38" spans="1:5" ht="15.6" hidden="1" x14ac:dyDescent="0.3">
      <c r="A38" s="8" t="s">
        <v>37</v>
      </c>
      <c r="B38" s="8" t="s">
        <v>38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39</v>
      </c>
      <c r="B39" s="8" t="s">
        <v>3</v>
      </c>
      <c r="C39" s="2">
        <v>11</v>
      </c>
      <c r="D39" s="2">
        <v>15000</v>
      </c>
      <c r="E39" s="7">
        <f t="shared" si="0"/>
        <v>165000</v>
      </c>
    </row>
    <row r="40" spans="1:5" ht="15.6" hidden="1" x14ac:dyDescent="0.3">
      <c r="A40" s="8" t="s">
        <v>39</v>
      </c>
      <c r="B40" s="8" t="s">
        <v>34</v>
      </c>
      <c r="C40" s="2">
        <v>0</v>
      </c>
      <c r="D40" s="2"/>
      <c r="E40" s="7">
        <f t="shared" si="0"/>
        <v>0</v>
      </c>
    </row>
    <row r="41" spans="1:5" ht="15.6" hidden="1" x14ac:dyDescent="0.3">
      <c r="A41" s="8" t="s">
        <v>40</v>
      </c>
      <c r="B41" s="8" t="s">
        <v>3</v>
      </c>
      <c r="C41" s="2">
        <v>0</v>
      </c>
      <c r="D41" s="2"/>
      <c r="E41" s="7">
        <f t="shared" si="0"/>
        <v>0</v>
      </c>
    </row>
    <row r="42" spans="1:5" ht="15.6" x14ac:dyDescent="0.3">
      <c r="A42" s="8" t="s">
        <v>40</v>
      </c>
      <c r="B42" s="8" t="s">
        <v>34</v>
      </c>
      <c r="C42" s="2">
        <v>5</v>
      </c>
      <c r="D42" s="2">
        <v>3000</v>
      </c>
      <c r="E42" s="7">
        <f t="shared" si="0"/>
        <v>15000</v>
      </c>
    </row>
    <row r="43" spans="1:5" ht="15.6" hidden="1" x14ac:dyDescent="0.3">
      <c r="A43" s="8" t="s">
        <v>41</v>
      </c>
      <c r="B43" s="8" t="s">
        <v>3</v>
      </c>
      <c r="C43" s="2">
        <v>0</v>
      </c>
      <c r="D43" s="2"/>
      <c r="E43" s="7">
        <f t="shared" si="0"/>
        <v>0</v>
      </c>
    </row>
    <row r="44" spans="1:5" ht="15.6" x14ac:dyDescent="0.3">
      <c r="A44" s="8" t="s">
        <v>41</v>
      </c>
      <c r="B44" s="8" t="s">
        <v>34</v>
      </c>
      <c r="C44" s="2">
        <v>12</v>
      </c>
      <c r="D44" s="2">
        <v>3000</v>
      </c>
      <c r="E44" s="7">
        <f t="shared" si="0"/>
        <v>36000</v>
      </c>
    </row>
    <row r="45" spans="1:5" ht="15.6" x14ac:dyDescent="0.3">
      <c r="A45" s="8" t="s">
        <v>42</v>
      </c>
      <c r="B45" s="8" t="s">
        <v>3</v>
      </c>
      <c r="C45" s="2">
        <v>100</v>
      </c>
      <c r="D45" s="2">
        <v>3000</v>
      </c>
      <c r="E45" s="7">
        <f t="shared" si="0"/>
        <v>300000</v>
      </c>
    </row>
    <row r="46" spans="1:5" ht="15.6" hidden="1" x14ac:dyDescent="0.3">
      <c r="A46" s="8" t="s">
        <v>43</v>
      </c>
      <c r="B46" s="8" t="s">
        <v>3</v>
      </c>
      <c r="C46" s="2">
        <v>0</v>
      </c>
      <c r="D46" s="2"/>
      <c r="E46" s="7">
        <f t="shared" si="0"/>
        <v>0</v>
      </c>
    </row>
    <row r="47" spans="1:5" ht="15.6" x14ac:dyDescent="0.3">
      <c r="A47" s="8" t="s">
        <v>44</v>
      </c>
      <c r="B47" s="8" t="s">
        <v>3</v>
      </c>
      <c r="C47" s="2">
        <v>1270</v>
      </c>
      <c r="D47" s="2">
        <v>3000</v>
      </c>
      <c r="E47" s="7">
        <f t="shared" si="0"/>
        <v>3810000</v>
      </c>
    </row>
    <row r="48" spans="1:5" ht="15.6" x14ac:dyDescent="0.3">
      <c r="A48" s="8" t="s">
        <v>45</v>
      </c>
      <c r="B48" s="8" t="s">
        <v>3</v>
      </c>
      <c r="C48" s="2">
        <v>40</v>
      </c>
      <c r="D48" s="2">
        <v>9000</v>
      </c>
      <c r="E48" s="7">
        <f t="shared" si="0"/>
        <v>360000</v>
      </c>
    </row>
    <row r="49" spans="1:5" ht="15.6" hidden="1" x14ac:dyDescent="0.3">
      <c r="A49" s="8" t="s">
        <v>45</v>
      </c>
      <c r="B49" s="8" t="s">
        <v>19</v>
      </c>
      <c r="C49" s="2">
        <v>0</v>
      </c>
      <c r="D49" s="2"/>
      <c r="E49" s="7">
        <f t="shared" si="0"/>
        <v>0</v>
      </c>
    </row>
    <row r="50" spans="1:5" ht="15.6" hidden="1" x14ac:dyDescent="0.3">
      <c r="A50" s="8" t="s">
        <v>62</v>
      </c>
      <c r="B50" s="8" t="s">
        <v>3</v>
      </c>
      <c r="C50" s="2">
        <v>0</v>
      </c>
      <c r="D50" s="2"/>
      <c r="E50" s="7">
        <f t="shared" si="0"/>
        <v>0</v>
      </c>
    </row>
    <row r="51" spans="1:5" ht="15.6" hidden="1" x14ac:dyDescent="0.3">
      <c r="A51" s="8" t="s">
        <v>63</v>
      </c>
      <c r="B51" s="8" t="s">
        <v>3</v>
      </c>
      <c r="C51" s="2">
        <v>0</v>
      </c>
      <c r="D51" s="2"/>
      <c r="E51" s="7">
        <f t="shared" si="0"/>
        <v>0</v>
      </c>
    </row>
    <row r="52" spans="1:5" ht="15.6" hidden="1" x14ac:dyDescent="0.3">
      <c r="A52" s="8" t="s">
        <v>46</v>
      </c>
      <c r="B52" s="8" t="s">
        <v>29</v>
      </c>
      <c r="C52" s="2">
        <v>0</v>
      </c>
      <c r="D52" s="2"/>
      <c r="E52" s="7">
        <f t="shared" si="0"/>
        <v>0</v>
      </c>
    </row>
    <row r="53" spans="1:5" ht="15.6" hidden="1" x14ac:dyDescent="0.3">
      <c r="A53" s="8" t="s">
        <v>46</v>
      </c>
      <c r="B53" s="8" t="s">
        <v>3</v>
      </c>
      <c r="C53" s="2">
        <v>0</v>
      </c>
      <c r="D53" s="2"/>
      <c r="E53" s="7">
        <f t="shared" si="0"/>
        <v>0</v>
      </c>
    </row>
    <row r="54" spans="1:5" ht="15.6" hidden="1" x14ac:dyDescent="0.3">
      <c r="A54" s="8" t="s">
        <v>47</v>
      </c>
      <c r="B54" s="8" t="s">
        <v>3</v>
      </c>
      <c r="C54" s="2">
        <v>0</v>
      </c>
      <c r="D54" s="2"/>
      <c r="E54" s="7">
        <f t="shared" si="0"/>
        <v>0</v>
      </c>
    </row>
    <row r="55" spans="1:5" ht="15.6" x14ac:dyDescent="0.3">
      <c r="A55" s="8" t="s">
        <v>48</v>
      </c>
      <c r="B55" s="8" t="s">
        <v>3</v>
      </c>
      <c r="C55" s="2">
        <v>62</v>
      </c>
      <c r="D55" s="2">
        <v>8000</v>
      </c>
      <c r="E55" s="7">
        <f t="shared" si="0"/>
        <v>496000</v>
      </c>
    </row>
    <row r="56" spans="1:5" ht="15.6" hidden="1" x14ac:dyDescent="0.3">
      <c r="A56" s="8" t="s">
        <v>48</v>
      </c>
      <c r="B56" s="8" t="s">
        <v>34</v>
      </c>
      <c r="C56" s="2">
        <v>0</v>
      </c>
      <c r="D56" s="2"/>
      <c r="E56" s="7">
        <f t="shared" si="0"/>
        <v>0</v>
      </c>
    </row>
    <row r="57" spans="1:5" ht="15.6" x14ac:dyDescent="0.3">
      <c r="A57" s="8" t="s">
        <v>49</v>
      </c>
      <c r="B57" s="8" t="s">
        <v>3</v>
      </c>
      <c r="C57" s="2">
        <v>8</v>
      </c>
      <c r="D57" s="2">
        <v>19000</v>
      </c>
      <c r="E57" s="7">
        <f t="shared" si="0"/>
        <v>152000</v>
      </c>
    </row>
    <row r="58" spans="1:5" ht="15.6" x14ac:dyDescent="0.3">
      <c r="A58" s="8" t="s">
        <v>50</v>
      </c>
      <c r="B58" s="8" t="s">
        <v>3</v>
      </c>
      <c r="C58" s="2">
        <v>305</v>
      </c>
      <c r="D58" s="2">
        <v>6000</v>
      </c>
      <c r="E58" s="7">
        <f t="shared" si="0"/>
        <v>1830000</v>
      </c>
    </row>
    <row r="59" spans="1:5" ht="15.6" hidden="1" x14ac:dyDescent="0.3">
      <c r="A59" s="8" t="s">
        <v>50</v>
      </c>
      <c r="B59" s="8" t="s">
        <v>51</v>
      </c>
      <c r="C59" s="2">
        <v>0</v>
      </c>
      <c r="D59" s="2"/>
      <c r="E59" s="7">
        <f t="shared" si="0"/>
        <v>0</v>
      </c>
    </row>
    <row r="60" spans="1:5" ht="15.6" x14ac:dyDescent="0.3">
      <c r="A60" s="8" t="s">
        <v>52</v>
      </c>
      <c r="B60" s="8" t="s">
        <v>34</v>
      </c>
      <c r="C60" s="2">
        <v>33</v>
      </c>
      <c r="D60" s="2">
        <v>1800</v>
      </c>
      <c r="E60" s="7">
        <f t="shared" si="0"/>
        <v>59400</v>
      </c>
    </row>
    <row r="61" spans="1:5" ht="15.6" x14ac:dyDescent="0.3">
      <c r="A61" s="8" t="s">
        <v>53</v>
      </c>
      <c r="B61" s="8" t="s">
        <v>3</v>
      </c>
      <c r="C61" s="2">
        <v>610</v>
      </c>
      <c r="D61" s="2">
        <v>26000</v>
      </c>
      <c r="E61" s="7">
        <f t="shared" si="0"/>
        <v>15860000</v>
      </c>
    </row>
    <row r="62" spans="1:5" ht="15.6" x14ac:dyDescent="0.3">
      <c r="A62" s="8" t="s">
        <v>54</v>
      </c>
      <c r="B62" s="8" t="s">
        <v>3</v>
      </c>
      <c r="C62" s="2">
        <v>280</v>
      </c>
      <c r="D62" s="2">
        <v>26000</v>
      </c>
      <c r="E62" s="7">
        <f t="shared" si="0"/>
        <v>7280000</v>
      </c>
    </row>
    <row r="63" spans="1:5" ht="15.6" hidden="1" x14ac:dyDescent="0.3">
      <c r="A63" s="8" t="s">
        <v>54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8" t="s">
        <v>55</v>
      </c>
      <c r="B64" s="8" t="s">
        <v>3</v>
      </c>
      <c r="C64" s="2">
        <v>80</v>
      </c>
      <c r="D64" s="2">
        <v>16000</v>
      </c>
      <c r="E64" s="7">
        <f t="shared" si="0"/>
        <v>1280000</v>
      </c>
    </row>
    <row r="65" spans="1:5" ht="15.6" x14ac:dyDescent="0.3">
      <c r="A65" s="8" t="s">
        <v>56</v>
      </c>
      <c r="B65" s="8" t="s">
        <v>3</v>
      </c>
      <c r="C65" s="2">
        <v>127</v>
      </c>
      <c r="D65" s="2">
        <v>25000</v>
      </c>
      <c r="E65" s="7">
        <f t="shared" si="0"/>
        <v>3175000</v>
      </c>
    </row>
    <row r="66" spans="1:5" ht="15.6" hidden="1" x14ac:dyDescent="0.3">
      <c r="A66" s="8" t="s">
        <v>58</v>
      </c>
      <c r="B66" s="8" t="s">
        <v>3</v>
      </c>
      <c r="C66" s="2">
        <v>0</v>
      </c>
      <c r="D66" s="2"/>
      <c r="E66" s="7">
        <f t="shared" si="0"/>
        <v>0</v>
      </c>
    </row>
    <row r="67" spans="1:5" ht="15.6" hidden="1" x14ac:dyDescent="0.3">
      <c r="A67" s="8" t="s">
        <v>58</v>
      </c>
      <c r="B67" s="8" t="s">
        <v>34</v>
      </c>
      <c r="C67" s="2">
        <v>0</v>
      </c>
      <c r="D67" s="2"/>
      <c r="E67" s="7">
        <f t="shared" si="0"/>
        <v>0</v>
      </c>
    </row>
    <row r="68" spans="1:5" ht="15.6" hidden="1" x14ac:dyDescent="0.3">
      <c r="A68" s="8" t="s">
        <v>105</v>
      </c>
      <c r="B68" s="8" t="s">
        <v>3</v>
      </c>
      <c r="C68" s="2">
        <v>0</v>
      </c>
      <c r="D68" s="2"/>
      <c r="E68" s="7">
        <f t="shared" ref="E68:E119" si="1">C68*D68</f>
        <v>0</v>
      </c>
    </row>
    <row r="69" spans="1:5" ht="15.6" x14ac:dyDescent="0.3">
      <c r="A69" s="8" t="s">
        <v>59</v>
      </c>
      <c r="B69" s="8" t="s">
        <v>3</v>
      </c>
      <c r="C69" s="2">
        <v>1152</v>
      </c>
      <c r="D69" s="2">
        <v>14000</v>
      </c>
      <c r="E69" s="7">
        <f t="shared" si="1"/>
        <v>16128000</v>
      </c>
    </row>
    <row r="70" spans="1:5" ht="15.6" hidden="1" x14ac:dyDescent="0.3">
      <c r="A70" s="8" t="s">
        <v>59</v>
      </c>
      <c r="B70" s="8" t="s">
        <v>34</v>
      </c>
      <c r="C70" s="2">
        <v>0</v>
      </c>
      <c r="D70" s="2"/>
      <c r="E70" s="7">
        <f t="shared" si="1"/>
        <v>0</v>
      </c>
    </row>
    <row r="71" spans="1:5" ht="15.6" x14ac:dyDescent="0.3">
      <c r="A71" s="8" t="s">
        <v>60</v>
      </c>
      <c r="B71" s="8" t="s">
        <v>34</v>
      </c>
      <c r="C71" s="2">
        <v>110</v>
      </c>
      <c r="D71" s="2">
        <v>5000</v>
      </c>
      <c r="E71" s="7">
        <f t="shared" si="1"/>
        <v>550000</v>
      </c>
    </row>
    <row r="72" spans="1:5" ht="15.6" hidden="1" x14ac:dyDescent="0.3">
      <c r="A72" s="8" t="s">
        <v>61</v>
      </c>
      <c r="B72" s="8" t="s">
        <v>3</v>
      </c>
      <c r="C72" s="2">
        <v>0</v>
      </c>
      <c r="D72" s="2"/>
      <c r="E72" s="7">
        <f t="shared" si="1"/>
        <v>0</v>
      </c>
    </row>
    <row r="73" spans="1:5" ht="15.6" x14ac:dyDescent="0.3">
      <c r="A73" s="8" t="s">
        <v>67</v>
      </c>
      <c r="B73" s="8" t="s">
        <v>34</v>
      </c>
      <c r="C73" s="2">
        <v>49</v>
      </c>
      <c r="D73" s="2">
        <v>6000</v>
      </c>
      <c r="E73" s="7">
        <f t="shared" si="1"/>
        <v>294000</v>
      </c>
    </row>
    <row r="74" spans="1:5" ht="15.6" hidden="1" x14ac:dyDescent="0.3">
      <c r="A74" s="8" t="s">
        <v>68</v>
      </c>
      <c r="B74" s="8" t="s">
        <v>3</v>
      </c>
      <c r="C74" s="2">
        <v>0</v>
      </c>
      <c r="D74" s="2"/>
      <c r="E74" s="7">
        <f t="shared" si="1"/>
        <v>0</v>
      </c>
    </row>
    <row r="75" spans="1:5" ht="15.6" x14ac:dyDescent="0.3">
      <c r="A75" s="8" t="s">
        <v>68</v>
      </c>
      <c r="B75" s="8" t="s">
        <v>34</v>
      </c>
      <c r="C75" s="2">
        <v>22</v>
      </c>
      <c r="D75" s="2">
        <v>6500</v>
      </c>
      <c r="E75" s="7">
        <f t="shared" si="1"/>
        <v>143000</v>
      </c>
    </row>
    <row r="76" spans="1:5" ht="15.6" x14ac:dyDescent="0.3">
      <c r="A76" s="8" t="s">
        <v>69</v>
      </c>
      <c r="B76" s="8" t="s">
        <v>3</v>
      </c>
      <c r="C76" s="2">
        <v>0.5</v>
      </c>
      <c r="D76" s="2">
        <v>80000</v>
      </c>
      <c r="E76" s="7">
        <f t="shared" si="1"/>
        <v>40000</v>
      </c>
    </row>
    <row r="77" spans="1:5" ht="15.6" x14ac:dyDescent="0.3">
      <c r="A77" s="8" t="s">
        <v>70</v>
      </c>
      <c r="B77" s="8" t="s">
        <v>3</v>
      </c>
      <c r="C77" s="2">
        <v>0.5</v>
      </c>
      <c r="D77" s="2">
        <v>70000</v>
      </c>
      <c r="E77" s="7">
        <f t="shared" si="1"/>
        <v>35000</v>
      </c>
    </row>
    <row r="78" spans="1:5" ht="15.6" x14ac:dyDescent="0.3">
      <c r="A78" s="8" t="s">
        <v>71</v>
      </c>
      <c r="B78" s="8" t="s">
        <v>3</v>
      </c>
      <c r="C78" s="2">
        <v>0.5</v>
      </c>
      <c r="D78" s="2">
        <v>70000</v>
      </c>
      <c r="E78" s="7">
        <f t="shared" si="1"/>
        <v>35000</v>
      </c>
    </row>
    <row r="79" spans="1:5" ht="15.6" hidden="1" x14ac:dyDescent="0.3">
      <c r="A79" s="8" t="s">
        <v>117</v>
      </c>
      <c r="B79" s="8" t="s">
        <v>34</v>
      </c>
      <c r="C79" s="2">
        <v>0</v>
      </c>
      <c r="D79" s="2"/>
      <c r="E79" s="7">
        <f t="shared" si="1"/>
        <v>0</v>
      </c>
    </row>
    <row r="80" spans="1:5" ht="15.6" x14ac:dyDescent="0.3">
      <c r="A80" s="8" t="s">
        <v>64</v>
      </c>
      <c r="B80" s="8" t="s">
        <v>3</v>
      </c>
      <c r="C80" s="2">
        <v>50</v>
      </c>
      <c r="D80" s="2">
        <v>9500</v>
      </c>
      <c r="E80" s="7">
        <f t="shared" si="1"/>
        <v>475000</v>
      </c>
    </row>
    <row r="81" spans="1:5" ht="15.6" x14ac:dyDescent="0.3">
      <c r="A81" s="8" t="s">
        <v>64</v>
      </c>
      <c r="B81" s="8" t="s">
        <v>17</v>
      </c>
      <c r="C81" s="2">
        <v>1275</v>
      </c>
      <c r="D81" s="2">
        <v>6700</v>
      </c>
      <c r="E81" s="7">
        <f t="shared" si="1"/>
        <v>8542500</v>
      </c>
    </row>
    <row r="82" spans="1:5" ht="15.6" hidden="1" x14ac:dyDescent="0.3">
      <c r="A82" s="8" t="s">
        <v>65</v>
      </c>
      <c r="B82" s="8" t="s">
        <v>3</v>
      </c>
      <c r="C82" s="2">
        <v>0</v>
      </c>
      <c r="D82" s="2"/>
      <c r="E82" s="7">
        <f t="shared" si="1"/>
        <v>0</v>
      </c>
    </row>
    <row r="83" spans="1:5" ht="15.6" x14ac:dyDescent="0.3">
      <c r="A83" s="8" t="s">
        <v>66</v>
      </c>
      <c r="B83" s="8" t="s">
        <v>3</v>
      </c>
      <c r="C83" s="2">
        <v>19</v>
      </c>
      <c r="D83" s="2">
        <v>13000</v>
      </c>
      <c r="E83" s="7">
        <f t="shared" si="1"/>
        <v>247000</v>
      </c>
    </row>
    <row r="84" spans="1:5" ht="15.6" x14ac:dyDescent="0.3">
      <c r="A84" s="8" t="s">
        <v>72</v>
      </c>
      <c r="B84" s="8" t="s">
        <v>3</v>
      </c>
      <c r="C84" s="2">
        <v>8</v>
      </c>
      <c r="D84" s="2">
        <v>10000</v>
      </c>
      <c r="E84" s="7">
        <f t="shared" si="1"/>
        <v>80000</v>
      </c>
    </row>
    <row r="85" spans="1:5" ht="15.6" hidden="1" x14ac:dyDescent="0.3">
      <c r="A85" s="8" t="s">
        <v>72</v>
      </c>
      <c r="B85" s="8" t="s">
        <v>19</v>
      </c>
      <c r="C85" s="2">
        <v>0</v>
      </c>
      <c r="D85" s="2"/>
      <c r="E85" s="7">
        <f t="shared" si="1"/>
        <v>0</v>
      </c>
    </row>
    <row r="86" spans="1:5" ht="15.6" hidden="1" x14ac:dyDescent="0.3">
      <c r="A86" s="8" t="s">
        <v>73</v>
      </c>
      <c r="B86" s="8" t="s">
        <v>3</v>
      </c>
      <c r="C86" s="2">
        <v>0</v>
      </c>
      <c r="D86" s="2"/>
      <c r="E86" s="7">
        <f t="shared" si="1"/>
        <v>0</v>
      </c>
    </row>
    <row r="87" spans="1:5" ht="15.6" hidden="1" x14ac:dyDescent="0.3">
      <c r="A87" s="8" t="s">
        <v>74</v>
      </c>
      <c r="B87" s="8" t="s">
        <v>34</v>
      </c>
      <c r="C87" s="2">
        <v>0</v>
      </c>
      <c r="D87" s="2"/>
      <c r="E87" s="7">
        <f t="shared" si="1"/>
        <v>0</v>
      </c>
    </row>
    <row r="88" spans="1:5" ht="15.6" x14ac:dyDescent="0.3">
      <c r="A88" s="8" t="s">
        <v>75</v>
      </c>
      <c r="B88" s="8" t="s">
        <v>3</v>
      </c>
      <c r="C88" s="2">
        <v>18</v>
      </c>
      <c r="D88" s="2">
        <v>14000</v>
      </c>
      <c r="E88" s="7">
        <f t="shared" si="1"/>
        <v>252000</v>
      </c>
    </row>
    <row r="89" spans="1:5" ht="15.6" hidden="1" x14ac:dyDescent="0.3">
      <c r="A89" s="8" t="s">
        <v>76</v>
      </c>
      <c r="B89" s="8" t="s">
        <v>78</v>
      </c>
      <c r="C89" s="2">
        <v>0</v>
      </c>
      <c r="D89" s="2"/>
      <c r="E89" s="7">
        <f t="shared" si="1"/>
        <v>0</v>
      </c>
    </row>
    <row r="90" spans="1:5" ht="15.6" hidden="1" x14ac:dyDescent="0.3">
      <c r="A90" s="8" t="s">
        <v>76</v>
      </c>
      <c r="B90" s="8" t="s">
        <v>77</v>
      </c>
      <c r="C90" s="2">
        <v>0</v>
      </c>
      <c r="D90" s="2"/>
      <c r="E90" s="7">
        <f t="shared" si="1"/>
        <v>0</v>
      </c>
    </row>
    <row r="91" spans="1:5" ht="15.6" hidden="1" x14ac:dyDescent="0.3">
      <c r="A91" s="8" t="s">
        <v>79</v>
      </c>
      <c r="B91" s="8" t="s">
        <v>17</v>
      </c>
      <c r="C91" s="2">
        <v>0</v>
      </c>
      <c r="D91" s="2"/>
      <c r="E91" s="7">
        <f t="shared" si="1"/>
        <v>0</v>
      </c>
    </row>
    <row r="92" spans="1:5" ht="15.6" hidden="1" x14ac:dyDescent="0.3">
      <c r="A92" s="8" t="s">
        <v>80</v>
      </c>
      <c r="B92" s="8" t="s">
        <v>29</v>
      </c>
      <c r="C92" s="2">
        <v>0</v>
      </c>
      <c r="D92" s="2"/>
      <c r="E92" s="7">
        <f t="shared" si="1"/>
        <v>0</v>
      </c>
    </row>
    <row r="93" spans="1:5" ht="15.6" x14ac:dyDescent="0.3">
      <c r="A93" s="8" t="s">
        <v>80</v>
      </c>
      <c r="B93" s="8" t="s">
        <v>3</v>
      </c>
      <c r="C93" s="2">
        <v>8</v>
      </c>
      <c r="D93" s="2">
        <v>35000</v>
      </c>
      <c r="E93" s="7">
        <f t="shared" si="1"/>
        <v>280000</v>
      </c>
    </row>
    <row r="94" spans="1:5" ht="15.6" x14ac:dyDescent="0.3">
      <c r="A94" s="8" t="s">
        <v>81</v>
      </c>
      <c r="B94" s="8" t="s">
        <v>3</v>
      </c>
      <c r="C94" s="2">
        <v>182</v>
      </c>
      <c r="D94" s="2">
        <v>24000</v>
      </c>
      <c r="E94" s="7">
        <f t="shared" si="1"/>
        <v>4368000</v>
      </c>
    </row>
    <row r="95" spans="1:5" ht="15.6" hidden="1" x14ac:dyDescent="0.3">
      <c r="A95" s="8" t="s">
        <v>81</v>
      </c>
      <c r="B95" s="8" t="s">
        <v>9</v>
      </c>
      <c r="C95" s="2">
        <v>0</v>
      </c>
      <c r="D95" s="2"/>
      <c r="E95" s="7">
        <f t="shared" si="1"/>
        <v>0</v>
      </c>
    </row>
    <row r="96" spans="1:5" ht="15.6" x14ac:dyDescent="0.3">
      <c r="A96" s="8" t="s">
        <v>108</v>
      </c>
      <c r="B96" s="8" t="s">
        <v>3</v>
      </c>
      <c r="C96" s="2">
        <v>22</v>
      </c>
      <c r="D96" s="2">
        <v>19000</v>
      </c>
      <c r="E96" s="7">
        <f t="shared" si="1"/>
        <v>418000</v>
      </c>
    </row>
    <row r="97" spans="1:5" ht="15.6" x14ac:dyDescent="0.3">
      <c r="A97" s="8" t="s">
        <v>82</v>
      </c>
      <c r="B97" s="8" t="s">
        <v>3</v>
      </c>
      <c r="C97" s="2">
        <v>75</v>
      </c>
      <c r="D97" s="2">
        <v>22000</v>
      </c>
      <c r="E97" s="7">
        <f t="shared" si="1"/>
        <v>1650000</v>
      </c>
    </row>
    <row r="98" spans="1:5" ht="15.6" hidden="1" x14ac:dyDescent="0.3">
      <c r="A98" s="8" t="s">
        <v>82</v>
      </c>
      <c r="B98" s="8" t="s">
        <v>9</v>
      </c>
      <c r="C98" s="2">
        <v>0</v>
      </c>
      <c r="D98" s="2"/>
      <c r="E98" s="7">
        <f t="shared" si="1"/>
        <v>0</v>
      </c>
    </row>
    <row r="99" spans="1:5" ht="15.6" x14ac:dyDescent="0.3">
      <c r="A99" s="8" t="s">
        <v>109</v>
      </c>
      <c r="B99" s="8" t="s">
        <v>3</v>
      </c>
      <c r="C99" s="2">
        <v>12</v>
      </c>
      <c r="D99" s="2">
        <v>17000</v>
      </c>
      <c r="E99" s="7">
        <f t="shared" si="1"/>
        <v>204000</v>
      </c>
    </row>
    <row r="100" spans="1:5" ht="15.6" x14ac:dyDescent="0.3">
      <c r="A100" s="8" t="s">
        <v>83</v>
      </c>
      <c r="B100" s="8" t="s">
        <v>3</v>
      </c>
      <c r="C100" s="2">
        <v>87</v>
      </c>
      <c r="D100" s="2">
        <v>30000</v>
      </c>
      <c r="E100" s="7">
        <f t="shared" si="1"/>
        <v>2610000</v>
      </c>
    </row>
    <row r="101" spans="1:5" ht="15.6" hidden="1" x14ac:dyDescent="0.3">
      <c r="A101" s="8" t="s">
        <v>83</v>
      </c>
      <c r="B101" s="8" t="s">
        <v>9</v>
      </c>
      <c r="C101" s="2">
        <v>0</v>
      </c>
      <c r="D101" s="2"/>
      <c r="E101" s="7">
        <f t="shared" si="1"/>
        <v>0</v>
      </c>
    </row>
    <row r="102" spans="1:5" ht="15.6" x14ac:dyDescent="0.3">
      <c r="A102" s="8" t="s">
        <v>110</v>
      </c>
      <c r="B102" s="8" t="s">
        <v>3</v>
      </c>
      <c r="C102" s="2">
        <v>13</v>
      </c>
      <c r="D102" s="2">
        <v>25000</v>
      </c>
      <c r="E102" s="7">
        <f t="shared" si="1"/>
        <v>325000</v>
      </c>
    </row>
    <row r="103" spans="1:5" ht="15.6" x14ac:dyDescent="0.3">
      <c r="A103" s="8" t="s">
        <v>84</v>
      </c>
      <c r="B103" s="8" t="s">
        <v>34</v>
      </c>
      <c r="C103" s="2">
        <v>53</v>
      </c>
      <c r="D103" s="2">
        <v>17000</v>
      </c>
      <c r="E103" s="7">
        <f t="shared" si="1"/>
        <v>901000</v>
      </c>
    </row>
    <row r="104" spans="1:5" ht="15.6" hidden="1" x14ac:dyDescent="0.3">
      <c r="A104" s="8" t="s">
        <v>85</v>
      </c>
      <c r="B104" s="8" t="s">
        <v>34</v>
      </c>
      <c r="C104" s="2">
        <v>0</v>
      </c>
      <c r="D104" s="2"/>
      <c r="E104" s="7">
        <f t="shared" si="1"/>
        <v>0</v>
      </c>
    </row>
    <row r="105" spans="1:5" ht="15.6" hidden="1" x14ac:dyDescent="0.3">
      <c r="A105" s="8" t="s">
        <v>111</v>
      </c>
      <c r="B105" s="8" t="s">
        <v>3</v>
      </c>
      <c r="C105" s="2">
        <v>0</v>
      </c>
      <c r="D105" s="2"/>
      <c r="E105" s="7">
        <f t="shared" si="1"/>
        <v>0</v>
      </c>
    </row>
    <row r="106" spans="1:5" ht="15.6" x14ac:dyDescent="0.3">
      <c r="A106" s="8" t="s">
        <v>86</v>
      </c>
      <c r="B106" s="8" t="s">
        <v>9</v>
      </c>
      <c r="C106" s="2">
        <v>836</v>
      </c>
      <c r="D106" s="2">
        <v>9000</v>
      </c>
      <c r="E106" s="7">
        <f t="shared" si="1"/>
        <v>7524000</v>
      </c>
    </row>
    <row r="107" spans="1:5" ht="15.6" x14ac:dyDescent="0.3">
      <c r="A107" s="8" t="s">
        <v>87</v>
      </c>
      <c r="B107" s="8" t="s">
        <v>9</v>
      </c>
      <c r="C107" s="2">
        <v>353</v>
      </c>
      <c r="D107" s="2">
        <v>11361</v>
      </c>
      <c r="E107" s="7">
        <f t="shared" si="1"/>
        <v>4010433</v>
      </c>
    </row>
    <row r="108" spans="1:5" ht="15.6" x14ac:dyDescent="0.3">
      <c r="A108" s="8" t="s">
        <v>89</v>
      </c>
      <c r="B108" s="8" t="s">
        <v>3</v>
      </c>
      <c r="C108" s="2">
        <v>14</v>
      </c>
      <c r="D108" s="2">
        <v>18000</v>
      </c>
      <c r="E108" s="7">
        <f t="shared" si="1"/>
        <v>252000</v>
      </c>
    </row>
    <row r="109" spans="1:5" ht="15.6" hidden="1" x14ac:dyDescent="0.3">
      <c r="A109" s="8" t="s">
        <v>112</v>
      </c>
      <c r="B109" s="8" t="s">
        <v>29</v>
      </c>
      <c r="C109" s="2">
        <v>0</v>
      </c>
      <c r="D109" s="2"/>
      <c r="E109" s="7">
        <f t="shared" si="1"/>
        <v>0</v>
      </c>
    </row>
    <row r="110" spans="1:5" ht="15.6" x14ac:dyDescent="0.3">
      <c r="A110" s="8" t="s">
        <v>90</v>
      </c>
      <c r="B110" s="8" t="s">
        <v>3</v>
      </c>
      <c r="C110" s="2">
        <v>80</v>
      </c>
      <c r="D110" s="2">
        <v>8000</v>
      </c>
      <c r="E110" s="7">
        <f t="shared" si="1"/>
        <v>640000</v>
      </c>
    </row>
    <row r="111" spans="1:5" ht="15.6" hidden="1" x14ac:dyDescent="0.3">
      <c r="A111" s="8" t="s">
        <v>113</v>
      </c>
      <c r="B111" s="8" t="s">
        <v>3</v>
      </c>
      <c r="C111" s="2">
        <v>0</v>
      </c>
      <c r="D111" s="2"/>
      <c r="E111" s="7">
        <f t="shared" si="1"/>
        <v>0</v>
      </c>
    </row>
    <row r="112" spans="1:5" ht="15.6" x14ac:dyDescent="0.3">
      <c r="A112" s="8" t="s">
        <v>91</v>
      </c>
      <c r="B112" s="8" t="s">
        <v>3</v>
      </c>
      <c r="C112" s="2">
        <v>69</v>
      </c>
      <c r="D112" s="2">
        <v>22000</v>
      </c>
      <c r="E112" s="7">
        <f t="shared" si="1"/>
        <v>1518000</v>
      </c>
    </row>
    <row r="113" spans="1:5" ht="15.6" hidden="1" x14ac:dyDescent="0.3">
      <c r="A113" s="8" t="s">
        <v>92</v>
      </c>
      <c r="B113" s="8" t="s">
        <v>3</v>
      </c>
      <c r="C113" s="2">
        <v>0</v>
      </c>
      <c r="D113" s="2"/>
      <c r="E113" s="7">
        <f t="shared" si="1"/>
        <v>0</v>
      </c>
    </row>
    <row r="114" spans="1:5" ht="15.6" hidden="1" x14ac:dyDescent="0.3">
      <c r="A114" s="8" t="s">
        <v>93</v>
      </c>
      <c r="B114" s="8" t="s">
        <v>19</v>
      </c>
      <c r="C114" s="2">
        <v>0</v>
      </c>
      <c r="D114" s="2"/>
      <c r="E114" s="7">
        <f t="shared" si="1"/>
        <v>0</v>
      </c>
    </row>
    <row r="115" spans="1:5" ht="15.6" hidden="1" x14ac:dyDescent="0.3">
      <c r="A115" s="8" t="s">
        <v>94</v>
      </c>
      <c r="B115" s="8" t="s">
        <v>3</v>
      </c>
      <c r="C115" s="2">
        <v>0</v>
      </c>
      <c r="D115" s="2"/>
      <c r="E115" s="7">
        <f t="shared" si="1"/>
        <v>0</v>
      </c>
    </row>
    <row r="116" spans="1:5" ht="15.6" hidden="1" x14ac:dyDescent="0.3">
      <c r="A116" s="8" t="s">
        <v>95</v>
      </c>
      <c r="B116" s="8" t="s">
        <v>19</v>
      </c>
      <c r="C116" s="2">
        <v>0</v>
      </c>
      <c r="D116" s="2"/>
      <c r="E116" s="7">
        <f t="shared" si="1"/>
        <v>0</v>
      </c>
    </row>
    <row r="117" spans="1:5" ht="15.6" hidden="1" x14ac:dyDescent="0.3">
      <c r="A117" s="8" t="s">
        <v>96</v>
      </c>
      <c r="B117" s="8" t="s">
        <v>3</v>
      </c>
      <c r="C117" s="2">
        <v>0</v>
      </c>
      <c r="D117" s="2"/>
      <c r="E117" s="7">
        <f t="shared" si="1"/>
        <v>0</v>
      </c>
    </row>
    <row r="118" spans="1:5" ht="15.6" x14ac:dyDescent="0.3">
      <c r="A118" s="8" t="s">
        <v>97</v>
      </c>
      <c r="B118" s="8" t="s">
        <v>3</v>
      </c>
      <c r="C118" s="2">
        <v>15</v>
      </c>
      <c r="D118" s="2">
        <v>25000</v>
      </c>
      <c r="E118" s="7">
        <f t="shared" si="1"/>
        <v>375000</v>
      </c>
    </row>
    <row r="119" spans="1:5" ht="15.6" x14ac:dyDescent="0.3">
      <c r="A119" s="8" t="s">
        <v>98</v>
      </c>
      <c r="B119" s="8" t="s">
        <v>19</v>
      </c>
      <c r="C119" s="2">
        <v>30</v>
      </c>
      <c r="D119" s="2">
        <v>7500</v>
      </c>
      <c r="E119" s="7">
        <f t="shared" si="1"/>
        <v>225000</v>
      </c>
    </row>
    <row r="120" spans="1:5" x14ac:dyDescent="0.3">
      <c r="E120" s="9">
        <f>SUM(E3:E119)</f>
        <v>126092433</v>
      </c>
    </row>
  </sheetData>
  <autoFilter ref="A2:F119" xr:uid="{00000000-0009-0000-0000-000008000000}">
    <filterColumn colId="2">
      <filters>
        <filter val="1"/>
        <filter val="1,084"/>
        <filter val="1,152"/>
        <filter val="1,270"/>
        <filter val="1,275"/>
        <filter val="10"/>
        <filter val="100"/>
        <filter val="105"/>
        <filter val="11"/>
        <filter val="110"/>
        <filter val="12"/>
        <filter val="127"/>
        <filter val="13"/>
        <filter val="14"/>
        <filter val="140"/>
        <filter val="15"/>
        <filter val="18"/>
        <filter val="182"/>
        <filter val="19"/>
        <filter val="20"/>
        <filter val="200"/>
        <filter val="217"/>
        <filter val="22"/>
        <filter val="24"/>
        <filter val="280"/>
        <filter val="286"/>
        <filter val="29"/>
        <filter val="30"/>
        <filter val="305"/>
        <filter val="33"/>
        <filter val="34"/>
        <filter val="353"/>
        <filter val="39"/>
        <filter val="396"/>
        <filter val="40"/>
        <filter val="420"/>
        <filter val="427"/>
        <filter val="49"/>
        <filter val="5"/>
        <filter val="50"/>
        <filter val="510"/>
        <filter val="53"/>
        <filter val="58"/>
        <filter val="610"/>
        <filter val="62"/>
        <filter val="69"/>
        <filter val="7"/>
        <filter val="75"/>
        <filter val="8"/>
        <filter val="80"/>
        <filter val="836"/>
        <filter val="87"/>
        <filter val="9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14"/>
  <sheetViews>
    <sheetView workbookViewId="0">
      <selection activeCell="G4" sqref="G4"/>
    </sheetView>
  </sheetViews>
  <sheetFormatPr defaultRowHeight="14.4" x14ac:dyDescent="0.3"/>
  <cols>
    <col min="1" max="1" width="26.109375" customWidth="1"/>
    <col min="4" max="4" width="14.77734375" customWidth="1"/>
    <col min="5" max="5" width="20.44140625" customWidth="1"/>
  </cols>
  <sheetData>
    <row r="1" spans="1:5" x14ac:dyDescent="0.3">
      <c r="A1" t="s">
        <v>133</v>
      </c>
    </row>
    <row r="2" spans="1:5" ht="45.6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4" t="s">
        <v>2</v>
      </c>
      <c r="B3" s="4" t="s">
        <v>3</v>
      </c>
      <c r="C3" s="2">
        <v>23</v>
      </c>
      <c r="D3" s="2">
        <v>18000</v>
      </c>
      <c r="E3" s="18">
        <f>C3*D3</f>
        <v>414000</v>
      </c>
    </row>
    <row r="4" spans="1:5" ht="15.6" x14ac:dyDescent="0.3">
      <c r="A4" s="8" t="s">
        <v>4</v>
      </c>
      <c r="B4" s="8" t="s">
        <v>3</v>
      </c>
      <c r="C4" s="2">
        <v>390</v>
      </c>
      <c r="D4" s="2">
        <v>4000</v>
      </c>
      <c r="E4" s="18">
        <f t="shared" ref="E4:E67" si="0">C4*D4</f>
        <v>1560000</v>
      </c>
    </row>
    <row r="5" spans="1:5" ht="15.6" x14ac:dyDescent="0.3">
      <c r="A5" s="8" t="s">
        <v>5</v>
      </c>
      <c r="B5" s="8" t="s">
        <v>3</v>
      </c>
      <c r="C5" s="2">
        <v>573</v>
      </c>
      <c r="D5" s="2">
        <v>4000</v>
      </c>
      <c r="E5" s="18">
        <f t="shared" si="0"/>
        <v>2292000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18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18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854</v>
      </c>
      <c r="D8" s="2">
        <v>9500</v>
      </c>
      <c r="E8" s="18">
        <f t="shared" si="0"/>
        <v>8113000</v>
      </c>
    </row>
    <row r="9" spans="1:5" ht="15.6" x14ac:dyDescent="0.3">
      <c r="A9" s="4" t="s">
        <v>8</v>
      </c>
      <c r="B9" s="4" t="s">
        <v>3</v>
      </c>
      <c r="C9" s="2">
        <v>5</v>
      </c>
      <c r="D9" s="2">
        <v>15000</v>
      </c>
      <c r="E9" s="18">
        <f t="shared" si="0"/>
        <v>75000</v>
      </c>
    </row>
    <row r="10" spans="1:5" ht="15.6" hidden="1" x14ac:dyDescent="0.3">
      <c r="A10" s="4" t="s">
        <v>8</v>
      </c>
      <c r="B10" s="4" t="s">
        <v>9</v>
      </c>
      <c r="C10" s="2">
        <v>0</v>
      </c>
      <c r="D10" s="2"/>
      <c r="E10" s="18">
        <f t="shared" si="0"/>
        <v>0</v>
      </c>
    </row>
    <row r="11" spans="1:5" ht="15.6" x14ac:dyDescent="0.3">
      <c r="A11" s="4" t="s">
        <v>11</v>
      </c>
      <c r="B11" s="4" t="s">
        <v>3</v>
      </c>
      <c r="C11" s="2">
        <v>115</v>
      </c>
      <c r="D11" s="2">
        <v>9000</v>
      </c>
      <c r="E11" s="18">
        <f t="shared" si="0"/>
        <v>1035000</v>
      </c>
    </row>
    <row r="12" spans="1:5" ht="15.6" hidden="1" x14ac:dyDescent="0.3">
      <c r="A12" s="4" t="s">
        <v>11</v>
      </c>
      <c r="B12" s="4" t="s">
        <v>9</v>
      </c>
      <c r="C12" s="2">
        <v>0</v>
      </c>
      <c r="D12" s="2"/>
      <c r="E12" s="18">
        <f t="shared" si="0"/>
        <v>0</v>
      </c>
    </row>
    <row r="13" spans="1:5" ht="15.6" hidden="1" x14ac:dyDescent="0.3">
      <c r="A13" s="8" t="s">
        <v>12</v>
      </c>
      <c r="B13" s="8" t="s">
        <v>3</v>
      </c>
      <c r="C13" s="2">
        <v>0</v>
      </c>
      <c r="D13" s="2"/>
      <c r="E13" s="18">
        <f t="shared" si="0"/>
        <v>0</v>
      </c>
    </row>
    <row r="14" spans="1:5" ht="15.6" hidden="1" x14ac:dyDescent="0.3">
      <c r="A14" s="8" t="s">
        <v>13</v>
      </c>
      <c r="B14" s="8" t="s">
        <v>3</v>
      </c>
      <c r="C14" s="2">
        <v>0</v>
      </c>
      <c r="D14" s="2"/>
      <c r="E14" s="18">
        <f t="shared" si="0"/>
        <v>0</v>
      </c>
    </row>
    <row r="15" spans="1:5" ht="15.6" hidden="1" x14ac:dyDescent="0.3">
      <c r="A15" s="8" t="s">
        <v>14</v>
      </c>
      <c r="B15" s="8" t="s">
        <v>3</v>
      </c>
      <c r="C15" s="2">
        <v>0</v>
      </c>
      <c r="D15" s="2"/>
      <c r="E15" s="18">
        <f t="shared" si="0"/>
        <v>0</v>
      </c>
    </row>
    <row r="16" spans="1:5" ht="15.6" hidden="1" x14ac:dyDescent="0.3">
      <c r="A16" s="8" t="s">
        <v>15</v>
      </c>
      <c r="B16" s="8" t="s">
        <v>3</v>
      </c>
      <c r="C16" s="2">
        <v>0</v>
      </c>
      <c r="D16" s="2"/>
      <c r="E16" s="18">
        <f t="shared" si="0"/>
        <v>0</v>
      </c>
    </row>
    <row r="17" spans="1:5" ht="15.6" x14ac:dyDescent="0.3">
      <c r="A17" s="8" t="s">
        <v>16</v>
      </c>
      <c r="B17" s="8" t="s">
        <v>17</v>
      </c>
      <c r="C17" s="2">
        <v>7</v>
      </c>
      <c r="D17" s="2">
        <v>6000</v>
      </c>
      <c r="E17" s="18">
        <f t="shared" si="0"/>
        <v>42000</v>
      </c>
    </row>
    <row r="18" spans="1:5" ht="15.6" x14ac:dyDescent="0.3">
      <c r="A18" s="8" t="s">
        <v>18</v>
      </c>
      <c r="B18" s="8" t="s">
        <v>19</v>
      </c>
      <c r="C18" s="2">
        <v>735</v>
      </c>
      <c r="D18" s="2">
        <v>5000</v>
      </c>
      <c r="E18" s="18">
        <f t="shared" si="0"/>
        <v>3675000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2"/>
      <c r="E19" s="18">
        <f t="shared" si="0"/>
        <v>0</v>
      </c>
    </row>
    <row r="20" spans="1:5" ht="15.6" hidden="1" x14ac:dyDescent="0.3">
      <c r="A20" s="8" t="s">
        <v>21</v>
      </c>
      <c r="B20" s="8" t="s">
        <v>3</v>
      </c>
      <c r="C20" s="2">
        <v>0</v>
      </c>
      <c r="D20" s="2"/>
      <c r="E20" s="18">
        <f t="shared" si="0"/>
        <v>0</v>
      </c>
    </row>
    <row r="21" spans="1:5" ht="15.6" x14ac:dyDescent="0.3">
      <c r="A21" s="8" t="s">
        <v>22</v>
      </c>
      <c r="B21" s="8" t="s">
        <v>3</v>
      </c>
      <c r="C21" s="2">
        <v>55</v>
      </c>
      <c r="D21" s="2">
        <v>16000</v>
      </c>
      <c r="E21" s="18">
        <f t="shared" si="0"/>
        <v>880000</v>
      </c>
    </row>
    <row r="22" spans="1:5" ht="15.6" hidden="1" x14ac:dyDescent="0.3">
      <c r="A22" s="8" t="s">
        <v>22</v>
      </c>
      <c r="B22" s="8" t="s">
        <v>17</v>
      </c>
      <c r="C22" s="2">
        <v>0</v>
      </c>
      <c r="D22" s="2"/>
      <c r="E22" s="18">
        <f t="shared" si="0"/>
        <v>0</v>
      </c>
    </row>
    <row r="23" spans="1:5" ht="15.6" hidden="1" x14ac:dyDescent="0.3">
      <c r="A23" s="8" t="s">
        <v>22</v>
      </c>
      <c r="B23" s="8" t="s">
        <v>23</v>
      </c>
      <c r="C23" s="2">
        <v>0</v>
      </c>
      <c r="D23" s="2"/>
      <c r="E23" s="18">
        <f t="shared" si="0"/>
        <v>0</v>
      </c>
    </row>
    <row r="24" spans="1:5" ht="15.6" x14ac:dyDescent="0.3">
      <c r="A24" s="8" t="s">
        <v>24</v>
      </c>
      <c r="B24" s="8" t="s">
        <v>3</v>
      </c>
      <c r="C24" s="2">
        <v>45</v>
      </c>
      <c r="D24" s="2">
        <v>14000</v>
      </c>
      <c r="E24" s="18">
        <f t="shared" si="0"/>
        <v>630000</v>
      </c>
    </row>
    <row r="25" spans="1:5" ht="15.6" hidden="1" x14ac:dyDescent="0.3">
      <c r="A25" s="8" t="s">
        <v>24</v>
      </c>
      <c r="B25" s="8" t="s">
        <v>25</v>
      </c>
      <c r="C25" s="2">
        <v>0</v>
      </c>
      <c r="D25" s="2"/>
      <c r="E25" s="18">
        <f t="shared" si="0"/>
        <v>0</v>
      </c>
    </row>
    <row r="26" spans="1:5" ht="15.6" x14ac:dyDescent="0.3">
      <c r="A26" s="8" t="s">
        <v>26</v>
      </c>
      <c r="B26" s="8" t="s">
        <v>3</v>
      </c>
      <c r="C26" s="2">
        <v>9</v>
      </c>
      <c r="D26" s="2">
        <v>16000</v>
      </c>
      <c r="E26" s="18">
        <f t="shared" si="0"/>
        <v>144000</v>
      </c>
    </row>
    <row r="27" spans="1:5" ht="15.6" x14ac:dyDescent="0.3">
      <c r="A27" s="8" t="s">
        <v>26</v>
      </c>
      <c r="B27" s="8" t="s">
        <v>27</v>
      </c>
      <c r="C27" s="2">
        <v>15</v>
      </c>
      <c r="D27" s="2">
        <v>4800</v>
      </c>
      <c r="E27" s="18">
        <f t="shared" si="0"/>
        <v>72000</v>
      </c>
    </row>
    <row r="28" spans="1:5" ht="15.6" x14ac:dyDescent="0.3">
      <c r="A28" s="8" t="s">
        <v>28</v>
      </c>
      <c r="B28" s="8" t="s">
        <v>29</v>
      </c>
      <c r="C28" s="2">
        <v>55</v>
      </c>
      <c r="D28" s="2">
        <v>12000</v>
      </c>
      <c r="E28" s="18">
        <f t="shared" si="0"/>
        <v>660000</v>
      </c>
    </row>
    <row r="29" spans="1:5" ht="15.6" hidden="1" x14ac:dyDescent="0.3">
      <c r="A29" s="8" t="s">
        <v>30</v>
      </c>
      <c r="B29" s="8" t="s">
        <v>3</v>
      </c>
      <c r="C29" s="2">
        <v>0</v>
      </c>
      <c r="D29" s="2"/>
      <c r="E29" s="18">
        <f t="shared" si="0"/>
        <v>0</v>
      </c>
    </row>
    <row r="30" spans="1:5" ht="15.6" x14ac:dyDescent="0.3">
      <c r="A30" s="8" t="s">
        <v>30</v>
      </c>
      <c r="B30" s="8" t="s">
        <v>27</v>
      </c>
      <c r="C30" s="2">
        <v>220</v>
      </c>
      <c r="D30" s="2">
        <v>10000</v>
      </c>
      <c r="E30" s="18">
        <f t="shared" si="0"/>
        <v>2200000</v>
      </c>
    </row>
    <row r="31" spans="1:5" ht="15.6" x14ac:dyDescent="0.3">
      <c r="A31" s="8" t="s">
        <v>30</v>
      </c>
      <c r="B31" s="8" t="s">
        <v>31</v>
      </c>
      <c r="C31" s="2">
        <v>282</v>
      </c>
      <c r="D31" s="2">
        <v>7500</v>
      </c>
      <c r="E31" s="18">
        <f t="shared" si="0"/>
        <v>2115000</v>
      </c>
    </row>
    <row r="32" spans="1:5" ht="15.6" x14ac:dyDescent="0.3">
      <c r="A32" s="4" t="s">
        <v>32</v>
      </c>
      <c r="B32" s="4" t="s">
        <v>3</v>
      </c>
      <c r="C32" s="2">
        <v>180</v>
      </c>
      <c r="D32" s="2">
        <v>9000</v>
      </c>
      <c r="E32" s="18">
        <f t="shared" si="0"/>
        <v>1620000</v>
      </c>
    </row>
    <row r="33" spans="1:5" ht="15.6" hidden="1" x14ac:dyDescent="0.3">
      <c r="A33" s="8" t="s">
        <v>32</v>
      </c>
      <c r="B33" s="8" t="s">
        <v>17</v>
      </c>
      <c r="C33" s="2">
        <v>0</v>
      </c>
      <c r="D33" s="2"/>
      <c r="E33" s="18">
        <f t="shared" si="0"/>
        <v>0</v>
      </c>
    </row>
    <row r="34" spans="1:5" ht="15.6" x14ac:dyDescent="0.3">
      <c r="A34" s="8" t="s">
        <v>33</v>
      </c>
      <c r="B34" s="8" t="s">
        <v>34</v>
      </c>
      <c r="C34" s="2">
        <v>85</v>
      </c>
      <c r="D34" s="2">
        <v>6000</v>
      </c>
      <c r="E34" s="18">
        <f t="shared" si="0"/>
        <v>510000</v>
      </c>
    </row>
    <row r="35" spans="1:5" ht="15.6" x14ac:dyDescent="0.3">
      <c r="A35" s="8" t="s">
        <v>35</v>
      </c>
      <c r="B35" s="8" t="s">
        <v>3</v>
      </c>
      <c r="C35" s="2">
        <v>120</v>
      </c>
      <c r="D35" s="2">
        <v>6500</v>
      </c>
      <c r="E35" s="18">
        <f t="shared" si="0"/>
        <v>780000</v>
      </c>
    </row>
    <row r="36" spans="1:5" ht="15.6" hidden="1" x14ac:dyDescent="0.3">
      <c r="A36" s="8" t="s">
        <v>35</v>
      </c>
      <c r="B36" s="8" t="s">
        <v>34</v>
      </c>
      <c r="C36" s="2">
        <v>0</v>
      </c>
      <c r="D36" s="2"/>
      <c r="E36" s="18">
        <f t="shared" si="0"/>
        <v>0</v>
      </c>
    </row>
    <row r="37" spans="1:5" ht="15.6" x14ac:dyDescent="0.3">
      <c r="A37" s="8" t="s">
        <v>36</v>
      </c>
      <c r="B37" s="8" t="s">
        <v>17</v>
      </c>
      <c r="C37" s="2">
        <v>18</v>
      </c>
      <c r="D37" s="2">
        <v>6000</v>
      </c>
      <c r="E37" s="18">
        <f t="shared" si="0"/>
        <v>108000</v>
      </c>
    </row>
    <row r="38" spans="1:5" ht="15.6" x14ac:dyDescent="0.3">
      <c r="A38" s="8" t="s">
        <v>37</v>
      </c>
      <c r="B38" s="8" t="s">
        <v>3</v>
      </c>
      <c r="C38" s="2">
        <v>55</v>
      </c>
      <c r="D38" s="2">
        <v>8000</v>
      </c>
      <c r="E38" s="18">
        <f t="shared" si="0"/>
        <v>440000</v>
      </c>
    </row>
    <row r="39" spans="1:5" ht="15.6" hidden="1" x14ac:dyDescent="0.3">
      <c r="A39" s="8" t="s">
        <v>37</v>
      </c>
      <c r="B39" s="8" t="s">
        <v>38</v>
      </c>
      <c r="C39" s="2">
        <v>0</v>
      </c>
      <c r="D39" s="2"/>
      <c r="E39" s="18">
        <f t="shared" si="0"/>
        <v>0</v>
      </c>
    </row>
    <row r="40" spans="1:5" ht="15.6" hidden="1" x14ac:dyDescent="0.3">
      <c r="A40" s="8" t="s">
        <v>39</v>
      </c>
      <c r="B40" s="8" t="s">
        <v>3</v>
      </c>
      <c r="C40" s="2">
        <v>0</v>
      </c>
      <c r="D40" s="2"/>
      <c r="E40" s="18">
        <f t="shared" si="0"/>
        <v>0</v>
      </c>
    </row>
    <row r="41" spans="1:5" ht="15.6" hidden="1" x14ac:dyDescent="0.3">
      <c r="A41" s="8" t="s">
        <v>39</v>
      </c>
      <c r="B41" s="8" t="s">
        <v>34</v>
      </c>
      <c r="C41" s="2">
        <v>0</v>
      </c>
      <c r="D41" s="2"/>
      <c r="E41" s="18">
        <f t="shared" si="0"/>
        <v>0</v>
      </c>
    </row>
    <row r="42" spans="1:5" ht="15.6" x14ac:dyDescent="0.3">
      <c r="A42" s="8" t="s">
        <v>40</v>
      </c>
      <c r="B42" s="8" t="s">
        <v>34</v>
      </c>
      <c r="C42" s="2">
        <v>9</v>
      </c>
      <c r="D42" s="2">
        <v>3000</v>
      </c>
      <c r="E42" s="18">
        <f t="shared" si="0"/>
        <v>27000</v>
      </c>
    </row>
    <row r="43" spans="1:5" ht="15.6" x14ac:dyDescent="0.3">
      <c r="A43" s="8" t="s">
        <v>41</v>
      </c>
      <c r="B43" s="8" t="s">
        <v>34</v>
      </c>
      <c r="C43" s="2">
        <v>10</v>
      </c>
      <c r="D43" s="2">
        <v>3000</v>
      </c>
      <c r="E43" s="18">
        <f t="shared" si="0"/>
        <v>30000</v>
      </c>
    </row>
    <row r="44" spans="1:5" ht="15.6" x14ac:dyDescent="0.3">
      <c r="A44" s="8" t="s">
        <v>42</v>
      </c>
      <c r="B44" s="8" t="s">
        <v>3</v>
      </c>
      <c r="C44" s="2">
        <v>1010</v>
      </c>
      <c r="D44" s="2">
        <v>3000</v>
      </c>
      <c r="E44" s="18">
        <f t="shared" si="0"/>
        <v>3030000</v>
      </c>
    </row>
    <row r="45" spans="1:5" ht="15.6" hidden="1" x14ac:dyDescent="0.3">
      <c r="A45" s="8" t="s">
        <v>43</v>
      </c>
      <c r="B45" s="8" t="s">
        <v>3</v>
      </c>
      <c r="C45" s="2">
        <v>0</v>
      </c>
      <c r="D45" s="2"/>
      <c r="E45" s="18">
        <f t="shared" si="0"/>
        <v>0</v>
      </c>
    </row>
    <row r="46" spans="1:5" ht="15.6" x14ac:dyDescent="0.3">
      <c r="A46" s="8" t="s">
        <v>44</v>
      </c>
      <c r="B46" s="8" t="s">
        <v>3</v>
      </c>
      <c r="C46" s="2">
        <v>1040</v>
      </c>
      <c r="D46" s="2">
        <v>3000</v>
      </c>
      <c r="E46" s="18">
        <f t="shared" si="0"/>
        <v>3120000</v>
      </c>
    </row>
    <row r="47" spans="1:5" ht="15.6" x14ac:dyDescent="0.3">
      <c r="A47" s="4" t="s">
        <v>45</v>
      </c>
      <c r="B47" s="4" t="s">
        <v>3</v>
      </c>
      <c r="C47" s="2">
        <v>5</v>
      </c>
      <c r="D47" s="2">
        <v>9000</v>
      </c>
      <c r="E47" s="18">
        <f t="shared" si="0"/>
        <v>45000</v>
      </c>
    </row>
    <row r="48" spans="1:5" ht="15.6" hidden="1" x14ac:dyDescent="0.3">
      <c r="A48" s="4" t="s">
        <v>45</v>
      </c>
      <c r="B48" s="4" t="s">
        <v>19</v>
      </c>
      <c r="C48" s="2">
        <v>0</v>
      </c>
      <c r="D48" s="2"/>
      <c r="E48" s="18">
        <f t="shared" si="0"/>
        <v>0</v>
      </c>
    </row>
    <row r="49" spans="1:5" ht="15.6" hidden="1" x14ac:dyDescent="0.3">
      <c r="A49" s="8" t="s">
        <v>46</v>
      </c>
      <c r="B49" s="8" t="s">
        <v>29</v>
      </c>
      <c r="C49" s="2">
        <v>0</v>
      </c>
      <c r="D49" s="2"/>
      <c r="E49" s="18">
        <f t="shared" si="0"/>
        <v>0</v>
      </c>
    </row>
    <row r="50" spans="1:5" ht="15.6" hidden="1" x14ac:dyDescent="0.3">
      <c r="A50" s="4" t="s">
        <v>132</v>
      </c>
      <c r="B50" s="4" t="s">
        <v>17</v>
      </c>
      <c r="C50" s="2">
        <v>0</v>
      </c>
      <c r="D50" s="2"/>
      <c r="E50" s="18">
        <f t="shared" si="0"/>
        <v>0</v>
      </c>
    </row>
    <row r="51" spans="1:5" ht="15.6" x14ac:dyDescent="0.3">
      <c r="A51" s="4" t="s">
        <v>47</v>
      </c>
      <c r="B51" s="4" t="s">
        <v>3</v>
      </c>
      <c r="C51" s="2">
        <v>8</v>
      </c>
      <c r="D51" s="2">
        <v>5500</v>
      </c>
      <c r="E51" s="18">
        <f t="shared" si="0"/>
        <v>44000</v>
      </c>
    </row>
    <row r="52" spans="1:5" ht="15.6" x14ac:dyDescent="0.3">
      <c r="A52" s="4" t="s">
        <v>48</v>
      </c>
      <c r="B52" s="4" t="s">
        <v>3</v>
      </c>
      <c r="C52" s="2">
        <v>31</v>
      </c>
      <c r="D52" s="2">
        <v>8000</v>
      </c>
      <c r="E52" s="18">
        <f t="shared" si="0"/>
        <v>248000</v>
      </c>
    </row>
    <row r="53" spans="1:5" ht="15.6" hidden="1" x14ac:dyDescent="0.3">
      <c r="A53" s="4" t="s">
        <v>48</v>
      </c>
      <c r="B53" s="4" t="s">
        <v>34</v>
      </c>
      <c r="C53" s="2">
        <v>0</v>
      </c>
      <c r="D53" s="2"/>
      <c r="E53" s="18">
        <f t="shared" si="0"/>
        <v>0</v>
      </c>
    </row>
    <row r="54" spans="1:5" ht="15.6" x14ac:dyDescent="0.3">
      <c r="A54" s="4" t="s">
        <v>49</v>
      </c>
      <c r="B54" s="4" t="s">
        <v>3</v>
      </c>
      <c r="C54" s="2">
        <v>13</v>
      </c>
      <c r="D54" s="2">
        <v>19000</v>
      </c>
      <c r="E54" s="18">
        <f t="shared" si="0"/>
        <v>247000</v>
      </c>
    </row>
    <row r="55" spans="1:5" ht="15.6" x14ac:dyDescent="0.3">
      <c r="A55" s="4" t="s">
        <v>50</v>
      </c>
      <c r="B55" s="4" t="s">
        <v>3</v>
      </c>
      <c r="C55" s="2">
        <v>110</v>
      </c>
      <c r="D55" s="2">
        <v>6000</v>
      </c>
      <c r="E55" s="18">
        <f t="shared" si="0"/>
        <v>660000</v>
      </c>
    </row>
    <row r="56" spans="1:5" ht="15.6" hidden="1" x14ac:dyDescent="0.3">
      <c r="A56" s="4" t="s">
        <v>50</v>
      </c>
      <c r="B56" s="4" t="s">
        <v>51</v>
      </c>
      <c r="C56" s="2">
        <v>0</v>
      </c>
      <c r="D56" s="2"/>
      <c r="E56" s="18">
        <f t="shared" si="0"/>
        <v>0</v>
      </c>
    </row>
    <row r="57" spans="1:5" ht="15.6" hidden="1" x14ac:dyDescent="0.3">
      <c r="A57" s="4" t="s">
        <v>52</v>
      </c>
      <c r="B57" s="4" t="s">
        <v>34</v>
      </c>
      <c r="C57" s="2">
        <v>0</v>
      </c>
      <c r="D57" s="2"/>
      <c r="E57" s="18">
        <f t="shared" si="0"/>
        <v>0</v>
      </c>
    </row>
    <row r="58" spans="1:5" ht="15.6" x14ac:dyDescent="0.3">
      <c r="A58" s="8" t="s">
        <v>53</v>
      </c>
      <c r="B58" s="8" t="s">
        <v>3</v>
      </c>
      <c r="C58" s="2">
        <v>1295</v>
      </c>
      <c r="D58" s="2">
        <v>26000</v>
      </c>
      <c r="E58" s="18">
        <f t="shared" si="0"/>
        <v>33670000</v>
      </c>
    </row>
    <row r="59" spans="1:5" ht="15.6" x14ac:dyDescent="0.3">
      <c r="A59" s="8" t="s">
        <v>54</v>
      </c>
      <c r="B59" s="8" t="s">
        <v>3</v>
      </c>
      <c r="C59" s="2">
        <v>250</v>
      </c>
      <c r="D59" s="2">
        <v>26000</v>
      </c>
      <c r="E59" s="18">
        <f t="shared" si="0"/>
        <v>6500000</v>
      </c>
    </row>
    <row r="60" spans="1:5" ht="15.6" hidden="1" x14ac:dyDescent="0.3">
      <c r="A60" s="8" t="s">
        <v>54</v>
      </c>
      <c r="B60" s="8" t="s">
        <v>34</v>
      </c>
      <c r="C60" s="2">
        <v>0</v>
      </c>
      <c r="D60" s="2"/>
      <c r="E60" s="18">
        <f t="shared" si="0"/>
        <v>0</v>
      </c>
    </row>
    <row r="61" spans="1:5" ht="15.6" x14ac:dyDescent="0.3">
      <c r="A61" s="8" t="s">
        <v>55</v>
      </c>
      <c r="B61" s="8" t="s">
        <v>3</v>
      </c>
      <c r="C61" s="2">
        <v>250</v>
      </c>
      <c r="D61" s="2">
        <v>16000</v>
      </c>
      <c r="E61" s="18">
        <f t="shared" si="0"/>
        <v>4000000</v>
      </c>
    </row>
    <row r="62" spans="1:5" ht="15.6" x14ac:dyDescent="0.3">
      <c r="A62" s="8" t="s">
        <v>56</v>
      </c>
      <c r="B62" s="8" t="s">
        <v>3</v>
      </c>
      <c r="C62" s="2">
        <v>76</v>
      </c>
      <c r="D62" s="2">
        <v>25000</v>
      </c>
      <c r="E62" s="18">
        <f t="shared" si="0"/>
        <v>1900000</v>
      </c>
    </row>
    <row r="63" spans="1:5" ht="15.6" hidden="1" x14ac:dyDescent="0.3">
      <c r="A63" s="8" t="s">
        <v>57</v>
      </c>
      <c r="B63" s="8" t="s">
        <v>3</v>
      </c>
      <c r="C63" s="2">
        <v>0</v>
      </c>
      <c r="D63" s="2"/>
      <c r="E63" s="18">
        <f t="shared" si="0"/>
        <v>0</v>
      </c>
    </row>
    <row r="64" spans="1:5" ht="15.6" hidden="1" x14ac:dyDescent="0.3">
      <c r="A64" s="4" t="s">
        <v>58</v>
      </c>
      <c r="B64" s="4" t="s">
        <v>34</v>
      </c>
      <c r="C64" s="2">
        <v>0</v>
      </c>
      <c r="D64" s="2"/>
      <c r="E64" s="18">
        <f t="shared" si="0"/>
        <v>0</v>
      </c>
    </row>
    <row r="65" spans="1:5" ht="15.6" x14ac:dyDescent="0.3">
      <c r="A65" s="4" t="s">
        <v>59</v>
      </c>
      <c r="B65" s="4" t="s">
        <v>3</v>
      </c>
      <c r="C65" s="2">
        <v>1535</v>
      </c>
      <c r="D65" s="2">
        <v>14000</v>
      </c>
      <c r="E65" s="18">
        <f t="shared" si="0"/>
        <v>21490000</v>
      </c>
    </row>
    <row r="66" spans="1:5" ht="15.6" hidden="1" x14ac:dyDescent="0.3">
      <c r="A66" s="4" t="s">
        <v>59</v>
      </c>
      <c r="B66" s="4" t="s">
        <v>34</v>
      </c>
      <c r="C66" s="2">
        <v>0</v>
      </c>
      <c r="D66" s="2"/>
      <c r="E66" s="18">
        <f t="shared" si="0"/>
        <v>0</v>
      </c>
    </row>
    <row r="67" spans="1:5" ht="15.6" x14ac:dyDescent="0.3">
      <c r="A67" s="4" t="s">
        <v>60</v>
      </c>
      <c r="B67" s="4" t="s">
        <v>34</v>
      </c>
      <c r="C67" s="2">
        <v>740</v>
      </c>
      <c r="D67" s="2">
        <v>4500</v>
      </c>
      <c r="E67" s="18">
        <f t="shared" si="0"/>
        <v>3330000</v>
      </c>
    </row>
    <row r="68" spans="1:5" ht="15.6" hidden="1" x14ac:dyDescent="0.3">
      <c r="A68" s="4" t="s">
        <v>61</v>
      </c>
      <c r="B68" s="4" t="s">
        <v>3</v>
      </c>
      <c r="C68" s="2">
        <v>0</v>
      </c>
      <c r="D68" s="2"/>
      <c r="E68" s="18">
        <f t="shared" ref="E68:E113" si="1">C68*D68</f>
        <v>0</v>
      </c>
    </row>
    <row r="69" spans="1:5" ht="15.6" hidden="1" x14ac:dyDescent="0.3">
      <c r="A69" s="8" t="s">
        <v>62</v>
      </c>
      <c r="B69" s="8" t="s">
        <v>3</v>
      </c>
      <c r="C69" s="2">
        <v>0</v>
      </c>
      <c r="D69" s="2"/>
      <c r="E69" s="18">
        <f t="shared" si="1"/>
        <v>0</v>
      </c>
    </row>
    <row r="70" spans="1:5" ht="15.6" hidden="1" x14ac:dyDescent="0.3">
      <c r="A70" s="8" t="s">
        <v>63</v>
      </c>
      <c r="B70" s="8" t="s">
        <v>3</v>
      </c>
      <c r="C70" s="2">
        <v>0</v>
      </c>
      <c r="D70" s="2"/>
      <c r="E70" s="18">
        <f t="shared" si="1"/>
        <v>0</v>
      </c>
    </row>
    <row r="71" spans="1:5" ht="15.6" hidden="1" x14ac:dyDescent="0.3">
      <c r="A71" s="8" t="s">
        <v>64</v>
      </c>
      <c r="B71" s="8" t="s">
        <v>3</v>
      </c>
      <c r="C71" s="2">
        <v>0</v>
      </c>
      <c r="D71" s="2"/>
      <c r="E71" s="18">
        <f t="shared" si="1"/>
        <v>0</v>
      </c>
    </row>
    <row r="72" spans="1:5" ht="15.6" x14ac:dyDescent="0.3">
      <c r="A72" s="8" t="s">
        <v>64</v>
      </c>
      <c r="B72" s="8" t="s">
        <v>17</v>
      </c>
      <c r="C72" s="2">
        <v>1358</v>
      </c>
      <c r="D72" s="2">
        <v>6700</v>
      </c>
      <c r="E72" s="18">
        <f t="shared" si="1"/>
        <v>9098600</v>
      </c>
    </row>
    <row r="73" spans="1:5" ht="15.6" hidden="1" x14ac:dyDescent="0.3">
      <c r="A73" s="4" t="s">
        <v>65</v>
      </c>
      <c r="B73" s="4" t="s">
        <v>3</v>
      </c>
      <c r="C73" s="2">
        <v>0</v>
      </c>
      <c r="D73" s="2"/>
      <c r="E73" s="18">
        <f t="shared" si="1"/>
        <v>0</v>
      </c>
    </row>
    <row r="74" spans="1:5" ht="15.6" x14ac:dyDescent="0.3">
      <c r="A74" s="4" t="s">
        <v>66</v>
      </c>
      <c r="B74" s="4" t="s">
        <v>3</v>
      </c>
      <c r="C74" s="2">
        <v>13</v>
      </c>
      <c r="D74" s="2">
        <v>13000</v>
      </c>
      <c r="E74" s="18">
        <f t="shared" si="1"/>
        <v>169000</v>
      </c>
    </row>
    <row r="75" spans="1:5" ht="15.6" x14ac:dyDescent="0.3">
      <c r="A75" s="8" t="s">
        <v>67</v>
      </c>
      <c r="B75" s="8" t="s">
        <v>34</v>
      </c>
      <c r="C75" s="2">
        <v>32</v>
      </c>
      <c r="D75" s="2">
        <v>6000</v>
      </c>
      <c r="E75" s="18">
        <f t="shared" si="1"/>
        <v>192000</v>
      </c>
    </row>
    <row r="76" spans="1:5" ht="15.6" hidden="1" x14ac:dyDescent="0.3">
      <c r="A76" s="8" t="s">
        <v>68</v>
      </c>
      <c r="B76" s="8" t="s">
        <v>3</v>
      </c>
      <c r="C76" s="2">
        <v>0</v>
      </c>
      <c r="D76" s="2"/>
      <c r="E76" s="18">
        <f t="shared" si="1"/>
        <v>0</v>
      </c>
    </row>
    <row r="77" spans="1:5" ht="15.6" x14ac:dyDescent="0.3">
      <c r="A77" s="4" t="s">
        <v>68</v>
      </c>
      <c r="B77" s="4" t="s">
        <v>34</v>
      </c>
      <c r="C77" s="2">
        <v>7</v>
      </c>
      <c r="D77" s="2">
        <v>6500</v>
      </c>
      <c r="E77" s="18">
        <f t="shared" si="1"/>
        <v>45500</v>
      </c>
    </row>
    <row r="78" spans="1:5" ht="15.6" x14ac:dyDescent="0.3">
      <c r="A78" s="8" t="s">
        <v>69</v>
      </c>
      <c r="B78" s="8" t="s">
        <v>3</v>
      </c>
      <c r="C78" s="19">
        <v>0.5</v>
      </c>
      <c r="D78" s="2">
        <v>80000</v>
      </c>
      <c r="E78" s="18">
        <f t="shared" si="1"/>
        <v>40000</v>
      </c>
    </row>
    <row r="79" spans="1:5" ht="15.6" x14ac:dyDescent="0.3">
      <c r="A79" s="8" t="s">
        <v>70</v>
      </c>
      <c r="B79" s="8" t="s">
        <v>3</v>
      </c>
      <c r="C79" s="19">
        <v>0.5</v>
      </c>
      <c r="D79" s="2">
        <v>70000</v>
      </c>
      <c r="E79" s="18">
        <f t="shared" si="1"/>
        <v>35000</v>
      </c>
    </row>
    <row r="80" spans="1:5" ht="15.6" hidden="1" x14ac:dyDescent="0.3">
      <c r="A80" s="8" t="s">
        <v>117</v>
      </c>
      <c r="B80" s="8" t="s">
        <v>34</v>
      </c>
      <c r="C80" s="2">
        <v>0</v>
      </c>
      <c r="D80" s="2"/>
      <c r="E80" s="18">
        <f t="shared" si="1"/>
        <v>0</v>
      </c>
    </row>
    <row r="81" spans="1:5" ht="15.6" hidden="1" x14ac:dyDescent="0.3">
      <c r="A81" s="8" t="s">
        <v>71</v>
      </c>
      <c r="B81" s="8" t="s">
        <v>3</v>
      </c>
      <c r="C81" s="2">
        <v>0</v>
      </c>
      <c r="D81" s="2"/>
      <c r="E81" s="18">
        <f t="shared" si="1"/>
        <v>0</v>
      </c>
    </row>
    <row r="82" spans="1:5" ht="15.6" hidden="1" x14ac:dyDescent="0.3">
      <c r="A82" s="8" t="s">
        <v>72</v>
      </c>
      <c r="B82" s="8" t="s">
        <v>3</v>
      </c>
      <c r="C82" s="2">
        <v>0</v>
      </c>
      <c r="D82" s="2"/>
      <c r="E82" s="18">
        <f t="shared" si="1"/>
        <v>0</v>
      </c>
    </row>
    <row r="83" spans="1:5" ht="15.6" hidden="1" x14ac:dyDescent="0.3">
      <c r="A83" s="8" t="s">
        <v>72</v>
      </c>
      <c r="B83" s="8" t="s">
        <v>19</v>
      </c>
      <c r="C83" s="2">
        <v>0</v>
      </c>
      <c r="D83" s="2"/>
      <c r="E83" s="18">
        <f t="shared" si="1"/>
        <v>0</v>
      </c>
    </row>
    <row r="84" spans="1:5" ht="15.6" hidden="1" x14ac:dyDescent="0.3">
      <c r="A84" s="8" t="s">
        <v>73</v>
      </c>
      <c r="B84" s="8" t="s">
        <v>3</v>
      </c>
      <c r="C84" s="2">
        <v>0</v>
      </c>
      <c r="D84" s="2"/>
      <c r="E84" s="18">
        <f t="shared" si="1"/>
        <v>0</v>
      </c>
    </row>
    <row r="85" spans="1:5" ht="15.6" x14ac:dyDescent="0.3">
      <c r="A85" s="8" t="s">
        <v>107</v>
      </c>
      <c r="B85" s="8" t="s">
        <v>29</v>
      </c>
      <c r="C85" s="2">
        <v>5</v>
      </c>
      <c r="D85" s="2">
        <v>200000</v>
      </c>
      <c r="E85" s="18">
        <f t="shared" si="1"/>
        <v>1000000</v>
      </c>
    </row>
    <row r="86" spans="1:5" ht="15.6" hidden="1" x14ac:dyDescent="0.3">
      <c r="A86" s="8" t="s">
        <v>74</v>
      </c>
      <c r="B86" s="8" t="s">
        <v>34</v>
      </c>
      <c r="C86" s="2">
        <v>0</v>
      </c>
      <c r="D86" s="2"/>
      <c r="E86" s="18">
        <f t="shared" si="1"/>
        <v>0</v>
      </c>
    </row>
    <row r="87" spans="1:5" ht="15.6" x14ac:dyDescent="0.3">
      <c r="A87" s="8" t="s">
        <v>75</v>
      </c>
      <c r="B87" s="8" t="s">
        <v>3</v>
      </c>
      <c r="C87" s="2">
        <v>12</v>
      </c>
      <c r="D87" s="2">
        <v>14000</v>
      </c>
      <c r="E87" s="18">
        <f t="shared" si="1"/>
        <v>168000</v>
      </c>
    </row>
    <row r="88" spans="1:5" ht="15.6" hidden="1" x14ac:dyDescent="0.3">
      <c r="A88" s="8" t="s">
        <v>79</v>
      </c>
      <c r="B88" s="8" t="s">
        <v>17</v>
      </c>
      <c r="C88" s="2">
        <v>0</v>
      </c>
      <c r="D88" s="2"/>
      <c r="E88" s="18">
        <f t="shared" si="1"/>
        <v>0</v>
      </c>
    </row>
    <row r="89" spans="1:5" ht="15.6" hidden="1" x14ac:dyDescent="0.3">
      <c r="A89" s="8" t="s">
        <v>80</v>
      </c>
      <c r="B89" s="8" t="s">
        <v>29</v>
      </c>
      <c r="C89" s="2">
        <v>0</v>
      </c>
      <c r="D89" s="2"/>
      <c r="E89" s="18">
        <f t="shared" si="1"/>
        <v>0</v>
      </c>
    </row>
    <row r="90" spans="1:5" ht="15.6" x14ac:dyDescent="0.3">
      <c r="A90" s="8" t="s">
        <v>80</v>
      </c>
      <c r="B90" s="8" t="s">
        <v>3</v>
      </c>
      <c r="C90" s="2">
        <v>2</v>
      </c>
      <c r="D90" s="2">
        <v>35000</v>
      </c>
      <c r="E90" s="18">
        <f t="shared" si="1"/>
        <v>70000</v>
      </c>
    </row>
    <row r="91" spans="1:5" ht="15.6" x14ac:dyDescent="0.3">
      <c r="A91" s="8" t="s">
        <v>81</v>
      </c>
      <c r="B91" s="8" t="s">
        <v>3</v>
      </c>
      <c r="C91" s="2">
        <v>120</v>
      </c>
      <c r="D91" s="2">
        <v>26000</v>
      </c>
      <c r="E91" s="18">
        <f t="shared" si="1"/>
        <v>3120000</v>
      </c>
    </row>
    <row r="92" spans="1:5" ht="15.6" hidden="1" x14ac:dyDescent="0.3">
      <c r="A92" s="8" t="s">
        <v>81</v>
      </c>
      <c r="B92" s="8" t="s">
        <v>9</v>
      </c>
      <c r="C92" s="2">
        <v>0</v>
      </c>
      <c r="D92" s="2"/>
      <c r="E92" s="18">
        <f t="shared" si="1"/>
        <v>0</v>
      </c>
    </row>
    <row r="93" spans="1:5" ht="15.6" x14ac:dyDescent="0.3">
      <c r="A93" s="8" t="s">
        <v>108</v>
      </c>
      <c r="B93" s="8" t="s">
        <v>3</v>
      </c>
      <c r="C93" s="2">
        <v>22</v>
      </c>
      <c r="D93" s="2">
        <v>17000</v>
      </c>
      <c r="E93" s="18">
        <f t="shared" si="1"/>
        <v>374000</v>
      </c>
    </row>
    <row r="94" spans="1:5" ht="15.6" x14ac:dyDescent="0.3">
      <c r="A94" s="8" t="s">
        <v>82</v>
      </c>
      <c r="B94" s="8" t="s">
        <v>3</v>
      </c>
      <c r="C94" s="2">
        <v>47</v>
      </c>
      <c r="D94" s="2">
        <v>24000</v>
      </c>
      <c r="E94" s="18">
        <f t="shared" si="1"/>
        <v>1128000</v>
      </c>
    </row>
    <row r="95" spans="1:5" ht="15.6" hidden="1" x14ac:dyDescent="0.3">
      <c r="A95" s="8" t="s">
        <v>82</v>
      </c>
      <c r="B95" s="8" t="s">
        <v>9</v>
      </c>
      <c r="C95" s="2">
        <v>0</v>
      </c>
      <c r="D95" s="2"/>
      <c r="E95" s="18">
        <f t="shared" si="1"/>
        <v>0</v>
      </c>
    </row>
    <row r="96" spans="1:5" ht="15.6" x14ac:dyDescent="0.3">
      <c r="A96" s="8" t="s">
        <v>83</v>
      </c>
      <c r="B96" s="8" t="s">
        <v>3</v>
      </c>
      <c r="C96" s="2">
        <v>15</v>
      </c>
      <c r="D96" s="2">
        <v>30000</v>
      </c>
      <c r="E96" s="18">
        <f t="shared" si="1"/>
        <v>450000</v>
      </c>
    </row>
    <row r="97" spans="1:5" ht="15.6" hidden="1" x14ac:dyDescent="0.3">
      <c r="A97" s="8" t="s">
        <v>83</v>
      </c>
      <c r="B97" s="8" t="s">
        <v>9</v>
      </c>
      <c r="C97" s="2">
        <v>0</v>
      </c>
      <c r="D97" s="2"/>
      <c r="E97" s="18">
        <f t="shared" si="1"/>
        <v>0</v>
      </c>
    </row>
    <row r="98" spans="1:5" ht="15.6" x14ac:dyDescent="0.3">
      <c r="A98" s="8" t="s">
        <v>110</v>
      </c>
      <c r="B98" s="8" t="s">
        <v>3</v>
      </c>
      <c r="C98" s="2">
        <v>20</v>
      </c>
      <c r="D98" s="2">
        <v>25000</v>
      </c>
      <c r="E98" s="18">
        <f t="shared" si="1"/>
        <v>500000</v>
      </c>
    </row>
    <row r="99" spans="1:5" ht="15.6" x14ac:dyDescent="0.3">
      <c r="A99" s="8" t="s">
        <v>84</v>
      </c>
      <c r="B99" s="8" t="s">
        <v>34</v>
      </c>
      <c r="C99" s="2">
        <v>16</v>
      </c>
      <c r="D99" s="2">
        <v>17000</v>
      </c>
      <c r="E99" s="18">
        <f t="shared" si="1"/>
        <v>272000</v>
      </c>
    </row>
    <row r="100" spans="1:5" ht="15.6" hidden="1" x14ac:dyDescent="0.3">
      <c r="A100" s="8" t="s">
        <v>85</v>
      </c>
      <c r="B100" s="8" t="s">
        <v>34</v>
      </c>
      <c r="C100" s="2">
        <v>0</v>
      </c>
      <c r="D100" s="2"/>
      <c r="E100" s="18">
        <f t="shared" si="1"/>
        <v>0</v>
      </c>
    </row>
    <row r="101" spans="1:5" ht="15.6" x14ac:dyDescent="0.3">
      <c r="A101" s="8" t="s">
        <v>86</v>
      </c>
      <c r="B101" s="8" t="s">
        <v>9</v>
      </c>
      <c r="C101" s="2">
        <v>836</v>
      </c>
      <c r="D101" s="2">
        <v>9000</v>
      </c>
      <c r="E101" s="18">
        <f t="shared" si="1"/>
        <v>7524000</v>
      </c>
    </row>
    <row r="102" spans="1:5" ht="15.6" x14ac:dyDescent="0.3">
      <c r="A102" s="8" t="s">
        <v>87</v>
      </c>
      <c r="B102" s="8" t="s">
        <v>9</v>
      </c>
      <c r="C102" s="2">
        <v>353</v>
      </c>
      <c r="D102" s="2">
        <v>11361</v>
      </c>
      <c r="E102" s="18">
        <f t="shared" si="1"/>
        <v>4010433</v>
      </c>
    </row>
    <row r="103" spans="1:5" ht="15.6" hidden="1" x14ac:dyDescent="0.3">
      <c r="A103" s="8" t="s">
        <v>88</v>
      </c>
      <c r="B103" s="8" t="s">
        <v>3</v>
      </c>
      <c r="C103" s="2">
        <v>0</v>
      </c>
      <c r="D103" s="2"/>
      <c r="E103" s="18">
        <f t="shared" si="1"/>
        <v>0</v>
      </c>
    </row>
    <row r="104" spans="1:5" ht="15.6" hidden="1" x14ac:dyDescent="0.3">
      <c r="A104" s="8" t="s">
        <v>89</v>
      </c>
      <c r="B104" s="8" t="s">
        <v>3</v>
      </c>
      <c r="C104" s="2">
        <v>0</v>
      </c>
      <c r="D104" s="2"/>
      <c r="E104" s="18">
        <f t="shared" si="1"/>
        <v>0</v>
      </c>
    </row>
    <row r="105" spans="1:5" ht="15.6" x14ac:dyDescent="0.3">
      <c r="A105" s="8" t="s">
        <v>90</v>
      </c>
      <c r="B105" s="8" t="s">
        <v>3</v>
      </c>
      <c r="C105" s="2">
        <v>40</v>
      </c>
      <c r="D105" s="2">
        <v>8000</v>
      </c>
      <c r="E105" s="18">
        <f t="shared" si="1"/>
        <v>320000</v>
      </c>
    </row>
    <row r="106" spans="1:5" ht="15.6" x14ac:dyDescent="0.3">
      <c r="A106" s="8" t="s">
        <v>91</v>
      </c>
      <c r="B106" s="8" t="s">
        <v>3</v>
      </c>
      <c r="C106" s="2">
        <v>43</v>
      </c>
      <c r="D106" s="2">
        <v>22000</v>
      </c>
      <c r="E106" s="18">
        <f t="shared" si="1"/>
        <v>946000</v>
      </c>
    </row>
    <row r="107" spans="1:5" ht="15.6" hidden="1" x14ac:dyDescent="0.3">
      <c r="A107" s="8" t="s">
        <v>92</v>
      </c>
      <c r="B107" s="8" t="s">
        <v>3</v>
      </c>
      <c r="C107" s="2">
        <v>0</v>
      </c>
      <c r="D107" s="2"/>
      <c r="E107" s="18">
        <f t="shared" si="1"/>
        <v>0</v>
      </c>
    </row>
    <row r="108" spans="1:5" ht="15.6" hidden="1" x14ac:dyDescent="0.3">
      <c r="A108" s="4" t="s">
        <v>93</v>
      </c>
      <c r="B108" s="4" t="s">
        <v>19</v>
      </c>
      <c r="C108" s="5">
        <v>0</v>
      </c>
      <c r="D108" s="2"/>
      <c r="E108" s="18">
        <f t="shared" si="1"/>
        <v>0</v>
      </c>
    </row>
    <row r="109" spans="1:5" ht="15.6" hidden="1" x14ac:dyDescent="0.3">
      <c r="A109" s="8" t="s">
        <v>94</v>
      </c>
      <c r="B109" s="8" t="s">
        <v>3</v>
      </c>
      <c r="C109" s="2">
        <v>0</v>
      </c>
      <c r="D109" s="2"/>
      <c r="E109" s="18">
        <f t="shared" si="1"/>
        <v>0</v>
      </c>
    </row>
    <row r="110" spans="1:5" ht="15.6" hidden="1" x14ac:dyDescent="0.3">
      <c r="A110" s="8" t="s">
        <v>95</v>
      </c>
      <c r="B110" s="8" t="s">
        <v>19</v>
      </c>
      <c r="C110" s="2">
        <v>0</v>
      </c>
      <c r="D110" s="2"/>
      <c r="E110" s="18">
        <f t="shared" si="1"/>
        <v>0</v>
      </c>
    </row>
    <row r="111" spans="1:5" ht="15.6" hidden="1" x14ac:dyDescent="0.3">
      <c r="A111" s="8" t="s">
        <v>96</v>
      </c>
      <c r="B111" s="8" t="s">
        <v>3</v>
      </c>
      <c r="C111" s="2">
        <v>0</v>
      </c>
      <c r="D111" s="2"/>
      <c r="E111" s="18">
        <f t="shared" si="1"/>
        <v>0</v>
      </c>
    </row>
    <row r="112" spans="1:5" ht="15.6" hidden="1" x14ac:dyDescent="0.3">
      <c r="A112" s="8" t="s">
        <v>97</v>
      </c>
      <c r="B112" s="8" t="s">
        <v>3</v>
      </c>
      <c r="C112" s="2">
        <v>0</v>
      </c>
      <c r="D112" s="2"/>
      <c r="E112" s="18">
        <f t="shared" si="1"/>
        <v>0</v>
      </c>
    </row>
    <row r="113" spans="1:5" ht="15.6" x14ac:dyDescent="0.3">
      <c r="A113" s="8" t="s">
        <v>98</v>
      </c>
      <c r="B113" s="8" t="s">
        <v>19</v>
      </c>
      <c r="C113" s="2">
        <v>20</v>
      </c>
      <c r="D113" s="2">
        <v>7500</v>
      </c>
      <c r="E113" s="18">
        <f t="shared" si="1"/>
        <v>150000</v>
      </c>
    </row>
    <row r="114" spans="1:5" x14ac:dyDescent="0.3">
      <c r="E114" s="9">
        <f>SUM(E3:E113)</f>
        <v>135318533</v>
      </c>
    </row>
  </sheetData>
  <autoFilter ref="A2:E113" xr:uid="{00000000-0009-0000-0000-000009000000}">
    <filterColumn colId="2">
      <filters>
        <filter val="1"/>
        <filter val="1,010"/>
        <filter val="1,040"/>
        <filter val="1,295"/>
        <filter val="1,358"/>
        <filter val="1,535"/>
        <filter val="10"/>
        <filter val="110"/>
        <filter val="115"/>
        <filter val="12"/>
        <filter val="120"/>
        <filter val="13"/>
        <filter val="15"/>
        <filter val="16"/>
        <filter val="18"/>
        <filter val="180"/>
        <filter val="2"/>
        <filter val="20"/>
        <filter val="22"/>
        <filter val="220"/>
        <filter val="23"/>
        <filter val="250"/>
        <filter val="282"/>
        <filter val="31"/>
        <filter val="32"/>
        <filter val="353"/>
        <filter val="390"/>
        <filter val="40"/>
        <filter val="43"/>
        <filter val="45"/>
        <filter val="47"/>
        <filter val="5"/>
        <filter val="55"/>
        <filter val="573"/>
        <filter val="7"/>
        <filter val="735"/>
        <filter val="740"/>
        <filter val="76"/>
        <filter val="8"/>
        <filter val="836"/>
        <filter val="85"/>
        <filter val="854"/>
        <filter val="9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E117"/>
  <sheetViews>
    <sheetView topLeftCell="A81" workbookViewId="0">
      <selection activeCell="I98" sqref="I98"/>
    </sheetView>
  </sheetViews>
  <sheetFormatPr defaultRowHeight="14.4" x14ac:dyDescent="0.3"/>
  <cols>
    <col min="1" max="1" width="23.5546875" customWidth="1"/>
    <col min="4" max="4" width="12.5546875" customWidth="1"/>
    <col min="5" max="5" width="21.6640625" customWidth="1"/>
  </cols>
  <sheetData>
    <row r="1" spans="1:5" x14ac:dyDescent="0.3">
      <c r="A1" t="s">
        <v>134</v>
      </c>
    </row>
    <row r="2" spans="1:5" ht="54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13</v>
      </c>
      <c r="D3" s="2">
        <v>18000</v>
      </c>
      <c r="E3" s="7">
        <f>C3*D3</f>
        <v>234000</v>
      </c>
    </row>
    <row r="4" spans="1:5" ht="15.6" hidden="1" x14ac:dyDescent="0.3">
      <c r="A4" s="8" t="s">
        <v>4</v>
      </c>
      <c r="B4" s="8" t="s">
        <v>3</v>
      </c>
      <c r="C4" s="2">
        <v>0</v>
      </c>
      <c r="D4" s="2"/>
      <c r="E4" s="7">
        <f t="shared" ref="E4:E67" si="0">C4*D4</f>
        <v>0</v>
      </c>
    </row>
    <row r="5" spans="1:5" ht="15.6" x14ac:dyDescent="0.3">
      <c r="A5" s="8" t="s">
        <v>5</v>
      </c>
      <c r="B5" s="8" t="s">
        <v>3</v>
      </c>
      <c r="C5" s="2">
        <v>573</v>
      </c>
      <c r="D5" s="2">
        <v>4000</v>
      </c>
      <c r="E5" s="7">
        <f t="shared" si="0"/>
        <v>2292000</v>
      </c>
    </row>
    <row r="6" spans="1:5" ht="15.6" x14ac:dyDescent="0.3">
      <c r="A6" s="8" t="s">
        <v>103</v>
      </c>
      <c r="B6" s="8" t="s">
        <v>3</v>
      </c>
      <c r="C6" s="2">
        <v>4</v>
      </c>
      <c r="D6" s="2">
        <v>12000</v>
      </c>
      <c r="E6" s="7">
        <f t="shared" si="0"/>
        <v>48000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834</v>
      </c>
      <c r="D8" s="2">
        <v>9000</v>
      </c>
      <c r="E8" s="7">
        <f t="shared" si="0"/>
        <v>7506000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35</v>
      </c>
      <c r="D10" s="2">
        <v>9000</v>
      </c>
      <c r="E10" s="7">
        <f t="shared" si="0"/>
        <v>315000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30</v>
      </c>
      <c r="D12" s="2">
        <v>15000</v>
      </c>
      <c r="E12" s="7">
        <f t="shared" si="0"/>
        <v>450000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x14ac:dyDescent="0.3">
      <c r="A14" s="8" t="s">
        <v>12</v>
      </c>
      <c r="B14" s="8" t="s">
        <v>3</v>
      </c>
      <c r="C14" s="2">
        <v>3</v>
      </c>
      <c r="D14" s="2">
        <v>12000</v>
      </c>
      <c r="E14" s="7">
        <f t="shared" si="0"/>
        <v>36000</v>
      </c>
    </row>
    <row r="15" spans="1:5" ht="15.6" hidden="1" x14ac:dyDescent="0.3">
      <c r="A15" s="8" t="s">
        <v>14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x14ac:dyDescent="0.3">
      <c r="A16" s="8" t="s">
        <v>15</v>
      </c>
      <c r="B16" s="8" t="s">
        <v>3</v>
      </c>
      <c r="C16" s="2">
        <v>6</v>
      </c>
      <c r="D16" s="2">
        <v>17000</v>
      </c>
      <c r="E16" s="7">
        <f t="shared" si="0"/>
        <v>102000</v>
      </c>
    </row>
    <row r="17" spans="1:5" ht="15.6" x14ac:dyDescent="0.3">
      <c r="A17" s="8" t="s">
        <v>16</v>
      </c>
      <c r="B17" s="8" t="s">
        <v>17</v>
      </c>
      <c r="C17" s="2">
        <v>12</v>
      </c>
      <c r="D17" s="2">
        <v>6000</v>
      </c>
      <c r="E17" s="7">
        <f t="shared" si="0"/>
        <v>72000</v>
      </c>
    </row>
    <row r="18" spans="1:5" ht="15.6" x14ac:dyDescent="0.3">
      <c r="A18" s="8" t="s">
        <v>18</v>
      </c>
      <c r="B18" s="8" t="s">
        <v>19</v>
      </c>
      <c r="C18" s="2">
        <v>25</v>
      </c>
      <c r="D18" s="2">
        <v>5000</v>
      </c>
      <c r="E18" s="7">
        <f t="shared" si="0"/>
        <v>125000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2"/>
      <c r="E19" s="7">
        <f t="shared" si="0"/>
        <v>0</v>
      </c>
    </row>
    <row r="20" spans="1:5" ht="15.6" x14ac:dyDescent="0.3">
      <c r="A20" s="8" t="s">
        <v>22</v>
      </c>
      <c r="B20" s="8" t="s">
        <v>3</v>
      </c>
      <c r="C20" s="2">
        <v>15</v>
      </c>
      <c r="D20" s="2">
        <v>13000</v>
      </c>
      <c r="E20" s="7">
        <f t="shared" si="0"/>
        <v>195000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2"/>
      <c r="E21" s="7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60</v>
      </c>
      <c r="D22" s="2">
        <v>14000</v>
      </c>
      <c r="E22" s="7">
        <f t="shared" si="0"/>
        <v>840000</v>
      </c>
    </row>
    <row r="23" spans="1:5" ht="15.6" x14ac:dyDescent="0.3">
      <c r="A23" s="8" t="s">
        <v>24</v>
      </c>
      <c r="B23" s="8" t="s">
        <v>25</v>
      </c>
      <c r="C23" s="2">
        <v>20</v>
      </c>
      <c r="D23" s="2">
        <v>7500</v>
      </c>
      <c r="E23" s="7">
        <f t="shared" si="0"/>
        <v>150000</v>
      </c>
    </row>
    <row r="24" spans="1:5" ht="15.6" x14ac:dyDescent="0.3">
      <c r="A24" s="8" t="s">
        <v>26</v>
      </c>
      <c r="B24" s="8" t="s">
        <v>3</v>
      </c>
      <c r="C24" s="2">
        <v>10</v>
      </c>
      <c r="D24" s="2">
        <v>16000</v>
      </c>
      <c r="E24" s="7">
        <f t="shared" si="0"/>
        <v>160000</v>
      </c>
    </row>
    <row r="25" spans="1:5" ht="15.6" x14ac:dyDescent="0.3">
      <c r="A25" s="8" t="s">
        <v>26</v>
      </c>
      <c r="B25" s="8" t="s">
        <v>27</v>
      </c>
      <c r="C25" s="2">
        <v>58</v>
      </c>
      <c r="D25" s="2">
        <v>4800</v>
      </c>
      <c r="E25" s="7">
        <f t="shared" si="0"/>
        <v>278400</v>
      </c>
    </row>
    <row r="26" spans="1:5" ht="15.6" x14ac:dyDescent="0.3">
      <c r="A26" s="8" t="s">
        <v>28</v>
      </c>
      <c r="B26" s="8" t="s">
        <v>29</v>
      </c>
      <c r="C26" s="2">
        <v>4</v>
      </c>
      <c r="D26" s="2">
        <v>12000</v>
      </c>
      <c r="E26" s="7">
        <f t="shared" si="0"/>
        <v>48000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2"/>
      <c r="E27" s="7">
        <f t="shared" si="0"/>
        <v>0</v>
      </c>
    </row>
    <row r="28" spans="1:5" ht="15.6" x14ac:dyDescent="0.3">
      <c r="A28" s="8" t="s">
        <v>30</v>
      </c>
      <c r="B28" s="8" t="s">
        <v>27</v>
      </c>
      <c r="C28" s="2">
        <v>52</v>
      </c>
      <c r="D28" s="2">
        <v>10000</v>
      </c>
      <c r="E28" s="7">
        <f t="shared" si="0"/>
        <v>520000</v>
      </c>
    </row>
    <row r="29" spans="1:5" ht="15.6" x14ac:dyDescent="0.3">
      <c r="A29" s="8" t="s">
        <v>30</v>
      </c>
      <c r="B29" s="8" t="s">
        <v>31</v>
      </c>
      <c r="C29" s="2">
        <v>217</v>
      </c>
      <c r="D29" s="2">
        <v>7500</v>
      </c>
      <c r="E29" s="7">
        <f t="shared" si="0"/>
        <v>1627500</v>
      </c>
    </row>
    <row r="30" spans="1:5" ht="15.6" x14ac:dyDescent="0.3">
      <c r="A30" s="8" t="s">
        <v>32</v>
      </c>
      <c r="B30" s="8" t="s">
        <v>3</v>
      </c>
      <c r="C30" s="2">
        <v>20</v>
      </c>
      <c r="D30" s="2">
        <v>9000</v>
      </c>
      <c r="E30" s="7">
        <f t="shared" si="0"/>
        <v>180000</v>
      </c>
    </row>
    <row r="31" spans="1:5" ht="15.6" hidden="1" x14ac:dyDescent="0.3">
      <c r="A31" s="8" t="s">
        <v>32</v>
      </c>
      <c r="B31" s="8" t="s">
        <v>17</v>
      </c>
      <c r="C31" s="2">
        <v>0</v>
      </c>
      <c r="D31" s="2"/>
      <c r="E31" s="7">
        <f t="shared" si="0"/>
        <v>0</v>
      </c>
    </row>
    <row r="32" spans="1:5" ht="15.6" x14ac:dyDescent="0.3">
      <c r="A32" s="8" t="s">
        <v>33</v>
      </c>
      <c r="B32" s="8" t="s">
        <v>34</v>
      </c>
      <c r="C32" s="2">
        <v>40</v>
      </c>
      <c r="D32" s="2">
        <v>6000</v>
      </c>
      <c r="E32" s="7">
        <f t="shared" si="0"/>
        <v>240000</v>
      </c>
    </row>
    <row r="33" spans="1:5" ht="15.6" x14ac:dyDescent="0.3">
      <c r="A33" s="8" t="s">
        <v>35</v>
      </c>
      <c r="B33" s="8" t="s">
        <v>3</v>
      </c>
      <c r="C33" s="2">
        <v>40</v>
      </c>
      <c r="D33" s="2">
        <v>6000</v>
      </c>
      <c r="E33" s="7">
        <f t="shared" si="0"/>
        <v>240000</v>
      </c>
    </row>
    <row r="34" spans="1:5" ht="15.6" hidden="1" x14ac:dyDescent="0.3">
      <c r="A34" s="8" t="s">
        <v>35</v>
      </c>
      <c r="B34" s="8" t="s">
        <v>34</v>
      </c>
      <c r="C34" s="2">
        <v>0</v>
      </c>
      <c r="D34" s="2"/>
      <c r="E34" s="7">
        <f t="shared" si="0"/>
        <v>0</v>
      </c>
    </row>
    <row r="35" spans="1:5" ht="15.6" hidden="1" x14ac:dyDescent="0.3">
      <c r="A35" s="8" t="s">
        <v>36</v>
      </c>
      <c r="B35" s="8" t="s">
        <v>3</v>
      </c>
      <c r="C35" s="2">
        <v>0</v>
      </c>
      <c r="D35" s="2"/>
      <c r="E35" s="7">
        <f t="shared" si="0"/>
        <v>0</v>
      </c>
    </row>
    <row r="36" spans="1:5" ht="15.6" x14ac:dyDescent="0.3">
      <c r="A36" s="8" t="s">
        <v>36</v>
      </c>
      <c r="B36" s="8" t="s">
        <v>17</v>
      </c>
      <c r="C36" s="2">
        <v>12</v>
      </c>
      <c r="D36" s="2">
        <v>6000</v>
      </c>
      <c r="E36" s="7">
        <f t="shared" si="0"/>
        <v>72000</v>
      </c>
    </row>
    <row r="37" spans="1:5" ht="15.6" x14ac:dyDescent="0.3">
      <c r="A37" s="8" t="s">
        <v>37</v>
      </c>
      <c r="B37" s="8" t="s">
        <v>3</v>
      </c>
      <c r="C37" s="2">
        <v>70</v>
      </c>
      <c r="D37" s="2">
        <v>8000</v>
      </c>
      <c r="E37" s="7">
        <f t="shared" si="0"/>
        <v>560000</v>
      </c>
    </row>
    <row r="38" spans="1:5" ht="15.6" hidden="1" x14ac:dyDescent="0.3">
      <c r="A38" s="8" t="s">
        <v>37</v>
      </c>
      <c r="B38" s="8" t="s">
        <v>38</v>
      </c>
      <c r="C38" s="2">
        <v>0</v>
      </c>
      <c r="D38" s="2"/>
      <c r="E38" s="7">
        <f t="shared" si="0"/>
        <v>0</v>
      </c>
    </row>
    <row r="39" spans="1:5" ht="15.6" hidden="1" x14ac:dyDescent="0.3">
      <c r="A39" s="8" t="s">
        <v>39</v>
      </c>
      <c r="B39" s="8" t="s">
        <v>3</v>
      </c>
      <c r="C39" s="2">
        <v>0</v>
      </c>
      <c r="D39" s="2"/>
      <c r="E39" s="7">
        <f t="shared" si="0"/>
        <v>0</v>
      </c>
    </row>
    <row r="40" spans="1:5" ht="15.6" hidden="1" x14ac:dyDescent="0.3">
      <c r="A40" s="8" t="s">
        <v>39</v>
      </c>
      <c r="B40" s="8" t="s">
        <v>34</v>
      </c>
      <c r="C40" s="2">
        <v>0</v>
      </c>
      <c r="D40" s="2"/>
      <c r="E40" s="7">
        <f t="shared" si="0"/>
        <v>0</v>
      </c>
    </row>
    <row r="41" spans="1:5" ht="15.6" hidden="1" x14ac:dyDescent="0.3">
      <c r="A41" s="8" t="s">
        <v>40</v>
      </c>
      <c r="B41" s="8" t="s">
        <v>3</v>
      </c>
      <c r="C41" s="2">
        <v>0</v>
      </c>
      <c r="D41" s="2"/>
      <c r="E41" s="7">
        <f t="shared" si="0"/>
        <v>0</v>
      </c>
    </row>
    <row r="42" spans="1:5" ht="15.6" x14ac:dyDescent="0.3">
      <c r="A42" s="8" t="s">
        <v>40</v>
      </c>
      <c r="B42" s="8" t="s">
        <v>34</v>
      </c>
      <c r="C42" s="2">
        <v>6</v>
      </c>
      <c r="D42" s="2">
        <v>3000</v>
      </c>
      <c r="E42" s="7">
        <f t="shared" si="0"/>
        <v>18000</v>
      </c>
    </row>
    <row r="43" spans="1:5" ht="15.6" x14ac:dyDescent="0.3">
      <c r="A43" s="8" t="s">
        <v>41</v>
      </c>
      <c r="B43" s="8" t="s">
        <v>34</v>
      </c>
      <c r="C43" s="2">
        <v>7</v>
      </c>
      <c r="D43" s="2">
        <v>3000</v>
      </c>
      <c r="E43" s="7">
        <f t="shared" si="0"/>
        <v>21000</v>
      </c>
    </row>
    <row r="44" spans="1:5" ht="15.6" x14ac:dyDescent="0.3">
      <c r="A44" s="8" t="s">
        <v>42</v>
      </c>
      <c r="B44" s="8" t="s">
        <v>3</v>
      </c>
      <c r="C44" s="2">
        <v>170</v>
      </c>
      <c r="D44" s="2">
        <v>3000</v>
      </c>
      <c r="E44" s="7">
        <f t="shared" si="0"/>
        <v>510000</v>
      </c>
    </row>
    <row r="45" spans="1:5" ht="15.6" hidden="1" x14ac:dyDescent="0.3">
      <c r="A45" s="8" t="s">
        <v>43</v>
      </c>
      <c r="B45" s="8" t="s">
        <v>3</v>
      </c>
      <c r="C45" s="2">
        <v>0</v>
      </c>
      <c r="D45" s="2"/>
      <c r="E45" s="7">
        <f t="shared" si="0"/>
        <v>0</v>
      </c>
    </row>
    <row r="46" spans="1:5" ht="15.6" hidden="1" x14ac:dyDescent="0.3">
      <c r="A46" s="8" t="s">
        <v>44</v>
      </c>
      <c r="B46" s="8" t="s">
        <v>3</v>
      </c>
      <c r="C46" s="2">
        <v>0</v>
      </c>
      <c r="D46" s="2"/>
      <c r="E46" s="7">
        <f t="shared" si="0"/>
        <v>0</v>
      </c>
    </row>
    <row r="47" spans="1:5" ht="15.6" x14ac:dyDescent="0.3">
      <c r="A47" s="8" t="s">
        <v>45</v>
      </c>
      <c r="B47" s="8" t="s">
        <v>3</v>
      </c>
      <c r="C47" s="2">
        <v>190</v>
      </c>
      <c r="D47" s="2">
        <v>9000</v>
      </c>
      <c r="E47" s="7">
        <f t="shared" si="0"/>
        <v>1710000</v>
      </c>
    </row>
    <row r="48" spans="1:5" ht="15.6" hidden="1" x14ac:dyDescent="0.3">
      <c r="A48" s="8" t="s">
        <v>45</v>
      </c>
      <c r="B48" s="8" t="s">
        <v>19</v>
      </c>
      <c r="C48" s="2">
        <v>0</v>
      </c>
      <c r="D48" s="2"/>
      <c r="E48" s="7">
        <f t="shared" si="0"/>
        <v>0</v>
      </c>
    </row>
    <row r="49" spans="1:5" ht="15.6" hidden="1" x14ac:dyDescent="0.3">
      <c r="A49" s="8" t="s">
        <v>62</v>
      </c>
      <c r="B49" s="8" t="s">
        <v>3</v>
      </c>
      <c r="C49" s="2">
        <v>0</v>
      </c>
      <c r="D49" s="2"/>
      <c r="E49" s="7">
        <f t="shared" si="0"/>
        <v>0</v>
      </c>
    </row>
    <row r="50" spans="1:5" ht="15.6" x14ac:dyDescent="0.3">
      <c r="A50" s="8" t="s">
        <v>63</v>
      </c>
      <c r="B50" s="8" t="s">
        <v>3</v>
      </c>
      <c r="C50" s="2">
        <v>5</v>
      </c>
      <c r="D50" s="2">
        <v>14000</v>
      </c>
      <c r="E50" s="7">
        <f t="shared" si="0"/>
        <v>70000</v>
      </c>
    </row>
    <row r="51" spans="1:5" ht="15.6" x14ac:dyDescent="0.3">
      <c r="A51" s="8" t="s">
        <v>46</v>
      </c>
      <c r="B51" s="8" t="s">
        <v>29</v>
      </c>
      <c r="C51" s="2">
        <v>12</v>
      </c>
      <c r="D51" s="2">
        <v>10000</v>
      </c>
      <c r="E51" s="7">
        <f t="shared" si="0"/>
        <v>120000</v>
      </c>
    </row>
    <row r="52" spans="1:5" ht="15.6" hidden="1" x14ac:dyDescent="0.3">
      <c r="A52" s="8" t="s">
        <v>46</v>
      </c>
      <c r="B52" s="8" t="s">
        <v>3</v>
      </c>
      <c r="C52" s="2">
        <v>0</v>
      </c>
      <c r="D52" s="2"/>
      <c r="E52" s="7">
        <f t="shared" si="0"/>
        <v>0</v>
      </c>
    </row>
    <row r="53" spans="1:5" ht="15.6" x14ac:dyDescent="0.3">
      <c r="A53" s="8" t="s">
        <v>47</v>
      </c>
      <c r="B53" s="8" t="s">
        <v>3</v>
      </c>
      <c r="C53" s="2">
        <v>5</v>
      </c>
      <c r="D53" s="2">
        <v>5500</v>
      </c>
      <c r="E53" s="7">
        <f t="shared" si="0"/>
        <v>27500</v>
      </c>
    </row>
    <row r="54" spans="1:5" ht="15.6" x14ac:dyDescent="0.3">
      <c r="A54" s="8" t="s">
        <v>48</v>
      </c>
      <c r="B54" s="8" t="s">
        <v>3</v>
      </c>
      <c r="C54" s="2">
        <v>45</v>
      </c>
      <c r="D54" s="2">
        <v>8000</v>
      </c>
      <c r="E54" s="7">
        <f t="shared" si="0"/>
        <v>360000</v>
      </c>
    </row>
    <row r="55" spans="1:5" ht="15.6" hidden="1" x14ac:dyDescent="0.3">
      <c r="A55" s="8" t="s">
        <v>48</v>
      </c>
      <c r="B55" s="8" t="s">
        <v>34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49</v>
      </c>
      <c r="B56" s="8" t="s">
        <v>3</v>
      </c>
      <c r="C56" s="2">
        <v>6</v>
      </c>
      <c r="D56" s="2">
        <v>19000</v>
      </c>
      <c r="E56" s="7">
        <f t="shared" si="0"/>
        <v>114000</v>
      </c>
    </row>
    <row r="57" spans="1:5" ht="15.6" x14ac:dyDescent="0.3">
      <c r="A57" s="8" t="s">
        <v>50</v>
      </c>
      <c r="B57" s="8" t="s">
        <v>3</v>
      </c>
      <c r="C57" s="2">
        <v>340</v>
      </c>
      <c r="D57" s="2">
        <v>6000</v>
      </c>
      <c r="E57" s="7">
        <f t="shared" si="0"/>
        <v>2040000</v>
      </c>
    </row>
    <row r="58" spans="1:5" ht="15.6" hidden="1" x14ac:dyDescent="0.3">
      <c r="A58" s="8" t="s">
        <v>50</v>
      </c>
      <c r="B58" s="8" t="s">
        <v>51</v>
      </c>
      <c r="C58" s="2">
        <v>0</v>
      </c>
      <c r="D58" s="2"/>
      <c r="E58" s="7">
        <f t="shared" si="0"/>
        <v>0</v>
      </c>
    </row>
    <row r="59" spans="1:5" ht="15.6" x14ac:dyDescent="0.3">
      <c r="A59" s="8" t="s">
        <v>104</v>
      </c>
      <c r="B59" s="8" t="s">
        <v>3</v>
      </c>
      <c r="C59" s="2">
        <v>4</v>
      </c>
      <c r="D59" s="2">
        <v>20000</v>
      </c>
      <c r="E59" s="7">
        <f t="shared" si="0"/>
        <v>80000</v>
      </c>
    </row>
    <row r="60" spans="1:5" ht="15.6" x14ac:dyDescent="0.3">
      <c r="A60" s="8" t="s">
        <v>52</v>
      </c>
      <c r="B60" s="8" t="s">
        <v>34</v>
      </c>
      <c r="C60" s="2">
        <v>100</v>
      </c>
      <c r="D60" s="2">
        <v>1800</v>
      </c>
      <c r="E60" s="7">
        <f t="shared" si="0"/>
        <v>180000</v>
      </c>
    </row>
    <row r="61" spans="1:5" ht="15.6" x14ac:dyDescent="0.3">
      <c r="A61" s="8" t="s">
        <v>53</v>
      </c>
      <c r="B61" s="8" t="s">
        <v>3</v>
      </c>
      <c r="C61" s="2">
        <v>1400</v>
      </c>
      <c r="D61" s="2">
        <v>21500</v>
      </c>
      <c r="E61" s="7">
        <f t="shared" si="0"/>
        <v>30100000</v>
      </c>
    </row>
    <row r="62" spans="1:5" ht="15.6" x14ac:dyDescent="0.3">
      <c r="A62" s="8" t="s">
        <v>54</v>
      </c>
      <c r="B62" s="8" t="s">
        <v>3</v>
      </c>
      <c r="C62" s="2">
        <v>440</v>
      </c>
      <c r="D62" s="2">
        <v>21500</v>
      </c>
      <c r="E62" s="7">
        <f t="shared" si="0"/>
        <v>9460000</v>
      </c>
    </row>
    <row r="63" spans="1:5" ht="15.6" x14ac:dyDescent="0.3">
      <c r="A63" s="8" t="s">
        <v>55</v>
      </c>
      <c r="B63" s="8" t="s">
        <v>3</v>
      </c>
      <c r="C63" s="2">
        <v>42</v>
      </c>
      <c r="D63" s="2">
        <v>16000</v>
      </c>
      <c r="E63" s="7">
        <f t="shared" si="0"/>
        <v>672000</v>
      </c>
    </row>
    <row r="64" spans="1:5" ht="15.6" x14ac:dyDescent="0.3">
      <c r="A64" s="8" t="s">
        <v>56</v>
      </c>
      <c r="B64" s="8" t="s">
        <v>3</v>
      </c>
      <c r="C64" s="2">
        <v>46</v>
      </c>
      <c r="D64" s="2">
        <v>25000</v>
      </c>
      <c r="E64" s="7">
        <f t="shared" si="0"/>
        <v>1150000</v>
      </c>
    </row>
    <row r="65" spans="1:5" ht="15.6" hidden="1" x14ac:dyDescent="0.3">
      <c r="A65" s="8" t="s">
        <v>58</v>
      </c>
      <c r="B65" s="8" t="s">
        <v>3</v>
      </c>
      <c r="C65" s="2">
        <v>0</v>
      </c>
      <c r="D65" s="2"/>
      <c r="E65" s="7">
        <f t="shared" si="0"/>
        <v>0</v>
      </c>
    </row>
    <row r="66" spans="1:5" ht="15.6" hidden="1" x14ac:dyDescent="0.3">
      <c r="A66" s="8" t="s">
        <v>58</v>
      </c>
      <c r="B66" s="8" t="s">
        <v>34</v>
      </c>
      <c r="C66" s="2">
        <v>0</v>
      </c>
      <c r="D66" s="2"/>
      <c r="E66" s="7">
        <f t="shared" si="0"/>
        <v>0</v>
      </c>
    </row>
    <row r="67" spans="1:5" ht="15.6" hidden="1" x14ac:dyDescent="0.3">
      <c r="A67" s="8" t="s">
        <v>105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x14ac:dyDescent="0.3">
      <c r="A68" s="8" t="s">
        <v>59</v>
      </c>
      <c r="B68" s="8" t="s">
        <v>3</v>
      </c>
      <c r="C68" s="2">
        <v>890</v>
      </c>
      <c r="D68" s="2">
        <v>14000</v>
      </c>
      <c r="E68" s="7">
        <f t="shared" ref="E68:E116" si="1">C68*D68</f>
        <v>12460000</v>
      </c>
    </row>
    <row r="69" spans="1:5" ht="15.6" hidden="1" x14ac:dyDescent="0.3">
      <c r="A69" s="8" t="s">
        <v>59</v>
      </c>
      <c r="B69" s="8" t="s">
        <v>34</v>
      </c>
      <c r="C69" s="2">
        <v>0</v>
      </c>
      <c r="D69" s="2"/>
      <c r="E69" s="7">
        <f t="shared" si="1"/>
        <v>0</v>
      </c>
    </row>
    <row r="70" spans="1:5" ht="15.6" hidden="1" x14ac:dyDescent="0.3">
      <c r="A70" s="8" t="s">
        <v>61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x14ac:dyDescent="0.3">
      <c r="A71" s="8" t="s">
        <v>67</v>
      </c>
      <c r="B71" s="8" t="s">
        <v>34</v>
      </c>
      <c r="C71" s="2">
        <v>20</v>
      </c>
      <c r="D71" s="2">
        <v>6000</v>
      </c>
      <c r="E71" s="7">
        <f t="shared" si="1"/>
        <v>120000</v>
      </c>
    </row>
    <row r="72" spans="1:5" ht="15.6" hidden="1" x14ac:dyDescent="0.3">
      <c r="A72" s="8" t="s">
        <v>68</v>
      </c>
      <c r="B72" s="8" t="s">
        <v>3</v>
      </c>
      <c r="C72" s="2">
        <v>0</v>
      </c>
      <c r="D72" s="2"/>
      <c r="E72" s="7">
        <f t="shared" si="1"/>
        <v>0</v>
      </c>
    </row>
    <row r="73" spans="1:5" ht="15.6" x14ac:dyDescent="0.3">
      <c r="A73" s="8" t="s">
        <v>68</v>
      </c>
      <c r="B73" s="8" t="s">
        <v>34</v>
      </c>
      <c r="C73" s="2">
        <v>46</v>
      </c>
      <c r="D73" s="2">
        <v>6500</v>
      </c>
      <c r="E73" s="7">
        <f t="shared" si="1"/>
        <v>299000</v>
      </c>
    </row>
    <row r="74" spans="1:5" ht="15.6" hidden="1" x14ac:dyDescent="0.3">
      <c r="A74" s="8" t="s">
        <v>69</v>
      </c>
      <c r="B74" s="8" t="s">
        <v>3</v>
      </c>
      <c r="C74" s="2">
        <v>0</v>
      </c>
      <c r="D74" s="2"/>
      <c r="E74" s="7">
        <f t="shared" si="1"/>
        <v>0</v>
      </c>
    </row>
    <row r="75" spans="1:5" ht="15.6" x14ac:dyDescent="0.3">
      <c r="A75" s="8" t="s">
        <v>70</v>
      </c>
      <c r="B75" s="8" t="s">
        <v>3</v>
      </c>
      <c r="C75" s="2">
        <v>0.5</v>
      </c>
      <c r="D75" s="2">
        <v>70000</v>
      </c>
      <c r="E75" s="7">
        <f t="shared" si="1"/>
        <v>35000</v>
      </c>
    </row>
    <row r="76" spans="1:5" ht="15.6" hidden="1" x14ac:dyDescent="0.3">
      <c r="A76" s="8" t="s">
        <v>71</v>
      </c>
      <c r="B76" s="8" t="s">
        <v>3</v>
      </c>
      <c r="C76" s="2">
        <v>0</v>
      </c>
      <c r="D76" s="2"/>
      <c r="E76" s="7">
        <f t="shared" si="1"/>
        <v>0</v>
      </c>
    </row>
    <row r="77" spans="1:5" ht="15.6" hidden="1" x14ac:dyDescent="0.3">
      <c r="A77" s="8" t="s">
        <v>117</v>
      </c>
      <c r="B77" s="8" t="s">
        <v>34</v>
      </c>
      <c r="C77" s="2">
        <v>0</v>
      </c>
      <c r="D77" s="2"/>
      <c r="E77" s="7">
        <f t="shared" si="1"/>
        <v>0</v>
      </c>
    </row>
    <row r="78" spans="1:5" ht="15.6" hidden="1" x14ac:dyDescent="0.3">
      <c r="A78" s="8" t="s">
        <v>64</v>
      </c>
      <c r="B78" s="8" t="s">
        <v>3</v>
      </c>
      <c r="C78" s="2">
        <v>0</v>
      </c>
      <c r="D78" s="2"/>
      <c r="E78" s="7">
        <f t="shared" si="1"/>
        <v>0</v>
      </c>
    </row>
    <row r="79" spans="1:5" ht="15.6" x14ac:dyDescent="0.3">
      <c r="A79" s="8" t="s">
        <v>64</v>
      </c>
      <c r="B79" s="8" t="s">
        <v>17</v>
      </c>
      <c r="C79" s="2">
        <v>938</v>
      </c>
      <c r="D79" s="2">
        <v>6700</v>
      </c>
      <c r="E79" s="7">
        <f t="shared" si="1"/>
        <v>6284600</v>
      </c>
    </row>
    <row r="80" spans="1:5" ht="15.6" x14ac:dyDescent="0.3">
      <c r="A80" s="8" t="s">
        <v>65</v>
      </c>
      <c r="B80" s="8" t="s">
        <v>3</v>
      </c>
      <c r="C80" s="2">
        <v>3</v>
      </c>
      <c r="D80" s="2">
        <v>16000</v>
      </c>
      <c r="E80" s="7">
        <f t="shared" si="1"/>
        <v>48000</v>
      </c>
    </row>
    <row r="81" spans="1:5" ht="15.6" x14ac:dyDescent="0.3">
      <c r="A81" s="8" t="s">
        <v>66</v>
      </c>
      <c r="B81" s="8" t="s">
        <v>3</v>
      </c>
      <c r="C81" s="2">
        <v>10</v>
      </c>
      <c r="D81" s="2">
        <v>13000</v>
      </c>
      <c r="E81" s="7">
        <f t="shared" si="1"/>
        <v>130000</v>
      </c>
    </row>
    <row r="82" spans="1:5" ht="15.6" x14ac:dyDescent="0.3">
      <c r="A82" s="8" t="s">
        <v>72</v>
      </c>
      <c r="B82" s="8" t="s">
        <v>3</v>
      </c>
      <c r="C82" s="2">
        <v>30</v>
      </c>
      <c r="D82" s="2">
        <v>10000</v>
      </c>
      <c r="E82" s="7">
        <f t="shared" si="1"/>
        <v>300000</v>
      </c>
    </row>
    <row r="83" spans="1:5" ht="15.6" hidden="1" x14ac:dyDescent="0.3">
      <c r="A83" s="8" t="s">
        <v>72</v>
      </c>
      <c r="B83" s="8" t="s">
        <v>19</v>
      </c>
      <c r="C83" s="2">
        <v>0</v>
      </c>
      <c r="D83" s="2"/>
      <c r="E83" s="7">
        <f t="shared" si="1"/>
        <v>0</v>
      </c>
    </row>
    <row r="84" spans="1:5" ht="15.6" x14ac:dyDescent="0.3">
      <c r="A84" s="8" t="s">
        <v>107</v>
      </c>
      <c r="B84" s="8" t="s">
        <v>29</v>
      </c>
      <c r="C84" s="2">
        <v>5</v>
      </c>
      <c r="D84" s="2">
        <v>100000</v>
      </c>
      <c r="E84" s="7">
        <f t="shared" si="1"/>
        <v>500000</v>
      </c>
    </row>
    <row r="85" spans="1:5" ht="15.6" hidden="1" x14ac:dyDescent="0.3">
      <c r="A85" s="8" t="s">
        <v>74</v>
      </c>
      <c r="B85" s="8" t="s">
        <v>34</v>
      </c>
      <c r="C85" s="2">
        <v>0</v>
      </c>
      <c r="D85" s="2"/>
      <c r="E85" s="7">
        <f t="shared" si="1"/>
        <v>0</v>
      </c>
    </row>
    <row r="86" spans="1:5" ht="15.6" x14ac:dyDescent="0.3">
      <c r="A86" s="8" t="s">
        <v>75</v>
      </c>
      <c r="B86" s="8" t="s">
        <v>3</v>
      </c>
      <c r="C86" s="2">
        <v>8</v>
      </c>
      <c r="D86" s="2">
        <v>14000</v>
      </c>
      <c r="E86" s="7">
        <f t="shared" si="1"/>
        <v>112000</v>
      </c>
    </row>
    <row r="87" spans="1:5" ht="15.6" x14ac:dyDescent="0.3">
      <c r="A87" s="8" t="s">
        <v>76</v>
      </c>
      <c r="B87" s="8" t="s">
        <v>3</v>
      </c>
      <c r="C87" s="2">
        <v>118</v>
      </c>
      <c r="D87" s="2">
        <v>58000</v>
      </c>
      <c r="E87" s="7">
        <f t="shared" si="1"/>
        <v>6844000</v>
      </c>
    </row>
    <row r="88" spans="1:5" ht="15.6" hidden="1" x14ac:dyDescent="0.3">
      <c r="A88" s="8" t="s">
        <v>76</v>
      </c>
      <c r="B88" s="8" t="s">
        <v>78</v>
      </c>
      <c r="C88" s="2">
        <v>0</v>
      </c>
      <c r="D88" s="2"/>
      <c r="E88" s="7">
        <f t="shared" si="1"/>
        <v>0</v>
      </c>
    </row>
    <row r="89" spans="1:5" ht="15.6" hidden="1" x14ac:dyDescent="0.3">
      <c r="A89" s="8" t="s">
        <v>76</v>
      </c>
      <c r="B89" s="8" t="s">
        <v>77</v>
      </c>
      <c r="C89" s="2">
        <v>0</v>
      </c>
      <c r="D89" s="2"/>
      <c r="E89" s="7">
        <f t="shared" si="1"/>
        <v>0</v>
      </c>
    </row>
    <row r="90" spans="1:5" ht="15.6" x14ac:dyDescent="0.3">
      <c r="A90" s="8" t="s">
        <v>79</v>
      </c>
      <c r="B90" s="8" t="s">
        <v>17</v>
      </c>
      <c r="C90" s="2">
        <v>20</v>
      </c>
      <c r="D90" s="2">
        <v>12000</v>
      </c>
      <c r="E90" s="7">
        <f t="shared" si="1"/>
        <v>240000</v>
      </c>
    </row>
    <row r="91" spans="1:5" ht="15.6" hidden="1" x14ac:dyDescent="0.3">
      <c r="A91" s="8" t="s">
        <v>80</v>
      </c>
      <c r="B91" s="8" t="s">
        <v>29</v>
      </c>
      <c r="C91" s="2">
        <v>0</v>
      </c>
      <c r="D91" s="2"/>
      <c r="E91" s="7">
        <f t="shared" si="1"/>
        <v>0</v>
      </c>
    </row>
    <row r="92" spans="1:5" ht="15.6" x14ac:dyDescent="0.3">
      <c r="A92" s="8" t="s">
        <v>80</v>
      </c>
      <c r="B92" s="8" t="s">
        <v>3</v>
      </c>
      <c r="C92" s="2">
        <v>5</v>
      </c>
      <c r="D92" s="2">
        <v>35000</v>
      </c>
      <c r="E92" s="7">
        <f t="shared" si="1"/>
        <v>175000</v>
      </c>
    </row>
    <row r="93" spans="1:5" ht="15.6" x14ac:dyDescent="0.3">
      <c r="A93" s="8" t="s">
        <v>81</v>
      </c>
      <c r="B93" s="8" t="s">
        <v>3</v>
      </c>
      <c r="C93" s="2">
        <v>163</v>
      </c>
      <c r="D93" s="2">
        <v>26000</v>
      </c>
      <c r="E93" s="7">
        <f t="shared" si="1"/>
        <v>4238000</v>
      </c>
    </row>
    <row r="94" spans="1:5" ht="15.6" hidden="1" x14ac:dyDescent="0.3">
      <c r="A94" s="8" t="s">
        <v>81</v>
      </c>
      <c r="B94" s="8" t="s">
        <v>9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82</v>
      </c>
      <c r="B95" s="8" t="s">
        <v>3</v>
      </c>
      <c r="C95" s="2">
        <v>70</v>
      </c>
      <c r="D95" s="2">
        <v>24000</v>
      </c>
      <c r="E95" s="7">
        <f t="shared" si="1"/>
        <v>1680000</v>
      </c>
    </row>
    <row r="96" spans="1:5" ht="15.6" hidden="1" x14ac:dyDescent="0.3">
      <c r="A96" s="8" t="s">
        <v>82</v>
      </c>
      <c r="B96" s="8" t="s">
        <v>9</v>
      </c>
      <c r="C96" s="2">
        <v>0</v>
      </c>
      <c r="D96" s="2"/>
      <c r="E96" s="7">
        <f t="shared" si="1"/>
        <v>0</v>
      </c>
    </row>
    <row r="97" spans="1:5" ht="15.6" x14ac:dyDescent="0.3">
      <c r="A97" s="8" t="s">
        <v>109</v>
      </c>
      <c r="B97" s="8" t="s">
        <v>3</v>
      </c>
      <c r="C97" s="2">
        <v>10</v>
      </c>
      <c r="D97" s="2">
        <v>20000</v>
      </c>
      <c r="E97" s="7">
        <f t="shared" si="1"/>
        <v>200000</v>
      </c>
    </row>
    <row r="98" spans="1:5" ht="15.6" x14ac:dyDescent="0.3">
      <c r="A98" s="8" t="s">
        <v>83</v>
      </c>
      <c r="B98" s="8" t="s">
        <v>3</v>
      </c>
      <c r="C98" s="2">
        <v>15</v>
      </c>
      <c r="D98" s="2">
        <v>30000</v>
      </c>
      <c r="E98" s="7">
        <f t="shared" si="1"/>
        <v>450000</v>
      </c>
    </row>
    <row r="99" spans="1:5" ht="15.6" hidden="1" x14ac:dyDescent="0.3">
      <c r="A99" s="8" t="s">
        <v>83</v>
      </c>
      <c r="B99" s="8" t="s">
        <v>9</v>
      </c>
      <c r="C99" s="2">
        <v>0</v>
      </c>
      <c r="D99" s="2"/>
      <c r="E99" s="7">
        <f t="shared" si="1"/>
        <v>0</v>
      </c>
    </row>
    <row r="100" spans="1:5" ht="15.6" x14ac:dyDescent="0.3">
      <c r="A100" s="8" t="s">
        <v>84</v>
      </c>
      <c r="B100" s="8" t="s">
        <v>34</v>
      </c>
      <c r="C100" s="2">
        <v>44</v>
      </c>
      <c r="D100" s="2">
        <v>17000</v>
      </c>
      <c r="E100" s="7">
        <f t="shared" si="1"/>
        <v>748000</v>
      </c>
    </row>
    <row r="101" spans="1:5" ht="15.6" hidden="1" x14ac:dyDescent="0.3">
      <c r="A101" s="8" t="s">
        <v>85</v>
      </c>
      <c r="B101" s="8" t="s">
        <v>34</v>
      </c>
      <c r="C101" s="2">
        <v>0</v>
      </c>
      <c r="D101" s="2"/>
      <c r="E101" s="7">
        <f t="shared" si="1"/>
        <v>0</v>
      </c>
    </row>
    <row r="102" spans="1:5" ht="15.6" hidden="1" x14ac:dyDescent="0.3">
      <c r="A102" s="8" t="s">
        <v>119</v>
      </c>
      <c r="B102" s="8" t="s">
        <v>3</v>
      </c>
      <c r="C102" s="2">
        <v>0</v>
      </c>
      <c r="D102" s="2"/>
      <c r="E102" s="7">
        <f t="shared" si="1"/>
        <v>0</v>
      </c>
    </row>
    <row r="103" spans="1:5" ht="15.6" hidden="1" x14ac:dyDescent="0.3">
      <c r="A103" s="8" t="s">
        <v>111</v>
      </c>
      <c r="B103" s="8" t="s">
        <v>3</v>
      </c>
      <c r="C103" s="2">
        <v>0</v>
      </c>
      <c r="D103" s="2"/>
      <c r="E103" s="7">
        <f t="shared" si="1"/>
        <v>0</v>
      </c>
    </row>
    <row r="104" spans="1:5" ht="15.6" x14ac:dyDescent="0.3">
      <c r="A104" s="8" t="s">
        <v>86</v>
      </c>
      <c r="B104" s="8" t="s">
        <v>9</v>
      </c>
      <c r="C104" s="2">
        <v>804</v>
      </c>
      <c r="D104" s="2">
        <v>9000</v>
      </c>
      <c r="E104" s="7">
        <f t="shared" si="1"/>
        <v>7236000</v>
      </c>
    </row>
    <row r="105" spans="1:5" ht="15.6" x14ac:dyDescent="0.3">
      <c r="A105" s="8" t="s">
        <v>87</v>
      </c>
      <c r="B105" s="8" t="s">
        <v>9</v>
      </c>
      <c r="C105" s="2">
        <v>353</v>
      </c>
      <c r="D105" s="2">
        <v>11361</v>
      </c>
      <c r="E105" s="7">
        <f t="shared" si="1"/>
        <v>4010433</v>
      </c>
    </row>
    <row r="106" spans="1:5" ht="15.6" x14ac:dyDescent="0.3">
      <c r="A106" s="8" t="s">
        <v>89</v>
      </c>
      <c r="B106" s="8" t="s">
        <v>3</v>
      </c>
      <c r="C106" s="2">
        <v>6</v>
      </c>
      <c r="D106" s="2">
        <v>18000</v>
      </c>
      <c r="E106" s="7">
        <f t="shared" si="1"/>
        <v>108000</v>
      </c>
    </row>
    <row r="107" spans="1:5" ht="15.6" x14ac:dyDescent="0.3">
      <c r="A107" s="8" t="s">
        <v>90</v>
      </c>
      <c r="B107" s="8" t="s">
        <v>3</v>
      </c>
      <c r="C107" s="2">
        <v>75</v>
      </c>
      <c r="D107" s="2">
        <v>8000</v>
      </c>
      <c r="E107" s="7">
        <f t="shared" si="1"/>
        <v>600000</v>
      </c>
    </row>
    <row r="108" spans="1:5" ht="15.6" hidden="1" x14ac:dyDescent="0.3">
      <c r="A108" s="8" t="s">
        <v>113</v>
      </c>
      <c r="B108" s="8" t="s">
        <v>3</v>
      </c>
      <c r="C108" s="2">
        <v>0</v>
      </c>
      <c r="D108" s="2"/>
      <c r="E108" s="7">
        <f t="shared" si="1"/>
        <v>0</v>
      </c>
    </row>
    <row r="109" spans="1:5" ht="15.6" x14ac:dyDescent="0.3">
      <c r="A109" s="8" t="s">
        <v>91</v>
      </c>
      <c r="B109" s="8" t="s">
        <v>3</v>
      </c>
      <c r="C109" s="2">
        <v>20</v>
      </c>
      <c r="D109" s="2">
        <v>24000</v>
      </c>
      <c r="E109" s="7">
        <f t="shared" si="1"/>
        <v>480000</v>
      </c>
    </row>
    <row r="110" spans="1:5" ht="15.6" hidden="1" x14ac:dyDescent="0.3">
      <c r="A110" s="8" t="s">
        <v>120</v>
      </c>
      <c r="B110" s="8" t="s">
        <v>3</v>
      </c>
      <c r="C110" s="2">
        <v>0</v>
      </c>
      <c r="D110" s="2"/>
      <c r="E110" s="7">
        <f t="shared" si="1"/>
        <v>0</v>
      </c>
    </row>
    <row r="111" spans="1:5" ht="15.6" x14ac:dyDescent="0.3">
      <c r="A111" s="8" t="s">
        <v>92</v>
      </c>
      <c r="B111" s="8" t="s">
        <v>3</v>
      </c>
      <c r="C111" s="2">
        <v>2</v>
      </c>
      <c r="D111" s="2">
        <v>25000</v>
      </c>
      <c r="E111" s="7">
        <f t="shared" si="1"/>
        <v>50000</v>
      </c>
    </row>
    <row r="112" spans="1:5" ht="15.6" hidden="1" x14ac:dyDescent="0.3">
      <c r="A112" s="8" t="s">
        <v>93</v>
      </c>
      <c r="B112" s="8" t="s">
        <v>19</v>
      </c>
      <c r="C112" s="2">
        <v>0</v>
      </c>
      <c r="D112" s="2"/>
      <c r="E112" s="7">
        <f t="shared" si="1"/>
        <v>0</v>
      </c>
    </row>
    <row r="113" spans="1:5" ht="15.6" hidden="1" x14ac:dyDescent="0.3">
      <c r="A113" s="8" t="s">
        <v>94</v>
      </c>
      <c r="B113" s="8" t="s">
        <v>3</v>
      </c>
      <c r="C113" s="2">
        <v>0</v>
      </c>
      <c r="D113" s="2"/>
      <c r="E113" s="7">
        <f t="shared" si="1"/>
        <v>0</v>
      </c>
    </row>
    <row r="114" spans="1:5" ht="15.6" hidden="1" x14ac:dyDescent="0.3">
      <c r="A114" s="8" t="s">
        <v>95</v>
      </c>
      <c r="B114" s="8" t="s">
        <v>19</v>
      </c>
      <c r="C114" s="2">
        <v>0</v>
      </c>
      <c r="D114" s="2"/>
      <c r="E114" s="7">
        <f t="shared" si="1"/>
        <v>0</v>
      </c>
    </row>
    <row r="115" spans="1:5" ht="15.6" x14ac:dyDescent="0.3">
      <c r="A115" s="8" t="s">
        <v>97</v>
      </c>
      <c r="B115" s="8" t="s">
        <v>3</v>
      </c>
      <c r="C115" s="2">
        <v>7</v>
      </c>
      <c r="D115" s="2">
        <v>25000</v>
      </c>
      <c r="E115" s="7">
        <f t="shared" si="1"/>
        <v>175000</v>
      </c>
    </row>
    <row r="116" spans="1:5" ht="15.6" x14ac:dyDescent="0.3">
      <c r="A116" s="8" t="s">
        <v>98</v>
      </c>
      <c r="B116" s="8" t="s">
        <v>19</v>
      </c>
      <c r="C116" s="2">
        <v>100</v>
      </c>
      <c r="D116" s="2">
        <v>6500</v>
      </c>
      <c r="E116" s="7">
        <f t="shared" si="1"/>
        <v>650000</v>
      </c>
    </row>
    <row r="117" spans="1:5" x14ac:dyDescent="0.3">
      <c r="E117" s="9">
        <f>SUM(E3:E116)</f>
        <v>111096433</v>
      </c>
    </row>
  </sheetData>
  <autoFilter ref="A2:E116" xr:uid="{00000000-0009-0000-0000-00000A000000}">
    <filterColumn colId="2">
      <filters>
        <filter val="1"/>
        <filter val="1,400"/>
        <filter val="10"/>
        <filter val="100"/>
        <filter val="118"/>
        <filter val="12"/>
        <filter val="13"/>
        <filter val="15"/>
        <filter val="163"/>
        <filter val="170"/>
        <filter val="190"/>
        <filter val="2"/>
        <filter val="20"/>
        <filter val="217"/>
        <filter val="25"/>
        <filter val="3"/>
        <filter val="30"/>
        <filter val="340"/>
        <filter val="35"/>
        <filter val="353"/>
        <filter val="4"/>
        <filter val="40"/>
        <filter val="42"/>
        <filter val="44"/>
        <filter val="440"/>
        <filter val="45"/>
        <filter val="46"/>
        <filter val="5"/>
        <filter val="52"/>
        <filter val="573"/>
        <filter val="58"/>
        <filter val="6"/>
        <filter val="60"/>
        <filter val="7"/>
        <filter val="70"/>
        <filter val="75"/>
        <filter val="8"/>
        <filter val="804"/>
        <filter val="834"/>
        <filter val="890"/>
        <filter val="938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E104"/>
  <sheetViews>
    <sheetView workbookViewId="0">
      <selection activeCell="E105" sqref="E105"/>
    </sheetView>
  </sheetViews>
  <sheetFormatPr defaultRowHeight="14.4" x14ac:dyDescent="0.3"/>
  <cols>
    <col min="1" max="1" width="30.5546875" customWidth="1"/>
    <col min="5" max="5" width="19.77734375" customWidth="1"/>
  </cols>
  <sheetData>
    <row r="1" spans="1:5" x14ac:dyDescent="0.3">
      <c r="A1" t="s">
        <v>136</v>
      </c>
    </row>
    <row r="2" spans="1:5" ht="64.8" customHeight="1" x14ac:dyDescent="0.3">
      <c r="A2" s="10" t="s">
        <v>0</v>
      </c>
      <c r="B2" s="10" t="s">
        <v>1</v>
      </c>
      <c r="C2" s="2" t="s">
        <v>100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34</v>
      </c>
      <c r="D3" s="7">
        <v>18000</v>
      </c>
      <c r="E3" s="12">
        <f>C3*D3</f>
        <v>612000</v>
      </c>
    </row>
    <row r="4" spans="1:5" ht="15.6" x14ac:dyDescent="0.3">
      <c r="A4" s="8" t="s">
        <v>4</v>
      </c>
      <c r="B4" s="8" t="s">
        <v>3</v>
      </c>
      <c r="C4" s="2">
        <v>60</v>
      </c>
      <c r="D4" s="7">
        <v>6000</v>
      </c>
      <c r="E4" s="12">
        <f t="shared" ref="E4:E67" si="0">C4*D4</f>
        <v>360000</v>
      </c>
    </row>
    <row r="5" spans="1:5" ht="15.6" x14ac:dyDescent="0.3">
      <c r="A5" s="8" t="s">
        <v>5</v>
      </c>
      <c r="B5" s="8" t="s">
        <v>3</v>
      </c>
      <c r="C5" s="2">
        <v>690</v>
      </c>
      <c r="D5" s="7">
        <v>4000</v>
      </c>
      <c r="E5" s="12">
        <f t="shared" si="0"/>
        <v>2760000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x14ac:dyDescent="0.3">
      <c r="A7" s="8" t="s">
        <v>7</v>
      </c>
      <c r="B7" s="8" t="s">
        <v>3</v>
      </c>
      <c r="C7" s="2">
        <v>620</v>
      </c>
      <c r="D7" s="7">
        <v>9000</v>
      </c>
      <c r="E7" s="12">
        <f t="shared" si="0"/>
        <v>5580000</v>
      </c>
    </row>
    <row r="8" spans="1:5" ht="15.6" hidden="1" x14ac:dyDescent="0.3">
      <c r="A8" s="8" t="s">
        <v>10</v>
      </c>
      <c r="B8" s="8" t="s">
        <v>3</v>
      </c>
      <c r="C8" s="2">
        <v>0</v>
      </c>
      <c r="D8" s="7"/>
      <c r="E8" s="12">
        <f t="shared" si="0"/>
        <v>0</v>
      </c>
    </row>
    <row r="9" spans="1:5" ht="15.6" x14ac:dyDescent="0.3">
      <c r="A9" s="8" t="s">
        <v>11</v>
      </c>
      <c r="B9" s="8" t="s">
        <v>3</v>
      </c>
      <c r="C9" s="2">
        <v>115</v>
      </c>
      <c r="D9" s="7">
        <v>9000</v>
      </c>
      <c r="E9" s="12">
        <f t="shared" si="0"/>
        <v>1035000</v>
      </c>
    </row>
    <row r="10" spans="1:5" ht="15.6" hidden="1" x14ac:dyDescent="0.3">
      <c r="A10" s="8" t="s">
        <v>11</v>
      </c>
      <c r="B10" s="8" t="s">
        <v>9</v>
      </c>
      <c r="C10" s="2">
        <v>0</v>
      </c>
      <c r="D10" s="7"/>
      <c r="E10" s="12">
        <f t="shared" si="0"/>
        <v>0</v>
      </c>
    </row>
    <row r="11" spans="1:5" ht="15.6" x14ac:dyDescent="0.3">
      <c r="A11" s="8" t="s">
        <v>8</v>
      </c>
      <c r="B11" s="8" t="s">
        <v>3</v>
      </c>
      <c r="C11" s="2">
        <v>40</v>
      </c>
      <c r="D11" s="7">
        <v>13000</v>
      </c>
      <c r="E11" s="12">
        <f t="shared" si="0"/>
        <v>520000</v>
      </c>
    </row>
    <row r="12" spans="1:5" ht="15.6" hidden="1" x14ac:dyDescent="0.3">
      <c r="A12" s="8" t="s">
        <v>8</v>
      </c>
      <c r="B12" s="8" t="s">
        <v>9</v>
      </c>
      <c r="C12" s="2">
        <v>0</v>
      </c>
      <c r="D12" s="7"/>
      <c r="E12" s="12">
        <f t="shared" si="0"/>
        <v>0</v>
      </c>
    </row>
    <row r="13" spans="1:5" ht="15.6" x14ac:dyDescent="0.3">
      <c r="A13" s="8" t="s">
        <v>12</v>
      </c>
      <c r="B13" s="8" t="s">
        <v>3</v>
      </c>
      <c r="C13" s="2">
        <v>6</v>
      </c>
      <c r="D13" s="7">
        <v>12000</v>
      </c>
      <c r="E13" s="12">
        <f t="shared" si="0"/>
        <v>72000</v>
      </c>
    </row>
    <row r="14" spans="1:5" ht="15.6" x14ac:dyDescent="0.3">
      <c r="A14" s="8" t="s">
        <v>14</v>
      </c>
      <c r="B14" s="8" t="s">
        <v>3</v>
      </c>
      <c r="C14" s="2">
        <v>20</v>
      </c>
      <c r="D14" s="7">
        <v>12000</v>
      </c>
      <c r="E14" s="12">
        <f t="shared" si="0"/>
        <v>240000</v>
      </c>
    </row>
    <row r="15" spans="1:5" ht="15.6" hidden="1" x14ac:dyDescent="0.3">
      <c r="A15" s="8" t="s">
        <v>15</v>
      </c>
      <c r="B15" s="8" t="s">
        <v>3</v>
      </c>
      <c r="C15" s="2">
        <v>0</v>
      </c>
      <c r="D15" s="7"/>
      <c r="E15" s="12">
        <f t="shared" si="0"/>
        <v>0</v>
      </c>
    </row>
    <row r="16" spans="1:5" ht="15.6" hidden="1" x14ac:dyDescent="0.3">
      <c r="A16" s="8" t="s">
        <v>16</v>
      </c>
      <c r="B16" s="8" t="s">
        <v>17</v>
      </c>
      <c r="C16" s="2">
        <v>0</v>
      </c>
      <c r="D16" s="7"/>
      <c r="E16" s="12">
        <f t="shared" si="0"/>
        <v>0</v>
      </c>
    </row>
    <row r="17" spans="1:5" ht="15.6" hidden="1" x14ac:dyDescent="0.3">
      <c r="A17" s="8" t="s">
        <v>20</v>
      </c>
      <c r="B17" s="8" t="s">
        <v>3</v>
      </c>
      <c r="C17" s="2">
        <v>0</v>
      </c>
      <c r="D17" s="7"/>
      <c r="E17" s="12">
        <f t="shared" si="0"/>
        <v>0</v>
      </c>
    </row>
    <row r="18" spans="1:5" ht="15.6" x14ac:dyDescent="0.3">
      <c r="A18" s="8" t="s">
        <v>22</v>
      </c>
      <c r="B18" s="8" t="s">
        <v>3</v>
      </c>
      <c r="C18" s="2">
        <v>230</v>
      </c>
      <c r="D18" s="7">
        <v>13000</v>
      </c>
      <c r="E18" s="12">
        <f t="shared" si="0"/>
        <v>2990000</v>
      </c>
    </row>
    <row r="19" spans="1:5" ht="15.6" hidden="1" x14ac:dyDescent="0.3">
      <c r="A19" s="8" t="s">
        <v>22</v>
      </c>
      <c r="B19" s="8" t="s">
        <v>23</v>
      </c>
      <c r="C19" s="2">
        <v>0</v>
      </c>
      <c r="D19" s="7"/>
      <c r="E19" s="12">
        <f t="shared" si="0"/>
        <v>0</v>
      </c>
    </row>
    <row r="20" spans="1:5" ht="15.6" x14ac:dyDescent="0.3">
      <c r="A20" s="8" t="s">
        <v>135</v>
      </c>
      <c r="B20" s="8" t="s">
        <v>3</v>
      </c>
      <c r="C20" s="2">
        <v>120</v>
      </c>
      <c r="D20" s="7">
        <v>14000</v>
      </c>
      <c r="E20" s="12">
        <f t="shared" si="0"/>
        <v>1680000</v>
      </c>
    </row>
    <row r="21" spans="1:5" ht="15.6" x14ac:dyDescent="0.3">
      <c r="A21" s="8" t="s">
        <v>24</v>
      </c>
      <c r="B21" s="8" t="s">
        <v>3</v>
      </c>
      <c r="C21" s="2">
        <v>8</v>
      </c>
      <c r="D21" s="7">
        <v>14000</v>
      </c>
      <c r="E21" s="12">
        <f t="shared" si="0"/>
        <v>112000</v>
      </c>
    </row>
    <row r="22" spans="1:5" ht="15.6" hidden="1" x14ac:dyDescent="0.3">
      <c r="A22" s="8" t="s">
        <v>24</v>
      </c>
      <c r="B22" s="8" t="s">
        <v>25</v>
      </c>
      <c r="C22" s="2">
        <v>0</v>
      </c>
      <c r="D22" s="7"/>
      <c r="E22" s="12">
        <f t="shared" si="0"/>
        <v>0</v>
      </c>
    </row>
    <row r="23" spans="1:5" ht="15.6" x14ac:dyDescent="0.3">
      <c r="A23" s="8" t="s">
        <v>26</v>
      </c>
      <c r="B23" s="8" t="s">
        <v>3</v>
      </c>
      <c r="C23" s="2">
        <v>23</v>
      </c>
      <c r="D23" s="7">
        <v>16000</v>
      </c>
      <c r="E23" s="12">
        <f t="shared" si="0"/>
        <v>368000</v>
      </c>
    </row>
    <row r="24" spans="1:5" ht="15.6" hidden="1" x14ac:dyDescent="0.3">
      <c r="A24" s="8" t="s">
        <v>26</v>
      </c>
      <c r="B24" s="8" t="s">
        <v>27</v>
      </c>
      <c r="C24" s="2">
        <v>0</v>
      </c>
      <c r="D24" s="7"/>
      <c r="E24" s="12">
        <f t="shared" si="0"/>
        <v>0</v>
      </c>
    </row>
    <row r="25" spans="1:5" ht="15.6" x14ac:dyDescent="0.3">
      <c r="A25" s="8" t="s">
        <v>28</v>
      </c>
      <c r="B25" s="8" t="s">
        <v>29</v>
      </c>
      <c r="C25" s="2">
        <v>11</v>
      </c>
      <c r="D25" s="7">
        <v>12000</v>
      </c>
      <c r="E25" s="12">
        <f t="shared" si="0"/>
        <v>132000</v>
      </c>
    </row>
    <row r="26" spans="1:5" ht="15.6" hidden="1" x14ac:dyDescent="0.3">
      <c r="A26" s="8" t="s">
        <v>30</v>
      </c>
      <c r="B26" s="8" t="s">
        <v>3</v>
      </c>
      <c r="C26" s="2">
        <v>0</v>
      </c>
      <c r="D26" s="7"/>
      <c r="E26" s="12">
        <f t="shared" si="0"/>
        <v>0</v>
      </c>
    </row>
    <row r="27" spans="1:5" ht="15.6" x14ac:dyDescent="0.3">
      <c r="A27" s="8" t="s">
        <v>30</v>
      </c>
      <c r="B27" s="8" t="s">
        <v>31</v>
      </c>
      <c r="C27" s="2">
        <v>140</v>
      </c>
      <c r="D27" s="7">
        <v>7500</v>
      </c>
      <c r="E27" s="12">
        <f t="shared" si="0"/>
        <v>1050000</v>
      </c>
    </row>
    <row r="28" spans="1:5" ht="15.6" x14ac:dyDescent="0.3">
      <c r="A28" s="8" t="s">
        <v>32</v>
      </c>
      <c r="B28" s="8" t="s">
        <v>3</v>
      </c>
      <c r="C28" s="2">
        <v>250</v>
      </c>
      <c r="D28" s="7">
        <v>9000</v>
      </c>
      <c r="E28" s="12">
        <f t="shared" si="0"/>
        <v>2250000</v>
      </c>
    </row>
    <row r="29" spans="1:5" ht="15.6" hidden="1" x14ac:dyDescent="0.3">
      <c r="A29" s="8" t="s">
        <v>32</v>
      </c>
      <c r="B29" s="8" t="s">
        <v>17</v>
      </c>
      <c r="C29" s="2">
        <v>0</v>
      </c>
      <c r="D29" s="7"/>
      <c r="E29" s="12">
        <f t="shared" si="0"/>
        <v>0</v>
      </c>
    </row>
    <row r="30" spans="1:5" ht="15.6" x14ac:dyDescent="0.3">
      <c r="A30" s="8" t="s">
        <v>33</v>
      </c>
      <c r="B30" s="8" t="s">
        <v>34</v>
      </c>
      <c r="C30" s="2">
        <v>100</v>
      </c>
      <c r="D30" s="7">
        <v>6000</v>
      </c>
      <c r="E30" s="12">
        <f t="shared" si="0"/>
        <v>600000</v>
      </c>
    </row>
    <row r="31" spans="1:5" ht="15.6" x14ac:dyDescent="0.3">
      <c r="A31" s="8" t="s">
        <v>35</v>
      </c>
      <c r="B31" s="8" t="s">
        <v>3</v>
      </c>
      <c r="C31" s="2">
        <v>40</v>
      </c>
      <c r="D31" s="7">
        <v>6500</v>
      </c>
      <c r="E31" s="12">
        <f t="shared" si="0"/>
        <v>260000</v>
      </c>
    </row>
    <row r="32" spans="1:5" ht="15.6" hidden="1" x14ac:dyDescent="0.3">
      <c r="A32" s="8" t="s">
        <v>35</v>
      </c>
      <c r="B32" s="8" t="s">
        <v>34</v>
      </c>
      <c r="C32" s="2">
        <v>0</v>
      </c>
      <c r="D32" s="7"/>
      <c r="E32" s="12">
        <f t="shared" si="0"/>
        <v>0</v>
      </c>
    </row>
    <row r="33" spans="1:5" ht="15.6" hidden="1" x14ac:dyDescent="0.3">
      <c r="A33" s="8" t="s">
        <v>36</v>
      </c>
      <c r="B33" s="8" t="s">
        <v>17</v>
      </c>
      <c r="C33" s="2">
        <v>0</v>
      </c>
      <c r="D33" s="7"/>
      <c r="E33" s="12">
        <f t="shared" si="0"/>
        <v>0</v>
      </c>
    </row>
    <row r="34" spans="1:5" ht="15.6" x14ac:dyDescent="0.3">
      <c r="A34" s="8" t="s">
        <v>37</v>
      </c>
      <c r="B34" s="8" t="s">
        <v>3</v>
      </c>
      <c r="C34" s="2">
        <v>40</v>
      </c>
      <c r="D34" s="7">
        <v>8000</v>
      </c>
      <c r="E34" s="12">
        <f t="shared" si="0"/>
        <v>320000</v>
      </c>
    </row>
    <row r="35" spans="1:5" ht="15.6" hidden="1" x14ac:dyDescent="0.3">
      <c r="A35" s="8" t="s">
        <v>37</v>
      </c>
      <c r="B35" s="8" t="s">
        <v>38</v>
      </c>
      <c r="C35" s="2">
        <v>0</v>
      </c>
      <c r="D35" s="7"/>
      <c r="E35" s="12">
        <f t="shared" si="0"/>
        <v>0</v>
      </c>
    </row>
    <row r="36" spans="1:5" ht="15.6" x14ac:dyDescent="0.3">
      <c r="A36" s="8" t="s">
        <v>39</v>
      </c>
      <c r="B36" s="8" t="s">
        <v>3</v>
      </c>
      <c r="C36" s="2">
        <v>6</v>
      </c>
      <c r="D36" s="7">
        <v>18000</v>
      </c>
      <c r="E36" s="12">
        <f t="shared" si="0"/>
        <v>108000</v>
      </c>
    </row>
    <row r="37" spans="1:5" ht="15.6" hidden="1" x14ac:dyDescent="0.3">
      <c r="A37" s="8" t="s">
        <v>39</v>
      </c>
      <c r="B37" s="8" t="s">
        <v>34</v>
      </c>
      <c r="C37" s="2">
        <v>0</v>
      </c>
      <c r="D37" s="7"/>
      <c r="E37" s="12">
        <f t="shared" si="0"/>
        <v>0</v>
      </c>
    </row>
    <row r="38" spans="1:5" ht="15.6" x14ac:dyDescent="0.3">
      <c r="A38" s="8" t="s">
        <v>40</v>
      </c>
      <c r="B38" s="8" t="s">
        <v>34</v>
      </c>
      <c r="C38" s="2">
        <v>7</v>
      </c>
      <c r="D38" s="7">
        <v>3000</v>
      </c>
      <c r="E38" s="12">
        <f t="shared" si="0"/>
        <v>21000</v>
      </c>
    </row>
    <row r="39" spans="1:5" ht="15.6" x14ac:dyDescent="0.3">
      <c r="A39" s="8" t="s">
        <v>41</v>
      </c>
      <c r="B39" s="8" t="s">
        <v>34</v>
      </c>
      <c r="C39" s="2">
        <v>9</v>
      </c>
      <c r="D39" s="7">
        <v>3000</v>
      </c>
      <c r="E39" s="12">
        <f t="shared" si="0"/>
        <v>27000</v>
      </c>
    </row>
    <row r="40" spans="1:5" ht="15.6" x14ac:dyDescent="0.3">
      <c r="A40" s="8" t="s">
        <v>42</v>
      </c>
      <c r="B40" s="8" t="s">
        <v>3</v>
      </c>
      <c r="C40" s="2">
        <v>130</v>
      </c>
      <c r="D40" s="7">
        <v>3000</v>
      </c>
      <c r="E40" s="12">
        <f t="shared" si="0"/>
        <v>390000</v>
      </c>
    </row>
    <row r="41" spans="1:5" ht="15.6" hidden="1" x14ac:dyDescent="0.3">
      <c r="A41" s="8" t="s">
        <v>43</v>
      </c>
      <c r="B41" s="8" t="s">
        <v>3</v>
      </c>
      <c r="C41" s="2">
        <v>0</v>
      </c>
      <c r="D41" s="7"/>
      <c r="E41" s="12">
        <f t="shared" si="0"/>
        <v>0</v>
      </c>
    </row>
    <row r="42" spans="1:5" ht="15.6" x14ac:dyDescent="0.3">
      <c r="A42" s="8" t="s">
        <v>45</v>
      </c>
      <c r="B42" s="8" t="s">
        <v>3</v>
      </c>
      <c r="C42" s="2">
        <v>35</v>
      </c>
      <c r="D42" s="7">
        <v>9000</v>
      </c>
      <c r="E42" s="12">
        <f t="shared" si="0"/>
        <v>315000</v>
      </c>
    </row>
    <row r="43" spans="1:5" ht="15.6" hidden="1" x14ac:dyDescent="0.3">
      <c r="A43" s="8" t="s">
        <v>45</v>
      </c>
      <c r="B43" s="8" t="s">
        <v>19</v>
      </c>
      <c r="C43" s="2">
        <v>0</v>
      </c>
      <c r="D43" s="7"/>
      <c r="E43" s="12">
        <f t="shared" si="0"/>
        <v>0</v>
      </c>
    </row>
    <row r="44" spans="1:5" ht="15.6" hidden="1" x14ac:dyDescent="0.3">
      <c r="A44" s="8" t="s">
        <v>62</v>
      </c>
      <c r="B44" s="8" t="s">
        <v>3</v>
      </c>
      <c r="C44" s="2">
        <v>0</v>
      </c>
      <c r="D44" s="7"/>
      <c r="E44" s="12">
        <f t="shared" si="0"/>
        <v>0</v>
      </c>
    </row>
    <row r="45" spans="1:5" ht="15.6" x14ac:dyDescent="0.3">
      <c r="A45" s="8" t="s">
        <v>63</v>
      </c>
      <c r="B45" s="8" t="s">
        <v>3</v>
      </c>
      <c r="C45" s="2">
        <v>3</v>
      </c>
      <c r="D45" s="7">
        <v>14000</v>
      </c>
      <c r="E45" s="12">
        <f t="shared" si="0"/>
        <v>42000</v>
      </c>
    </row>
    <row r="46" spans="1:5" ht="15.6" hidden="1" x14ac:dyDescent="0.3">
      <c r="A46" s="8" t="s">
        <v>46</v>
      </c>
      <c r="B46" s="8" t="s">
        <v>29</v>
      </c>
      <c r="C46" s="2">
        <v>0</v>
      </c>
      <c r="D46" s="7"/>
      <c r="E46" s="12">
        <f t="shared" si="0"/>
        <v>0</v>
      </c>
    </row>
    <row r="47" spans="1:5" ht="15.6" hidden="1" x14ac:dyDescent="0.3">
      <c r="A47" s="8" t="s">
        <v>47</v>
      </c>
      <c r="B47" s="8" t="s">
        <v>3</v>
      </c>
      <c r="C47" s="2">
        <v>0</v>
      </c>
      <c r="D47" s="7"/>
      <c r="E47" s="12">
        <f t="shared" si="0"/>
        <v>0</v>
      </c>
    </row>
    <row r="48" spans="1:5" ht="15.6" x14ac:dyDescent="0.3">
      <c r="A48" s="8" t="s">
        <v>48</v>
      </c>
      <c r="B48" s="8" t="s">
        <v>3</v>
      </c>
      <c r="C48" s="2">
        <v>30</v>
      </c>
      <c r="D48" s="7">
        <v>8000</v>
      </c>
      <c r="E48" s="12">
        <f t="shared" si="0"/>
        <v>240000</v>
      </c>
    </row>
    <row r="49" spans="1:5" ht="15.6" hidden="1" x14ac:dyDescent="0.3">
      <c r="A49" s="8" t="s">
        <v>48</v>
      </c>
      <c r="B49" s="8" t="s">
        <v>34</v>
      </c>
      <c r="C49" s="2">
        <v>0</v>
      </c>
      <c r="D49" s="7"/>
      <c r="E49" s="12">
        <f t="shared" si="0"/>
        <v>0</v>
      </c>
    </row>
    <row r="50" spans="1:5" ht="15.6" hidden="1" x14ac:dyDescent="0.3">
      <c r="A50" s="8" t="s">
        <v>49</v>
      </c>
      <c r="B50" s="8" t="s">
        <v>3</v>
      </c>
      <c r="C50" s="2">
        <v>0</v>
      </c>
      <c r="D50" s="7"/>
      <c r="E50" s="12">
        <f t="shared" si="0"/>
        <v>0</v>
      </c>
    </row>
    <row r="51" spans="1:5" ht="15.6" x14ac:dyDescent="0.3">
      <c r="A51" s="8" t="s">
        <v>50</v>
      </c>
      <c r="B51" s="8" t="s">
        <v>3</v>
      </c>
      <c r="C51" s="2">
        <v>490</v>
      </c>
      <c r="D51" s="7">
        <v>6000</v>
      </c>
      <c r="E51" s="12">
        <f t="shared" si="0"/>
        <v>2940000</v>
      </c>
    </row>
    <row r="52" spans="1:5" ht="15.6" hidden="1" x14ac:dyDescent="0.3">
      <c r="A52" s="8" t="s">
        <v>50</v>
      </c>
      <c r="B52" s="8" t="s">
        <v>51</v>
      </c>
      <c r="C52" s="2">
        <v>0</v>
      </c>
      <c r="D52" s="7"/>
      <c r="E52" s="12">
        <f t="shared" si="0"/>
        <v>0</v>
      </c>
    </row>
    <row r="53" spans="1:5" ht="15.6" x14ac:dyDescent="0.3">
      <c r="A53" s="8" t="s">
        <v>104</v>
      </c>
      <c r="B53" s="8" t="s">
        <v>3</v>
      </c>
      <c r="C53" s="2">
        <v>17</v>
      </c>
      <c r="D53" s="7">
        <v>20000</v>
      </c>
      <c r="E53" s="12">
        <f t="shared" si="0"/>
        <v>340000</v>
      </c>
    </row>
    <row r="54" spans="1:5" ht="15.6" hidden="1" x14ac:dyDescent="0.3">
      <c r="A54" s="8" t="s">
        <v>52</v>
      </c>
      <c r="B54" s="8" t="s">
        <v>34</v>
      </c>
      <c r="C54" s="2">
        <v>0</v>
      </c>
      <c r="D54" s="7"/>
      <c r="E54" s="12">
        <f t="shared" si="0"/>
        <v>0</v>
      </c>
    </row>
    <row r="55" spans="1:5" ht="15.6" x14ac:dyDescent="0.3">
      <c r="A55" s="8" t="s">
        <v>53</v>
      </c>
      <c r="B55" s="8" t="s">
        <v>3</v>
      </c>
      <c r="C55" s="2">
        <v>715</v>
      </c>
      <c r="D55" s="7">
        <v>21500</v>
      </c>
      <c r="E55" s="12">
        <f t="shared" si="0"/>
        <v>15372500</v>
      </c>
    </row>
    <row r="56" spans="1:5" ht="15.6" x14ac:dyDescent="0.3">
      <c r="A56" s="8" t="s">
        <v>54</v>
      </c>
      <c r="B56" s="8" t="s">
        <v>3</v>
      </c>
      <c r="C56" s="2">
        <v>1300</v>
      </c>
      <c r="D56" s="7">
        <v>21500</v>
      </c>
      <c r="E56" s="12">
        <f t="shared" si="0"/>
        <v>27950000</v>
      </c>
    </row>
    <row r="57" spans="1:5" ht="15.6" x14ac:dyDescent="0.3">
      <c r="A57" s="8" t="s">
        <v>55</v>
      </c>
      <c r="B57" s="8" t="s">
        <v>3</v>
      </c>
      <c r="C57" s="2">
        <v>230</v>
      </c>
      <c r="D57" s="7">
        <v>16000</v>
      </c>
      <c r="E57" s="12">
        <f t="shared" si="0"/>
        <v>3680000</v>
      </c>
    </row>
    <row r="58" spans="1:5" ht="15.6" x14ac:dyDescent="0.3">
      <c r="A58" s="8" t="s">
        <v>56</v>
      </c>
      <c r="B58" s="8" t="s">
        <v>3</v>
      </c>
      <c r="C58" s="2">
        <v>45</v>
      </c>
      <c r="D58" s="7">
        <v>25000</v>
      </c>
      <c r="E58" s="12">
        <f t="shared" si="0"/>
        <v>1125000</v>
      </c>
    </row>
    <row r="59" spans="1:5" ht="15.6" hidden="1" x14ac:dyDescent="0.3">
      <c r="A59" s="8" t="s">
        <v>58</v>
      </c>
      <c r="B59" s="8" t="s">
        <v>34</v>
      </c>
      <c r="C59" s="2">
        <v>0</v>
      </c>
      <c r="D59" s="7"/>
      <c r="E59" s="12">
        <f t="shared" si="0"/>
        <v>0</v>
      </c>
    </row>
    <row r="60" spans="1:5" ht="15.6" x14ac:dyDescent="0.3">
      <c r="A60" s="8" t="s">
        <v>59</v>
      </c>
      <c r="B60" s="8" t="s">
        <v>3</v>
      </c>
      <c r="C60" s="2">
        <v>620</v>
      </c>
      <c r="D60" s="7">
        <v>14000</v>
      </c>
      <c r="E60" s="12">
        <f t="shared" si="0"/>
        <v>8680000</v>
      </c>
    </row>
    <row r="61" spans="1:5" ht="15.6" hidden="1" x14ac:dyDescent="0.3">
      <c r="A61" s="8" t="s">
        <v>59</v>
      </c>
      <c r="B61" s="8" t="s">
        <v>34</v>
      </c>
      <c r="C61" s="2">
        <v>0</v>
      </c>
      <c r="D61" s="7"/>
      <c r="E61" s="12">
        <f t="shared" si="0"/>
        <v>0</v>
      </c>
    </row>
    <row r="62" spans="1:5" ht="15.6" x14ac:dyDescent="0.3">
      <c r="A62" s="8" t="s">
        <v>60</v>
      </c>
      <c r="B62" s="8" t="s">
        <v>34</v>
      </c>
      <c r="C62" s="2">
        <v>30</v>
      </c>
      <c r="D62" s="7">
        <v>5000</v>
      </c>
      <c r="E62" s="12">
        <f t="shared" si="0"/>
        <v>150000</v>
      </c>
    </row>
    <row r="63" spans="1:5" ht="15.6" hidden="1" x14ac:dyDescent="0.3">
      <c r="A63" s="8" t="s">
        <v>61</v>
      </c>
      <c r="B63" s="8" t="s">
        <v>3</v>
      </c>
      <c r="C63" s="2">
        <v>0</v>
      </c>
      <c r="D63" s="7"/>
      <c r="E63" s="12">
        <f t="shared" si="0"/>
        <v>0</v>
      </c>
    </row>
    <row r="64" spans="1:5" ht="15.6" x14ac:dyDescent="0.3">
      <c r="A64" s="8" t="s">
        <v>67</v>
      </c>
      <c r="B64" s="8" t="s">
        <v>34</v>
      </c>
      <c r="C64" s="2">
        <v>8</v>
      </c>
      <c r="D64" s="7">
        <v>6000</v>
      </c>
      <c r="E64" s="12">
        <f t="shared" si="0"/>
        <v>48000</v>
      </c>
    </row>
    <row r="65" spans="1:5" ht="15.6" hidden="1" x14ac:dyDescent="0.3">
      <c r="A65" s="8" t="s">
        <v>68</v>
      </c>
      <c r="B65" s="8" t="s">
        <v>3</v>
      </c>
      <c r="C65" s="2">
        <v>0</v>
      </c>
      <c r="D65" s="7"/>
      <c r="E65" s="12">
        <f t="shared" si="0"/>
        <v>0</v>
      </c>
    </row>
    <row r="66" spans="1:5" ht="15.6" hidden="1" x14ac:dyDescent="0.3">
      <c r="A66" s="8" t="s">
        <v>68</v>
      </c>
      <c r="B66" s="8" t="s">
        <v>116</v>
      </c>
      <c r="C66" s="2">
        <v>0</v>
      </c>
      <c r="D66" s="7"/>
      <c r="E66" s="12">
        <f t="shared" si="0"/>
        <v>0</v>
      </c>
    </row>
    <row r="67" spans="1:5" ht="15.6" hidden="1" x14ac:dyDescent="0.3">
      <c r="A67" s="8" t="s">
        <v>69</v>
      </c>
      <c r="B67" s="8" t="s">
        <v>3</v>
      </c>
      <c r="C67" s="2">
        <v>0</v>
      </c>
      <c r="D67" s="7"/>
      <c r="E67" s="12">
        <f t="shared" si="0"/>
        <v>0</v>
      </c>
    </row>
    <row r="68" spans="1:5" ht="15.6" hidden="1" x14ac:dyDescent="0.3">
      <c r="A68" s="8" t="s">
        <v>70</v>
      </c>
      <c r="B68" s="8" t="s">
        <v>3</v>
      </c>
      <c r="C68" s="2">
        <v>0</v>
      </c>
      <c r="D68" s="7"/>
      <c r="E68" s="12">
        <f t="shared" ref="E68:E103" si="1">C68*D68</f>
        <v>0</v>
      </c>
    </row>
    <row r="69" spans="1:5" ht="15.6" hidden="1" x14ac:dyDescent="0.3">
      <c r="A69" s="8" t="s">
        <v>71</v>
      </c>
      <c r="B69" s="8" t="s">
        <v>3</v>
      </c>
      <c r="C69" s="2">
        <v>0</v>
      </c>
      <c r="D69" s="7"/>
      <c r="E69" s="12">
        <f t="shared" si="1"/>
        <v>0</v>
      </c>
    </row>
    <row r="70" spans="1:5" ht="15.6" x14ac:dyDescent="0.3">
      <c r="A70" s="8" t="s">
        <v>64</v>
      </c>
      <c r="B70" s="8" t="s">
        <v>3</v>
      </c>
      <c r="C70" s="2">
        <v>35</v>
      </c>
      <c r="D70" s="7">
        <v>9500</v>
      </c>
      <c r="E70" s="12">
        <f t="shared" si="1"/>
        <v>332500</v>
      </c>
    </row>
    <row r="71" spans="1:5" ht="15.6" x14ac:dyDescent="0.3">
      <c r="A71" s="8" t="s">
        <v>64</v>
      </c>
      <c r="B71" s="8" t="s">
        <v>17</v>
      </c>
      <c r="C71" s="2">
        <v>40</v>
      </c>
      <c r="D71" s="7">
        <v>8500</v>
      </c>
      <c r="E71" s="12">
        <f t="shared" si="1"/>
        <v>340000</v>
      </c>
    </row>
    <row r="72" spans="1:5" ht="15.6" hidden="1" x14ac:dyDescent="0.3">
      <c r="A72" s="8" t="s">
        <v>65</v>
      </c>
      <c r="B72" s="8" t="s">
        <v>3</v>
      </c>
      <c r="C72" s="2">
        <v>0</v>
      </c>
      <c r="D72" s="7"/>
      <c r="E72" s="12">
        <f t="shared" si="1"/>
        <v>0</v>
      </c>
    </row>
    <row r="73" spans="1:5" ht="15.6" hidden="1" x14ac:dyDescent="0.3">
      <c r="A73" s="8" t="s">
        <v>66</v>
      </c>
      <c r="B73" s="8" t="s">
        <v>3</v>
      </c>
      <c r="C73" s="2">
        <v>0</v>
      </c>
      <c r="D73" s="7"/>
      <c r="E73" s="12">
        <f t="shared" si="1"/>
        <v>0</v>
      </c>
    </row>
    <row r="74" spans="1:5" ht="15.6" x14ac:dyDescent="0.3">
      <c r="A74" s="8" t="s">
        <v>72</v>
      </c>
      <c r="B74" s="8" t="s">
        <v>3</v>
      </c>
      <c r="C74" s="2">
        <v>75</v>
      </c>
      <c r="D74" s="7">
        <v>10000</v>
      </c>
      <c r="E74" s="12">
        <f t="shared" si="1"/>
        <v>750000</v>
      </c>
    </row>
    <row r="75" spans="1:5" ht="15.6" hidden="1" x14ac:dyDescent="0.3">
      <c r="A75" s="8" t="s">
        <v>72</v>
      </c>
      <c r="B75" s="8" t="s">
        <v>19</v>
      </c>
      <c r="C75" s="2">
        <v>0</v>
      </c>
      <c r="D75" s="7"/>
      <c r="E75" s="12">
        <f t="shared" si="1"/>
        <v>0</v>
      </c>
    </row>
    <row r="76" spans="1:5" ht="15.6" hidden="1" x14ac:dyDescent="0.3">
      <c r="A76" s="8" t="s">
        <v>74</v>
      </c>
      <c r="B76" s="8" t="s">
        <v>34</v>
      </c>
      <c r="C76" s="2">
        <v>0</v>
      </c>
      <c r="D76" s="7"/>
      <c r="E76" s="12">
        <f t="shared" si="1"/>
        <v>0</v>
      </c>
    </row>
    <row r="77" spans="1:5" ht="15.6" x14ac:dyDescent="0.3">
      <c r="A77" s="8" t="s">
        <v>75</v>
      </c>
      <c r="B77" s="8" t="s">
        <v>3</v>
      </c>
      <c r="C77" s="2">
        <v>5</v>
      </c>
      <c r="D77" s="7">
        <v>14000</v>
      </c>
      <c r="E77" s="12">
        <f t="shared" si="1"/>
        <v>70000</v>
      </c>
    </row>
    <row r="78" spans="1:5" ht="15.6" x14ac:dyDescent="0.3">
      <c r="A78" s="8" t="s">
        <v>76</v>
      </c>
      <c r="B78" s="8" t="s">
        <v>3</v>
      </c>
      <c r="C78" s="2">
        <v>70</v>
      </c>
      <c r="D78" s="7">
        <v>58000</v>
      </c>
      <c r="E78" s="12">
        <f t="shared" si="1"/>
        <v>4060000</v>
      </c>
    </row>
    <row r="79" spans="1:5" ht="15.6" hidden="1" x14ac:dyDescent="0.3">
      <c r="A79" s="8" t="s">
        <v>79</v>
      </c>
      <c r="B79" s="8" t="s">
        <v>17</v>
      </c>
      <c r="C79" s="2">
        <v>0</v>
      </c>
      <c r="D79" s="7"/>
      <c r="E79" s="12">
        <f t="shared" si="1"/>
        <v>0</v>
      </c>
    </row>
    <row r="80" spans="1:5" ht="15.6" hidden="1" x14ac:dyDescent="0.3">
      <c r="A80" s="8" t="s">
        <v>80</v>
      </c>
      <c r="B80" s="8" t="s">
        <v>29</v>
      </c>
      <c r="C80" s="2">
        <v>0</v>
      </c>
      <c r="D80" s="7"/>
      <c r="E80" s="12">
        <f t="shared" si="1"/>
        <v>0</v>
      </c>
    </row>
    <row r="81" spans="1:5" ht="15.6" x14ac:dyDescent="0.3">
      <c r="A81" s="8" t="s">
        <v>80</v>
      </c>
      <c r="B81" s="8" t="s">
        <v>3</v>
      </c>
      <c r="C81" s="2">
        <v>5</v>
      </c>
      <c r="D81" s="7">
        <v>35000</v>
      </c>
      <c r="E81" s="12">
        <f t="shared" si="1"/>
        <v>175000</v>
      </c>
    </row>
    <row r="82" spans="1:5" ht="15.6" x14ac:dyDescent="0.3">
      <c r="A82" s="8" t="s">
        <v>81</v>
      </c>
      <c r="B82" s="8" t="s">
        <v>3</v>
      </c>
      <c r="C82" s="2">
        <v>140</v>
      </c>
      <c r="D82" s="7">
        <v>26000</v>
      </c>
      <c r="E82" s="12">
        <f t="shared" si="1"/>
        <v>3640000</v>
      </c>
    </row>
    <row r="83" spans="1:5" ht="15.6" hidden="1" x14ac:dyDescent="0.3">
      <c r="A83" s="8" t="s">
        <v>81</v>
      </c>
      <c r="B83" s="8" t="s">
        <v>9</v>
      </c>
      <c r="C83" s="2">
        <v>0</v>
      </c>
      <c r="D83" s="7"/>
      <c r="E83" s="12">
        <f t="shared" si="1"/>
        <v>0</v>
      </c>
    </row>
    <row r="84" spans="1:5" ht="15.6" x14ac:dyDescent="0.3">
      <c r="A84" s="8" t="s">
        <v>108</v>
      </c>
      <c r="B84" s="8" t="s">
        <v>3</v>
      </c>
      <c r="C84" s="2">
        <v>8</v>
      </c>
      <c r="D84" s="7">
        <v>22000</v>
      </c>
      <c r="E84" s="12">
        <f t="shared" si="1"/>
        <v>176000</v>
      </c>
    </row>
    <row r="85" spans="1:5" ht="15.6" x14ac:dyDescent="0.3">
      <c r="A85" s="8" t="s">
        <v>82</v>
      </c>
      <c r="B85" s="8" t="s">
        <v>3</v>
      </c>
      <c r="C85" s="2">
        <v>95</v>
      </c>
      <c r="D85" s="7">
        <v>24000</v>
      </c>
      <c r="E85" s="12">
        <f t="shared" si="1"/>
        <v>2280000</v>
      </c>
    </row>
    <row r="86" spans="1:5" ht="15.6" hidden="1" x14ac:dyDescent="0.3">
      <c r="A86" s="8" t="s">
        <v>82</v>
      </c>
      <c r="B86" s="8" t="s">
        <v>9</v>
      </c>
      <c r="C86" s="2">
        <v>0</v>
      </c>
      <c r="D86" s="7"/>
      <c r="E86" s="12">
        <f t="shared" si="1"/>
        <v>0</v>
      </c>
    </row>
    <row r="87" spans="1:5" ht="15.6" x14ac:dyDescent="0.3">
      <c r="A87" s="8" t="s">
        <v>109</v>
      </c>
      <c r="B87" s="8" t="s">
        <v>3</v>
      </c>
      <c r="C87" s="2">
        <v>8</v>
      </c>
      <c r="D87" s="7">
        <v>20000</v>
      </c>
      <c r="E87" s="12">
        <f t="shared" si="1"/>
        <v>160000</v>
      </c>
    </row>
    <row r="88" spans="1:5" ht="15.6" x14ac:dyDescent="0.3">
      <c r="A88" s="8" t="s">
        <v>83</v>
      </c>
      <c r="B88" s="8" t="s">
        <v>3</v>
      </c>
      <c r="C88" s="2">
        <v>112</v>
      </c>
      <c r="D88" s="7">
        <v>30000</v>
      </c>
      <c r="E88" s="12">
        <f t="shared" si="1"/>
        <v>3360000</v>
      </c>
    </row>
    <row r="89" spans="1:5" ht="15.6" hidden="1" x14ac:dyDescent="0.3">
      <c r="A89" s="8" t="s">
        <v>83</v>
      </c>
      <c r="B89" s="8" t="s">
        <v>9</v>
      </c>
      <c r="C89" s="2">
        <v>0</v>
      </c>
      <c r="D89" s="7"/>
      <c r="E89" s="12">
        <f t="shared" si="1"/>
        <v>0</v>
      </c>
    </row>
    <row r="90" spans="1:5" ht="15.6" x14ac:dyDescent="0.3">
      <c r="A90" s="8" t="s">
        <v>110</v>
      </c>
      <c r="B90" s="8" t="s">
        <v>3</v>
      </c>
      <c r="C90" s="2">
        <v>7</v>
      </c>
      <c r="D90" s="7">
        <v>25000</v>
      </c>
      <c r="E90" s="12">
        <f t="shared" si="1"/>
        <v>175000</v>
      </c>
    </row>
    <row r="91" spans="1:5" ht="15.6" x14ac:dyDescent="0.3">
      <c r="A91" s="8" t="s">
        <v>84</v>
      </c>
      <c r="B91" s="8" t="s">
        <v>34</v>
      </c>
      <c r="C91" s="2">
        <v>30</v>
      </c>
      <c r="D91" s="7">
        <v>16000</v>
      </c>
      <c r="E91" s="12">
        <f t="shared" si="1"/>
        <v>480000</v>
      </c>
    </row>
    <row r="92" spans="1:5" ht="15.6" hidden="1" x14ac:dyDescent="0.3">
      <c r="A92" s="8" t="s">
        <v>85</v>
      </c>
      <c r="B92" s="8" t="s">
        <v>34</v>
      </c>
      <c r="C92" s="2">
        <v>0</v>
      </c>
      <c r="D92" s="7"/>
      <c r="E92" s="12">
        <f t="shared" si="1"/>
        <v>0</v>
      </c>
    </row>
    <row r="93" spans="1:5" ht="15.6" x14ac:dyDescent="0.3">
      <c r="A93" s="8" t="s">
        <v>86</v>
      </c>
      <c r="B93" s="8" t="s">
        <v>9</v>
      </c>
      <c r="C93" s="2">
        <v>434</v>
      </c>
      <c r="D93" s="7">
        <v>9000</v>
      </c>
      <c r="E93" s="12">
        <f t="shared" si="1"/>
        <v>3906000</v>
      </c>
    </row>
    <row r="94" spans="1:5" ht="15.6" x14ac:dyDescent="0.3">
      <c r="A94" s="8" t="s">
        <v>87</v>
      </c>
      <c r="B94" s="8" t="s">
        <v>9</v>
      </c>
      <c r="C94" s="2">
        <v>353</v>
      </c>
      <c r="D94" s="7">
        <v>11361</v>
      </c>
      <c r="E94" s="12">
        <f t="shared" si="1"/>
        <v>4010433</v>
      </c>
    </row>
    <row r="95" spans="1:5" ht="15.6" x14ac:dyDescent="0.3">
      <c r="A95" s="8" t="s">
        <v>89</v>
      </c>
      <c r="B95" s="8" t="s">
        <v>3</v>
      </c>
      <c r="C95" s="2">
        <v>27</v>
      </c>
      <c r="D95" s="7">
        <v>18000</v>
      </c>
      <c r="E95" s="12">
        <f t="shared" si="1"/>
        <v>486000</v>
      </c>
    </row>
    <row r="96" spans="1:5" ht="15.6" x14ac:dyDescent="0.3">
      <c r="A96" s="8" t="s">
        <v>90</v>
      </c>
      <c r="B96" s="8" t="s">
        <v>3</v>
      </c>
      <c r="C96" s="2">
        <v>10</v>
      </c>
      <c r="D96" s="7">
        <v>6000</v>
      </c>
      <c r="E96" s="12">
        <f t="shared" si="1"/>
        <v>60000</v>
      </c>
    </row>
    <row r="97" spans="1:5" ht="15.6" x14ac:dyDescent="0.3">
      <c r="A97" s="8" t="s">
        <v>91</v>
      </c>
      <c r="B97" s="8" t="s">
        <v>3</v>
      </c>
      <c r="C97" s="2">
        <v>4</v>
      </c>
      <c r="D97" s="7">
        <v>22000</v>
      </c>
      <c r="E97" s="12">
        <f t="shared" si="1"/>
        <v>88000</v>
      </c>
    </row>
    <row r="98" spans="1:5" ht="15.6" x14ac:dyDescent="0.3">
      <c r="A98" s="8" t="s">
        <v>92</v>
      </c>
      <c r="B98" s="8" t="s">
        <v>3</v>
      </c>
      <c r="C98" s="2">
        <v>4</v>
      </c>
      <c r="D98" s="7">
        <v>25000</v>
      </c>
      <c r="E98" s="12">
        <f t="shared" si="1"/>
        <v>100000</v>
      </c>
    </row>
    <row r="99" spans="1:5" ht="15.6" hidden="1" x14ac:dyDescent="0.3">
      <c r="A99" s="8" t="s">
        <v>93</v>
      </c>
      <c r="B99" s="8" t="s">
        <v>19</v>
      </c>
      <c r="C99" s="2">
        <v>0</v>
      </c>
      <c r="D99" s="7"/>
      <c r="E99" s="12">
        <f t="shared" si="1"/>
        <v>0</v>
      </c>
    </row>
    <row r="100" spans="1:5" ht="15.6" hidden="1" x14ac:dyDescent="0.3">
      <c r="A100" s="8" t="s">
        <v>94</v>
      </c>
      <c r="B100" s="8" t="s">
        <v>3</v>
      </c>
      <c r="C100" s="2">
        <v>0</v>
      </c>
      <c r="D100" s="7"/>
      <c r="E100" s="12">
        <f t="shared" si="1"/>
        <v>0</v>
      </c>
    </row>
    <row r="101" spans="1:5" ht="15.6" hidden="1" x14ac:dyDescent="0.3">
      <c r="A101" s="8" t="s">
        <v>95</v>
      </c>
      <c r="B101" s="8" t="s">
        <v>19</v>
      </c>
      <c r="C101" s="2">
        <v>0</v>
      </c>
      <c r="D101" s="7"/>
      <c r="E101" s="12">
        <f t="shared" si="1"/>
        <v>0</v>
      </c>
    </row>
    <row r="102" spans="1:5" ht="15.6" x14ac:dyDescent="0.3">
      <c r="A102" s="8" t="s">
        <v>97</v>
      </c>
      <c r="B102" s="8" t="s">
        <v>3</v>
      </c>
      <c r="C102" s="2">
        <v>8</v>
      </c>
      <c r="D102" s="7">
        <v>25000</v>
      </c>
      <c r="E102" s="12">
        <f t="shared" si="1"/>
        <v>200000</v>
      </c>
    </row>
    <row r="103" spans="1:5" ht="15.6" hidden="1" x14ac:dyDescent="0.3">
      <c r="A103" s="8" t="s">
        <v>98</v>
      </c>
      <c r="B103" s="8" t="s">
        <v>19</v>
      </c>
      <c r="C103" s="2">
        <v>0</v>
      </c>
      <c r="D103" s="7"/>
      <c r="E103" s="12">
        <f t="shared" si="1"/>
        <v>0</v>
      </c>
    </row>
    <row r="104" spans="1:5" x14ac:dyDescent="0.3">
      <c r="E104" s="9">
        <f>SUM(E3:E102)</f>
        <v>107218433</v>
      </c>
    </row>
  </sheetData>
  <autoFilter ref="A2:E103" xr:uid="{00000000-0009-0000-0000-00000B000000}">
    <filterColumn colId="2">
      <filters>
        <filter val="1,300"/>
        <filter val="10"/>
        <filter val="100"/>
        <filter val="11"/>
        <filter val="112"/>
        <filter val="115"/>
        <filter val="120"/>
        <filter val="130"/>
        <filter val="140"/>
        <filter val="17"/>
        <filter val="20"/>
        <filter val="23"/>
        <filter val="230"/>
        <filter val="250"/>
        <filter val="27"/>
        <filter val="3"/>
        <filter val="30"/>
        <filter val="34"/>
        <filter val="35"/>
        <filter val="353"/>
        <filter val="4"/>
        <filter val="40"/>
        <filter val="434"/>
        <filter val="45"/>
        <filter val="490"/>
        <filter val="5"/>
        <filter val="6"/>
        <filter val="60"/>
        <filter val="620"/>
        <filter val="690"/>
        <filter val="7"/>
        <filter val="70"/>
        <filter val="715"/>
        <filter val="75"/>
        <filter val="8"/>
        <filter val="9"/>
        <filter val="95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E120"/>
  <sheetViews>
    <sheetView workbookViewId="0">
      <selection activeCell="L25" sqref="L25"/>
    </sheetView>
  </sheetViews>
  <sheetFormatPr defaultRowHeight="14.4" x14ac:dyDescent="0.3"/>
  <cols>
    <col min="1" max="1" width="31" customWidth="1"/>
    <col min="5" max="5" width="19.88671875" customWidth="1"/>
  </cols>
  <sheetData>
    <row r="1" spans="1:5" x14ac:dyDescent="0.3">
      <c r="A1" t="s">
        <v>138</v>
      </c>
    </row>
    <row r="2" spans="1:5" ht="48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28</v>
      </c>
      <c r="D3" s="2">
        <v>18000</v>
      </c>
      <c r="E3" s="7">
        <f>C3*D3</f>
        <v>504000</v>
      </c>
    </row>
    <row r="4" spans="1:5" ht="15.6" x14ac:dyDescent="0.3">
      <c r="A4" s="8" t="s">
        <v>4</v>
      </c>
      <c r="B4" s="8" t="s">
        <v>3</v>
      </c>
      <c r="C4" s="2">
        <v>350</v>
      </c>
      <c r="D4" s="2">
        <v>6000</v>
      </c>
      <c r="E4" s="7">
        <f t="shared" ref="E4:E67" si="0">C4*D4</f>
        <v>2100000</v>
      </c>
    </row>
    <row r="5" spans="1:5" ht="15.6" x14ac:dyDescent="0.3">
      <c r="A5" s="8" t="s">
        <v>5</v>
      </c>
      <c r="B5" s="8" t="s">
        <v>3</v>
      </c>
      <c r="C5" s="2">
        <v>625</v>
      </c>
      <c r="D5" s="2">
        <v>4000</v>
      </c>
      <c r="E5" s="7">
        <f t="shared" si="0"/>
        <v>2500000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1200</v>
      </c>
      <c r="D8" s="2">
        <v>9000</v>
      </c>
      <c r="E8" s="7">
        <f t="shared" si="0"/>
        <v>10800000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110</v>
      </c>
      <c r="D10" s="2">
        <v>9000</v>
      </c>
      <c r="E10" s="7">
        <f t="shared" si="0"/>
        <v>990000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28</v>
      </c>
      <c r="D12" s="2">
        <v>13000</v>
      </c>
      <c r="E12" s="7">
        <f t="shared" si="0"/>
        <v>364000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122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hidden="1" x14ac:dyDescent="0.3">
      <c r="A15" s="8" t="s">
        <v>12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hidden="1" x14ac:dyDescent="0.3">
      <c r="A16" s="8" t="s">
        <v>14</v>
      </c>
      <c r="B16" s="8" t="s">
        <v>3</v>
      </c>
      <c r="C16" s="2">
        <v>0</v>
      </c>
      <c r="D16" s="2"/>
      <c r="E16" s="7">
        <f t="shared" si="0"/>
        <v>0</v>
      </c>
    </row>
    <row r="17" spans="1:5" ht="15.6" x14ac:dyDescent="0.3">
      <c r="A17" s="8" t="s">
        <v>15</v>
      </c>
      <c r="B17" s="8" t="s">
        <v>3</v>
      </c>
      <c r="C17" s="2">
        <v>45</v>
      </c>
      <c r="D17" s="2">
        <v>20000</v>
      </c>
      <c r="E17" s="7">
        <f t="shared" si="0"/>
        <v>900000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2"/>
      <c r="E18" s="7">
        <f t="shared" si="0"/>
        <v>0</v>
      </c>
    </row>
    <row r="19" spans="1:5" ht="15.6" x14ac:dyDescent="0.3">
      <c r="A19" s="8" t="s">
        <v>20</v>
      </c>
      <c r="B19" s="8" t="s">
        <v>3</v>
      </c>
      <c r="C19" s="2">
        <v>42</v>
      </c>
      <c r="D19" s="2">
        <v>14000</v>
      </c>
      <c r="E19" s="7">
        <f t="shared" si="0"/>
        <v>588000</v>
      </c>
    </row>
    <row r="20" spans="1:5" ht="15.6" x14ac:dyDescent="0.3">
      <c r="A20" s="8" t="s">
        <v>22</v>
      </c>
      <c r="B20" s="8" t="s">
        <v>3</v>
      </c>
      <c r="C20" s="2">
        <v>230</v>
      </c>
      <c r="D20" s="2">
        <v>13000</v>
      </c>
      <c r="E20" s="7">
        <f t="shared" si="0"/>
        <v>2990000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2"/>
      <c r="E21" s="7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16</v>
      </c>
      <c r="D22" s="2">
        <v>14000</v>
      </c>
      <c r="E22" s="7">
        <f t="shared" si="0"/>
        <v>224000</v>
      </c>
    </row>
    <row r="23" spans="1:5" ht="15.6" hidden="1" x14ac:dyDescent="0.3">
      <c r="A23" s="8" t="s">
        <v>24</v>
      </c>
      <c r="B23" s="8" t="s">
        <v>25</v>
      </c>
      <c r="C23" s="2">
        <v>0</v>
      </c>
      <c r="D23" s="2"/>
      <c r="E23" s="7">
        <f t="shared" si="0"/>
        <v>0</v>
      </c>
    </row>
    <row r="24" spans="1:5" ht="15.6" x14ac:dyDescent="0.3">
      <c r="A24" s="8" t="s">
        <v>26</v>
      </c>
      <c r="B24" s="8" t="s">
        <v>3</v>
      </c>
      <c r="C24" s="2">
        <v>5</v>
      </c>
      <c r="D24" s="2">
        <v>16000</v>
      </c>
      <c r="E24" s="7">
        <f t="shared" si="0"/>
        <v>80000</v>
      </c>
    </row>
    <row r="25" spans="1:5" ht="15.6" x14ac:dyDescent="0.3">
      <c r="A25" s="8" t="s">
        <v>26</v>
      </c>
      <c r="B25" s="8" t="s">
        <v>27</v>
      </c>
      <c r="C25" s="2">
        <v>32</v>
      </c>
      <c r="D25" s="2">
        <v>4800</v>
      </c>
      <c r="E25" s="7">
        <f t="shared" si="0"/>
        <v>153600</v>
      </c>
    </row>
    <row r="26" spans="1:5" ht="15.6" x14ac:dyDescent="0.3">
      <c r="A26" s="8" t="s">
        <v>28</v>
      </c>
      <c r="B26" s="8" t="s">
        <v>29</v>
      </c>
      <c r="C26" s="2">
        <v>8</v>
      </c>
      <c r="D26" s="2">
        <v>12000</v>
      </c>
      <c r="E26" s="7">
        <f t="shared" si="0"/>
        <v>96000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2"/>
      <c r="E27" s="7">
        <f t="shared" si="0"/>
        <v>0</v>
      </c>
    </row>
    <row r="28" spans="1:5" ht="15.6" x14ac:dyDescent="0.3">
      <c r="A28" s="8" t="s">
        <v>30</v>
      </c>
      <c r="B28" s="8" t="s">
        <v>27</v>
      </c>
      <c r="C28" s="2">
        <v>120</v>
      </c>
      <c r="D28" s="2">
        <v>10000</v>
      </c>
      <c r="E28" s="7">
        <f t="shared" si="0"/>
        <v>1200000</v>
      </c>
    </row>
    <row r="29" spans="1:5" ht="15.6" x14ac:dyDescent="0.3">
      <c r="A29" s="8" t="s">
        <v>30</v>
      </c>
      <c r="B29" s="8" t="s">
        <v>31</v>
      </c>
      <c r="C29" s="2">
        <v>60</v>
      </c>
      <c r="D29" s="2">
        <v>7500</v>
      </c>
      <c r="E29" s="7">
        <f t="shared" si="0"/>
        <v>450000</v>
      </c>
    </row>
    <row r="30" spans="1:5" ht="15.6" x14ac:dyDescent="0.3">
      <c r="A30" s="8" t="s">
        <v>32</v>
      </c>
      <c r="B30" s="8" t="s">
        <v>3</v>
      </c>
      <c r="C30" s="2">
        <v>260</v>
      </c>
      <c r="D30" s="2">
        <v>10000</v>
      </c>
      <c r="E30" s="7">
        <f t="shared" si="0"/>
        <v>2600000</v>
      </c>
    </row>
    <row r="31" spans="1:5" ht="15.6" hidden="1" x14ac:dyDescent="0.3">
      <c r="A31" s="8" t="s">
        <v>32</v>
      </c>
      <c r="B31" s="8" t="s">
        <v>17</v>
      </c>
      <c r="C31" s="2">
        <v>0</v>
      </c>
      <c r="D31" s="2"/>
      <c r="E31" s="7">
        <f t="shared" si="0"/>
        <v>0</v>
      </c>
    </row>
    <row r="32" spans="1:5" ht="15.6" x14ac:dyDescent="0.3">
      <c r="A32" s="8" t="s">
        <v>33</v>
      </c>
      <c r="B32" s="8" t="s">
        <v>34</v>
      </c>
      <c r="C32" s="2">
        <v>120</v>
      </c>
      <c r="D32" s="2">
        <v>7000</v>
      </c>
      <c r="E32" s="7">
        <f t="shared" si="0"/>
        <v>840000</v>
      </c>
    </row>
    <row r="33" spans="1:5" ht="15.6" x14ac:dyDescent="0.3">
      <c r="A33" s="8" t="s">
        <v>35</v>
      </c>
      <c r="B33" s="8" t="s">
        <v>3</v>
      </c>
      <c r="C33" s="2">
        <v>410</v>
      </c>
      <c r="D33" s="2">
        <v>6000</v>
      </c>
      <c r="E33" s="7">
        <f t="shared" si="0"/>
        <v>2460000</v>
      </c>
    </row>
    <row r="34" spans="1:5" ht="15.6" hidden="1" x14ac:dyDescent="0.3">
      <c r="A34" s="8" t="s">
        <v>35</v>
      </c>
      <c r="B34" s="8" t="s">
        <v>34</v>
      </c>
      <c r="C34" s="2">
        <v>0</v>
      </c>
      <c r="D34" s="2"/>
      <c r="E34" s="7">
        <f t="shared" si="0"/>
        <v>0</v>
      </c>
    </row>
    <row r="35" spans="1:5" ht="15.6" hidden="1" x14ac:dyDescent="0.3">
      <c r="A35" s="8" t="s">
        <v>36</v>
      </c>
      <c r="B35" s="8" t="s">
        <v>3</v>
      </c>
      <c r="C35" s="2">
        <v>0</v>
      </c>
      <c r="D35" s="2"/>
      <c r="E35" s="7">
        <f t="shared" si="0"/>
        <v>0</v>
      </c>
    </row>
    <row r="36" spans="1:5" ht="15.6" hidden="1" x14ac:dyDescent="0.3">
      <c r="A36" s="8" t="s">
        <v>36</v>
      </c>
      <c r="B36" s="8" t="s">
        <v>17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37</v>
      </c>
      <c r="B37" s="8" t="s">
        <v>3</v>
      </c>
      <c r="C37" s="2">
        <v>43</v>
      </c>
      <c r="D37" s="2">
        <v>8000</v>
      </c>
      <c r="E37" s="7">
        <f t="shared" si="0"/>
        <v>344000</v>
      </c>
    </row>
    <row r="38" spans="1:5" ht="15.6" hidden="1" x14ac:dyDescent="0.3">
      <c r="A38" s="8" t="s">
        <v>37</v>
      </c>
      <c r="B38" s="8" t="s">
        <v>38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39</v>
      </c>
      <c r="B39" s="8" t="s">
        <v>3</v>
      </c>
      <c r="C39" s="2">
        <v>16</v>
      </c>
      <c r="D39" s="2">
        <v>18000</v>
      </c>
      <c r="E39" s="7">
        <f t="shared" si="0"/>
        <v>288000</v>
      </c>
    </row>
    <row r="40" spans="1:5" ht="15.6" hidden="1" x14ac:dyDescent="0.3">
      <c r="A40" s="8" t="s">
        <v>39</v>
      </c>
      <c r="B40" s="8" t="s">
        <v>34</v>
      </c>
      <c r="C40" s="2">
        <v>0</v>
      </c>
      <c r="D40" s="2"/>
      <c r="E40" s="7">
        <f t="shared" si="0"/>
        <v>0</v>
      </c>
    </row>
    <row r="41" spans="1:5" ht="15.6" hidden="1" x14ac:dyDescent="0.3">
      <c r="A41" s="8" t="s">
        <v>40</v>
      </c>
      <c r="B41" s="8" t="s">
        <v>3</v>
      </c>
      <c r="C41" s="2">
        <v>0</v>
      </c>
      <c r="D41" s="2"/>
      <c r="E41" s="7">
        <f t="shared" si="0"/>
        <v>0</v>
      </c>
    </row>
    <row r="42" spans="1:5" ht="15.6" x14ac:dyDescent="0.3">
      <c r="A42" s="8" t="s">
        <v>40</v>
      </c>
      <c r="B42" s="8" t="s">
        <v>34</v>
      </c>
      <c r="C42" s="2">
        <v>5</v>
      </c>
      <c r="D42" s="2">
        <v>3000</v>
      </c>
      <c r="E42" s="7">
        <f t="shared" si="0"/>
        <v>15000</v>
      </c>
    </row>
    <row r="43" spans="1:5" ht="15.6" hidden="1" x14ac:dyDescent="0.3">
      <c r="A43" s="8" t="s">
        <v>41</v>
      </c>
      <c r="B43" s="8" t="s">
        <v>3</v>
      </c>
      <c r="C43" s="2">
        <v>0</v>
      </c>
      <c r="D43" s="2"/>
      <c r="E43" s="7">
        <f t="shared" si="0"/>
        <v>0</v>
      </c>
    </row>
    <row r="44" spans="1:5" ht="15.6" x14ac:dyDescent="0.3">
      <c r="A44" s="8" t="s">
        <v>41</v>
      </c>
      <c r="B44" s="8" t="s">
        <v>34</v>
      </c>
      <c r="C44" s="2">
        <v>25</v>
      </c>
      <c r="D44" s="2">
        <v>3000</v>
      </c>
      <c r="E44" s="7">
        <f t="shared" si="0"/>
        <v>75000</v>
      </c>
    </row>
    <row r="45" spans="1:5" ht="15.6" hidden="1" x14ac:dyDescent="0.3">
      <c r="A45" s="8" t="s">
        <v>42</v>
      </c>
      <c r="B45" s="8" t="s">
        <v>3</v>
      </c>
      <c r="C45" s="2">
        <v>0</v>
      </c>
      <c r="D45" s="2"/>
      <c r="E45" s="7">
        <f t="shared" si="0"/>
        <v>0</v>
      </c>
    </row>
    <row r="46" spans="1:5" ht="15.6" hidden="1" x14ac:dyDescent="0.3">
      <c r="A46" s="8" t="s">
        <v>43</v>
      </c>
      <c r="B46" s="8" t="s">
        <v>3</v>
      </c>
      <c r="C46" s="2">
        <v>0</v>
      </c>
      <c r="D46" s="2"/>
      <c r="E46" s="7">
        <f t="shared" si="0"/>
        <v>0</v>
      </c>
    </row>
    <row r="47" spans="1:5" ht="15.6" x14ac:dyDescent="0.3">
      <c r="A47" s="8" t="s">
        <v>44</v>
      </c>
      <c r="B47" s="8" t="s">
        <v>3</v>
      </c>
      <c r="C47" s="2">
        <v>530</v>
      </c>
      <c r="D47" s="2">
        <v>3000</v>
      </c>
      <c r="E47" s="7">
        <f t="shared" si="0"/>
        <v>1590000</v>
      </c>
    </row>
    <row r="48" spans="1:5" ht="15.6" x14ac:dyDescent="0.3">
      <c r="A48" s="8" t="s">
        <v>45</v>
      </c>
      <c r="B48" s="8" t="s">
        <v>3</v>
      </c>
      <c r="C48" s="2">
        <v>25</v>
      </c>
      <c r="D48" s="2">
        <v>9000</v>
      </c>
      <c r="E48" s="7">
        <f t="shared" si="0"/>
        <v>225000</v>
      </c>
    </row>
    <row r="49" spans="1:5" ht="15.6" hidden="1" x14ac:dyDescent="0.3">
      <c r="A49" s="8" t="s">
        <v>45</v>
      </c>
      <c r="B49" s="8" t="s">
        <v>19</v>
      </c>
      <c r="C49" s="2">
        <v>0</v>
      </c>
      <c r="D49" s="2"/>
      <c r="E49" s="7">
        <f t="shared" si="0"/>
        <v>0</v>
      </c>
    </row>
    <row r="50" spans="1:5" ht="15.6" hidden="1" x14ac:dyDescent="0.3">
      <c r="A50" s="8" t="s">
        <v>62</v>
      </c>
      <c r="B50" s="8" t="s">
        <v>3</v>
      </c>
      <c r="C50" s="2">
        <v>0</v>
      </c>
      <c r="D50" s="2"/>
      <c r="E50" s="7">
        <f t="shared" si="0"/>
        <v>0</v>
      </c>
    </row>
    <row r="51" spans="1:5" ht="15.6" hidden="1" x14ac:dyDescent="0.3">
      <c r="A51" s="8" t="s">
        <v>63</v>
      </c>
      <c r="B51" s="8" t="s">
        <v>3</v>
      </c>
      <c r="C51" s="2">
        <v>0</v>
      </c>
      <c r="D51" s="2"/>
      <c r="E51" s="7">
        <f t="shared" si="0"/>
        <v>0</v>
      </c>
    </row>
    <row r="52" spans="1:5" ht="15.6" hidden="1" x14ac:dyDescent="0.3">
      <c r="A52" s="8" t="s">
        <v>46</v>
      </c>
      <c r="B52" s="8" t="s">
        <v>29</v>
      </c>
      <c r="C52" s="2">
        <v>0</v>
      </c>
      <c r="D52" s="2"/>
      <c r="E52" s="7">
        <f t="shared" si="0"/>
        <v>0</v>
      </c>
    </row>
    <row r="53" spans="1:5" ht="15.6" hidden="1" x14ac:dyDescent="0.3">
      <c r="A53" s="8" t="s">
        <v>46</v>
      </c>
      <c r="B53" s="8" t="s">
        <v>3</v>
      </c>
      <c r="C53" s="2">
        <v>0</v>
      </c>
      <c r="D53" s="2"/>
      <c r="E53" s="7">
        <f t="shared" si="0"/>
        <v>0</v>
      </c>
    </row>
    <row r="54" spans="1:5" ht="15.6" hidden="1" x14ac:dyDescent="0.3">
      <c r="A54" s="8" t="s">
        <v>47</v>
      </c>
      <c r="B54" s="8" t="s">
        <v>3</v>
      </c>
      <c r="C54" s="2">
        <v>0</v>
      </c>
      <c r="D54" s="2"/>
      <c r="E54" s="7">
        <f t="shared" si="0"/>
        <v>0</v>
      </c>
    </row>
    <row r="55" spans="1:5" ht="15.6" x14ac:dyDescent="0.3">
      <c r="A55" s="8" t="s">
        <v>48</v>
      </c>
      <c r="B55" s="8" t="s">
        <v>3</v>
      </c>
      <c r="C55" s="2">
        <v>20</v>
      </c>
      <c r="D55" s="2">
        <v>8000</v>
      </c>
      <c r="E55" s="7">
        <f t="shared" si="0"/>
        <v>160000</v>
      </c>
    </row>
    <row r="56" spans="1:5" ht="15.6" hidden="1" x14ac:dyDescent="0.3">
      <c r="A56" s="8" t="s">
        <v>48</v>
      </c>
      <c r="B56" s="8" t="s">
        <v>34</v>
      </c>
      <c r="C56" s="2">
        <v>0</v>
      </c>
      <c r="D56" s="2"/>
      <c r="E56" s="7">
        <f t="shared" si="0"/>
        <v>0</v>
      </c>
    </row>
    <row r="57" spans="1:5" ht="15.6" x14ac:dyDescent="0.3">
      <c r="A57" s="8" t="s">
        <v>49</v>
      </c>
      <c r="B57" s="8" t="s">
        <v>3</v>
      </c>
      <c r="C57" s="2">
        <v>7</v>
      </c>
      <c r="D57" s="2">
        <v>19000</v>
      </c>
      <c r="E57" s="7">
        <f t="shared" si="0"/>
        <v>133000</v>
      </c>
    </row>
    <row r="58" spans="1:5" ht="15.6" x14ac:dyDescent="0.3">
      <c r="A58" s="8" t="s">
        <v>50</v>
      </c>
      <c r="B58" s="8" t="s">
        <v>3</v>
      </c>
      <c r="C58" s="2">
        <v>270</v>
      </c>
      <c r="D58" s="2">
        <v>6000</v>
      </c>
      <c r="E58" s="7">
        <f t="shared" si="0"/>
        <v>1620000</v>
      </c>
    </row>
    <row r="59" spans="1:5" ht="15.6" hidden="1" x14ac:dyDescent="0.3">
      <c r="A59" s="8" t="s">
        <v>50</v>
      </c>
      <c r="B59" s="8" t="s">
        <v>51</v>
      </c>
      <c r="C59" s="2">
        <v>0</v>
      </c>
      <c r="D59" s="2"/>
      <c r="E59" s="7">
        <f t="shared" si="0"/>
        <v>0</v>
      </c>
    </row>
    <row r="60" spans="1:5" ht="15.6" x14ac:dyDescent="0.3">
      <c r="A60" s="8" t="s">
        <v>104</v>
      </c>
      <c r="B60" s="8" t="s">
        <v>3</v>
      </c>
      <c r="C60" s="2">
        <v>80</v>
      </c>
      <c r="D60" s="2">
        <v>20000</v>
      </c>
      <c r="E60" s="7">
        <f t="shared" si="0"/>
        <v>1600000</v>
      </c>
    </row>
    <row r="61" spans="1:5" ht="15.6" x14ac:dyDescent="0.3">
      <c r="A61" s="8" t="s">
        <v>52</v>
      </c>
      <c r="B61" s="8" t="s">
        <v>34</v>
      </c>
      <c r="C61" s="2">
        <v>266</v>
      </c>
      <c r="D61" s="2">
        <v>1800</v>
      </c>
      <c r="E61" s="7">
        <f t="shared" si="0"/>
        <v>478800</v>
      </c>
    </row>
    <row r="62" spans="1:5" ht="15.6" x14ac:dyDescent="0.3">
      <c r="A62" s="8" t="s">
        <v>53</v>
      </c>
      <c r="B62" s="8" t="s">
        <v>3</v>
      </c>
      <c r="C62" s="2">
        <v>1250</v>
      </c>
      <c r="D62" s="2">
        <v>21500</v>
      </c>
      <c r="E62" s="7">
        <f t="shared" si="0"/>
        <v>26875000</v>
      </c>
    </row>
    <row r="63" spans="1:5" ht="15.6" x14ac:dyDescent="0.3">
      <c r="A63" s="8" t="s">
        <v>54</v>
      </c>
      <c r="B63" s="8" t="s">
        <v>3</v>
      </c>
      <c r="C63" s="2">
        <v>660</v>
      </c>
      <c r="D63" s="2">
        <v>21500</v>
      </c>
      <c r="E63" s="7">
        <f t="shared" si="0"/>
        <v>14190000</v>
      </c>
    </row>
    <row r="64" spans="1:5" ht="15.6" hidden="1" x14ac:dyDescent="0.3">
      <c r="A64" s="8" t="s">
        <v>54</v>
      </c>
      <c r="B64" s="8" t="s">
        <v>34</v>
      </c>
      <c r="C64" s="2">
        <v>0</v>
      </c>
      <c r="D64" s="2"/>
      <c r="E64" s="7">
        <f t="shared" si="0"/>
        <v>0</v>
      </c>
    </row>
    <row r="65" spans="1:5" ht="15.6" x14ac:dyDescent="0.3">
      <c r="A65" s="8" t="s">
        <v>55</v>
      </c>
      <c r="B65" s="8" t="s">
        <v>3</v>
      </c>
      <c r="C65" s="2">
        <v>205</v>
      </c>
      <c r="D65" s="2">
        <v>16000</v>
      </c>
      <c r="E65" s="7">
        <f t="shared" si="0"/>
        <v>3280000</v>
      </c>
    </row>
    <row r="66" spans="1:5" ht="15.6" x14ac:dyDescent="0.3">
      <c r="A66" s="8" t="s">
        <v>56</v>
      </c>
      <c r="B66" s="8" t="s">
        <v>3</v>
      </c>
      <c r="C66" s="2">
        <v>30</v>
      </c>
      <c r="D66" s="2">
        <v>25000</v>
      </c>
      <c r="E66" s="7">
        <f t="shared" si="0"/>
        <v>750000</v>
      </c>
    </row>
    <row r="67" spans="1:5" ht="15.6" hidden="1" x14ac:dyDescent="0.3">
      <c r="A67" s="8" t="s">
        <v>58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hidden="1" x14ac:dyDescent="0.3">
      <c r="A68" s="8" t="s">
        <v>58</v>
      </c>
      <c r="B68" s="8" t="s">
        <v>34</v>
      </c>
      <c r="C68" s="2">
        <v>0</v>
      </c>
      <c r="D68" s="2"/>
      <c r="E68" s="7">
        <f t="shared" ref="E68:E119" si="1">C68*D68</f>
        <v>0</v>
      </c>
    </row>
    <row r="69" spans="1:5" ht="15.6" hidden="1" x14ac:dyDescent="0.3">
      <c r="A69" s="8" t="s">
        <v>105</v>
      </c>
      <c r="B69" s="8" t="s">
        <v>3</v>
      </c>
      <c r="C69" s="2">
        <v>0</v>
      </c>
      <c r="D69" s="2"/>
      <c r="E69" s="7">
        <f t="shared" si="1"/>
        <v>0</v>
      </c>
    </row>
    <row r="70" spans="1:5" ht="15.6" x14ac:dyDescent="0.3">
      <c r="A70" s="8" t="s">
        <v>59</v>
      </c>
      <c r="B70" s="8" t="s">
        <v>3</v>
      </c>
      <c r="C70" s="2">
        <v>545</v>
      </c>
      <c r="D70" s="2">
        <v>14000</v>
      </c>
      <c r="E70" s="7">
        <f t="shared" si="1"/>
        <v>7630000</v>
      </c>
    </row>
    <row r="71" spans="1:5" ht="15.6" hidden="1" x14ac:dyDescent="0.3">
      <c r="A71" s="8" t="s">
        <v>59</v>
      </c>
      <c r="B71" s="8" t="s">
        <v>34</v>
      </c>
      <c r="C71" s="2">
        <v>0</v>
      </c>
      <c r="D71" s="2"/>
      <c r="E71" s="7">
        <f t="shared" si="1"/>
        <v>0</v>
      </c>
    </row>
    <row r="72" spans="1:5" ht="15.6" hidden="1" x14ac:dyDescent="0.3">
      <c r="A72" s="8" t="s">
        <v>60</v>
      </c>
      <c r="B72" s="8" t="s">
        <v>34</v>
      </c>
      <c r="C72" s="2">
        <v>0</v>
      </c>
      <c r="D72" s="2"/>
      <c r="E72" s="7">
        <f t="shared" si="1"/>
        <v>0</v>
      </c>
    </row>
    <row r="73" spans="1:5" ht="15.6" hidden="1" x14ac:dyDescent="0.3">
      <c r="A73" s="8" t="s">
        <v>61</v>
      </c>
      <c r="B73" s="8" t="s">
        <v>3</v>
      </c>
      <c r="C73" s="2">
        <v>0</v>
      </c>
      <c r="D73" s="2"/>
      <c r="E73" s="7">
        <f t="shared" si="1"/>
        <v>0</v>
      </c>
    </row>
    <row r="74" spans="1:5" ht="15.6" x14ac:dyDescent="0.3">
      <c r="A74" s="8" t="s">
        <v>67</v>
      </c>
      <c r="B74" s="8" t="s">
        <v>34</v>
      </c>
      <c r="C74" s="2">
        <v>24</v>
      </c>
      <c r="D74" s="2">
        <v>6000</v>
      </c>
      <c r="E74" s="7">
        <f t="shared" si="1"/>
        <v>144000</v>
      </c>
    </row>
    <row r="75" spans="1:5" ht="15.6" hidden="1" x14ac:dyDescent="0.3">
      <c r="A75" s="8" t="s">
        <v>68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x14ac:dyDescent="0.3">
      <c r="A76" s="8" t="s">
        <v>68</v>
      </c>
      <c r="B76" s="8" t="s">
        <v>34</v>
      </c>
      <c r="C76" s="2">
        <v>27</v>
      </c>
      <c r="D76" s="2">
        <v>6500</v>
      </c>
      <c r="E76" s="7">
        <f t="shared" si="1"/>
        <v>175500</v>
      </c>
    </row>
    <row r="77" spans="1:5" ht="15.6" hidden="1" x14ac:dyDescent="0.3">
      <c r="A77" s="8" t="s">
        <v>69</v>
      </c>
      <c r="B77" s="8" t="s">
        <v>3</v>
      </c>
      <c r="C77" s="2">
        <v>0</v>
      </c>
      <c r="D77" s="2"/>
      <c r="E77" s="7">
        <f t="shared" si="1"/>
        <v>0</v>
      </c>
    </row>
    <row r="78" spans="1:5" ht="15.6" hidden="1" x14ac:dyDescent="0.3">
      <c r="A78" s="8" t="s">
        <v>106</v>
      </c>
      <c r="B78" s="8" t="s">
        <v>3</v>
      </c>
      <c r="C78" s="2">
        <v>0</v>
      </c>
      <c r="D78" s="2"/>
      <c r="E78" s="7">
        <f t="shared" si="1"/>
        <v>0</v>
      </c>
    </row>
    <row r="79" spans="1:5" ht="15.6" hidden="1" x14ac:dyDescent="0.3">
      <c r="A79" s="8" t="s">
        <v>70</v>
      </c>
      <c r="B79" s="8" t="s">
        <v>3</v>
      </c>
      <c r="C79" s="2">
        <v>0</v>
      </c>
      <c r="D79" s="2"/>
      <c r="E79" s="7">
        <f t="shared" si="1"/>
        <v>0</v>
      </c>
    </row>
    <row r="80" spans="1:5" ht="15.6" hidden="1" x14ac:dyDescent="0.3">
      <c r="A80" s="8" t="s">
        <v>71</v>
      </c>
      <c r="B80" s="8" t="s">
        <v>3</v>
      </c>
      <c r="C80" s="2">
        <v>0</v>
      </c>
      <c r="D80" s="2"/>
      <c r="E80" s="7">
        <f t="shared" si="1"/>
        <v>0</v>
      </c>
    </row>
    <row r="81" spans="1:5" ht="15.6" hidden="1" x14ac:dyDescent="0.3">
      <c r="A81" s="8" t="s">
        <v>64</v>
      </c>
      <c r="B81" s="8" t="s">
        <v>3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64</v>
      </c>
      <c r="B82" s="8" t="s">
        <v>17</v>
      </c>
      <c r="C82" s="2">
        <v>0</v>
      </c>
      <c r="D82" s="2"/>
      <c r="E82" s="7">
        <f t="shared" si="1"/>
        <v>0</v>
      </c>
    </row>
    <row r="83" spans="1:5" ht="15.6" hidden="1" x14ac:dyDescent="0.3">
      <c r="A83" s="8" t="s">
        <v>65</v>
      </c>
      <c r="B83" s="8" t="s">
        <v>3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66</v>
      </c>
      <c r="B84" s="8" t="s">
        <v>3</v>
      </c>
      <c r="C84" s="2">
        <v>0</v>
      </c>
      <c r="D84" s="2"/>
      <c r="E84" s="7">
        <f t="shared" si="1"/>
        <v>0</v>
      </c>
    </row>
    <row r="85" spans="1:5" ht="15.6" x14ac:dyDescent="0.3">
      <c r="A85" s="8" t="s">
        <v>72</v>
      </c>
      <c r="B85" s="8" t="s">
        <v>3</v>
      </c>
      <c r="C85" s="2">
        <v>34</v>
      </c>
      <c r="D85" s="2">
        <v>10000</v>
      </c>
      <c r="E85" s="7">
        <f t="shared" si="1"/>
        <v>340000</v>
      </c>
    </row>
    <row r="86" spans="1:5" ht="15.6" hidden="1" x14ac:dyDescent="0.3">
      <c r="A86" s="8" t="s">
        <v>72</v>
      </c>
      <c r="B86" s="8" t="s">
        <v>19</v>
      </c>
      <c r="C86" s="2">
        <v>0</v>
      </c>
      <c r="D86" s="2"/>
      <c r="E86" s="7">
        <f t="shared" si="1"/>
        <v>0</v>
      </c>
    </row>
    <row r="87" spans="1:5" ht="15.6" hidden="1" x14ac:dyDescent="0.3">
      <c r="A87" s="8" t="s">
        <v>74</v>
      </c>
      <c r="B87" s="8" t="s">
        <v>34</v>
      </c>
      <c r="C87" s="2">
        <v>0</v>
      </c>
      <c r="D87" s="2"/>
      <c r="E87" s="7">
        <f t="shared" si="1"/>
        <v>0</v>
      </c>
    </row>
    <row r="88" spans="1:5" ht="15.6" x14ac:dyDescent="0.3">
      <c r="A88" s="8" t="s">
        <v>75</v>
      </c>
      <c r="B88" s="8" t="s">
        <v>3</v>
      </c>
      <c r="C88" s="2">
        <v>3</v>
      </c>
      <c r="D88" s="2">
        <v>14000</v>
      </c>
      <c r="E88" s="7">
        <f t="shared" si="1"/>
        <v>42000</v>
      </c>
    </row>
    <row r="89" spans="1:5" ht="15.6" x14ac:dyDescent="0.3">
      <c r="A89" s="8" t="s">
        <v>76</v>
      </c>
      <c r="B89" s="8" t="s">
        <v>3</v>
      </c>
      <c r="C89" s="2">
        <v>20</v>
      </c>
      <c r="D89" s="2">
        <v>64000</v>
      </c>
      <c r="E89" s="7">
        <f t="shared" si="1"/>
        <v>1280000</v>
      </c>
    </row>
    <row r="90" spans="1:5" ht="15.6" hidden="1" x14ac:dyDescent="0.3">
      <c r="A90" s="8" t="s">
        <v>76</v>
      </c>
      <c r="B90" s="8" t="s">
        <v>78</v>
      </c>
      <c r="C90" s="2">
        <v>0</v>
      </c>
      <c r="D90" s="2"/>
      <c r="E90" s="7">
        <f t="shared" si="1"/>
        <v>0</v>
      </c>
    </row>
    <row r="91" spans="1:5" ht="15.6" hidden="1" x14ac:dyDescent="0.3">
      <c r="A91" s="8" t="s">
        <v>76</v>
      </c>
      <c r="B91" s="8" t="s">
        <v>77</v>
      </c>
      <c r="C91" s="2">
        <v>0</v>
      </c>
      <c r="D91" s="2"/>
      <c r="E91" s="7">
        <f t="shared" si="1"/>
        <v>0</v>
      </c>
    </row>
    <row r="92" spans="1:5" ht="15.6" hidden="1" x14ac:dyDescent="0.3">
      <c r="A92" s="8" t="s">
        <v>137</v>
      </c>
      <c r="B92" s="8" t="s">
        <v>3</v>
      </c>
      <c r="C92" s="2">
        <v>0</v>
      </c>
      <c r="D92" s="2"/>
      <c r="E92" s="7">
        <f t="shared" si="1"/>
        <v>0</v>
      </c>
    </row>
    <row r="93" spans="1:5" ht="15.6" hidden="1" x14ac:dyDescent="0.3">
      <c r="A93" s="8" t="s">
        <v>79</v>
      </c>
      <c r="B93" s="8" t="s">
        <v>17</v>
      </c>
      <c r="C93" s="2">
        <v>0</v>
      </c>
      <c r="D93" s="2"/>
      <c r="E93" s="7">
        <f t="shared" si="1"/>
        <v>0</v>
      </c>
    </row>
    <row r="94" spans="1:5" ht="15.6" hidden="1" x14ac:dyDescent="0.3">
      <c r="A94" s="8" t="s">
        <v>80</v>
      </c>
      <c r="B94" s="8" t="s">
        <v>29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80</v>
      </c>
      <c r="B95" s="8" t="s">
        <v>3</v>
      </c>
      <c r="C95" s="2">
        <v>5</v>
      </c>
      <c r="D95" s="2">
        <v>35000</v>
      </c>
      <c r="E95" s="7">
        <f t="shared" si="1"/>
        <v>175000</v>
      </c>
    </row>
    <row r="96" spans="1:5" ht="15.6" x14ac:dyDescent="0.3">
      <c r="A96" s="8" t="s">
        <v>81</v>
      </c>
      <c r="B96" s="8" t="s">
        <v>3</v>
      </c>
      <c r="C96" s="2">
        <v>77</v>
      </c>
      <c r="D96" s="2">
        <v>26000</v>
      </c>
      <c r="E96" s="7">
        <f t="shared" si="1"/>
        <v>2002000</v>
      </c>
    </row>
    <row r="97" spans="1:5" ht="15.6" hidden="1" x14ac:dyDescent="0.3">
      <c r="A97" s="8" t="s">
        <v>81</v>
      </c>
      <c r="B97" s="8" t="s">
        <v>9</v>
      </c>
      <c r="C97" s="2">
        <v>0</v>
      </c>
      <c r="D97" s="2"/>
      <c r="E97" s="7">
        <f t="shared" si="1"/>
        <v>0</v>
      </c>
    </row>
    <row r="98" spans="1:5" ht="15.6" x14ac:dyDescent="0.3">
      <c r="A98" s="8" t="s">
        <v>108</v>
      </c>
      <c r="B98" s="8" t="s">
        <v>3</v>
      </c>
      <c r="C98" s="2">
        <v>8</v>
      </c>
      <c r="D98" s="2">
        <v>22000</v>
      </c>
      <c r="E98" s="7">
        <f t="shared" si="1"/>
        <v>176000</v>
      </c>
    </row>
    <row r="99" spans="1:5" ht="15.6" x14ac:dyDescent="0.3">
      <c r="A99" s="8" t="s">
        <v>82</v>
      </c>
      <c r="B99" s="8" t="s">
        <v>3</v>
      </c>
      <c r="C99" s="2">
        <v>30</v>
      </c>
      <c r="D99" s="2">
        <v>24000</v>
      </c>
      <c r="E99" s="7">
        <f t="shared" si="1"/>
        <v>720000</v>
      </c>
    </row>
    <row r="100" spans="1:5" ht="15.6" hidden="1" x14ac:dyDescent="0.3">
      <c r="A100" s="8" t="s">
        <v>82</v>
      </c>
      <c r="B100" s="8" t="s">
        <v>9</v>
      </c>
      <c r="C100" s="2">
        <v>0</v>
      </c>
      <c r="D100" s="2"/>
      <c r="E100" s="7">
        <f t="shared" si="1"/>
        <v>0</v>
      </c>
    </row>
    <row r="101" spans="1:5" ht="15.6" x14ac:dyDescent="0.3">
      <c r="A101" s="8" t="s">
        <v>83</v>
      </c>
      <c r="B101" s="8" t="s">
        <v>3</v>
      </c>
      <c r="C101" s="2">
        <v>48</v>
      </c>
      <c r="D101" s="2">
        <v>30000</v>
      </c>
      <c r="E101" s="7">
        <f t="shared" si="1"/>
        <v>1440000</v>
      </c>
    </row>
    <row r="102" spans="1:5" ht="15.6" hidden="1" x14ac:dyDescent="0.3">
      <c r="A102" s="8" t="s">
        <v>83</v>
      </c>
      <c r="B102" s="8" t="s">
        <v>9</v>
      </c>
      <c r="C102" s="2">
        <v>0</v>
      </c>
      <c r="D102" s="2"/>
      <c r="E102" s="7">
        <f t="shared" si="1"/>
        <v>0</v>
      </c>
    </row>
    <row r="103" spans="1:5" ht="15.6" x14ac:dyDescent="0.3">
      <c r="A103" s="8" t="s">
        <v>110</v>
      </c>
      <c r="B103" s="8" t="s">
        <v>3</v>
      </c>
      <c r="C103" s="2">
        <v>7</v>
      </c>
      <c r="D103" s="2">
        <v>25000</v>
      </c>
      <c r="E103" s="7">
        <f t="shared" si="1"/>
        <v>175000</v>
      </c>
    </row>
    <row r="104" spans="1:5" ht="15.6" hidden="1" x14ac:dyDescent="0.3">
      <c r="A104" s="8" t="s">
        <v>84</v>
      </c>
      <c r="B104" s="8" t="s">
        <v>34</v>
      </c>
      <c r="C104" s="2">
        <v>0</v>
      </c>
      <c r="D104" s="2"/>
      <c r="E104" s="7">
        <f t="shared" si="1"/>
        <v>0</v>
      </c>
    </row>
    <row r="105" spans="1:5" ht="15.6" hidden="1" x14ac:dyDescent="0.3">
      <c r="A105" s="8" t="s">
        <v>85</v>
      </c>
      <c r="B105" s="8" t="s">
        <v>34</v>
      </c>
      <c r="C105" s="2">
        <v>0</v>
      </c>
      <c r="D105" s="2"/>
      <c r="E105" s="7">
        <f t="shared" si="1"/>
        <v>0</v>
      </c>
    </row>
    <row r="106" spans="1:5" ht="15.6" hidden="1" x14ac:dyDescent="0.3">
      <c r="A106" s="8" t="s">
        <v>111</v>
      </c>
      <c r="B106" s="8" t="s">
        <v>3</v>
      </c>
      <c r="C106" s="2">
        <v>0</v>
      </c>
      <c r="D106" s="2"/>
      <c r="E106" s="7">
        <f t="shared" si="1"/>
        <v>0</v>
      </c>
    </row>
    <row r="107" spans="1:5" ht="15.6" x14ac:dyDescent="0.3">
      <c r="A107" s="8" t="s">
        <v>86</v>
      </c>
      <c r="B107" s="8" t="s">
        <v>9</v>
      </c>
      <c r="C107" s="2">
        <v>299</v>
      </c>
      <c r="D107" s="2">
        <v>9000</v>
      </c>
      <c r="E107" s="7">
        <f t="shared" si="1"/>
        <v>2691000</v>
      </c>
    </row>
    <row r="108" spans="1:5" ht="15.6" x14ac:dyDescent="0.3">
      <c r="A108" s="8" t="s">
        <v>87</v>
      </c>
      <c r="B108" s="8" t="s">
        <v>9</v>
      </c>
      <c r="C108" s="2">
        <v>353</v>
      </c>
      <c r="D108" s="2">
        <v>11361</v>
      </c>
      <c r="E108" s="7">
        <f t="shared" si="1"/>
        <v>4010433</v>
      </c>
    </row>
    <row r="109" spans="1:5" ht="15.6" x14ac:dyDescent="0.3">
      <c r="A109" s="8" t="s">
        <v>89</v>
      </c>
      <c r="B109" s="8" t="s">
        <v>3</v>
      </c>
      <c r="C109" s="2">
        <v>7</v>
      </c>
      <c r="D109" s="2">
        <v>18000</v>
      </c>
      <c r="E109" s="7">
        <f t="shared" si="1"/>
        <v>126000</v>
      </c>
    </row>
    <row r="110" spans="1:5" ht="15.6" x14ac:dyDescent="0.3">
      <c r="A110" s="8" t="s">
        <v>90</v>
      </c>
      <c r="B110" s="8" t="s">
        <v>3</v>
      </c>
      <c r="C110" s="2">
        <v>35</v>
      </c>
      <c r="D110" s="2">
        <v>6000</v>
      </c>
      <c r="E110" s="7">
        <f t="shared" si="1"/>
        <v>210000</v>
      </c>
    </row>
    <row r="111" spans="1:5" ht="15.6" hidden="1" x14ac:dyDescent="0.3">
      <c r="A111" s="8" t="s">
        <v>113</v>
      </c>
      <c r="B111" s="8" t="s">
        <v>3</v>
      </c>
      <c r="C111" s="2">
        <v>0</v>
      </c>
      <c r="D111" s="2"/>
      <c r="E111" s="7">
        <f t="shared" si="1"/>
        <v>0</v>
      </c>
    </row>
    <row r="112" spans="1:5" ht="15.6" x14ac:dyDescent="0.3">
      <c r="A112" s="8" t="s">
        <v>91</v>
      </c>
      <c r="B112" s="8" t="s">
        <v>3</v>
      </c>
      <c r="C112" s="2">
        <v>9</v>
      </c>
      <c r="D112" s="2">
        <v>22000</v>
      </c>
      <c r="E112" s="7">
        <f t="shared" si="1"/>
        <v>198000</v>
      </c>
    </row>
    <row r="113" spans="1:5" ht="15.6" hidden="1" x14ac:dyDescent="0.3">
      <c r="A113" s="8" t="s">
        <v>92</v>
      </c>
      <c r="B113" s="8" t="s">
        <v>3</v>
      </c>
      <c r="C113" s="2">
        <v>0</v>
      </c>
      <c r="D113" s="2"/>
      <c r="E113" s="7">
        <f t="shared" si="1"/>
        <v>0</v>
      </c>
    </row>
    <row r="114" spans="1:5" ht="15.6" hidden="1" x14ac:dyDescent="0.3">
      <c r="A114" s="8" t="s">
        <v>93</v>
      </c>
      <c r="B114" s="8" t="s">
        <v>19</v>
      </c>
      <c r="C114" s="2">
        <v>0</v>
      </c>
      <c r="D114" s="2"/>
      <c r="E114" s="7">
        <f t="shared" si="1"/>
        <v>0</v>
      </c>
    </row>
    <row r="115" spans="1:5" ht="15.6" hidden="1" x14ac:dyDescent="0.3">
      <c r="A115" s="8" t="s">
        <v>94</v>
      </c>
      <c r="B115" s="8" t="s">
        <v>3</v>
      </c>
      <c r="C115" s="2">
        <v>0</v>
      </c>
      <c r="D115" s="2"/>
      <c r="E115" s="7">
        <f t="shared" si="1"/>
        <v>0</v>
      </c>
    </row>
    <row r="116" spans="1:5" ht="15.6" hidden="1" x14ac:dyDescent="0.3">
      <c r="A116" s="8" t="s">
        <v>95</v>
      </c>
      <c r="B116" s="8" t="s">
        <v>19</v>
      </c>
      <c r="C116" s="2">
        <v>0</v>
      </c>
      <c r="D116" s="2"/>
      <c r="E116" s="7">
        <f t="shared" si="1"/>
        <v>0</v>
      </c>
    </row>
    <row r="117" spans="1:5" ht="15.6" hidden="1" x14ac:dyDescent="0.3">
      <c r="A117" s="8" t="s">
        <v>96</v>
      </c>
      <c r="B117" s="8" t="s">
        <v>3</v>
      </c>
      <c r="C117" s="2">
        <v>0</v>
      </c>
      <c r="D117" s="2"/>
      <c r="E117" s="7">
        <f t="shared" si="1"/>
        <v>0</v>
      </c>
    </row>
    <row r="118" spans="1:5" ht="15.6" x14ac:dyDescent="0.3">
      <c r="A118" s="8" t="s">
        <v>97</v>
      </c>
      <c r="B118" s="8" t="s">
        <v>3</v>
      </c>
      <c r="C118" s="2">
        <v>1</v>
      </c>
      <c r="D118" s="2">
        <v>25000</v>
      </c>
      <c r="E118" s="7">
        <f t="shared" si="1"/>
        <v>25000</v>
      </c>
    </row>
    <row r="119" spans="1:5" ht="15.6" hidden="1" x14ac:dyDescent="0.3">
      <c r="A119" s="8" t="s">
        <v>98</v>
      </c>
      <c r="B119" s="8" t="s">
        <v>19</v>
      </c>
      <c r="C119" s="2">
        <v>0</v>
      </c>
      <c r="D119" s="2"/>
      <c r="E119" s="7">
        <f t="shared" si="1"/>
        <v>0</v>
      </c>
    </row>
    <row r="120" spans="1:5" x14ac:dyDescent="0.3">
      <c r="E120" s="9">
        <f>SUM(E3:E118)</f>
        <v>103023333</v>
      </c>
    </row>
  </sheetData>
  <autoFilter ref="A2:E119" xr:uid="{00000000-0009-0000-0000-00000C000000}">
    <filterColumn colId="2">
      <filters>
        <filter val="1"/>
        <filter val="1,200"/>
        <filter val="1,250"/>
        <filter val="110"/>
        <filter val="120"/>
        <filter val="16"/>
        <filter val="20"/>
        <filter val="205"/>
        <filter val="230"/>
        <filter val="24"/>
        <filter val="25"/>
        <filter val="260"/>
        <filter val="266"/>
        <filter val="27"/>
        <filter val="270"/>
        <filter val="28"/>
        <filter val="299"/>
        <filter val="3"/>
        <filter val="30"/>
        <filter val="32"/>
        <filter val="34"/>
        <filter val="35"/>
        <filter val="350"/>
        <filter val="353"/>
        <filter val="410"/>
        <filter val="42"/>
        <filter val="43"/>
        <filter val="45"/>
        <filter val="48"/>
        <filter val="5"/>
        <filter val="530"/>
        <filter val="545"/>
        <filter val="60"/>
        <filter val="625"/>
        <filter val="660"/>
        <filter val="7"/>
        <filter val="77"/>
        <filter val="8"/>
        <filter val="80"/>
        <filter val="9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E109"/>
  <sheetViews>
    <sheetView topLeftCell="A24" workbookViewId="0">
      <selection activeCell="D56" sqref="D56"/>
    </sheetView>
  </sheetViews>
  <sheetFormatPr defaultRowHeight="14.4" x14ac:dyDescent="0.3"/>
  <cols>
    <col min="1" max="1" width="25.44140625" customWidth="1"/>
    <col min="3" max="3" width="12.5546875" customWidth="1"/>
    <col min="4" max="4" width="14" customWidth="1"/>
    <col min="5" max="5" width="20.44140625" customWidth="1"/>
  </cols>
  <sheetData>
    <row r="1" spans="1:5" x14ac:dyDescent="0.3">
      <c r="A1" t="s">
        <v>139</v>
      </c>
    </row>
    <row r="2" spans="1:5" ht="57.6" customHeight="1" x14ac:dyDescent="0.3">
      <c r="A2" s="10" t="s">
        <v>0</v>
      </c>
      <c r="B2" s="10" t="s">
        <v>1</v>
      </c>
      <c r="C2" s="2" t="s">
        <v>131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8</v>
      </c>
      <c r="D3" s="7">
        <v>18000</v>
      </c>
      <c r="E3" s="12">
        <f>C3*D3</f>
        <v>144000</v>
      </c>
    </row>
    <row r="4" spans="1:5" ht="15.6" x14ac:dyDescent="0.3">
      <c r="A4" s="8" t="s">
        <v>4</v>
      </c>
      <c r="B4" s="8" t="s">
        <v>3</v>
      </c>
      <c r="C4" s="2">
        <v>516</v>
      </c>
      <c r="D4" s="7">
        <v>6000</v>
      </c>
      <c r="E4" s="12">
        <f t="shared" ref="E4:E67" si="0">C4*D4</f>
        <v>3096000</v>
      </c>
    </row>
    <row r="5" spans="1:5" ht="15.6" x14ac:dyDescent="0.3">
      <c r="A5" s="8" t="s">
        <v>5</v>
      </c>
      <c r="B5" s="8" t="s">
        <v>3</v>
      </c>
      <c r="C5" s="2">
        <v>540</v>
      </c>
      <c r="D5" s="7">
        <v>4000</v>
      </c>
      <c r="E5" s="12">
        <f t="shared" si="0"/>
        <v>2160000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7"/>
      <c r="E7" s="12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780</v>
      </c>
      <c r="D8" s="7">
        <v>9000</v>
      </c>
      <c r="E8" s="12">
        <f t="shared" si="0"/>
        <v>7020000</v>
      </c>
    </row>
    <row r="9" spans="1:5" ht="15.6" x14ac:dyDescent="0.3">
      <c r="A9" s="8" t="s">
        <v>11</v>
      </c>
      <c r="B9" s="8" t="s">
        <v>3</v>
      </c>
      <c r="C9" s="2">
        <v>135</v>
      </c>
      <c r="D9" s="7">
        <v>8000</v>
      </c>
      <c r="E9" s="12">
        <f t="shared" si="0"/>
        <v>1080000</v>
      </c>
    </row>
    <row r="10" spans="1:5" ht="15.6" hidden="1" x14ac:dyDescent="0.3">
      <c r="A10" s="8" t="s">
        <v>11</v>
      </c>
      <c r="B10" s="8" t="s">
        <v>9</v>
      </c>
      <c r="C10" s="2">
        <v>0</v>
      </c>
      <c r="D10" s="7"/>
      <c r="E10" s="12">
        <f t="shared" si="0"/>
        <v>0</v>
      </c>
    </row>
    <row r="11" spans="1:5" ht="15.6" x14ac:dyDescent="0.3">
      <c r="A11" s="8" t="s">
        <v>8</v>
      </c>
      <c r="B11" s="8" t="s">
        <v>3</v>
      </c>
      <c r="C11" s="2">
        <v>55</v>
      </c>
      <c r="D11" s="7">
        <v>13000</v>
      </c>
      <c r="E11" s="12">
        <f t="shared" si="0"/>
        <v>715000</v>
      </c>
    </row>
    <row r="12" spans="1:5" ht="15.6" hidden="1" x14ac:dyDescent="0.3">
      <c r="A12" s="8" t="s">
        <v>8</v>
      </c>
      <c r="B12" s="8" t="s">
        <v>9</v>
      </c>
      <c r="C12" s="2">
        <v>0</v>
      </c>
      <c r="D12" s="7"/>
      <c r="E12" s="12">
        <f t="shared" si="0"/>
        <v>0</v>
      </c>
    </row>
    <row r="13" spans="1:5" ht="15.6" hidden="1" x14ac:dyDescent="0.3">
      <c r="A13" s="8" t="s">
        <v>122</v>
      </c>
      <c r="B13" s="8" t="s">
        <v>3</v>
      </c>
      <c r="C13" s="2">
        <v>0</v>
      </c>
      <c r="D13" s="7"/>
      <c r="E13" s="12">
        <f t="shared" si="0"/>
        <v>0</v>
      </c>
    </row>
    <row r="14" spans="1:5" ht="15.6" hidden="1" x14ac:dyDescent="0.3">
      <c r="A14" s="8" t="s">
        <v>12</v>
      </c>
      <c r="B14" s="8" t="s">
        <v>3</v>
      </c>
      <c r="C14" s="2">
        <v>0</v>
      </c>
      <c r="D14" s="7"/>
      <c r="E14" s="12">
        <f t="shared" si="0"/>
        <v>0</v>
      </c>
    </row>
    <row r="15" spans="1:5" ht="15.6" hidden="1" x14ac:dyDescent="0.3">
      <c r="A15" s="8" t="s">
        <v>14</v>
      </c>
      <c r="B15" s="8" t="s">
        <v>3</v>
      </c>
      <c r="C15" s="2">
        <v>0</v>
      </c>
      <c r="D15" s="7"/>
      <c r="E15" s="12">
        <f t="shared" si="0"/>
        <v>0</v>
      </c>
    </row>
    <row r="16" spans="1:5" ht="15.6" hidden="1" x14ac:dyDescent="0.3">
      <c r="A16" s="8" t="s">
        <v>15</v>
      </c>
      <c r="B16" s="8" t="s">
        <v>3</v>
      </c>
      <c r="C16" s="2">
        <v>0</v>
      </c>
      <c r="D16" s="7"/>
      <c r="E16" s="12">
        <f t="shared" si="0"/>
        <v>0</v>
      </c>
    </row>
    <row r="17" spans="1:5" ht="15.6" x14ac:dyDescent="0.3">
      <c r="A17" s="8" t="s">
        <v>16</v>
      </c>
      <c r="B17" s="8" t="s">
        <v>17</v>
      </c>
      <c r="C17" s="2">
        <v>10</v>
      </c>
      <c r="D17" s="7">
        <v>6000</v>
      </c>
      <c r="E17" s="12">
        <f t="shared" si="0"/>
        <v>60000</v>
      </c>
    </row>
    <row r="18" spans="1:5" ht="15.6" hidden="1" x14ac:dyDescent="0.3">
      <c r="A18" s="8" t="s">
        <v>20</v>
      </c>
      <c r="B18" s="8" t="s">
        <v>3</v>
      </c>
      <c r="C18" s="2">
        <v>0</v>
      </c>
      <c r="D18" s="7"/>
      <c r="E18" s="12">
        <f t="shared" si="0"/>
        <v>0</v>
      </c>
    </row>
    <row r="19" spans="1:5" ht="15.6" x14ac:dyDescent="0.3">
      <c r="A19" s="8" t="s">
        <v>22</v>
      </c>
      <c r="B19" s="8" t="s">
        <v>3</v>
      </c>
      <c r="C19" s="2">
        <v>230</v>
      </c>
      <c r="D19" s="7">
        <v>13000</v>
      </c>
      <c r="E19" s="12">
        <f t="shared" si="0"/>
        <v>2990000</v>
      </c>
    </row>
    <row r="20" spans="1:5" ht="15.6" hidden="1" x14ac:dyDescent="0.3">
      <c r="A20" s="8" t="s">
        <v>22</v>
      </c>
      <c r="B20" s="8" t="s">
        <v>23</v>
      </c>
      <c r="C20" s="2">
        <v>0</v>
      </c>
      <c r="D20" s="7"/>
      <c r="E20" s="12">
        <f t="shared" si="0"/>
        <v>0</v>
      </c>
    </row>
    <row r="21" spans="1:5" ht="15.6" x14ac:dyDescent="0.3">
      <c r="A21" s="8" t="s">
        <v>24</v>
      </c>
      <c r="B21" s="8" t="s">
        <v>3</v>
      </c>
      <c r="C21" s="2">
        <v>29</v>
      </c>
      <c r="D21" s="7">
        <v>13000</v>
      </c>
      <c r="E21" s="12">
        <f t="shared" si="0"/>
        <v>377000</v>
      </c>
    </row>
    <row r="22" spans="1:5" ht="15.6" hidden="1" x14ac:dyDescent="0.3">
      <c r="A22" s="8" t="s">
        <v>24</v>
      </c>
      <c r="B22" s="8" t="s">
        <v>25</v>
      </c>
      <c r="C22" s="2">
        <v>0</v>
      </c>
      <c r="D22" s="7"/>
      <c r="E22" s="12">
        <f t="shared" si="0"/>
        <v>0</v>
      </c>
    </row>
    <row r="23" spans="1:5" ht="15.6" x14ac:dyDescent="0.3">
      <c r="A23" s="8" t="s">
        <v>26</v>
      </c>
      <c r="B23" s="8" t="s">
        <v>3</v>
      </c>
      <c r="C23" s="2">
        <v>10</v>
      </c>
      <c r="D23" s="7">
        <v>16000</v>
      </c>
      <c r="E23" s="12">
        <f t="shared" si="0"/>
        <v>160000</v>
      </c>
    </row>
    <row r="24" spans="1:5" ht="15.6" x14ac:dyDescent="0.3">
      <c r="A24" s="8" t="s">
        <v>26</v>
      </c>
      <c r="B24" s="8" t="s">
        <v>27</v>
      </c>
      <c r="C24" s="2">
        <v>50</v>
      </c>
      <c r="D24" s="7">
        <v>4800</v>
      </c>
      <c r="E24" s="12">
        <f t="shared" si="0"/>
        <v>240000</v>
      </c>
    </row>
    <row r="25" spans="1:5" ht="15.6" x14ac:dyDescent="0.3">
      <c r="A25" s="8" t="s">
        <v>28</v>
      </c>
      <c r="B25" s="8" t="s">
        <v>29</v>
      </c>
      <c r="C25" s="2">
        <v>24</v>
      </c>
      <c r="D25" s="7">
        <v>12000</v>
      </c>
      <c r="E25" s="12">
        <f t="shared" si="0"/>
        <v>288000</v>
      </c>
    </row>
    <row r="26" spans="1:5" ht="15.6" hidden="1" x14ac:dyDescent="0.3">
      <c r="A26" s="8" t="s">
        <v>30</v>
      </c>
      <c r="B26" s="8" t="s">
        <v>3</v>
      </c>
      <c r="C26" s="2">
        <v>0</v>
      </c>
      <c r="D26" s="7"/>
      <c r="E26" s="12">
        <f t="shared" si="0"/>
        <v>0</v>
      </c>
    </row>
    <row r="27" spans="1:5" ht="15.6" x14ac:dyDescent="0.3">
      <c r="A27" s="8" t="s">
        <v>30</v>
      </c>
      <c r="B27" s="8" t="s">
        <v>27</v>
      </c>
      <c r="C27" s="2">
        <v>174</v>
      </c>
      <c r="D27" s="7">
        <v>10000</v>
      </c>
      <c r="E27" s="12">
        <f t="shared" si="0"/>
        <v>1740000</v>
      </c>
    </row>
    <row r="28" spans="1:5" ht="15.6" x14ac:dyDescent="0.3">
      <c r="A28" s="8" t="s">
        <v>30</v>
      </c>
      <c r="B28" s="8" t="s">
        <v>31</v>
      </c>
      <c r="C28" s="2">
        <v>235</v>
      </c>
      <c r="D28" s="7">
        <v>7500</v>
      </c>
      <c r="E28" s="12">
        <f t="shared" si="0"/>
        <v>1762500</v>
      </c>
    </row>
    <row r="29" spans="1:5" ht="15.6" x14ac:dyDescent="0.3">
      <c r="A29" s="8" t="s">
        <v>32</v>
      </c>
      <c r="B29" s="8" t="s">
        <v>3</v>
      </c>
      <c r="C29" s="2">
        <v>390</v>
      </c>
      <c r="D29" s="7">
        <v>12000</v>
      </c>
      <c r="E29" s="12">
        <f t="shared" si="0"/>
        <v>4680000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7"/>
      <c r="E30" s="12">
        <f t="shared" si="0"/>
        <v>0</v>
      </c>
    </row>
    <row r="31" spans="1:5" ht="15.6" hidden="1" x14ac:dyDescent="0.3">
      <c r="A31" s="8" t="s">
        <v>33</v>
      </c>
      <c r="B31" s="8" t="s">
        <v>34</v>
      </c>
      <c r="C31" s="2">
        <v>0</v>
      </c>
      <c r="D31" s="7"/>
      <c r="E31" s="12">
        <f t="shared" si="0"/>
        <v>0</v>
      </c>
    </row>
    <row r="32" spans="1:5" ht="15.6" x14ac:dyDescent="0.3">
      <c r="A32" s="8" t="s">
        <v>35</v>
      </c>
      <c r="B32" s="8" t="s">
        <v>3</v>
      </c>
      <c r="C32" s="2">
        <v>30</v>
      </c>
      <c r="D32" s="7">
        <v>6500</v>
      </c>
      <c r="E32" s="12">
        <f t="shared" si="0"/>
        <v>195000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7"/>
      <c r="E33" s="12">
        <f t="shared" si="0"/>
        <v>0</v>
      </c>
    </row>
    <row r="34" spans="1:5" ht="15.6" hidden="1" x14ac:dyDescent="0.3">
      <c r="A34" s="8" t="s">
        <v>36</v>
      </c>
      <c r="B34" s="8" t="s">
        <v>17</v>
      </c>
      <c r="C34" s="2">
        <v>0</v>
      </c>
      <c r="D34" s="7"/>
      <c r="E34" s="12">
        <f t="shared" si="0"/>
        <v>0</v>
      </c>
    </row>
    <row r="35" spans="1:5" ht="15.6" x14ac:dyDescent="0.3">
      <c r="A35" s="8" t="s">
        <v>37</v>
      </c>
      <c r="B35" s="8" t="s">
        <v>3</v>
      </c>
      <c r="C35" s="2">
        <v>41</v>
      </c>
      <c r="D35" s="7">
        <v>8000</v>
      </c>
      <c r="E35" s="12">
        <f t="shared" si="0"/>
        <v>328000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7"/>
      <c r="E36" s="12">
        <f t="shared" si="0"/>
        <v>0</v>
      </c>
    </row>
    <row r="37" spans="1:5" ht="15.6" x14ac:dyDescent="0.3">
      <c r="A37" s="8" t="s">
        <v>39</v>
      </c>
      <c r="B37" s="8" t="s">
        <v>3</v>
      </c>
      <c r="C37" s="2">
        <v>2</v>
      </c>
      <c r="D37" s="7">
        <v>18000</v>
      </c>
      <c r="E37" s="12">
        <f t="shared" si="0"/>
        <v>36000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7"/>
      <c r="E38" s="12">
        <f t="shared" si="0"/>
        <v>0</v>
      </c>
    </row>
    <row r="39" spans="1:5" ht="15.6" x14ac:dyDescent="0.3">
      <c r="A39" s="8" t="s">
        <v>40</v>
      </c>
      <c r="B39" s="8" t="s">
        <v>34</v>
      </c>
      <c r="C39" s="2">
        <v>2</v>
      </c>
      <c r="D39" s="7">
        <v>3000</v>
      </c>
      <c r="E39" s="12">
        <f t="shared" si="0"/>
        <v>6000</v>
      </c>
    </row>
    <row r="40" spans="1:5" ht="15.6" x14ac:dyDescent="0.3">
      <c r="A40" s="8" t="s">
        <v>41</v>
      </c>
      <c r="B40" s="8" t="s">
        <v>34</v>
      </c>
      <c r="C40" s="2">
        <v>15</v>
      </c>
      <c r="D40" s="7">
        <v>3000</v>
      </c>
      <c r="E40" s="12">
        <f t="shared" si="0"/>
        <v>45000</v>
      </c>
    </row>
    <row r="41" spans="1:5" ht="15.6" x14ac:dyDescent="0.3">
      <c r="A41" s="8" t="s">
        <v>42</v>
      </c>
      <c r="B41" s="8" t="s">
        <v>3</v>
      </c>
      <c r="C41" s="2">
        <v>530</v>
      </c>
      <c r="D41" s="7">
        <v>3500</v>
      </c>
      <c r="E41" s="12">
        <f t="shared" si="0"/>
        <v>1855000</v>
      </c>
    </row>
    <row r="42" spans="1:5" ht="15.6" hidden="1" x14ac:dyDescent="0.3">
      <c r="A42" s="8" t="s">
        <v>43</v>
      </c>
      <c r="B42" s="8" t="s">
        <v>3</v>
      </c>
      <c r="C42" s="2">
        <v>0</v>
      </c>
      <c r="D42" s="7"/>
      <c r="E42" s="12">
        <f t="shared" si="0"/>
        <v>0</v>
      </c>
    </row>
    <row r="43" spans="1:5" ht="15.6" x14ac:dyDescent="0.3">
      <c r="A43" s="8" t="s">
        <v>44</v>
      </c>
      <c r="B43" s="8" t="s">
        <v>3</v>
      </c>
      <c r="C43" s="2">
        <v>100</v>
      </c>
      <c r="D43" s="7">
        <v>3000</v>
      </c>
      <c r="E43" s="12">
        <f t="shared" si="0"/>
        <v>300000</v>
      </c>
    </row>
    <row r="44" spans="1:5" ht="15.6" hidden="1" x14ac:dyDescent="0.3">
      <c r="A44" s="8" t="s">
        <v>45</v>
      </c>
      <c r="B44" s="8" t="s">
        <v>3</v>
      </c>
      <c r="C44" s="2">
        <v>0</v>
      </c>
      <c r="D44" s="7"/>
      <c r="E44" s="12">
        <f t="shared" si="0"/>
        <v>0</v>
      </c>
    </row>
    <row r="45" spans="1:5" ht="15.6" hidden="1" x14ac:dyDescent="0.3">
      <c r="A45" s="8" t="s">
        <v>45</v>
      </c>
      <c r="B45" s="8" t="s">
        <v>19</v>
      </c>
      <c r="C45" s="2">
        <v>0</v>
      </c>
      <c r="D45" s="7"/>
      <c r="E45" s="12">
        <f t="shared" si="0"/>
        <v>0</v>
      </c>
    </row>
    <row r="46" spans="1:5" ht="15.6" hidden="1" x14ac:dyDescent="0.3">
      <c r="A46" s="8" t="s">
        <v>62</v>
      </c>
      <c r="B46" s="8" t="s">
        <v>3</v>
      </c>
      <c r="C46" s="2">
        <v>0</v>
      </c>
      <c r="D46" s="7"/>
      <c r="E46" s="12">
        <f t="shared" si="0"/>
        <v>0</v>
      </c>
    </row>
    <row r="47" spans="1:5" ht="15.6" x14ac:dyDescent="0.3">
      <c r="A47" s="8" t="s">
        <v>63</v>
      </c>
      <c r="B47" s="8" t="s">
        <v>3</v>
      </c>
      <c r="C47" s="2">
        <v>3</v>
      </c>
      <c r="D47" s="7">
        <v>14000</v>
      </c>
      <c r="E47" s="12">
        <f t="shared" si="0"/>
        <v>42000</v>
      </c>
    </row>
    <row r="48" spans="1:5" ht="15.6" x14ac:dyDescent="0.3">
      <c r="A48" s="8" t="s">
        <v>46</v>
      </c>
      <c r="B48" s="8" t="s">
        <v>29</v>
      </c>
      <c r="C48" s="2">
        <v>6</v>
      </c>
      <c r="D48" s="7">
        <v>10000</v>
      </c>
      <c r="E48" s="12">
        <f t="shared" si="0"/>
        <v>60000</v>
      </c>
    </row>
    <row r="49" spans="1:5" ht="15.6" x14ac:dyDescent="0.3">
      <c r="A49" s="8" t="s">
        <v>47</v>
      </c>
      <c r="B49" s="8" t="s">
        <v>3</v>
      </c>
      <c r="C49" s="2">
        <v>13</v>
      </c>
      <c r="D49" s="7">
        <v>5500</v>
      </c>
      <c r="E49" s="12">
        <f t="shared" si="0"/>
        <v>71500</v>
      </c>
    </row>
    <row r="50" spans="1:5" ht="15.6" x14ac:dyDescent="0.3">
      <c r="A50" s="8" t="s">
        <v>48</v>
      </c>
      <c r="B50" s="8" t="s">
        <v>3</v>
      </c>
      <c r="C50" s="2">
        <v>50</v>
      </c>
      <c r="D50" s="7">
        <v>8000</v>
      </c>
      <c r="E50" s="12">
        <f t="shared" si="0"/>
        <v>400000</v>
      </c>
    </row>
    <row r="51" spans="1:5" ht="15.6" hidden="1" x14ac:dyDescent="0.3">
      <c r="A51" s="8" t="s">
        <v>48</v>
      </c>
      <c r="B51" s="8" t="s">
        <v>34</v>
      </c>
      <c r="C51" s="2">
        <v>0</v>
      </c>
      <c r="D51" s="7"/>
      <c r="E51" s="12">
        <f t="shared" si="0"/>
        <v>0</v>
      </c>
    </row>
    <row r="52" spans="1:5" ht="15.6" x14ac:dyDescent="0.3">
      <c r="A52" s="8" t="s">
        <v>49</v>
      </c>
      <c r="B52" s="8" t="s">
        <v>3</v>
      </c>
      <c r="C52" s="2">
        <v>10</v>
      </c>
      <c r="D52" s="7">
        <v>19000</v>
      </c>
      <c r="E52" s="12">
        <f t="shared" si="0"/>
        <v>190000</v>
      </c>
    </row>
    <row r="53" spans="1:5" ht="15.6" x14ac:dyDescent="0.3">
      <c r="A53" s="8" t="s">
        <v>50</v>
      </c>
      <c r="B53" s="8" t="s">
        <v>3</v>
      </c>
      <c r="C53" s="2">
        <v>640</v>
      </c>
      <c r="D53" s="7">
        <v>5500</v>
      </c>
      <c r="E53" s="12">
        <f t="shared" si="0"/>
        <v>3520000</v>
      </c>
    </row>
    <row r="54" spans="1:5" ht="15.6" hidden="1" x14ac:dyDescent="0.3">
      <c r="A54" s="8" t="s">
        <v>50</v>
      </c>
      <c r="B54" s="8" t="s">
        <v>51</v>
      </c>
      <c r="C54" s="2">
        <v>0</v>
      </c>
      <c r="D54" s="7"/>
      <c r="E54" s="12">
        <f t="shared" si="0"/>
        <v>0</v>
      </c>
    </row>
    <row r="55" spans="1:5" ht="15.6" x14ac:dyDescent="0.3">
      <c r="A55" s="8" t="s">
        <v>104</v>
      </c>
      <c r="B55" s="8" t="s">
        <v>3</v>
      </c>
      <c r="C55" s="2">
        <v>77</v>
      </c>
      <c r="D55" s="7">
        <v>20000</v>
      </c>
      <c r="E55" s="12">
        <f t="shared" si="0"/>
        <v>1540000</v>
      </c>
    </row>
    <row r="56" spans="1:5" ht="15.6" x14ac:dyDescent="0.3">
      <c r="A56" s="8" t="s">
        <v>52</v>
      </c>
      <c r="B56" s="8" t="s">
        <v>34</v>
      </c>
      <c r="C56" s="2">
        <v>666</v>
      </c>
      <c r="D56" s="7">
        <v>1350</v>
      </c>
      <c r="E56" s="12">
        <f t="shared" si="0"/>
        <v>899100</v>
      </c>
    </row>
    <row r="57" spans="1:5" ht="15.6" x14ac:dyDescent="0.3">
      <c r="A57" s="8" t="s">
        <v>53</v>
      </c>
      <c r="B57" s="8" t="s">
        <v>3</v>
      </c>
      <c r="C57" s="2">
        <v>2190</v>
      </c>
      <c r="D57" s="7">
        <v>21500</v>
      </c>
      <c r="E57" s="12">
        <f t="shared" si="0"/>
        <v>47085000</v>
      </c>
    </row>
    <row r="58" spans="1:5" ht="15.6" x14ac:dyDescent="0.3">
      <c r="A58" s="8" t="s">
        <v>54</v>
      </c>
      <c r="B58" s="8" t="s">
        <v>3</v>
      </c>
      <c r="C58" s="2">
        <v>300</v>
      </c>
      <c r="D58" s="7">
        <v>21500</v>
      </c>
      <c r="E58" s="12">
        <f t="shared" si="0"/>
        <v>6450000</v>
      </c>
    </row>
    <row r="59" spans="1:5" ht="15.6" hidden="1" x14ac:dyDescent="0.3">
      <c r="A59" s="8" t="s">
        <v>54</v>
      </c>
      <c r="B59" s="8" t="s">
        <v>34</v>
      </c>
      <c r="C59" s="2">
        <v>0</v>
      </c>
      <c r="D59" s="7"/>
      <c r="E59" s="12">
        <f t="shared" si="0"/>
        <v>0</v>
      </c>
    </row>
    <row r="60" spans="1:5" ht="15.6" x14ac:dyDescent="0.3">
      <c r="A60" s="8" t="s">
        <v>55</v>
      </c>
      <c r="B60" s="8" t="s">
        <v>3</v>
      </c>
      <c r="C60" s="2">
        <v>70</v>
      </c>
      <c r="D60" s="7">
        <v>16000</v>
      </c>
      <c r="E60" s="12">
        <f t="shared" si="0"/>
        <v>1120000</v>
      </c>
    </row>
    <row r="61" spans="1:5" ht="15.6" x14ac:dyDescent="0.3">
      <c r="A61" s="8" t="s">
        <v>56</v>
      </c>
      <c r="B61" s="8" t="s">
        <v>3</v>
      </c>
      <c r="C61" s="2">
        <v>20</v>
      </c>
      <c r="D61" s="7">
        <v>22000</v>
      </c>
      <c r="E61" s="12">
        <f t="shared" si="0"/>
        <v>440000</v>
      </c>
    </row>
    <row r="62" spans="1:5" ht="15.6" x14ac:dyDescent="0.3">
      <c r="A62" s="8" t="s">
        <v>59</v>
      </c>
      <c r="B62" s="8" t="s">
        <v>3</v>
      </c>
      <c r="C62" s="2">
        <v>485</v>
      </c>
      <c r="D62" s="7">
        <v>14000</v>
      </c>
      <c r="E62" s="12">
        <f t="shared" si="0"/>
        <v>6790000</v>
      </c>
    </row>
    <row r="63" spans="1:5" ht="15.6" hidden="1" x14ac:dyDescent="0.3">
      <c r="A63" s="8" t="s">
        <v>59</v>
      </c>
      <c r="B63" s="8" t="s">
        <v>34</v>
      </c>
      <c r="C63" s="2">
        <v>0</v>
      </c>
      <c r="D63" s="7"/>
      <c r="E63" s="12">
        <f t="shared" si="0"/>
        <v>0</v>
      </c>
    </row>
    <row r="64" spans="1:5" ht="15.6" x14ac:dyDescent="0.3">
      <c r="A64" s="8" t="s">
        <v>60</v>
      </c>
      <c r="B64" s="8" t="s">
        <v>34</v>
      </c>
      <c r="C64" s="2">
        <v>220</v>
      </c>
      <c r="D64" s="7">
        <v>5000</v>
      </c>
      <c r="E64" s="12">
        <f t="shared" si="0"/>
        <v>1100000</v>
      </c>
    </row>
    <row r="65" spans="1:5" ht="15.6" hidden="1" x14ac:dyDescent="0.3">
      <c r="A65" s="8" t="s">
        <v>61</v>
      </c>
      <c r="B65" s="8" t="s">
        <v>3</v>
      </c>
      <c r="C65" s="2">
        <v>0</v>
      </c>
      <c r="D65" s="7"/>
      <c r="E65" s="12">
        <f t="shared" si="0"/>
        <v>0</v>
      </c>
    </row>
    <row r="66" spans="1:5" ht="15.6" x14ac:dyDescent="0.3">
      <c r="A66" s="8" t="s">
        <v>67</v>
      </c>
      <c r="B66" s="8" t="s">
        <v>34</v>
      </c>
      <c r="C66" s="2">
        <v>22</v>
      </c>
      <c r="D66" s="7">
        <v>6000</v>
      </c>
      <c r="E66" s="12">
        <f t="shared" si="0"/>
        <v>132000</v>
      </c>
    </row>
    <row r="67" spans="1:5" ht="15.6" hidden="1" x14ac:dyDescent="0.3">
      <c r="A67" s="8" t="s">
        <v>68</v>
      </c>
      <c r="B67" s="8" t="s">
        <v>3</v>
      </c>
      <c r="C67" s="2">
        <v>0</v>
      </c>
      <c r="D67" s="7"/>
      <c r="E67" s="12">
        <f t="shared" si="0"/>
        <v>0</v>
      </c>
    </row>
    <row r="68" spans="1:5" ht="15.6" x14ac:dyDescent="0.3">
      <c r="A68" s="8" t="s">
        <v>68</v>
      </c>
      <c r="B68" s="8" t="s">
        <v>34</v>
      </c>
      <c r="C68" s="2">
        <v>34</v>
      </c>
      <c r="D68" s="7">
        <v>6500</v>
      </c>
      <c r="E68" s="12">
        <f t="shared" ref="E68:E108" si="1">C68*D68</f>
        <v>221000</v>
      </c>
    </row>
    <row r="69" spans="1:5" ht="15.6" hidden="1" x14ac:dyDescent="0.3">
      <c r="A69" s="8" t="s">
        <v>69</v>
      </c>
      <c r="B69" s="8" t="s">
        <v>3</v>
      </c>
      <c r="C69" s="2">
        <v>0</v>
      </c>
      <c r="D69" s="7"/>
      <c r="E69" s="12">
        <f t="shared" si="1"/>
        <v>0</v>
      </c>
    </row>
    <row r="70" spans="1:5" ht="15.6" hidden="1" x14ac:dyDescent="0.3">
      <c r="A70" s="8" t="s">
        <v>70</v>
      </c>
      <c r="B70" s="8" t="s">
        <v>3</v>
      </c>
      <c r="C70" s="2">
        <v>0</v>
      </c>
      <c r="D70" s="7"/>
      <c r="E70" s="12">
        <f t="shared" si="1"/>
        <v>0</v>
      </c>
    </row>
    <row r="71" spans="1:5" ht="15.6" hidden="1" x14ac:dyDescent="0.3">
      <c r="A71" s="8" t="s">
        <v>71</v>
      </c>
      <c r="B71" s="8" t="s">
        <v>3</v>
      </c>
      <c r="C71" s="2">
        <v>0</v>
      </c>
      <c r="D71" s="7"/>
      <c r="E71" s="12">
        <f t="shared" si="1"/>
        <v>0</v>
      </c>
    </row>
    <row r="72" spans="1:5" ht="15.6" hidden="1" x14ac:dyDescent="0.3">
      <c r="A72" s="8" t="s">
        <v>117</v>
      </c>
      <c r="B72" s="8" t="s">
        <v>34</v>
      </c>
      <c r="C72" s="2">
        <v>0</v>
      </c>
      <c r="D72" s="7"/>
      <c r="E72" s="12">
        <f t="shared" si="1"/>
        <v>0</v>
      </c>
    </row>
    <row r="73" spans="1:5" ht="15.6" hidden="1" x14ac:dyDescent="0.3">
      <c r="A73" s="8" t="s">
        <v>64</v>
      </c>
      <c r="B73" s="8" t="s">
        <v>3</v>
      </c>
      <c r="C73" s="2">
        <v>0</v>
      </c>
      <c r="D73" s="7"/>
      <c r="E73" s="12">
        <f t="shared" si="1"/>
        <v>0</v>
      </c>
    </row>
    <row r="74" spans="1:5" ht="15.6" x14ac:dyDescent="0.3">
      <c r="A74" s="8" t="s">
        <v>64</v>
      </c>
      <c r="B74" s="8" t="s">
        <v>17</v>
      </c>
      <c r="C74" s="2">
        <v>888</v>
      </c>
      <c r="D74" s="7">
        <v>9000</v>
      </c>
      <c r="E74" s="12">
        <f t="shared" si="1"/>
        <v>7992000</v>
      </c>
    </row>
    <row r="75" spans="1:5" ht="15.6" x14ac:dyDescent="0.3">
      <c r="A75" s="8" t="s">
        <v>65</v>
      </c>
      <c r="B75" s="8" t="s">
        <v>3</v>
      </c>
      <c r="C75" s="2">
        <v>10</v>
      </c>
      <c r="D75" s="7">
        <v>13000</v>
      </c>
      <c r="E75" s="12">
        <f t="shared" si="1"/>
        <v>130000</v>
      </c>
    </row>
    <row r="76" spans="1:5" ht="15.6" hidden="1" x14ac:dyDescent="0.3">
      <c r="A76" s="8" t="s">
        <v>66</v>
      </c>
      <c r="B76" s="8" t="s">
        <v>3</v>
      </c>
      <c r="C76" s="2">
        <v>0</v>
      </c>
      <c r="D76" s="7"/>
      <c r="E76" s="12">
        <f t="shared" si="1"/>
        <v>0</v>
      </c>
    </row>
    <row r="77" spans="1:5" ht="15.6" x14ac:dyDescent="0.3">
      <c r="A77" s="8" t="s">
        <v>72</v>
      </c>
      <c r="B77" s="8" t="s">
        <v>3</v>
      </c>
      <c r="C77" s="2">
        <v>43</v>
      </c>
      <c r="D77" s="7">
        <v>9000</v>
      </c>
      <c r="E77" s="12">
        <f t="shared" si="1"/>
        <v>387000</v>
      </c>
    </row>
    <row r="78" spans="1:5" ht="15.6" hidden="1" x14ac:dyDescent="0.3">
      <c r="A78" s="8" t="s">
        <v>72</v>
      </c>
      <c r="B78" s="8" t="s">
        <v>19</v>
      </c>
      <c r="C78" s="2">
        <v>0</v>
      </c>
      <c r="D78" s="7"/>
      <c r="E78" s="12">
        <f t="shared" si="1"/>
        <v>0</v>
      </c>
    </row>
    <row r="79" spans="1:5" ht="15.6" hidden="1" x14ac:dyDescent="0.3">
      <c r="A79" s="8" t="s">
        <v>74</v>
      </c>
      <c r="B79" s="8" t="s">
        <v>34</v>
      </c>
      <c r="C79" s="2">
        <v>0</v>
      </c>
      <c r="D79" s="7"/>
      <c r="E79" s="12">
        <f t="shared" si="1"/>
        <v>0</v>
      </c>
    </row>
    <row r="80" spans="1:5" ht="15.6" x14ac:dyDescent="0.3">
      <c r="A80" s="8" t="s">
        <v>75</v>
      </c>
      <c r="B80" s="8" t="s">
        <v>3</v>
      </c>
      <c r="C80" s="2">
        <v>4</v>
      </c>
      <c r="D80" s="7">
        <v>14000</v>
      </c>
      <c r="E80" s="12">
        <f t="shared" si="1"/>
        <v>56000</v>
      </c>
    </row>
    <row r="81" spans="1:5" ht="15.6" x14ac:dyDescent="0.3">
      <c r="A81" s="8" t="s">
        <v>76</v>
      </c>
      <c r="B81" s="8" t="s">
        <v>3</v>
      </c>
      <c r="C81" s="2">
        <v>198</v>
      </c>
      <c r="D81" s="7">
        <v>64000</v>
      </c>
      <c r="E81" s="12">
        <f t="shared" si="1"/>
        <v>12672000</v>
      </c>
    </row>
    <row r="82" spans="1:5" ht="15.6" hidden="1" x14ac:dyDescent="0.3">
      <c r="A82" s="8" t="s">
        <v>137</v>
      </c>
      <c r="B82" s="8" t="s">
        <v>3</v>
      </c>
      <c r="C82" s="2">
        <v>0</v>
      </c>
      <c r="D82" s="7"/>
      <c r="E82" s="12">
        <f t="shared" si="1"/>
        <v>0</v>
      </c>
    </row>
    <row r="83" spans="1:5" ht="15.6" hidden="1" x14ac:dyDescent="0.3">
      <c r="A83" s="8" t="s">
        <v>79</v>
      </c>
      <c r="B83" s="8" t="s">
        <v>17</v>
      </c>
      <c r="C83" s="2">
        <v>0</v>
      </c>
      <c r="D83" s="7"/>
      <c r="E83" s="12">
        <f t="shared" si="1"/>
        <v>0</v>
      </c>
    </row>
    <row r="84" spans="1:5" ht="15.6" hidden="1" x14ac:dyDescent="0.3">
      <c r="A84" s="8" t="s">
        <v>80</v>
      </c>
      <c r="B84" s="8" t="s">
        <v>29</v>
      </c>
      <c r="C84" s="2">
        <v>0</v>
      </c>
      <c r="D84" s="7"/>
      <c r="E84" s="12">
        <f t="shared" si="1"/>
        <v>0</v>
      </c>
    </row>
    <row r="85" spans="1:5" ht="15.6" x14ac:dyDescent="0.3">
      <c r="A85" s="8" t="s">
        <v>80</v>
      </c>
      <c r="B85" s="8" t="s">
        <v>3</v>
      </c>
      <c r="C85" s="2">
        <v>4.5</v>
      </c>
      <c r="D85" s="7">
        <v>35000</v>
      </c>
      <c r="E85" s="12">
        <f t="shared" si="1"/>
        <v>157500</v>
      </c>
    </row>
    <row r="86" spans="1:5" ht="15.6" x14ac:dyDescent="0.3">
      <c r="A86" s="8" t="s">
        <v>81</v>
      </c>
      <c r="B86" s="8" t="s">
        <v>3</v>
      </c>
      <c r="C86" s="2">
        <v>80</v>
      </c>
      <c r="D86" s="7">
        <v>26000</v>
      </c>
      <c r="E86" s="12">
        <f t="shared" si="1"/>
        <v>2080000</v>
      </c>
    </row>
    <row r="87" spans="1:5" ht="15.6" hidden="1" x14ac:dyDescent="0.3">
      <c r="A87" s="8" t="s">
        <v>81</v>
      </c>
      <c r="B87" s="8" t="s">
        <v>9</v>
      </c>
      <c r="C87" s="2">
        <v>0</v>
      </c>
      <c r="D87" s="7"/>
      <c r="E87" s="12">
        <f t="shared" si="1"/>
        <v>0</v>
      </c>
    </row>
    <row r="88" spans="1:5" ht="15.6" x14ac:dyDescent="0.3">
      <c r="A88" s="8" t="s">
        <v>108</v>
      </c>
      <c r="B88" s="8" t="s">
        <v>3</v>
      </c>
      <c r="C88" s="2">
        <v>35</v>
      </c>
      <c r="D88" s="7">
        <v>22000</v>
      </c>
      <c r="E88" s="12">
        <f t="shared" si="1"/>
        <v>770000</v>
      </c>
    </row>
    <row r="89" spans="1:5" ht="15.6" x14ac:dyDescent="0.3">
      <c r="A89" s="8" t="s">
        <v>82</v>
      </c>
      <c r="B89" s="8" t="s">
        <v>3</v>
      </c>
      <c r="C89" s="2">
        <v>75</v>
      </c>
      <c r="D89" s="7">
        <v>24000</v>
      </c>
      <c r="E89" s="12">
        <f t="shared" si="1"/>
        <v>1800000</v>
      </c>
    </row>
    <row r="90" spans="1:5" ht="15.6" hidden="1" x14ac:dyDescent="0.3">
      <c r="A90" s="8" t="s">
        <v>82</v>
      </c>
      <c r="B90" s="8" t="s">
        <v>9</v>
      </c>
      <c r="C90" s="2">
        <v>0</v>
      </c>
      <c r="D90" s="7"/>
      <c r="E90" s="12">
        <f t="shared" si="1"/>
        <v>0</v>
      </c>
    </row>
    <row r="91" spans="1:5" ht="15.6" x14ac:dyDescent="0.3">
      <c r="A91" s="8" t="s">
        <v>109</v>
      </c>
      <c r="B91" s="8" t="s">
        <v>3</v>
      </c>
      <c r="C91" s="2">
        <v>15</v>
      </c>
      <c r="D91" s="7">
        <v>20000</v>
      </c>
      <c r="E91" s="12">
        <f t="shared" si="1"/>
        <v>300000</v>
      </c>
    </row>
    <row r="92" spans="1:5" ht="15.6" hidden="1" x14ac:dyDescent="0.3">
      <c r="A92" s="8" t="s">
        <v>83</v>
      </c>
      <c r="B92" s="8" t="s">
        <v>3</v>
      </c>
      <c r="C92" s="2">
        <v>0</v>
      </c>
      <c r="D92" s="7"/>
      <c r="E92" s="12">
        <f t="shared" si="1"/>
        <v>0</v>
      </c>
    </row>
    <row r="93" spans="1:5" ht="15.6" hidden="1" x14ac:dyDescent="0.3">
      <c r="A93" s="8" t="s">
        <v>83</v>
      </c>
      <c r="B93" s="8" t="s">
        <v>9</v>
      </c>
      <c r="C93" s="2">
        <v>0</v>
      </c>
      <c r="D93" s="7"/>
      <c r="E93" s="12">
        <f t="shared" si="1"/>
        <v>0</v>
      </c>
    </row>
    <row r="94" spans="1:5" ht="15.6" x14ac:dyDescent="0.3">
      <c r="A94" s="8" t="s">
        <v>110</v>
      </c>
      <c r="B94" s="8" t="s">
        <v>3</v>
      </c>
      <c r="C94" s="2">
        <v>15</v>
      </c>
      <c r="D94" s="7">
        <v>25000</v>
      </c>
      <c r="E94" s="12">
        <f t="shared" si="1"/>
        <v>375000</v>
      </c>
    </row>
    <row r="95" spans="1:5" ht="15.6" x14ac:dyDescent="0.3">
      <c r="A95" s="8" t="s">
        <v>84</v>
      </c>
      <c r="B95" s="8" t="s">
        <v>34</v>
      </c>
      <c r="C95" s="2">
        <v>114</v>
      </c>
      <c r="D95" s="7">
        <v>16000</v>
      </c>
      <c r="E95" s="12">
        <f t="shared" si="1"/>
        <v>1824000</v>
      </c>
    </row>
    <row r="96" spans="1:5" ht="15.6" hidden="1" x14ac:dyDescent="0.3">
      <c r="A96" s="8" t="s">
        <v>85</v>
      </c>
      <c r="B96" s="8" t="s">
        <v>34</v>
      </c>
      <c r="C96" s="2">
        <v>0</v>
      </c>
      <c r="D96" s="7"/>
      <c r="E96" s="12">
        <f t="shared" si="1"/>
        <v>0</v>
      </c>
    </row>
    <row r="97" spans="1:5" ht="15.6" x14ac:dyDescent="0.3">
      <c r="A97" s="8" t="s">
        <v>86</v>
      </c>
      <c r="B97" s="8" t="s">
        <v>9</v>
      </c>
      <c r="C97" s="2">
        <v>42</v>
      </c>
      <c r="D97" s="7">
        <v>9000</v>
      </c>
      <c r="E97" s="12">
        <f t="shared" si="1"/>
        <v>378000</v>
      </c>
    </row>
    <row r="98" spans="1:5" ht="15.6" x14ac:dyDescent="0.3">
      <c r="A98" s="8" t="s">
        <v>87</v>
      </c>
      <c r="B98" s="8" t="s">
        <v>9</v>
      </c>
      <c r="C98" s="2">
        <v>353</v>
      </c>
      <c r="D98" s="7">
        <v>11361</v>
      </c>
      <c r="E98" s="12">
        <f t="shared" si="1"/>
        <v>4010433</v>
      </c>
    </row>
    <row r="99" spans="1:5" ht="15.6" x14ac:dyDescent="0.3">
      <c r="A99" s="8" t="s">
        <v>89</v>
      </c>
      <c r="B99" s="8" t="s">
        <v>3</v>
      </c>
      <c r="C99" s="2">
        <v>17</v>
      </c>
      <c r="D99" s="7">
        <v>18000</v>
      </c>
      <c r="E99" s="12">
        <f t="shared" si="1"/>
        <v>306000</v>
      </c>
    </row>
    <row r="100" spans="1:5" ht="15.6" hidden="1" x14ac:dyDescent="0.3">
      <c r="A100" s="8" t="s">
        <v>112</v>
      </c>
      <c r="B100" s="8" t="s">
        <v>29</v>
      </c>
      <c r="C100" s="2">
        <v>0</v>
      </c>
      <c r="D100" s="7"/>
      <c r="E100" s="12">
        <f t="shared" si="1"/>
        <v>0</v>
      </c>
    </row>
    <row r="101" spans="1:5" ht="15.6" x14ac:dyDescent="0.3">
      <c r="A101" s="8" t="s">
        <v>90</v>
      </c>
      <c r="B101" s="8" t="s">
        <v>3</v>
      </c>
      <c r="C101" s="2">
        <v>40</v>
      </c>
      <c r="D101" s="7">
        <v>8000</v>
      </c>
      <c r="E101" s="12">
        <f t="shared" si="1"/>
        <v>320000</v>
      </c>
    </row>
    <row r="102" spans="1:5" ht="15.6" hidden="1" x14ac:dyDescent="0.3">
      <c r="A102" s="8" t="s">
        <v>91</v>
      </c>
      <c r="B102" s="8" t="s">
        <v>3</v>
      </c>
      <c r="C102" s="2">
        <v>0</v>
      </c>
      <c r="D102" s="7"/>
      <c r="E102" s="12">
        <f t="shared" si="1"/>
        <v>0</v>
      </c>
    </row>
    <row r="103" spans="1:5" ht="15.6" hidden="1" x14ac:dyDescent="0.3">
      <c r="A103" s="8" t="s">
        <v>92</v>
      </c>
      <c r="B103" s="8" t="s">
        <v>3</v>
      </c>
      <c r="C103" s="2">
        <v>0</v>
      </c>
      <c r="D103" s="7"/>
      <c r="E103" s="12">
        <f t="shared" si="1"/>
        <v>0</v>
      </c>
    </row>
    <row r="104" spans="1:5" ht="15.6" hidden="1" x14ac:dyDescent="0.3">
      <c r="A104" s="8" t="s">
        <v>93</v>
      </c>
      <c r="B104" s="8" t="s">
        <v>19</v>
      </c>
      <c r="C104" s="2">
        <v>0</v>
      </c>
      <c r="D104" s="7"/>
      <c r="E104" s="12">
        <f t="shared" si="1"/>
        <v>0</v>
      </c>
    </row>
    <row r="105" spans="1:5" ht="15.6" hidden="1" x14ac:dyDescent="0.3">
      <c r="A105" s="8" t="s">
        <v>94</v>
      </c>
      <c r="B105" s="8" t="s">
        <v>3</v>
      </c>
      <c r="C105" s="2">
        <v>0</v>
      </c>
      <c r="D105" s="7"/>
      <c r="E105" s="12">
        <f t="shared" si="1"/>
        <v>0</v>
      </c>
    </row>
    <row r="106" spans="1:5" ht="15.6" hidden="1" x14ac:dyDescent="0.3">
      <c r="A106" s="8" t="s">
        <v>95</v>
      </c>
      <c r="B106" s="8" t="s">
        <v>19</v>
      </c>
      <c r="C106" s="2">
        <v>0</v>
      </c>
      <c r="D106" s="7"/>
      <c r="E106" s="12">
        <f t="shared" si="1"/>
        <v>0</v>
      </c>
    </row>
    <row r="107" spans="1:5" ht="15.6" hidden="1" x14ac:dyDescent="0.3">
      <c r="A107" s="8" t="s">
        <v>97</v>
      </c>
      <c r="B107" s="8" t="s">
        <v>3</v>
      </c>
      <c r="C107" s="2">
        <v>0</v>
      </c>
      <c r="D107" s="7"/>
      <c r="E107" s="12">
        <f t="shared" si="1"/>
        <v>0</v>
      </c>
    </row>
    <row r="108" spans="1:5" ht="15.6" hidden="1" x14ac:dyDescent="0.3">
      <c r="A108" s="8" t="s">
        <v>98</v>
      </c>
      <c r="B108" s="8" t="s">
        <v>19</v>
      </c>
      <c r="C108" s="2">
        <v>0</v>
      </c>
      <c r="D108" s="7"/>
      <c r="E108" s="12">
        <f t="shared" si="1"/>
        <v>0</v>
      </c>
    </row>
    <row r="109" spans="1:5" x14ac:dyDescent="0.3">
      <c r="E109" s="9">
        <f>SUM(E3:E101)</f>
        <v>132896033</v>
      </c>
    </row>
  </sheetData>
  <autoFilter ref="A2:E108" xr:uid="{00000000-0009-0000-0000-00000D000000}">
    <filterColumn colId="2">
      <filters>
        <filter val="10"/>
        <filter val="100"/>
        <filter val="114"/>
        <filter val="13"/>
        <filter val="135"/>
        <filter val="15"/>
        <filter val="17"/>
        <filter val="174"/>
        <filter val="198"/>
        <filter val="2"/>
        <filter val="2,190"/>
        <filter val="20"/>
        <filter val="22"/>
        <filter val="220"/>
        <filter val="230"/>
        <filter val="235"/>
        <filter val="24"/>
        <filter val="29"/>
        <filter val="3"/>
        <filter val="30"/>
        <filter val="300"/>
        <filter val="34"/>
        <filter val="35"/>
        <filter val="353"/>
        <filter val="390"/>
        <filter val="4"/>
        <filter val="40"/>
        <filter val="41"/>
        <filter val="42"/>
        <filter val="43"/>
        <filter val="485"/>
        <filter val="5"/>
        <filter val="50"/>
        <filter val="516"/>
        <filter val="530"/>
        <filter val="540"/>
        <filter val="55"/>
        <filter val="6"/>
        <filter val="640"/>
        <filter val="666"/>
        <filter val="70"/>
        <filter val="75"/>
        <filter val="77"/>
        <filter val="780"/>
        <filter val="8"/>
        <filter val="80"/>
        <filter val="888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E109"/>
  <sheetViews>
    <sheetView topLeftCell="A44" workbookViewId="0">
      <selection activeCell="G62" sqref="G62"/>
    </sheetView>
  </sheetViews>
  <sheetFormatPr defaultRowHeight="14.4" x14ac:dyDescent="0.3"/>
  <cols>
    <col min="1" max="1" width="32.21875" customWidth="1"/>
    <col min="4" max="4" width="11.77734375" customWidth="1"/>
    <col min="5" max="5" width="17.109375" customWidth="1"/>
  </cols>
  <sheetData>
    <row r="1" spans="1:5" x14ac:dyDescent="0.3">
      <c r="A1" t="s">
        <v>141</v>
      </c>
    </row>
    <row r="2" spans="1:5" ht="49.2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33</v>
      </c>
      <c r="D3" s="2">
        <v>16000</v>
      </c>
      <c r="E3" s="7">
        <f>C3*D3</f>
        <v>528000</v>
      </c>
    </row>
    <row r="4" spans="1:5" ht="15.6" hidden="1" x14ac:dyDescent="0.3">
      <c r="A4" s="8" t="s">
        <v>4</v>
      </c>
      <c r="B4" s="8" t="s">
        <v>3</v>
      </c>
      <c r="C4" s="2">
        <v>0</v>
      </c>
      <c r="D4" s="2"/>
      <c r="E4" s="7">
        <f t="shared" ref="E4:E67" si="0">C4*D4</f>
        <v>0</v>
      </c>
    </row>
    <row r="5" spans="1:5" ht="15.6" x14ac:dyDescent="0.3">
      <c r="A5" s="8" t="s">
        <v>5</v>
      </c>
      <c r="B5" s="8" t="s">
        <v>3</v>
      </c>
      <c r="C5" s="2">
        <v>600</v>
      </c>
      <c r="D5" s="2">
        <v>4000</v>
      </c>
      <c r="E5" s="7">
        <f t="shared" si="0"/>
        <v>2400000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x14ac:dyDescent="0.3">
      <c r="A7" s="8" t="s">
        <v>6</v>
      </c>
      <c r="B7" s="8" t="s">
        <v>3</v>
      </c>
      <c r="C7" s="2">
        <v>30</v>
      </c>
      <c r="D7" s="2">
        <v>8000</v>
      </c>
      <c r="E7" s="7">
        <f t="shared" si="0"/>
        <v>240000</v>
      </c>
    </row>
    <row r="8" spans="1:5" ht="15.6" x14ac:dyDescent="0.3">
      <c r="A8" s="8" t="s">
        <v>7</v>
      </c>
      <c r="B8" s="8" t="s">
        <v>3</v>
      </c>
      <c r="C8" s="2">
        <v>2780</v>
      </c>
      <c r="D8" s="2">
        <v>9000</v>
      </c>
      <c r="E8" s="7">
        <f t="shared" si="0"/>
        <v>25020000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75</v>
      </c>
      <c r="D10" s="2">
        <v>8000</v>
      </c>
      <c r="E10" s="7">
        <f t="shared" si="0"/>
        <v>600000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25</v>
      </c>
      <c r="D12" s="2">
        <v>12000</v>
      </c>
      <c r="E12" s="7">
        <f t="shared" si="0"/>
        <v>300000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140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hidden="1" x14ac:dyDescent="0.3">
      <c r="A15" s="8" t="s">
        <v>122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x14ac:dyDescent="0.3">
      <c r="A16" s="8" t="s">
        <v>12</v>
      </c>
      <c r="B16" s="8" t="s">
        <v>3</v>
      </c>
      <c r="C16" s="2">
        <v>1</v>
      </c>
      <c r="D16" s="2">
        <v>12000</v>
      </c>
      <c r="E16" s="7">
        <f t="shared" si="0"/>
        <v>12000</v>
      </c>
    </row>
    <row r="17" spans="1:5" ht="15.6" x14ac:dyDescent="0.3">
      <c r="A17" s="8" t="s">
        <v>14</v>
      </c>
      <c r="B17" s="8" t="s">
        <v>3</v>
      </c>
      <c r="C17" s="2">
        <v>55</v>
      </c>
      <c r="D17" s="2">
        <v>12000</v>
      </c>
      <c r="E17" s="7">
        <f t="shared" si="0"/>
        <v>660000</v>
      </c>
    </row>
    <row r="18" spans="1:5" ht="15.6" x14ac:dyDescent="0.3">
      <c r="A18" s="8" t="s">
        <v>15</v>
      </c>
      <c r="B18" s="8" t="s">
        <v>3</v>
      </c>
      <c r="C18" s="2">
        <v>43</v>
      </c>
      <c r="D18" s="2">
        <v>20000</v>
      </c>
      <c r="E18" s="7">
        <f t="shared" si="0"/>
        <v>860000</v>
      </c>
    </row>
    <row r="19" spans="1:5" ht="15.6" x14ac:dyDescent="0.3">
      <c r="A19" s="8" t="s">
        <v>16</v>
      </c>
      <c r="B19" s="8" t="s">
        <v>17</v>
      </c>
      <c r="C19" s="2">
        <v>8</v>
      </c>
      <c r="D19" s="2">
        <v>6000</v>
      </c>
      <c r="E19" s="7">
        <f t="shared" si="0"/>
        <v>48000</v>
      </c>
    </row>
    <row r="20" spans="1:5" ht="15.6" hidden="1" x14ac:dyDescent="0.3">
      <c r="A20" s="8" t="s">
        <v>20</v>
      </c>
      <c r="B20" s="8" t="s">
        <v>3</v>
      </c>
      <c r="C20" s="2">
        <v>0</v>
      </c>
      <c r="D20" s="2"/>
      <c r="E20" s="7">
        <f t="shared" si="0"/>
        <v>0</v>
      </c>
    </row>
    <row r="21" spans="1:5" ht="15.6" x14ac:dyDescent="0.3">
      <c r="A21" s="8" t="s">
        <v>22</v>
      </c>
      <c r="B21" s="8" t="s">
        <v>3</v>
      </c>
      <c r="C21" s="2">
        <v>250</v>
      </c>
      <c r="D21" s="2">
        <v>11000</v>
      </c>
      <c r="E21" s="7">
        <f t="shared" si="0"/>
        <v>2750000</v>
      </c>
    </row>
    <row r="22" spans="1:5" ht="15.6" hidden="1" x14ac:dyDescent="0.3">
      <c r="A22" s="8" t="s">
        <v>22</v>
      </c>
      <c r="B22" s="8" t="s">
        <v>23</v>
      </c>
      <c r="C22" s="2">
        <v>0</v>
      </c>
      <c r="D22" s="2"/>
      <c r="E22" s="7">
        <f t="shared" si="0"/>
        <v>0</v>
      </c>
    </row>
    <row r="23" spans="1:5" ht="15.6" x14ac:dyDescent="0.3">
      <c r="A23" s="8" t="s">
        <v>24</v>
      </c>
      <c r="B23" s="8" t="s">
        <v>3</v>
      </c>
      <c r="C23" s="2">
        <v>26</v>
      </c>
      <c r="D23" s="2">
        <v>13000</v>
      </c>
      <c r="E23" s="7">
        <f t="shared" si="0"/>
        <v>338000</v>
      </c>
    </row>
    <row r="24" spans="1:5" ht="15.6" hidden="1" x14ac:dyDescent="0.3">
      <c r="A24" s="8" t="s">
        <v>24</v>
      </c>
      <c r="B24" s="8" t="s">
        <v>25</v>
      </c>
      <c r="C24" s="2">
        <v>0</v>
      </c>
      <c r="D24" s="2"/>
      <c r="E24" s="7">
        <f t="shared" si="0"/>
        <v>0</v>
      </c>
    </row>
    <row r="25" spans="1:5" ht="15.6" hidden="1" x14ac:dyDescent="0.3">
      <c r="A25" s="8" t="s">
        <v>26</v>
      </c>
      <c r="B25" s="8" t="s">
        <v>3</v>
      </c>
      <c r="C25" s="2">
        <v>0</v>
      </c>
      <c r="D25" s="2"/>
      <c r="E25" s="7">
        <f t="shared" si="0"/>
        <v>0</v>
      </c>
    </row>
    <row r="26" spans="1:5" ht="15.6" hidden="1" x14ac:dyDescent="0.3">
      <c r="A26" s="8" t="s">
        <v>26</v>
      </c>
      <c r="B26" s="8" t="s">
        <v>27</v>
      </c>
      <c r="C26" s="2">
        <v>0</v>
      </c>
      <c r="D26" s="2"/>
      <c r="E26" s="7">
        <f t="shared" si="0"/>
        <v>0</v>
      </c>
    </row>
    <row r="27" spans="1:5" ht="15.6" x14ac:dyDescent="0.3">
      <c r="A27" s="8" t="s">
        <v>28</v>
      </c>
      <c r="B27" s="8" t="s">
        <v>29</v>
      </c>
      <c r="C27" s="2">
        <v>8</v>
      </c>
      <c r="D27" s="2">
        <v>12000</v>
      </c>
      <c r="E27" s="7">
        <f t="shared" si="0"/>
        <v>96000</v>
      </c>
    </row>
    <row r="28" spans="1:5" ht="15.6" hidden="1" x14ac:dyDescent="0.3">
      <c r="A28" s="8" t="s">
        <v>30</v>
      </c>
      <c r="B28" s="8" t="s">
        <v>3</v>
      </c>
      <c r="C28" s="2">
        <v>0</v>
      </c>
      <c r="D28" s="2"/>
      <c r="E28" s="7">
        <f t="shared" si="0"/>
        <v>0</v>
      </c>
    </row>
    <row r="29" spans="1:5" ht="15.6" x14ac:dyDescent="0.3">
      <c r="A29" s="8" t="s">
        <v>30</v>
      </c>
      <c r="B29" s="8" t="s">
        <v>27</v>
      </c>
      <c r="C29" s="2">
        <v>75</v>
      </c>
      <c r="D29" s="2">
        <v>10000</v>
      </c>
      <c r="E29" s="7">
        <f t="shared" si="0"/>
        <v>750000</v>
      </c>
    </row>
    <row r="30" spans="1:5" ht="15.6" x14ac:dyDescent="0.3">
      <c r="A30" s="8" t="s">
        <v>30</v>
      </c>
      <c r="B30" s="8" t="s">
        <v>31</v>
      </c>
      <c r="C30" s="2">
        <v>175</v>
      </c>
      <c r="D30" s="2">
        <v>7500</v>
      </c>
      <c r="E30" s="7">
        <f t="shared" si="0"/>
        <v>1312500</v>
      </c>
    </row>
    <row r="31" spans="1:5" ht="15.6" x14ac:dyDescent="0.3">
      <c r="A31" s="8" t="s">
        <v>32</v>
      </c>
      <c r="B31" s="8" t="s">
        <v>3</v>
      </c>
      <c r="C31" s="2">
        <v>240</v>
      </c>
      <c r="D31" s="2">
        <v>11000</v>
      </c>
      <c r="E31" s="7">
        <f t="shared" si="0"/>
        <v>2640000</v>
      </c>
    </row>
    <row r="32" spans="1:5" ht="15.6" hidden="1" x14ac:dyDescent="0.3">
      <c r="A32" s="8" t="s">
        <v>32</v>
      </c>
      <c r="B32" s="8" t="s">
        <v>17</v>
      </c>
      <c r="C32" s="2">
        <v>0</v>
      </c>
      <c r="D32" s="2"/>
      <c r="E32" s="7">
        <f t="shared" si="0"/>
        <v>0</v>
      </c>
    </row>
    <row r="33" spans="1:5" ht="15.6" hidden="1" x14ac:dyDescent="0.3">
      <c r="A33" s="8" t="s">
        <v>33</v>
      </c>
      <c r="B33" s="8" t="s">
        <v>34</v>
      </c>
      <c r="C33" s="2">
        <v>0</v>
      </c>
      <c r="D33" s="2"/>
      <c r="E33" s="7">
        <f t="shared" si="0"/>
        <v>0</v>
      </c>
    </row>
    <row r="34" spans="1:5" ht="15.6" hidden="1" x14ac:dyDescent="0.3">
      <c r="A34" s="8" t="s">
        <v>35</v>
      </c>
      <c r="B34" s="8" t="s">
        <v>3</v>
      </c>
      <c r="C34" s="2">
        <v>0</v>
      </c>
      <c r="D34" s="2"/>
      <c r="E34" s="7">
        <f t="shared" si="0"/>
        <v>0</v>
      </c>
    </row>
    <row r="35" spans="1:5" ht="15.6" hidden="1" x14ac:dyDescent="0.3">
      <c r="A35" s="8" t="s">
        <v>35</v>
      </c>
      <c r="B35" s="8" t="s">
        <v>34</v>
      </c>
      <c r="C35" s="2">
        <v>0</v>
      </c>
      <c r="D35" s="2"/>
      <c r="E35" s="7">
        <f t="shared" si="0"/>
        <v>0</v>
      </c>
    </row>
    <row r="36" spans="1:5" ht="15.6" x14ac:dyDescent="0.3">
      <c r="A36" s="8" t="s">
        <v>37</v>
      </c>
      <c r="B36" s="8" t="s">
        <v>3</v>
      </c>
      <c r="C36" s="2">
        <v>48</v>
      </c>
      <c r="D36" s="2">
        <v>8000</v>
      </c>
      <c r="E36" s="7">
        <f t="shared" si="0"/>
        <v>384000</v>
      </c>
    </row>
    <row r="37" spans="1:5" ht="15.6" hidden="1" x14ac:dyDescent="0.3">
      <c r="A37" s="8" t="s">
        <v>37</v>
      </c>
      <c r="B37" s="8" t="s">
        <v>38</v>
      </c>
      <c r="C37" s="2">
        <v>0</v>
      </c>
      <c r="D37" s="2"/>
      <c r="E37" s="7">
        <f t="shared" si="0"/>
        <v>0</v>
      </c>
    </row>
    <row r="38" spans="1:5" ht="15.6" hidden="1" x14ac:dyDescent="0.3">
      <c r="A38" s="8" t="s">
        <v>39</v>
      </c>
      <c r="B38" s="8" t="s">
        <v>3</v>
      </c>
      <c r="C38" s="2">
        <v>0</v>
      </c>
      <c r="D38" s="2"/>
      <c r="E38" s="7">
        <f t="shared" si="0"/>
        <v>0</v>
      </c>
    </row>
    <row r="39" spans="1:5" ht="15.6" hidden="1" x14ac:dyDescent="0.3">
      <c r="A39" s="8" t="s">
        <v>39</v>
      </c>
      <c r="B39" s="8" t="s">
        <v>34</v>
      </c>
      <c r="C39" s="2">
        <v>0</v>
      </c>
      <c r="D39" s="2"/>
      <c r="E39" s="7">
        <f t="shared" si="0"/>
        <v>0</v>
      </c>
    </row>
    <row r="40" spans="1:5" ht="15.6" x14ac:dyDescent="0.3">
      <c r="A40" s="8" t="s">
        <v>40</v>
      </c>
      <c r="B40" s="8" t="s">
        <v>34</v>
      </c>
      <c r="C40" s="2">
        <v>7</v>
      </c>
      <c r="D40" s="2">
        <v>3000</v>
      </c>
      <c r="E40" s="7">
        <f t="shared" si="0"/>
        <v>21000</v>
      </c>
    </row>
    <row r="41" spans="1:5" ht="15.6" x14ac:dyDescent="0.3">
      <c r="A41" s="8" t="s">
        <v>41</v>
      </c>
      <c r="B41" s="8" t="s">
        <v>34</v>
      </c>
      <c r="C41" s="2">
        <v>9</v>
      </c>
      <c r="D41" s="2">
        <v>3000</v>
      </c>
      <c r="E41" s="7">
        <f t="shared" si="0"/>
        <v>27000</v>
      </c>
    </row>
    <row r="42" spans="1:5" ht="15.6" x14ac:dyDescent="0.3">
      <c r="A42" s="8" t="s">
        <v>42</v>
      </c>
      <c r="B42" s="8" t="s">
        <v>3</v>
      </c>
      <c r="C42" s="2">
        <v>201</v>
      </c>
      <c r="D42" s="2">
        <v>3000</v>
      </c>
      <c r="E42" s="7">
        <f t="shared" si="0"/>
        <v>603000</v>
      </c>
    </row>
    <row r="43" spans="1:5" ht="15.6" hidden="1" x14ac:dyDescent="0.3">
      <c r="A43" s="8" t="s">
        <v>43</v>
      </c>
      <c r="B43" s="8" t="s">
        <v>3</v>
      </c>
      <c r="C43" s="2">
        <v>0</v>
      </c>
      <c r="D43" s="2"/>
      <c r="E43" s="7">
        <f t="shared" si="0"/>
        <v>0</v>
      </c>
    </row>
    <row r="44" spans="1:5" ht="15.6" x14ac:dyDescent="0.3">
      <c r="A44" s="8" t="s">
        <v>44</v>
      </c>
      <c r="B44" s="8" t="s">
        <v>3</v>
      </c>
      <c r="C44" s="2">
        <v>280</v>
      </c>
      <c r="D44" s="2">
        <v>3000</v>
      </c>
      <c r="E44" s="7">
        <f t="shared" si="0"/>
        <v>840000</v>
      </c>
    </row>
    <row r="45" spans="1:5" ht="15.6" hidden="1" x14ac:dyDescent="0.3">
      <c r="A45" s="8" t="s">
        <v>45</v>
      </c>
      <c r="B45" s="8" t="s">
        <v>3</v>
      </c>
      <c r="C45" s="2">
        <v>0</v>
      </c>
      <c r="D45" s="2"/>
      <c r="E45" s="7">
        <f t="shared" si="0"/>
        <v>0</v>
      </c>
    </row>
    <row r="46" spans="1:5" ht="15.6" hidden="1" x14ac:dyDescent="0.3">
      <c r="A46" s="8" t="s">
        <v>45</v>
      </c>
      <c r="B46" s="8" t="s">
        <v>19</v>
      </c>
      <c r="C46" s="2">
        <v>0</v>
      </c>
      <c r="D46" s="2"/>
      <c r="E46" s="7">
        <f t="shared" si="0"/>
        <v>0</v>
      </c>
    </row>
    <row r="47" spans="1:5" ht="15.6" x14ac:dyDescent="0.3">
      <c r="A47" s="8" t="s">
        <v>62</v>
      </c>
      <c r="B47" s="8" t="s">
        <v>3</v>
      </c>
      <c r="C47" s="2">
        <v>20</v>
      </c>
      <c r="D47" s="2">
        <v>28000</v>
      </c>
      <c r="E47" s="7">
        <f t="shared" si="0"/>
        <v>560000</v>
      </c>
    </row>
    <row r="48" spans="1:5" ht="15.6" x14ac:dyDescent="0.3">
      <c r="A48" s="8" t="s">
        <v>63</v>
      </c>
      <c r="B48" s="8" t="s">
        <v>3</v>
      </c>
      <c r="C48" s="2">
        <v>20</v>
      </c>
      <c r="D48" s="2">
        <v>14000</v>
      </c>
      <c r="E48" s="7">
        <f t="shared" si="0"/>
        <v>280000</v>
      </c>
    </row>
    <row r="49" spans="1:5" ht="15.6" hidden="1" x14ac:dyDescent="0.3">
      <c r="A49" s="8" t="s">
        <v>46</v>
      </c>
      <c r="B49" s="8" t="s">
        <v>29</v>
      </c>
      <c r="C49" s="2">
        <v>0</v>
      </c>
      <c r="D49" s="2"/>
      <c r="E49" s="7">
        <f t="shared" si="0"/>
        <v>0</v>
      </c>
    </row>
    <row r="50" spans="1:5" ht="15.6" hidden="1" x14ac:dyDescent="0.3">
      <c r="A50" s="8" t="s">
        <v>47</v>
      </c>
      <c r="B50" s="8" t="s">
        <v>3</v>
      </c>
      <c r="C50" s="2">
        <v>0</v>
      </c>
      <c r="D50" s="2"/>
      <c r="E50" s="7">
        <f t="shared" si="0"/>
        <v>0</v>
      </c>
    </row>
    <row r="51" spans="1:5" ht="15.6" x14ac:dyDescent="0.3">
      <c r="A51" s="8" t="s">
        <v>48</v>
      </c>
      <c r="B51" s="8" t="s">
        <v>3</v>
      </c>
      <c r="C51" s="2">
        <v>65</v>
      </c>
      <c r="D51" s="2">
        <v>8000</v>
      </c>
      <c r="E51" s="7">
        <f t="shared" si="0"/>
        <v>520000</v>
      </c>
    </row>
    <row r="52" spans="1:5" ht="15.6" hidden="1" x14ac:dyDescent="0.3">
      <c r="A52" s="8" t="s">
        <v>48</v>
      </c>
      <c r="B52" s="8" t="s">
        <v>34</v>
      </c>
      <c r="C52" s="2">
        <v>0</v>
      </c>
      <c r="D52" s="2"/>
      <c r="E52" s="7">
        <f t="shared" si="0"/>
        <v>0</v>
      </c>
    </row>
    <row r="53" spans="1:5" ht="15.6" x14ac:dyDescent="0.3">
      <c r="A53" s="8" t="s">
        <v>49</v>
      </c>
      <c r="B53" s="8" t="s">
        <v>3</v>
      </c>
      <c r="C53" s="2">
        <v>10</v>
      </c>
      <c r="D53" s="2">
        <v>19000</v>
      </c>
      <c r="E53" s="7">
        <f t="shared" si="0"/>
        <v>190000</v>
      </c>
    </row>
    <row r="54" spans="1:5" ht="15.6" x14ac:dyDescent="0.3">
      <c r="A54" s="8" t="s">
        <v>50</v>
      </c>
      <c r="B54" s="8" t="s">
        <v>3</v>
      </c>
      <c r="C54" s="2">
        <v>270</v>
      </c>
      <c r="D54" s="2">
        <v>5500</v>
      </c>
      <c r="E54" s="7">
        <f t="shared" si="0"/>
        <v>1485000</v>
      </c>
    </row>
    <row r="55" spans="1:5" ht="15.6" hidden="1" x14ac:dyDescent="0.3">
      <c r="A55" s="8" t="s">
        <v>50</v>
      </c>
      <c r="B55" s="8" t="s">
        <v>51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104</v>
      </c>
      <c r="B56" s="8" t="s">
        <v>3</v>
      </c>
      <c r="C56" s="2">
        <v>60</v>
      </c>
      <c r="D56" s="2">
        <v>20000</v>
      </c>
      <c r="E56" s="7">
        <f t="shared" si="0"/>
        <v>1200000</v>
      </c>
    </row>
    <row r="57" spans="1:5" ht="15.6" x14ac:dyDescent="0.3">
      <c r="A57" s="8" t="s">
        <v>52</v>
      </c>
      <c r="B57" s="8" t="s">
        <v>34</v>
      </c>
      <c r="C57" s="2">
        <v>466</v>
      </c>
      <c r="D57" s="2">
        <v>1350</v>
      </c>
      <c r="E57" s="7">
        <f t="shared" si="0"/>
        <v>629100</v>
      </c>
    </row>
    <row r="58" spans="1:5" ht="15.6" x14ac:dyDescent="0.3">
      <c r="A58" s="8" t="s">
        <v>53</v>
      </c>
      <c r="B58" s="8" t="s">
        <v>3</v>
      </c>
      <c r="C58" s="2">
        <v>1760</v>
      </c>
      <c r="D58" s="2">
        <v>21500</v>
      </c>
      <c r="E58" s="7">
        <f t="shared" si="0"/>
        <v>37840000</v>
      </c>
    </row>
    <row r="59" spans="1:5" ht="15.6" x14ac:dyDescent="0.3">
      <c r="A59" s="8" t="s">
        <v>54</v>
      </c>
      <c r="B59" s="8" t="s">
        <v>3</v>
      </c>
      <c r="C59" s="2">
        <v>340</v>
      </c>
      <c r="D59" s="2">
        <v>21500</v>
      </c>
      <c r="E59" s="7">
        <f t="shared" si="0"/>
        <v>7310000</v>
      </c>
    </row>
    <row r="60" spans="1:5" ht="15.6" hidden="1" x14ac:dyDescent="0.3">
      <c r="A60" s="8" t="s">
        <v>54</v>
      </c>
      <c r="B60" s="8" t="s">
        <v>34</v>
      </c>
      <c r="C60" s="2">
        <v>0</v>
      </c>
      <c r="D60" s="2"/>
      <c r="E60" s="7">
        <f t="shared" si="0"/>
        <v>0</v>
      </c>
    </row>
    <row r="61" spans="1:5" ht="15.6" hidden="1" x14ac:dyDescent="0.3">
      <c r="A61" s="8" t="s">
        <v>55</v>
      </c>
      <c r="B61" s="8" t="s">
        <v>3</v>
      </c>
      <c r="C61" s="2">
        <v>0</v>
      </c>
      <c r="D61" s="2"/>
      <c r="E61" s="7">
        <f t="shared" si="0"/>
        <v>0</v>
      </c>
    </row>
    <row r="62" spans="1:5" ht="15.6" x14ac:dyDescent="0.3">
      <c r="A62" s="8" t="s">
        <v>56</v>
      </c>
      <c r="B62" s="8" t="s">
        <v>3</v>
      </c>
      <c r="C62" s="2">
        <v>32</v>
      </c>
      <c r="D62" s="2">
        <v>25000</v>
      </c>
      <c r="E62" s="7">
        <f t="shared" si="0"/>
        <v>800000</v>
      </c>
    </row>
    <row r="63" spans="1:5" ht="15.6" hidden="1" x14ac:dyDescent="0.3">
      <c r="A63" s="8" t="s">
        <v>58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8" t="s">
        <v>59</v>
      </c>
      <c r="B64" s="8" t="s">
        <v>3</v>
      </c>
      <c r="C64" s="2">
        <v>250</v>
      </c>
      <c r="D64" s="2">
        <v>14000</v>
      </c>
      <c r="E64" s="7">
        <f t="shared" si="0"/>
        <v>3500000</v>
      </c>
    </row>
    <row r="65" spans="1:5" ht="15.6" hidden="1" x14ac:dyDescent="0.3">
      <c r="A65" s="8" t="s">
        <v>59</v>
      </c>
      <c r="B65" s="8" t="s">
        <v>34</v>
      </c>
      <c r="C65" s="2">
        <v>0</v>
      </c>
      <c r="D65" s="2"/>
      <c r="E65" s="7">
        <f t="shared" si="0"/>
        <v>0</v>
      </c>
    </row>
    <row r="66" spans="1:5" ht="15.6" x14ac:dyDescent="0.3">
      <c r="A66" s="8" t="s">
        <v>60</v>
      </c>
      <c r="B66" s="8" t="s">
        <v>34</v>
      </c>
      <c r="C66" s="2">
        <v>280</v>
      </c>
      <c r="D66" s="2">
        <v>5000</v>
      </c>
      <c r="E66" s="7">
        <f t="shared" si="0"/>
        <v>1400000</v>
      </c>
    </row>
    <row r="67" spans="1:5" ht="15.6" hidden="1" x14ac:dyDescent="0.3">
      <c r="A67" s="8" t="s">
        <v>61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x14ac:dyDescent="0.3">
      <c r="A68" s="8" t="s">
        <v>67</v>
      </c>
      <c r="B68" s="8" t="s">
        <v>34</v>
      </c>
      <c r="C68" s="2">
        <v>17</v>
      </c>
      <c r="D68" s="2">
        <v>6000</v>
      </c>
      <c r="E68" s="7">
        <f t="shared" ref="E68:E108" si="1">C68*D68</f>
        <v>102000</v>
      </c>
    </row>
    <row r="69" spans="1:5" ht="15.6" hidden="1" x14ac:dyDescent="0.3">
      <c r="A69" s="8" t="s">
        <v>68</v>
      </c>
      <c r="B69" s="8" t="s">
        <v>3</v>
      </c>
      <c r="C69" s="2">
        <v>0</v>
      </c>
      <c r="D69" s="2"/>
      <c r="E69" s="7">
        <f t="shared" si="1"/>
        <v>0</v>
      </c>
    </row>
    <row r="70" spans="1:5" ht="15.6" x14ac:dyDescent="0.3">
      <c r="A70" s="8" t="s">
        <v>68</v>
      </c>
      <c r="B70" s="8" t="s">
        <v>34</v>
      </c>
      <c r="C70" s="2">
        <v>42</v>
      </c>
      <c r="D70" s="2">
        <v>6500</v>
      </c>
      <c r="E70" s="7">
        <f t="shared" si="1"/>
        <v>273000</v>
      </c>
    </row>
    <row r="71" spans="1:5" ht="15.6" hidden="1" x14ac:dyDescent="0.3">
      <c r="A71" s="8" t="s">
        <v>117</v>
      </c>
      <c r="B71" s="8" t="s">
        <v>34</v>
      </c>
      <c r="C71" s="2">
        <v>0</v>
      </c>
      <c r="D71" s="2"/>
      <c r="E71" s="7">
        <f t="shared" si="1"/>
        <v>0</v>
      </c>
    </row>
    <row r="72" spans="1:5" ht="15.6" x14ac:dyDescent="0.3">
      <c r="A72" s="8" t="s">
        <v>64</v>
      </c>
      <c r="B72" s="8" t="s">
        <v>3</v>
      </c>
      <c r="C72" s="2">
        <v>25</v>
      </c>
      <c r="D72" s="2">
        <v>20000</v>
      </c>
      <c r="E72" s="7">
        <f t="shared" si="1"/>
        <v>500000</v>
      </c>
    </row>
    <row r="73" spans="1:5" ht="15.6" x14ac:dyDescent="0.3">
      <c r="A73" s="8" t="s">
        <v>64</v>
      </c>
      <c r="B73" s="8" t="s">
        <v>17</v>
      </c>
      <c r="C73" s="2">
        <v>843</v>
      </c>
      <c r="D73" s="2">
        <v>8500</v>
      </c>
      <c r="E73" s="7">
        <f t="shared" si="1"/>
        <v>7165500</v>
      </c>
    </row>
    <row r="74" spans="1:5" ht="15.6" hidden="1" x14ac:dyDescent="0.3">
      <c r="A74" s="8" t="s">
        <v>65</v>
      </c>
      <c r="B74" s="8" t="s">
        <v>3</v>
      </c>
      <c r="C74" s="2">
        <v>0</v>
      </c>
      <c r="D74" s="2"/>
      <c r="E74" s="7">
        <f t="shared" si="1"/>
        <v>0</v>
      </c>
    </row>
    <row r="75" spans="1:5" ht="15.6" x14ac:dyDescent="0.3">
      <c r="A75" s="8" t="s">
        <v>66</v>
      </c>
      <c r="B75" s="8" t="s">
        <v>3</v>
      </c>
      <c r="C75" s="2">
        <v>13</v>
      </c>
      <c r="D75" s="2">
        <v>12000</v>
      </c>
      <c r="E75" s="7">
        <f t="shared" si="1"/>
        <v>156000</v>
      </c>
    </row>
    <row r="76" spans="1:5" ht="15.6" x14ac:dyDescent="0.3">
      <c r="A76" s="8" t="s">
        <v>72</v>
      </c>
      <c r="B76" s="8" t="s">
        <v>3</v>
      </c>
      <c r="C76" s="2">
        <v>5</v>
      </c>
      <c r="D76" s="2">
        <v>10000</v>
      </c>
      <c r="E76" s="7">
        <f t="shared" si="1"/>
        <v>50000</v>
      </c>
    </row>
    <row r="77" spans="1:5" ht="15.6" hidden="1" x14ac:dyDescent="0.3">
      <c r="A77" s="8" t="s">
        <v>72</v>
      </c>
      <c r="B77" s="8" t="s">
        <v>19</v>
      </c>
      <c r="C77" s="2">
        <v>0</v>
      </c>
      <c r="D77" s="2"/>
      <c r="E77" s="7">
        <f t="shared" si="1"/>
        <v>0</v>
      </c>
    </row>
    <row r="78" spans="1:5" ht="15.6" hidden="1" x14ac:dyDescent="0.3">
      <c r="A78" s="8" t="s">
        <v>74</v>
      </c>
      <c r="B78" s="8" t="s">
        <v>34</v>
      </c>
      <c r="C78" s="2">
        <v>0</v>
      </c>
      <c r="D78" s="2"/>
      <c r="E78" s="7">
        <f t="shared" si="1"/>
        <v>0</v>
      </c>
    </row>
    <row r="79" spans="1:5" ht="15.6" hidden="1" x14ac:dyDescent="0.3">
      <c r="A79" s="8" t="s">
        <v>75</v>
      </c>
      <c r="B79" s="8" t="s">
        <v>3</v>
      </c>
      <c r="C79" s="2">
        <v>0</v>
      </c>
      <c r="D79" s="2"/>
      <c r="E79" s="7">
        <f t="shared" si="1"/>
        <v>0</v>
      </c>
    </row>
    <row r="80" spans="1:5" ht="15.6" x14ac:dyDescent="0.3">
      <c r="A80" s="8" t="s">
        <v>76</v>
      </c>
      <c r="B80" s="8" t="s">
        <v>3</v>
      </c>
      <c r="C80" s="2">
        <v>400</v>
      </c>
      <c r="D80" s="2">
        <v>62000</v>
      </c>
      <c r="E80" s="7">
        <f t="shared" si="1"/>
        <v>24800000</v>
      </c>
    </row>
    <row r="81" spans="1:5" ht="15.6" hidden="1" x14ac:dyDescent="0.3">
      <c r="A81" s="8" t="s">
        <v>76</v>
      </c>
      <c r="B81" s="8" t="s">
        <v>78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76</v>
      </c>
      <c r="B82" s="8" t="s">
        <v>77</v>
      </c>
      <c r="C82" s="2">
        <v>0</v>
      </c>
      <c r="D82" s="2"/>
      <c r="E82" s="7">
        <f t="shared" si="1"/>
        <v>0</v>
      </c>
    </row>
    <row r="83" spans="1:5" ht="15.6" hidden="1" x14ac:dyDescent="0.3">
      <c r="A83" s="8" t="s">
        <v>137</v>
      </c>
      <c r="B83" s="8" t="s">
        <v>3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79</v>
      </c>
      <c r="B84" s="8" t="s">
        <v>17</v>
      </c>
      <c r="C84" s="2">
        <v>0</v>
      </c>
      <c r="D84" s="2"/>
      <c r="E84" s="7">
        <f t="shared" si="1"/>
        <v>0</v>
      </c>
    </row>
    <row r="85" spans="1:5" ht="15.6" hidden="1" x14ac:dyDescent="0.3">
      <c r="A85" s="8" t="s">
        <v>80</v>
      </c>
      <c r="B85" s="8" t="s">
        <v>29</v>
      </c>
      <c r="C85" s="2">
        <v>0</v>
      </c>
      <c r="D85" s="2"/>
      <c r="E85" s="7">
        <f t="shared" si="1"/>
        <v>0</v>
      </c>
    </row>
    <row r="86" spans="1:5" ht="15.6" x14ac:dyDescent="0.3">
      <c r="A86" s="8" t="s">
        <v>80</v>
      </c>
      <c r="B86" s="8" t="s">
        <v>3</v>
      </c>
      <c r="C86" s="2">
        <v>6</v>
      </c>
      <c r="D86" s="2">
        <v>35000</v>
      </c>
      <c r="E86" s="7">
        <f t="shared" si="1"/>
        <v>210000</v>
      </c>
    </row>
    <row r="87" spans="1:5" ht="15.6" x14ac:dyDescent="0.3">
      <c r="A87" s="8" t="s">
        <v>81</v>
      </c>
      <c r="B87" s="8" t="s">
        <v>3</v>
      </c>
      <c r="C87" s="2">
        <v>120</v>
      </c>
      <c r="D87" s="2">
        <v>26000</v>
      </c>
      <c r="E87" s="7">
        <f t="shared" si="1"/>
        <v>3120000</v>
      </c>
    </row>
    <row r="88" spans="1:5" ht="15.6" hidden="1" x14ac:dyDescent="0.3">
      <c r="A88" s="8" t="s">
        <v>81</v>
      </c>
      <c r="B88" s="8" t="s">
        <v>9</v>
      </c>
      <c r="C88" s="2">
        <v>0</v>
      </c>
      <c r="D88" s="2"/>
      <c r="E88" s="7">
        <f t="shared" si="1"/>
        <v>0</v>
      </c>
    </row>
    <row r="89" spans="1:5" ht="15.6" x14ac:dyDescent="0.3">
      <c r="A89" s="8" t="s">
        <v>108</v>
      </c>
      <c r="B89" s="8" t="s">
        <v>3</v>
      </c>
      <c r="C89" s="2">
        <v>10</v>
      </c>
      <c r="D89" s="2">
        <v>22000</v>
      </c>
      <c r="E89" s="7">
        <f t="shared" si="1"/>
        <v>220000</v>
      </c>
    </row>
    <row r="90" spans="1:5" ht="15.6" x14ac:dyDescent="0.3">
      <c r="A90" s="8" t="s">
        <v>82</v>
      </c>
      <c r="B90" s="8" t="s">
        <v>3</v>
      </c>
      <c r="C90" s="2">
        <v>70</v>
      </c>
      <c r="D90" s="2">
        <v>24000</v>
      </c>
      <c r="E90" s="7">
        <f t="shared" si="1"/>
        <v>1680000</v>
      </c>
    </row>
    <row r="91" spans="1:5" ht="15.6" hidden="1" x14ac:dyDescent="0.3">
      <c r="A91" s="8" t="s">
        <v>82</v>
      </c>
      <c r="B91" s="8" t="s">
        <v>9</v>
      </c>
      <c r="C91" s="2">
        <v>0</v>
      </c>
      <c r="D91" s="2"/>
      <c r="E91" s="7">
        <f t="shared" si="1"/>
        <v>0</v>
      </c>
    </row>
    <row r="92" spans="1:5" ht="15.6" x14ac:dyDescent="0.3">
      <c r="A92" s="8" t="s">
        <v>109</v>
      </c>
      <c r="B92" s="8" t="s">
        <v>3</v>
      </c>
      <c r="C92" s="2">
        <v>15</v>
      </c>
      <c r="D92" s="2">
        <v>20000</v>
      </c>
      <c r="E92" s="7">
        <f t="shared" si="1"/>
        <v>300000</v>
      </c>
    </row>
    <row r="93" spans="1:5" ht="15.6" x14ac:dyDescent="0.3">
      <c r="A93" s="8" t="s">
        <v>83</v>
      </c>
      <c r="B93" s="8" t="s">
        <v>3</v>
      </c>
      <c r="C93" s="2">
        <v>118</v>
      </c>
      <c r="D93" s="2">
        <v>30000</v>
      </c>
      <c r="E93" s="7">
        <f t="shared" si="1"/>
        <v>3540000</v>
      </c>
    </row>
    <row r="94" spans="1:5" ht="15.6" hidden="1" x14ac:dyDescent="0.3">
      <c r="A94" s="8" t="s">
        <v>83</v>
      </c>
      <c r="B94" s="8" t="s">
        <v>9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110</v>
      </c>
      <c r="B95" s="8" t="s">
        <v>3</v>
      </c>
      <c r="C95" s="2">
        <v>15</v>
      </c>
      <c r="D95" s="2">
        <v>25000</v>
      </c>
      <c r="E95" s="7">
        <f t="shared" si="1"/>
        <v>375000</v>
      </c>
    </row>
    <row r="96" spans="1:5" ht="15.6" hidden="1" x14ac:dyDescent="0.3">
      <c r="A96" s="8" t="s">
        <v>84</v>
      </c>
      <c r="B96" s="8" t="s">
        <v>34</v>
      </c>
      <c r="C96" s="2">
        <v>0</v>
      </c>
      <c r="D96" s="2"/>
      <c r="E96" s="7">
        <f t="shared" si="1"/>
        <v>0</v>
      </c>
    </row>
    <row r="97" spans="1:5" ht="15.6" hidden="1" x14ac:dyDescent="0.3">
      <c r="A97" s="8" t="s">
        <v>85</v>
      </c>
      <c r="B97" s="8" t="s">
        <v>34</v>
      </c>
      <c r="C97" s="2">
        <v>0</v>
      </c>
      <c r="D97" s="2"/>
      <c r="E97" s="7">
        <f t="shared" si="1"/>
        <v>0</v>
      </c>
    </row>
    <row r="98" spans="1:5" ht="15.6" hidden="1" x14ac:dyDescent="0.3">
      <c r="A98" s="8" t="s">
        <v>86</v>
      </c>
      <c r="B98" s="8" t="s">
        <v>9</v>
      </c>
      <c r="C98" s="2">
        <v>0</v>
      </c>
      <c r="D98" s="2"/>
      <c r="E98" s="7">
        <f t="shared" si="1"/>
        <v>0</v>
      </c>
    </row>
    <row r="99" spans="1:5" ht="15.6" x14ac:dyDescent="0.3">
      <c r="A99" s="8" t="s">
        <v>87</v>
      </c>
      <c r="B99" s="8" t="s">
        <v>9</v>
      </c>
      <c r="C99" s="2">
        <v>353</v>
      </c>
      <c r="D99" s="2">
        <v>11361</v>
      </c>
      <c r="E99" s="7">
        <f t="shared" si="1"/>
        <v>4010433</v>
      </c>
    </row>
    <row r="100" spans="1:5" ht="15.6" x14ac:dyDescent="0.3">
      <c r="A100" s="8" t="s">
        <v>89</v>
      </c>
      <c r="B100" s="8" t="s">
        <v>3</v>
      </c>
      <c r="C100" s="2">
        <v>11</v>
      </c>
      <c r="D100" s="2">
        <v>18000</v>
      </c>
      <c r="E100" s="7">
        <f t="shared" si="1"/>
        <v>198000</v>
      </c>
    </row>
    <row r="101" spans="1:5" ht="15.6" x14ac:dyDescent="0.3">
      <c r="A101" s="8" t="s">
        <v>90</v>
      </c>
      <c r="B101" s="8" t="s">
        <v>3</v>
      </c>
      <c r="C101" s="2">
        <v>15</v>
      </c>
      <c r="D101" s="2">
        <v>8000</v>
      </c>
      <c r="E101" s="7">
        <f t="shared" si="1"/>
        <v>120000</v>
      </c>
    </row>
    <row r="102" spans="1:5" ht="15.6" x14ac:dyDescent="0.3">
      <c r="A102" s="8" t="s">
        <v>91</v>
      </c>
      <c r="B102" s="8" t="s">
        <v>3</v>
      </c>
      <c r="C102" s="2">
        <v>18</v>
      </c>
      <c r="D102" s="2">
        <v>22000</v>
      </c>
      <c r="E102" s="7">
        <f t="shared" si="1"/>
        <v>396000</v>
      </c>
    </row>
    <row r="103" spans="1:5" ht="15.6" hidden="1" x14ac:dyDescent="0.3">
      <c r="A103" s="8" t="s">
        <v>92</v>
      </c>
      <c r="B103" s="8" t="s">
        <v>3</v>
      </c>
      <c r="C103" s="2">
        <v>0</v>
      </c>
      <c r="D103" s="2"/>
      <c r="E103" s="7">
        <f t="shared" si="1"/>
        <v>0</v>
      </c>
    </row>
    <row r="104" spans="1:5" ht="15.6" hidden="1" x14ac:dyDescent="0.3">
      <c r="A104" s="8" t="s">
        <v>93</v>
      </c>
      <c r="B104" s="8" t="s">
        <v>19</v>
      </c>
      <c r="C104" s="2">
        <v>0</v>
      </c>
      <c r="D104" s="2"/>
      <c r="E104" s="7">
        <f t="shared" si="1"/>
        <v>0</v>
      </c>
    </row>
    <row r="105" spans="1:5" ht="15.6" hidden="1" x14ac:dyDescent="0.3">
      <c r="A105" s="8" t="s">
        <v>94</v>
      </c>
      <c r="B105" s="8" t="s">
        <v>3</v>
      </c>
      <c r="C105" s="2">
        <v>0</v>
      </c>
      <c r="D105" s="2"/>
      <c r="E105" s="7">
        <f t="shared" si="1"/>
        <v>0</v>
      </c>
    </row>
    <row r="106" spans="1:5" ht="15.6" hidden="1" x14ac:dyDescent="0.3">
      <c r="A106" s="8" t="s">
        <v>95</v>
      </c>
      <c r="B106" s="8" t="s">
        <v>19</v>
      </c>
      <c r="C106" s="2">
        <v>0</v>
      </c>
      <c r="D106" s="2"/>
      <c r="E106" s="7">
        <f t="shared" si="1"/>
        <v>0</v>
      </c>
    </row>
    <row r="107" spans="1:5" ht="15.6" x14ac:dyDescent="0.3">
      <c r="A107" s="8" t="s">
        <v>97</v>
      </c>
      <c r="B107" s="8" t="s">
        <v>3</v>
      </c>
      <c r="C107" s="2">
        <v>7</v>
      </c>
      <c r="D107" s="2">
        <v>25000</v>
      </c>
      <c r="E107" s="7">
        <f t="shared" si="1"/>
        <v>175000</v>
      </c>
    </row>
    <row r="108" spans="1:5" ht="15.6" hidden="1" x14ac:dyDescent="0.3">
      <c r="A108" s="8" t="s">
        <v>98</v>
      </c>
      <c r="B108" s="8" t="s">
        <v>19</v>
      </c>
      <c r="C108" s="2">
        <v>0</v>
      </c>
      <c r="D108" s="2"/>
      <c r="E108" s="7">
        <f t="shared" si="1"/>
        <v>0</v>
      </c>
    </row>
    <row r="109" spans="1:5" x14ac:dyDescent="0.3">
      <c r="E109" s="9">
        <f>SUM(E3:E107)</f>
        <v>143534533</v>
      </c>
    </row>
  </sheetData>
  <autoFilter ref="A2:E108" xr:uid="{00000000-0009-0000-0000-00000E000000}">
    <filterColumn colId="2">
      <filters>
        <filter val="1"/>
        <filter val="1,760"/>
        <filter val="10"/>
        <filter val="11"/>
        <filter val="118"/>
        <filter val="120"/>
        <filter val="13"/>
        <filter val="15"/>
        <filter val="17"/>
        <filter val="175"/>
        <filter val="18"/>
        <filter val="2,780"/>
        <filter val="20"/>
        <filter val="201"/>
        <filter val="240"/>
        <filter val="25"/>
        <filter val="250"/>
        <filter val="26"/>
        <filter val="270"/>
        <filter val="280"/>
        <filter val="30"/>
        <filter val="32"/>
        <filter val="33"/>
        <filter val="340"/>
        <filter val="353"/>
        <filter val="400"/>
        <filter val="42"/>
        <filter val="43"/>
        <filter val="466"/>
        <filter val="48"/>
        <filter val="5"/>
        <filter val="55"/>
        <filter val="6"/>
        <filter val="60"/>
        <filter val="600"/>
        <filter val="65"/>
        <filter val="7"/>
        <filter val="70"/>
        <filter val="75"/>
        <filter val="8"/>
        <filter val="843"/>
        <filter val="9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2:E120"/>
  <sheetViews>
    <sheetView workbookViewId="0">
      <selection activeCell="G10" sqref="G10"/>
    </sheetView>
  </sheetViews>
  <sheetFormatPr defaultRowHeight="14.4" x14ac:dyDescent="0.3"/>
  <cols>
    <col min="1" max="1" width="26.33203125" customWidth="1"/>
    <col min="4" max="4" width="14.33203125" customWidth="1"/>
    <col min="5" max="5" width="19" customWidth="1"/>
  </cols>
  <sheetData>
    <row r="2" spans="1:5" ht="53.4" customHeight="1" x14ac:dyDescent="0.3">
      <c r="A2" s="10" t="s">
        <v>0</v>
      </c>
      <c r="B2" s="10" t="s">
        <v>1</v>
      </c>
      <c r="C2" s="2" t="s">
        <v>100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20</v>
      </c>
      <c r="D3" s="7">
        <v>16000</v>
      </c>
      <c r="E3" s="12">
        <f>C3*D3</f>
        <v>320000</v>
      </c>
    </row>
    <row r="4" spans="1:5" ht="15.6" x14ac:dyDescent="0.3">
      <c r="A4" s="8" t="s">
        <v>4</v>
      </c>
      <c r="B4" s="8" t="s">
        <v>3</v>
      </c>
      <c r="C4" s="2">
        <v>40</v>
      </c>
      <c r="D4" s="7">
        <v>6000</v>
      </c>
      <c r="E4" s="12">
        <f t="shared" ref="E4:E67" si="0">C4*D4</f>
        <v>240000</v>
      </c>
    </row>
    <row r="5" spans="1:5" ht="15.6" x14ac:dyDescent="0.3">
      <c r="A5" s="8" t="s">
        <v>5</v>
      </c>
      <c r="B5" s="8" t="s">
        <v>3</v>
      </c>
      <c r="C5" s="2">
        <v>630</v>
      </c>
      <c r="D5" s="7">
        <v>4000</v>
      </c>
      <c r="E5" s="12">
        <f t="shared" si="0"/>
        <v>2520000</v>
      </c>
    </row>
    <row r="6" spans="1:5" ht="15.6" x14ac:dyDescent="0.3">
      <c r="A6" s="8" t="s">
        <v>103</v>
      </c>
      <c r="B6" s="8" t="s">
        <v>3</v>
      </c>
      <c r="C6" s="2">
        <v>3</v>
      </c>
      <c r="D6" s="7">
        <v>10000</v>
      </c>
      <c r="E6" s="12">
        <f t="shared" si="0"/>
        <v>30000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7"/>
      <c r="E7" s="12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2525</v>
      </c>
      <c r="D8" s="7">
        <v>9000</v>
      </c>
      <c r="E8" s="12">
        <f t="shared" si="0"/>
        <v>22725000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7"/>
      <c r="E9" s="12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139</v>
      </c>
      <c r="D10" s="7">
        <v>8000</v>
      </c>
      <c r="E10" s="12">
        <f t="shared" si="0"/>
        <v>1112000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7"/>
      <c r="E11" s="12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40</v>
      </c>
      <c r="D12" s="7">
        <v>12000</v>
      </c>
      <c r="E12" s="12">
        <f t="shared" si="0"/>
        <v>480000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7"/>
      <c r="E13" s="12">
        <f t="shared" si="0"/>
        <v>0</v>
      </c>
    </row>
    <row r="14" spans="1:5" ht="15.6" x14ac:dyDescent="0.3">
      <c r="A14" s="8" t="s">
        <v>140</v>
      </c>
      <c r="B14" s="8" t="s">
        <v>3</v>
      </c>
      <c r="C14" s="2">
        <v>8</v>
      </c>
      <c r="D14" s="7">
        <v>35000</v>
      </c>
      <c r="E14" s="12">
        <f t="shared" si="0"/>
        <v>280000</v>
      </c>
    </row>
    <row r="15" spans="1:5" ht="15.6" hidden="1" x14ac:dyDescent="0.3">
      <c r="A15" s="8" t="s">
        <v>122</v>
      </c>
      <c r="B15" s="8" t="s">
        <v>3</v>
      </c>
      <c r="C15" s="2">
        <v>0</v>
      </c>
      <c r="D15" s="7"/>
      <c r="E15" s="12">
        <f t="shared" si="0"/>
        <v>0</v>
      </c>
    </row>
    <row r="16" spans="1:5" ht="15.6" x14ac:dyDescent="0.3">
      <c r="A16" s="8" t="s">
        <v>12</v>
      </c>
      <c r="B16" s="8" t="s">
        <v>3</v>
      </c>
      <c r="C16" s="2">
        <v>3</v>
      </c>
      <c r="D16" s="7">
        <v>12000</v>
      </c>
      <c r="E16" s="12">
        <f t="shared" si="0"/>
        <v>36000</v>
      </c>
    </row>
    <row r="17" spans="1:5" ht="15.6" x14ac:dyDescent="0.3">
      <c r="A17" s="8" t="s">
        <v>14</v>
      </c>
      <c r="B17" s="8" t="s">
        <v>3</v>
      </c>
      <c r="C17" s="2">
        <v>10</v>
      </c>
      <c r="D17" s="7">
        <v>12000</v>
      </c>
      <c r="E17" s="12">
        <f t="shared" si="0"/>
        <v>120000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7"/>
      <c r="E18" s="12">
        <f t="shared" si="0"/>
        <v>0</v>
      </c>
    </row>
    <row r="19" spans="1:5" ht="15.6" hidden="1" x14ac:dyDescent="0.3">
      <c r="A19" s="8" t="s">
        <v>16</v>
      </c>
      <c r="B19" s="8" t="s">
        <v>17</v>
      </c>
      <c r="C19" s="2">
        <v>0</v>
      </c>
      <c r="D19" s="7"/>
      <c r="E19" s="12">
        <f t="shared" si="0"/>
        <v>0</v>
      </c>
    </row>
    <row r="20" spans="1:5" ht="15.6" hidden="1" x14ac:dyDescent="0.3">
      <c r="A20" s="8" t="s">
        <v>20</v>
      </c>
      <c r="B20" s="8" t="s">
        <v>3</v>
      </c>
      <c r="C20" s="2">
        <v>0</v>
      </c>
      <c r="D20" s="7"/>
      <c r="E20" s="12">
        <f t="shared" si="0"/>
        <v>0</v>
      </c>
    </row>
    <row r="21" spans="1:5" ht="15.6" x14ac:dyDescent="0.3">
      <c r="A21" s="8" t="s">
        <v>22</v>
      </c>
      <c r="B21" s="8" t="s">
        <v>3</v>
      </c>
      <c r="C21" s="2">
        <v>40</v>
      </c>
      <c r="D21" s="7">
        <v>11000</v>
      </c>
      <c r="E21" s="12">
        <f t="shared" si="0"/>
        <v>440000</v>
      </c>
    </row>
    <row r="22" spans="1:5" ht="15.6" hidden="1" x14ac:dyDescent="0.3">
      <c r="A22" s="8" t="s">
        <v>22</v>
      </c>
      <c r="B22" s="8" t="s">
        <v>23</v>
      </c>
      <c r="C22" s="2">
        <v>0</v>
      </c>
      <c r="D22" s="7"/>
      <c r="E22" s="12">
        <f t="shared" si="0"/>
        <v>0</v>
      </c>
    </row>
    <row r="23" spans="1:5" ht="15.6" x14ac:dyDescent="0.3">
      <c r="A23" s="8" t="s">
        <v>24</v>
      </c>
      <c r="B23" s="8" t="s">
        <v>3</v>
      </c>
      <c r="C23" s="2">
        <v>12</v>
      </c>
      <c r="D23" s="7">
        <v>12000</v>
      </c>
      <c r="E23" s="12">
        <f t="shared" si="0"/>
        <v>144000</v>
      </c>
    </row>
    <row r="24" spans="1:5" ht="15.6" hidden="1" x14ac:dyDescent="0.3">
      <c r="A24" s="8" t="s">
        <v>24</v>
      </c>
      <c r="B24" s="8" t="s">
        <v>25</v>
      </c>
      <c r="C24" s="2">
        <v>0</v>
      </c>
      <c r="D24" s="7"/>
      <c r="E24" s="12">
        <f t="shared" si="0"/>
        <v>0</v>
      </c>
    </row>
    <row r="25" spans="1:5" ht="15.6" x14ac:dyDescent="0.3">
      <c r="A25" s="8" t="s">
        <v>26</v>
      </c>
      <c r="B25" s="8" t="s">
        <v>3</v>
      </c>
      <c r="C25" s="2">
        <v>12</v>
      </c>
      <c r="D25" s="7">
        <v>16000</v>
      </c>
      <c r="E25" s="12">
        <f t="shared" si="0"/>
        <v>192000</v>
      </c>
    </row>
    <row r="26" spans="1:5" ht="15.6" x14ac:dyDescent="0.3">
      <c r="A26" s="8" t="s">
        <v>26</v>
      </c>
      <c r="B26" s="8" t="s">
        <v>27</v>
      </c>
      <c r="C26" s="2">
        <v>50</v>
      </c>
      <c r="D26" s="7">
        <v>4800</v>
      </c>
      <c r="E26" s="12">
        <f t="shared" si="0"/>
        <v>240000</v>
      </c>
    </row>
    <row r="27" spans="1:5" ht="15.6" x14ac:dyDescent="0.3">
      <c r="A27" s="8" t="s">
        <v>28</v>
      </c>
      <c r="B27" s="8" t="s">
        <v>29</v>
      </c>
      <c r="C27" s="2">
        <v>21</v>
      </c>
      <c r="D27" s="7">
        <v>12000</v>
      </c>
      <c r="E27" s="12">
        <f t="shared" si="0"/>
        <v>252000</v>
      </c>
    </row>
    <row r="28" spans="1:5" ht="15.6" hidden="1" x14ac:dyDescent="0.3">
      <c r="A28" s="8" t="s">
        <v>30</v>
      </c>
      <c r="B28" s="8" t="s">
        <v>3</v>
      </c>
      <c r="C28" s="2">
        <v>0</v>
      </c>
      <c r="D28" s="7"/>
      <c r="E28" s="12">
        <f t="shared" si="0"/>
        <v>0</v>
      </c>
    </row>
    <row r="29" spans="1:5" ht="15.6" x14ac:dyDescent="0.3">
      <c r="A29" s="8" t="s">
        <v>30</v>
      </c>
      <c r="B29" s="8" t="s">
        <v>27</v>
      </c>
      <c r="C29" s="2">
        <v>70</v>
      </c>
      <c r="D29" s="7">
        <v>10000</v>
      </c>
      <c r="E29" s="12">
        <f t="shared" si="0"/>
        <v>700000</v>
      </c>
    </row>
    <row r="30" spans="1:5" ht="15.6" x14ac:dyDescent="0.3">
      <c r="A30" s="8" t="s">
        <v>30</v>
      </c>
      <c r="B30" s="8" t="s">
        <v>31</v>
      </c>
      <c r="C30" s="2">
        <v>110</v>
      </c>
      <c r="D30" s="7">
        <v>7500</v>
      </c>
      <c r="E30" s="12">
        <f t="shared" si="0"/>
        <v>825000</v>
      </c>
    </row>
    <row r="31" spans="1:5" ht="15.6" x14ac:dyDescent="0.3">
      <c r="A31" s="8" t="s">
        <v>32</v>
      </c>
      <c r="B31" s="8" t="s">
        <v>3</v>
      </c>
      <c r="C31" s="2">
        <v>240</v>
      </c>
      <c r="D31" s="7">
        <v>12000</v>
      </c>
      <c r="E31" s="12">
        <f t="shared" si="0"/>
        <v>2880000</v>
      </c>
    </row>
    <row r="32" spans="1:5" ht="15.6" hidden="1" x14ac:dyDescent="0.3">
      <c r="A32" s="8" t="s">
        <v>32</v>
      </c>
      <c r="B32" s="8" t="s">
        <v>17</v>
      </c>
      <c r="C32" s="2">
        <v>0</v>
      </c>
      <c r="D32" s="7"/>
      <c r="E32" s="12">
        <f t="shared" si="0"/>
        <v>0</v>
      </c>
    </row>
    <row r="33" spans="1:5" ht="15.6" x14ac:dyDescent="0.3">
      <c r="A33" s="8" t="s">
        <v>33</v>
      </c>
      <c r="B33" s="8" t="s">
        <v>34</v>
      </c>
      <c r="C33" s="2">
        <v>160</v>
      </c>
      <c r="D33" s="7">
        <v>8000</v>
      </c>
      <c r="E33" s="12">
        <f t="shared" si="0"/>
        <v>1280000</v>
      </c>
    </row>
    <row r="34" spans="1:5" ht="15.6" hidden="1" x14ac:dyDescent="0.3">
      <c r="A34" s="8" t="s">
        <v>35</v>
      </c>
      <c r="B34" s="8" t="s">
        <v>3</v>
      </c>
      <c r="C34" s="2">
        <v>0</v>
      </c>
      <c r="D34" s="7"/>
      <c r="E34" s="12">
        <f t="shared" si="0"/>
        <v>0</v>
      </c>
    </row>
    <row r="35" spans="1:5" ht="15.6" hidden="1" x14ac:dyDescent="0.3">
      <c r="A35" s="8" t="s">
        <v>35</v>
      </c>
      <c r="B35" s="8" t="s">
        <v>34</v>
      </c>
      <c r="C35" s="2">
        <v>0</v>
      </c>
      <c r="D35" s="7"/>
      <c r="E35" s="12">
        <f t="shared" si="0"/>
        <v>0</v>
      </c>
    </row>
    <row r="36" spans="1:5" ht="15.6" hidden="1" x14ac:dyDescent="0.3">
      <c r="A36" s="8" t="s">
        <v>36</v>
      </c>
      <c r="B36" s="8" t="s">
        <v>3</v>
      </c>
      <c r="C36" s="2">
        <v>0</v>
      </c>
      <c r="D36" s="7"/>
      <c r="E36" s="12">
        <f t="shared" si="0"/>
        <v>0</v>
      </c>
    </row>
    <row r="37" spans="1:5" ht="15.6" x14ac:dyDescent="0.3">
      <c r="A37" s="8" t="s">
        <v>36</v>
      </c>
      <c r="B37" s="8" t="s">
        <v>17</v>
      </c>
      <c r="C37" s="2">
        <v>8</v>
      </c>
      <c r="D37" s="7">
        <v>6000</v>
      </c>
      <c r="E37" s="12">
        <f t="shared" si="0"/>
        <v>48000</v>
      </c>
    </row>
    <row r="38" spans="1:5" ht="15.6" x14ac:dyDescent="0.3">
      <c r="A38" s="8" t="s">
        <v>37</v>
      </c>
      <c r="B38" s="8" t="s">
        <v>3</v>
      </c>
      <c r="C38" s="2">
        <v>40</v>
      </c>
      <c r="D38" s="7">
        <v>8000</v>
      </c>
      <c r="E38" s="12">
        <f t="shared" si="0"/>
        <v>320000</v>
      </c>
    </row>
    <row r="39" spans="1:5" ht="15.6" hidden="1" x14ac:dyDescent="0.3">
      <c r="A39" s="8" t="s">
        <v>37</v>
      </c>
      <c r="B39" s="8" t="s">
        <v>38</v>
      </c>
      <c r="C39" s="2">
        <v>0</v>
      </c>
      <c r="D39" s="7"/>
      <c r="E39" s="12">
        <f t="shared" si="0"/>
        <v>0</v>
      </c>
    </row>
    <row r="40" spans="1:5" ht="15.6" x14ac:dyDescent="0.3">
      <c r="A40" s="8" t="s">
        <v>39</v>
      </c>
      <c r="B40" s="8" t="s">
        <v>3</v>
      </c>
      <c r="C40" s="2">
        <v>9</v>
      </c>
      <c r="D40" s="7">
        <v>18000</v>
      </c>
      <c r="E40" s="12">
        <f t="shared" si="0"/>
        <v>162000</v>
      </c>
    </row>
    <row r="41" spans="1:5" ht="15.6" hidden="1" x14ac:dyDescent="0.3">
      <c r="A41" s="8" t="s">
        <v>39</v>
      </c>
      <c r="B41" s="8" t="s">
        <v>34</v>
      </c>
      <c r="C41" s="2">
        <v>0</v>
      </c>
      <c r="D41" s="7"/>
      <c r="E41" s="12">
        <f t="shared" si="0"/>
        <v>0</v>
      </c>
    </row>
    <row r="42" spans="1:5" ht="15.6" hidden="1" x14ac:dyDescent="0.3">
      <c r="A42" s="8" t="s">
        <v>40</v>
      </c>
      <c r="B42" s="8" t="s">
        <v>3</v>
      </c>
      <c r="C42" s="2">
        <v>0</v>
      </c>
      <c r="D42" s="7"/>
      <c r="E42" s="12">
        <f t="shared" si="0"/>
        <v>0</v>
      </c>
    </row>
    <row r="43" spans="1:5" ht="15.6" x14ac:dyDescent="0.3">
      <c r="A43" s="8" t="s">
        <v>40</v>
      </c>
      <c r="B43" s="8" t="s">
        <v>34</v>
      </c>
      <c r="C43" s="2">
        <v>6</v>
      </c>
      <c r="D43" s="7">
        <v>3000</v>
      </c>
      <c r="E43" s="12">
        <f t="shared" si="0"/>
        <v>18000</v>
      </c>
    </row>
    <row r="44" spans="1:5" ht="15.6" hidden="1" x14ac:dyDescent="0.3">
      <c r="A44" s="8" t="s">
        <v>41</v>
      </c>
      <c r="B44" s="8" t="s">
        <v>3</v>
      </c>
      <c r="C44" s="2">
        <v>0</v>
      </c>
      <c r="D44" s="7"/>
      <c r="E44" s="12">
        <f t="shared" si="0"/>
        <v>0</v>
      </c>
    </row>
    <row r="45" spans="1:5" ht="15.6" x14ac:dyDescent="0.3">
      <c r="A45" s="8" t="s">
        <v>41</v>
      </c>
      <c r="B45" s="8" t="s">
        <v>34</v>
      </c>
      <c r="C45" s="2">
        <v>11</v>
      </c>
      <c r="D45" s="7">
        <v>3000</v>
      </c>
      <c r="E45" s="12">
        <f t="shared" si="0"/>
        <v>33000</v>
      </c>
    </row>
    <row r="46" spans="1:5" ht="15.6" x14ac:dyDescent="0.3">
      <c r="A46" s="8" t="s">
        <v>42</v>
      </c>
      <c r="B46" s="8" t="s">
        <v>3</v>
      </c>
      <c r="C46" s="2">
        <v>650</v>
      </c>
      <c r="D46" s="7">
        <v>3000</v>
      </c>
      <c r="E46" s="12">
        <f t="shared" si="0"/>
        <v>1950000</v>
      </c>
    </row>
    <row r="47" spans="1:5" ht="15.6" hidden="1" x14ac:dyDescent="0.3">
      <c r="A47" s="8" t="s">
        <v>43</v>
      </c>
      <c r="B47" s="8" t="s">
        <v>3</v>
      </c>
      <c r="C47" s="2">
        <v>0</v>
      </c>
      <c r="D47" s="7"/>
      <c r="E47" s="12">
        <f t="shared" si="0"/>
        <v>0</v>
      </c>
    </row>
    <row r="48" spans="1:5" ht="15.6" x14ac:dyDescent="0.3">
      <c r="A48" s="8" t="s">
        <v>44</v>
      </c>
      <c r="B48" s="8" t="s">
        <v>3</v>
      </c>
      <c r="C48" s="2">
        <v>180</v>
      </c>
      <c r="D48" s="7">
        <v>3000</v>
      </c>
      <c r="E48" s="12">
        <f t="shared" si="0"/>
        <v>540000</v>
      </c>
    </row>
    <row r="49" spans="1:5" ht="15.6" hidden="1" x14ac:dyDescent="0.3">
      <c r="A49" s="8" t="s">
        <v>45</v>
      </c>
      <c r="B49" s="8" t="s">
        <v>3</v>
      </c>
      <c r="C49" s="2">
        <v>0</v>
      </c>
      <c r="D49" s="7"/>
      <c r="E49" s="12">
        <f t="shared" si="0"/>
        <v>0</v>
      </c>
    </row>
    <row r="50" spans="1:5" ht="15.6" hidden="1" x14ac:dyDescent="0.3">
      <c r="A50" s="8" t="s">
        <v>45</v>
      </c>
      <c r="B50" s="8" t="s">
        <v>19</v>
      </c>
      <c r="C50" s="2">
        <v>0</v>
      </c>
      <c r="D50" s="7"/>
      <c r="E50" s="12">
        <f t="shared" si="0"/>
        <v>0</v>
      </c>
    </row>
    <row r="51" spans="1:5" ht="15.6" hidden="1" x14ac:dyDescent="0.3">
      <c r="A51" s="8" t="s">
        <v>62</v>
      </c>
      <c r="B51" s="8" t="s">
        <v>3</v>
      </c>
      <c r="C51" s="2">
        <v>0</v>
      </c>
      <c r="D51" s="7"/>
      <c r="E51" s="12">
        <f t="shared" si="0"/>
        <v>0</v>
      </c>
    </row>
    <row r="52" spans="1:5" ht="15.6" x14ac:dyDescent="0.3">
      <c r="A52" s="8" t="s">
        <v>63</v>
      </c>
      <c r="B52" s="8" t="s">
        <v>3</v>
      </c>
      <c r="C52" s="2">
        <v>3</v>
      </c>
      <c r="D52" s="7">
        <v>14000</v>
      </c>
      <c r="E52" s="12">
        <f t="shared" si="0"/>
        <v>42000</v>
      </c>
    </row>
    <row r="53" spans="1:5" ht="15.6" hidden="1" x14ac:dyDescent="0.3">
      <c r="A53" s="8" t="s">
        <v>46</v>
      </c>
      <c r="B53" s="8" t="s">
        <v>29</v>
      </c>
      <c r="C53" s="2">
        <v>0</v>
      </c>
      <c r="D53" s="7"/>
      <c r="E53" s="12">
        <f t="shared" si="0"/>
        <v>0</v>
      </c>
    </row>
    <row r="54" spans="1:5" ht="15.6" hidden="1" x14ac:dyDescent="0.3">
      <c r="A54" s="8" t="s">
        <v>46</v>
      </c>
      <c r="B54" s="8" t="s">
        <v>3</v>
      </c>
      <c r="C54" s="2">
        <v>0</v>
      </c>
      <c r="D54" s="7"/>
      <c r="E54" s="12">
        <f t="shared" si="0"/>
        <v>0</v>
      </c>
    </row>
    <row r="55" spans="1:5" ht="15.6" x14ac:dyDescent="0.3">
      <c r="A55" s="8" t="s">
        <v>47</v>
      </c>
      <c r="B55" s="8" t="s">
        <v>3</v>
      </c>
      <c r="C55" s="2">
        <v>17</v>
      </c>
      <c r="D55" s="7">
        <v>5000</v>
      </c>
      <c r="E55" s="12">
        <f t="shared" si="0"/>
        <v>85000</v>
      </c>
    </row>
    <row r="56" spans="1:5" ht="15.6" x14ac:dyDescent="0.3">
      <c r="A56" s="8" t="s">
        <v>48</v>
      </c>
      <c r="B56" s="8" t="s">
        <v>3</v>
      </c>
      <c r="C56" s="2">
        <v>30</v>
      </c>
      <c r="D56" s="7">
        <v>8000</v>
      </c>
      <c r="E56" s="12">
        <f t="shared" si="0"/>
        <v>240000</v>
      </c>
    </row>
    <row r="57" spans="1:5" ht="15.6" hidden="1" x14ac:dyDescent="0.3">
      <c r="A57" s="8" t="s">
        <v>48</v>
      </c>
      <c r="B57" s="8" t="s">
        <v>34</v>
      </c>
      <c r="C57" s="2">
        <v>0</v>
      </c>
      <c r="D57" s="7"/>
      <c r="E57" s="12">
        <f t="shared" si="0"/>
        <v>0</v>
      </c>
    </row>
    <row r="58" spans="1:5" ht="15.6" x14ac:dyDescent="0.3">
      <c r="A58" s="8" t="s">
        <v>49</v>
      </c>
      <c r="B58" s="8" t="s">
        <v>3</v>
      </c>
      <c r="C58" s="2">
        <v>1</v>
      </c>
      <c r="D58" s="7">
        <v>19000</v>
      </c>
      <c r="E58" s="12">
        <f t="shared" si="0"/>
        <v>19000</v>
      </c>
    </row>
    <row r="59" spans="1:5" ht="15.6" x14ac:dyDescent="0.3">
      <c r="A59" s="8" t="s">
        <v>50</v>
      </c>
      <c r="B59" s="8" t="s">
        <v>3</v>
      </c>
      <c r="C59" s="2">
        <v>170</v>
      </c>
      <c r="D59" s="7">
        <v>5500</v>
      </c>
      <c r="E59" s="12">
        <f t="shared" si="0"/>
        <v>935000</v>
      </c>
    </row>
    <row r="60" spans="1:5" ht="15.6" hidden="1" x14ac:dyDescent="0.3">
      <c r="A60" s="8" t="s">
        <v>50</v>
      </c>
      <c r="B60" s="8" t="s">
        <v>51</v>
      </c>
      <c r="C60" s="2">
        <v>0</v>
      </c>
      <c r="D60" s="7"/>
      <c r="E60" s="12">
        <f t="shared" si="0"/>
        <v>0</v>
      </c>
    </row>
    <row r="61" spans="1:5" ht="15.6" x14ac:dyDescent="0.3">
      <c r="A61" s="8" t="s">
        <v>104</v>
      </c>
      <c r="B61" s="8" t="s">
        <v>3</v>
      </c>
      <c r="C61" s="2">
        <v>75</v>
      </c>
      <c r="D61" s="7">
        <v>20000</v>
      </c>
      <c r="E61" s="12">
        <f t="shared" si="0"/>
        <v>1500000</v>
      </c>
    </row>
    <row r="62" spans="1:5" ht="15.6" x14ac:dyDescent="0.3">
      <c r="A62" s="8" t="s">
        <v>52</v>
      </c>
      <c r="B62" s="8" t="s">
        <v>34</v>
      </c>
      <c r="C62" s="2">
        <v>400</v>
      </c>
      <c r="D62" s="7">
        <v>1350</v>
      </c>
      <c r="E62" s="12">
        <f t="shared" si="0"/>
        <v>540000</v>
      </c>
    </row>
    <row r="63" spans="1:5" ht="15.6" x14ac:dyDescent="0.3">
      <c r="A63" s="8" t="s">
        <v>53</v>
      </c>
      <c r="B63" s="8" t="s">
        <v>3</v>
      </c>
      <c r="C63" s="2">
        <v>1620</v>
      </c>
      <c r="D63" s="7">
        <v>21500</v>
      </c>
      <c r="E63" s="12">
        <f t="shared" si="0"/>
        <v>34830000</v>
      </c>
    </row>
    <row r="64" spans="1:5" ht="15.6" x14ac:dyDescent="0.3">
      <c r="A64" s="8" t="s">
        <v>54</v>
      </c>
      <c r="B64" s="8" t="s">
        <v>3</v>
      </c>
      <c r="C64" s="2">
        <v>150</v>
      </c>
      <c r="D64" s="7">
        <v>26500</v>
      </c>
      <c r="E64" s="12">
        <f t="shared" si="0"/>
        <v>3975000</v>
      </c>
    </row>
    <row r="65" spans="1:5" ht="15.6" x14ac:dyDescent="0.3">
      <c r="A65" s="8" t="s">
        <v>55</v>
      </c>
      <c r="B65" s="8" t="s">
        <v>3</v>
      </c>
      <c r="C65" s="2">
        <v>240</v>
      </c>
      <c r="D65" s="7">
        <v>16000</v>
      </c>
      <c r="E65" s="12">
        <f t="shared" si="0"/>
        <v>3840000</v>
      </c>
    </row>
    <row r="66" spans="1:5" ht="15.6" x14ac:dyDescent="0.3">
      <c r="A66" s="8" t="s">
        <v>56</v>
      </c>
      <c r="B66" s="8" t="s">
        <v>3</v>
      </c>
      <c r="C66" s="2">
        <v>23</v>
      </c>
      <c r="D66" s="7">
        <v>23000</v>
      </c>
      <c r="E66" s="12">
        <f t="shared" si="0"/>
        <v>529000</v>
      </c>
    </row>
    <row r="67" spans="1:5" ht="15.6" hidden="1" x14ac:dyDescent="0.3">
      <c r="A67" s="8" t="s">
        <v>58</v>
      </c>
      <c r="B67" s="8" t="s">
        <v>3</v>
      </c>
      <c r="C67" s="2">
        <v>0</v>
      </c>
      <c r="D67" s="7"/>
      <c r="E67" s="12">
        <f t="shared" si="0"/>
        <v>0</v>
      </c>
    </row>
    <row r="68" spans="1:5" ht="15.6" hidden="1" x14ac:dyDescent="0.3">
      <c r="A68" s="8" t="s">
        <v>105</v>
      </c>
      <c r="B68" s="8" t="s">
        <v>3</v>
      </c>
      <c r="C68" s="2">
        <v>0</v>
      </c>
      <c r="D68" s="7"/>
      <c r="E68" s="12">
        <f t="shared" ref="E68:E119" si="1">C68*D68</f>
        <v>0</v>
      </c>
    </row>
    <row r="69" spans="1:5" ht="15.6" x14ac:dyDescent="0.3">
      <c r="A69" s="8" t="s">
        <v>59</v>
      </c>
      <c r="B69" s="8" t="s">
        <v>3</v>
      </c>
      <c r="C69" s="2">
        <v>280</v>
      </c>
      <c r="D69" s="7">
        <v>14000</v>
      </c>
      <c r="E69" s="12">
        <f t="shared" si="1"/>
        <v>3920000</v>
      </c>
    </row>
    <row r="70" spans="1:5" ht="15.6" hidden="1" x14ac:dyDescent="0.3">
      <c r="A70" s="8" t="s">
        <v>59</v>
      </c>
      <c r="B70" s="8" t="s">
        <v>34</v>
      </c>
      <c r="C70" s="2">
        <v>0</v>
      </c>
      <c r="D70" s="7"/>
      <c r="E70" s="12">
        <f t="shared" si="1"/>
        <v>0</v>
      </c>
    </row>
    <row r="71" spans="1:5" ht="15.6" x14ac:dyDescent="0.3">
      <c r="A71" s="8" t="s">
        <v>60</v>
      </c>
      <c r="B71" s="8" t="s">
        <v>34</v>
      </c>
      <c r="C71" s="2">
        <v>240</v>
      </c>
      <c r="D71" s="7">
        <v>5000</v>
      </c>
      <c r="E71" s="12">
        <f t="shared" si="1"/>
        <v>1200000</v>
      </c>
    </row>
    <row r="72" spans="1:5" ht="15.6" x14ac:dyDescent="0.3">
      <c r="A72" s="8" t="s">
        <v>61</v>
      </c>
      <c r="B72" s="8" t="s">
        <v>3</v>
      </c>
      <c r="C72" s="2">
        <v>8</v>
      </c>
      <c r="D72" s="7">
        <v>10000</v>
      </c>
      <c r="E72" s="12">
        <f t="shared" si="1"/>
        <v>80000</v>
      </c>
    </row>
    <row r="73" spans="1:5" ht="15.6" x14ac:dyDescent="0.3">
      <c r="A73" s="8" t="s">
        <v>67</v>
      </c>
      <c r="B73" s="8" t="s">
        <v>34</v>
      </c>
      <c r="C73" s="2">
        <v>18</v>
      </c>
      <c r="D73" s="7">
        <v>6000</v>
      </c>
      <c r="E73" s="12">
        <f t="shared" si="1"/>
        <v>108000</v>
      </c>
    </row>
    <row r="74" spans="1:5" ht="15.6" hidden="1" x14ac:dyDescent="0.3">
      <c r="A74" s="8" t="s">
        <v>68</v>
      </c>
      <c r="B74" s="8" t="s">
        <v>3</v>
      </c>
      <c r="C74" s="2">
        <v>0</v>
      </c>
      <c r="D74" s="7"/>
      <c r="E74" s="12">
        <f t="shared" si="1"/>
        <v>0</v>
      </c>
    </row>
    <row r="75" spans="1:5" ht="15.6" x14ac:dyDescent="0.3">
      <c r="A75" s="8" t="s">
        <v>68</v>
      </c>
      <c r="B75" s="8" t="s">
        <v>34</v>
      </c>
      <c r="C75" s="2">
        <v>8</v>
      </c>
      <c r="D75" s="7">
        <v>6500</v>
      </c>
      <c r="E75" s="12">
        <f t="shared" si="1"/>
        <v>52000</v>
      </c>
    </row>
    <row r="76" spans="1:5" ht="15.6" hidden="1" x14ac:dyDescent="0.3">
      <c r="A76" s="8" t="s">
        <v>69</v>
      </c>
      <c r="B76" s="8" t="s">
        <v>3</v>
      </c>
      <c r="C76" s="2">
        <v>0</v>
      </c>
      <c r="D76" s="7"/>
      <c r="E76" s="12">
        <f t="shared" si="1"/>
        <v>0</v>
      </c>
    </row>
    <row r="77" spans="1:5" ht="15.6" hidden="1" x14ac:dyDescent="0.3">
      <c r="A77" s="8" t="s">
        <v>106</v>
      </c>
      <c r="B77" s="8" t="s">
        <v>3</v>
      </c>
      <c r="C77" s="2">
        <v>0</v>
      </c>
      <c r="D77" s="7"/>
      <c r="E77" s="12">
        <f t="shared" si="1"/>
        <v>0</v>
      </c>
    </row>
    <row r="78" spans="1:5" ht="15.6" hidden="1" x14ac:dyDescent="0.3">
      <c r="A78" s="8" t="s">
        <v>70</v>
      </c>
      <c r="B78" s="8" t="s">
        <v>3</v>
      </c>
      <c r="C78" s="2">
        <v>0</v>
      </c>
      <c r="D78" s="7"/>
      <c r="E78" s="12">
        <f t="shared" si="1"/>
        <v>0</v>
      </c>
    </row>
    <row r="79" spans="1:5" ht="15.6" hidden="1" x14ac:dyDescent="0.3">
      <c r="A79" s="8" t="s">
        <v>71</v>
      </c>
      <c r="B79" s="8" t="s">
        <v>3</v>
      </c>
      <c r="C79" s="2">
        <v>0</v>
      </c>
      <c r="D79" s="7"/>
      <c r="E79" s="12">
        <f t="shared" si="1"/>
        <v>0</v>
      </c>
    </row>
    <row r="80" spans="1:5" ht="15.6" hidden="1" x14ac:dyDescent="0.3">
      <c r="A80" s="8" t="s">
        <v>64</v>
      </c>
      <c r="B80" s="8" t="s">
        <v>3</v>
      </c>
      <c r="C80" s="2">
        <v>0</v>
      </c>
      <c r="D80" s="7"/>
      <c r="E80" s="12">
        <f t="shared" si="1"/>
        <v>0</v>
      </c>
    </row>
    <row r="81" spans="1:5" ht="15.6" x14ac:dyDescent="0.3">
      <c r="A81" s="8" t="s">
        <v>64</v>
      </c>
      <c r="B81" s="8" t="s">
        <v>17</v>
      </c>
      <c r="C81" s="2">
        <v>1041</v>
      </c>
      <c r="D81" s="7">
        <v>6700</v>
      </c>
      <c r="E81" s="12">
        <f t="shared" si="1"/>
        <v>6974700</v>
      </c>
    </row>
    <row r="82" spans="1:5" ht="15.6" x14ac:dyDescent="0.3">
      <c r="A82" s="8" t="s">
        <v>65</v>
      </c>
      <c r="B82" s="8" t="s">
        <v>3</v>
      </c>
      <c r="C82" s="2">
        <v>5</v>
      </c>
      <c r="D82" s="7">
        <v>11000</v>
      </c>
      <c r="E82" s="12">
        <f t="shared" si="1"/>
        <v>55000</v>
      </c>
    </row>
    <row r="83" spans="1:5" ht="15.6" x14ac:dyDescent="0.3">
      <c r="A83" s="8" t="s">
        <v>66</v>
      </c>
      <c r="B83" s="8" t="s">
        <v>3</v>
      </c>
      <c r="C83" s="2">
        <v>10</v>
      </c>
      <c r="D83" s="7">
        <v>10000</v>
      </c>
      <c r="E83" s="12">
        <f t="shared" si="1"/>
        <v>100000</v>
      </c>
    </row>
    <row r="84" spans="1:5" ht="15.6" x14ac:dyDescent="0.3">
      <c r="A84" s="8" t="s">
        <v>72</v>
      </c>
      <c r="B84" s="8" t="s">
        <v>3</v>
      </c>
      <c r="C84" s="2">
        <v>20</v>
      </c>
      <c r="D84" s="7">
        <v>9000</v>
      </c>
      <c r="E84" s="12">
        <f t="shared" si="1"/>
        <v>180000</v>
      </c>
    </row>
    <row r="85" spans="1:5" ht="15.6" hidden="1" x14ac:dyDescent="0.3">
      <c r="A85" s="8" t="s">
        <v>72</v>
      </c>
      <c r="B85" s="8" t="s">
        <v>19</v>
      </c>
      <c r="C85" s="2">
        <v>0</v>
      </c>
      <c r="D85" s="7"/>
      <c r="E85" s="12">
        <f t="shared" si="1"/>
        <v>0</v>
      </c>
    </row>
    <row r="86" spans="1:5" ht="15.6" hidden="1" x14ac:dyDescent="0.3">
      <c r="A86" s="8" t="s">
        <v>107</v>
      </c>
      <c r="B86" s="8" t="s">
        <v>29</v>
      </c>
      <c r="C86" s="2">
        <v>0</v>
      </c>
      <c r="D86" s="7"/>
      <c r="E86" s="12">
        <f t="shared" si="1"/>
        <v>0</v>
      </c>
    </row>
    <row r="87" spans="1:5" ht="15.6" hidden="1" x14ac:dyDescent="0.3">
      <c r="A87" s="8" t="s">
        <v>74</v>
      </c>
      <c r="B87" s="8" t="s">
        <v>34</v>
      </c>
      <c r="C87" s="2">
        <v>0</v>
      </c>
      <c r="D87" s="7"/>
      <c r="E87" s="12">
        <f t="shared" si="1"/>
        <v>0</v>
      </c>
    </row>
    <row r="88" spans="1:5" ht="15.6" x14ac:dyDescent="0.3">
      <c r="A88" s="8" t="s">
        <v>75</v>
      </c>
      <c r="B88" s="8" t="s">
        <v>3</v>
      </c>
      <c r="C88" s="2">
        <v>5</v>
      </c>
      <c r="D88" s="7">
        <v>14000</v>
      </c>
      <c r="E88" s="12">
        <f t="shared" si="1"/>
        <v>70000</v>
      </c>
    </row>
    <row r="89" spans="1:5" ht="15.6" x14ac:dyDescent="0.3">
      <c r="A89" s="8" t="s">
        <v>76</v>
      </c>
      <c r="B89" s="8" t="s">
        <v>3</v>
      </c>
      <c r="C89" s="2">
        <v>231</v>
      </c>
      <c r="D89" s="7">
        <v>62000</v>
      </c>
      <c r="E89" s="12">
        <f t="shared" si="1"/>
        <v>14322000</v>
      </c>
    </row>
    <row r="90" spans="1:5" ht="15.6" hidden="1" x14ac:dyDescent="0.3">
      <c r="A90" s="8" t="s">
        <v>76</v>
      </c>
      <c r="B90" s="8" t="s">
        <v>78</v>
      </c>
      <c r="C90" s="2">
        <v>0</v>
      </c>
      <c r="D90" s="7"/>
      <c r="E90" s="12">
        <f t="shared" si="1"/>
        <v>0</v>
      </c>
    </row>
    <row r="91" spans="1:5" ht="15.6" hidden="1" x14ac:dyDescent="0.3">
      <c r="A91" s="8" t="s">
        <v>76</v>
      </c>
      <c r="B91" s="8" t="s">
        <v>77</v>
      </c>
      <c r="C91" s="2">
        <v>0</v>
      </c>
      <c r="D91" s="7"/>
      <c r="E91" s="12">
        <f t="shared" si="1"/>
        <v>0</v>
      </c>
    </row>
    <row r="92" spans="1:5" ht="15.6" hidden="1" x14ac:dyDescent="0.3">
      <c r="A92" s="8" t="s">
        <v>137</v>
      </c>
      <c r="B92" s="8" t="s">
        <v>3</v>
      </c>
      <c r="C92" s="2">
        <v>0</v>
      </c>
      <c r="D92" s="7"/>
      <c r="E92" s="12">
        <f t="shared" si="1"/>
        <v>0</v>
      </c>
    </row>
    <row r="93" spans="1:5" ht="15.6" hidden="1" x14ac:dyDescent="0.3">
      <c r="A93" s="8" t="s">
        <v>79</v>
      </c>
      <c r="B93" s="8" t="s">
        <v>17</v>
      </c>
      <c r="C93" s="2">
        <v>0</v>
      </c>
      <c r="D93" s="7"/>
      <c r="E93" s="12">
        <f t="shared" si="1"/>
        <v>0</v>
      </c>
    </row>
    <row r="94" spans="1:5" ht="15.6" hidden="1" x14ac:dyDescent="0.3">
      <c r="A94" s="8" t="s">
        <v>80</v>
      </c>
      <c r="B94" s="8" t="s">
        <v>29</v>
      </c>
      <c r="C94" s="2">
        <v>0</v>
      </c>
      <c r="D94" s="7"/>
      <c r="E94" s="12">
        <f t="shared" si="1"/>
        <v>0</v>
      </c>
    </row>
    <row r="95" spans="1:5" ht="15.6" hidden="1" x14ac:dyDescent="0.3">
      <c r="A95" s="8" t="s">
        <v>80</v>
      </c>
      <c r="B95" s="8" t="s">
        <v>3</v>
      </c>
      <c r="C95" s="2">
        <v>0</v>
      </c>
      <c r="D95" s="7"/>
      <c r="E95" s="12">
        <f t="shared" si="1"/>
        <v>0</v>
      </c>
    </row>
    <row r="96" spans="1:5" ht="15.6" x14ac:dyDescent="0.3">
      <c r="A96" s="8" t="s">
        <v>81</v>
      </c>
      <c r="B96" s="8" t="s">
        <v>3</v>
      </c>
      <c r="C96" s="2">
        <v>40</v>
      </c>
      <c r="D96" s="7">
        <v>26000</v>
      </c>
      <c r="E96" s="12">
        <f t="shared" si="1"/>
        <v>1040000</v>
      </c>
    </row>
    <row r="97" spans="1:5" ht="15.6" hidden="1" x14ac:dyDescent="0.3">
      <c r="A97" s="8" t="s">
        <v>81</v>
      </c>
      <c r="B97" s="8" t="s">
        <v>9</v>
      </c>
      <c r="C97" s="2">
        <v>0</v>
      </c>
      <c r="D97" s="7"/>
      <c r="E97" s="12">
        <f t="shared" si="1"/>
        <v>0</v>
      </c>
    </row>
    <row r="98" spans="1:5" ht="15.6" x14ac:dyDescent="0.3">
      <c r="A98" s="8" t="s">
        <v>82</v>
      </c>
      <c r="B98" s="8" t="s">
        <v>3</v>
      </c>
      <c r="C98" s="2">
        <v>60</v>
      </c>
      <c r="D98" s="7">
        <v>24000</v>
      </c>
      <c r="E98" s="12">
        <f t="shared" si="1"/>
        <v>1440000</v>
      </c>
    </row>
    <row r="99" spans="1:5" ht="15.6" hidden="1" x14ac:dyDescent="0.3">
      <c r="A99" s="8" t="s">
        <v>82</v>
      </c>
      <c r="B99" s="8" t="s">
        <v>9</v>
      </c>
      <c r="C99" s="2">
        <v>0</v>
      </c>
      <c r="D99" s="7"/>
      <c r="E99" s="12">
        <f t="shared" si="1"/>
        <v>0</v>
      </c>
    </row>
    <row r="100" spans="1:5" ht="15.6" x14ac:dyDescent="0.3">
      <c r="A100" s="8" t="s">
        <v>83</v>
      </c>
      <c r="B100" s="8" t="s">
        <v>3</v>
      </c>
      <c r="C100" s="2">
        <v>50</v>
      </c>
      <c r="D100" s="7">
        <v>30000</v>
      </c>
      <c r="E100" s="12">
        <f t="shared" si="1"/>
        <v>1500000</v>
      </c>
    </row>
    <row r="101" spans="1:5" ht="15.6" hidden="1" x14ac:dyDescent="0.3">
      <c r="A101" s="8" t="s">
        <v>83</v>
      </c>
      <c r="B101" s="8" t="s">
        <v>9</v>
      </c>
      <c r="C101" s="2">
        <v>0</v>
      </c>
      <c r="D101" s="7"/>
      <c r="E101" s="12">
        <f t="shared" si="1"/>
        <v>0</v>
      </c>
    </row>
    <row r="102" spans="1:5" ht="15.6" x14ac:dyDescent="0.3">
      <c r="A102" s="8" t="s">
        <v>84</v>
      </c>
      <c r="B102" s="8" t="s">
        <v>34</v>
      </c>
      <c r="C102" s="2">
        <v>100</v>
      </c>
      <c r="D102" s="7">
        <v>16000</v>
      </c>
      <c r="E102" s="12">
        <f t="shared" si="1"/>
        <v>1600000</v>
      </c>
    </row>
    <row r="103" spans="1:5" ht="15.6" hidden="1" x14ac:dyDescent="0.3">
      <c r="A103" s="8" t="s">
        <v>142</v>
      </c>
      <c r="B103" s="8" t="s">
        <v>3</v>
      </c>
      <c r="C103" s="2">
        <v>0</v>
      </c>
      <c r="D103" s="7"/>
      <c r="E103" s="12">
        <f t="shared" si="1"/>
        <v>0</v>
      </c>
    </row>
    <row r="104" spans="1:5" ht="15.6" hidden="1" x14ac:dyDescent="0.3">
      <c r="A104" s="8" t="s">
        <v>85</v>
      </c>
      <c r="B104" s="8" t="s">
        <v>34</v>
      </c>
      <c r="C104" s="2">
        <v>0</v>
      </c>
      <c r="D104" s="7"/>
      <c r="E104" s="12">
        <f t="shared" si="1"/>
        <v>0</v>
      </c>
    </row>
    <row r="105" spans="1:5" ht="15.6" hidden="1" x14ac:dyDescent="0.3">
      <c r="A105" s="8" t="s">
        <v>111</v>
      </c>
      <c r="B105" s="8" t="s">
        <v>3</v>
      </c>
      <c r="C105" s="2">
        <v>0</v>
      </c>
      <c r="D105" s="7"/>
      <c r="E105" s="12">
        <f t="shared" si="1"/>
        <v>0</v>
      </c>
    </row>
    <row r="106" spans="1:5" ht="15.6" x14ac:dyDescent="0.3">
      <c r="A106" s="8" t="s">
        <v>86</v>
      </c>
      <c r="B106" s="8" t="s">
        <v>9</v>
      </c>
      <c r="C106" s="2">
        <v>300</v>
      </c>
      <c r="D106" s="7">
        <v>9000</v>
      </c>
      <c r="E106" s="12">
        <f t="shared" si="1"/>
        <v>2700000</v>
      </c>
    </row>
    <row r="107" spans="1:5" ht="15.6" x14ac:dyDescent="0.3">
      <c r="A107" s="8" t="s">
        <v>87</v>
      </c>
      <c r="B107" s="8" t="s">
        <v>9</v>
      </c>
      <c r="C107" s="2">
        <v>353</v>
      </c>
      <c r="D107" s="7">
        <v>11361</v>
      </c>
      <c r="E107" s="12">
        <f t="shared" si="1"/>
        <v>4010433</v>
      </c>
    </row>
    <row r="108" spans="1:5" ht="15.6" x14ac:dyDescent="0.3">
      <c r="A108" s="8" t="s">
        <v>89</v>
      </c>
      <c r="B108" s="8" t="s">
        <v>3</v>
      </c>
      <c r="C108" s="2">
        <v>20</v>
      </c>
      <c r="D108" s="7">
        <v>18000</v>
      </c>
      <c r="E108" s="12">
        <f t="shared" si="1"/>
        <v>360000</v>
      </c>
    </row>
    <row r="109" spans="1:5" ht="15.6" hidden="1" x14ac:dyDescent="0.3">
      <c r="A109" s="8" t="s">
        <v>112</v>
      </c>
      <c r="B109" s="8" t="s">
        <v>29</v>
      </c>
      <c r="C109" s="2">
        <v>0</v>
      </c>
      <c r="D109" s="7"/>
      <c r="E109" s="12">
        <f t="shared" si="1"/>
        <v>0</v>
      </c>
    </row>
    <row r="110" spans="1:5" ht="15.6" x14ac:dyDescent="0.3">
      <c r="A110" s="8" t="s">
        <v>90</v>
      </c>
      <c r="B110" s="8" t="s">
        <v>3</v>
      </c>
      <c r="C110" s="2">
        <v>20</v>
      </c>
      <c r="D110" s="7">
        <v>8000</v>
      </c>
      <c r="E110" s="12">
        <f t="shared" si="1"/>
        <v>160000</v>
      </c>
    </row>
    <row r="111" spans="1:5" ht="15.6" hidden="1" x14ac:dyDescent="0.3">
      <c r="A111" s="8" t="s">
        <v>113</v>
      </c>
      <c r="B111" s="8" t="s">
        <v>3</v>
      </c>
      <c r="C111" s="2">
        <v>0</v>
      </c>
      <c r="D111" s="7"/>
      <c r="E111" s="12">
        <f t="shared" si="1"/>
        <v>0</v>
      </c>
    </row>
    <row r="112" spans="1:5" ht="15.6" x14ac:dyDescent="0.3">
      <c r="A112" s="8" t="s">
        <v>91</v>
      </c>
      <c r="B112" s="8" t="s">
        <v>3</v>
      </c>
      <c r="C112" s="2">
        <v>12</v>
      </c>
      <c r="D112" s="7">
        <v>22000</v>
      </c>
      <c r="E112" s="12">
        <f t="shared" si="1"/>
        <v>264000</v>
      </c>
    </row>
    <row r="113" spans="1:5" ht="15.6" hidden="1" x14ac:dyDescent="0.3">
      <c r="A113" s="8" t="s">
        <v>92</v>
      </c>
      <c r="B113" s="8" t="s">
        <v>3</v>
      </c>
      <c r="C113" s="2">
        <v>0</v>
      </c>
      <c r="D113" s="7"/>
      <c r="E113" s="12">
        <f t="shared" si="1"/>
        <v>0</v>
      </c>
    </row>
    <row r="114" spans="1:5" ht="15.6" hidden="1" x14ac:dyDescent="0.3">
      <c r="A114" s="8" t="s">
        <v>93</v>
      </c>
      <c r="B114" s="8" t="s">
        <v>19</v>
      </c>
      <c r="C114" s="2">
        <v>0</v>
      </c>
      <c r="D114" s="7"/>
      <c r="E114" s="12">
        <f t="shared" si="1"/>
        <v>0</v>
      </c>
    </row>
    <row r="115" spans="1:5" ht="15.6" hidden="1" x14ac:dyDescent="0.3">
      <c r="A115" s="8" t="s">
        <v>94</v>
      </c>
      <c r="B115" s="8" t="s">
        <v>3</v>
      </c>
      <c r="C115" s="2">
        <v>0</v>
      </c>
      <c r="D115" s="7"/>
      <c r="E115" s="12">
        <f t="shared" si="1"/>
        <v>0</v>
      </c>
    </row>
    <row r="116" spans="1:5" ht="15.6" hidden="1" x14ac:dyDescent="0.3">
      <c r="A116" s="8" t="s">
        <v>95</v>
      </c>
      <c r="B116" s="8" t="s">
        <v>19</v>
      </c>
      <c r="C116" s="2">
        <v>0</v>
      </c>
      <c r="D116" s="7"/>
      <c r="E116" s="12">
        <f t="shared" si="1"/>
        <v>0</v>
      </c>
    </row>
    <row r="117" spans="1:5" ht="15.6" hidden="1" x14ac:dyDescent="0.3">
      <c r="A117" s="8" t="s">
        <v>96</v>
      </c>
      <c r="B117" s="8" t="s">
        <v>3</v>
      </c>
      <c r="C117" s="2">
        <v>0</v>
      </c>
      <c r="D117" s="7"/>
      <c r="E117" s="12">
        <f t="shared" si="1"/>
        <v>0</v>
      </c>
    </row>
    <row r="118" spans="1:5" ht="15.6" hidden="1" x14ac:dyDescent="0.3">
      <c r="A118" s="8" t="s">
        <v>97</v>
      </c>
      <c r="B118" s="8" t="s">
        <v>3</v>
      </c>
      <c r="C118" s="2">
        <v>0</v>
      </c>
      <c r="D118" s="7"/>
      <c r="E118" s="12">
        <f t="shared" si="1"/>
        <v>0</v>
      </c>
    </row>
    <row r="119" spans="1:5" ht="15.6" hidden="1" x14ac:dyDescent="0.3">
      <c r="A119" s="8" t="s">
        <v>98</v>
      </c>
      <c r="B119" s="8" t="s">
        <v>19</v>
      </c>
      <c r="C119" s="2">
        <v>0</v>
      </c>
      <c r="D119" s="7"/>
      <c r="E119" s="12">
        <f t="shared" si="1"/>
        <v>0</v>
      </c>
    </row>
    <row r="120" spans="1:5" x14ac:dyDescent="0.3">
      <c r="E120" s="9">
        <f>SUM(E3:E112)</f>
        <v>124558133</v>
      </c>
    </row>
  </sheetData>
  <autoFilter ref="A2:E119" xr:uid="{00000000-0009-0000-0000-00000F000000}">
    <filterColumn colId="2">
      <filters>
        <filter val="1"/>
        <filter val="1,041"/>
        <filter val="1,620"/>
        <filter val="10"/>
        <filter val="100"/>
        <filter val="11"/>
        <filter val="110"/>
        <filter val="12"/>
        <filter val="139"/>
        <filter val="150"/>
        <filter val="160"/>
        <filter val="17"/>
        <filter val="170"/>
        <filter val="18"/>
        <filter val="180"/>
        <filter val="2,525"/>
        <filter val="20"/>
        <filter val="21"/>
        <filter val="23"/>
        <filter val="231"/>
        <filter val="240"/>
        <filter val="280"/>
        <filter val="3"/>
        <filter val="30"/>
        <filter val="300"/>
        <filter val="353"/>
        <filter val="40"/>
        <filter val="400"/>
        <filter val="5"/>
        <filter val="50"/>
        <filter val="6"/>
        <filter val="60"/>
        <filter val="630"/>
        <filter val="650"/>
        <filter val="70"/>
        <filter val="75"/>
        <filter val="8"/>
        <filter val="9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2:E107"/>
  <sheetViews>
    <sheetView workbookViewId="0">
      <selection activeCell="J15" sqref="J15"/>
    </sheetView>
  </sheetViews>
  <sheetFormatPr defaultRowHeight="14.4" x14ac:dyDescent="0.3"/>
  <cols>
    <col min="1" max="1" width="29.77734375" customWidth="1"/>
    <col min="4" max="4" width="13.88671875" customWidth="1"/>
    <col min="5" max="5" width="22" customWidth="1"/>
  </cols>
  <sheetData>
    <row r="2" spans="1:5" ht="67.2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30</v>
      </c>
      <c r="D3" s="2">
        <v>16000</v>
      </c>
      <c r="E3" s="7">
        <f>C3*D3</f>
        <v>480000</v>
      </c>
    </row>
    <row r="4" spans="1:5" ht="15.6" x14ac:dyDescent="0.3">
      <c r="A4" s="8" t="s">
        <v>4</v>
      </c>
      <c r="B4" s="8" t="s">
        <v>3</v>
      </c>
      <c r="C4" s="2">
        <v>330</v>
      </c>
      <c r="D4" s="2">
        <v>6000</v>
      </c>
      <c r="E4" s="7">
        <f t="shared" ref="E4:E67" si="0">C4*D4</f>
        <v>1980000</v>
      </c>
    </row>
    <row r="5" spans="1:5" ht="15.6" x14ac:dyDescent="0.3">
      <c r="A5" s="8" t="s">
        <v>5</v>
      </c>
      <c r="B5" s="8" t="s">
        <v>3</v>
      </c>
      <c r="C5" s="2">
        <v>630</v>
      </c>
      <c r="D5" s="2">
        <v>4000</v>
      </c>
      <c r="E5" s="7">
        <f t="shared" si="0"/>
        <v>2520000</v>
      </c>
    </row>
    <row r="6" spans="1:5" ht="15.6" x14ac:dyDescent="0.3">
      <c r="A6" s="8" t="s">
        <v>103</v>
      </c>
      <c r="B6" s="8" t="s">
        <v>3</v>
      </c>
      <c r="C6" s="2">
        <v>5</v>
      </c>
      <c r="D6" s="2">
        <v>10000</v>
      </c>
      <c r="E6" s="7">
        <f t="shared" si="0"/>
        <v>50000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550</v>
      </c>
      <c r="D8" s="2">
        <v>9000</v>
      </c>
      <c r="E8" s="7">
        <f t="shared" si="0"/>
        <v>4950000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340</v>
      </c>
      <c r="D10" s="2">
        <v>8000</v>
      </c>
      <c r="E10" s="7">
        <f t="shared" si="0"/>
        <v>2720000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33</v>
      </c>
      <c r="D12" s="2">
        <v>12000</v>
      </c>
      <c r="E12" s="7">
        <f t="shared" si="0"/>
        <v>396000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140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x14ac:dyDescent="0.3">
      <c r="A15" s="8" t="s">
        <v>12</v>
      </c>
      <c r="B15" s="8" t="s">
        <v>3</v>
      </c>
      <c r="C15" s="2">
        <v>20</v>
      </c>
      <c r="D15" s="2">
        <v>12000</v>
      </c>
      <c r="E15" s="7">
        <f t="shared" si="0"/>
        <v>240000</v>
      </c>
    </row>
    <row r="16" spans="1:5" ht="15.6" x14ac:dyDescent="0.3">
      <c r="A16" s="8" t="s">
        <v>14</v>
      </c>
      <c r="B16" s="8" t="s">
        <v>3</v>
      </c>
      <c r="C16" s="2">
        <v>13</v>
      </c>
      <c r="D16" s="2">
        <v>12000</v>
      </c>
      <c r="E16" s="7">
        <f t="shared" si="0"/>
        <v>156000</v>
      </c>
    </row>
    <row r="17" spans="1:5" ht="15.6" x14ac:dyDescent="0.3">
      <c r="A17" s="8" t="s">
        <v>15</v>
      </c>
      <c r="B17" s="8" t="s">
        <v>3</v>
      </c>
      <c r="C17" s="2">
        <v>93</v>
      </c>
      <c r="D17" s="2">
        <v>20000</v>
      </c>
      <c r="E17" s="7">
        <f t="shared" si="0"/>
        <v>1860000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2"/>
      <c r="E18" s="7">
        <f t="shared" si="0"/>
        <v>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2"/>
      <c r="E19" s="7">
        <f t="shared" si="0"/>
        <v>0</v>
      </c>
    </row>
    <row r="20" spans="1:5" ht="15.6" x14ac:dyDescent="0.3">
      <c r="A20" s="8" t="s">
        <v>22</v>
      </c>
      <c r="B20" s="8" t="s">
        <v>3</v>
      </c>
      <c r="C20" s="2">
        <v>285</v>
      </c>
      <c r="D20" s="2">
        <v>11000</v>
      </c>
      <c r="E20" s="7">
        <f t="shared" si="0"/>
        <v>3135000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2"/>
      <c r="E21" s="7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7</v>
      </c>
      <c r="D22" s="20">
        <v>12000</v>
      </c>
      <c r="E22" s="7">
        <f t="shared" si="0"/>
        <v>84000</v>
      </c>
    </row>
    <row r="23" spans="1:5" ht="15.6" hidden="1" x14ac:dyDescent="0.3">
      <c r="A23" s="8" t="s">
        <v>24</v>
      </c>
      <c r="B23" s="8" t="s">
        <v>25</v>
      </c>
      <c r="C23" s="2">
        <v>0</v>
      </c>
      <c r="D23" s="2"/>
      <c r="E23" s="7">
        <f t="shared" si="0"/>
        <v>0</v>
      </c>
    </row>
    <row r="24" spans="1:5" ht="15.6" x14ac:dyDescent="0.3">
      <c r="A24" s="8" t="s">
        <v>26</v>
      </c>
      <c r="B24" s="8" t="s">
        <v>3</v>
      </c>
      <c r="C24" s="2">
        <v>19.5</v>
      </c>
      <c r="D24" s="2">
        <v>15000</v>
      </c>
      <c r="E24" s="7">
        <f t="shared" si="0"/>
        <v>292500</v>
      </c>
    </row>
    <row r="25" spans="1:5" ht="15.6" x14ac:dyDescent="0.3">
      <c r="A25" s="8" t="s">
        <v>26</v>
      </c>
      <c r="B25" s="8" t="s">
        <v>27</v>
      </c>
      <c r="C25" s="2">
        <v>70</v>
      </c>
      <c r="D25" s="2">
        <v>4500</v>
      </c>
      <c r="E25" s="7">
        <f t="shared" si="0"/>
        <v>315000</v>
      </c>
    </row>
    <row r="26" spans="1:5" ht="15.6" x14ac:dyDescent="0.3">
      <c r="A26" s="8" t="s">
        <v>28</v>
      </c>
      <c r="B26" s="8" t="s">
        <v>29</v>
      </c>
      <c r="C26" s="2">
        <v>7</v>
      </c>
      <c r="D26" s="2">
        <v>12000</v>
      </c>
      <c r="E26" s="7">
        <f t="shared" si="0"/>
        <v>84000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2"/>
      <c r="E27" s="7">
        <f t="shared" si="0"/>
        <v>0</v>
      </c>
    </row>
    <row r="28" spans="1:5" ht="15.6" x14ac:dyDescent="0.3">
      <c r="A28" s="8" t="s">
        <v>30</v>
      </c>
      <c r="B28" s="8" t="s">
        <v>31</v>
      </c>
      <c r="C28" s="2">
        <v>265</v>
      </c>
      <c r="D28" s="2">
        <v>7500</v>
      </c>
      <c r="E28" s="7">
        <f t="shared" si="0"/>
        <v>1987500</v>
      </c>
    </row>
    <row r="29" spans="1:5" ht="15.6" x14ac:dyDescent="0.3">
      <c r="A29" s="8" t="s">
        <v>32</v>
      </c>
      <c r="B29" s="8" t="s">
        <v>3</v>
      </c>
      <c r="C29" s="2">
        <v>400</v>
      </c>
      <c r="D29" s="2">
        <v>9000</v>
      </c>
      <c r="E29" s="7">
        <f t="shared" si="0"/>
        <v>3600000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2"/>
      <c r="E30" s="7">
        <f t="shared" si="0"/>
        <v>0</v>
      </c>
    </row>
    <row r="31" spans="1:5" ht="15.6" x14ac:dyDescent="0.3">
      <c r="A31" s="8" t="s">
        <v>33</v>
      </c>
      <c r="B31" s="8" t="s">
        <v>34</v>
      </c>
      <c r="C31" s="2">
        <v>20</v>
      </c>
      <c r="D31" s="2">
        <v>8000</v>
      </c>
      <c r="E31" s="7">
        <f t="shared" si="0"/>
        <v>160000</v>
      </c>
    </row>
    <row r="32" spans="1:5" ht="15.6" hidden="1" x14ac:dyDescent="0.3">
      <c r="A32" s="8" t="s">
        <v>35</v>
      </c>
      <c r="B32" s="8" t="s">
        <v>3</v>
      </c>
      <c r="C32" s="2">
        <v>0</v>
      </c>
      <c r="D32" s="2"/>
      <c r="E32" s="7">
        <f t="shared" si="0"/>
        <v>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2"/>
      <c r="E33" s="7">
        <f t="shared" si="0"/>
        <v>0</v>
      </c>
    </row>
    <row r="34" spans="1:5" ht="15.6" x14ac:dyDescent="0.3">
      <c r="A34" s="8" t="s">
        <v>36</v>
      </c>
      <c r="B34" s="8" t="s">
        <v>17</v>
      </c>
      <c r="C34" s="2">
        <v>5</v>
      </c>
      <c r="D34" s="2">
        <v>6000</v>
      </c>
      <c r="E34" s="7">
        <f t="shared" si="0"/>
        <v>30000</v>
      </c>
    </row>
    <row r="35" spans="1:5" ht="15.6" x14ac:dyDescent="0.3">
      <c r="A35" s="8" t="s">
        <v>37</v>
      </c>
      <c r="B35" s="8" t="s">
        <v>3</v>
      </c>
      <c r="C35" s="2">
        <v>53</v>
      </c>
      <c r="D35" s="2">
        <v>8000</v>
      </c>
      <c r="E35" s="7">
        <f t="shared" si="0"/>
        <v>424000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39</v>
      </c>
      <c r="B37" s="8" t="s">
        <v>3</v>
      </c>
      <c r="C37" s="2">
        <v>8</v>
      </c>
      <c r="D37" s="2">
        <v>18000</v>
      </c>
      <c r="E37" s="7">
        <f t="shared" si="0"/>
        <v>144000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40</v>
      </c>
      <c r="B39" s="8" t="s">
        <v>34</v>
      </c>
      <c r="C39" s="2">
        <v>5</v>
      </c>
      <c r="D39" s="2">
        <v>3000</v>
      </c>
      <c r="E39" s="7">
        <f t="shared" si="0"/>
        <v>15000</v>
      </c>
    </row>
    <row r="40" spans="1:5" ht="15.6" x14ac:dyDescent="0.3">
      <c r="A40" s="8" t="s">
        <v>41</v>
      </c>
      <c r="B40" s="8" t="s">
        <v>34</v>
      </c>
      <c r="C40" s="2">
        <v>14</v>
      </c>
      <c r="D40" s="2">
        <v>3000</v>
      </c>
      <c r="E40" s="7">
        <f t="shared" si="0"/>
        <v>42000</v>
      </c>
    </row>
    <row r="41" spans="1:5" ht="15.6" x14ac:dyDescent="0.3">
      <c r="A41" s="8" t="s">
        <v>42</v>
      </c>
      <c r="B41" s="8" t="s">
        <v>3</v>
      </c>
      <c r="C41" s="2">
        <v>270</v>
      </c>
      <c r="D41" s="2">
        <v>3000</v>
      </c>
      <c r="E41" s="7">
        <f t="shared" si="0"/>
        <v>810000</v>
      </c>
    </row>
    <row r="42" spans="1:5" ht="15.6" hidden="1" x14ac:dyDescent="0.3">
      <c r="A42" s="8" t="s">
        <v>43</v>
      </c>
      <c r="B42" s="8" t="s">
        <v>3</v>
      </c>
      <c r="C42" s="2">
        <v>0</v>
      </c>
      <c r="D42" s="2"/>
      <c r="E42" s="7">
        <f t="shared" si="0"/>
        <v>0</v>
      </c>
    </row>
    <row r="43" spans="1:5" ht="15.6" hidden="1" x14ac:dyDescent="0.3">
      <c r="A43" s="8" t="s">
        <v>44</v>
      </c>
      <c r="B43" s="8" t="s">
        <v>3</v>
      </c>
      <c r="C43" s="2">
        <v>0</v>
      </c>
      <c r="D43" s="2"/>
      <c r="E43" s="7">
        <f t="shared" si="0"/>
        <v>0</v>
      </c>
    </row>
    <row r="44" spans="1:5" ht="15.6" x14ac:dyDescent="0.3">
      <c r="A44" s="8" t="s">
        <v>45</v>
      </c>
      <c r="B44" s="8" t="s">
        <v>3</v>
      </c>
      <c r="C44" s="2">
        <v>10</v>
      </c>
      <c r="D44" s="2">
        <v>9000</v>
      </c>
      <c r="E44" s="7">
        <f t="shared" si="0"/>
        <v>90000</v>
      </c>
    </row>
    <row r="45" spans="1:5" ht="15.6" hidden="1" x14ac:dyDescent="0.3">
      <c r="A45" s="8" t="s">
        <v>45</v>
      </c>
      <c r="B45" s="8" t="s">
        <v>19</v>
      </c>
      <c r="C45" s="2">
        <v>0</v>
      </c>
      <c r="D45" s="2"/>
      <c r="E45" s="7">
        <f t="shared" si="0"/>
        <v>0</v>
      </c>
    </row>
    <row r="46" spans="1:5" ht="15.6" hidden="1" x14ac:dyDescent="0.3">
      <c r="A46" s="8" t="s">
        <v>62</v>
      </c>
      <c r="B46" s="8" t="s">
        <v>3</v>
      </c>
      <c r="C46" s="2">
        <v>0</v>
      </c>
      <c r="D46" s="2"/>
      <c r="E46" s="7">
        <f t="shared" si="0"/>
        <v>0</v>
      </c>
    </row>
    <row r="47" spans="1:5" ht="15.6" x14ac:dyDescent="0.3">
      <c r="A47" s="8" t="s">
        <v>63</v>
      </c>
      <c r="B47" s="8" t="s">
        <v>3</v>
      </c>
      <c r="C47" s="2">
        <v>6</v>
      </c>
      <c r="D47" s="2">
        <v>14000</v>
      </c>
      <c r="E47" s="7">
        <f t="shared" si="0"/>
        <v>84000</v>
      </c>
    </row>
    <row r="48" spans="1:5" ht="15.6" x14ac:dyDescent="0.3">
      <c r="A48" s="8" t="s">
        <v>46</v>
      </c>
      <c r="B48" s="8" t="s">
        <v>29</v>
      </c>
      <c r="C48" s="2">
        <v>9</v>
      </c>
      <c r="D48" s="2">
        <v>10000</v>
      </c>
      <c r="E48" s="7">
        <f t="shared" si="0"/>
        <v>90000</v>
      </c>
    </row>
    <row r="49" spans="1:5" ht="15.6" hidden="1" x14ac:dyDescent="0.3">
      <c r="A49" s="8" t="s">
        <v>47</v>
      </c>
      <c r="B49" s="8" t="s">
        <v>3</v>
      </c>
      <c r="C49" s="2">
        <v>0</v>
      </c>
      <c r="D49" s="2"/>
      <c r="E49" s="7">
        <f t="shared" si="0"/>
        <v>0</v>
      </c>
    </row>
    <row r="50" spans="1:5" ht="15.6" x14ac:dyDescent="0.3">
      <c r="A50" s="8" t="s">
        <v>48</v>
      </c>
      <c r="B50" s="8" t="s">
        <v>3</v>
      </c>
      <c r="C50" s="2">
        <v>65</v>
      </c>
      <c r="D50" s="2">
        <v>8000</v>
      </c>
      <c r="E50" s="7">
        <f t="shared" si="0"/>
        <v>520000</v>
      </c>
    </row>
    <row r="51" spans="1:5" ht="15.6" hidden="1" x14ac:dyDescent="0.3">
      <c r="A51" s="8" t="s">
        <v>48</v>
      </c>
      <c r="B51" s="8" t="s">
        <v>34</v>
      </c>
      <c r="C51" s="2">
        <v>0</v>
      </c>
      <c r="D51" s="21"/>
      <c r="E51" s="7">
        <f t="shared" si="0"/>
        <v>0</v>
      </c>
    </row>
    <row r="52" spans="1:5" ht="15.6" x14ac:dyDescent="0.3">
      <c r="A52" s="8" t="s">
        <v>49</v>
      </c>
      <c r="B52" s="8" t="s">
        <v>3</v>
      </c>
      <c r="C52" s="2">
        <v>19</v>
      </c>
      <c r="D52" s="2">
        <v>21000</v>
      </c>
      <c r="E52" s="7">
        <f t="shared" si="0"/>
        <v>399000</v>
      </c>
    </row>
    <row r="53" spans="1:5" ht="15.6" x14ac:dyDescent="0.3">
      <c r="A53" s="8" t="s">
        <v>50</v>
      </c>
      <c r="B53" s="8" t="s">
        <v>3</v>
      </c>
      <c r="C53" s="2">
        <v>1730</v>
      </c>
      <c r="D53" s="2">
        <v>5500</v>
      </c>
      <c r="E53" s="7">
        <f t="shared" si="0"/>
        <v>9515000</v>
      </c>
    </row>
    <row r="54" spans="1:5" ht="15.6" hidden="1" x14ac:dyDescent="0.3">
      <c r="A54" s="8" t="s">
        <v>50</v>
      </c>
      <c r="B54" s="8" t="s">
        <v>51</v>
      </c>
      <c r="C54" s="2">
        <v>0</v>
      </c>
      <c r="D54" s="2"/>
      <c r="E54" s="7">
        <f t="shared" si="0"/>
        <v>0</v>
      </c>
    </row>
    <row r="55" spans="1:5" ht="15.6" x14ac:dyDescent="0.3">
      <c r="A55" s="8" t="s">
        <v>104</v>
      </c>
      <c r="B55" s="8" t="s">
        <v>3</v>
      </c>
      <c r="C55" s="2">
        <v>60</v>
      </c>
      <c r="D55" s="2">
        <v>20000</v>
      </c>
      <c r="E55" s="7">
        <f t="shared" si="0"/>
        <v>1200000</v>
      </c>
    </row>
    <row r="56" spans="1:5" ht="15.6" x14ac:dyDescent="0.3">
      <c r="A56" s="8" t="s">
        <v>52</v>
      </c>
      <c r="B56" s="8" t="s">
        <v>34</v>
      </c>
      <c r="C56" s="2">
        <v>66</v>
      </c>
      <c r="D56" s="2">
        <v>1350</v>
      </c>
      <c r="E56" s="7">
        <f t="shared" si="0"/>
        <v>89100</v>
      </c>
    </row>
    <row r="57" spans="1:5" ht="15.6" x14ac:dyDescent="0.3">
      <c r="A57" s="8" t="s">
        <v>53</v>
      </c>
      <c r="B57" s="8" t="s">
        <v>3</v>
      </c>
      <c r="C57" s="2">
        <v>900</v>
      </c>
      <c r="D57" s="2">
        <v>21500</v>
      </c>
      <c r="E57" s="7">
        <f t="shared" si="0"/>
        <v>19350000</v>
      </c>
    </row>
    <row r="58" spans="1:5" ht="15.6" x14ac:dyDescent="0.3">
      <c r="A58" s="8" t="s">
        <v>54</v>
      </c>
      <c r="B58" s="8" t="s">
        <v>3</v>
      </c>
      <c r="C58" s="2">
        <v>550</v>
      </c>
      <c r="D58" s="2">
        <v>26500</v>
      </c>
      <c r="E58" s="7">
        <f t="shared" si="0"/>
        <v>14575000</v>
      </c>
    </row>
    <row r="59" spans="1:5" ht="15.6" x14ac:dyDescent="0.3">
      <c r="A59" s="8" t="s">
        <v>55</v>
      </c>
      <c r="B59" s="8" t="s">
        <v>3</v>
      </c>
      <c r="C59" s="2">
        <v>120</v>
      </c>
      <c r="D59" s="2">
        <v>16000</v>
      </c>
      <c r="E59" s="7">
        <f t="shared" si="0"/>
        <v>1920000</v>
      </c>
    </row>
    <row r="60" spans="1:5" ht="15.6" hidden="1" x14ac:dyDescent="0.3">
      <c r="A60" s="8" t="s">
        <v>56</v>
      </c>
      <c r="B60" s="8" t="s">
        <v>3</v>
      </c>
      <c r="C60" s="2">
        <v>0</v>
      </c>
      <c r="D60" s="2"/>
      <c r="E60" s="7">
        <f t="shared" si="0"/>
        <v>0</v>
      </c>
    </row>
    <row r="61" spans="1:5" ht="15.6" hidden="1" x14ac:dyDescent="0.3">
      <c r="A61" s="8" t="s">
        <v>58</v>
      </c>
      <c r="B61" s="8" t="s">
        <v>34</v>
      </c>
      <c r="C61" s="2">
        <v>0</v>
      </c>
      <c r="D61" s="2"/>
      <c r="E61" s="7">
        <f t="shared" si="0"/>
        <v>0</v>
      </c>
    </row>
    <row r="62" spans="1:5" ht="15.6" x14ac:dyDescent="0.3">
      <c r="A62" s="8" t="s">
        <v>59</v>
      </c>
      <c r="B62" s="8" t="s">
        <v>3</v>
      </c>
      <c r="C62" s="2">
        <v>526</v>
      </c>
      <c r="D62" s="2">
        <v>14000</v>
      </c>
      <c r="E62" s="7">
        <f t="shared" si="0"/>
        <v>7364000</v>
      </c>
    </row>
    <row r="63" spans="1:5" ht="15.6" hidden="1" x14ac:dyDescent="0.3">
      <c r="A63" s="8" t="s">
        <v>59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hidden="1" x14ac:dyDescent="0.3">
      <c r="A64" s="8" t="s">
        <v>60</v>
      </c>
      <c r="B64" s="8" t="s">
        <v>34</v>
      </c>
      <c r="C64" s="2">
        <v>0</v>
      </c>
      <c r="D64" s="2"/>
      <c r="E64" s="7">
        <f t="shared" si="0"/>
        <v>0</v>
      </c>
    </row>
    <row r="65" spans="1:5" ht="15.6" hidden="1" x14ac:dyDescent="0.3">
      <c r="A65" s="8" t="s">
        <v>61</v>
      </c>
      <c r="B65" s="8" t="s">
        <v>3</v>
      </c>
      <c r="C65" s="2">
        <v>0</v>
      </c>
      <c r="D65" s="2"/>
      <c r="E65" s="7">
        <f t="shared" si="0"/>
        <v>0</v>
      </c>
    </row>
    <row r="66" spans="1:5" ht="15.6" x14ac:dyDescent="0.3">
      <c r="A66" s="8" t="s">
        <v>67</v>
      </c>
      <c r="B66" s="8" t="s">
        <v>34</v>
      </c>
      <c r="C66" s="2">
        <v>14</v>
      </c>
      <c r="D66" s="2">
        <v>6000</v>
      </c>
      <c r="E66" s="7">
        <f t="shared" si="0"/>
        <v>84000</v>
      </c>
    </row>
    <row r="67" spans="1:5" ht="15.6" hidden="1" x14ac:dyDescent="0.3">
      <c r="A67" s="8" t="s">
        <v>68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x14ac:dyDescent="0.3">
      <c r="A68" s="8" t="s">
        <v>68</v>
      </c>
      <c r="B68" s="8" t="s">
        <v>34</v>
      </c>
      <c r="C68" s="2">
        <v>30</v>
      </c>
      <c r="D68" s="2">
        <v>6500</v>
      </c>
      <c r="E68" s="7">
        <f t="shared" ref="E68:E106" si="1">C68*D68</f>
        <v>195000</v>
      </c>
    </row>
    <row r="69" spans="1:5" ht="15.6" x14ac:dyDescent="0.3">
      <c r="A69" s="8" t="s">
        <v>68</v>
      </c>
      <c r="B69" s="8" t="s">
        <v>51</v>
      </c>
      <c r="C69" s="2">
        <v>10</v>
      </c>
      <c r="D69" s="2">
        <v>4500</v>
      </c>
      <c r="E69" s="7">
        <f t="shared" si="1"/>
        <v>45000</v>
      </c>
    </row>
    <row r="70" spans="1:5" ht="15.6" x14ac:dyDescent="0.3">
      <c r="A70" s="8" t="s">
        <v>69</v>
      </c>
      <c r="B70" s="8" t="s">
        <v>3</v>
      </c>
      <c r="C70" s="2">
        <v>0.3</v>
      </c>
      <c r="D70" s="2">
        <v>80000</v>
      </c>
      <c r="E70" s="7">
        <f t="shared" si="1"/>
        <v>24000</v>
      </c>
    </row>
    <row r="71" spans="1:5" ht="15.6" x14ac:dyDescent="0.3">
      <c r="A71" s="8" t="s">
        <v>106</v>
      </c>
      <c r="B71" s="8" t="s">
        <v>3</v>
      </c>
      <c r="C71" s="2">
        <v>1</v>
      </c>
      <c r="D71" s="2">
        <v>60000</v>
      </c>
      <c r="E71" s="7">
        <f t="shared" si="1"/>
        <v>60000</v>
      </c>
    </row>
    <row r="72" spans="1:5" ht="15.6" x14ac:dyDescent="0.3">
      <c r="A72" s="8" t="s">
        <v>71</v>
      </c>
      <c r="B72" s="8" t="s">
        <v>3</v>
      </c>
      <c r="C72" s="2">
        <v>1</v>
      </c>
      <c r="D72" s="2">
        <v>70000</v>
      </c>
      <c r="E72" s="7">
        <f t="shared" si="1"/>
        <v>70000</v>
      </c>
    </row>
    <row r="73" spans="1:5" ht="15.6" hidden="1" x14ac:dyDescent="0.3">
      <c r="A73" s="8" t="s">
        <v>117</v>
      </c>
      <c r="B73" s="8" t="s">
        <v>34</v>
      </c>
      <c r="C73" s="2">
        <v>0</v>
      </c>
      <c r="D73" s="2"/>
      <c r="E73" s="7">
        <f t="shared" si="1"/>
        <v>0</v>
      </c>
    </row>
    <row r="74" spans="1:5" ht="15.6" hidden="1" x14ac:dyDescent="0.3">
      <c r="A74" s="8" t="s">
        <v>64</v>
      </c>
      <c r="B74" s="8" t="s">
        <v>3</v>
      </c>
      <c r="C74" s="2">
        <v>0</v>
      </c>
      <c r="D74" s="2"/>
      <c r="E74" s="7">
        <f t="shared" si="1"/>
        <v>0</v>
      </c>
    </row>
    <row r="75" spans="1:5" ht="15.6" x14ac:dyDescent="0.3">
      <c r="A75" s="8" t="s">
        <v>64</v>
      </c>
      <c r="B75" s="8" t="s">
        <v>17</v>
      </c>
      <c r="C75" s="2">
        <v>1350</v>
      </c>
      <c r="D75" s="2">
        <v>6700</v>
      </c>
      <c r="E75" s="7">
        <f t="shared" si="1"/>
        <v>9045000</v>
      </c>
    </row>
    <row r="76" spans="1:5" ht="15.6" hidden="1" x14ac:dyDescent="0.3">
      <c r="A76" s="8" t="s">
        <v>65</v>
      </c>
      <c r="B76" s="8" t="s">
        <v>3</v>
      </c>
      <c r="C76" s="2">
        <v>0</v>
      </c>
      <c r="D76" s="2"/>
      <c r="E76" s="7">
        <f t="shared" si="1"/>
        <v>0</v>
      </c>
    </row>
    <row r="77" spans="1:5" ht="15.6" x14ac:dyDescent="0.3">
      <c r="A77" s="8" t="s">
        <v>66</v>
      </c>
      <c r="B77" s="8" t="s">
        <v>3</v>
      </c>
      <c r="C77" s="2">
        <v>13</v>
      </c>
      <c r="D77" s="2">
        <v>12000</v>
      </c>
      <c r="E77" s="7">
        <f t="shared" si="1"/>
        <v>156000</v>
      </c>
    </row>
    <row r="78" spans="1:5" ht="15.6" x14ac:dyDescent="0.3">
      <c r="A78" s="8" t="s">
        <v>72</v>
      </c>
      <c r="B78" s="8" t="s">
        <v>3</v>
      </c>
      <c r="C78" s="2">
        <v>60</v>
      </c>
      <c r="D78" s="2">
        <v>10000</v>
      </c>
      <c r="E78" s="7">
        <f t="shared" si="1"/>
        <v>600000</v>
      </c>
    </row>
    <row r="79" spans="1:5" ht="15.6" hidden="1" x14ac:dyDescent="0.3">
      <c r="A79" s="8" t="s">
        <v>72</v>
      </c>
      <c r="B79" s="8" t="s">
        <v>19</v>
      </c>
      <c r="C79" s="2">
        <v>0</v>
      </c>
      <c r="D79" s="2"/>
      <c r="E79" s="7">
        <f t="shared" si="1"/>
        <v>0</v>
      </c>
    </row>
    <row r="80" spans="1:5" ht="15.6" hidden="1" x14ac:dyDescent="0.3">
      <c r="A80" s="8" t="s">
        <v>74</v>
      </c>
      <c r="B80" s="8" t="s">
        <v>34</v>
      </c>
      <c r="C80" s="2">
        <v>0</v>
      </c>
      <c r="D80" s="2"/>
      <c r="E80" s="7">
        <f t="shared" si="1"/>
        <v>0</v>
      </c>
    </row>
    <row r="81" spans="1:5" ht="15.6" hidden="1" x14ac:dyDescent="0.3">
      <c r="A81" s="8" t="s">
        <v>75</v>
      </c>
      <c r="B81" s="8" t="s">
        <v>3</v>
      </c>
      <c r="C81" s="2">
        <v>0</v>
      </c>
      <c r="D81" s="2"/>
      <c r="E81" s="7">
        <f t="shared" si="1"/>
        <v>0</v>
      </c>
    </row>
    <row r="82" spans="1:5" ht="15.6" x14ac:dyDescent="0.3">
      <c r="A82" s="8" t="s">
        <v>76</v>
      </c>
      <c r="B82" s="8" t="s">
        <v>3</v>
      </c>
      <c r="C82" s="2">
        <v>165</v>
      </c>
      <c r="D82" s="2">
        <v>62000</v>
      </c>
      <c r="E82" s="7">
        <f t="shared" si="1"/>
        <v>10230000</v>
      </c>
    </row>
    <row r="83" spans="1:5" ht="15.6" hidden="1" x14ac:dyDescent="0.3">
      <c r="A83" s="8" t="s">
        <v>137</v>
      </c>
      <c r="B83" s="8" t="s">
        <v>3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79</v>
      </c>
      <c r="B84" s="8" t="s">
        <v>17</v>
      </c>
      <c r="C84" s="2">
        <v>0</v>
      </c>
      <c r="D84" s="2"/>
      <c r="E84" s="7">
        <f t="shared" si="1"/>
        <v>0</v>
      </c>
    </row>
    <row r="85" spans="1:5" ht="15.6" hidden="1" x14ac:dyDescent="0.3">
      <c r="A85" s="8" t="s">
        <v>80</v>
      </c>
      <c r="B85" s="8" t="s">
        <v>29</v>
      </c>
      <c r="C85" s="2">
        <v>0</v>
      </c>
      <c r="D85" s="2"/>
      <c r="E85" s="7">
        <f t="shared" si="1"/>
        <v>0</v>
      </c>
    </row>
    <row r="86" spans="1:5" ht="15.6" x14ac:dyDescent="0.3">
      <c r="A86" s="8" t="s">
        <v>81</v>
      </c>
      <c r="B86" s="8" t="s">
        <v>3</v>
      </c>
      <c r="C86" s="2">
        <v>8</v>
      </c>
      <c r="D86" s="2">
        <v>26000</v>
      </c>
      <c r="E86" s="7">
        <f t="shared" si="1"/>
        <v>208000</v>
      </c>
    </row>
    <row r="87" spans="1:5" ht="15.6" hidden="1" x14ac:dyDescent="0.3">
      <c r="A87" s="8" t="s">
        <v>81</v>
      </c>
      <c r="B87" s="8" t="s">
        <v>9</v>
      </c>
      <c r="C87" s="2">
        <v>0</v>
      </c>
      <c r="D87" s="2"/>
      <c r="E87" s="7">
        <f t="shared" si="1"/>
        <v>0</v>
      </c>
    </row>
    <row r="88" spans="1:5" ht="15.6" x14ac:dyDescent="0.3">
      <c r="A88" s="8" t="s">
        <v>82</v>
      </c>
      <c r="B88" s="8" t="s">
        <v>3</v>
      </c>
      <c r="C88" s="2">
        <v>20</v>
      </c>
      <c r="D88" s="2">
        <v>24000</v>
      </c>
      <c r="E88" s="7">
        <f t="shared" si="1"/>
        <v>480000</v>
      </c>
    </row>
    <row r="89" spans="1:5" ht="15.6" hidden="1" x14ac:dyDescent="0.3">
      <c r="A89" s="8" t="s">
        <v>82</v>
      </c>
      <c r="B89" s="8" t="s">
        <v>9</v>
      </c>
      <c r="C89" s="2">
        <v>0</v>
      </c>
      <c r="D89" s="2"/>
      <c r="E89" s="7">
        <f t="shared" si="1"/>
        <v>0</v>
      </c>
    </row>
    <row r="90" spans="1:5" ht="15.6" x14ac:dyDescent="0.3">
      <c r="A90" s="8" t="s">
        <v>83</v>
      </c>
      <c r="B90" s="8" t="s">
        <v>3</v>
      </c>
      <c r="C90" s="2">
        <v>55</v>
      </c>
      <c r="D90" s="2">
        <v>30000</v>
      </c>
      <c r="E90" s="7">
        <f t="shared" si="1"/>
        <v>1650000</v>
      </c>
    </row>
    <row r="91" spans="1:5" ht="15.6" hidden="1" x14ac:dyDescent="0.3">
      <c r="A91" s="8" t="s">
        <v>83</v>
      </c>
      <c r="B91" s="8" t="s">
        <v>9</v>
      </c>
      <c r="C91" s="2">
        <v>0</v>
      </c>
      <c r="D91" s="2"/>
      <c r="E91" s="7">
        <f t="shared" si="1"/>
        <v>0</v>
      </c>
    </row>
    <row r="92" spans="1:5" ht="15.6" x14ac:dyDescent="0.3">
      <c r="A92" s="8" t="s">
        <v>110</v>
      </c>
      <c r="B92" s="8" t="s">
        <v>3</v>
      </c>
      <c r="C92" s="2">
        <v>10</v>
      </c>
      <c r="D92" s="2">
        <v>25000</v>
      </c>
      <c r="E92" s="7">
        <f t="shared" si="1"/>
        <v>250000</v>
      </c>
    </row>
    <row r="93" spans="1:5" ht="15.6" x14ac:dyDescent="0.3">
      <c r="A93" s="8" t="s">
        <v>84</v>
      </c>
      <c r="B93" s="8" t="s">
        <v>34</v>
      </c>
      <c r="C93" s="2">
        <v>24</v>
      </c>
      <c r="D93" s="2">
        <v>16000</v>
      </c>
      <c r="E93" s="7">
        <f t="shared" si="1"/>
        <v>384000</v>
      </c>
    </row>
    <row r="94" spans="1:5" ht="15.6" hidden="1" x14ac:dyDescent="0.3">
      <c r="A94" s="8" t="s">
        <v>142</v>
      </c>
      <c r="B94" s="8" t="s">
        <v>3</v>
      </c>
      <c r="C94" s="2">
        <v>0</v>
      </c>
      <c r="D94" s="2"/>
      <c r="E94" s="7">
        <f t="shared" si="1"/>
        <v>0</v>
      </c>
    </row>
    <row r="95" spans="1:5" ht="15.6" hidden="1" x14ac:dyDescent="0.3">
      <c r="A95" s="8" t="s">
        <v>85</v>
      </c>
      <c r="B95" s="8" t="s">
        <v>34</v>
      </c>
      <c r="C95" s="2">
        <v>0</v>
      </c>
      <c r="D95" s="2"/>
      <c r="E95" s="7">
        <f t="shared" si="1"/>
        <v>0</v>
      </c>
    </row>
    <row r="96" spans="1:5" ht="15.6" x14ac:dyDescent="0.3">
      <c r="A96" s="8" t="s">
        <v>86</v>
      </c>
      <c r="B96" s="8" t="s">
        <v>9</v>
      </c>
      <c r="C96" s="2">
        <v>300</v>
      </c>
      <c r="D96" s="2">
        <v>9000</v>
      </c>
      <c r="E96" s="7">
        <f t="shared" si="1"/>
        <v>2700000</v>
      </c>
    </row>
    <row r="97" spans="1:5" ht="15.6" x14ac:dyDescent="0.3">
      <c r="A97" s="8" t="s">
        <v>87</v>
      </c>
      <c r="B97" s="8" t="s">
        <v>9</v>
      </c>
      <c r="C97" s="2">
        <v>353</v>
      </c>
      <c r="D97" s="2">
        <v>11361</v>
      </c>
      <c r="E97" s="7">
        <f t="shared" si="1"/>
        <v>4010433</v>
      </c>
    </row>
    <row r="98" spans="1:5" ht="15.6" x14ac:dyDescent="0.3">
      <c r="A98" s="8" t="s">
        <v>89</v>
      </c>
      <c r="B98" s="8" t="s">
        <v>3</v>
      </c>
      <c r="C98" s="2">
        <v>7</v>
      </c>
      <c r="D98" s="2">
        <v>18000</v>
      </c>
      <c r="E98" s="7">
        <f t="shared" si="1"/>
        <v>126000</v>
      </c>
    </row>
    <row r="99" spans="1:5" ht="15.6" x14ac:dyDescent="0.3">
      <c r="A99" s="8" t="s">
        <v>90</v>
      </c>
      <c r="B99" s="8" t="s">
        <v>3</v>
      </c>
      <c r="C99" s="2">
        <v>25</v>
      </c>
      <c r="D99" s="2">
        <v>7000</v>
      </c>
      <c r="E99" s="7">
        <f t="shared" si="1"/>
        <v>175000</v>
      </c>
    </row>
    <row r="100" spans="1:5" ht="15.6" x14ac:dyDescent="0.3">
      <c r="A100" s="8" t="s">
        <v>91</v>
      </c>
      <c r="B100" s="8" t="s">
        <v>3</v>
      </c>
      <c r="C100" s="2">
        <v>10</v>
      </c>
      <c r="D100" s="2">
        <v>22000</v>
      </c>
      <c r="E100" s="7">
        <f t="shared" si="1"/>
        <v>220000</v>
      </c>
    </row>
    <row r="101" spans="1:5" ht="15.6" x14ac:dyDescent="0.3">
      <c r="A101" s="8" t="s">
        <v>92</v>
      </c>
      <c r="B101" s="8" t="s">
        <v>3</v>
      </c>
      <c r="C101" s="2">
        <v>8</v>
      </c>
      <c r="D101" s="2">
        <v>25000</v>
      </c>
      <c r="E101" s="7">
        <f t="shared" si="1"/>
        <v>200000</v>
      </c>
    </row>
    <row r="102" spans="1:5" ht="15.6" hidden="1" x14ac:dyDescent="0.3">
      <c r="A102" s="8" t="s">
        <v>93</v>
      </c>
      <c r="B102" s="8" t="s">
        <v>19</v>
      </c>
      <c r="C102" s="2">
        <v>0</v>
      </c>
      <c r="D102" s="2"/>
      <c r="E102" s="7">
        <f t="shared" si="1"/>
        <v>0</v>
      </c>
    </row>
    <row r="103" spans="1:5" ht="15.6" hidden="1" x14ac:dyDescent="0.3">
      <c r="A103" s="8" t="s">
        <v>94</v>
      </c>
      <c r="B103" s="8" t="s">
        <v>3</v>
      </c>
      <c r="C103" s="2">
        <v>0</v>
      </c>
      <c r="D103" s="2"/>
      <c r="E103" s="7">
        <f t="shared" si="1"/>
        <v>0</v>
      </c>
    </row>
    <row r="104" spans="1:5" ht="15.6" hidden="1" x14ac:dyDescent="0.3">
      <c r="A104" s="8" t="s">
        <v>95</v>
      </c>
      <c r="B104" s="8" t="s">
        <v>19</v>
      </c>
      <c r="C104" s="2">
        <v>0</v>
      </c>
      <c r="D104" s="2"/>
      <c r="E104" s="7">
        <f t="shared" si="1"/>
        <v>0</v>
      </c>
    </row>
    <row r="105" spans="1:5" ht="15.6" x14ac:dyDescent="0.3">
      <c r="A105" s="8" t="s">
        <v>97</v>
      </c>
      <c r="B105" s="8" t="s">
        <v>3</v>
      </c>
      <c r="C105" s="2">
        <v>14</v>
      </c>
      <c r="D105" s="2">
        <v>25000</v>
      </c>
      <c r="E105" s="7">
        <f t="shared" si="1"/>
        <v>350000</v>
      </c>
    </row>
    <row r="106" spans="1:5" ht="15.6" hidden="1" x14ac:dyDescent="0.3">
      <c r="A106" s="8" t="s">
        <v>98</v>
      </c>
      <c r="B106" s="8" t="s">
        <v>19</v>
      </c>
      <c r="C106" s="2">
        <v>0</v>
      </c>
      <c r="D106" s="2"/>
      <c r="E106" s="7">
        <f t="shared" si="1"/>
        <v>0</v>
      </c>
    </row>
    <row r="107" spans="1:5" x14ac:dyDescent="0.3">
      <c r="E107" s="9">
        <f>SUM(E3:E105)</f>
        <v>112933533</v>
      </c>
    </row>
  </sheetData>
  <autoFilter ref="A2:E106" xr:uid="{00000000-0009-0000-0000-000010000000}">
    <filterColumn colId="2">
      <filters>
        <filter val="0"/>
        <filter val="1"/>
        <filter val="1,350"/>
        <filter val="1,730"/>
        <filter val="10"/>
        <filter val="120"/>
        <filter val="13"/>
        <filter val="14"/>
        <filter val="165"/>
        <filter val="19"/>
        <filter val="20"/>
        <filter val="24"/>
        <filter val="25"/>
        <filter val="265"/>
        <filter val="270"/>
        <filter val="285"/>
        <filter val="30"/>
        <filter val="300"/>
        <filter val="33"/>
        <filter val="330"/>
        <filter val="340"/>
        <filter val="353"/>
        <filter val="400"/>
        <filter val="5"/>
        <filter val="526"/>
        <filter val="53"/>
        <filter val="55"/>
        <filter val="550"/>
        <filter val="6"/>
        <filter val="60"/>
        <filter val="630"/>
        <filter val="65"/>
        <filter val="66"/>
        <filter val="7"/>
        <filter val="70"/>
        <filter val="8"/>
        <filter val="9"/>
        <filter val="900"/>
        <filter val="93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E121"/>
  <sheetViews>
    <sheetView topLeftCell="A46" workbookViewId="0">
      <selection activeCell="G8" sqref="G8"/>
    </sheetView>
  </sheetViews>
  <sheetFormatPr defaultRowHeight="14.4" x14ac:dyDescent="0.3"/>
  <cols>
    <col min="1" max="1" width="27.33203125" customWidth="1"/>
    <col min="4" max="4" width="15.21875" customWidth="1"/>
    <col min="5" max="5" width="18.33203125" customWidth="1"/>
  </cols>
  <sheetData>
    <row r="1" spans="1:5" x14ac:dyDescent="0.3">
      <c r="A1" t="s">
        <v>144</v>
      </c>
    </row>
    <row r="2" spans="1:5" ht="53.4" customHeight="1" x14ac:dyDescent="0.3">
      <c r="A2" s="10" t="s">
        <v>0</v>
      </c>
      <c r="B2" s="10" t="s">
        <v>1</v>
      </c>
      <c r="C2" s="2" t="s">
        <v>131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21</v>
      </c>
      <c r="D3" s="7">
        <v>16000</v>
      </c>
      <c r="E3" s="12">
        <f>C3*D3</f>
        <v>336000</v>
      </c>
    </row>
    <row r="4" spans="1:5" ht="15.6" hidden="1" x14ac:dyDescent="0.3">
      <c r="A4" s="8" t="s">
        <v>4</v>
      </c>
      <c r="B4" s="8" t="s">
        <v>3</v>
      </c>
      <c r="C4" s="2">
        <v>0</v>
      </c>
      <c r="D4" s="7"/>
      <c r="E4" s="12">
        <f t="shared" ref="E4:E67" si="0">C4*D4</f>
        <v>0</v>
      </c>
    </row>
    <row r="5" spans="1:5" ht="15.6" x14ac:dyDescent="0.3">
      <c r="A5" s="8" t="s">
        <v>5</v>
      </c>
      <c r="B5" s="8" t="s">
        <v>3</v>
      </c>
      <c r="C5" s="2">
        <v>540</v>
      </c>
      <c r="D5" s="7">
        <v>4000</v>
      </c>
      <c r="E5" s="12">
        <f t="shared" si="0"/>
        <v>2160000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7"/>
      <c r="E7" s="12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815</v>
      </c>
      <c r="D8" s="7">
        <v>9000</v>
      </c>
      <c r="E8" s="12">
        <f t="shared" si="0"/>
        <v>7335000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7"/>
      <c r="E9" s="12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50</v>
      </c>
      <c r="D10" s="7">
        <v>8000</v>
      </c>
      <c r="E10" s="12">
        <f t="shared" si="0"/>
        <v>400000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7"/>
      <c r="E11" s="12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28</v>
      </c>
      <c r="D12" s="7">
        <v>12000</v>
      </c>
      <c r="E12" s="12">
        <f t="shared" si="0"/>
        <v>336000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7"/>
      <c r="E13" s="12">
        <f t="shared" si="0"/>
        <v>0</v>
      </c>
    </row>
    <row r="14" spans="1:5" ht="15.6" hidden="1" x14ac:dyDescent="0.3">
      <c r="A14" s="8" t="s">
        <v>122</v>
      </c>
      <c r="B14" s="8" t="s">
        <v>3</v>
      </c>
      <c r="C14" s="2">
        <v>0</v>
      </c>
      <c r="D14" s="7"/>
      <c r="E14" s="12">
        <f t="shared" si="0"/>
        <v>0</v>
      </c>
    </row>
    <row r="15" spans="1:5" ht="15.6" hidden="1" x14ac:dyDescent="0.3">
      <c r="A15" s="8" t="s">
        <v>12</v>
      </c>
      <c r="B15" s="8" t="s">
        <v>3</v>
      </c>
      <c r="C15" s="2">
        <v>0</v>
      </c>
      <c r="D15" s="7"/>
      <c r="E15" s="12">
        <f t="shared" si="0"/>
        <v>0</v>
      </c>
    </row>
    <row r="16" spans="1:5" ht="15.6" x14ac:dyDescent="0.3">
      <c r="A16" s="8" t="s">
        <v>14</v>
      </c>
      <c r="B16" s="8" t="s">
        <v>3</v>
      </c>
      <c r="C16" s="2">
        <v>12</v>
      </c>
      <c r="D16" s="7">
        <v>12000</v>
      </c>
      <c r="E16" s="12">
        <f t="shared" si="0"/>
        <v>144000</v>
      </c>
    </row>
    <row r="17" spans="1:5" ht="15.6" x14ac:dyDescent="0.3">
      <c r="A17" s="8" t="s">
        <v>15</v>
      </c>
      <c r="B17" s="8" t="s">
        <v>3</v>
      </c>
      <c r="C17" s="2">
        <v>60</v>
      </c>
      <c r="D17" s="7">
        <v>16000</v>
      </c>
      <c r="E17" s="12">
        <f t="shared" si="0"/>
        <v>960000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7"/>
      <c r="E18" s="12">
        <f t="shared" si="0"/>
        <v>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7"/>
      <c r="E19" s="12">
        <f t="shared" si="0"/>
        <v>0</v>
      </c>
    </row>
    <row r="20" spans="1:5" ht="15.6" x14ac:dyDescent="0.3">
      <c r="A20" s="8" t="s">
        <v>22</v>
      </c>
      <c r="B20" s="8" t="s">
        <v>3</v>
      </c>
      <c r="C20" s="2">
        <v>175</v>
      </c>
      <c r="D20" s="7">
        <v>11000</v>
      </c>
      <c r="E20" s="12">
        <f t="shared" si="0"/>
        <v>1925000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7"/>
      <c r="E21" s="12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25</v>
      </c>
      <c r="D22" s="7">
        <v>12000</v>
      </c>
      <c r="E22" s="12">
        <f t="shared" si="0"/>
        <v>300000</v>
      </c>
    </row>
    <row r="23" spans="1:5" ht="15.6" hidden="1" x14ac:dyDescent="0.3">
      <c r="A23" s="8" t="s">
        <v>24</v>
      </c>
      <c r="B23" s="8" t="s">
        <v>25</v>
      </c>
      <c r="C23" s="2">
        <v>0</v>
      </c>
      <c r="D23" s="7"/>
      <c r="E23" s="12">
        <f t="shared" si="0"/>
        <v>0</v>
      </c>
    </row>
    <row r="24" spans="1:5" ht="15.6" x14ac:dyDescent="0.3">
      <c r="A24" s="8" t="s">
        <v>26</v>
      </c>
      <c r="B24" s="8" t="s">
        <v>3</v>
      </c>
      <c r="C24" s="2">
        <v>6</v>
      </c>
      <c r="D24" s="7">
        <v>15000</v>
      </c>
      <c r="E24" s="12">
        <f t="shared" si="0"/>
        <v>90000</v>
      </c>
    </row>
    <row r="25" spans="1:5" ht="15.6" x14ac:dyDescent="0.3">
      <c r="A25" s="8" t="s">
        <v>26</v>
      </c>
      <c r="B25" s="8" t="s">
        <v>27</v>
      </c>
      <c r="C25" s="2">
        <v>5</v>
      </c>
      <c r="D25" s="7">
        <v>4500</v>
      </c>
      <c r="E25" s="12">
        <f t="shared" si="0"/>
        <v>22500</v>
      </c>
    </row>
    <row r="26" spans="1:5" ht="15.6" x14ac:dyDescent="0.3">
      <c r="A26" s="8" t="s">
        <v>28</v>
      </c>
      <c r="B26" s="8" t="s">
        <v>29</v>
      </c>
      <c r="C26" s="2">
        <v>12</v>
      </c>
      <c r="D26" s="7">
        <v>12000</v>
      </c>
      <c r="E26" s="12">
        <f t="shared" si="0"/>
        <v>144000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7"/>
      <c r="E27" s="12">
        <f t="shared" si="0"/>
        <v>0</v>
      </c>
    </row>
    <row r="28" spans="1:5" ht="15.6" x14ac:dyDescent="0.3">
      <c r="A28" s="8" t="s">
        <v>30</v>
      </c>
      <c r="B28" s="8" t="s">
        <v>31</v>
      </c>
      <c r="C28" s="2">
        <v>8</v>
      </c>
      <c r="D28" s="7">
        <v>7500</v>
      </c>
      <c r="E28" s="12">
        <f t="shared" si="0"/>
        <v>60000</v>
      </c>
    </row>
    <row r="29" spans="1:5" ht="15.6" x14ac:dyDescent="0.3">
      <c r="A29" s="8" t="s">
        <v>32</v>
      </c>
      <c r="B29" s="8" t="s">
        <v>3</v>
      </c>
      <c r="C29" s="2">
        <v>150</v>
      </c>
      <c r="D29" s="7">
        <v>8500</v>
      </c>
      <c r="E29" s="12">
        <f t="shared" si="0"/>
        <v>1275000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7"/>
      <c r="E30" s="12">
        <f t="shared" si="0"/>
        <v>0</v>
      </c>
    </row>
    <row r="31" spans="1:5" ht="15.6" x14ac:dyDescent="0.3">
      <c r="A31" s="8" t="s">
        <v>33</v>
      </c>
      <c r="B31" s="8" t="s">
        <v>34</v>
      </c>
      <c r="C31" s="2">
        <v>150</v>
      </c>
      <c r="D31" s="7">
        <v>5500</v>
      </c>
      <c r="E31" s="12">
        <f t="shared" si="0"/>
        <v>825000</v>
      </c>
    </row>
    <row r="32" spans="1:5" ht="15.6" x14ac:dyDescent="0.3">
      <c r="A32" s="8" t="s">
        <v>35</v>
      </c>
      <c r="B32" s="8" t="s">
        <v>3</v>
      </c>
      <c r="C32" s="2">
        <v>35</v>
      </c>
      <c r="D32" s="7">
        <v>6500</v>
      </c>
      <c r="E32" s="12">
        <f t="shared" si="0"/>
        <v>227500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7"/>
      <c r="E33" s="12">
        <f t="shared" si="0"/>
        <v>0</v>
      </c>
    </row>
    <row r="34" spans="1:5" ht="15.6" x14ac:dyDescent="0.3">
      <c r="A34" s="8" t="s">
        <v>36</v>
      </c>
      <c r="B34" s="8" t="s">
        <v>17</v>
      </c>
      <c r="C34" s="2">
        <v>7</v>
      </c>
      <c r="D34" s="7">
        <v>6000</v>
      </c>
      <c r="E34" s="12">
        <f t="shared" si="0"/>
        <v>42000</v>
      </c>
    </row>
    <row r="35" spans="1:5" ht="15.6" x14ac:dyDescent="0.3">
      <c r="A35" s="8" t="s">
        <v>37</v>
      </c>
      <c r="B35" s="8" t="s">
        <v>3</v>
      </c>
      <c r="C35" s="2">
        <v>28</v>
      </c>
      <c r="D35" s="7">
        <v>8000</v>
      </c>
      <c r="E35" s="12">
        <f t="shared" si="0"/>
        <v>224000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7"/>
      <c r="E36" s="12">
        <f t="shared" si="0"/>
        <v>0</v>
      </c>
    </row>
    <row r="37" spans="1:5" ht="15.6" x14ac:dyDescent="0.3">
      <c r="A37" s="8" t="s">
        <v>39</v>
      </c>
      <c r="B37" s="8" t="s">
        <v>3</v>
      </c>
      <c r="C37" s="2">
        <v>2</v>
      </c>
      <c r="D37" s="7">
        <v>25000</v>
      </c>
      <c r="E37" s="12">
        <f t="shared" si="0"/>
        <v>50000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7"/>
      <c r="E38" s="12">
        <f t="shared" si="0"/>
        <v>0</v>
      </c>
    </row>
    <row r="39" spans="1:5" ht="15.6" hidden="1" x14ac:dyDescent="0.3">
      <c r="A39" s="8" t="s">
        <v>40</v>
      </c>
      <c r="B39" s="8" t="s">
        <v>3</v>
      </c>
      <c r="C39" s="2">
        <v>0</v>
      </c>
      <c r="D39" s="7"/>
      <c r="E39" s="12">
        <f t="shared" si="0"/>
        <v>0</v>
      </c>
    </row>
    <row r="40" spans="1:5" ht="15.6" x14ac:dyDescent="0.3">
      <c r="A40" s="8" t="s">
        <v>40</v>
      </c>
      <c r="B40" s="8" t="s">
        <v>34</v>
      </c>
      <c r="C40" s="2">
        <v>4</v>
      </c>
      <c r="D40" s="7">
        <v>3000</v>
      </c>
      <c r="E40" s="12">
        <f t="shared" si="0"/>
        <v>12000</v>
      </c>
    </row>
    <row r="41" spans="1:5" ht="15.6" hidden="1" x14ac:dyDescent="0.3">
      <c r="A41" s="8" t="s">
        <v>41</v>
      </c>
      <c r="B41" s="8" t="s">
        <v>3</v>
      </c>
      <c r="C41" s="2">
        <v>0</v>
      </c>
      <c r="D41" s="7"/>
      <c r="E41" s="12">
        <f t="shared" si="0"/>
        <v>0</v>
      </c>
    </row>
    <row r="42" spans="1:5" ht="15.6" x14ac:dyDescent="0.3">
      <c r="A42" s="8" t="s">
        <v>41</v>
      </c>
      <c r="B42" s="8" t="s">
        <v>34</v>
      </c>
      <c r="C42" s="2">
        <v>3</v>
      </c>
      <c r="D42" s="7">
        <v>3000</v>
      </c>
      <c r="E42" s="12">
        <f t="shared" si="0"/>
        <v>9000</v>
      </c>
    </row>
    <row r="43" spans="1:5" ht="15.6" x14ac:dyDescent="0.3">
      <c r="A43" s="8" t="s">
        <v>42</v>
      </c>
      <c r="B43" s="8" t="s">
        <v>3</v>
      </c>
      <c r="C43" s="2">
        <v>400</v>
      </c>
      <c r="D43" s="7">
        <v>3000</v>
      </c>
      <c r="E43" s="12">
        <f t="shared" si="0"/>
        <v>1200000</v>
      </c>
    </row>
    <row r="44" spans="1:5" ht="15.6" hidden="1" x14ac:dyDescent="0.3">
      <c r="A44" s="8" t="s">
        <v>43</v>
      </c>
      <c r="B44" s="8" t="s">
        <v>3</v>
      </c>
      <c r="C44" s="2">
        <v>0</v>
      </c>
      <c r="D44" s="7"/>
      <c r="E44" s="12">
        <f t="shared" si="0"/>
        <v>0</v>
      </c>
    </row>
    <row r="45" spans="1:5" ht="15.6" x14ac:dyDescent="0.3">
      <c r="A45" s="8" t="s">
        <v>44</v>
      </c>
      <c r="B45" s="8" t="s">
        <v>3</v>
      </c>
      <c r="C45" s="2">
        <v>15</v>
      </c>
      <c r="D45" s="7">
        <v>3000</v>
      </c>
      <c r="E45" s="12">
        <f t="shared" si="0"/>
        <v>45000</v>
      </c>
    </row>
    <row r="46" spans="1:5" ht="15.6" x14ac:dyDescent="0.3">
      <c r="A46" s="8" t="s">
        <v>45</v>
      </c>
      <c r="B46" s="8" t="s">
        <v>3</v>
      </c>
      <c r="C46" s="2">
        <v>12</v>
      </c>
      <c r="D46" s="7">
        <v>9000</v>
      </c>
      <c r="E46" s="12">
        <f t="shared" si="0"/>
        <v>108000</v>
      </c>
    </row>
    <row r="47" spans="1:5" ht="15.6" hidden="1" x14ac:dyDescent="0.3">
      <c r="A47" s="8" t="s">
        <v>45</v>
      </c>
      <c r="B47" s="8" t="s">
        <v>19</v>
      </c>
      <c r="C47" s="2">
        <v>0</v>
      </c>
      <c r="D47" s="7"/>
      <c r="E47" s="12">
        <f t="shared" si="0"/>
        <v>0</v>
      </c>
    </row>
    <row r="48" spans="1:5" ht="15.6" hidden="1" x14ac:dyDescent="0.3">
      <c r="A48" s="8" t="s">
        <v>62</v>
      </c>
      <c r="B48" s="8" t="s">
        <v>3</v>
      </c>
      <c r="C48" s="2">
        <v>0</v>
      </c>
      <c r="D48" s="7"/>
      <c r="E48" s="12">
        <f t="shared" si="0"/>
        <v>0</v>
      </c>
    </row>
    <row r="49" spans="1:5" ht="15.6" hidden="1" x14ac:dyDescent="0.3">
      <c r="A49" s="8" t="s">
        <v>63</v>
      </c>
      <c r="B49" s="8" t="s">
        <v>3</v>
      </c>
      <c r="C49" s="2">
        <v>0</v>
      </c>
      <c r="D49" s="7"/>
      <c r="E49" s="12">
        <f t="shared" si="0"/>
        <v>0</v>
      </c>
    </row>
    <row r="50" spans="1:5" ht="15.6" x14ac:dyDescent="0.3">
      <c r="A50" s="8" t="s">
        <v>46</v>
      </c>
      <c r="B50" s="8" t="s">
        <v>29</v>
      </c>
      <c r="C50" s="2">
        <v>9</v>
      </c>
      <c r="D50" s="7">
        <v>10000</v>
      </c>
      <c r="E50" s="12">
        <f t="shared" si="0"/>
        <v>90000</v>
      </c>
    </row>
    <row r="51" spans="1:5" ht="15.6" hidden="1" x14ac:dyDescent="0.3">
      <c r="A51" s="8" t="s">
        <v>46</v>
      </c>
      <c r="B51" s="8" t="s">
        <v>3</v>
      </c>
      <c r="C51" s="2">
        <v>0</v>
      </c>
      <c r="D51" s="7"/>
      <c r="E51" s="12">
        <f t="shared" si="0"/>
        <v>0</v>
      </c>
    </row>
    <row r="52" spans="1:5" ht="15.6" hidden="1" x14ac:dyDescent="0.3">
      <c r="A52" s="8" t="s">
        <v>47</v>
      </c>
      <c r="B52" s="8" t="s">
        <v>3</v>
      </c>
      <c r="C52" s="2">
        <v>0</v>
      </c>
      <c r="D52" s="7"/>
      <c r="E52" s="12">
        <f t="shared" si="0"/>
        <v>0</v>
      </c>
    </row>
    <row r="53" spans="1:5" ht="15.6" x14ac:dyDescent="0.3">
      <c r="A53" s="8" t="s">
        <v>48</v>
      </c>
      <c r="B53" s="8" t="s">
        <v>3</v>
      </c>
      <c r="C53" s="2">
        <v>35</v>
      </c>
      <c r="D53" s="7">
        <v>8000</v>
      </c>
      <c r="E53" s="12">
        <f t="shared" si="0"/>
        <v>280000</v>
      </c>
    </row>
    <row r="54" spans="1:5" ht="15.6" hidden="1" x14ac:dyDescent="0.3">
      <c r="A54" s="8" t="s">
        <v>48</v>
      </c>
      <c r="B54" s="8" t="s">
        <v>34</v>
      </c>
      <c r="C54" s="2">
        <v>0</v>
      </c>
      <c r="D54" s="7"/>
      <c r="E54" s="12">
        <f t="shared" si="0"/>
        <v>0</v>
      </c>
    </row>
    <row r="55" spans="1:5" ht="15.6" x14ac:dyDescent="0.3">
      <c r="A55" s="8" t="s">
        <v>49</v>
      </c>
      <c r="B55" s="8" t="s">
        <v>3</v>
      </c>
      <c r="C55" s="2">
        <v>2</v>
      </c>
      <c r="D55" s="7">
        <v>19000</v>
      </c>
      <c r="E55" s="12">
        <f t="shared" si="0"/>
        <v>38000</v>
      </c>
    </row>
    <row r="56" spans="1:5" ht="15.6" x14ac:dyDescent="0.3">
      <c r="A56" s="8" t="s">
        <v>50</v>
      </c>
      <c r="B56" s="8" t="s">
        <v>3</v>
      </c>
      <c r="C56" s="2">
        <v>570</v>
      </c>
      <c r="D56" s="7">
        <v>5500</v>
      </c>
      <c r="E56" s="12">
        <f t="shared" si="0"/>
        <v>3135000</v>
      </c>
    </row>
    <row r="57" spans="1:5" ht="15.6" hidden="1" x14ac:dyDescent="0.3">
      <c r="A57" s="8" t="s">
        <v>50</v>
      </c>
      <c r="B57" s="8" t="s">
        <v>51</v>
      </c>
      <c r="C57" s="2">
        <v>0</v>
      </c>
      <c r="D57" s="7"/>
      <c r="E57" s="12">
        <f t="shared" si="0"/>
        <v>0</v>
      </c>
    </row>
    <row r="58" spans="1:5" ht="15.6" x14ac:dyDescent="0.3">
      <c r="A58" s="8" t="s">
        <v>104</v>
      </c>
      <c r="B58" s="8" t="s">
        <v>3</v>
      </c>
      <c r="C58" s="2">
        <v>68</v>
      </c>
      <c r="D58" s="7">
        <v>20000</v>
      </c>
      <c r="E58" s="12">
        <f t="shared" si="0"/>
        <v>1360000</v>
      </c>
    </row>
    <row r="59" spans="1:5" ht="15.6" x14ac:dyDescent="0.3">
      <c r="A59" s="8" t="s">
        <v>52</v>
      </c>
      <c r="B59" s="8" t="s">
        <v>34</v>
      </c>
      <c r="C59" s="2">
        <v>666</v>
      </c>
      <c r="D59" s="7">
        <v>1350</v>
      </c>
      <c r="E59" s="12">
        <f t="shared" si="0"/>
        <v>899100</v>
      </c>
    </row>
    <row r="60" spans="1:5" ht="15.6" x14ac:dyDescent="0.3">
      <c r="A60" s="8" t="s">
        <v>53</v>
      </c>
      <c r="B60" s="8" t="s">
        <v>3</v>
      </c>
      <c r="C60" s="2">
        <v>1350</v>
      </c>
      <c r="D60" s="7">
        <v>21500</v>
      </c>
      <c r="E60" s="12">
        <f t="shared" si="0"/>
        <v>29025000</v>
      </c>
    </row>
    <row r="61" spans="1:5" ht="15.6" x14ac:dyDescent="0.3">
      <c r="A61" s="8" t="s">
        <v>54</v>
      </c>
      <c r="B61" s="8" t="s">
        <v>3</v>
      </c>
      <c r="C61" s="2">
        <v>200</v>
      </c>
      <c r="D61" s="7">
        <v>26500</v>
      </c>
      <c r="E61" s="12">
        <f t="shared" si="0"/>
        <v>5300000</v>
      </c>
    </row>
    <row r="62" spans="1:5" ht="15.6" hidden="1" x14ac:dyDescent="0.3">
      <c r="A62" s="8" t="s">
        <v>54</v>
      </c>
      <c r="B62" s="8" t="s">
        <v>34</v>
      </c>
      <c r="C62" s="2">
        <v>0</v>
      </c>
      <c r="D62" s="7"/>
      <c r="E62" s="12">
        <f t="shared" si="0"/>
        <v>0</v>
      </c>
    </row>
    <row r="63" spans="1:5" ht="15.6" x14ac:dyDescent="0.3">
      <c r="A63" s="8" t="s">
        <v>55</v>
      </c>
      <c r="B63" s="8" t="s">
        <v>3</v>
      </c>
      <c r="C63" s="2">
        <v>170</v>
      </c>
      <c r="D63" s="7">
        <v>16000</v>
      </c>
      <c r="E63" s="12">
        <f t="shared" si="0"/>
        <v>2720000</v>
      </c>
    </row>
    <row r="64" spans="1:5" ht="15.6" x14ac:dyDescent="0.3">
      <c r="A64" s="8" t="s">
        <v>56</v>
      </c>
      <c r="B64" s="8" t="s">
        <v>3</v>
      </c>
      <c r="C64" s="2">
        <v>55</v>
      </c>
      <c r="D64" s="7">
        <v>24000</v>
      </c>
      <c r="E64" s="12">
        <f t="shared" si="0"/>
        <v>1320000</v>
      </c>
    </row>
    <row r="65" spans="1:5" ht="15.6" hidden="1" x14ac:dyDescent="0.3">
      <c r="A65" s="8" t="s">
        <v>58</v>
      </c>
      <c r="B65" s="8" t="s">
        <v>3</v>
      </c>
      <c r="C65" s="2">
        <v>0</v>
      </c>
      <c r="D65" s="7"/>
      <c r="E65" s="12">
        <f t="shared" si="0"/>
        <v>0</v>
      </c>
    </row>
    <row r="66" spans="1:5" ht="15.6" hidden="1" x14ac:dyDescent="0.3">
      <c r="A66" s="8" t="s">
        <v>58</v>
      </c>
      <c r="B66" s="8" t="s">
        <v>34</v>
      </c>
      <c r="C66" s="2">
        <v>0</v>
      </c>
      <c r="D66" s="7"/>
      <c r="E66" s="12">
        <f t="shared" si="0"/>
        <v>0</v>
      </c>
    </row>
    <row r="67" spans="1:5" ht="15.6" hidden="1" x14ac:dyDescent="0.3">
      <c r="A67" s="8" t="s">
        <v>105</v>
      </c>
      <c r="B67" s="8" t="s">
        <v>3</v>
      </c>
      <c r="C67" s="2">
        <v>0</v>
      </c>
      <c r="D67" s="7"/>
      <c r="E67" s="12">
        <f t="shared" si="0"/>
        <v>0</v>
      </c>
    </row>
    <row r="68" spans="1:5" ht="15.6" x14ac:dyDescent="0.3">
      <c r="A68" s="8" t="s">
        <v>59</v>
      </c>
      <c r="B68" s="8" t="s">
        <v>3</v>
      </c>
      <c r="C68" s="2">
        <v>500</v>
      </c>
      <c r="D68" s="7">
        <v>14000</v>
      </c>
      <c r="E68" s="12">
        <f t="shared" ref="E68:E120" si="1">C68*D68</f>
        <v>7000000</v>
      </c>
    </row>
    <row r="69" spans="1:5" ht="15.6" hidden="1" x14ac:dyDescent="0.3">
      <c r="A69" s="8" t="s">
        <v>59</v>
      </c>
      <c r="B69" s="8" t="s">
        <v>34</v>
      </c>
      <c r="C69" s="2">
        <v>0</v>
      </c>
      <c r="D69" s="7"/>
      <c r="E69" s="12">
        <f t="shared" si="1"/>
        <v>0</v>
      </c>
    </row>
    <row r="70" spans="1:5" ht="15.6" x14ac:dyDescent="0.3">
      <c r="A70" s="8" t="s">
        <v>60</v>
      </c>
      <c r="B70" s="8" t="s">
        <v>34</v>
      </c>
      <c r="C70" s="2">
        <v>440</v>
      </c>
      <c r="D70" s="7">
        <v>5250</v>
      </c>
      <c r="E70" s="12">
        <f t="shared" si="1"/>
        <v>2310000</v>
      </c>
    </row>
    <row r="71" spans="1:5" ht="15.6" hidden="1" x14ac:dyDescent="0.3">
      <c r="A71" s="8" t="s">
        <v>143</v>
      </c>
      <c r="B71" s="8" t="s">
        <v>3</v>
      </c>
      <c r="C71" s="2">
        <v>0</v>
      </c>
      <c r="D71" s="7"/>
      <c r="E71" s="12">
        <f t="shared" si="1"/>
        <v>0</v>
      </c>
    </row>
    <row r="72" spans="1:5" ht="15.6" hidden="1" x14ac:dyDescent="0.3">
      <c r="A72" s="8" t="s">
        <v>61</v>
      </c>
      <c r="B72" s="8" t="s">
        <v>3</v>
      </c>
      <c r="C72" s="2">
        <v>0</v>
      </c>
      <c r="D72" s="7"/>
      <c r="E72" s="12">
        <f t="shared" si="1"/>
        <v>0</v>
      </c>
    </row>
    <row r="73" spans="1:5" ht="15.6" x14ac:dyDescent="0.3">
      <c r="A73" s="8" t="s">
        <v>67</v>
      </c>
      <c r="B73" s="8" t="s">
        <v>34</v>
      </c>
      <c r="C73" s="2">
        <v>16</v>
      </c>
      <c r="D73" s="7">
        <v>6000</v>
      </c>
      <c r="E73" s="12">
        <f t="shared" si="1"/>
        <v>96000</v>
      </c>
    </row>
    <row r="74" spans="1:5" ht="15.6" hidden="1" x14ac:dyDescent="0.3">
      <c r="A74" s="8" t="s">
        <v>68</v>
      </c>
      <c r="B74" s="8" t="s">
        <v>3</v>
      </c>
      <c r="C74" s="2">
        <v>0</v>
      </c>
      <c r="D74" s="7"/>
      <c r="E74" s="12">
        <f t="shared" si="1"/>
        <v>0</v>
      </c>
    </row>
    <row r="75" spans="1:5" ht="15.6" x14ac:dyDescent="0.3">
      <c r="A75" s="8" t="s">
        <v>68</v>
      </c>
      <c r="B75" s="8" t="s">
        <v>34</v>
      </c>
      <c r="C75" s="2">
        <v>41</v>
      </c>
      <c r="D75" s="7">
        <v>6500</v>
      </c>
      <c r="E75" s="12">
        <f t="shared" si="1"/>
        <v>266500</v>
      </c>
    </row>
    <row r="76" spans="1:5" ht="15.6" hidden="1" x14ac:dyDescent="0.3">
      <c r="A76" s="8" t="s">
        <v>69</v>
      </c>
      <c r="B76" s="8" t="s">
        <v>3</v>
      </c>
      <c r="C76" s="2">
        <v>0</v>
      </c>
      <c r="D76" s="7"/>
      <c r="E76" s="12">
        <f t="shared" si="1"/>
        <v>0</v>
      </c>
    </row>
    <row r="77" spans="1:5" ht="15.6" x14ac:dyDescent="0.3">
      <c r="A77" s="8" t="s">
        <v>106</v>
      </c>
      <c r="B77" s="8" t="s">
        <v>3</v>
      </c>
      <c r="C77" s="2">
        <v>1</v>
      </c>
      <c r="D77" s="7">
        <v>60000</v>
      </c>
      <c r="E77" s="12">
        <f t="shared" si="1"/>
        <v>60000</v>
      </c>
    </row>
    <row r="78" spans="1:5" ht="15.6" hidden="1" x14ac:dyDescent="0.3">
      <c r="A78" s="8" t="s">
        <v>70</v>
      </c>
      <c r="B78" s="8" t="s">
        <v>3</v>
      </c>
      <c r="C78" s="2">
        <v>0</v>
      </c>
      <c r="D78" s="7"/>
      <c r="E78" s="12">
        <f t="shared" si="1"/>
        <v>0</v>
      </c>
    </row>
    <row r="79" spans="1:5" ht="15.6" hidden="1" x14ac:dyDescent="0.3">
      <c r="A79" s="8" t="s">
        <v>71</v>
      </c>
      <c r="B79" s="8" t="s">
        <v>3</v>
      </c>
      <c r="C79" s="2">
        <v>0</v>
      </c>
      <c r="D79" s="7"/>
      <c r="E79" s="12">
        <f t="shared" si="1"/>
        <v>0</v>
      </c>
    </row>
    <row r="80" spans="1:5" ht="15.6" hidden="1" x14ac:dyDescent="0.3">
      <c r="A80" s="8" t="s">
        <v>64</v>
      </c>
      <c r="B80" s="8" t="s">
        <v>3</v>
      </c>
      <c r="C80" s="2">
        <v>0</v>
      </c>
      <c r="D80" s="7"/>
      <c r="E80" s="12">
        <f t="shared" si="1"/>
        <v>0</v>
      </c>
    </row>
    <row r="81" spans="1:5" ht="15.6" x14ac:dyDescent="0.3">
      <c r="A81" s="8" t="s">
        <v>64</v>
      </c>
      <c r="B81" s="8" t="s">
        <v>17</v>
      </c>
      <c r="C81" s="2">
        <v>2084</v>
      </c>
      <c r="D81" s="7">
        <v>6700</v>
      </c>
      <c r="E81" s="12">
        <f t="shared" si="1"/>
        <v>13962800</v>
      </c>
    </row>
    <row r="82" spans="1:5" ht="15.6" hidden="1" x14ac:dyDescent="0.3">
      <c r="A82" s="8" t="s">
        <v>65</v>
      </c>
      <c r="B82" s="8" t="s">
        <v>3</v>
      </c>
      <c r="C82" s="2">
        <v>0</v>
      </c>
      <c r="D82" s="7"/>
      <c r="E82" s="12">
        <f t="shared" si="1"/>
        <v>0</v>
      </c>
    </row>
    <row r="83" spans="1:5" ht="15.6" x14ac:dyDescent="0.3">
      <c r="A83" s="8" t="s">
        <v>66</v>
      </c>
      <c r="B83" s="8" t="s">
        <v>3</v>
      </c>
      <c r="C83" s="2">
        <v>23</v>
      </c>
      <c r="D83" s="7">
        <v>12000</v>
      </c>
      <c r="E83" s="12">
        <f t="shared" si="1"/>
        <v>276000</v>
      </c>
    </row>
    <row r="84" spans="1:5" ht="15.6" x14ac:dyDescent="0.3">
      <c r="A84" s="8" t="s">
        <v>72</v>
      </c>
      <c r="B84" s="8" t="s">
        <v>3</v>
      </c>
      <c r="C84" s="2">
        <v>7</v>
      </c>
      <c r="D84" s="7">
        <v>10000</v>
      </c>
      <c r="E84" s="12">
        <f t="shared" si="1"/>
        <v>70000</v>
      </c>
    </row>
    <row r="85" spans="1:5" ht="15.6" hidden="1" x14ac:dyDescent="0.3">
      <c r="A85" s="8" t="s">
        <v>72</v>
      </c>
      <c r="B85" s="8" t="s">
        <v>19</v>
      </c>
      <c r="C85" s="2">
        <v>0</v>
      </c>
      <c r="D85" s="7"/>
      <c r="E85" s="12">
        <f t="shared" si="1"/>
        <v>0</v>
      </c>
    </row>
    <row r="86" spans="1:5" ht="15.6" hidden="1" x14ac:dyDescent="0.3">
      <c r="A86" s="8" t="s">
        <v>74</v>
      </c>
      <c r="B86" s="8" t="s">
        <v>34</v>
      </c>
      <c r="C86" s="2">
        <v>0</v>
      </c>
      <c r="D86" s="7"/>
      <c r="E86" s="12">
        <f t="shared" si="1"/>
        <v>0</v>
      </c>
    </row>
    <row r="87" spans="1:5" ht="15.6" hidden="1" x14ac:dyDescent="0.3">
      <c r="A87" s="8" t="s">
        <v>75</v>
      </c>
      <c r="B87" s="8" t="s">
        <v>3</v>
      </c>
      <c r="C87" s="2">
        <v>0</v>
      </c>
      <c r="D87" s="7"/>
      <c r="E87" s="12">
        <f t="shared" si="1"/>
        <v>0</v>
      </c>
    </row>
    <row r="88" spans="1:5" ht="15.6" x14ac:dyDescent="0.3">
      <c r="A88" s="8" t="s">
        <v>76</v>
      </c>
      <c r="B88" s="8" t="s">
        <v>3</v>
      </c>
      <c r="C88" s="2">
        <v>260</v>
      </c>
      <c r="D88" s="7">
        <v>62000</v>
      </c>
      <c r="E88" s="12">
        <f t="shared" si="1"/>
        <v>16120000</v>
      </c>
    </row>
    <row r="89" spans="1:5" ht="15.6" hidden="1" x14ac:dyDescent="0.3">
      <c r="A89" s="8" t="s">
        <v>76</v>
      </c>
      <c r="B89" s="8" t="s">
        <v>78</v>
      </c>
      <c r="C89" s="2">
        <v>0</v>
      </c>
      <c r="D89" s="7"/>
      <c r="E89" s="12">
        <f t="shared" si="1"/>
        <v>0</v>
      </c>
    </row>
    <row r="90" spans="1:5" ht="15.6" hidden="1" x14ac:dyDescent="0.3">
      <c r="A90" s="8" t="s">
        <v>76</v>
      </c>
      <c r="B90" s="8" t="s">
        <v>77</v>
      </c>
      <c r="C90" s="2">
        <v>0</v>
      </c>
      <c r="D90" s="7"/>
      <c r="E90" s="12">
        <f t="shared" si="1"/>
        <v>0</v>
      </c>
    </row>
    <row r="91" spans="1:5" ht="15.6" hidden="1" x14ac:dyDescent="0.3">
      <c r="A91" s="8" t="s">
        <v>137</v>
      </c>
      <c r="B91" s="8" t="s">
        <v>3</v>
      </c>
      <c r="C91" s="2">
        <v>0</v>
      </c>
      <c r="D91" s="7"/>
      <c r="E91" s="12">
        <f t="shared" si="1"/>
        <v>0</v>
      </c>
    </row>
    <row r="92" spans="1:5" ht="15.6" hidden="1" x14ac:dyDescent="0.3">
      <c r="A92" s="8" t="s">
        <v>79</v>
      </c>
      <c r="B92" s="8" t="s">
        <v>17</v>
      </c>
      <c r="C92" s="2">
        <v>0</v>
      </c>
      <c r="D92" s="7"/>
      <c r="E92" s="12">
        <f t="shared" si="1"/>
        <v>0</v>
      </c>
    </row>
    <row r="93" spans="1:5" ht="15.6" hidden="1" x14ac:dyDescent="0.3">
      <c r="A93" s="8" t="s">
        <v>80</v>
      </c>
      <c r="B93" s="8" t="s">
        <v>29</v>
      </c>
      <c r="C93" s="2">
        <v>0</v>
      </c>
      <c r="D93" s="7"/>
      <c r="E93" s="12">
        <f t="shared" si="1"/>
        <v>0</v>
      </c>
    </row>
    <row r="94" spans="1:5" ht="15.6" hidden="1" x14ac:dyDescent="0.3">
      <c r="A94" s="8" t="s">
        <v>80</v>
      </c>
      <c r="B94" s="8" t="s">
        <v>3</v>
      </c>
      <c r="C94" s="2">
        <v>0</v>
      </c>
      <c r="D94" s="7"/>
      <c r="E94" s="12">
        <f t="shared" si="1"/>
        <v>0</v>
      </c>
    </row>
    <row r="95" spans="1:5" ht="15.6" x14ac:dyDescent="0.3">
      <c r="A95" s="8" t="s">
        <v>81</v>
      </c>
      <c r="B95" s="8" t="s">
        <v>3</v>
      </c>
      <c r="C95" s="2">
        <v>80</v>
      </c>
      <c r="D95" s="7">
        <v>26000</v>
      </c>
      <c r="E95" s="12">
        <f t="shared" si="1"/>
        <v>2080000</v>
      </c>
    </row>
    <row r="96" spans="1:5" ht="15.6" hidden="1" x14ac:dyDescent="0.3">
      <c r="A96" s="8" t="s">
        <v>81</v>
      </c>
      <c r="B96" s="8" t="s">
        <v>9</v>
      </c>
      <c r="C96" s="2">
        <v>0</v>
      </c>
      <c r="D96" s="7"/>
      <c r="E96" s="12">
        <f t="shared" si="1"/>
        <v>0</v>
      </c>
    </row>
    <row r="97" spans="1:5" ht="15.6" x14ac:dyDescent="0.3">
      <c r="A97" s="8" t="s">
        <v>108</v>
      </c>
      <c r="B97" s="8" t="s">
        <v>3</v>
      </c>
      <c r="C97" s="2">
        <v>15</v>
      </c>
      <c r="D97" s="7">
        <v>22000</v>
      </c>
      <c r="E97" s="12">
        <f t="shared" si="1"/>
        <v>330000</v>
      </c>
    </row>
    <row r="98" spans="1:5" ht="15.6" x14ac:dyDescent="0.3">
      <c r="A98" s="8" t="s">
        <v>82</v>
      </c>
      <c r="B98" s="8" t="s">
        <v>3</v>
      </c>
      <c r="C98" s="2">
        <v>48</v>
      </c>
      <c r="D98" s="7">
        <v>24000</v>
      </c>
      <c r="E98" s="12">
        <f t="shared" si="1"/>
        <v>1152000</v>
      </c>
    </row>
    <row r="99" spans="1:5" ht="15.6" hidden="1" x14ac:dyDescent="0.3">
      <c r="A99" s="8" t="s">
        <v>82</v>
      </c>
      <c r="B99" s="8" t="s">
        <v>9</v>
      </c>
      <c r="C99" s="2">
        <v>0</v>
      </c>
      <c r="D99" s="7"/>
      <c r="E99" s="12">
        <f t="shared" si="1"/>
        <v>0</v>
      </c>
    </row>
    <row r="100" spans="1:5" ht="15.6" x14ac:dyDescent="0.3">
      <c r="A100" s="8" t="s">
        <v>109</v>
      </c>
      <c r="B100" s="8" t="s">
        <v>3</v>
      </c>
      <c r="C100" s="2">
        <v>15</v>
      </c>
      <c r="D100" s="7">
        <v>20000</v>
      </c>
      <c r="E100" s="12">
        <f t="shared" si="1"/>
        <v>300000</v>
      </c>
    </row>
    <row r="101" spans="1:5" ht="15.6" x14ac:dyDescent="0.3">
      <c r="A101" s="8" t="s">
        <v>83</v>
      </c>
      <c r="B101" s="8" t="s">
        <v>3</v>
      </c>
      <c r="C101" s="2">
        <v>4</v>
      </c>
      <c r="D101" s="7">
        <v>30000</v>
      </c>
      <c r="E101" s="12">
        <f t="shared" si="1"/>
        <v>120000</v>
      </c>
    </row>
    <row r="102" spans="1:5" ht="15.6" hidden="1" x14ac:dyDescent="0.3">
      <c r="A102" s="8" t="s">
        <v>83</v>
      </c>
      <c r="B102" s="8" t="s">
        <v>9</v>
      </c>
      <c r="C102" s="2">
        <v>0</v>
      </c>
      <c r="D102" s="7"/>
      <c r="E102" s="12">
        <f t="shared" si="1"/>
        <v>0</v>
      </c>
    </row>
    <row r="103" spans="1:5" ht="15.6" x14ac:dyDescent="0.3">
      <c r="A103" s="8" t="s">
        <v>84</v>
      </c>
      <c r="B103" s="8" t="s">
        <v>34</v>
      </c>
      <c r="C103" s="2">
        <v>39</v>
      </c>
      <c r="D103" s="7">
        <v>16000</v>
      </c>
      <c r="E103" s="12">
        <f t="shared" si="1"/>
        <v>624000</v>
      </c>
    </row>
    <row r="104" spans="1:5" ht="15.6" hidden="1" x14ac:dyDescent="0.3">
      <c r="A104" s="8" t="s">
        <v>142</v>
      </c>
      <c r="B104" s="8" t="s">
        <v>3</v>
      </c>
      <c r="C104" s="2">
        <v>0</v>
      </c>
      <c r="D104" s="7"/>
      <c r="E104" s="12">
        <f t="shared" si="1"/>
        <v>0</v>
      </c>
    </row>
    <row r="105" spans="1:5" ht="15.6" hidden="1" x14ac:dyDescent="0.3">
      <c r="A105" s="8" t="s">
        <v>85</v>
      </c>
      <c r="B105" s="8" t="s">
        <v>34</v>
      </c>
      <c r="C105" s="2">
        <v>0</v>
      </c>
      <c r="D105" s="7"/>
      <c r="E105" s="12">
        <f t="shared" si="1"/>
        <v>0</v>
      </c>
    </row>
    <row r="106" spans="1:5" ht="15.6" hidden="1" x14ac:dyDescent="0.3">
      <c r="A106" s="8" t="s">
        <v>119</v>
      </c>
      <c r="B106" s="8" t="s">
        <v>3</v>
      </c>
      <c r="C106" s="2">
        <v>0</v>
      </c>
      <c r="D106" s="7"/>
      <c r="E106" s="12">
        <f t="shared" si="1"/>
        <v>0</v>
      </c>
    </row>
    <row r="107" spans="1:5" ht="15.6" hidden="1" x14ac:dyDescent="0.3">
      <c r="A107" s="8" t="s">
        <v>111</v>
      </c>
      <c r="B107" s="8" t="s">
        <v>3</v>
      </c>
      <c r="C107" s="2">
        <v>0</v>
      </c>
      <c r="D107" s="7"/>
      <c r="E107" s="12">
        <f t="shared" si="1"/>
        <v>0</v>
      </c>
    </row>
    <row r="108" spans="1:5" ht="15.6" x14ac:dyDescent="0.3">
      <c r="A108" s="8" t="s">
        <v>86</v>
      </c>
      <c r="B108" s="8" t="s">
        <v>9</v>
      </c>
      <c r="C108" s="2">
        <v>300</v>
      </c>
      <c r="D108" s="7">
        <v>9000</v>
      </c>
      <c r="E108" s="12">
        <f t="shared" si="1"/>
        <v>2700000</v>
      </c>
    </row>
    <row r="109" spans="1:5" ht="15.6" x14ac:dyDescent="0.3">
      <c r="A109" s="8" t="s">
        <v>87</v>
      </c>
      <c r="B109" s="8" t="s">
        <v>9</v>
      </c>
      <c r="C109" s="2">
        <v>353</v>
      </c>
      <c r="D109" s="7">
        <v>11361</v>
      </c>
      <c r="E109" s="12">
        <f t="shared" si="1"/>
        <v>4010433</v>
      </c>
    </row>
    <row r="110" spans="1:5" ht="15.6" x14ac:dyDescent="0.3">
      <c r="A110" s="8" t="s">
        <v>89</v>
      </c>
      <c r="B110" s="8" t="s">
        <v>3</v>
      </c>
      <c r="C110" s="2">
        <v>11</v>
      </c>
      <c r="D110" s="7">
        <v>18000</v>
      </c>
      <c r="E110" s="12">
        <f t="shared" si="1"/>
        <v>198000</v>
      </c>
    </row>
    <row r="111" spans="1:5" ht="15.6" x14ac:dyDescent="0.3">
      <c r="A111" s="8" t="s">
        <v>90</v>
      </c>
      <c r="B111" s="8" t="s">
        <v>3</v>
      </c>
      <c r="C111" s="2">
        <v>40</v>
      </c>
      <c r="D111" s="7">
        <v>7000</v>
      </c>
      <c r="E111" s="12">
        <f t="shared" si="1"/>
        <v>280000</v>
      </c>
    </row>
    <row r="112" spans="1:5" ht="15.6" hidden="1" x14ac:dyDescent="0.3">
      <c r="A112" s="8" t="s">
        <v>113</v>
      </c>
      <c r="B112" s="8" t="s">
        <v>3</v>
      </c>
      <c r="C112" s="2">
        <v>0</v>
      </c>
      <c r="D112" s="7"/>
      <c r="E112" s="12">
        <f t="shared" si="1"/>
        <v>0</v>
      </c>
    </row>
    <row r="113" spans="1:5" ht="15.6" x14ac:dyDescent="0.3">
      <c r="A113" s="8" t="s">
        <v>91</v>
      </c>
      <c r="B113" s="8" t="s">
        <v>3</v>
      </c>
      <c r="C113" s="2">
        <v>16</v>
      </c>
      <c r="D113" s="7">
        <v>22000</v>
      </c>
      <c r="E113" s="12">
        <f t="shared" si="1"/>
        <v>352000</v>
      </c>
    </row>
    <row r="114" spans="1:5" ht="15.6" hidden="1" x14ac:dyDescent="0.3">
      <c r="A114" s="8" t="s">
        <v>120</v>
      </c>
      <c r="B114" s="8" t="s">
        <v>3</v>
      </c>
      <c r="C114" s="2">
        <v>0</v>
      </c>
      <c r="D114" s="7"/>
      <c r="E114" s="12">
        <f t="shared" si="1"/>
        <v>0</v>
      </c>
    </row>
    <row r="115" spans="1:5" ht="15.6" hidden="1" x14ac:dyDescent="0.3">
      <c r="A115" s="8" t="s">
        <v>92</v>
      </c>
      <c r="B115" s="8" t="s">
        <v>3</v>
      </c>
      <c r="C115" s="2">
        <v>0</v>
      </c>
      <c r="D115" s="7"/>
      <c r="E115" s="12">
        <f t="shared" si="1"/>
        <v>0</v>
      </c>
    </row>
    <row r="116" spans="1:5" ht="15.6" hidden="1" x14ac:dyDescent="0.3">
      <c r="A116" s="8" t="s">
        <v>93</v>
      </c>
      <c r="B116" s="8" t="s">
        <v>19</v>
      </c>
      <c r="C116" s="2">
        <v>0</v>
      </c>
      <c r="D116" s="7"/>
      <c r="E116" s="12">
        <f t="shared" si="1"/>
        <v>0</v>
      </c>
    </row>
    <row r="117" spans="1:5" ht="15.6" x14ac:dyDescent="0.3">
      <c r="A117" s="8" t="s">
        <v>94</v>
      </c>
      <c r="B117" s="8" t="s">
        <v>3</v>
      </c>
      <c r="C117" s="2">
        <v>6</v>
      </c>
      <c r="D117" s="7">
        <v>24000</v>
      </c>
      <c r="E117" s="12">
        <f t="shared" si="1"/>
        <v>144000</v>
      </c>
    </row>
    <row r="118" spans="1:5" ht="15.6" hidden="1" x14ac:dyDescent="0.3">
      <c r="A118" s="8" t="s">
        <v>95</v>
      </c>
      <c r="B118" s="8" t="s">
        <v>19</v>
      </c>
      <c r="C118" s="2">
        <v>0</v>
      </c>
      <c r="D118" s="7"/>
      <c r="E118" s="12">
        <f t="shared" si="1"/>
        <v>0</v>
      </c>
    </row>
    <row r="119" spans="1:5" ht="15.6" x14ac:dyDescent="0.3">
      <c r="A119" s="8" t="s">
        <v>97</v>
      </c>
      <c r="B119" s="8" t="s">
        <v>3</v>
      </c>
      <c r="C119" s="2">
        <v>2</v>
      </c>
      <c r="D119" s="7">
        <v>25000</v>
      </c>
      <c r="E119" s="12">
        <f t="shared" si="1"/>
        <v>50000</v>
      </c>
    </row>
    <row r="120" spans="1:5" ht="15.6" x14ac:dyDescent="0.3">
      <c r="A120" s="8" t="s">
        <v>98</v>
      </c>
      <c r="B120" s="8" t="s">
        <v>19</v>
      </c>
      <c r="C120" s="2">
        <v>50</v>
      </c>
      <c r="D120" s="7">
        <v>7500</v>
      </c>
      <c r="E120" s="12">
        <f t="shared" si="1"/>
        <v>375000</v>
      </c>
    </row>
    <row r="121" spans="1:5" x14ac:dyDescent="0.3">
      <c r="E121" s="9">
        <f>SUM(E3:E120)</f>
        <v>115273833</v>
      </c>
    </row>
  </sheetData>
  <autoFilter ref="A2:E120" xr:uid="{00000000-0009-0000-0000-000011000000}">
    <filterColumn colId="2">
      <filters>
        <filter val="1"/>
        <filter val="1,350"/>
        <filter val="11"/>
        <filter val="12"/>
        <filter val="15"/>
        <filter val="150"/>
        <filter val="16"/>
        <filter val="170"/>
        <filter val="175"/>
        <filter val="2"/>
        <filter val="2,084"/>
        <filter val="200"/>
        <filter val="21"/>
        <filter val="23"/>
        <filter val="25"/>
        <filter val="260"/>
        <filter val="28"/>
        <filter val="3"/>
        <filter val="300"/>
        <filter val="35"/>
        <filter val="353"/>
        <filter val="39"/>
        <filter val="4"/>
        <filter val="40"/>
        <filter val="400"/>
        <filter val="41"/>
        <filter val="440"/>
        <filter val="48"/>
        <filter val="5"/>
        <filter val="50"/>
        <filter val="500"/>
        <filter val="540"/>
        <filter val="55"/>
        <filter val="570"/>
        <filter val="6"/>
        <filter val="60"/>
        <filter val="666"/>
        <filter val="68"/>
        <filter val="7"/>
        <filter val="8"/>
        <filter val="80"/>
        <filter val="815"/>
        <filter val="9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E119"/>
  <sheetViews>
    <sheetView topLeftCell="A67" workbookViewId="0">
      <selection activeCell="D58" sqref="D58"/>
    </sheetView>
  </sheetViews>
  <sheetFormatPr defaultRowHeight="14.4" x14ac:dyDescent="0.3"/>
  <cols>
    <col min="1" max="1" width="30" customWidth="1"/>
    <col min="4" max="4" width="14" customWidth="1"/>
    <col min="5" max="5" width="22.88671875" customWidth="1"/>
  </cols>
  <sheetData>
    <row r="1" spans="1:5" x14ac:dyDescent="0.3">
      <c r="A1" t="s">
        <v>145</v>
      </c>
    </row>
    <row r="2" spans="1:5" ht="40.799999999999997" customHeight="1" x14ac:dyDescent="0.3">
      <c r="A2" s="10" t="s">
        <v>0</v>
      </c>
      <c r="B2" s="10" t="s">
        <v>1</v>
      </c>
      <c r="C2" s="2" t="s">
        <v>100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28</v>
      </c>
      <c r="D3" s="7">
        <v>16000</v>
      </c>
      <c r="E3" s="12">
        <f t="shared" ref="E3:E34" si="0">C3*D3</f>
        <v>448000</v>
      </c>
    </row>
    <row r="4" spans="1:5" ht="15.6" hidden="1" x14ac:dyDescent="0.3">
      <c r="A4" s="8" t="s">
        <v>35</v>
      </c>
      <c r="B4" s="8" t="s">
        <v>34</v>
      </c>
      <c r="C4" s="2">
        <v>0</v>
      </c>
      <c r="D4" s="7"/>
      <c r="E4" s="12">
        <f t="shared" si="0"/>
        <v>0</v>
      </c>
    </row>
    <row r="5" spans="1:5" ht="15.6" hidden="1" x14ac:dyDescent="0.3">
      <c r="A5" s="8" t="s">
        <v>36</v>
      </c>
      <c r="B5" s="8" t="s">
        <v>17</v>
      </c>
      <c r="C5" s="2">
        <v>0</v>
      </c>
      <c r="D5" s="7"/>
      <c r="E5" s="12">
        <f t="shared" si="0"/>
        <v>0</v>
      </c>
    </row>
    <row r="6" spans="1:5" ht="15.6" x14ac:dyDescent="0.3">
      <c r="A6" s="8" t="s">
        <v>4</v>
      </c>
      <c r="B6" s="8" t="s">
        <v>3</v>
      </c>
      <c r="C6" s="2">
        <v>460</v>
      </c>
      <c r="D6" s="7">
        <v>8000</v>
      </c>
      <c r="E6" s="12">
        <f t="shared" si="0"/>
        <v>3680000</v>
      </c>
    </row>
    <row r="7" spans="1:5" ht="15.6" x14ac:dyDescent="0.3">
      <c r="A7" s="8" t="s">
        <v>5</v>
      </c>
      <c r="B7" s="8" t="s">
        <v>3</v>
      </c>
      <c r="C7" s="2">
        <v>90</v>
      </c>
      <c r="D7" s="7">
        <v>4000</v>
      </c>
      <c r="E7" s="12">
        <f t="shared" si="0"/>
        <v>360000</v>
      </c>
    </row>
    <row r="8" spans="1:5" ht="15.6" hidden="1" x14ac:dyDescent="0.3">
      <c r="A8" s="8" t="s">
        <v>48</v>
      </c>
      <c r="B8" s="8" t="s">
        <v>34</v>
      </c>
      <c r="C8" s="2">
        <v>0</v>
      </c>
      <c r="D8" s="7"/>
      <c r="E8" s="12">
        <f t="shared" si="0"/>
        <v>0</v>
      </c>
    </row>
    <row r="9" spans="1:5" ht="15.6" x14ac:dyDescent="0.3">
      <c r="A9" s="8" t="s">
        <v>103</v>
      </c>
      <c r="B9" s="8" t="s">
        <v>3</v>
      </c>
      <c r="C9" s="2">
        <v>8</v>
      </c>
      <c r="D9" s="7">
        <v>10000</v>
      </c>
      <c r="E9" s="12">
        <f t="shared" si="0"/>
        <v>80000</v>
      </c>
    </row>
    <row r="10" spans="1:5" ht="15.6" hidden="1" x14ac:dyDescent="0.3">
      <c r="A10" s="8" t="s">
        <v>50</v>
      </c>
      <c r="B10" s="8" t="s">
        <v>51</v>
      </c>
      <c r="C10" s="2">
        <v>0</v>
      </c>
      <c r="D10" s="7"/>
      <c r="E10" s="12">
        <f t="shared" si="0"/>
        <v>0</v>
      </c>
    </row>
    <row r="11" spans="1:5" ht="15.6" x14ac:dyDescent="0.3">
      <c r="A11" s="8" t="s">
        <v>7</v>
      </c>
      <c r="B11" s="8" t="s">
        <v>3</v>
      </c>
      <c r="C11" s="2">
        <v>535</v>
      </c>
      <c r="D11" s="7">
        <v>9000</v>
      </c>
      <c r="E11" s="12">
        <f t="shared" si="0"/>
        <v>4815000</v>
      </c>
    </row>
    <row r="12" spans="1:5" ht="15.6" x14ac:dyDescent="0.3">
      <c r="A12" s="8" t="s">
        <v>11</v>
      </c>
      <c r="B12" s="8" t="s">
        <v>3</v>
      </c>
      <c r="C12" s="2">
        <v>100</v>
      </c>
      <c r="D12" s="7">
        <v>7000</v>
      </c>
      <c r="E12" s="12">
        <f t="shared" si="0"/>
        <v>700000</v>
      </c>
    </row>
    <row r="13" spans="1:5" ht="15.6" hidden="1" x14ac:dyDescent="0.3">
      <c r="A13" s="8" t="s">
        <v>54</v>
      </c>
      <c r="B13" s="8" t="s">
        <v>34</v>
      </c>
      <c r="C13" s="2">
        <v>0</v>
      </c>
      <c r="D13" s="7"/>
      <c r="E13" s="12">
        <f t="shared" si="0"/>
        <v>0</v>
      </c>
    </row>
    <row r="14" spans="1:5" ht="15.6" x14ac:dyDescent="0.3">
      <c r="A14" s="8" t="s">
        <v>122</v>
      </c>
      <c r="B14" s="8" t="s">
        <v>3</v>
      </c>
      <c r="C14" s="2">
        <v>2</v>
      </c>
      <c r="D14" s="7">
        <v>110000</v>
      </c>
      <c r="E14" s="12">
        <f t="shared" si="0"/>
        <v>220000</v>
      </c>
    </row>
    <row r="15" spans="1:5" ht="15.6" x14ac:dyDescent="0.3">
      <c r="A15" s="8" t="s">
        <v>12</v>
      </c>
      <c r="B15" s="8" t="s">
        <v>3</v>
      </c>
      <c r="C15" s="2">
        <v>390</v>
      </c>
      <c r="D15" s="7">
        <v>12000</v>
      </c>
      <c r="E15" s="12">
        <f t="shared" si="0"/>
        <v>4680000</v>
      </c>
    </row>
    <row r="16" spans="1:5" ht="15.6" hidden="1" x14ac:dyDescent="0.3">
      <c r="A16" s="8" t="s">
        <v>59</v>
      </c>
      <c r="B16" s="8" t="s">
        <v>34</v>
      </c>
      <c r="C16" s="2">
        <v>0</v>
      </c>
      <c r="D16" s="7"/>
      <c r="E16" s="12">
        <f t="shared" si="0"/>
        <v>0</v>
      </c>
    </row>
    <row r="17" spans="1:5" ht="15.6" hidden="1" x14ac:dyDescent="0.3">
      <c r="A17" s="8" t="s">
        <v>16</v>
      </c>
      <c r="B17" s="8" t="s">
        <v>17</v>
      </c>
      <c r="C17" s="2">
        <v>0</v>
      </c>
      <c r="D17" s="7"/>
      <c r="E17" s="12">
        <f t="shared" si="0"/>
        <v>0</v>
      </c>
    </row>
    <row r="18" spans="1:5" ht="15.6" x14ac:dyDescent="0.3">
      <c r="A18" s="8" t="s">
        <v>14</v>
      </c>
      <c r="B18" s="8" t="s">
        <v>3</v>
      </c>
      <c r="C18" s="2">
        <v>12</v>
      </c>
      <c r="D18" s="7">
        <v>12000</v>
      </c>
      <c r="E18" s="12">
        <f t="shared" si="0"/>
        <v>144000</v>
      </c>
    </row>
    <row r="19" spans="1:5" ht="15.6" hidden="1" x14ac:dyDescent="0.3">
      <c r="A19" s="8" t="s">
        <v>39</v>
      </c>
      <c r="B19" s="8" t="s">
        <v>3</v>
      </c>
      <c r="C19" s="2">
        <v>0</v>
      </c>
      <c r="D19" s="7"/>
      <c r="E19" s="12">
        <f t="shared" si="0"/>
        <v>0</v>
      </c>
    </row>
    <row r="20" spans="1:5" ht="15.6" hidden="1" x14ac:dyDescent="0.3">
      <c r="A20" s="8" t="s">
        <v>39</v>
      </c>
      <c r="B20" s="8" t="s">
        <v>34</v>
      </c>
      <c r="C20" s="2">
        <v>0</v>
      </c>
      <c r="D20" s="7"/>
      <c r="E20" s="12">
        <f t="shared" si="0"/>
        <v>0</v>
      </c>
    </row>
    <row r="21" spans="1:5" ht="15.6" hidden="1" x14ac:dyDescent="0.3">
      <c r="A21" s="8" t="s">
        <v>41</v>
      </c>
      <c r="B21" s="8" t="s">
        <v>34</v>
      </c>
      <c r="C21" s="2">
        <v>0</v>
      </c>
      <c r="D21" s="7"/>
      <c r="E21" s="12">
        <f t="shared" si="0"/>
        <v>0</v>
      </c>
    </row>
    <row r="22" spans="1:5" ht="15.6" hidden="1" x14ac:dyDescent="0.3">
      <c r="A22" s="8" t="s">
        <v>42</v>
      </c>
      <c r="B22" s="8" t="s">
        <v>3</v>
      </c>
      <c r="C22" s="2">
        <v>0</v>
      </c>
      <c r="D22" s="7"/>
      <c r="E22" s="12">
        <f t="shared" si="0"/>
        <v>0</v>
      </c>
    </row>
    <row r="23" spans="1:5" ht="15.6" x14ac:dyDescent="0.3">
      <c r="A23" s="8" t="s">
        <v>22</v>
      </c>
      <c r="B23" s="8" t="s">
        <v>3</v>
      </c>
      <c r="C23" s="2">
        <v>280</v>
      </c>
      <c r="D23" s="7">
        <v>11000</v>
      </c>
      <c r="E23" s="12">
        <f t="shared" si="0"/>
        <v>3080000</v>
      </c>
    </row>
    <row r="24" spans="1:5" ht="15.6" hidden="1" x14ac:dyDescent="0.3">
      <c r="A24" s="8" t="s">
        <v>45</v>
      </c>
      <c r="B24" s="8" t="s">
        <v>19</v>
      </c>
      <c r="C24" s="2">
        <v>0</v>
      </c>
      <c r="D24" s="7"/>
      <c r="E24" s="12">
        <f t="shared" si="0"/>
        <v>0</v>
      </c>
    </row>
    <row r="25" spans="1:5" ht="15.6" x14ac:dyDescent="0.3">
      <c r="A25" s="8" t="s">
        <v>135</v>
      </c>
      <c r="B25" s="8" t="s">
        <v>3</v>
      </c>
      <c r="C25" s="2">
        <v>40</v>
      </c>
      <c r="D25" s="7">
        <v>11000</v>
      </c>
      <c r="E25" s="12">
        <f t="shared" si="0"/>
        <v>440000</v>
      </c>
    </row>
    <row r="26" spans="1:5" ht="15.6" x14ac:dyDescent="0.3">
      <c r="A26" s="8" t="s">
        <v>24</v>
      </c>
      <c r="B26" s="8" t="s">
        <v>3</v>
      </c>
      <c r="C26" s="2">
        <v>27</v>
      </c>
      <c r="D26" s="7">
        <v>13000</v>
      </c>
      <c r="E26" s="12">
        <f t="shared" si="0"/>
        <v>351000</v>
      </c>
    </row>
    <row r="27" spans="1:5" ht="15.6" hidden="1" x14ac:dyDescent="0.3">
      <c r="A27" s="8" t="s">
        <v>11</v>
      </c>
      <c r="B27" s="8" t="s">
        <v>9</v>
      </c>
      <c r="C27" s="2">
        <v>0</v>
      </c>
      <c r="D27" s="7"/>
      <c r="E27" s="12">
        <f t="shared" si="0"/>
        <v>0</v>
      </c>
    </row>
    <row r="28" spans="1:5" ht="15.6" hidden="1" x14ac:dyDescent="0.3">
      <c r="A28" s="8" t="s">
        <v>8</v>
      </c>
      <c r="B28" s="8" t="s">
        <v>3</v>
      </c>
      <c r="C28" s="2">
        <v>0</v>
      </c>
      <c r="D28" s="7"/>
      <c r="E28" s="12">
        <f t="shared" si="0"/>
        <v>0</v>
      </c>
    </row>
    <row r="29" spans="1:5" ht="15.6" hidden="1" x14ac:dyDescent="0.3">
      <c r="A29" s="8" t="s">
        <v>8</v>
      </c>
      <c r="B29" s="8" t="s">
        <v>9</v>
      </c>
      <c r="C29" s="2">
        <v>0</v>
      </c>
      <c r="D29" s="7"/>
      <c r="E29" s="12">
        <f t="shared" si="0"/>
        <v>0</v>
      </c>
    </row>
    <row r="30" spans="1:5" ht="15.6" x14ac:dyDescent="0.3">
      <c r="A30" s="8" t="s">
        <v>26</v>
      </c>
      <c r="B30" s="8" t="s">
        <v>3</v>
      </c>
      <c r="C30" s="2">
        <v>13</v>
      </c>
      <c r="D30" s="7">
        <v>15000</v>
      </c>
      <c r="E30" s="12">
        <f t="shared" si="0"/>
        <v>195000</v>
      </c>
    </row>
    <row r="31" spans="1:5" ht="15.6" hidden="1" x14ac:dyDescent="0.3">
      <c r="A31" s="8" t="s">
        <v>22</v>
      </c>
      <c r="B31" s="8" t="s">
        <v>17</v>
      </c>
      <c r="C31" s="2">
        <v>0</v>
      </c>
      <c r="D31" s="7"/>
      <c r="E31" s="12">
        <f t="shared" si="0"/>
        <v>0</v>
      </c>
    </row>
    <row r="32" spans="1:5" ht="15.6" hidden="1" x14ac:dyDescent="0.3">
      <c r="A32" s="8" t="s">
        <v>22</v>
      </c>
      <c r="B32" s="8" t="s">
        <v>23</v>
      </c>
      <c r="C32" s="2">
        <v>0</v>
      </c>
      <c r="D32" s="7"/>
      <c r="E32" s="12">
        <f t="shared" si="0"/>
        <v>0</v>
      </c>
    </row>
    <row r="33" spans="1:5" ht="15.6" x14ac:dyDescent="0.3">
      <c r="A33" s="8" t="s">
        <v>26</v>
      </c>
      <c r="B33" s="8" t="s">
        <v>27</v>
      </c>
      <c r="C33" s="2">
        <v>33</v>
      </c>
      <c r="D33" s="7">
        <v>4500</v>
      </c>
      <c r="E33" s="12">
        <f t="shared" si="0"/>
        <v>148500</v>
      </c>
    </row>
    <row r="34" spans="1:5" ht="15.6" hidden="1" x14ac:dyDescent="0.3">
      <c r="A34" s="8" t="s">
        <v>32</v>
      </c>
      <c r="B34" s="8" t="s">
        <v>17</v>
      </c>
      <c r="C34" s="2">
        <v>0</v>
      </c>
      <c r="D34" s="7"/>
      <c r="E34" s="12">
        <f t="shared" si="0"/>
        <v>0</v>
      </c>
    </row>
    <row r="35" spans="1:5" ht="15.6" x14ac:dyDescent="0.3">
      <c r="A35" s="8" t="s">
        <v>28</v>
      </c>
      <c r="B35" s="8" t="s">
        <v>29</v>
      </c>
      <c r="C35" s="2">
        <v>3</v>
      </c>
      <c r="D35" s="7">
        <v>12000</v>
      </c>
      <c r="E35" s="12">
        <f t="shared" ref="E35:E66" si="1">C35*D35</f>
        <v>36000</v>
      </c>
    </row>
    <row r="36" spans="1:5" ht="15.6" x14ac:dyDescent="0.3">
      <c r="A36" s="8" t="s">
        <v>30</v>
      </c>
      <c r="B36" s="8" t="s">
        <v>31</v>
      </c>
      <c r="C36" s="2">
        <v>30</v>
      </c>
      <c r="D36" s="7">
        <v>7500</v>
      </c>
      <c r="E36" s="12">
        <f t="shared" si="1"/>
        <v>225000</v>
      </c>
    </row>
    <row r="37" spans="1:5" ht="15.6" x14ac:dyDescent="0.3">
      <c r="A37" s="8" t="s">
        <v>32</v>
      </c>
      <c r="B37" s="8" t="s">
        <v>3</v>
      </c>
      <c r="C37" s="2">
        <v>270</v>
      </c>
      <c r="D37" s="7">
        <v>8000</v>
      </c>
      <c r="E37" s="12">
        <f t="shared" si="1"/>
        <v>2160000</v>
      </c>
    </row>
    <row r="38" spans="1:5" ht="15.6" x14ac:dyDescent="0.3">
      <c r="A38" s="8" t="s">
        <v>33</v>
      </c>
      <c r="B38" s="8" t="s">
        <v>34</v>
      </c>
      <c r="C38" s="2">
        <v>100</v>
      </c>
      <c r="D38" s="7">
        <v>5500</v>
      </c>
      <c r="E38" s="12">
        <f t="shared" si="1"/>
        <v>550000</v>
      </c>
    </row>
    <row r="39" spans="1:5" ht="15.6" x14ac:dyDescent="0.3">
      <c r="A39" s="8" t="s">
        <v>35</v>
      </c>
      <c r="B39" s="8" t="s">
        <v>3</v>
      </c>
      <c r="C39" s="2">
        <v>40</v>
      </c>
      <c r="D39" s="7">
        <v>7000</v>
      </c>
      <c r="E39" s="12">
        <f t="shared" si="1"/>
        <v>280000</v>
      </c>
    </row>
    <row r="40" spans="1:5" ht="15.6" hidden="1" x14ac:dyDescent="0.3">
      <c r="A40" s="8" t="s">
        <v>81</v>
      </c>
      <c r="B40" s="8" t="s">
        <v>9</v>
      </c>
      <c r="C40" s="2">
        <v>0</v>
      </c>
      <c r="D40" s="7"/>
      <c r="E40" s="12">
        <f t="shared" si="1"/>
        <v>0</v>
      </c>
    </row>
    <row r="41" spans="1:5" ht="15.6" x14ac:dyDescent="0.3">
      <c r="A41" s="8" t="s">
        <v>37</v>
      </c>
      <c r="B41" s="8" t="s">
        <v>3</v>
      </c>
      <c r="C41" s="2">
        <v>40</v>
      </c>
      <c r="D41" s="7">
        <v>8000</v>
      </c>
      <c r="E41" s="12">
        <f t="shared" si="1"/>
        <v>320000</v>
      </c>
    </row>
    <row r="42" spans="1:5" ht="15.6" hidden="1" x14ac:dyDescent="0.3">
      <c r="A42" s="8" t="s">
        <v>82</v>
      </c>
      <c r="B42" s="8" t="s">
        <v>9</v>
      </c>
      <c r="C42" s="2">
        <v>0</v>
      </c>
      <c r="D42" s="7"/>
      <c r="E42" s="12">
        <f t="shared" si="1"/>
        <v>0</v>
      </c>
    </row>
    <row r="43" spans="1:5" ht="15.6" x14ac:dyDescent="0.3">
      <c r="A43" s="8" t="s">
        <v>40</v>
      </c>
      <c r="B43" s="8" t="s">
        <v>34</v>
      </c>
      <c r="C43" s="2">
        <v>10</v>
      </c>
      <c r="D43" s="7">
        <v>3000</v>
      </c>
      <c r="E43" s="12">
        <f t="shared" si="1"/>
        <v>30000</v>
      </c>
    </row>
    <row r="44" spans="1:5" ht="15.6" hidden="1" x14ac:dyDescent="0.3">
      <c r="A44" s="8" t="s">
        <v>83</v>
      </c>
      <c r="B44" s="8" t="s">
        <v>9</v>
      </c>
      <c r="C44" s="2">
        <v>0</v>
      </c>
      <c r="D44" s="7"/>
      <c r="E44" s="12">
        <f t="shared" si="1"/>
        <v>0</v>
      </c>
    </row>
    <row r="45" spans="1:5" ht="15.6" hidden="1" x14ac:dyDescent="0.3">
      <c r="A45" s="8" t="s">
        <v>21</v>
      </c>
      <c r="B45" s="8" t="s">
        <v>3</v>
      </c>
      <c r="C45" s="2">
        <v>0</v>
      </c>
      <c r="D45" s="7"/>
      <c r="E45" s="12">
        <f t="shared" si="1"/>
        <v>0</v>
      </c>
    </row>
    <row r="46" spans="1:5" ht="15.6" hidden="1" x14ac:dyDescent="0.3">
      <c r="A46" s="8" t="s">
        <v>79</v>
      </c>
      <c r="B46" s="8" t="s">
        <v>17</v>
      </c>
      <c r="C46" s="2">
        <v>0</v>
      </c>
      <c r="D46" s="7"/>
      <c r="E46" s="12">
        <f t="shared" si="1"/>
        <v>0</v>
      </c>
    </row>
    <row r="47" spans="1:5" ht="15.6" x14ac:dyDescent="0.3">
      <c r="A47" s="8" t="s">
        <v>45</v>
      </c>
      <c r="B47" s="8" t="s">
        <v>3</v>
      </c>
      <c r="C47" s="2">
        <v>33</v>
      </c>
      <c r="D47" s="7">
        <v>9000</v>
      </c>
      <c r="E47" s="12">
        <f t="shared" si="1"/>
        <v>297000</v>
      </c>
    </row>
    <row r="48" spans="1:5" ht="15.6" x14ac:dyDescent="0.3">
      <c r="A48" s="8" t="s">
        <v>63</v>
      </c>
      <c r="B48" s="8" t="s">
        <v>3</v>
      </c>
      <c r="C48" s="2">
        <v>5</v>
      </c>
      <c r="D48" s="7">
        <v>14000</v>
      </c>
      <c r="E48" s="12">
        <f t="shared" si="1"/>
        <v>70000</v>
      </c>
    </row>
    <row r="49" spans="1:5" ht="15.6" x14ac:dyDescent="0.3">
      <c r="A49" s="8" t="s">
        <v>46</v>
      </c>
      <c r="B49" s="8" t="s">
        <v>29</v>
      </c>
      <c r="C49" s="2">
        <v>6</v>
      </c>
      <c r="D49" s="7">
        <v>10000</v>
      </c>
      <c r="E49" s="12">
        <f t="shared" si="1"/>
        <v>60000</v>
      </c>
    </row>
    <row r="50" spans="1:5" ht="15.6" hidden="1" x14ac:dyDescent="0.3">
      <c r="A50" s="8" t="s">
        <v>57</v>
      </c>
      <c r="B50" s="8" t="s">
        <v>3</v>
      </c>
      <c r="C50" s="2">
        <v>0</v>
      </c>
      <c r="D50" s="7"/>
      <c r="E50" s="12">
        <f t="shared" si="1"/>
        <v>0</v>
      </c>
    </row>
    <row r="51" spans="1:5" ht="15.6" hidden="1" x14ac:dyDescent="0.3">
      <c r="A51" s="8" t="s">
        <v>73</v>
      </c>
      <c r="B51" s="8" t="s">
        <v>3</v>
      </c>
      <c r="C51" s="2">
        <v>0</v>
      </c>
      <c r="D51" s="7"/>
      <c r="E51" s="12">
        <f t="shared" si="1"/>
        <v>0</v>
      </c>
    </row>
    <row r="52" spans="1:5" ht="15.6" x14ac:dyDescent="0.3">
      <c r="A52" s="8" t="s">
        <v>48</v>
      </c>
      <c r="B52" s="8" t="s">
        <v>3</v>
      </c>
      <c r="C52" s="2">
        <v>70</v>
      </c>
      <c r="D52" s="7">
        <v>8000</v>
      </c>
      <c r="E52" s="12">
        <f t="shared" si="1"/>
        <v>560000</v>
      </c>
    </row>
    <row r="53" spans="1:5" ht="15.6" x14ac:dyDescent="0.3">
      <c r="A53" s="8" t="s">
        <v>49</v>
      </c>
      <c r="B53" s="8" t="s">
        <v>3</v>
      </c>
      <c r="C53" s="2">
        <v>3</v>
      </c>
      <c r="D53" s="7">
        <v>21000</v>
      </c>
      <c r="E53" s="12">
        <f t="shared" si="1"/>
        <v>63000</v>
      </c>
    </row>
    <row r="54" spans="1:5" ht="15.6" x14ac:dyDescent="0.3">
      <c r="A54" s="8" t="s">
        <v>50</v>
      </c>
      <c r="B54" s="8" t="s">
        <v>3</v>
      </c>
      <c r="C54" s="2">
        <v>550</v>
      </c>
      <c r="D54" s="7">
        <v>5500</v>
      </c>
      <c r="E54" s="12">
        <f t="shared" si="1"/>
        <v>3025000</v>
      </c>
    </row>
    <row r="55" spans="1:5" ht="15.6" hidden="1" x14ac:dyDescent="0.3">
      <c r="A55" s="8" t="s">
        <v>13</v>
      </c>
      <c r="B55" s="8" t="s">
        <v>3</v>
      </c>
      <c r="C55" s="2">
        <v>0</v>
      </c>
      <c r="D55" s="7"/>
      <c r="E55" s="12">
        <f t="shared" si="1"/>
        <v>0</v>
      </c>
    </row>
    <row r="56" spans="1:5" ht="15.6" x14ac:dyDescent="0.3">
      <c r="A56" s="8" t="s">
        <v>104</v>
      </c>
      <c r="B56" s="8" t="s">
        <v>3</v>
      </c>
      <c r="C56" s="2">
        <v>40</v>
      </c>
      <c r="D56" s="7">
        <v>20000</v>
      </c>
      <c r="E56" s="12">
        <f t="shared" si="1"/>
        <v>800000</v>
      </c>
    </row>
    <row r="57" spans="1:5" ht="15.6" hidden="1" x14ac:dyDescent="0.3">
      <c r="A57" s="8" t="s">
        <v>24</v>
      </c>
      <c r="B57" s="8" t="s">
        <v>25</v>
      </c>
      <c r="C57" s="2">
        <v>0</v>
      </c>
      <c r="D57" s="7"/>
      <c r="E57" s="12">
        <f t="shared" si="1"/>
        <v>0</v>
      </c>
    </row>
    <row r="58" spans="1:5" ht="15.6" x14ac:dyDescent="0.3">
      <c r="A58" s="8" t="s">
        <v>52</v>
      </c>
      <c r="B58" s="8" t="s">
        <v>34</v>
      </c>
      <c r="C58" s="2">
        <v>600</v>
      </c>
      <c r="D58" s="7">
        <v>1350</v>
      </c>
      <c r="E58" s="12">
        <f t="shared" si="1"/>
        <v>810000</v>
      </c>
    </row>
    <row r="59" spans="1:5" ht="15.6" hidden="1" x14ac:dyDescent="0.3">
      <c r="A59" s="8" t="s">
        <v>30</v>
      </c>
      <c r="B59" s="8" t="s">
        <v>3</v>
      </c>
      <c r="C59" s="2">
        <v>0</v>
      </c>
      <c r="D59" s="7"/>
      <c r="E59" s="12">
        <f t="shared" si="1"/>
        <v>0</v>
      </c>
    </row>
    <row r="60" spans="1:5" ht="15.6" x14ac:dyDescent="0.3">
      <c r="A60" s="8" t="s">
        <v>53</v>
      </c>
      <c r="B60" s="8" t="s">
        <v>3</v>
      </c>
      <c r="C60" s="2">
        <v>1100</v>
      </c>
      <c r="D60" s="7">
        <v>21500</v>
      </c>
      <c r="E60" s="12">
        <f t="shared" si="1"/>
        <v>23650000</v>
      </c>
    </row>
    <row r="61" spans="1:5" ht="15.6" x14ac:dyDescent="0.3">
      <c r="A61" s="8" t="s">
        <v>54</v>
      </c>
      <c r="B61" s="8" t="s">
        <v>3</v>
      </c>
      <c r="C61" s="2">
        <v>120</v>
      </c>
      <c r="D61" s="7">
        <v>26500</v>
      </c>
      <c r="E61" s="12">
        <f t="shared" si="1"/>
        <v>3180000</v>
      </c>
    </row>
    <row r="62" spans="1:5" ht="15.6" hidden="1" x14ac:dyDescent="0.3">
      <c r="A62" s="8" t="s">
        <v>37</v>
      </c>
      <c r="B62" s="8" t="s">
        <v>38</v>
      </c>
      <c r="C62" s="2">
        <v>0</v>
      </c>
      <c r="D62" s="7"/>
      <c r="E62" s="12">
        <f t="shared" si="1"/>
        <v>0</v>
      </c>
    </row>
    <row r="63" spans="1:5" ht="15.6" x14ac:dyDescent="0.3">
      <c r="A63" s="8" t="s">
        <v>55</v>
      </c>
      <c r="B63" s="8" t="s">
        <v>3</v>
      </c>
      <c r="C63" s="2">
        <v>485</v>
      </c>
      <c r="D63" s="7">
        <v>16000</v>
      </c>
      <c r="E63" s="12">
        <f t="shared" si="1"/>
        <v>7760000</v>
      </c>
    </row>
    <row r="64" spans="1:5" ht="15.6" x14ac:dyDescent="0.3">
      <c r="A64" s="8" t="s">
        <v>56</v>
      </c>
      <c r="B64" s="8" t="s">
        <v>3</v>
      </c>
      <c r="C64" s="2">
        <v>110</v>
      </c>
      <c r="D64" s="7">
        <v>24000</v>
      </c>
      <c r="E64" s="12">
        <f t="shared" si="1"/>
        <v>2640000</v>
      </c>
    </row>
    <row r="65" spans="1:5" ht="15.6" x14ac:dyDescent="0.3">
      <c r="A65" s="8" t="s">
        <v>59</v>
      </c>
      <c r="B65" s="8" t="s">
        <v>3</v>
      </c>
      <c r="C65" s="2">
        <v>1390</v>
      </c>
      <c r="D65" s="7">
        <v>14000</v>
      </c>
      <c r="E65" s="12">
        <f t="shared" si="1"/>
        <v>19460000</v>
      </c>
    </row>
    <row r="66" spans="1:5" ht="15.6" hidden="1" x14ac:dyDescent="0.3">
      <c r="A66" s="8" t="s">
        <v>47</v>
      </c>
      <c r="B66" s="8" t="s">
        <v>3</v>
      </c>
      <c r="C66" s="2">
        <v>0</v>
      </c>
      <c r="D66" s="7"/>
      <c r="E66" s="12">
        <f t="shared" si="1"/>
        <v>0</v>
      </c>
    </row>
    <row r="67" spans="1:5" ht="15.6" x14ac:dyDescent="0.3">
      <c r="A67" s="8" t="s">
        <v>60</v>
      </c>
      <c r="B67" s="8" t="s">
        <v>34</v>
      </c>
      <c r="C67" s="2">
        <v>170</v>
      </c>
      <c r="D67" s="7">
        <v>5000</v>
      </c>
      <c r="E67" s="12">
        <f t="shared" ref="E67:E98" si="2">C67*D67</f>
        <v>850000</v>
      </c>
    </row>
    <row r="68" spans="1:5" ht="15.6" x14ac:dyDescent="0.3">
      <c r="A68" s="8" t="s">
        <v>61</v>
      </c>
      <c r="B68" s="8" t="s">
        <v>3</v>
      </c>
      <c r="C68" s="2">
        <v>10</v>
      </c>
      <c r="D68" s="7">
        <v>11000</v>
      </c>
      <c r="E68" s="12">
        <f t="shared" si="2"/>
        <v>110000</v>
      </c>
    </row>
    <row r="69" spans="1:5" ht="15.6" x14ac:dyDescent="0.3">
      <c r="A69" s="8" t="s">
        <v>67</v>
      </c>
      <c r="B69" s="8" t="s">
        <v>34</v>
      </c>
      <c r="C69" s="2">
        <v>20</v>
      </c>
      <c r="D69" s="7">
        <v>6000</v>
      </c>
      <c r="E69" s="12">
        <f t="shared" si="2"/>
        <v>120000</v>
      </c>
    </row>
    <row r="70" spans="1:5" ht="15.6" hidden="1" x14ac:dyDescent="0.3">
      <c r="A70" s="8" t="s">
        <v>68</v>
      </c>
      <c r="B70" s="8" t="s">
        <v>3</v>
      </c>
      <c r="C70" s="2">
        <v>0</v>
      </c>
      <c r="D70" s="7"/>
      <c r="E70" s="12">
        <f t="shared" si="2"/>
        <v>0</v>
      </c>
    </row>
    <row r="71" spans="1:5" ht="15.6" x14ac:dyDescent="0.3">
      <c r="A71" s="8" t="s">
        <v>68</v>
      </c>
      <c r="B71" s="8" t="s">
        <v>34</v>
      </c>
      <c r="C71" s="2">
        <v>40</v>
      </c>
      <c r="D71" s="7">
        <v>6500</v>
      </c>
      <c r="E71" s="12">
        <f t="shared" si="2"/>
        <v>260000</v>
      </c>
    </row>
    <row r="72" spans="1:5" ht="15.6" hidden="1" x14ac:dyDescent="0.3">
      <c r="A72" s="8" t="s">
        <v>69</v>
      </c>
      <c r="B72" s="8" t="s">
        <v>3</v>
      </c>
      <c r="C72" s="2">
        <v>0</v>
      </c>
      <c r="D72" s="7"/>
      <c r="E72" s="12">
        <f t="shared" si="2"/>
        <v>0</v>
      </c>
    </row>
    <row r="73" spans="1:5" ht="15.6" x14ac:dyDescent="0.3">
      <c r="A73" s="8" t="s">
        <v>70</v>
      </c>
      <c r="B73" s="8" t="s">
        <v>3</v>
      </c>
      <c r="C73" s="2">
        <v>0.5</v>
      </c>
      <c r="D73" s="7">
        <v>70000</v>
      </c>
      <c r="E73" s="12">
        <f t="shared" si="2"/>
        <v>35000</v>
      </c>
    </row>
    <row r="74" spans="1:5" ht="15.6" x14ac:dyDescent="0.3">
      <c r="A74" s="8" t="s">
        <v>71</v>
      </c>
      <c r="B74" s="8" t="s">
        <v>3</v>
      </c>
      <c r="C74" s="2">
        <v>0.5</v>
      </c>
      <c r="D74" s="7">
        <v>70000</v>
      </c>
      <c r="E74" s="12">
        <f t="shared" si="2"/>
        <v>35000</v>
      </c>
    </row>
    <row r="75" spans="1:5" ht="15.6" x14ac:dyDescent="0.3">
      <c r="A75" s="8" t="s">
        <v>64</v>
      </c>
      <c r="B75" s="8" t="s">
        <v>3</v>
      </c>
      <c r="C75" s="2">
        <v>40</v>
      </c>
      <c r="D75" s="7">
        <v>9500</v>
      </c>
      <c r="E75" s="12">
        <f t="shared" si="2"/>
        <v>380000</v>
      </c>
    </row>
    <row r="76" spans="1:5" ht="15.6" hidden="1" x14ac:dyDescent="0.3">
      <c r="A76" s="8" t="s">
        <v>72</v>
      </c>
      <c r="B76" s="8" t="s">
        <v>19</v>
      </c>
      <c r="C76" s="2">
        <v>0</v>
      </c>
      <c r="D76" s="7"/>
      <c r="E76" s="12">
        <f t="shared" si="2"/>
        <v>0</v>
      </c>
    </row>
    <row r="77" spans="1:5" ht="15.6" x14ac:dyDescent="0.3">
      <c r="A77" s="8" t="s">
        <v>64</v>
      </c>
      <c r="B77" s="8" t="s">
        <v>17</v>
      </c>
      <c r="C77" s="2">
        <v>1695</v>
      </c>
      <c r="D77" s="7">
        <v>7500</v>
      </c>
      <c r="E77" s="12">
        <f t="shared" si="2"/>
        <v>12712500</v>
      </c>
    </row>
    <row r="78" spans="1:5" ht="15.6" hidden="1" x14ac:dyDescent="0.3">
      <c r="A78" s="8" t="s">
        <v>74</v>
      </c>
      <c r="B78" s="8" t="s">
        <v>34</v>
      </c>
      <c r="C78" s="2">
        <v>0</v>
      </c>
      <c r="D78" s="7"/>
      <c r="E78" s="12">
        <f t="shared" si="2"/>
        <v>0</v>
      </c>
    </row>
    <row r="79" spans="1:5" ht="15.6" hidden="1" x14ac:dyDescent="0.3">
      <c r="A79" s="8" t="s">
        <v>75</v>
      </c>
      <c r="B79" s="8" t="s">
        <v>3</v>
      </c>
      <c r="C79" s="2">
        <v>0</v>
      </c>
      <c r="D79" s="7"/>
      <c r="E79" s="12">
        <f t="shared" si="2"/>
        <v>0</v>
      </c>
    </row>
    <row r="80" spans="1:5" ht="15.6" hidden="1" x14ac:dyDescent="0.3">
      <c r="A80" s="8" t="s">
        <v>80</v>
      </c>
      <c r="B80" s="8" t="s">
        <v>29</v>
      </c>
      <c r="C80" s="2">
        <v>0</v>
      </c>
      <c r="D80" s="7"/>
      <c r="E80" s="12">
        <f t="shared" si="2"/>
        <v>0</v>
      </c>
    </row>
    <row r="81" spans="1:5" ht="15.6" hidden="1" x14ac:dyDescent="0.3">
      <c r="A81" s="8" t="s">
        <v>84</v>
      </c>
      <c r="B81" s="8" t="s">
        <v>34</v>
      </c>
      <c r="C81" s="2">
        <v>0</v>
      </c>
      <c r="D81" s="7"/>
      <c r="E81" s="12">
        <f t="shared" si="2"/>
        <v>0</v>
      </c>
    </row>
    <row r="82" spans="1:5" ht="15.6" x14ac:dyDescent="0.3">
      <c r="A82" s="8" t="s">
        <v>66</v>
      </c>
      <c r="B82" s="8" t="s">
        <v>3</v>
      </c>
      <c r="C82" s="2">
        <v>13</v>
      </c>
      <c r="D82" s="7">
        <v>12000</v>
      </c>
      <c r="E82" s="12">
        <f t="shared" si="2"/>
        <v>156000</v>
      </c>
    </row>
    <row r="83" spans="1:5" ht="15.6" x14ac:dyDescent="0.3">
      <c r="A83" s="8" t="s">
        <v>72</v>
      </c>
      <c r="B83" s="8" t="s">
        <v>3</v>
      </c>
      <c r="C83" s="2">
        <v>7</v>
      </c>
      <c r="D83" s="7">
        <v>10000</v>
      </c>
      <c r="E83" s="12">
        <f t="shared" si="2"/>
        <v>70000</v>
      </c>
    </row>
    <row r="84" spans="1:5" ht="15.6" hidden="1" x14ac:dyDescent="0.3">
      <c r="A84" s="8" t="s">
        <v>88</v>
      </c>
      <c r="B84" s="8" t="s">
        <v>3</v>
      </c>
      <c r="C84" s="2">
        <v>0</v>
      </c>
      <c r="D84" s="7"/>
      <c r="E84" s="12">
        <f t="shared" si="2"/>
        <v>0</v>
      </c>
    </row>
    <row r="85" spans="1:5" ht="15.6" hidden="1" x14ac:dyDescent="0.3">
      <c r="A85" s="8" t="s">
        <v>94</v>
      </c>
      <c r="B85" s="8" t="s">
        <v>3</v>
      </c>
      <c r="C85" s="2">
        <v>0</v>
      </c>
      <c r="D85" s="7"/>
      <c r="E85" s="12">
        <f t="shared" si="2"/>
        <v>0</v>
      </c>
    </row>
    <row r="86" spans="1:5" ht="15.6" hidden="1" x14ac:dyDescent="0.3">
      <c r="A86" s="8" t="s">
        <v>96</v>
      </c>
      <c r="B86" s="8" t="s">
        <v>3</v>
      </c>
      <c r="C86" s="2">
        <v>0</v>
      </c>
      <c r="D86" s="7"/>
      <c r="E86" s="12">
        <f t="shared" si="2"/>
        <v>0</v>
      </c>
    </row>
    <row r="87" spans="1:5" ht="15.6" hidden="1" x14ac:dyDescent="0.3">
      <c r="A87" s="8" t="s">
        <v>97</v>
      </c>
      <c r="B87" s="8" t="s">
        <v>3</v>
      </c>
      <c r="C87" s="2">
        <v>0</v>
      </c>
      <c r="D87" s="7"/>
      <c r="E87" s="12">
        <f t="shared" si="2"/>
        <v>0</v>
      </c>
    </row>
    <row r="88" spans="1:5" ht="15.6" hidden="1" x14ac:dyDescent="0.3">
      <c r="A88" s="8" t="s">
        <v>98</v>
      </c>
      <c r="B88" s="8" t="s">
        <v>19</v>
      </c>
      <c r="C88" s="2">
        <v>0</v>
      </c>
      <c r="D88" s="7"/>
      <c r="E88" s="12">
        <f t="shared" si="2"/>
        <v>0</v>
      </c>
    </row>
    <row r="89" spans="1:5" ht="15.6" hidden="1" x14ac:dyDescent="0.3">
      <c r="A89" s="8" t="s">
        <v>18</v>
      </c>
      <c r="B89" s="8" t="s">
        <v>19</v>
      </c>
      <c r="C89" s="2">
        <v>0</v>
      </c>
      <c r="D89" s="7"/>
      <c r="E89" s="12">
        <f t="shared" si="2"/>
        <v>0</v>
      </c>
    </row>
    <row r="90" spans="1:5" ht="15.6" hidden="1" x14ac:dyDescent="0.3">
      <c r="A90" s="8" t="s">
        <v>20</v>
      </c>
      <c r="B90" s="8" t="s">
        <v>3</v>
      </c>
      <c r="C90" s="2">
        <v>0</v>
      </c>
      <c r="D90" s="7"/>
      <c r="E90" s="12">
        <f t="shared" si="2"/>
        <v>0</v>
      </c>
    </row>
    <row r="91" spans="1:5" ht="15.6" hidden="1" x14ac:dyDescent="0.3">
      <c r="A91" s="8" t="s">
        <v>43</v>
      </c>
      <c r="B91" s="8" t="s">
        <v>3</v>
      </c>
      <c r="C91" s="2">
        <v>0</v>
      </c>
      <c r="D91" s="7"/>
      <c r="E91" s="12">
        <f t="shared" si="2"/>
        <v>0</v>
      </c>
    </row>
    <row r="92" spans="1:5" ht="15.6" hidden="1" x14ac:dyDescent="0.3">
      <c r="A92" s="8" t="s">
        <v>95</v>
      </c>
      <c r="B92" s="8" t="s">
        <v>19</v>
      </c>
      <c r="C92" s="2">
        <v>0</v>
      </c>
      <c r="D92" s="7"/>
      <c r="E92" s="12">
        <f t="shared" si="2"/>
        <v>0</v>
      </c>
    </row>
    <row r="93" spans="1:5" ht="15.6" hidden="1" x14ac:dyDescent="0.3">
      <c r="A93" s="8" t="s">
        <v>93</v>
      </c>
      <c r="B93" s="8" t="s">
        <v>19</v>
      </c>
      <c r="C93" s="2">
        <v>0</v>
      </c>
      <c r="D93" s="7"/>
      <c r="E93" s="12">
        <f t="shared" si="2"/>
        <v>0</v>
      </c>
    </row>
    <row r="94" spans="1:5" ht="15.6" hidden="1" x14ac:dyDescent="0.3">
      <c r="A94" s="8" t="s">
        <v>62</v>
      </c>
      <c r="B94" s="8" t="s">
        <v>3</v>
      </c>
      <c r="C94" s="2">
        <v>0</v>
      </c>
      <c r="D94" s="7"/>
      <c r="E94" s="12">
        <f t="shared" si="2"/>
        <v>0</v>
      </c>
    </row>
    <row r="95" spans="1:5" ht="15.6" x14ac:dyDescent="0.3">
      <c r="A95" s="8" t="s">
        <v>76</v>
      </c>
      <c r="B95" s="8" t="s">
        <v>3</v>
      </c>
      <c r="C95" s="2">
        <v>35</v>
      </c>
      <c r="D95" s="7">
        <v>62000</v>
      </c>
      <c r="E95" s="12">
        <f t="shared" si="2"/>
        <v>2170000</v>
      </c>
    </row>
    <row r="96" spans="1:5" ht="15.6" hidden="1" x14ac:dyDescent="0.3">
      <c r="A96" s="8" t="s">
        <v>10</v>
      </c>
      <c r="B96" s="8" t="s">
        <v>3</v>
      </c>
      <c r="C96" s="2">
        <v>0</v>
      </c>
      <c r="D96" s="7"/>
      <c r="E96" s="12">
        <f t="shared" si="2"/>
        <v>0</v>
      </c>
    </row>
    <row r="97" spans="1:5" ht="15.6" hidden="1" x14ac:dyDescent="0.3">
      <c r="A97" s="8" t="s">
        <v>44</v>
      </c>
      <c r="B97" s="8" t="s">
        <v>3</v>
      </c>
      <c r="C97" s="2">
        <v>0</v>
      </c>
      <c r="D97" s="7"/>
      <c r="E97" s="12">
        <f t="shared" si="2"/>
        <v>0</v>
      </c>
    </row>
    <row r="98" spans="1:5" ht="15.6" hidden="1" x14ac:dyDescent="0.3">
      <c r="A98" s="8" t="s">
        <v>137</v>
      </c>
      <c r="B98" s="8" t="s">
        <v>3</v>
      </c>
      <c r="C98" s="2">
        <v>0</v>
      </c>
      <c r="D98" s="7"/>
      <c r="E98" s="12">
        <f t="shared" si="2"/>
        <v>0</v>
      </c>
    </row>
    <row r="99" spans="1:5" ht="15.6" hidden="1" x14ac:dyDescent="0.3">
      <c r="A99" s="8" t="s">
        <v>15</v>
      </c>
      <c r="B99" s="8" t="s">
        <v>3</v>
      </c>
      <c r="C99" s="2">
        <v>0</v>
      </c>
      <c r="D99" s="7"/>
      <c r="E99" s="12">
        <f t="shared" ref="E99:E118" si="3">C99*D99</f>
        <v>0</v>
      </c>
    </row>
    <row r="100" spans="1:5" ht="15.6" hidden="1" x14ac:dyDescent="0.3">
      <c r="A100" s="8" t="s">
        <v>85</v>
      </c>
      <c r="B100" s="8" t="s">
        <v>34</v>
      </c>
      <c r="C100" s="2">
        <v>0</v>
      </c>
      <c r="D100" s="7"/>
      <c r="E100" s="12">
        <f t="shared" si="3"/>
        <v>0</v>
      </c>
    </row>
    <row r="101" spans="1:5" ht="15.6" hidden="1" x14ac:dyDescent="0.3">
      <c r="A101" s="8" t="s">
        <v>6</v>
      </c>
      <c r="B101" s="8" t="s">
        <v>3</v>
      </c>
      <c r="C101" s="2">
        <v>0</v>
      </c>
      <c r="D101" s="7"/>
      <c r="E101" s="12">
        <f t="shared" si="3"/>
        <v>0</v>
      </c>
    </row>
    <row r="102" spans="1:5" ht="15.6" hidden="1" x14ac:dyDescent="0.3">
      <c r="A102" s="8" t="s">
        <v>112</v>
      </c>
      <c r="B102" s="8" t="s">
        <v>29</v>
      </c>
      <c r="C102" s="2">
        <v>0</v>
      </c>
      <c r="D102" s="7"/>
      <c r="E102" s="12">
        <f t="shared" si="3"/>
        <v>0</v>
      </c>
    </row>
    <row r="103" spans="1:5" ht="15.6" x14ac:dyDescent="0.3">
      <c r="A103" s="8" t="s">
        <v>81</v>
      </c>
      <c r="B103" s="8" t="s">
        <v>3</v>
      </c>
      <c r="C103" s="2">
        <v>30</v>
      </c>
      <c r="D103" s="7">
        <v>26000</v>
      </c>
      <c r="E103" s="12">
        <f t="shared" si="3"/>
        <v>780000</v>
      </c>
    </row>
    <row r="104" spans="1:5" ht="15.6" x14ac:dyDescent="0.3">
      <c r="A104" s="8" t="s">
        <v>108</v>
      </c>
      <c r="B104" s="8" t="s">
        <v>3</v>
      </c>
      <c r="C104" s="2">
        <v>20</v>
      </c>
      <c r="D104" s="7">
        <v>22000</v>
      </c>
      <c r="E104" s="12">
        <f t="shared" si="3"/>
        <v>440000</v>
      </c>
    </row>
    <row r="105" spans="1:5" ht="15.6" hidden="1" x14ac:dyDescent="0.3">
      <c r="A105" s="8" t="s">
        <v>140</v>
      </c>
      <c r="B105" s="8" t="s">
        <v>3</v>
      </c>
      <c r="C105" s="2">
        <v>0</v>
      </c>
      <c r="D105" s="7"/>
      <c r="E105" s="12">
        <f t="shared" si="3"/>
        <v>0</v>
      </c>
    </row>
    <row r="106" spans="1:5" ht="15.6" hidden="1" x14ac:dyDescent="0.3">
      <c r="A106" s="8" t="s">
        <v>107</v>
      </c>
      <c r="B106" s="8" t="s">
        <v>29</v>
      </c>
      <c r="C106" s="2">
        <v>0</v>
      </c>
      <c r="D106" s="7"/>
      <c r="E106" s="12">
        <f t="shared" si="3"/>
        <v>0</v>
      </c>
    </row>
    <row r="107" spans="1:5" ht="15.6" hidden="1" x14ac:dyDescent="0.3">
      <c r="A107" s="8" t="s">
        <v>58</v>
      </c>
      <c r="B107" s="8" t="s">
        <v>34</v>
      </c>
      <c r="C107" s="2">
        <v>0</v>
      </c>
      <c r="D107" s="7"/>
      <c r="E107" s="12">
        <f t="shared" si="3"/>
        <v>0</v>
      </c>
    </row>
    <row r="108" spans="1:5" ht="15.6" x14ac:dyDescent="0.3">
      <c r="A108" s="8" t="s">
        <v>82</v>
      </c>
      <c r="B108" s="8" t="s">
        <v>3</v>
      </c>
      <c r="C108" s="2">
        <v>30</v>
      </c>
      <c r="D108" s="7">
        <v>24000</v>
      </c>
      <c r="E108" s="12">
        <f t="shared" si="3"/>
        <v>720000</v>
      </c>
    </row>
    <row r="109" spans="1:5" ht="15.6" hidden="1" x14ac:dyDescent="0.3">
      <c r="A109" s="8" t="s">
        <v>91</v>
      </c>
      <c r="B109" s="8" t="s">
        <v>3</v>
      </c>
      <c r="C109" s="2">
        <v>0</v>
      </c>
      <c r="D109" s="7"/>
      <c r="E109" s="12">
        <f t="shared" si="3"/>
        <v>0</v>
      </c>
    </row>
    <row r="110" spans="1:5" ht="15.6" hidden="1" x14ac:dyDescent="0.3">
      <c r="A110" s="8" t="s">
        <v>92</v>
      </c>
      <c r="B110" s="8" t="s">
        <v>3</v>
      </c>
      <c r="C110" s="2">
        <v>0</v>
      </c>
      <c r="D110" s="7"/>
      <c r="E110" s="12">
        <f t="shared" si="3"/>
        <v>0</v>
      </c>
    </row>
    <row r="111" spans="1:5" ht="15.6" hidden="1" x14ac:dyDescent="0.3">
      <c r="A111" s="8" t="s">
        <v>65</v>
      </c>
      <c r="B111" s="8" t="s">
        <v>3</v>
      </c>
      <c r="C111" s="2">
        <v>0</v>
      </c>
      <c r="D111" s="7"/>
      <c r="E111" s="12">
        <f t="shared" si="3"/>
        <v>0</v>
      </c>
    </row>
    <row r="112" spans="1:5" ht="15.6" x14ac:dyDescent="0.3">
      <c r="A112" s="8" t="s">
        <v>109</v>
      </c>
      <c r="B112" s="8" t="s">
        <v>3</v>
      </c>
      <c r="C112" s="2">
        <v>30</v>
      </c>
      <c r="D112" s="7">
        <v>20000</v>
      </c>
      <c r="E112" s="12">
        <f t="shared" si="3"/>
        <v>600000</v>
      </c>
    </row>
    <row r="113" spans="1:5" ht="15.6" x14ac:dyDescent="0.3">
      <c r="A113" s="8" t="s">
        <v>83</v>
      </c>
      <c r="B113" s="8" t="s">
        <v>3</v>
      </c>
      <c r="C113" s="2">
        <v>25</v>
      </c>
      <c r="D113" s="7">
        <v>30000</v>
      </c>
      <c r="E113" s="12">
        <f t="shared" si="3"/>
        <v>750000</v>
      </c>
    </row>
    <row r="114" spans="1:5" ht="15.6" x14ac:dyDescent="0.3">
      <c r="A114" s="8" t="s">
        <v>86</v>
      </c>
      <c r="B114" s="8" t="s">
        <v>9</v>
      </c>
      <c r="C114" s="2">
        <v>298</v>
      </c>
      <c r="D114" s="7">
        <v>9000</v>
      </c>
      <c r="E114" s="12">
        <f t="shared" si="3"/>
        <v>2682000</v>
      </c>
    </row>
    <row r="115" spans="1:5" ht="15.6" x14ac:dyDescent="0.3">
      <c r="A115" s="8" t="s">
        <v>87</v>
      </c>
      <c r="B115" s="8" t="s">
        <v>9</v>
      </c>
      <c r="C115" s="2">
        <v>353</v>
      </c>
      <c r="D115" s="7">
        <v>11361</v>
      </c>
      <c r="E115" s="12">
        <f t="shared" si="3"/>
        <v>4010433</v>
      </c>
    </row>
    <row r="116" spans="1:5" ht="15.6" x14ac:dyDescent="0.3">
      <c r="A116" s="8" t="s">
        <v>89</v>
      </c>
      <c r="B116" s="8" t="s">
        <v>3</v>
      </c>
      <c r="C116" s="2">
        <v>15</v>
      </c>
      <c r="D116" s="7">
        <v>18000</v>
      </c>
      <c r="E116" s="12">
        <f t="shared" si="3"/>
        <v>270000</v>
      </c>
    </row>
    <row r="117" spans="1:5" ht="15.6" x14ac:dyDescent="0.3">
      <c r="A117" s="8" t="s">
        <v>90</v>
      </c>
      <c r="B117" s="8" t="s">
        <v>3</v>
      </c>
      <c r="C117" s="2">
        <v>50</v>
      </c>
      <c r="D117" s="7">
        <v>8000</v>
      </c>
      <c r="E117" s="12">
        <f t="shared" si="3"/>
        <v>400000</v>
      </c>
    </row>
    <row r="118" spans="1:5" ht="15.6" x14ac:dyDescent="0.3">
      <c r="A118" s="8" t="s">
        <v>113</v>
      </c>
      <c r="B118" s="8" t="s">
        <v>3</v>
      </c>
      <c r="C118" s="2">
        <v>4</v>
      </c>
      <c r="D118" s="7">
        <v>32000</v>
      </c>
      <c r="E118" s="12">
        <f t="shared" si="3"/>
        <v>128000</v>
      </c>
    </row>
    <row r="119" spans="1:5" x14ac:dyDescent="0.3">
      <c r="E119" s="9">
        <f>SUM(E3:E118)</f>
        <v>112996433</v>
      </c>
    </row>
  </sheetData>
  <autoFilter ref="A2:E118" xr:uid="{00000000-0009-0000-0000-000012000000}">
    <filterColumn colId="2">
      <filters>
        <filter val="1"/>
        <filter val="1,100"/>
        <filter val="1,390"/>
        <filter val="1,695"/>
        <filter val="10"/>
        <filter val="100"/>
        <filter val="110"/>
        <filter val="12"/>
        <filter val="120"/>
        <filter val="13"/>
        <filter val="15"/>
        <filter val="170"/>
        <filter val="2"/>
        <filter val="20"/>
        <filter val="25"/>
        <filter val="27"/>
        <filter val="270"/>
        <filter val="28"/>
        <filter val="280"/>
        <filter val="298"/>
        <filter val="3"/>
        <filter val="30"/>
        <filter val="33"/>
        <filter val="35"/>
        <filter val="353"/>
        <filter val="390"/>
        <filter val="4"/>
        <filter val="40"/>
        <filter val="460"/>
        <filter val="485"/>
        <filter val="5"/>
        <filter val="50"/>
        <filter val="535"/>
        <filter val="550"/>
        <filter val="6"/>
        <filter val="600"/>
        <filter val="7"/>
        <filter val="70"/>
        <filter val="8"/>
        <filter val="90"/>
      </filters>
    </filterColumn>
    <sortState xmlns:xlrd2="http://schemas.microsoft.com/office/spreadsheetml/2017/richdata2" ref="A3:E119">
      <sortCondition ref="A2:A118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F119"/>
  <sheetViews>
    <sheetView topLeftCell="A22" workbookViewId="0">
      <selection activeCell="G9" sqref="G9"/>
    </sheetView>
  </sheetViews>
  <sheetFormatPr defaultRowHeight="13.8" x14ac:dyDescent="0.25"/>
  <cols>
    <col min="1" max="1" width="33.33203125" style="22" customWidth="1"/>
    <col min="2" max="3" width="8.88671875" style="22"/>
    <col min="4" max="4" width="14.6640625" style="22" customWidth="1"/>
    <col min="5" max="5" width="18.88671875" style="22" customWidth="1"/>
    <col min="6" max="16384" width="8.88671875" style="22"/>
  </cols>
  <sheetData>
    <row r="1" spans="1:6" s="23" customFormat="1" x14ac:dyDescent="0.3"/>
    <row r="2" spans="1:6" s="23" customFormat="1" x14ac:dyDescent="0.3">
      <c r="A2" s="23" t="s">
        <v>147</v>
      </c>
    </row>
    <row r="3" spans="1:6" s="23" customFormat="1" ht="49.2" customHeight="1" x14ac:dyDescent="0.25">
      <c r="A3" s="10" t="s">
        <v>0</v>
      </c>
      <c r="B3" s="10" t="s">
        <v>1</v>
      </c>
      <c r="C3" s="2" t="s">
        <v>100</v>
      </c>
      <c r="D3" s="2" t="s">
        <v>101</v>
      </c>
      <c r="E3" s="3" t="s">
        <v>102</v>
      </c>
      <c r="F3" s="22"/>
    </row>
    <row r="4" spans="1:6" s="23" customFormat="1" ht="15.6" x14ac:dyDescent="0.3">
      <c r="A4" s="8" t="s">
        <v>2</v>
      </c>
      <c r="B4" s="8" t="s">
        <v>3</v>
      </c>
      <c r="C4" s="2">
        <v>13</v>
      </c>
      <c r="D4" s="2">
        <v>16000</v>
      </c>
      <c r="E4" s="7">
        <f>C4*D4</f>
        <v>208000</v>
      </c>
    </row>
    <row r="5" spans="1:6" s="23" customFormat="1" ht="15.6" x14ac:dyDescent="0.3">
      <c r="A5" s="8" t="s">
        <v>4</v>
      </c>
      <c r="B5" s="8" t="s">
        <v>3</v>
      </c>
      <c r="C5" s="2">
        <v>1085</v>
      </c>
      <c r="D5" s="2">
        <v>8000</v>
      </c>
      <c r="E5" s="7">
        <f t="shared" ref="E5:E68" si="0">C5*D5</f>
        <v>8680000</v>
      </c>
    </row>
    <row r="6" spans="1:6" s="23" customFormat="1" ht="15.6" x14ac:dyDescent="0.25">
      <c r="A6" s="8" t="s">
        <v>5</v>
      </c>
      <c r="B6" s="8" t="s">
        <v>3</v>
      </c>
      <c r="C6" s="2">
        <v>816</v>
      </c>
      <c r="D6" s="2">
        <v>4000</v>
      </c>
      <c r="E6" s="7">
        <f t="shared" si="0"/>
        <v>3264000</v>
      </c>
      <c r="F6" s="22"/>
    </row>
    <row r="7" spans="1:6" s="23" customFormat="1" ht="15.6" hidden="1" x14ac:dyDescent="0.3">
      <c r="A7" s="8" t="s">
        <v>103</v>
      </c>
      <c r="B7" s="8" t="s">
        <v>3</v>
      </c>
      <c r="C7" s="2">
        <v>0</v>
      </c>
      <c r="D7" s="2"/>
      <c r="E7" s="7">
        <f t="shared" si="0"/>
        <v>0</v>
      </c>
    </row>
    <row r="8" spans="1:6" s="23" customFormat="1" ht="15.6" hidden="1" x14ac:dyDescent="0.25">
      <c r="A8" s="8" t="s">
        <v>6</v>
      </c>
      <c r="B8" s="8" t="s">
        <v>3</v>
      </c>
      <c r="C8" s="2">
        <v>0</v>
      </c>
      <c r="D8" s="2"/>
      <c r="E8" s="7">
        <f t="shared" si="0"/>
        <v>0</v>
      </c>
      <c r="F8" s="22"/>
    </row>
    <row r="9" spans="1:6" s="23" customFormat="1" ht="15.6" x14ac:dyDescent="0.25">
      <c r="A9" s="8" t="s">
        <v>7</v>
      </c>
      <c r="B9" s="8" t="s">
        <v>3</v>
      </c>
      <c r="C9" s="2">
        <v>520</v>
      </c>
      <c r="D9" s="2">
        <v>9000</v>
      </c>
      <c r="E9" s="7">
        <f t="shared" si="0"/>
        <v>4680000</v>
      </c>
      <c r="F9" s="22"/>
    </row>
    <row r="10" spans="1:6" s="23" customFormat="1" ht="15.6" hidden="1" x14ac:dyDescent="0.25">
      <c r="A10" s="8" t="s">
        <v>10</v>
      </c>
      <c r="B10" s="8" t="s">
        <v>3</v>
      </c>
      <c r="C10" s="2">
        <v>0</v>
      </c>
      <c r="D10" s="2"/>
      <c r="E10" s="7">
        <f t="shared" si="0"/>
        <v>0</v>
      </c>
      <c r="F10" s="22"/>
    </row>
    <row r="11" spans="1:6" s="23" customFormat="1" ht="15.6" x14ac:dyDescent="0.25">
      <c r="A11" s="8" t="s">
        <v>11</v>
      </c>
      <c r="B11" s="8" t="s">
        <v>3</v>
      </c>
      <c r="C11" s="2">
        <v>115</v>
      </c>
      <c r="D11" s="2">
        <v>7000</v>
      </c>
      <c r="E11" s="7">
        <f t="shared" si="0"/>
        <v>805000</v>
      </c>
      <c r="F11" s="22"/>
    </row>
    <row r="12" spans="1:6" s="23" customFormat="1" ht="15.6" hidden="1" x14ac:dyDescent="0.3">
      <c r="A12" s="8" t="s">
        <v>11</v>
      </c>
      <c r="B12" s="8" t="s">
        <v>9</v>
      </c>
      <c r="C12" s="2">
        <v>0</v>
      </c>
      <c r="D12" s="2"/>
      <c r="E12" s="7">
        <f t="shared" si="0"/>
        <v>0</v>
      </c>
    </row>
    <row r="13" spans="1:6" s="23" customFormat="1" ht="15.6" x14ac:dyDescent="0.3">
      <c r="A13" s="8" t="s">
        <v>8</v>
      </c>
      <c r="B13" s="8" t="s">
        <v>3</v>
      </c>
      <c r="C13" s="2">
        <v>40</v>
      </c>
      <c r="D13" s="2">
        <v>12000</v>
      </c>
      <c r="E13" s="7">
        <f t="shared" si="0"/>
        <v>480000</v>
      </c>
    </row>
    <row r="14" spans="1:6" s="23" customFormat="1" ht="15.6" hidden="1" x14ac:dyDescent="0.3">
      <c r="A14" s="8" t="s">
        <v>8</v>
      </c>
      <c r="B14" s="8" t="s">
        <v>9</v>
      </c>
      <c r="C14" s="2">
        <v>0</v>
      </c>
      <c r="D14" s="2"/>
      <c r="E14" s="7">
        <f t="shared" si="0"/>
        <v>0</v>
      </c>
    </row>
    <row r="15" spans="1:6" s="23" customFormat="1" ht="15.6" hidden="1" x14ac:dyDescent="0.3">
      <c r="A15" s="8" t="s">
        <v>140</v>
      </c>
      <c r="B15" s="8" t="s">
        <v>3</v>
      </c>
      <c r="C15" s="2">
        <v>0</v>
      </c>
      <c r="D15" s="2"/>
      <c r="E15" s="7">
        <f t="shared" si="0"/>
        <v>0</v>
      </c>
    </row>
    <row r="16" spans="1:6" s="23" customFormat="1" ht="15.6" hidden="1" x14ac:dyDescent="0.3">
      <c r="A16" s="8" t="s">
        <v>122</v>
      </c>
      <c r="B16" s="8" t="s">
        <v>3</v>
      </c>
      <c r="C16" s="2">
        <v>0</v>
      </c>
      <c r="D16" s="2"/>
      <c r="E16" s="7">
        <f t="shared" si="0"/>
        <v>0</v>
      </c>
    </row>
    <row r="17" spans="1:6" s="23" customFormat="1" ht="15.6" x14ac:dyDescent="0.3">
      <c r="A17" s="8" t="s">
        <v>12</v>
      </c>
      <c r="B17" s="8" t="s">
        <v>3</v>
      </c>
      <c r="C17" s="2">
        <v>4</v>
      </c>
      <c r="D17" s="2">
        <v>12000</v>
      </c>
      <c r="E17" s="7">
        <f t="shared" si="0"/>
        <v>48000</v>
      </c>
    </row>
    <row r="18" spans="1:6" s="23" customFormat="1" ht="15.6" hidden="1" x14ac:dyDescent="0.3">
      <c r="A18" s="8" t="s">
        <v>14</v>
      </c>
      <c r="B18" s="8" t="s">
        <v>3</v>
      </c>
      <c r="C18" s="2">
        <v>0</v>
      </c>
      <c r="D18" s="2"/>
      <c r="E18" s="7">
        <f t="shared" si="0"/>
        <v>0</v>
      </c>
    </row>
    <row r="19" spans="1:6" s="23" customFormat="1" ht="15.6" x14ac:dyDescent="0.25">
      <c r="A19" s="8" t="s">
        <v>15</v>
      </c>
      <c r="B19" s="8" t="s">
        <v>3</v>
      </c>
      <c r="C19" s="2">
        <v>21</v>
      </c>
      <c r="D19" s="2">
        <v>20000</v>
      </c>
      <c r="E19" s="7">
        <f t="shared" si="0"/>
        <v>420000</v>
      </c>
      <c r="F19" s="22"/>
    </row>
    <row r="20" spans="1:6" s="23" customFormat="1" ht="15.6" hidden="1" x14ac:dyDescent="0.3">
      <c r="A20" s="8" t="s">
        <v>16</v>
      </c>
      <c r="B20" s="8" t="s">
        <v>17</v>
      </c>
      <c r="C20" s="2">
        <v>0</v>
      </c>
      <c r="D20" s="2"/>
      <c r="E20" s="7">
        <f t="shared" si="0"/>
        <v>0</v>
      </c>
    </row>
    <row r="21" spans="1:6" s="23" customFormat="1" ht="15.6" hidden="1" x14ac:dyDescent="0.3">
      <c r="A21" s="8" t="s">
        <v>20</v>
      </c>
      <c r="B21" s="8" t="s">
        <v>3</v>
      </c>
      <c r="C21" s="2">
        <v>0</v>
      </c>
      <c r="D21" s="2"/>
      <c r="E21" s="7">
        <f t="shared" si="0"/>
        <v>0</v>
      </c>
    </row>
    <row r="22" spans="1:6" s="23" customFormat="1" ht="15.6" x14ac:dyDescent="0.25">
      <c r="A22" s="8" t="s">
        <v>22</v>
      </c>
      <c r="B22" s="8" t="s">
        <v>3</v>
      </c>
      <c r="C22" s="2">
        <v>380</v>
      </c>
      <c r="D22" s="2">
        <v>11000</v>
      </c>
      <c r="E22" s="7">
        <f t="shared" si="0"/>
        <v>4180000</v>
      </c>
      <c r="F22" s="22"/>
    </row>
    <row r="23" spans="1:6" s="23" customFormat="1" ht="15.6" hidden="1" x14ac:dyDescent="0.25">
      <c r="A23" s="8" t="s">
        <v>22</v>
      </c>
      <c r="B23" s="8" t="s">
        <v>23</v>
      </c>
      <c r="C23" s="2">
        <v>0</v>
      </c>
      <c r="D23" s="2"/>
      <c r="E23" s="7">
        <f t="shared" si="0"/>
        <v>0</v>
      </c>
      <c r="F23" s="22"/>
    </row>
    <row r="24" spans="1:6" s="23" customFormat="1" ht="15.6" x14ac:dyDescent="0.25">
      <c r="A24" s="8" t="s">
        <v>135</v>
      </c>
      <c r="B24" s="8" t="s">
        <v>3</v>
      </c>
      <c r="C24" s="2">
        <v>40</v>
      </c>
      <c r="D24" s="2">
        <v>11000</v>
      </c>
      <c r="E24" s="7">
        <f t="shared" si="0"/>
        <v>440000</v>
      </c>
      <c r="F24" s="22"/>
    </row>
    <row r="25" spans="1:6" s="23" customFormat="1" ht="15.6" x14ac:dyDescent="0.3">
      <c r="A25" s="8" t="s">
        <v>24</v>
      </c>
      <c r="B25" s="8" t="s">
        <v>3</v>
      </c>
      <c r="C25" s="2">
        <v>15</v>
      </c>
      <c r="D25" s="2">
        <v>12000</v>
      </c>
      <c r="E25" s="7">
        <f t="shared" si="0"/>
        <v>180000</v>
      </c>
    </row>
    <row r="26" spans="1:6" s="23" customFormat="1" ht="15.6" hidden="1" x14ac:dyDescent="0.3">
      <c r="A26" s="8" t="s">
        <v>24</v>
      </c>
      <c r="B26" s="8" t="s">
        <v>25</v>
      </c>
      <c r="C26" s="2">
        <v>0</v>
      </c>
      <c r="D26" s="2"/>
      <c r="E26" s="7">
        <f t="shared" si="0"/>
        <v>0</v>
      </c>
    </row>
    <row r="27" spans="1:6" s="23" customFormat="1" ht="15.6" x14ac:dyDescent="0.3">
      <c r="A27" s="8" t="s">
        <v>26</v>
      </c>
      <c r="B27" s="8" t="s">
        <v>3</v>
      </c>
      <c r="C27" s="2">
        <v>16</v>
      </c>
      <c r="D27" s="2">
        <v>15000</v>
      </c>
      <c r="E27" s="7">
        <f t="shared" si="0"/>
        <v>240000</v>
      </c>
    </row>
    <row r="28" spans="1:6" s="23" customFormat="1" ht="15.6" x14ac:dyDescent="0.3">
      <c r="A28" s="8" t="s">
        <v>26</v>
      </c>
      <c r="B28" s="8" t="s">
        <v>27</v>
      </c>
      <c r="C28" s="2">
        <v>33</v>
      </c>
      <c r="D28" s="2">
        <v>4500</v>
      </c>
      <c r="E28" s="7">
        <f t="shared" si="0"/>
        <v>148500</v>
      </c>
    </row>
    <row r="29" spans="1:6" s="23" customFormat="1" ht="15.6" x14ac:dyDescent="0.3">
      <c r="A29" s="8" t="s">
        <v>28</v>
      </c>
      <c r="B29" s="8" t="s">
        <v>29</v>
      </c>
      <c r="C29" s="2">
        <v>5</v>
      </c>
      <c r="D29" s="2">
        <v>12000</v>
      </c>
      <c r="E29" s="7">
        <f t="shared" si="0"/>
        <v>60000</v>
      </c>
    </row>
    <row r="30" spans="1:6" s="23" customFormat="1" ht="15.6" hidden="1" x14ac:dyDescent="0.3">
      <c r="A30" s="8" t="s">
        <v>30</v>
      </c>
      <c r="B30" s="8" t="s">
        <v>3</v>
      </c>
      <c r="C30" s="2">
        <v>0</v>
      </c>
      <c r="D30" s="2"/>
      <c r="E30" s="7">
        <f t="shared" si="0"/>
        <v>0</v>
      </c>
    </row>
    <row r="31" spans="1:6" s="23" customFormat="1" ht="15.6" hidden="1" x14ac:dyDescent="0.3">
      <c r="A31" s="8" t="s">
        <v>30</v>
      </c>
      <c r="B31" s="8" t="s">
        <v>31</v>
      </c>
      <c r="C31" s="2">
        <v>0</v>
      </c>
      <c r="D31" s="2"/>
      <c r="E31" s="7">
        <f t="shared" si="0"/>
        <v>0</v>
      </c>
    </row>
    <row r="32" spans="1:6" s="23" customFormat="1" ht="15.6" x14ac:dyDescent="0.3">
      <c r="A32" s="8" t="s">
        <v>32</v>
      </c>
      <c r="B32" s="8" t="s">
        <v>3</v>
      </c>
      <c r="C32" s="2">
        <v>100</v>
      </c>
      <c r="D32" s="2">
        <v>8000</v>
      </c>
      <c r="E32" s="7">
        <f t="shared" si="0"/>
        <v>800000</v>
      </c>
    </row>
    <row r="33" spans="1:6" s="23" customFormat="1" ht="15.6" hidden="1" x14ac:dyDescent="0.25">
      <c r="A33" s="8" t="s">
        <v>32</v>
      </c>
      <c r="B33" s="8" t="s">
        <v>17</v>
      </c>
      <c r="C33" s="2">
        <v>0</v>
      </c>
      <c r="D33" s="2"/>
      <c r="E33" s="7">
        <f t="shared" si="0"/>
        <v>0</v>
      </c>
      <c r="F33" s="22"/>
    </row>
    <row r="34" spans="1:6" s="23" customFormat="1" ht="15.6" hidden="1" x14ac:dyDescent="0.25">
      <c r="A34" s="8" t="s">
        <v>33</v>
      </c>
      <c r="B34" s="8" t="s">
        <v>34</v>
      </c>
      <c r="C34" s="2">
        <v>0</v>
      </c>
      <c r="D34" s="2"/>
      <c r="E34" s="7">
        <f t="shared" si="0"/>
        <v>0</v>
      </c>
      <c r="F34" s="22"/>
    </row>
    <row r="35" spans="1:6" s="23" customFormat="1" ht="15.6" hidden="1" x14ac:dyDescent="0.25">
      <c r="A35" s="8" t="s">
        <v>35</v>
      </c>
      <c r="B35" s="8" t="s">
        <v>3</v>
      </c>
      <c r="C35" s="2">
        <v>0</v>
      </c>
      <c r="D35" s="2"/>
      <c r="E35" s="7">
        <f t="shared" si="0"/>
        <v>0</v>
      </c>
      <c r="F35" s="22"/>
    </row>
    <row r="36" spans="1:6" s="23" customFormat="1" ht="15.6" hidden="1" x14ac:dyDescent="0.25">
      <c r="A36" s="8" t="s">
        <v>35</v>
      </c>
      <c r="B36" s="8" t="s">
        <v>34</v>
      </c>
      <c r="C36" s="2">
        <v>0</v>
      </c>
      <c r="D36" s="2"/>
      <c r="E36" s="7">
        <f t="shared" si="0"/>
        <v>0</v>
      </c>
      <c r="F36" s="22"/>
    </row>
    <row r="37" spans="1:6" s="23" customFormat="1" ht="15.6" hidden="1" x14ac:dyDescent="0.25">
      <c r="A37" s="8" t="s">
        <v>36</v>
      </c>
      <c r="B37" s="8" t="s">
        <v>3</v>
      </c>
      <c r="C37" s="2">
        <v>0</v>
      </c>
      <c r="D37" s="2"/>
      <c r="E37" s="7">
        <f t="shared" si="0"/>
        <v>0</v>
      </c>
      <c r="F37" s="22"/>
    </row>
    <row r="38" spans="1:6" s="23" customFormat="1" ht="15.6" x14ac:dyDescent="0.25">
      <c r="A38" s="8" t="s">
        <v>36</v>
      </c>
      <c r="B38" s="8" t="s">
        <v>17</v>
      </c>
      <c r="C38" s="2">
        <v>10</v>
      </c>
      <c r="D38" s="2">
        <v>6000</v>
      </c>
      <c r="E38" s="7">
        <f t="shared" si="0"/>
        <v>60000</v>
      </c>
      <c r="F38" s="22"/>
    </row>
    <row r="39" spans="1:6" s="23" customFormat="1" ht="15.6" x14ac:dyDescent="0.25">
      <c r="A39" s="8" t="s">
        <v>37</v>
      </c>
      <c r="B39" s="8" t="s">
        <v>3</v>
      </c>
      <c r="C39" s="2">
        <v>26</v>
      </c>
      <c r="D39" s="2">
        <v>8000</v>
      </c>
      <c r="E39" s="7">
        <f t="shared" si="0"/>
        <v>208000</v>
      </c>
      <c r="F39" s="22"/>
    </row>
    <row r="40" spans="1:6" s="23" customFormat="1" ht="15.6" hidden="1" x14ac:dyDescent="0.3">
      <c r="A40" s="8" t="s">
        <v>37</v>
      </c>
      <c r="B40" s="8" t="s">
        <v>38</v>
      </c>
      <c r="C40" s="2">
        <v>0</v>
      </c>
      <c r="D40" s="2"/>
      <c r="E40" s="7">
        <f t="shared" si="0"/>
        <v>0</v>
      </c>
    </row>
    <row r="41" spans="1:6" s="23" customFormat="1" ht="15.6" x14ac:dyDescent="0.3">
      <c r="A41" s="8" t="s">
        <v>39</v>
      </c>
      <c r="B41" s="8" t="s">
        <v>3</v>
      </c>
      <c r="C41" s="2">
        <v>6</v>
      </c>
      <c r="D41" s="2">
        <v>20000</v>
      </c>
      <c r="E41" s="7">
        <f t="shared" si="0"/>
        <v>120000</v>
      </c>
    </row>
    <row r="42" spans="1:6" s="23" customFormat="1" ht="15.6" hidden="1" x14ac:dyDescent="0.25">
      <c r="A42" s="8" t="s">
        <v>39</v>
      </c>
      <c r="B42" s="8" t="s">
        <v>34</v>
      </c>
      <c r="C42" s="2">
        <v>0</v>
      </c>
      <c r="D42" s="2"/>
      <c r="E42" s="7">
        <f t="shared" si="0"/>
        <v>0</v>
      </c>
      <c r="F42" s="22"/>
    </row>
    <row r="43" spans="1:6" s="23" customFormat="1" ht="15.6" hidden="1" x14ac:dyDescent="0.25">
      <c r="A43" s="8" t="s">
        <v>40</v>
      </c>
      <c r="B43" s="8" t="s">
        <v>3</v>
      </c>
      <c r="C43" s="2">
        <v>0</v>
      </c>
      <c r="D43" s="2"/>
      <c r="E43" s="7">
        <f t="shared" si="0"/>
        <v>0</v>
      </c>
      <c r="F43" s="22"/>
    </row>
    <row r="44" spans="1:6" s="23" customFormat="1" ht="15.6" x14ac:dyDescent="0.3">
      <c r="A44" s="8" t="s">
        <v>40</v>
      </c>
      <c r="B44" s="8" t="s">
        <v>34</v>
      </c>
      <c r="C44" s="2">
        <v>5</v>
      </c>
      <c r="D44" s="2">
        <v>3000</v>
      </c>
      <c r="E44" s="7">
        <f t="shared" si="0"/>
        <v>15000</v>
      </c>
    </row>
    <row r="45" spans="1:6" s="23" customFormat="1" ht="15.6" hidden="1" x14ac:dyDescent="0.3">
      <c r="A45" s="8" t="s">
        <v>41</v>
      </c>
      <c r="B45" s="8" t="s">
        <v>3</v>
      </c>
      <c r="C45" s="2">
        <v>0</v>
      </c>
      <c r="D45" s="2"/>
      <c r="E45" s="7">
        <f t="shared" si="0"/>
        <v>0</v>
      </c>
    </row>
    <row r="46" spans="1:6" s="23" customFormat="1" ht="15.6" hidden="1" x14ac:dyDescent="0.25">
      <c r="A46" s="8" t="s">
        <v>41</v>
      </c>
      <c r="B46" s="8" t="s">
        <v>34</v>
      </c>
      <c r="C46" s="2">
        <v>0</v>
      </c>
      <c r="D46" s="2"/>
      <c r="E46" s="7">
        <f t="shared" si="0"/>
        <v>0</v>
      </c>
      <c r="F46" s="22"/>
    </row>
    <row r="47" spans="1:6" s="23" customFormat="1" ht="15.6" x14ac:dyDescent="0.25">
      <c r="A47" s="8" t="s">
        <v>42</v>
      </c>
      <c r="B47" s="8" t="s">
        <v>3</v>
      </c>
      <c r="C47" s="2">
        <v>350</v>
      </c>
      <c r="D47" s="2">
        <v>3000</v>
      </c>
      <c r="E47" s="7">
        <f t="shared" si="0"/>
        <v>1050000</v>
      </c>
      <c r="F47" s="22"/>
    </row>
    <row r="48" spans="1:6" s="23" customFormat="1" ht="15.6" hidden="1" x14ac:dyDescent="0.25">
      <c r="A48" s="8" t="s">
        <v>43</v>
      </c>
      <c r="B48" s="8" t="s">
        <v>3</v>
      </c>
      <c r="C48" s="2">
        <v>0</v>
      </c>
      <c r="D48" s="2"/>
      <c r="E48" s="7">
        <f t="shared" si="0"/>
        <v>0</v>
      </c>
      <c r="F48" s="22"/>
    </row>
    <row r="49" spans="1:6" s="23" customFormat="1" ht="15.6" x14ac:dyDescent="0.3">
      <c r="A49" s="8" t="s">
        <v>44</v>
      </c>
      <c r="B49" s="8" t="s">
        <v>3</v>
      </c>
      <c r="C49" s="2">
        <v>190</v>
      </c>
      <c r="D49" s="2">
        <v>3000</v>
      </c>
      <c r="E49" s="7">
        <f t="shared" si="0"/>
        <v>570000</v>
      </c>
    </row>
    <row r="50" spans="1:6" s="23" customFormat="1" ht="15.6" hidden="1" x14ac:dyDescent="0.3">
      <c r="A50" s="8" t="s">
        <v>45</v>
      </c>
      <c r="B50" s="8" t="s">
        <v>3</v>
      </c>
      <c r="C50" s="2">
        <v>0</v>
      </c>
      <c r="D50" s="2"/>
      <c r="E50" s="7">
        <f t="shared" si="0"/>
        <v>0</v>
      </c>
    </row>
    <row r="51" spans="1:6" s="23" customFormat="1" ht="15.6" hidden="1" x14ac:dyDescent="0.25">
      <c r="A51" s="8" t="s">
        <v>45</v>
      </c>
      <c r="B51" s="8" t="s">
        <v>19</v>
      </c>
      <c r="C51" s="2">
        <v>0</v>
      </c>
      <c r="D51" s="2"/>
      <c r="E51" s="7">
        <f t="shared" si="0"/>
        <v>0</v>
      </c>
      <c r="F51" s="22"/>
    </row>
    <row r="52" spans="1:6" s="23" customFormat="1" ht="15.6" hidden="1" x14ac:dyDescent="0.25">
      <c r="A52" s="8" t="s">
        <v>62</v>
      </c>
      <c r="B52" s="8" t="s">
        <v>3</v>
      </c>
      <c r="C52" s="2">
        <v>0</v>
      </c>
      <c r="D52" s="2"/>
      <c r="E52" s="7">
        <f t="shared" si="0"/>
        <v>0</v>
      </c>
      <c r="F52" s="22"/>
    </row>
    <row r="53" spans="1:6" s="23" customFormat="1" ht="15.6" hidden="1" x14ac:dyDescent="0.3">
      <c r="A53" s="8" t="s">
        <v>63</v>
      </c>
      <c r="B53" s="8" t="s">
        <v>3</v>
      </c>
      <c r="C53" s="2">
        <v>0</v>
      </c>
      <c r="D53" s="2"/>
      <c r="E53" s="7">
        <f t="shared" si="0"/>
        <v>0</v>
      </c>
    </row>
    <row r="54" spans="1:6" s="23" customFormat="1" ht="15.6" hidden="1" x14ac:dyDescent="0.3">
      <c r="A54" s="8" t="s">
        <v>46</v>
      </c>
      <c r="B54" s="8" t="s">
        <v>29</v>
      </c>
      <c r="C54" s="2">
        <v>0</v>
      </c>
      <c r="D54" s="2"/>
      <c r="E54" s="7">
        <f t="shared" si="0"/>
        <v>0</v>
      </c>
    </row>
    <row r="55" spans="1:6" s="23" customFormat="1" ht="15.6" hidden="1" x14ac:dyDescent="0.25">
      <c r="A55" s="8" t="s">
        <v>46</v>
      </c>
      <c r="B55" s="8" t="s">
        <v>3</v>
      </c>
      <c r="C55" s="2">
        <v>0</v>
      </c>
      <c r="D55" s="2"/>
      <c r="E55" s="7">
        <f t="shared" si="0"/>
        <v>0</v>
      </c>
      <c r="F55" s="22"/>
    </row>
    <row r="56" spans="1:6" s="23" customFormat="1" ht="15.6" hidden="1" x14ac:dyDescent="0.25">
      <c r="A56" s="8" t="s">
        <v>47</v>
      </c>
      <c r="B56" s="8" t="s">
        <v>3</v>
      </c>
      <c r="C56" s="2">
        <v>0</v>
      </c>
      <c r="D56" s="2"/>
      <c r="E56" s="7">
        <f t="shared" si="0"/>
        <v>0</v>
      </c>
      <c r="F56" s="22"/>
    </row>
    <row r="57" spans="1:6" s="23" customFormat="1" ht="15.6" x14ac:dyDescent="0.3">
      <c r="A57" s="8" t="s">
        <v>48</v>
      </c>
      <c r="B57" s="8" t="s">
        <v>3</v>
      </c>
      <c r="C57" s="2">
        <v>70</v>
      </c>
      <c r="D57" s="2">
        <v>8000</v>
      </c>
      <c r="E57" s="7">
        <f t="shared" si="0"/>
        <v>560000</v>
      </c>
    </row>
    <row r="58" spans="1:6" s="23" customFormat="1" ht="15.6" hidden="1" x14ac:dyDescent="0.25">
      <c r="A58" s="8" t="s">
        <v>48</v>
      </c>
      <c r="B58" s="8" t="s">
        <v>34</v>
      </c>
      <c r="C58" s="2">
        <v>0</v>
      </c>
      <c r="D58" s="2"/>
      <c r="E58" s="7">
        <f t="shared" si="0"/>
        <v>0</v>
      </c>
      <c r="F58" s="22"/>
    </row>
    <row r="59" spans="1:6" s="23" customFormat="1" ht="15.6" x14ac:dyDescent="0.25">
      <c r="A59" s="8" t="s">
        <v>49</v>
      </c>
      <c r="B59" s="8" t="s">
        <v>3</v>
      </c>
      <c r="C59" s="2">
        <v>22</v>
      </c>
      <c r="D59" s="2">
        <v>21000</v>
      </c>
      <c r="E59" s="7">
        <f t="shared" si="0"/>
        <v>462000</v>
      </c>
      <c r="F59" s="22"/>
    </row>
    <row r="60" spans="1:6" s="23" customFormat="1" ht="15.6" x14ac:dyDescent="0.3">
      <c r="A60" s="8" t="s">
        <v>50</v>
      </c>
      <c r="B60" s="8" t="s">
        <v>3</v>
      </c>
      <c r="C60" s="2">
        <v>265</v>
      </c>
      <c r="D60" s="2">
        <v>5500</v>
      </c>
      <c r="E60" s="7">
        <f t="shared" si="0"/>
        <v>1457500</v>
      </c>
    </row>
    <row r="61" spans="1:6" s="23" customFormat="1" ht="15.6" hidden="1" x14ac:dyDescent="0.25">
      <c r="A61" s="8" t="s">
        <v>50</v>
      </c>
      <c r="B61" s="8" t="s">
        <v>51</v>
      </c>
      <c r="C61" s="2">
        <v>0</v>
      </c>
      <c r="D61" s="2"/>
      <c r="E61" s="7">
        <f t="shared" si="0"/>
        <v>0</v>
      </c>
      <c r="F61" s="22"/>
    </row>
    <row r="62" spans="1:6" s="23" customFormat="1" ht="15.6" x14ac:dyDescent="0.25">
      <c r="A62" s="8" t="s">
        <v>52</v>
      </c>
      <c r="B62" s="8" t="s">
        <v>34</v>
      </c>
      <c r="C62" s="2">
        <v>430</v>
      </c>
      <c r="D62" s="2">
        <v>1350</v>
      </c>
      <c r="E62" s="7">
        <f t="shared" si="0"/>
        <v>580500</v>
      </c>
      <c r="F62" s="22"/>
    </row>
    <row r="63" spans="1:6" s="23" customFormat="1" ht="15.6" x14ac:dyDescent="0.25">
      <c r="A63" s="8" t="s">
        <v>53</v>
      </c>
      <c r="B63" s="8" t="s">
        <v>3</v>
      </c>
      <c r="C63" s="2">
        <v>1425</v>
      </c>
      <c r="D63" s="2">
        <v>26000</v>
      </c>
      <c r="E63" s="7">
        <f t="shared" si="0"/>
        <v>37050000</v>
      </c>
      <c r="F63" s="22"/>
    </row>
    <row r="64" spans="1:6" s="23" customFormat="1" ht="15.6" x14ac:dyDescent="0.3">
      <c r="A64" s="8" t="s">
        <v>54</v>
      </c>
      <c r="B64" s="8" t="s">
        <v>3</v>
      </c>
      <c r="C64" s="2">
        <v>75</v>
      </c>
      <c r="D64" s="2">
        <v>26000</v>
      </c>
      <c r="E64" s="7">
        <f t="shared" si="0"/>
        <v>1950000</v>
      </c>
    </row>
    <row r="65" spans="1:6" s="23" customFormat="1" ht="15.6" hidden="1" x14ac:dyDescent="0.25">
      <c r="A65" s="8" t="s">
        <v>55</v>
      </c>
      <c r="B65" s="8" t="s">
        <v>3</v>
      </c>
      <c r="C65" s="2">
        <v>0</v>
      </c>
      <c r="D65" s="2"/>
      <c r="E65" s="7">
        <f t="shared" si="0"/>
        <v>0</v>
      </c>
      <c r="F65" s="22"/>
    </row>
    <row r="66" spans="1:6" s="23" customFormat="1" ht="15.6" x14ac:dyDescent="0.25">
      <c r="A66" s="8" t="s">
        <v>56</v>
      </c>
      <c r="B66" s="8" t="s">
        <v>3</v>
      </c>
      <c r="C66" s="2">
        <v>57</v>
      </c>
      <c r="D66" s="2">
        <v>24000</v>
      </c>
      <c r="E66" s="7">
        <f t="shared" si="0"/>
        <v>1368000</v>
      </c>
      <c r="F66" s="22"/>
    </row>
    <row r="67" spans="1:6" s="23" customFormat="1" ht="15.6" hidden="1" x14ac:dyDescent="0.3">
      <c r="A67" s="8" t="s">
        <v>58</v>
      </c>
      <c r="B67" s="8" t="s">
        <v>3</v>
      </c>
      <c r="C67" s="2">
        <v>0</v>
      </c>
      <c r="D67" s="2"/>
      <c r="E67" s="7">
        <f t="shared" si="0"/>
        <v>0</v>
      </c>
    </row>
    <row r="68" spans="1:6" s="23" customFormat="1" ht="15.6" hidden="1" x14ac:dyDescent="0.3">
      <c r="A68" s="8" t="s">
        <v>58</v>
      </c>
      <c r="B68" s="8" t="s">
        <v>34</v>
      </c>
      <c r="C68" s="2">
        <v>0</v>
      </c>
      <c r="D68" s="2"/>
      <c r="E68" s="7">
        <f t="shared" si="0"/>
        <v>0</v>
      </c>
    </row>
    <row r="69" spans="1:6" s="23" customFormat="1" ht="15.6" hidden="1" x14ac:dyDescent="0.3">
      <c r="A69" s="8" t="s">
        <v>105</v>
      </c>
      <c r="B69" s="8" t="s">
        <v>3</v>
      </c>
      <c r="C69" s="2">
        <v>0</v>
      </c>
      <c r="D69" s="2"/>
      <c r="E69" s="7">
        <f t="shared" ref="E69:E114" si="1">C69*D69</f>
        <v>0</v>
      </c>
    </row>
    <row r="70" spans="1:6" s="23" customFormat="1" ht="15.6" x14ac:dyDescent="0.3">
      <c r="A70" s="8" t="s">
        <v>59</v>
      </c>
      <c r="B70" s="8" t="s">
        <v>3</v>
      </c>
      <c r="C70" s="2">
        <v>370</v>
      </c>
      <c r="D70" s="2">
        <v>14000</v>
      </c>
      <c r="E70" s="7">
        <f t="shared" si="1"/>
        <v>5180000</v>
      </c>
    </row>
    <row r="71" spans="1:6" s="23" customFormat="1" ht="15.6" hidden="1" x14ac:dyDescent="0.3">
      <c r="A71" s="8" t="s">
        <v>59</v>
      </c>
      <c r="B71" s="8" t="s">
        <v>34</v>
      </c>
      <c r="C71" s="2">
        <v>0</v>
      </c>
      <c r="D71" s="2"/>
      <c r="E71" s="7">
        <f t="shared" si="1"/>
        <v>0</v>
      </c>
    </row>
    <row r="72" spans="1:6" s="23" customFormat="1" ht="15.6" x14ac:dyDescent="0.25">
      <c r="A72" s="8" t="s">
        <v>60</v>
      </c>
      <c r="B72" s="8" t="s">
        <v>34</v>
      </c>
      <c r="C72" s="2">
        <v>270</v>
      </c>
      <c r="D72" s="2">
        <v>5000</v>
      </c>
      <c r="E72" s="7">
        <f t="shared" si="1"/>
        <v>1350000</v>
      </c>
      <c r="F72" s="22"/>
    </row>
    <row r="73" spans="1:6" s="23" customFormat="1" ht="15.6" hidden="1" x14ac:dyDescent="0.25">
      <c r="A73" s="8" t="s">
        <v>61</v>
      </c>
      <c r="B73" s="8" t="s">
        <v>3</v>
      </c>
      <c r="C73" s="2">
        <v>0</v>
      </c>
      <c r="D73" s="2"/>
      <c r="E73" s="7">
        <f t="shared" si="1"/>
        <v>0</v>
      </c>
      <c r="F73" s="22"/>
    </row>
    <row r="74" spans="1:6" s="23" customFormat="1" ht="15.6" hidden="1" x14ac:dyDescent="0.3">
      <c r="A74" s="8" t="s">
        <v>67</v>
      </c>
      <c r="B74" s="8" t="s">
        <v>34</v>
      </c>
      <c r="C74" s="2">
        <v>0</v>
      </c>
      <c r="D74" s="2"/>
      <c r="E74" s="7">
        <f t="shared" si="1"/>
        <v>0</v>
      </c>
    </row>
    <row r="75" spans="1:6" s="23" customFormat="1" ht="15.6" hidden="1" x14ac:dyDescent="0.3">
      <c r="A75" s="8" t="s">
        <v>68</v>
      </c>
      <c r="B75" s="8" t="s">
        <v>3</v>
      </c>
      <c r="C75" s="2">
        <v>0</v>
      </c>
      <c r="D75" s="2"/>
      <c r="E75" s="7">
        <f t="shared" si="1"/>
        <v>0</v>
      </c>
    </row>
    <row r="76" spans="1:6" s="23" customFormat="1" ht="15.6" x14ac:dyDescent="0.3">
      <c r="A76" s="8" t="s">
        <v>68</v>
      </c>
      <c r="B76" s="8" t="s">
        <v>34</v>
      </c>
      <c r="C76" s="2">
        <v>20</v>
      </c>
      <c r="D76" s="2">
        <v>6500</v>
      </c>
      <c r="E76" s="7">
        <f t="shared" si="1"/>
        <v>130000</v>
      </c>
    </row>
    <row r="77" spans="1:6" s="23" customFormat="1" ht="15.6" hidden="1" x14ac:dyDescent="0.3">
      <c r="A77" s="8" t="s">
        <v>68</v>
      </c>
      <c r="B77" s="8" t="s">
        <v>116</v>
      </c>
      <c r="C77" s="2">
        <v>0</v>
      </c>
      <c r="D77" s="2"/>
      <c r="E77" s="7">
        <f t="shared" si="1"/>
        <v>0</v>
      </c>
    </row>
    <row r="78" spans="1:6" s="23" customFormat="1" ht="15.6" hidden="1" x14ac:dyDescent="0.3">
      <c r="A78" s="8" t="s">
        <v>69</v>
      </c>
      <c r="B78" s="8" t="s">
        <v>3</v>
      </c>
      <c r="C78" s="2">
        <v>0</v>
      </c>
      <c r="D78" s="2"/>
      <c r="E78" s="7">
        <f t="shared" si="1"/>
        <v>0</v>
      </c>
    </row>
    <row r="79" spans="1:6" s="23" customFormat="1" ht="15.6" hidden="1" x14ac:dyDescent="0.3">
      <c r="A79" s="8" t="s">
        <v>70</v>
      </c>
      <c r="B79" s="8" t="s">
        <v>3</v>
      </c>
      <c r="C79" s="2">
        <v>0</v>
      </c>
      <c r="D79" s="2"/>
      <c r="E79" s="7">
        <f t="shared" si="1"/>
        <v>0</v>
      </c>
    </row>
    <row r="80" spans="1:6" s="23" customFormat="1" ht="15.6" hidden="1" x14ac:dyDescent="0.3">
      <c r="A80" s="8" t="s">
        <v>71</v>
      </c>
      <c r="B80" s="8" t="s">
        <v>3</v>
      </c>
      <c r="C80" s="2">
        <v>0</v>
      </c>
      <c r="D80" s="2"/>
      <c r="E80" s="7">
        <f t="shared" si="1"/>
        <v>0</v>
      </c>
    </row>
    <row r="81" spans="1:6" s="23" customFormat="1" ht="15.6" hidden="1" x14ac:dyDescent="0.3">
      <c r="A81" s="8" t="s">
        <v>64</v>
      </c>
      <c r="B81" s="8" t="s">
        <v>3</v>
      </c>
      <c r="C81" s="2">
        <v>0</v>
      </c>
      <c r="D81" s="2"/>
      <c r="E81" s="7">
        <f t="shared" si="1"/>
        <v>0</v>
      </c>
    </row>
    <row r="82" spans="1:6" s="23" customFormat="1" ht="15.6" x14ac:dyDescent="0.3">
      <c r="A82" s="8" t="s">
        <v>64</v>
      </c>
      <c r="B82" s="8" t="s">
        <v>17</v>
      </c>
      <c r="C82" s="2">
        <v>1330</v>
      </c>
      <c r="D82" s="2">
        <v>6700</v>
      </c>
      <c r="E82" s="7">
        <f t="shared" si="1"/>
        <v>8911000</v>
      </c>
    </row>
    <row r="83" spans="1:6" s="23" customFormat="1" ht="15.6" hidden="1" x14ac:dyDescent="0.25">
      <c r="A83" s="8" t="s">
        <v>65</v>
      </c>
      <c r="B83" s="8" t="s">
        <v>3</v>
      </c>
      <c r="C83" s="2">
        <v>0</v>
      </c>
      <c r="D83" s="2"/>
      <c r="E83" s="7">
        <f t="shared" si="1"/>
        <v>0</v>
      </c>
      <c r="F83" s="22"/>
    </row>
    <row r="84" spans="1:6" s="23" customFormat="1" ht="15.6" customHeight="1" x14ac:dyDescent="0.25">
      <c r="A84" s="8" t="s">
        <v>66</v>
      </c>
      <c r="B84" s="8" t="s">
        <v>3</v>
      </c>
      <c r="C84" s="2">
        <v>35</v>
      </c>
      <c r="D84" s="2">
        <v>12000</v>
      </c>
      <c r="E84" s="7">
        <f t="shared" si="1"/>
        <v>420000</v>
      </c>
      <c r="F84" s="22"/>
    </row>
    <row r="85" spans="1:6" s="23" customFormat="1" ht="15.6" x14ac:dyDescent="0.3">
      <c r="A85" s="8" t="s">
        <v>72</v>
      </c>
      <c r="B85" s="8" t="s">
        <v>3</v>
      </c>
      <c r="C85" s="2">
        <v>35</v>
      </c>
      <c r="D85" s="2">
        <v>10000</v>
      </c>
      <c r="E85" s="7">
        <f t="shared" si="1"/>
        <v>350000</v>
      </c>
    </row>
    <row r="86" spans="1:6" s="23" customFormat="1" ht="15.6" hidden="1" x14ac:dyDescent="0.25">
      <c r="A86" s="8" t="s">
        <v>72</v>
      </c>
      <c r="B86" s="8" t="s">
        <v>19</v>
      </c>
      <c r="C86" s="2">
        <v>0</v>
      </c>
      <c r="D86" s="2"/>
      <c r="E86" s="7">
        <f t="shared" si="1"/>
        <v>0</v>
      </c>
      <c r="F86" s="22"/>
    </row>
    <row r="87" spans="1:6" s="23" customFormat="1" ht="15.6" hidden="1" x14ac:dyDescent="0.3">
      <c r="A87" s="8" t="s">
        <v>74</v>
      </c>
      <c r="B87" s="8" t="s">
        <v>34</v>
      </c>
      <c r="C87" s="2">
        <v>0</v>
      </c>
      <c r="D87" s="2"/>
      <c r="E87" s="7">
        <f t="shared" si="1"/>
        <v>0</v>
      </c>
    </row>
    <row r="88" spans="1:6" s="23" customFormat="1" ht="15.6" x14ac:dyDescent="0.3">
      <c r="A88" s="8" t="s">
        <v>75</v>
      </c>
      <c r="B88" s="8" t="s">
        <v>3</v>
      </c>
      <c r="C88" s="2">
        <v>6</v>
      </c>
      <c r="D88" s="2">
        <v>14000</v>
      </c>
      <c r="E88" s="7">
        <f t="shared" si="1"/>
        <v>84000</v>
      </c>
    </row>
    <row r="89" spans="1:6" s="23" customFormat="1" ht="15.6" hidden="1" x14ac:dyDescent="0.3">
      <c r="A89" s="8" t="s">
        <v>76</v>
      </c>
      <c r="B89" s="8" t="s">
        <v>78</v>
      </c>
      <c r="C89" s="2">
        <v>0</v>
      </c>
      <c r="D89" s="2"/>
      <c r="E89" s="7">
        <f t="shared" si="1"/>
        <v>0</v>
      </c>
    </row>
    <row r="90" spans="1:6" s="23" customFormat="1" ht="15.6" hidden="1" x14ac:dyDescent="0.3">
      <c r="A90" s="8" t="s">
        <v>76</v>
      </c>
      <c r="B90" s="8" t="s">
        <v>77</v>
      </c>
      <c r="C90" s="2">
        <v>0</v>
      </c>
      <c r="D90" s="2"/>
      <c r="E90" s="7">
        <f t="shared" si="1"/>
        <v>0</v>
      </c>
    </row>
    <row r="91" spans="1:6" s="23" customFormat="1" ht="15.6" hidden="1" x14ac:dyDescent="0.3">
      <c r="A91" s="8" t="s">
        <v>79</v>
      </c>
      <c r="B91" s="8" t="s">
        <v>17</v>
      </c>
      <c r="C91" s="2">
        <v>0</v>
      </c>
      <c r="D91" s="2"/>
      <c r="E91" s="7">
        <f t="shared" si="1"/>
        <v>0</v>
      </c>
    </row>
    <row r="92" spans="1:6" s="23" customFormat="1" ht="15.6" hidden="1" x14ac:dyDescent="0.3">
      <c r="A92" s="8" t="s">
        <v>80</v>
      </c>
      <c r="B92" s="8" t="s">
        <v>29</v>
      </c>
      <c r="C92" s="2">
        <v>0</v>
      </c>
      <c r="D92" s="2"/>
      <c r="E92" s="7">
        <f t="shared" si="1"/>
        <v>0</v>
      </c>
    </row>
    <row r="93" spans="1:6" s="23" customFormat="1" ht="15.6" hidden="1" x14ac:dyDescent="0.3">
      <c r="A93" s="8" t="s">
        <v>80</v>
      </c>
      <c r="B93" s="8" t="s">
        <v>3</v>
      </c>
      <c r="C93" s="2">
        <v>0</v>
      </c>
      <c r="D93" s="2"/>
      <c r="E93" s="7">
        <f t="shared" si="1"/>
        <v>0</v>
      </c>
    </row>
    <row r="94" spans="1:6" s="23" customFormat="1" ht="15.6" x14ac:dyDescent="0.3">
      <c r="A94" s="8" t="s">
        <v>81</v>
      </c>
      <c r="B94" s="8" t="s">
        <v>3</v>
      </c>
      <c r="C94" s="2">
        <v>132</v>
      </c>
      <c r="D94" s="2">
        <v>26000</v>
      </c>
      <c r="E94" s="7">
        <f t="shared" si="1"/>
        <v>3432000</v>
      </c>
    </row>
    <row r="95" spans="1:6" s="23" customFormat="1" ht="15.6" hidden="1" x14ac:dyDescent="0.3">
      <c r="A95" s="8" t="s">
        <v>81</v>
      </c>
      <c r="B95" s="8" t="s">
        <v>9</v>
      </c>
      <c r="C95" s="2">
        <v>0</v>
      </c>
      <c r="D95" s="2"/>
      <c r="E95" s="7">
        <f t="shared" si="1"/>
        <v>0</v>
      </c>
    </row>
    <row r="96" spans="1:6" s="23" customFormat="1" ht="15.6" x14ac:dyDescent="0.3">
      <c r="A96" s="8" t="s">
        <v>82</v>
      </c>
      <c r="B96" s="8" t="s">
        <v>3</v>
      </c>
      <c r="C96" s="2">
        <v>80</v>
      </c>
      <c r="D96" s="2">
        <v>24000</v>
      </c>
      <c r="E96" s="7">
        <f t="shared" si="1"/>
        <v>1920000</v>
      </c>
    </row>
    <row r="97" spans="1:6" s="23" customFormat="1" ht="15.6" hidden="1" x14ac:dyDescent="0.25">
      <c r="A97" s="8" t="s">
        <v>82</v>
      </c>
      <c r="B97" s="8" t="s">
        <v>9</v>
      </c>
      <c r="C97" s="2">
        <v>0</v>
      </c>
      <c r="D97" s="2"/>
      <c r="E97" s="7">
        <f t="shared" si="1"/>
        <v>0</v>
      </c>
      <c r="F97" s="22"/>
    </row>
    <row r="98" spans="1:6" s="23" customFormat="1" ht="15.6" x14ac:dyDescent="0.25">
      <c r="A98" s="8" t="s">
        <v>83</v>
      </c>
      <c r="B98" s="8" t="s">
        <v>3</v>
      </c>
      <c r="C98" s="2">
        <v>72</v>
      </c>
      <c r="D98" s="2">
        <v>30000</v>
      </c>
      <c r="E98" s="7">
        <f t="shared" si="1"/>
        <v>2160000</v>
      </c>
      <c r="F98" s="22"/>
    </row>
    <row r="99" spans="1:6" s="23" customFormat="1" ht="15.6" hidden="1" x14ac:dyDescent="0.3">
      <c r="A99" s="8" t="s">
        <v>83</v>
      </c>
      <c r="B99" s="8" t="s">
        <v>9</v>
      </c>
      <c r="C99" s="2">
        <v>0</v>
      </c>
      <c r="D99" s="2"/>
      <c r="E99" s="7">
        <f t="shared" si="1"/>
        <v>0</v>
      </c>
    </row>
    <row r="100" spans="1:6" s="23" customFormat="1" ht="15.6" x14ac:dyDescent="0.3">
      <c r="A100" s="8" t="s">
        <v>84</v>
      </c>
      <c r="B100" s="8" t="s">
        <v>34</v>
      </c>
      <c r="C100" s="2">
        <v>30</v>
      </c>
      <c r="D100" s="2">
        <v>16000</v>
      </c>
      <c r="E100" s="7">
        <f t="shared" si="1"/>
        <v>480000</v>
      </c>
    </row>
    <row r="101" spans="1:6" s="23" customFormat="1" ht="15.6" hidden="1" x14ac:dyDescent="0.3">
      <c r="A101" s="8" t="s">
        <v>85</v>
      </c>
      <c r="B101" s="8" t="s">
        <v>34</v>
      </c>
      <c r="C101" s="2">
        <v>0</v>
      </c>
      <c r="D101" s="2"/>
      <c r="E101" s="7">
        <f t="shared" si="1"/>
        <v>0</v>
      </c>
    </row>
    <row r="102" spans="1:6" s="23" customFormat="1" ht="15.6" x14ac:dyDescent="0.3">
      <c r="A102" s="8" t="s">
        <v>86</v>
      </c>
      <c r="B102" s="8" t="s">
        <v>9</v>
      </c>
      <c r="C102" s="2">
        <v>298</v>
      </c>
      <c r="D102" s="2">
        <v>9000</v>
      </c>
      <c r="E102" s="7">
        <f t="shared" si="1"/>
        <v>2682000</v>
      </c>
    </row>
    <row r="103" spans="1:6" s="23" customFormat="1" ht="15.6" x14ac:dyDescent="0.3">
      <c r="A103" s="8" t="s">
        <v>87</v>
      </c>
      <c r="B103" s="8" t="s">
        <v>9</v>
      </c>
      <c r="C103" s="2">
        <v>353</v>
      </c>
      <c r="D103" s="2">
        <v>11361</v>
      </c>
      <c r="E103" s="7">
        <f t="shared" si="1"/>
        <v>4010433</v>
      </c>
    </row>
    <row r="104" spans="1:6" s="23" customFormat="1" ht="15.6" x14ac:dyDescent="0.3">
      <c r="A104" s="8" t="s">
        <v>89</v>
      </c>
      <c r="B104" s="8" t="s">
        <v>3</v>
      </c>
      <c r="C104" s="2">
        <v>14</v>
      </c>
      <c r="D104" s="2">
        <v>18000</v>
      </c>
      <c r="E104" s="7">
        <f t="shared" si="1"/>
        <v>252000</v>
      </c>
    </row>
    <row r="105" spans="1:6" s="23" customFormat="1" ht="15.6" x14ac:dyDescent="0.3">
      <c r="A105" s="8" t="s">
        <v>90</v>
      </c>
      <c r="B105" s="8" t="s">
        <v>3</v>
      </c>
      <c r="C105" s="2">
        <v>40</v>
      </c>
      <c r="D105" s="2">
        <v>8000</v>
      </c>
      <c r="E105" s="7">
        <f t="shared" si="1"/>
        <v>320000</v>
      </c>
    </row>
    <row r="106" spans="1:6" s="23" customFormat="1" ht="15.6" hidden="1" x14ac:dyDescent="0.3">
      <c r="A106" s="8" t="s">
        <v>113</v>
      </c>
      <c r="B106" s="8" t="s">
        <v>3</v>
      </c>
      <c r="C106" s="2">
        <v>0</v>
      </c>
      <c r="D106" s="2"/>
      <c r="E106" s="7">
        <f t="shared" si="1"/>
        <v>0</v>
      </c>
    </row>
    <row r="107" spans="1:6" s="23" customFormat="1" ht="15.6" x14ac:dyDescent="0.3">
      <c r="A107" s="8" t="s">
        <v>91</v>
      </c>
      <c r="B107" s="8" t="s">
        <v>3</v>
      </c>
      <c r="C107" s="2">
        <v>12</v>
      </c>
      <c r="D107" s="2">
        <v>22000</v>
      </c>
      <c r="E107" s="7">
        <f t="shared" si="1"/>
        <v>264000</v>
      </c>
    </row>
    <row r="108" spans="1:6" s="23" customFormat="1" ht="15.6" hidden="1" x14ac:dyDescent="0.3">
      <c r="A108" s="8" t="s">
        <v>92</v>
      </c>
      <c r="B108" s="8" t="s">
        <v>3</v>
      </c>
      <c r="C108" s="2">
        <v>0</v>
      </c>
      <c r="D108" s="2"/>
      <c r="E108" s="7">
        <f t="shared" si="1"/>
        <v>0</v>
      </c>
    </row>
    <row r="109" spans="1:6" s="23" customFormat="1" ht="15.6" hidden="1" x14ac:dyDescent="0.3">
      <c r="A109" s="8" t="s">
        <v>93</v>
      </c>
      <c r="B109" s="8" t="s">
        <v>19</v>
      </c>
      <c r="C109" s="2">
        <v>0</v>
      </c>
      <c r="D109" s="2"/>
      <c r="E109" s="7">
        <f t="shared" si="1"/>
        <v>0</v>
      </c>
    </row>
    <row r="110" spans="1:6" s="23" customFormat="1" ht="15.6" hidden="1" x14ac:dyDescent="0.3">
      <c r="A110" s="8" t="s">
        <v>94</v>
      </c>
      <c r="B110" s="8" t="s">
        <v>3</v>
      </c>
      <c r="C110" s="2">
        <v>0</v>
      </c>
      <c r="D110" s="2"/>
      <c r="E110" s="7">
        <f t="shared" si="1"/>
        <v>0</v>
      </c>
    </row>
    <row r="111" spans="1:6" s="23" customFormat="1" ht="15.6" hidden="1" x14ac:dyDescent="0.3">
      <c r="A111" s="8" t="s">
        <v>95</v>
      </c>
      <c r="B111" s="8" t="s">
        <v>19</v>
      </c>
      <c r="C111" s="2">
        <v>0</v>
      </c>
      <c r="D111" s="2"/>
      <c r="E111" s="7">
        <f t="shared" si="1"/>
        <v>0</v>
      </c>
    </row>
    <row r="112" spans="1:6" s="23" customFormat="1" ht="15.6" hidden="1" x14ac:dyDescent="0.3">
      <c r="A112" s="8" t="s">
        <v>96</v>
      </c>
      <c r="B112" s="8" t="s">
        <v>3</v>
      </c>
      <c r="C112" s="2">
        <v>0</v>
      </c>
      <c r="D112" s="2"/>
      <c r="E112" s="7">
        <f t="shared" si="1"/>
        <v>0</v>
      </c>
    </row>
    <row r="113" spans="1:5" s="23" customFormat="1" ht="15.6" hidden="1" x14ac:dyDescent="0.3">
      <c r="A113" s="8" t="s">
        <v>97</v>
      </c>
      <c r="B113" s="8" t="s">
        <v>3</v>
      </c>
      <c r="C113" s="2">
        <v>0</v>
      </c>
      <c r="D113" s="2"/>
      <c r="E113" s="7">
        <f t="shared" si="1"/>
        <v>0</v>
      </c>
    </row>
    <row r="114" spans="1:5" s="23" customFormat="1" ht="15.6" x14ac:dyDescent="0.3">
      <c r="A114" s="8" t="s">
        <v>98</v>
      </c>
      <c r="B114" s="8" t="s">
        <v>19</v>
      </c>
      <c r="C114" s="2">
        <v>20</v>
      </c>
      <c r="D114" s="2">
        <v>7000</v>
      </c>
      <c r="E114" s="7">
        <f t="shared" si="1"/>
        <v>140000</v>
      </c>
    </row>
    <row r="115" spans="1:5" s="23" customFormat="1" x14ac:dyDescent="0.3">
      <c r="E115" s="24">
        <f>SUM(E4:E114)</f>
        <v>102169933</v>
      </c>
    </row>
    <row r="116" spans="1:5" s="23" customFormat="1" x14ac:dyDescent="0.3"/>
    <row r="117" spans="1:5" s="23" customFormat="1" x14ac:dyDescent="0.3"/>
    <row r="118" spans="1:5" s="23" customFormat="1" x14ac:dyDescent="0.3"/>
    <row r="119" spans="1:5" s="23" customFormat="1" x14ac:dyDescent="0.3"/>
  </sheetData>
  <autoFilter ref="A3:O114" xr:uid="{00000000-0009-0000-0000-000013000000}">
    <filterColumn colId="2">
      <filters>
        <filter val="1,085"/>
        <filter val="1,330"/>
        <filter val="1,425"/>
        <filter val="10"/>
        <filter val="100"/>
        <filter val="115"/>
        <filter val="12"/>
        <filter val="13"/>
        <filter val="132"/>
        <filter val="14"/>
        <filter val="15"/>
        <filter val="16"/>
        <filter val="190"/>
        <filter val="20"/>
        <filter val="21"/>
        <filter val="22"/>
        <filter val="26"/>
        <filter val="265"/>
        <filter val="270"/>
        <filter val="298"/>
        <filter val="30"/>
        <filter val="33"/>
        <filter val="35"/>
        <filter val="350"/>
        <filter val="353"/>
        <filter val="370"/>
        <filter val="380"/>
        <filter val="4"/>
        <filter val="40"/>
        <filter val="430"/>
        <filter val="5"/>
        <filter val="520"/>
        <filter val="57"/>
        <filter val="6"/>
        <filter val="70"/>
        <filter val="72"/>
        <filter val="75"/>
        <filter val="80"/>
        <filter val="816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E105"/>
  <sheetViews>
    <sheetView topLeftCell="A57" workbookViewId="0">
      <selection activeCell="G25" sqref="G25"/>
    </sheetView>
  </sheetViews>
  <sheetFormatPr defaultRowHeight="14.4" x14ac:dyDescent="0.3"/>
  <cols>
    <col min="1" max="1" width="24" customWidth="1"/>
    <col min="4" max="4" width="12.44140625" customWidth="1"/>
    <col min="5" max="5" width="19.6640625" customWidth="1"/>
  </cols>
  <sheetData>
    <row r="1" spans="1:5" x14ac:dyDescent="0.3">
      <c r="A1" t="s">
        <v>146</v>
      </c>
    </row>
    <row r="2" spans="1:5" ht="59.4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32</v>
      </c>
      <c r="D3" s="2">
        <v>16000</v>
      </c>
      <c r="E3" s="7">
        <f>C3*D3</f>
        <v>512000</v>
      </c>
    </row>
    <row r="4" spans="1:5" ht="15.6" x14ac:dyDescent="0.3">
      <c r="A4" s="8" t="s">
        <v>4</v>
      </c>
      <c r="B4" s="8" t="s">
        <v>3</v>
      </c>
      <c r="C4" s="2">
        <v>420</v>
      </c>
      <c r="D4" s="2">
        <v>8000</v>
      </c>
      <c r="E4" s="7">
        <f t="shared" ref="E4:E67" si="0">C4*D4</f>
        <v>3360000</v>
      </c>
    </row>
    <row r="5" spans="1:5" ht="15.6" x14ac:dyDescent="0.3">
      <c r="A5" s="8" t="s">
        <v>5</v>
      </c>
      <c r="B5" s="8" t="s">
        <v>3</v>
      </c>
      <c r="C5" s="2">
        <v>840</v>
      </c>
      <c r="D5" s="2">
        <v>4000</v>
      </c>
      <c r="E5" s="7">
        <f t="shared" si="0"/>
        <v>3360000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1080</v>
      </c>
      <c r="D8" s="2">
        <v>9000</v>
      </c>
      <c r="E8" s="7">
        <f t="shared" si="0"/>
        <v>9720000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hidden="1" x14ac:dyDescent="0.3">
      <c r="A10" s="8" t="s">
        <v>11</v>
      </c>
      <c r="B10" s="8" t="s">
        <v>3</v>
      </c>
      <c r="C10" s="2">
        <v>0</v>
      </c>
      <c r="D10" s="2"/>
      <c r="E10" s="7">
        <f t="shared" si="0"/>
        <v>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95</v>
      </c>
      <c r="D12" s="2">
        <v>12000</v>
      </c>
      <c r="E12" s="7">
        <f t="shared" si="0"/>
        <v>1140000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hidden="1" x14ac:dyDescent="0.3">
      <c r="A14" s="8" t="s">
        <v>21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hidden="1" x14ac:dyDescent="0.3">
      <c r="A15" s="8" t="s">
        <v>122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x14ac:dyDescent="0.3">
      <c r="A16" s="8" t="s">
        <v>12</v>
      </c>
      <c r="B16" s="8" t="s">
        <v>3</v>
      </c>
      <c r="C16" s="2">
        <v>15</v>
      </c>
      <c r="D16" s="2">
        <v>12000</v>
      </c>
      <c r="E16" s="7">
        <f t="shared" si="0"/>
        <v>180000</v>
      </c>
    </row>
    <row r="17" spans="1:5" ht="15.6" hidden="1" x14ac:dyDescent="0.3">
      <c r="A17" s="8" t="s">
        <v>14</v>
      </c>
      <c r="B17" s="8" t="s">
        <v>3</v>
      </c>
      <c r="C17" s="2">
        <v>0</v>
      </c>
      <c r="D17" s="2"/>
      <c r="E17" s="7">
        <f t="shared" si="0"/>
        <v>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2"/>
      <c r="E18" s="7">
        <f t="shared" si="0"/>
        <v>0</v>
      </c>
    </row>
    <row r="19" spans="1:5" ht="15.6" x14ac:dyDescent="0.3">
      <c r="A19" s="8" t="s">
        <v>16</v>
      </c>
      <c r="B19" s="8" t="s">
        <v>17</v>
      </c>
      <c r="C19" s="2">
        <v>10</v>
      </c>
      <c r="D19" s="2">
        <v>6000</v>
      </c>
      <c r="E19" s="7">
        <f t="shared" si="0"/>
        <v>60000</v>
      </c>
    </row>
    <row r="20" spans="1:5" ht="15.6" hidden="1" x14ac:dyDescent="0.3">
      <c r="A20" s="8" t="s">
        <v>20</v>
      </c>
      <c r="B20" s="8" t="s">
        <v>3</v>
      </c>
      <c r="C20" s="2">
        <v>0</v>
      </c>
      <c r="D20" s="2"/>
      <c r="E20" s="7">
        <f t="shared" si="0"/>
        <v>0</v>
      </c>
    </row>
    <row r="21" spans="1:5" ht="15.6" x14ac:dyDescent="0.3">
      <c r="A21" s="8" t="s">
        <v>22</v>
      </c>
      <c r="B21" s="8" t="s">
        <v>3</v>
      </c>
      <c r="C21" s="2">
        <v>420</v>
      </c>
      <c r="D21" s="2">
        <v>11000</v>
      </c>
      <c r="E21" s="7">
        <f t="shared" si="0"/>
        <v>4620000</v>
      </c>
    </row>
    <row r="22" spans="1:5" ht="15.6" hidden="1" x14ac:dyDescent="0.3">
      <c r="A22" s="8" t="s">
        <v>22</v>
      </c>
      <c r="B22" s="8" t="s">
        <v>23</v>
      </c>
      <c r="C22" s="2">
        <v>0</v>
      </c>
      <c r="D22" s="2"/>
      <c r="E22" s="7">
        <f t="shared" si="0"/>
        <v>0</v>
      </c>
    </row>
    <row r="23" spans="1:5" ht="15.6" x14ac:dyDescent="0.3">
      <c r="A23" s="8" t="s">
        <v>24</v>
      </c>
      <c r="B23" s="8" t="s">
        <v>3</v>
      </c>
      <c r="C23" s="2">
        <v>1</v>
      </c>
      <c r="D23" s="2">
        <v>12000</v>
      </c>
      <c r="E23" s="7">
        <f t="shared" si="0"/>
        <v>12000</v>
      </c>
    </row>
    <row r="24" spans="1:5" ht="15.6" hidden="1" x14ac:dyDescent="0.3">
      <c r="A24" s="8" t="s">
        <v>24</v>
      </c>
      <c r="B24" s="8" t="s">
        <v>25</v>
      </c>
      <c r="C24" s="2">
        <v>0</v>
      </c>
      <c r="D24" s="2"/>
      <c r="E24" s="7">
        <f t="shared" si="0"/>
        <v>0</v>
      </c>
    </row>
    <row r="25" spans="1:5" ht="15.6" x14ac:dyDescent="0.3">
      <c r="A25" s="8" t="s">
        <v>26</v>
      </c>
      <c r="B25" s="8" t="s">
        <v>3</v>
      </c>
      <c r="C25" s="2">
        <v>19</v>
      </c>
      <c r="D25" s="2">
        <v>15000</v>
      </c>
      <c r="E25" s="7">
        <f t="shared" si="0"/>
        <v>285000</v>
      </c>
    </row>
    <row r="26" spans="1:5" ht="15.6" x14ac:dyDescent="0.3">
      <c r="A26" s="8" t="s">
        <v>26</v>
      </c>
      <c r="B26" s="8" t="s">
        <v>27</v>
      </c>
      <c r="C26" s="2">
        <v>49</v>
      </c>
      <c r="D26" s="2">
        <v>4500</v>
      </c>
      <c r="E26" s="7">
        <f t="shared" si="0"/>
        <v>220500</v>
      </c>
    </row>
    <row r="27" spans="1:5" ht="15.6" x14ac:dyDescent="0.3">
      <c r="A27" s="8" t="s">
        <v>28</v>
      </c>
      <c r="B27" s="8" t="s">
        <v>29</v>
      </c>
      <c r="C27" s="2">
        <v>15</v>
      </c>
      <c r="D27" s="2">
        <v>12000</v>
      </c>
      <c r="E27" s="7">
        <f t="shared" si="0"/>
        <v>180000</v>
      </c>
    </row>
    <row r="28" spans="1:5" ht="15.6" hidden="1" x14ac:dyDescent="0.3">
      <c r="A28" s="8" t="s">
        <v>30</v>
      </c>
      <c r="B28" s="8" t="s">
        <v>3</v>
      </c>
      <c r="C28" s="2">
        <v>0</v>
      </c>
      <c r="D28" s="2"/>
      <c r="E28" s="7">
        <f t="shared" si="0"/>
        <v>0</v>
      </c>
    </row>
    <row r="29" spans="1:5" ht="15.6" x14ac:dyDescent="0.3">
      <c r="A29" s="8" t="s">
        <v>30</v>
      </c>
      <c r="B29" s="8" t="s">
        <v>31</v>
      </c>
      <c r="C29" s="2">
        <v>30</v>
      </c>
      <c r="D29" s="2">
        <v>7500</v>
      </c>
      <c r="E29" s="7">
        <f t="shared" si="0"/>
        <v>225000</v>
      </c>
    </row>
    <row r="30" spans="1:5" ht="15.6" x14ac:dyDescent="0.3">
      <c r="A30" s="8" t="s">
        <v>32</v>
      </c>
      <c r="B30" s="8" t="s">
        <v>3</v>
      </c>
      <c r="C30" s="2">
        <v>105</v>
      </c>
      <c r="D30" s="2">
        <v>7000</v>
      </c>
      <c r="E30" s="7">
        <f t="shared" si="0"/>
        <v>735000</v>
      </c>
    </row>
    <row r="31" spans="1:5" ht="15.6" hidden="1" x14ac:dyDescent="0.3">
      <c r="A31" s="8" t="s">
        <v>32</v>
      </c>
      <c r="B31" s="8" t="s">
        <v>17</v>
      </c>
      <c r="C31" s="2">
        <v>0</v>
      </c>
      <c r="D31" s="2"/>
      <c r="E31" s="7">
        <f t="shared" si="0"/>
        <v>0</v>
      </c>
    </row>
    <row r="32" spans="1:5" ht="15.6" x14ac:dyDescent="0.3">
      <c r="A32" s="8" t="s">
        <v>33</v>
      </c>
      <c r="B32" s="8" t="s">
        <v>34</v>
      </c>
      <c r="C32" s="2">
        <v>140</v>
      </c>
      <c r="D32" s="2">
        <v>5000</v>
      </c>
      <c r="E32" s="7">
        <f t="shared" si="0"/>
        <v>700000</v>
      </c>
    </row>
    <row r="33" spans="1:5" ht="15.6" x14ac:dyDescent="0.3">
      <c r="A33" s="8" t="s">
        <v>35</v>
      </c>
      <c r="B33" s="8" t="s">
        <v>3</v>
      </c>
      <c r="C33" s="2">
        <v>60</v>
      </c>
      <c r="D33" s="2">
        <v>7000</v>
      </c>
      <c r="E33" s="7">
        <f t="shared" si="0"/>
        <v>420000</v>
      </c>
    </row>
    <row r="34" spans="1:5" ht="15.6" hidden="1" x14ac:dyDescent="0.3">
      <c r="A34" s="8" t="s">
        <v>35</v>
      </c>
      <c r="B34" s="8" t="s">
        <v>34</v>
      </c>
      <c r="C34" s="2">
        <v>0</v>
      </c>
      <c r="D34" s="2"/>
      <c r="E34" s="7">
        <f t="shared" si="0"/>
        <v>0</v>
      </c>
    </row>
    <row r="35" spans="1:5" ht="15.6" hidden="1" x14ac:dyDescent="0.3">
      <c r="A35" s="8" t="s">
        <v>36</v>
      </c>
      <c r="B35" s="8" t="s">
        <v>17</v>
      </c>
      <c r="C35" s="2">
        <v>0</v>
      </c>
      <c r="D35" s="2"/>
      <c r="E35" s="7">
        <f t="shared" si="0"/>
        <v>0</v>
      </c>
    </row>
    <row r="36" spans="1:5" ht="15.6" x14ac:dyDescent="0.3">
      <c r="A36" s="8" t="s">
        <v>37</v>
      </c>
      <c r="B36" s="8" t="s">
        <v>3</v>
      </c>
      <c r="C36" s="2">
        <v>59</v>
      </c>
      <c r="D36" s="2">
        <v>8000</v>
      </c>
      <c r="E36" s="7">
        <f t="shared" si="0"/>
        <v>472000</v>
      </c>
    </row>
    <row r="37" spans="1:5" ht="15.6" hidden="1" x14ac:dyDescent="0.3">
      <c r="A37" s="8" t="s">
        <v>37</v>
      </c>
      <c r="B37" s="8" t="s">
        <v>38</v>
      </c>
      <c r="C37" s="2">
        <v>0</v>
      </c>
      <c r="D37" s="2"/>
      <c r="E37" s="7">
        <f t="shared" si="0"/>
        <v>0</v>
      </c>
    </row>
    <row r="38" spans="1:5" ht="15.6" hidden="1" x14ac:dyDescent="0.3">
      <c r="A38" s="8" t="s">
        <v>39</v>
      </c>
      <c r="B38" s="8" t="s">
        <v>3</v>
      </c>
      <c r="C38" s="2">
        <v>0</v>
      </c>
      <c r="D38" s="2"/>
      <c r="E38" s="7">
        <f t="shared" si="0"/>
        <v>0</v>
      </c>
    </row>
    <row r="39" spans="1:5" ht="15.6" x14ac:dyDescent="0.3">
      <c r="A39" s="8" t="s">
        <v>39</v>
      </c>
      <c r="B39" s="8" t="s">
        <v>34</v>
      </c>
      <c r="C39" s="2">
        <v>15</v>
      </c>
      <c r="D39" s="2">
        <v>17000</v>
      </c>
      <c r="E39" s="7">
        <f t="shared" si="0"/>
        <v>255000</v>
      </c>
    </row>
    <row r="40" spans="1:5" ht="15.6" hidden="1" x14ac:dyDescent="0.3">
      <c r="A40" s="8" t="s">
        <v>40</v>
      </c>
      <c r="B40" s="8" t="s">
        <v>34</v>
      </c>
      <c r="C40" s="2">
        <v>0</v>
      </c>
      <c r="D40" s="2"/>
      <c r="E40" s="7">
        <f t="shared" si="0"/>
        <v>0</v>
      </c>
    </row>
    <row r="41" spans="1:5" ht="15.6" x14ac:dyDescent="0.3">
      <c r="A41" s="8" t="s">
        <v>41</v>
      </c>
      <c r="B41" s="8" t="s">
        <v>3</v>
      </c>
      <c r="C41" s="2">
        <v>8</v>
      </c>
      <c r="D41" s="2">
        <v>15000</v>
      </c>
      <c r="E41" s="7">
        <f t="shared" si="0"/>
        <v>120000</v>
      </c>
    </row>
    <row r="42" spans="1:5" ht="15.6" hidden="1" x14ac:dyDescent="0.3">
      <c r="A42" s="8" t="s">
        <v>41</v>
      </c>
      <c r="B42" s="8" t="s">
        <v>34</v>
      </c>
      <c r="C42" s="2">
        <v>0</v>
      </c>
      <c r="D42" s="2"/>
      <c r="E42" s="7">
        <f t="shared" si="0"/>
        <v>0</v>
      </c>
    </row>
    <row r="43" spans="1:5" ht="15.6" x14ac:dyDescent="0.3">
      <c r="A43" s="8" t="s">
        <v>42</v>
      </c>
      <c r="B43" s="8" t="s">
        <v>3</v>
      </c>
      <c r="C43" s="2">
        <v>920</v>
      </c>
      <c r="D43" s="2">
        <v>3000</v>
      </c>
      <c r="E43" s="7">
        <f t="shared" si="0"/>
        <v>2760000</v>
      </c>
    </row>
    <row r="44" spans="1:5" ht="15.6" hidden="1" x14ac:dyDescent="0.3">
      <c r="A44" s="8" t="s">
        <v>43</v>
      </c>
      <c r="B44" s="8" t="s">
        <v>3</v>
      </c>
      <c r="C44" s="2">
        <v>0</v>
      </c>
      <c r="D44" s="2"/>
      <c r="E44" s="7">
        <f t="shared" si="0"/>
        <v>0</v>
      </c>
    </row>
    <row r="45" spans="1:5" ht="15.6" x14ac:dyDescent="0.3">
      <c r="A45" s="8" t="s">
        <v>44</v>
      </c>
      <c r="B45" s="8" t="s">
        <v>3</v>
      </c>
      <c r="C45" s="2">
        <v>550</v>
      </c>
      <c r="D45" s="2">
        <v>3000</v>
      </c>
      <c r="E45" s="7">
        <f t="shared" si="0"/>
        <v>1650000</v>
      </c>
    </row>
    <row r="46" spans="1:5" ht="15.6" x14ac:dyDescent="0.3">
      <c r="A46" s="8" t="s">
        <v>45</v>
      </c>
      <c r="B46" s="8" t="s">
        <v>3</v>
      </c>
      <c r="C46" s="2">
        <v>121</v>
      </c>
      <c r="D46" s="2">
        <v>8000</v>
      </c>
      <c r="E46" s="7">
        <f t="shared" si="0"/>
        <v>968000</v>
      </c>
    </row>
    <row r="47" spans="1:5" ht="15.6" hidden="1" x14ac:dyDescent="0.3">
      <c r="A47" s="8" t="s">
        <v>45</v>
      </c>
      <c r="B47" s="8" t="s">
        <v>19</v>
      </c>
      <c r="C47" s="2">
        <v>0</v>
      </c>
      <c r="D47" s="2"/>
      <c r="E47" s="7">
        <f t="shared" si="0"/>
        <v>0</v>
      </c>
    </row>
    <row r="48" spans="1:5" ht="15.6" hidden="1" x14ac:dyDescent="0.3">
      <c r="A48" s="8" t="s">
        <v>63</v>
      </c>
      <c r="B48" s="8" t="s">
        <v>3</v>
      </c>
      <c r="C48" s="2">
        <v>0</v>
      </c>
      <c r="D48" s="2"/>
      <c r="E48" s="7">
        <f t="shared" si="0"/>
        <v>0</v>
      </c>
    </row>
    <row r="49" spans="1:5" ht="15.6" x14ac:dyDescent="0.3">
      <c r="A49" s="8" t="s">
        <v>46</v>
      </c>
      <c r="B49" s="8" t="s">
        <v>29</v>
      </c>
      <c r="C49" s="2">
        <v>14</v>
      </c>
      <c r="D49" s="2">
        <v>10000</v>
      </c>
      <c r="E49" s="7">
        <f t="shared" si="0"/>
        <v>140000</v>
      </c>
    </row>
    <row r="50" spans="1:5" ht="15.6" hidden="1" x14ac:dyDescent="0.3">
      <c r="A50" s="8" t="s">
        <v>47</v>
      </c>
      <c r="B50" s="8" t="s">
        <v>3</v>
      </c>
      <c r="C50" s="2">
        <v>0</v>
      </c>
      <c r="D50" s="2"/>
      <c r="E50" s="7">
        <f t="shared" si="0"/>
        <v>0</v>
      </c>
    </row>
    <row r="51" spans="1:5" ht="15.6" x14ac:dyDescent="0.3">
      <c r="A51" s="8" t="s">
        <v>48</v>
      </c>
      <c r="B51" s="8" t="s">
        <v>3</v>
      </c>
      <c r="C51" s="2">
        <v>42</v>
      </c>
      <c r="D51" s="2">
        <v>8000</v>
      </c>
      <c r="E51" s="7">
        <f t="shared" si="0"/>
        <v>336000</v>
      </c>
    </row>
    <row r="52" spans="1:5" ht="15.6" hidden="1" x14ac:dyDescent="0.3">
      <c r="A52" s="8" t="s">
        <v>48</v>
      </c>
      <c r="B52" s="8" t="s">
        <v>34</v>
      </c>
      <c r="C52" s="2">
        <v>0</v>
      </c>
      <c r="D52" s="2"/>
      <c r="E52" s="7">
        <f t="shared" si="0"/>
        <v>0</v>
      </c>
    </row>
    <row r="53" spans="1:5" ht="15.6" hidden="1" x14ac:dyDescent="0.3">
      <c r="A53" s="8" t="s">
        <v>49</v>
      </c>
      <c r="B53" s="8" t="s">
        <v>3</v>
      </c>
      <c r="C53" s="2">
        <v>0</v>
      </c>
      <c r="D53" s="2"/>
      <c r="E53" s="7">
        <f t="shared" si="0"/>
        <v>0</v>
      </c>
    </row>
    <row r="54" spans="1:5" ht="15.6" x14ac:dyDescent="0.3">
      <c r="A54" s="8" t="s">
        <v>50</v>
      </c>
      <c r="B54" s="8" t="s">
        <v>3</v>
      </c>
      <c r="C54" s="2">
        <v>775</v>
      </c>
      <c r="D54" s="2">
        <v>5500</v>
      </c>
      <c r="E54" s="7">
        <f t="shared" si="0"/>
        <v>4262500</v>
      </c>
    </row>
    <row r="55" spans="1:5" ht="15.6" hidden="1" x14ac:dyDescent="0.3">
      <c r="A55" s="8" t="s">
        <v>50</v>
      </c>
      <c r="B55" s="8" t="s">
        <v>51</v>
      </c>
      <c r="C55" s="2">
        <v>0</v>
      </c>
      <c r="D55" s="2"/>
      <c r="E55" s="7">
        <f t="shared" si="0"/>
        <v>0</v>
      </c>
    </row>
    <row r="56" spans="1:5" ht="15.6" hidden="1" x14ac:dyDescent="0.3">
      <c r="A56" s="8" t="s">
        <v>52</v>
      </c>
      <c r="B56" s="8" t="s">
        <v>34</v>
      </c>
      <c r="C56" s="2">
        <v>0</v>
      </c>
      <c r="D56" s="2"/>
      <c r="E56" s="7">
        <f t="shared" si="0"/>
        <v>0</v>
      </c>
    </row>
    <row r="57" spans="1:5" ht="15.6" x14ac:dyDescent="0.3">
      <c r="A57" s="8" t="s">
        <v>53</v>
      </c>
      <c r="B57" s="8" t="s">
        <v>3</v>
      </c>
      <c r="C57" s="2">
        <v>1270</v>
      </c>
      <c r="D57" s="2">
        <v>26000</v>
      </c>
      <c r="E57" s="7">
        <f t="shared" si="0"/>
        <v>33020000</v>
      </c>
    </row>
    <row r="58" spans="1:5" ht="15.6" x14ac:dyDescent="0.3">
      <c r="A58" s="8" t="s">
        <v>54</v>
      </c>
      <c r="B58" s="8" t="s">
        <v>3</v>
      </c>
      <c r="C58" s="2">
        <v>33</v>
      </c>
      <c r="D58" s="2">
        <v>26000</v>
      </c>
      <c r="E58" s="7">
        <f t="shared" si="0"/>
        <v>858000</v>
      </c>
    </row>
    <row r="59" spans="1:5" ht="15.6" hidden="1" x14ac:dyDescent="0.3">
      <c r="A59" s="8" t="s">
        <v>54</v>
      </c>
      <c r="B59" s="8" t="s">
        <v>34</v>
      </c>
      <c r="C59" s="2">
        <v>0</v>
      </c>
      <c r="D59" s="2"/>
      <c r="E59" s="7">
        <f t="shared" si="0"/>
        <v>0</v>
      </c>
    </row>
    <row r="60" spans="1:5" ht="15.6" x14ac:dyDescent="0.3">
      <c r="A60" s="8" t="s">
        <v>55</v>
      </c>
      <c r="B60" s="8" t="s">
        <v>3</v>
      </c>
      <c r="C60" s="2">
        <v>440</v>
      </c>
      <c r="D60" s="2">
        <v>16000</v>
      </c>
      <c r="E60" s="7">
        <f t="shared" si="0"/>
        <v>7040000</v>
      </c>
    </row>
    <row r="61" spans="1:5" ht="15.6" x14ac:dyDescent="0.3">
      <c r="A61" s="8" t="s">
        <v>56</v>
      </c>
      <c r="B61" s="8" t="s">
        <v>3</v>
      </c>
      <c r="C61" s="2">
        <v>39</v>
      </c>
      <c r="D61" s="2">
        <v>24000</v>
      </c>
      <c r="E61" s="7">
        <f t="shared" si="0"/>
        <v>936000</v>
      </c>
    </row>
    <row r="62" spans="1:5" ht="15.6" x14ac:dyDescent="0.3">
      <c r="A62" s="8" t="s">
        <v>59</v>
      </c>
      <c r="B62" s="8" t="s">
        <v>3</v>
      </c>
      <c r="C62" s="2">
        <v>1320</v>
      </c>
      <c r="D62" s="2">
        <v>14000</v>
      </c>
      <c r="E62" s="7">
        <f t="shared" si="0"/>
        <v>18480000</v>
      </c>
    </row>
    <row r="63" spans="1:5" ht="15.6" hidden="1" x14ac:dyDescent="0.3">
      <c r="A63" s="8" t="s">
        <v>59</v>
      </c>
      <c r="B63" s="8" t="s">
        <v>34</v>
      </c>
      <c r="C63" s="2">
        <v>0</v>
      </c>
      <c r="D63" s="2"/>
      <c r="E63" s="7">
        <f t="shared" si="0"/>
        <v>0</v>
      </c>
    </row>
    <row r="64" spans="1:5" ht="15.6" x14ac:dyDescent="0.3">
      <c r="A64" s="8" t="s">
        <v>60</v>
      </c>
      <c r="B64" s="8" t="s">
        <v>34</v>
      </c>
      <c r="C64" s="2">
        <v>240</v>
      </c>
      <c r="D64" s="2">
        <v>5000</v>
      </c>
      <c r="E64" s="7">
        <f t="shared" si="0"/>
        <v>1200000</v>
      </c>
    </row>
    <row r="65" spans="1:5" ht="15.6" hidden="1" x14ac:dyDescent="0.3">
      <c r="A65" s="8" t="s">
        <v>61</v>
      </c>
      <c r="B65" s="8" t="s">
        <v>3</v>
      </c>
      <c r="C65" s="2">
        <v>0</v>
      </c>
      <c r="D65" s="2"/>
      <c r="E65" s="7">
        <f t="shared" si="0"/>
        <v>0</v>
      </c>
    </row>
    <row r="66" spans="1:5" ht="15.6" x14ac:dyDescent="0.3">
      <c r="A66" s="8" t="s">
        <v>67</v>
      </c>
      <c r="B66" s="8" t="s">
        <v>34</v>
      </c>
      <c r="C66" s="2">
        <v>31</v>
      </c>
      <c r="D66" s="2">
        <v>6000</v>
      </c>
      <c r="E66" s="7">
        <f t="shared" si="0"/>
        <v>186000</v>
      </c>
    </row>
    <row r="67" spans="1:5" ht="15.6" hidden="1" x14ac:dyDescent="0.3">
      <c r="A67" s="8" t="s">
        <v>68</v>
      </c>
      <c r="B67" s="8" t="s">
        <v>3</v>
      </c>
      <c r="C67" s="2">
        <v>0</v>
      </c>
      <c r="D67" s="2"/>
      <c r="E67" s="7">
        <f t="shared" si="0"/>
        <v>0</v>
      </c>
    </row>
    <row r="68" spans="1:5" ht="15.6" x14ac:dyDescent="0.3">
      <c r="A68" s="8" t="s">
        <v>68</v>
      </c>
      <c r="B68" s="8" t="s">
        <v>34</v>
      </c>
      <c r="C68" s="2">
        <v>77</v>
      </c>
      <c r="D68" s="2">
        <v>6500</v>
      </c>
      <c r="E68" s="7">
        <f t="shared" ref="E68:E104" si="1">C68*D68</f>
        <v>500500</v>
      </c>
    </row>
    <row r="69" spans="1:5" ht="15.6" hidden="1" x14ac:dyDescent="0.3">
      <c r="A69" s="8" t="s">
        <v>69</v>
      </c>
      <c r="B69" s="8" t="s">
        <v>3</v>
      </c>
      <c r="C69" s="2">
        <v>0</v>
      </c>
      <c r="D69" s="2"/>
      <c r="E69" s="7">
        <f t="shared" si="1"/>
        <v>0</v>
      </c>
    </row>
    <row r="70" spans="1:5" ht="15.6" hidden="1" x14ac:dyDescent="0.3">
      <c r="A70" s="8" t="s">
        <v>70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hidden="1" x14ac:dyDescent="0.3">
      <c r="A71" s="8" t="s">
        <v>71</v>
      </c>
      <c r="B71" s="8" t="s">
        <v>3</v>
      </c>
      <c r="C71" s="2">
        <v>0</v>
      </c>
      <c r="D71" s="2"/>
      <c r="E71" s="7">
        <f t="shared" si="1"/>
        <v>0</v>
      </c>
    </row>
    <row r="72" spans="1:5" ht="15.6" x14ac:dyDescent="0.3">
      <c r="A72" s="8" t="s">
        <v>64</v>
      </c>
      <c r="B72" s="8" t="s">
        <v>3</v>
      </c>
      <c r="C72" s="2">
        <v>12</v>
      </c>
      <c r="D72" s="2">
        <v>9500</v>
      </c>
      <c r="E72" s="7">
        <f t="shared" si="1"/>
        <v>114000</v>
      </c>
    </row>
    <row r="73" spans="1:5" ht="15.6" x14ac:dyDescent="0.3">
      <c r="A73" s="8" t="s">
        <v>64</v>
      </c>
      <c r="B73" s="8" t="s">
        <v>17</v>
      </c>
      <c r="C73" s="2">
        <v>1016</v>
      </c>
      <c r="D73" s="2">
        <v>6700</v>
      </c>
      <c r="E73" s="7">
        <f t="shared" si="1"/>
        <v>6807200</v>
      </c>
    </row>
    <row r="74" spans="1:5" ht="15.6" hidden="1" x14ac:dyDescent="0.3">
      <c r="A74" s="8" t="s">
        <v>65</v>
      </c>
      <c r="B74" s="8" t="s">
        <v>3</v>
      </c>
      <c r="C74" s="2">
        <v>0</v>
      </c>
      <c r="D74" s="2"/>
      <c r="E74" s="7">
        <f t="shared" si="1"/>
        <v>0</v>
      </c>
    </row>
    <row r="75" spans="1:5" ht="15.6" x14ac:dyDescent="0.3">
      <c r="A75" s="8" t="s">
        <v>66</v>
      </c>
      <c r="B75" s="8" t="s">
        <v>3</v>
      </c>
      <c r="C75" s="2">
        <v>23</v>
      </c>
      <c r="D75" s="2">
        <v>12000</v>
      </c>
      <c r="E75" s="7">
        <f t="shared" si="1"/>
        <v>276000</v>
      </c>
    </row>
    <row r="76" spans="1:5" ht="15.6" x14ac:dyDescent="0.3">
      <c r="A76" s="8" t="s">
        <v>72</v>
      </c>
      <c r="B76" s="8" t="s">
        <v>3</v>
      </c>
      <c r="C76" s="2">
        <v>26</v>
      </c>
      <c r="D76" s="2">
        <v>10000</v>
      </c>
      <c r="E76" s="7">
        <f t="shared" si="1"/>
        <v>260000</v>
      </c>
    </row>
    <row r="77" spans="1:5" ht="15.6" hidden="1" x14ac:dyDescent="0.3">
      <c r="A77" s="8" t="s">
        <v>72</v>
      </c>
      <c r="B77" s="8" t="s">
        <v>19</v>
      </c>
      <c r="C77" s="2">
        <v>0</v>
      </c>
      <c r="D77" s="2"/>
      <c r="E77" s="7">
        <f t="shared" si="1"/>
        <v>0</v>
      </c>
    </row>
    <row r="78" spans="1:5" ht="15.6" hidden="1" x14ac:dyDescent="0.3">
      <c r="A78" s="8" t="s">
        <v>74</v>
      </c>
      <c r="B78" s="8" t="s">
        <v>34</v>
      </c>
      <c r="C78" s="2">
        <v>0</v>
      </c>
      <c r="D78" s="2"/>
      <c r="E78" s="7">
        <f t="shared" si="1"/>
        <v>0</v>
      </c>
    </row>
    <row r="79" spans="1:5" ht="15.6" hidden="1" x14ac:dyDescent="0.3">
      <c r="A79" s="8" t="s">
        <v>75</v>
      </c>
      <c r="B79" s="8" t="s">
        <v>3</v>
      </c>
      <c r="C79" s="2">
        <v>0</v>
      </c>
      <c r="D79" s="2"/>
      <c r="E79" s="7">
        <f t="shared" si="1"/>
        <v>0</v>
      </c>
    </row>
    <row r="80" spans="1:5" ht="15.6" x14ac:dyDescent="0.3">
      <c r="A80" s="8" t="s">
        <v>76</v>
      </c>
      <c r="B80" s="8" t="s">
        <v>3</v>
      </c>
      <c r="C80" s="2">
        <v>10</v>
      </c>
      <c r="D80" s="2">
        <v>62000</v>
      </c>
      <c r="E80" s="7">
        <f t="shared" si="1"/>
        <v>620000</v>
      </c>
    </row>
    <row r="81" spans="1:5" ht="15.6" hidden="1" x14ac:dyDescent="0.3">
      <c r="A81" s="8" t="s">
        <v>137</v>
      </c>
      <c r="B81" s="8" t="s">
        <v>3</v>
      </c>
      <c r="C81" s="2">
        <v>0</v>
      </c>
      <c r="D81" s="2"/>
      <c r="E81" s="7">
        <f t="shared" si="1"/>
        <v>0</v>
      </c>
    </row>
    <row r="82" spans="1:5" ht="15.6" hidden="1" x14ac:dyDescent="0.3">
      <c r="A82" s="8" t="s">
        <v>79</v>
      </c>
      <c r="B82" s="8" t="s">
        <v>17</v>
      </c>
      <c r="C82" s="2">
        <v>0</v>
      </c>
      <c r="D82" s="2"/>
      <c r="E82" s="7">
        <f t="shared" si="1"/>
        <v>0</v>
      </c>
    </row>
    <row r="83" spans="1:5" ht="15.6" hidden="1" x14ac:dyDescent="0.3">
      <c r="A83" s="8" t="s">
        <v>80</v>
      </c>
      <c r="B83" s="8" t="s">
        <v>29</v>
      </c>
      <c r="C83" s="2">
        <v>0</v>
      </c>
      <c r="D83" s="2"/>
      <c r="E83" s="7">
        <f t="shared" si="1"/>
        <v>0</v>
      </c>
    </row>
    <row r="84" spans="1:5" ht="15.6" x14ac:dyDescent="0.3">
      <c r="A84" s="8" t="s">
        <v>81</v>
      </c>
      <c r="B84" s="8" t="s">
        <v>3</v>
      </c>
      <c r="C84" s="2">
        <v>17</v>
      </c>
      <c r="D84" s="2">
        <v>26000</v>
      </c>
      <c r="E84" s="7">
        <f t="shared" si="1"/>
        <v>442000</v>
      </c>
    </row>
    <row r="85" spans="1:5" ht="15.6" hidden="1" x14ac:dyDescent="0.3">
      <c r="A85" s="8" t="s">
        <v>81</v>
      </c>
      <c r="B85" s="8" t="s">
        <v>9</v>
      </c>
      <c r="C85" s="2">
        <v>0</v>
      </c>
      <c r="D85" s="2"/>
      <c r="E85" s="7">
        <f t="shared" si="1"/>
        <v>0</v>
      </c>
    </row>
    <row r="86" spans="1:5" ht="15.6" x14ac:dyDescent="0.3">
      <c r="A86" s="8" t="s">
        <v>108</v>
      </c>
      <c r="B86" s="8" t="s">
        <v>3</v>
      </c>
      <c r="C86" s="2">
        <v>13</v>
      </c>
      <c r="D86" s="2">
        <v>22000</v>
      </c>
      <c r="E86" s="7">
        <f t="shared" si="1"/>
        <v>286000</v>
      </c>
    </row>
    <row r="87" spans="1:5" ht="15.6" x14ac:dyDescent="0.3">
      <c r="A87" s="8" t="s">
        <v>82</v>
      </c>
      <c r="B87" s="8" t="s">
        <v>3</v>
      </c>
      <c r="C87" s="2">
        <v>90</v>
      </c>
      <c r="D87" s="2">
        <v>24000</v>
      </c>
      <c r="E87" s="7">
        <f t="shared" si="1"/>
        <v>2160000</v>
      </c>
    </row>
    <row r="88" spans="1:5" ht="15.6" hidden="1" x14ac:dyDescent="0.3">
      <c r="A88" s="8" t="s">
        <v>82</v>
      </c>
      <c r="B88" s="8" t="s">
        <v>9</v>
      </c>
      <c r="C88" s="2">
        <v>0</v>
      </c>
      <c r="D88" s="2"/>
      <c r="E88" s="7">
        <f t="shared" si="1"/>
        <v>0</v>
      </c>
    </row>
    <row r="89" spans="1:5" ht="15.6" x14ac:dyDescent="0.3">
      <c r="A89" s="8" t="s">
        <v>109</v>
      </c>
      <c r="B89" s="8" t="s">
        <v>3</v>
      </c>
      <c r="C89" s="2">
        <v>20</v>
      </c>
      <c r="D89" s="2">
        <v>20000</v>
      </c>
      <c r="E89" s="7">
        <f t="shared" si="1"/>
        <v>400000</v>
      </c>
    </row>
    <row r="90" spans="1:5" ht="15.6" x14ac:dyDescent="0.3">
      <c r="A90" s="8" t="s">
        <v>83</v>
      </c>
      <c r="B90" s="8" t="s">
        <v>3</v>
      </c>
      <c r="C90" s="2">
        <v>28</v>
      </c>
      <c r="D90" s="2">
        <v>30000</v>
      </c>
      <c r="E90" s="7">
        <f t="shared" si="1"/>
        <v>840000</v>
      </c>
    </row>
    <row r="91" spans="1:5" ht="15.6" hidden="1" x14ac:dyDescent="0.3">
      <c r="A91" s="8" t="s">
        <v>83</v>
      </c>
      <c r="B91" s="8" t="s">
        <v>9</v>
      </c>
      <c r="C91" s="2">
        <v>0</v>
      </c>
      <c r="D91" s="2"/>
      <c r="E91" s="7">
        <f t="shared" si="1"/>
        <v>0</v>
      </c>
    </row>
    <row r="92" spans="1:5" ht="15.6" x14ac:dyDescent="0.3">
      <c r="A92" s="8" t="s">
        <v>84</v>
      </c>
      <c r="B92" s="8" t="s">
        <v>34</v>
      </c>
      <c r="C92" s="2">
        <v>54</v>
      </c>
      <c r="D92" s="2">
        <v>16000</v>
      </c>
      <c r="E92" s="7">
        <f t="shared" si="1"/>
        <v>864000</v>
      </c>
    </row>
    <row r="93" spans="1:5" ht="15.6" x14ac:dyDescent="0.3">
      <c r="A93" s="8" t="s">
        <v>142</v>
      </c>
      <c r="B93" s="8" t="s">
        <v>3</v>
      </c>
      <c r="C93" s="2">
        <v>50</v>
      </c>
      <c r="D93" s="2">
        <v>22000</v>
      </c>
      <c r="E93" s="7">
        <f t="shared" si="1"/>
        <v>1100000</v>
      </c>
    </row>
    <row r="94" spans="1:5" ht="15.6" hidden="1" x14ac:dyDescent="0.3">
      <c r="A94" s="8" t="s">
        <v>85</v>
      </c>
      <c r="B94" s="8" t="s">
        <v>34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86</v>
      </c>
      <c r="B95" s="8" t="s">
        <v>9</v>
      </c>
      <c r="C95" s="2">
        <v>300</v>
      </c>
      <c r="D95" s="2">
        <v>9000</v>
      </c>
      <c r="E95" s="7">
        <f t="shared" si="1"/>
        <v>2700000</v>
      </c>
    </row>
    <row r="96" spans="1:5" ht="15.6" x14ac:dyDescent="0.3">
      <c r="A96" s="8" t="s">
        <v>87</v>
      </c>
      <c r="B96" s="8" t="s">
        <v>9</v>
      </c>
      <c r="C96" s="2">
        <v>353</v>
      </c>
      <c r="D96" s="2">
        <v>11361</v>
      </c>
      <c r="E96" s="7">
        <f t="shared" si="1"/>
        <v>4010433</v>
      </c>
    </row>
    <row r="97" spans="1:5" ht="15.6" x14ac:dyDescent="0.3">
      <c r="A97" s="8" t="s">
        <v>89</v>
      </c>
      <c r="B97" s="8" t="s">
        <v>3</v>
      </c>
      <c r="C97" s="2">
        <v>15</v>
      </c>
      <c r="D97" s="2">
        <v>18000</v>
      </c>
      <c r="E97" s="7">
        <f t="shared" si="1"/>
        <v>270000</v>
      </c>
    </row>
    <row r="98" spans="1:5" ht="15.6" x14ac:dyDescent="0.3">
      <c r="A98" s="8" t="s">
        <v>90</v>
      </c>
      <c r="B98" s="8" t="s">
        <v>3</v>
      </c>
      <c r="C98" s="2">
        <v>55</v>
      </c>
      <c r="D98" s="2">
        <v>8000</v>
      </c>
      <c r="E98" s="7">
        <f t="shared" si="1"/>
        <v>440000</v>
      </c>
    </row>
    <row r="99" spans="1:5" ht="15.6" hidden="1" x14ac:dyDescent="0.3">
      <c r="A99" s="8" t="s">
        <v>92</v>
      </c>
      <c r="B99" s="8" t="s">
        <v>3</v>
      </c>
      <c r="C99" s="2">
        <v>0</v>
      </c>
      <c r="D99" s="2"/>
      <c r="E99" s="7">
        <f t="shared" si="1"/>
        <v>0</v>
      </c>
    </row>
    <row r="100" spans="1:5" ht="15.6" hidden="1" x14ac:dyDescent="0.3">
      <c r="A100" s="8" t="s">
        <v>93</v>
      </c>
      <c r="B100" s="8" t="s">
        <v>19</v>
      </c>
      <c r="C100" s="2">
        <v>0</v>
      </c>
      <c r="D100" s="2"/>
      <c r="E100" s="7">
        <f t="shared" si="1"/>
        <v>0</v>
      </c>
    </row>
    <row r="101" spans="1:5" ht="15.6" hidden="1" x14ac:dyDescent="0.3">
      <c r="A101" s="8" t="s">
        <v>94</v>
      </c>
      <c r="B101" s="8" t="s">
        <v>3</v>
      </c>
      <c r="C101" s="2">
        <v>0</v>
      </c>
      <c r="D101" s="2"/>
      <c r="E101" s="7">
        <f t="shared" si="1"/>
        <v>0</v>
      </c>
    </row>
    <row r="102" spans="1:5" ht="15.6" hidden="1" x14ac:dyDescent="0.3">
      <c r="A102" s="8" t="s">
        <v>95</v>
      </c>
      <c r="B102" s="8" t="s">
        <v>19</v>
      </c>
      <c r="C102" s="2">
        <v>0</v>
      </c>
      <c r="D102" s="2"/>
      <c r="E102" s="7">
        <f t="shared" si="1"/>
        <v>0</v>
      </c>
    </row>
    <row r="103" spans="1:5" ht="15.6" hidden="1" x14ac:dyDescent="0.3">
      <c r="A103" s="8" t="s">
        <v>97</v>
      </c>
      <c r="B103" s="8" t="s">
        <v>3</v>
      </c>
      <c r="C103" s="2">
        <v>0</v>
      </c>
      <c r="D103" s="2"/>
      <c r="E103" s="7">
        <f t="shared" si="1"/>
        <v>0</v>
      </c>
    </row>
    <row r="104" spans="1:5" ht="15.6" x14ac:dyDescent="0.3">
      <c r="A104" s="8" t="s">
        <v>98</v>
      </c>
      <c r="B104" s="8" t="s">
        <v>19</v>
      </c>
      <c r="C104" s="2">
        <v>58</v>
      </c>
      <c r="D104" s="2">
        <v>7000</v>
      </c>
      <c r="E104" s="7">
        <f t="shared" si="1"/>
        <v>406000</v>
      </c>
    </row>
    <row r="105" spans="1:5" x14ac:dyDescent="0.3">
      <c r="E105" s="9">
        <f>SUM(E3:E104)</f>
        <v>120909133</v>
      </c>
    </row>
  </sheetData>
  <autoFilter ref="A2:E104" xr:uid="{00000000-0009-0000-0000-000014000000}">
    <filterColumn colId="2">
      <filters>
        <filter val="1"/>
        <filter val="1,016"/>
        <filter val="1,080"/>
        <filter val="1,270"/>
        <filter val="1,320"/>
        <filter val="10"/>
        <filter val="105"/>
        <filter val="12"/>
        <filter val="121"/>
        <filter val="13"/>
        <filter val="14"/>
        <filter val="140"/>
        <filter val="15"/>
        <filter val="17"/>
        <filter val="19"/>
        <filter val="20"/>
        <filter val="23"/>
        <filter val="240"/>
        <filter val="26"/>
        <filter val="28"/>
        <filter val="30"/>
        <filter val="300"/>
        <filter val="31"/>
        <filter val="32"/>
        <filter val="33"/>
        <filter val="353"/>
        <filter val="39"/>
        <filter val="42"/>
        <filter val="420"/>
        <filter val="440"/>
        <filter val="49"/>
        <filter val="50"/>
        <filter val="54"/>
        <filter val="55"/>
        <filter val="550"/>
        <filter val="58"/>
        <filter val="59"/>
        <filter val="60"/>
        <filter val="77"/>
        <filter val="775"/>
        <filter val="8"/>
        <filter val="840"/>
        <filter val="90"/>
        <filter val="920"/>
        <filter val="95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R112"/>
  <sheetViews>
    <sheetView workbookViewId="0">
      <pane xSplit="2" ySplit="1" topLeftCell="C36" activePane="bottomRight" state="frozen"/>
      <selection pane="topRight" activeCell="C1" sqref="C1"/>
      <selection pane="bottomLeft" activeCell="A2" sqref="A2"/>
      <selection pane="bottomRight" activeCell="I44" sqref="I44"/>
    </sheetView>
  </sheetViews>
  <sheetFormatPr defaultRowHeight="15.6" x14ac:dyDescent="0.3"/>
  <cols>
    <col min="1" max="1" width="26.21875" style="35" bestFit="1" customWidth="1"/>
    <col min="2" max="2" width="31.33203125" hidden="1" customWidth="1"/>
    <col min="3" max="3" width="13.77734375" style="35" customWidth="1"/>
    <col min="4" max="4" width="7.88671875" hidden="1" customWidth="1"/>
    <col min="5" max="5" width="8.44140625" hidden="1" customWidth="1"/>
    <col min="6" max="6" width="7.88671875" hidden="1" customWidth="1"/>
    <col min="7" max="7" width="8.6640625" hidden="1" customWidth="1"/>
    <col min="8" max="8" width="13.21875" style="35" customWidth="1"/>
    <col min="9" max="9" width="24.109375" style="40" customWidth="1"/>
    <col min="10" max="10" width="15.109375" style="40" customWidth="1"/>
    <col min="11" max="16384" width="8.88671875" style="35"/>
  </cols>
  <sheetData>
    <row r="1" spans="1:18" s="36" customFormat="1" ht="49.2" customHeight="1" x14ac:dyDescent="0.3">
      <c r="A1" s="33" t="s">
        <v>0</v>
      </c>
      <c r="B1" s="10"/>
      <c r="C1" s="33" t="s">
        <v>1</v>
      </c>
      <c r="D1" s="25" t="s">
        <v>148</v>
      </c>
      <c r="E1" s="26" t="s">
        <v>149</v>
      </c>
      <c r="F1" s="27" t="s">
        <v>150</v>
      </c>
      <c r="G1" s="27" t="s">
        <v>151</v>
      </c>
      <c r="H1" s="32" t="s">
        <v>233</v>
      </c>
      <c r="I1" s="38" t="s">
        <v>231</v>
      </c>
      <c r="J1" s="38" t="s">
        <v>232</v>
      </c>
      <c r="K1" s="35"/>
      <c r="L1" s="35"/>
      <c r="M1" s="35"/>
      <c r="N1" s="35"/>
      <c r="O1" s="35"/>
      <c r="P1" s="35"/>
      <c r="Q1" s="35"/>
      <c r="R1" s="35"/>
    </row>
    <row r="2" spans="1:18" s="37" customFormat="1" x14ac:dyDescent="0.3">
      <c r="A2" s="34" t="s">
        <v>2</v>
      </c>
      <c r="B2" s="8" t="s">
        <v>152</v>
      </c>
      <c r="C2" s="34" t="s">
        <v>3</v>
      </c>
      <c r="D2" s="28">
        <v>26.65</v>
      </c>
      <c r="E2" s="29"/>
      <c r="F2" s="28">
        <v>0</v>
      </c>
      <c r="G2" s="28">
        <v>0</v>
      </c>
      <c r="H2" s="32">
        <v>13</v>
      </c>
      <c r="I2" s="39">
        <v>16000</v>
      </c>
      <c r="J2" s="39">
        <f>+I2*H2</f>
        <v>208000</v>
      </c>
    </row>
    <row r="3" spans="1:18" s="37" customFormat="1" x14ac:dyDescent="0.3">
      <c r="A3" s="34" t="s">
        <v>4</v>
      </c>
      <c r="B3" s="8" t="s">
        <v>153</v>
      </c>
      <c r="C3" s="34" t="s">
        <v>3</v>
      </c>
      <c r="D3" s="28">
        <v>501.75</v>
      </c>
      <c r="E3" s="29"/>
      <c r="F3" s="28">
        <v>0</v>
      </c>
      <c r="G3" s="28">
        <v>0</v>
      </c>
      <c r="H3" s="32">
        <v>400</v>
      </c>
      <c r="I3" s="39">
        <v>8000</v>
      </c>
      <c r="J3" s="39">
        <f t="shared" ref="J3:J4" si="0">+I3*H3</f>
        <v>3200000</v>
      </c>
    </row>
    <row r="4" spans="1:18" s="37" customFormat="1" x14ac:dyDescent="0.3">
      <c r="A4" s="34" t="s">
        <v>5</v>
      </c>
      <c r="B4" s="8" t="s">
        <v>154</v>
      </c>
      <c r="C4" s="34" t="s">
        <v>3</v>
      </c>
      <c r="D4" s="28">
        <v>1157.5</v>
      </c>
      <c r="E4" s="28"/>
      <c r="F4" s="28">
        <v>0</v>
      </c>
      <c r="G4" s="28">
        <v>0</v>
      </c>
      <c r="H4" s="32">
        <v>15</v>
      </c>
      <c r="I4" s="39">
        <v>3500</v>
      </c>
      <c r="J4" s="39">
        <f t="shared" si="0"/>
        <v>52500</v>
      </c>
      <c r="K4" s="35"/>
      <c r="L4" s="35"/>
      <c r="M4" s="35"/>
      <c r="N4" s="35"/>
      <c r="O4" s="35"/>
      <c r="P4" s="35"/>
      <c r="Q4" s="35"/>
      <c r="R4" s="35"/>
    </row>
    <row r="5" spans="1:18" s="30" customFormat="1" hidden="1" x14ac:dyDescent="0.3">
      <c r="A5" s="8" t="s">
        <v>103</v>
      </c>
      <c r="B5" s="8" t="s">
        <v>155</v>
      </c>
      <c r="C5" s="8" t="s">
        <v>3</v>
      </c>
      <c r="D5" s="28">
        <v>23.200000000000003</v>
      </c>
      <c r="E5" s="29"/>
      <c r="F5" s="28">
        <v>0</v>
      </c>
      <c r="G5" s="28">
        <v>0</v>
      </c>
      <c r="H5" s="2">
        <v>0</v>
      </c>
    </row>
    <row r="6" spans="1:18" s="30" customFormat="1" hidden="1" x14ac:dyDescent="0.3">
      <c r="A6" s="8" t="s">
        <v>6</v>
      </c>
      <c r="B6" s="8" t="s">
        <v>156</v>
      </c>
      <c r="C6" s="8" t="s">
        <v>3</v>
      </c>
      <c r="D6" s="28">
        <v>52.5</v>
      </c>
      <c r="E6" s="29"/>
      <c r="F6" s="28">
        <v>0</v>
      </c>
      <c r="G6" s="28">
        <v>0</v>
      </c>
      <c r="H6" s="2">
        <v>0</v>
      </c>
    </row>
    <row r="7" spans="1:18" s="37" customFormat="1" x14ac:dyDescent="0.3">
      <c r="A7" s="34" t="s">
        <v>7</v>
      </c>
      <c r="B7" s="8" t="s">
        <v>157</v>
      </c>
      <c r="C7" s="34" t="s">
        <v>3</v>
      </c>
      <c r="D7" s="28">
        <v>290.75</v>
      </c>
      <c r="E7" s="28"/>
      <c r="F7" s="28">
        <v>0</v>
      </c>
      <c r="G7" s="28">
        <v>0</v>
      </c>
      <c r="H7" s="32">
        <v>718</v>
      </c>
      <c r="I7" s="39">
        <v>7000</v>
      </c>
      <c r="J7" s="39">
        <f t="shared" ref="J7:J8" si="1">+I7*H7</f>
        <v>5026000</v>
      </c>
      <c r="K7" s="35"/>
      <c r="L7" s="35"/>
      <c r="M7" s="35"/>
      <c r="N7" s="35"/>
      <c r="O7" s="35"/>
      <c r="P7" s="35"/>
      <c r="Q7" s="35"/>
      <c r="R7" s="35"/>
    </row>
    <row r="8" spans="1:18" s="37" customFormat="1" x14ac:dyDescent="0.3">
      <c r="A8" s="34" t="s">
        <v>11</v>
      </c>
      <c r="B8" s="8" t="s">
        <v>158</v>
      </c>
      <c r="C8" s="34" t="s">
        <v>3</v>
      </c>
      <c r="D8" s="28">
        <v>63.5</v>
      </c>
      <c r="E8" s="28"/>
      <c r="F8" s="28">
        <v>0</v>
      </c>
      <c r="G8" s="28">
        <v>0</v>
      </c>
      <c r="H8" s="32">
        <v>350</v>
      </c>
      <c r="I8" s="39">
        <v>7500</v>
      </c>
      <c r="J8" s="39">
        <f t="shared" si="1"/>
        <v>2625000</v>
      </c>
      <c r="K8" s="35"/>
      <c r="L8" s="35"/>
      <c r="M8" s="35"/>
      <c r="N8" s="35"/>
      <c r="O8" s="35"/>
      <c r="P8" s="35"/>
      <c r="Q8" s="35"/>
      <c r="R8" s="35"/>
    </row>
    <row r="9" spans="1:18" s="30" customFormat="1" hidden="1" x14ac:dyDescent="0.3">
      <c r="A9" s="8" t="s">
        <v>11</v>
      </c>
      <c r="B9" s="8" t="s">
        <v>158</v>
      </c>
      <c r="C9" s="8" t="s">
        <v>9</v>
      </c>
      <c r="D9" s="28">
        <v>110.5</v>
      </c>
      <c r="E9" s="28"/>
      <c r="F9" s="28">
        <v>0</v>
      </c>
      <c r="G9" s="28">
        <v>0</v>
      </c>
      <c r="H9" s="2">
        <v>0</v>
      </c>
      <c r="I9"/>
      <c r="J9"/>
      <c r="K9"/>
      <c r="L9"/>
      <c r="M9"/>
      <c r="N9"/>
      <c r="O9"/>
      <c r="P9"/>
      <c r="Q9"/>
      <c r="R9"/>
    </row>
    <row r="10" spans="1:18" s="37" customFormat="1" x14ac:dyDescent="0.3">
      <c r="A10" s="34" t="s">
        <v>8</v>
      </c>
      <c r="B10" s="8" t="s">
        <v>159</v>
      </c>
      <c r="C10" s="34" t="s">
        <v>3</v>
      </c>
      <c r="D10" s="28">
        <v>5</v>
      </c>
      <c r="E10" s="28"/>
      <c r="F10" s="28">
        <v>0</v>
      </c>
      <c r="G10" s="28">
        <v>0</v>
      </c>
      <c r="H10" s="32">
        <v>5</v>
      </c>
      <c r="I10" s="39">
        <v>10000</v>
      </c>
      <c r="J10" s="39">
        <f>+I10*H10</f>
        <v>50000</v>
      </c>
      <c r="K10" s="35"/>
      <c r="L10" s="35"/>
      <c r="M10" s="35"/>
      <c r="N10" s="35"/>
      <c r="O10" s="35"/>
      <c r="P10" s="35"/>
      <c r="Q10" s="35"/>
      <c r="R10" s="35"/>
    </row>
    <row r="11" spans="1:18" s="30" customFormat="1" hidden="1" x14ac:dyDescent="0.3">
      <c r="A11" s="8" t="s">
        <v>8</v>
      </c>
      <c r="B11" s="8" t="s">
        <v>159</v>
      </c>
      <c r="C11" s="8" t="s">
        <v>9</v>
      </c>
      <c r="D11" s="28">
        <v>15.75</v>
      </c>
      <c r="E11" s="28"/>
      <c r="F11" s="28">
        <v>0</v>
      </c>
      <c r="G11" s="28">
        <v>0</v>
      </c>
      <c r="H11" s="2">
        <v>0</v>
      </c>
      <c r="I11"/>
      <c r="J11"/>
      <c r="K11"/>
      <c r="L11"/>
      <c r="M11"/>
      <c r="N11"/>
      <c r="O11"/>
      <c r="P11"/>
      <c r="Q11"/>
      <c r="R11"/>
    </row>
    <row r="12" spans="1:18" s="30" customFormat="1" hidden="1" x14ac:dyDescent="0.3">
      <c r="A12" s="8" t="s">
        <v>21</v>
      </c>
      <c r="B12" s="8" t="s">
        <v>160</v>
      </c>
      <c r="C12" s="8" t="s">
        <v>3</v>
      </c>
      <c r="D12" s="28">
        <v>0</v>
      </c>
      <c r="E12" s="29"/>
      <c r="F12" s="28">
        <v>0</v>
      </c>
      <c r="G12" s="28">
        <v>0</v>
      </c>
      <c r="H12" s="2">
        <v>0</v>
      </c>
    </row>
    <row r="13" spans="1:18" s="30" customFormat="1" hidden="1" x14ac:dyDescent="0.3">
      <c r="A13" s="8" t="s">
        <v>140</v>
      </c>
      <c r="B13" s="8" t="s">
        <v>161</v>
      </c>
      <c r="C13" s="8" t="s">
        <v>3</v>
      </c>
      <c r="D13" s="28">
        <v>20</v>
      </c>
      <c r="E13" s="29"/>
      <c r="F13" s="28">
        <v>0</v>
      </c>
      <c r="G13" s="28">
        <v>0</v>
      </c>
      <c r="H13" s="2">
        <v>0</v>
      </c>
    </row>
    <row r="14" spans="1:18" s="30" customFormat="1" hidden="1" x14ac:dyDescent="0.3">
      <c r="A14" s="8" t="s">
        <v>122</v>
      </c>
      <c r="B14" s="8" t="s">
        <v>162</v>
      </c>
      <c r="C14" s="8" t="s">
        <v>3</v>
      </c>
      <c r="D14" s="28">
        <v>3.6749999999999998</v>
      </c>
      <c r="E14" s="29"/>
      <c r="F14" s="28">
        <v>0</v>
      </c>
      <c r="G14" s="28">
        <v>0</v>
      </c>
      <c r="H14" s="2">
        <v>0</v>
      </c>
    </row>
    <row r="15" spans="1:18" s="30" customFormat="1" hidden="1" x14ac:dyDescent="0.3">
      <c r="A15" s="8" t="s">
        <v>12</v>
      </c>
      <c r="B15" s="8" t="s">
        <v>163</v>
      </c>
      <c r="C15" s="8" t="s">
        <v>3</v>
      </c>
      <c r="D15" s="28">
        <v>25.2</v>
      </c>
      <c r="E15" s="29"/>
      <c r="F15" s="28">
        <v>0</v>
      </c>
      <c r="G15" s="28">
        <v>0</v>
      </c>
      <c r="H15" s="2">
        <v>0</v>
      </c>
    </row>
    <row r="16" spans="1:18" s="30" customFormat="1" hidden="1" x14ac:dyDescent="0.3">
      <c r="A16" s="8" t="s">
        <v>13</v>
      </c>
      <c r="B16" s="8" t="s">
        <v>164</v>
      </c>
      <c r="C16" s="8" t="s">
        <v>3</v>
      </c>
      <c r="D16" s="28">
        <v>0</v>
      </c>
      <c r="E16" s="29"/>
      <c r="F16" s="28">
        <v>0</v>
      </c>
      <c r="G16" s="28">
        <v>0</v>
      </c>
      <c r="H16" s="2">
        <v>0</v>
      </c>
    </row>
    <row r="17" spans="1:18" s="30" customFormat="1" hidden="1" x14ac:dyDescent="0.3">
      <c r="A17" s="8" t="s">
        <v>14</v>
      </c>
      <c r="B17" s="8" t="s">
        <v>165</v>
      </c>
      <c r="C17" s="8" t="s">
        <v>3</v>
      </c>
      <c r="D17" s="28">
        <v>75</v>
      </c>
      <c r="E17" s="29"/>
      <c r="F17" s="28">
        <v>0</v>
      </c>
      <c r="G17" s="28">
        <v>0</v>
      </c>
      <c r="H17" s="2">
        <v>0</v>
      </c>
    </row>
    <row r="18" spans="1:18" s="30" customFormat="1" hidden="1" x14ac:dyDescent="0.3">
      <c r="A18" s="8" t="s">
        <v>15</v>
      </c>
      <c r="B18" s="8" t="s">
        <v>166</v>
      </c>
      <c r="C18" s="8" t="s">
        <v>3</v>
      </c>
      <c r="D18" s="28">
        <v>180.75</v>
      </c>
      <c r="E18" s="29"/>
      <c r="F18" s="28">
        <v>0</v>
      </c>
      <c r="G18" s="28">
        <v>0</v>
      </c>
      <c r="H18" s="2">
        <v>0</v>
      </c>
    </row>
    <row r="19" spans="1:18" s="30" customFormat="1" hidden="1" x14ac:dyDescent="0.3">
      <c r="A19" s="8" t="s">
        <v>16</v>
      </c>
      <c r="B19" s="8" t="s">
        <v>167</v>
      </c>
      <c r="C19" s="8" t="s">
        <v>17</v>
      </c>
      <c r="D19" s="28">
        <v>13</v>
      </c>
      <c r="E19" s="28"/>
      <c r="F19" s="28">
        <v>0</v>
      </c>
      <c r="G19" s="28">
        <v>0</v>
      </c>
      <c r="H19" s="2">
        <v>0</v>
      </c>
      <c r="I19"/>
      <c r="J19"/>
      <c r="K19"/>
      <c r="L19"/>
      <c r="M19"/>
      <c r="N19"/>
      <c r="O19"/>
      <c r="P19"/>
      <c r="Q19"/>
      <c r="R19"/>
    </row>
    <row r="20" spans="1:18" s="30" customFormat="1" hidden="1" x14ac:dyDescent="0.3">
      <c r="A20" s="8" t="s">
        <v>18</v>
      </c>
      <c r="B20" s="8">
        <v>0</v>
      </c>
      <c r="C20" s="8" t="s">
        <v>19</v>
      </c>
      <c r="D20" s="28">
        <v>0</v>
      </c>
      <c r="E20" s="29"/>
      <c r="F20" s="28">
        <v>0</v>
      </c>
      <c r="G20" s="28">
        <v>0</v>
      </c>
      <c r="H20" s="2">
        <v>0</v>
      </c>
    </row>
    <row r="21" spans="1:18" s="30" customFormat="1" hidden="1" x14ac:dyDescent="0.3">
      <c r="A21" s="8" t="s">
        <v>20</v>
      </c>
      <c r="B21" s="8" t="s">
        <v>168</v>
      </c>
      <c r="C21" s="8" t="s">
        <v>3</v>
      </c>
      <c r="D21" s="28">
        <v>242.5</v>
      </c>
      <c r="E21" s="29"/>
      <c r="F21" s="28">
        <v>0</v>
      </c>
      <c r="G21" s="28">
        <v>0</v>
      </c>
      <c r="H21" s="2">
        <v>0</v>
      </c>
    </row>
    <row r="22" spans="1:18" s="37" customFormat="1" x14ac:dyDescent="0.3">
      <c r="A22" s="34" t="s">
        <v>22</v>
      </c>
      <c r="B22" s="8" t="s">
        <v>169</v>
      </c>
      <c r="C22" s="34" t="s">
        <v>3</v>
      </c>
      <c r="D22" s="28">
        <v>270</v>
      </c>
      <c r="E22" s="28"/>
      <c r="F22" s="28">
        <v>0</v>
      </c>
      <c r="G22" s="28">
        <v>0</v>
      </c>
      <c r="H22" s="32">
        <v>290</v>
      </c>
      <c r="I22" s="39">
        <v>12000</v>
      </c>
      <c r="J22" s="39">
        <f>+I22*H22</f>
        <v>3480000</v>
      </c>
      <c r="K22" s="35"/>
      <c r="L22" s="35"/>
      <c r="M22" s="35"/>
      <c r="N22" s="35"/>
      <c r="O22" s="35"/>
      <c r="P22" s="35"/>
      <c r="Q22" s="35"/>
      <c r="R22" s="35"/>
    </row>
    <row r="23" spans="1:18" s="30" customFormat="1" hidden="1" x14ac:dyDescent="0.3">
      <c r="A23" s="8" t="s">
        <v>22</v>
      </c>
      <c r="B23" s="8" t="s">
        <v>169</v>
      </c>
      <c r="C23" s="8" t="s">
        <v>17</v>
      </c>
      <c r="D23" s="28">
        <v>0</v>
      </c>
      <c r="E23" s="31"/>
      <c r="F23" s="28">
        <v>0</v>
      </c>
      <c r="G23" s="28">
        <v>0</v>
      </c>
      <c r="H23" s="2">
        <v>0</v>
      </c>
      <c r="I23"/>
      <c r="J23"/>
      <c r="K23"/>
      <c r="L23"/>
      <c r="M23"/>
      <c r="N23"/>
      <c r="O23"/>
      <c r="P23"/>
      <c r="Q23"/>
      <c r="R23"/>
    </row>
    <row r="24" spans="1:18" s="30" customFormat="1" hidden="1" x14ac:dyDescent="0.3">
      <c r="A24" s="8" t="s">
        <v>22</v>
      </c>
      <c r="B24" s="8" t="s">
        <v>169</v>
      </c>
      <c r="C24" s="8" t="s">
        <v>23</v>
      </c>
      <c r="D24" s="28">
        <v>68.25</v>
      </c>
      <c r="E24" s="28"/>
      <c r="F24" s="28">
        <v>0</v>
      </c>
      <c r="G24" s="28">
        <v>0</v>
      </c>
      <c r="H24" s="2">
        <v>0</v>
      </c>
      <c r="I24"/>
      <c r="J24"/>
      <c r="K24"/>
      <c r="L24"/>
      <c r="M24"/>
      <c r="N24"/>
      <c r="O24"/>
      <c r="P24"/>
      <c r="Q24"/>
      <c r="R24"/>
    </row>
    <row r="25" spans="1:18" s="37" customFormat="1" x14ac:dyDescent="0.3">
      <c r="A25" s="34" t="s">
        <v>24</v>
      </c>
      <c r="B25" s="8" t="s">
        <v>170</v>
      </c>
      <c r="C25" s="34" t="s">
        <v>3</v>
      </c>
      <c r="D25" s="28">
        <v>10</v>
      </c>
      <c r="E25" s="29"/>
      <c r="F25" s="28">
        <v>0</v>
      </c>
      <c r="G25" s="28">
        <v>0</v>
      </c>
      <c r="H25" s="32">
        <v>22</v>
      </c>
      <c r="I25" s="39">
        <v>12000</v>
      </c>
      <c r="J25" s="39">
        <f>+I25*H25</f>
        <v>264000</v>
      </c>
    </row>
    <row r="26" spans="1:18" s="30" customFormat="1" hidden="1" x14ac:dyDescent="0.3">
      <c r="A26" s="8" t="s">
        <v>24</v>
      </c>
      <c r="B26" s="8" t="s">
        <v>170</v>
      </c>
      <c r="C26" s="8" t="s">
        <v>25</v>
      </c>
      <c r="D26" s="28">
        <v>90</v>
      </c>
      <c r="E26" s="29"/>
      <c r="F26" s="28">
        <v>0</v>
      </c>
      <c r="G26" s="28">
        <v>0</v>
      </c>
      <c r="H26" s="2">
        <v>0</v>
      </c>
    </row>
    <row r="27" spans="1:18" s="30" customFormat="1" hidden="1" x14ac:dyDescent="0.3">
      <c r="A27" s="8" t="s">
        <v>26</v>
      </c>
      <c r="B27" s="8" t="s">
        <v>171</v>
      </c>
      <c r="C27" s="8" t="s">
        <v>3</v>
      </c>
      <c r="D27" s="28">
        <v>15</v>
      </c>
      <c r="E27" s="29"/>
      <c r="F27" s="28">
        <v>0</v>
      </c>
      <c r="G27" s="28">
        <v>0</v>
      </c>
      <c r="H27" s="2">
        <v>0</v>
      </c>
    </row>
    <row r="28" spans="1:18" s="37" customFormat="1" x14ac:dyDescent="0.3">
      <c r="A28" s="34" t="s">
        <v>26</v>
      </c>
      <c r="B28" s="8" t="s">
        <v>171</v>
      </c>
      <c r="C28" s="34" t="s">
        <v>27</v>
      </c>
      <c r="D28" s="28">
        <v>79</v>
      </c>
      <c r="E28" s="29"/>
      <c r="F28" s="28">
        <v>0</v>
      </c>
      <c r="G28" s="28">
        <v>0</v>
      </c>
      <c r="H28" s="32">
        <v>35</v>
      </c>
      <c r="I28" s="39">
        <v>4500</v>
      </c>
      <c r="J28" s="39">
        <f>+I28*H28</f>
        <v>157500</v>
      </c>
    </row>
    <row r="29" spans="1:18" s="30" customFormat="1" hidden="1" x14ac:dyDescent="0.3">
      <c r="A29" s="8" t="s">
        <v>28</v>
      </c>
      <c r="B29" s="8" t="s">
        <v>172</v>
      </c>
      <c r="C29" s="8" t="s">
        <v>29</v>
      </c>
      <c r="D29" s="28">
        <v>17</v>
      </c>
      <c r="E29" s="29"/>
      <c r="F29" s="28">
        <v>0</v>
      </c>
      <c r="G29" s="28">
        <v>0</v>
      </c>
      <c r="H29" s="2">
        <v>0</v>
      </c>
    </row>
    <row r="30" spans="1:18" s="37" customFormat="1" x14ac:dyDescent="0.3">
      <c r="A30" s="34" t="s">
        <v>28</v>
      </c>
      <c r="B30" s="8" t="s">
        <v>172</v>
      </c>
      <c r="C30" s="34" t="s">
        <v>3</v>
      </c>
      <c r="D30" s="28">
        <v>0</v>
      </c>
      <c r="E30" s="29"/>
      <c r="F30" s="28">
        <v>0</v>
      </c>
      <c r="G30" s="28">
        <v>0</v>
      </c>
      <c r="H30" s="32">
        <v>18</v>
      </c>
      <c r="I30" s="39">
        <v>10500</v>
      </c>
      <c r="J30" s="39">
        <f>+I30*H30</f>
        <v>189000</v>
      </c>
    </row>
    <row r="31" spans="1:18" s="30" customFormat="1" hidden="1" x14ac:dyDescent="0.3">
      <c r="A31" s="8" t="s">
        <v>30</v>
      </c>
      <c r="B31" s="8" t="s">
        <v>173</v>
      </c>
      <c r="C31" s="8" t="s">
        <v>3</v>
      </c>
      <c r="D31" s="28">
        <v>10</v>
      </c>
      <c r="E31" s="29"/>
      <c r="F31" s="28">
        <v>0</v>
      </c>
      <c r="G31" s="28">
        <v>0</v>
      </c>
      <c r="H31" s="2">
        <v>0</v>
      </c>
    </row>
    <row r="32" spans="1:18" s="37" customFormat="1" x14ac:dyDescent="0.3">
      <c r="A32" s="34" t="s">
        <v>30</v>
      </c>
      <c r="B32" s="8" t="s">
        <v>173</v>
      </c>
      <c r="C32" s="34" t="s">
        <v>31</v>
      </c>
      <c r="D32" s="28">
        <v>108.5</v>
      </c>
      <c r="E32" s="29"/>
      <c r="F32" s="28">
        <v>0</v>
      </c>
      <c r="G32" s="28">
        <v>0</v>
      </c>
      <c r="H32" s="32">
        <v>260</v>
      </c>
      <c r="I32" s="39">
        <v>7500</v>
      </c>
      <c r="J32" s="39">
        <f t="shared" ref="J32:J33" si="2">+I32*H32</f>
        <v>1950000</v>
      </c>
    </row>
    <row r="33" spans="1:18" s="37" customFormat="1" x14ac:dyDescent="0.3">
      <c r="A33" s="34" t="s">
        <v>32</v>
      </c>
      <c r="B33" s="8" t="s">
        <v>174</v>
      </c>
      <c r="C33" s="34" t="s">
        <v>3</v>
      </c>
      <c r="D33" s="28">
        <v>431</v>
      </c>
      <c r="E33" s="28"/>
      <c r="F33" s="28">
        <v>0</v>
      </c>
      <c r="G33" s="28">
        <v>0</v>
      </c>
      <c r="H33" s="32">
        <v>180</v>
      </c>
      <c r="I33" s="39">
        <v>7000</v>
      </c>
      <c r="J33" s="39">
        <f t="shared" si="2"/>
        <v>1260000</v>
      </c>
      <c r="K33" s="35"/>
      <c r="L33" s="35"/>
      <c r="M33" s="35"/>
      <c r="N33" s="35"/>
      <c r="O33" s="35"/>
      <c r="P33" s="35"/>
      <c r="Q33" s="35"/>
      <c r="R33" s="35"/>
    </row>
    <row r="34" spans="1:18" s="30" customFormat="1" hidden="1" x14ac:dyDescent="0.3">
      <c r="A34" s="8" t="s">
        <v>32</v>
      </c>
      <c r="B34" s="8" t="s">
        <v>174</v>
      </c>
      <c r="C34" s="8" t="s">
        <v>17</v>
      </c>
      <c r="D34" s="28">
        <v>212.75</v>
      </c>
      <c r="E34" s="28"/>
      <c r="F34" s="28">
        <v>0</v>
      </c>
      <c r="G34" s="28">
        <v>0</v>
      </c>
      <c r="H34" s="2">
        <v>0</v>
      </c>
      <c r="I34"/>
      <c r="J34"/>
      <c r="K34"/>
      <c r="L34"/>
      <c r="M34"/>
      <c r="N34"/>
      <c r="O34"/>
      <c r="P34"/>
      <c r="Q34"/>
      <c r="R34"/>
    </row>
    <row r="35" spans="1:18" s="30" customFormat="1" hidden="1" x14ac:dyDescent="0.3">
      <c r="A35" s="8" t="s">
        <v>33</v>
      </c>
      <c r="B35" s="8" t="s">
        <v>175</v>
      </c>
      <c r="C35" s="8" t="s">
        <v>34</v>
      </c>
      <c r="D35" s="28">
        <v>85.75</v>
      </c>
      <c r="E35" s="28"/>
      <c r="F35" s="28">
        <v>0</v>
      </c>
      <c r="G35" s="28">
        <v>0</v>
      </c>
      <c r="H35" s="2">
        <v>0</v>
      </c>
      <c r="I35"/>
      <c r="J35"/>
      <c r="K35"/>
      <c r="L35"/>
      <c r="M35"/>
      <c r="N35"/>
      <c r="O35"/>
      <c r="P35"/>
      <c r="Q35"/>
      <c r="R35"/>
    </row>
    <row r="36" spans="1:18" s="37" customFormat="1" x14ac:dyDescent="0.3">
      <c r="A36" s="34" t="s">
        <v>35</v>
      </c>
      <c r="B36" s="8" t="s">
        <v>176</v>
      </c>
      <c r="C36" s="34" t="s">
        <v>3</v>
      </c>
      <c r="D36" s="28">
        <v>618</v>
      </c>
      <c r="E36" s="28"/>
      <c r="F36" s="28">
        <v>0</v>
      </c>
      <c r="G36" s="28">
        <v>0</v>
      </c>
      <c r="H36" s="32">
        <v>19</v>
      </c>
      <c r="I36" s="39">
        <v>7500</v>
      </c>
      <c r="J36" s="39">
        <f>+I36*H36</f>
        <v>142500</v>
      </c>
      <c r="K36" s="35"/>
      <c r="L36" s="35"/>
      <c r="M36" s="35"/>
      <c r="N36" s="35"/>
      <c r="O36" s="35"/>
      <c r="P36" s="35"/>
      <c r="Q36" s="35"/>
      <c r="R36" s="35"/>
    </row>
    <row r="37" spans="1:18" s="30" customFormat="1" hidden="1" x14ac:dyDescent="0.3">
      <c r="A37" s="8" t="s">
        <v>35</v>
      </c>
      <c r="B37" s="8" t="s">
        <v>176</v>
      </c>
      <c r="C37" s="8" t="s">
        <v>34</v>
      </c>
      <c r="D37" s="28">
        <v>238.25</v>
      </c>
      <c r="E37" s="28"/>
      <c r="F37" s="28">
        <v>0</v>
      </c>
      <c r="G37" s="28">
        <v>0</v>
      </c>
      <c r="H37" s="2">
        <v>0</v>
      </c>
      <c r="I37"/>
      <c r="J37"/>
      <c r="K37"/>
      <c r="L37"/>
      <c r="M37"/>
      <c r="N37"/>
      <c r="O37"/>
      <c r="P37"/>
      <c r="Q37"/>
      <c r="R37"/>
    </row>
    <row r="38" spans="1:18" s="37" customFormat="1" x14ac:dyDescent="0.3">
      <c r="A38" s="34" t="s">
        <v>36</v>
      </c>
      <c r="B38" s="8" t="s">
        <v>177</v>
      </c>
      <c r="C38" s="34" t="s">
        <v>17</v>
      </c>
      <c r="D38" s="28">
        <v>12</v>
      </c>
      <c r="E38" s="28"/>
      <c r="F38" s="28">
        <v>0</v>
      </c>
      <c r="G38" s="28">
        <v>0</v>
      </c>
      <c r="H38" s="32">
        <v>13</v>
      </c>
      <c r="I38" s="39">
        <v>6500</v>
      </c>
      <c r="J38" s="39">
        <f t="shared" ref="J38:J39" si="3">+I38*H38</f>
        <v>84500</v>
      </c>
      <c r="K38" s="35"/>
      <c r="L38" s="35"/>
      <c r="M38" s="35"/>
      <c r="N38" s="35"/>
      <c r="O38" s="35"/>
      <c r="P38" s="35"/>
      <c r="Q38" s="35"/>
      <c r="R38" s="35"/>
    </row>
    <row r="39" spans="1:18" s="37" customFormat="1" x14ac:dyDescent="0.3">
      <c r="A39" s="34" t="s">
        <v>37</v>
      </c>
      <c r="B39" s="8" t="s">
        <v>178</v>
      </c>
      <c r="C39" s="34" t="s">
        <v>3</v>
      </c>
      <c r="D39" s="28">
        <v>63.2</v>
      </c>
      <c r="E39" s="29"/>
      <c r="F39" s="28">
        <v>0</v>
      </c>
      <c r="G39" s="28">
        <v>0</v>
      </c>
      <c r="H39" s="32">
        <v>26</v>
      </c>
      <c r="I39" s="39">
        <v>8000</v>
      </c>
      <c r="J39" s="39">
        <f t="shared" si="3"/>
        <v>208000</v>
      </c>
    </row>
    <row r="40" spans="1:18" s="30" customFormat="1" hidden="1" x14ac:dyDescent="0.3">
      <c r="A40" s="8" t="s">
        <v>37</v>
      </c>
      <c r="B40" s="8" t="s">
        <v>178</v>
      </c>
      <c r="C40" s="8" t="s">
        <v>38</v>
      </c>
      <c r="D40" s="28">
        <v>32</v>
      </c>
      <c r="E40" s="29"/>
      <c r="F40" s="28">
        <v>0</v>
      </c>
      <c r="G40" s="28">
        <v>0</v>
      </c>
      <c r="H40" s="2">
        <v>0</v>
      </c>
    </row>
    <row r="41" spans="1:18" s="37" customFormat="1" x14ac:dyDescent="0.3">
      <c r="A41" s="34" t="s">
        <v>39</v>
      </c>
      <c r="B41" s="8" t="s">
        <v>179</v>
      </c>
      <c r="C41" s="34" t="s">
        <v>3</v>
      </c>
      <c r="D41" s="28">
        <v>27</v>
      </c>
      <c r="E41" s="28"/>
      <c r="F41" s="28">
        <v>0</v>
      </c>
      <c r="G41" s="28">
        <v>0</v>
      </c>
      <c r="H41" s="32">
        <v>1</v>
      </c>
      <c r="I41" s="39">
        <v>17000</v>
      </c>
      <c r="J41" s="39">
        <f>+I41*H41</f>
        <v>17000</v>
      </c>
      <c r="K41" s="35"/>
      <c r="L41" s="35"/>
      <c r="M41" s="35"/>
      <c r="N41" s="35"/>
      <c r="O41" s="35"/>
      <c r="P41" s="35"/>
      <c r="Q41" s="35"/>
      <c r="R41" s="35"/>
    </row>
    <row r="42" spans="1:18" s="30" customFormat="1" hidden="1" x14ac:dyDescent="0.3">
      <c r="A42" s="8" t="s">
        <v>39</v>
      </c>
      <c r="B42" s="8" t="s">
        <v>179</v>
      </c>
      <c r="C42" s="8" t="s">
        <v>34</v>
      </c>
      <c r="D42" s="28">
        <v>78.5</v>
      </c>
      <c r="E42" s="28"/>
      <c r="F42" s="28">
        <v>0</v>
      </c>
      <c r="G42" s="28">
        <v>0</v>
      </c>
      <c r="H42" s="2">
        <v>0</v>
      </c>
      <c r="I42"/>
      <c r="J42"/>
      <c r="K42"/>
      <c r="L42"/>
      <c r="M42"/>
      <c r="N42"/>
      <c r="O42"/>
      <c r="P42"/>
      <c r="Q42"/>
      <c r="R42"/>
    </row>
    <row r="43" spans="1:18" s="37" customFormat="1" x14ac:dyDescent="0.3">
      <c r="A43" s="34" t="s">
        <v>40</v>
      </c>
      <c r="B43" s="8" t="s">
        <v>180</v>
      </c>
      <c r="C43" s="34" t="s">
        <v>34</v>
      </c>
      <c r="D43" s="28">
        <v>3</v>
      </c>
      <c r="E43" s="29"/>
      <c r="F43" s="28">
        <v>0</v>
      </c>
      <c r="G43" s="28">
        <v>0</v>
      </c>
      <c r="H43" s="32">
        <v>13</v>
      </c>
      <c r="I43" s="39">
        <v>3000</v>
      </c>
      <c r="J43" s="39">
        <f t="shared" ref="J43:J44" si="4">+I43*H43</f>
        <v>39000</v>
      </c>
    </row>
    <row r="44" spans="1:18" s="37" customFormat="1" x14ac:dyDescent="0.3">
      <c r="A44" s="34" t="s">
        <v>41</v>
      </c>
      <c r="B44" s="8" t="s">
        <v>181</v>
      </c>
      <c r="C44" s="34" t="s">
        <v>3</v>
      </c>
      <c r="D44" s="28">
        <v>0</v>
      </c>
      <c r="E44" s="28"/>
      <c r="F44" s="28">
        <v>0</v>
      </c>
      <c r="G44" s="28">
        <v>0</v>
      </c>
      <c r="H44" s="32">
        <v>15</v>
      </c>
      <c r="I44" s="39">
        <v>15000</v>
      </c>
      <c r="J44" s="39">
        <f t="shared" si="4"/>
        <v>225000</v>
      </c>
      <c r="K44" s="35"/>
      <c r="L44" s="35"/>
      <c r="M44" s="35"/>
      <c r="N44" s="35"/>
      <c r="O44" s="35"/>
      <c r="P44" s="35"/>
      <c r="Q44" s="35"/>
      <c r="R44" s="35"/>
    </row>
    <row r="45" spans="1:18" s="30" customFormat="1" hidden="1" x14ac:dyDescent="0.3">
      <c r="A45" s="8" t="s">
        <v>41</v>
      </c>
      <c r="B45" s="8" t="s">
        <v>181</v>
      </c>
      <c r="C45" s="8" t="s">
        <v>34</v>
      </c>
      <c r="D45" s="28">
        <v>13</v>
      </c>
      <c r="E45" s="28"/>
      <c r="F45" s="28">
        <v>0</v>
      </c>
      <c r="G45" s="28">
        <v>0</v>
      </c>
      <c r="H45" s="2">
        <v>0</v>
      </c>
      <c r="I45"/>
      <c r="J45"/>
      <c r="K45"/>
      <c r="L45"/>
      <c r="M45"/>
      <c r="N45"/>
      <c r="O45"/>
      <c r="P45"/>
      <c r="Q45"/>
      <c r="R45"/>
    </row>
    <row r="46" spans="1:18" s="30" customFormat="1" hidden="1" x14ac:dyDescent="0.3">
      <c r="A46" s="8" t="s">
        <v>42</v>
      </c>
      <c r="B46" s="8" t="s">
        <v>182</v>
      </c>
      <c r="C46" s="8" t="s">
        <v>3</v>
      </c>
      <c r="D46" s="28">
        <v>1974.25</v>
      </c>
      <c r="E46" s="28"/>
      <c r="F46" s="28">
        <v>0</v>
      </c>
      <c r="G46" s="28">
        <v>0</v>
      </c>
      <c r="H46" s="2">
        <v>0</v>
      </c>
      <c r="I46"/>
      <c r="J46"/>
      <c r="K46"/>
      <c r="L46"/>
      <c r="M46"/>
      <c r="N46"/>
      <c r="O46"/>
      <c r="P46"/>
      <c r="Q46"/>
      <c r="R46"/>
    </row>
    <row r="47" spans="1:18" s="37" customFormat="1" x14ac:dyDescent="0.3">
      <c r="A47" s="34" t="s">
        <v>44</v>
      </c>
      <c r="B47" s="8" t="s">
        <v>183</v>
      </c>
      <c r="C47" s="34" t="s">
        <v>3</v>
      </c>
      <c r="D47" s="28">
        <v>0</v>
      </c>
      <c r="E47" s="29"/>
      <c r="F47" s="28">
        <v>0</v>
      </c>
      <c r="G47" s="28">
        <v>0</v>
      </c>
      <c r="H47" s="32">
        <v>610</v>
      </c>
      <c r="I47" s="39">
        <v>3000</v>
      </c>
      <c r="J47" s="39">
        <f t="shared" ref="J47:J48" si="5">+I47*H47</f>
        <v>1830000</v>
      </c>
    </row>
    <row r="48" spans="1:18" s="37" customFormat="1" x14ac:dyDescent="0.3">
      <c r="A48" s="34" t="s">
        <v>45</v>
      </c>
      <c r="B48" s="8" t="s">
        <v>184</v>
      </c>
      <c r="C48" s="34" t="s">
        <v>3</v>
      </c>
      <c r="D48" s="28">
        <v>91.8</v>
      </c>
      <c r="E48" s="28"/>
      <c r="F48" s="28">
        <v>0</v>
      </c>
      <c r="G48" s="28">
        <v>0</v>
      </c>
      <c r="H48" s="32">
        <v>41</v>
      </c>
      <c r="I48" s="39">
        <v>8000</v>
      </c>
      <c r="J48" s="39">
        <f t="shared" si="5"/>
        <v>328000</v>
      </c>
      <c r="K48" s="35"/>
      <c r="L48" s="35"/>
      <c r="M48" s="35"/>
      <c r="N48" s="35"/>
      <c r="O48" s="35"/>
      <c r="P48" s="35"/>
      <c r="Q48" s="35"/>
      <c r="R48" s="35"/>
    </row>
    <row r="49" spans="1:18" s="30" customFormat="1" hidden="1" x14ac:dyDescent="0.3">
      <c r="A49" s="8" t="s">
        <v>45</v>
      </c>
      <c r="B49" s="8" t="s">
        <v>184</v>
      </c>
      <c r="C49" s="8" t="s">
        <v>19</v>
      </c>
      <c r="D49" s="28">
        <v>76.25</v>
      </c>
      <c r="E49" s="28"/>
      <c r="F49" s="28">
        <v>0</v>
      </c>
      <c r="G49" s="28">
        <v>0</v>
      </c>
      <c r="H49" s="2">
        <v>0</v>
      </c>
      <c r="I49"/>
      <c r="J49"/>
      <c r="K49"/>
      <c r="L49"/>
      <c r="M49"/>
      <c r="N49"/>
      <c r="O49"/>
      <c r="P49"/>
      <c r="Q49"/>
      <c r="R49"/>
    </row>
    <row r="50" spans="1:18" s="37" customFormat="1" x14ac:dyDescent="0.3">
      <c r="A50" s="34" t="s">
        <v>63</v>
      </c>
      <c r="B50" s="8" t="s">
        <v>185</v>
      </c>
      <c r="C50" s="34" t="s">
        <v>3</v>
      </c>
      <c r="D50" s="28">
        <v>26.5</v>
      </c>
      <c r="E50" s="29"/>
      <c r="F50" s="28">
        <v>0</v>
      </c>
      <c r="G50" s="28">
        <v>0</v>
      </c>
      <c r="H50" s="32">
        <v>3</v>
      </c>
      <c r="I50" s="39">
        <v>14000</v>
      </c>
      <c r="J50" s="39">
        <f t="shared" ref="J50:J53" si="6">+I50*H50</f>
        <v>42000</v>
      </c>
    </row>
    <row r="51" spans="1:18" s="37" customFormat="1" x14ac:dyDescent="0.3">
      <c r="A51" s="34" t="s">
        <v>46</v>
      </c>
      <c r="B51" s="8" t="s">
        <v>186</v>
      </c>
      <c r="C51" s="34" t="s">
        <v>29</v>
      </c>
      <c r="D51" s="28">
        <v>3.1500000000000004</v>
      </c>
      <c r="E51" s="28"/>
      <c r="F51" s="28">
        <v>0</v>
      </c>
      <c r="G51" s="28">
        <v>0</v>
      </c>
      <c r="H51" s="32">
        <v>9</v>
      </c>
      <c r="I51" s="39">
        <v>11000</v>
      </c>
      <c r="J51" s="39">
        <f t="shared" si="6"/>
        <v>99000</v>
      </c>
      <c r="K51" s="35"/>
      <c r="L51" s="35"/>
      <c r="M51" s="35"/>
      <c r="N51" s="35"/>
      <c r="O51" s="35"/>
      <c r="P51" s="35"/>
      <c r="Q51" s="35"/>
      <c r="R51" s="35"/>
    </row>
    <row r="52" spans="1:18" s="37" customFormat="1" x14ac:dyDescent="0.3">
      <c r="A52" s="34" t="s">
        <v>47</v>
      </c>
      <c r="B52" s="8" t="s">
        <v>187</v>
      </c>
      <c r="C52" s="34" t="s">
        <v>3</v>
      </c>
      <c r="D52" s="28">
        <v>268.5</v>
      </c>
      <c r="E52" s="29"/>
      <c r="F52" s="28">
        <v>0</v>
      </c>
      <c r="G52" s="28">
        <v>0</v>
      </c>
      <c r="H52" s="32">
        <v>3</v>
      </c>
      <c r="I52" s="39">
        <v>5500</v>
      </c>
      <c r="J52" s="39">
        <f t="shared" si="6"/>
        <v>16500</v>
      </c>
    </row>
    <row r="53" spans="1:18" s="37" customFormat="1" x14ac:dyDescent="0.3">
      <c r="A53" s="34" t="s">
        <v>48</v>
      </c>
      <c r="B53" s="8" t="s">
        <v>188</v>
      </c>
      <c r="C53" s="34" t="s">
        <v>3</v>
      </c>
      <c r="D53" s="28">
        <v>50.7</v>
      </c>
      <c r="E53" s="28"/>
      <c r="F53" s="28">
        <v>0</v>
      </c>
      <c r="G53" s="28">
        <v>0</v>
      </c>
      <c r="H53" s="32">
        <v>46</v>
      </c>
      <c r="I53" s="39">
        <v>8000</v>
      </c>
      <c r="J53" s="39">
        <f t="shared" si="6"/>
        <v>368000</v>
      </c>
      <c r="K53" s="35"/>
      <c r="L53" s="35"/>
      <c r="M53" s="35"/>
      <c r="N53" s="35"/>
      <c r="O53" s="35"/>
      <c r="P53" s="35"/>
      <c r="Q53" s="35"/>
      <c r="R53" s="35"/>
    </row>
    <row r="54" spans="1:18" s="30" customFormat="1" hidden="1" x14ac:dyDescent="0.3">
      <c r="A54" s="8" t="s">
        <v>48</v>
      </c>
      <c r="B54" s="8" t="s">
        <v>188</v>
      </c>
      <c r="C54" s="8" t="s">
        <v>34</v>
      </c>
      <c r="D54" s="28">
        <v>10</v>
      </c>
      <c r="E54" s="28"/>
      <c r="F54" s="28">
        <v>0</v>
      </c>
      <c r="G54" s="28">
        <v>0</v>
      </c>
      <c r="H54" s="2">
        <v>0</v>
      </c>
      <c r="I54"/>
      <c r="J54"/>
      <c r="K54"/>
      <c r="L54"/>
      <c r="M54"/>
      <c r="N54"/>
      <c r="O54"/>
      <c r="P54"/>
      <c r="Q54"/>
      <c r="R54"/>
    </row>
    <row r="55" spans="1:18" s="37" customFormat="1" x14ac:dyDescent="0.3">
      <c r="A55" s="34" t="s">
        <v>49</v>
      </c>
      <c r="B55" s="8" t="s">
        <v>189</v>
      </c>
      <c r="C55" s="34" t="s">
        <v>3</v>
      </c>
      <c r="D55" s="28">
        <v>10</v>
      </c>
      <c r="E55" s="29"/>
      <c r="F55" s="28">
        <v>0</v>
      </c>
      <c r="G55" s="28">
        <v>0</v>
      </c>
      <c r="H55" s="32">
        <v>15</v>
      </c>
      <c r="I55" s="39">
        <v>19000</v>
      </c>
      <c r="J55" s="39">
        <f t="shared" ref="J55:J56" si="7">+I55*H55</f>
        <v>285000</v>
      </c>
    </row>
    <row r="56" spans="1:18" s="37" customFormat="1" x14ac:dyDescent="0.3">
      <c r="A56" s="34" t="s">
        <v>50</v>
      </c>
      <c r="B56" s="8" t="s">
        <v>190</v>
      </c>
      <c r="C56" s="34" t="s">
        <v>3</v>
      </c>
      <c r="D56" s="28">
        <v>547.5</v>
      </c>
      <c r="E56" s="28"/>
      <c r="F56" s="28">
        <v>0</v>
      </c>
      <c r="G56" s="28">
        <v>0</v>
      </c>
      <c r="H56" s="32">
        <v>340</v>
      </c>
      <c r="I56" s="39">
        <v>5500</v>
      </c>
      <c r="J56" s="39">
        <f t="shared" si="7"/>
        <v>1870000</v>
      </c>
      <c r="K56" s="35"/>
      <c r="L56" s="35"/>
      <c r="M56" s="35"/>
      <c r="N56" s="35"/>
      <c r="O56" s="35"/>
      <c r="P56" s="35"/>
      <c r="Q56" s="35"/>
      <c r="R56" s="35"/>
    </row>
    <row r="57" spans="1:18" s="30" customFormat="1" hidden="1" x14ac:dyDescent="0.3">
      <c r="A57" s="8" t="s">
        <v>50</v>
      </c>
      <c r="B57" s="8" t="s">
        <v>190</v>
      </c>
      <c r="C57" s="8" t="s">
        <v>51</v>
      </c>
      <c r="D57" s="28">
        <v>96</v>
      </c>
      <c r="E57" s="28"/>
      <c r="F57" s="28">
        <v>0</v>
      </c>
      <c r="G57" s="28">
        <v>0</v>
      </c>
      <c r="H57" s="2">
        <v>0</v>
      </c>
      <c r="I57"/>
      <c r="J57"/>
      <c r="K57"/>
      <c r="L57"/>
      <c r="M57"/>
      <c r="N57"/>
      <c r="O57"/>
      <c r="P57"/>
      <c r="Q57"/>
      <c r="R57"/>
    </row>
    <row r="58" spans="1:18" s="37" customFormat="1" x14ac:dyDescent="0.3">
      <c r="A58" s="34" t="s">
        <v>52</v>
      </c>
      <c r="B58" s="8" t="s">
        <v>191</v>
      </c>
      <c r="C58" s="34" t="s">
        <v>34</v>
      </c>
      <c r="D58" s="28">
        <v>47.25</v>
      </c>
      <c r="E58" s="28"/>
      <c r="F58" s="28">
        <v>0</v>
      </c>
      <c r="G58" s="28">
        <v>0</v>
      </c>
      <c r="H58" s="32">
        <v>700</v>
      </c>
      <c r="I58" s="39">
        <v>1350</v>
      </c>
      <c r="J58" s="39">
        <f t="shared" ref="J58:J59" si="8">+I58*H58</f>
        <v>945000</v>
      </c>
      <c r="K58" s="35"/>
      <c r="L58" s="35"/>
      <c r="M58" s="35"/>
      <c r="N58" s="35"/>
      <c r="O58" s="35"/>
      <c r="P58" s="35"/>
      <c r="Q58" s="35"/>
      <c r="R58" s="35"/>
    </row>
    <row r="59" spans="1:18" s="37" customFormat="1" x14ac:dyDescent="0.3">
      <c r="A59" s="34" t="s">
        <v>53</v>
      </c>
      <c r="B59" s="8" t="s">
        <v>192</v>
      </c>
      <c r="C59" s="34" t="s">
        <v>3</v>
      </c>
      <c r="D59" s="28">
        <v>178.5</v>
      </c>
      <c r="E59" s="29"/>
      <c r="F59" s="28">
        <v>0</v>
      </c>
      <c r="G59" s="28">
        <v>0</v>
      </c>
      <c r="H59" s="32">
        <v>1050</v>
      </c>
      <c r="I59" s="39">
        <v>26000</v>
      </c>
      <c r="J59" s="39">
        <f t="shared" si="8"/>
        <v>27300000</v>
      </c>
    </row>
    <row r="60" spans="1:18" s="30" customFormat="1" hidden="1" x14ac:dyDescent="0.3">
      <c r="A60" s="8" t="s">
        <v>54</v>
      </c>
      <c r="B60" s="8" t="s">
        <v>193</v>
      </c>
      <c r="C60" s="8" t="s">
        <v>3</v>
      </c>
      <c r="D60" s="28">
        <v>29</v>
      </c>
      <c r="E60" s="28"/>
      <c r="F60" s="28">
        <v>0</v>
      </c>
      <c r="G60" s="28">
        <v>0</v>
      </c>
      <c r="H60" s="2">
        <v>0</v>
      </c>
      <c r="I60"/>
      <c r="J60"/>
      <c r="K60"/>
      <c r="L60"/>
      <c r="M60"/>
      <c r="N60"/>
      <c r="O60"/>
      <c r="P60"/>
      <c r="Q60"/>
      <c r="R60"/>
    </row>
    <row r="61" spans="1:18" s="37" customFormat="1" x14ac:dyDescent="0.3">
      <c r="A61" s="34" t="s">
        <v>55</v>
      </c>
      <c r="B61" s="8" t="s">
        <v>194</v>
      </c>
      <c r="C61" s="34" t="s">
        <v>3</v>
      </c>
      <c r="D61" s="28">
        <v>1115.9000000000001</v>
      </c>
      <c r="E61" s="28"/>
      <c r="F61" s="28">
        <v>0</v>
      </c>
      <c r="G61" s="28">
        <v>0</v>
      </c>
      <c r="H61" s="32">
        <v>510</v>
      </c>
      <c r="I61" s="39">
        <v>16000</v>
      </c>
      <c r="J61" s="39">
        <f t="shared" ref="J61:J62" si="9">+I61*H61</f>
        <v>8160000</v>
      </c>
      <c r="K61" s="35"/>
      <c r="L61" s="35"/>
      <c r="M61" s="35"/>
      <c r="N61" s="35"/>
      <c r="O61" s="35"/>
      <c r="P61" s="35"/>
      <c r="Q61" s="35"/>
      <c r="R61" s="35"/>
    </row>
    <row r="62" spans="1:18" s="37" customFormat="1" x14ac:dyDescent="0.3">
      <c r="A62" s="34" t="s">
        <v>56</v>
      </c>
      <c r="B62" s="8" t="s">
        <v>195</v>
      </c>
      <c r="C62" s="34" t="s">
        <v>3</v>
      </c>
      <c r="D62" s="28">
        <v>30</v>
      </c>
      <c r="E62" s="29"/>
      <c r="F62" s="28">
        <v>0</v>
      </c>
      <c r="G62" s="28">
        <v>0</v>
      </c>
      <c r="H62" s="32">
        <v>66</v>
      </c>
      <c r="I62" s="39">
        <v>24000</v>
      </c>
      <c r="J62" s="39">
        <f t="shared" si="9"/>
        <v>1584000</v>
      </c>
    </row>
    <row r="63" spans="1:18" s="30" customFormat="1" hidden="1" x14ac:dyDescent="0.3">
      <c r="A63" s="8" t="s">
        <v>57</v>
      </c>
      <c r="B63" s="8" t="e">
        <v>#N/A</v>
      </c>
      <c r="C63" s="8" t="s">
        <v>3</v>
      </c>
      <c r="D63" s="28">
        <v>0</v>
      </c>
      <c r="E63" s="29"/>
      <c r="F63" s="28">
        <v>0</v>
      </c>
      <c r="G63" s="28">
        <v>0</v>
      </c>
      <c r="H63" s="2">
        <v>0</v>
      </c>
    </row>
    <row r="64" spans="1:18" s="37" customFormat="1" x14ac:dyDescent="0.3">
      <c r="A64" s="34" t="s">
        <v>59</v>
      </c>
      <c r="B64" s="8" t="s">
        <v>196</v>
      </c>
      <c r="C64" s="34" t="s">
        <v>3</v>
      </c>
      <c r="D64" s="28">
        <v>798.75</v>
      </c>
      <c r="E64" s="28"/>
      <c r="F64" s="28">
        <v>0</v>
      </c>
      <c r="G64" s="28">
        <v>0</v>
      </c>
      <c r="H64" s="32">
        <v>590</v>
      </c>
      <c r="I64" s="39">
        <v>11500</v>
      </c>
      <c r="J64" s="39">
        <f>+I64*H64</f>
        <v>6785000</v>
      </c>
      <c r="K64" s="35"/>
      <c r="L64" s="35"/>
      <c r="M64" s="35"/>
      <c r="N64" s="35"/>
      <c r="O64" s="35"/>
      <c r="P64" s="35"/>
      <c r="Q64" s="35"/>
      <c r="R64" s="35"/>
    </row>
    <row r="65" spans="1:18" s="30" customFormat="1" hidden="1" x14ac:dyDescent="0.3">
      <c r="A65" s="8" t="s">
        <v>59</v>
      </c>
      <c r="B65" s="8" t="s">
        <v>196</v>
      </c>
      <c r="C65" s="8" t="s">
        <v>34</v>
      </c>
      <c r="D65" s="28">
        <v>60</v>
      </c>
      <c r="E65" s="28"/>
      <c r="F65" s="28">
        <v>0</v>
      </c>
      <c r="G65" s="28">
        <v>0</v>
      </c>
      <c r="H65" s="2">
        <v>0</v>
      </c>
      <c r="I65"/>
      <c r="J65"/>
      <c r="K65"/>
      <c r="L65"/>
      <c r="M65"/>
      <c r="N65"/>
      <c r="O65"/>
      <c r="P65"/>
      <c r="Q65"/>
      <c r="R65"/>
    </row>
    <row r="66" spans="1:18" s="37" customFormat="1" x14ac:dyDescent="0.3">
      <c r="A66" s="34" t="s">
        <v>60</v>
      </c>
      <c r="B66" s="8" t="s">
        <v>197</v>
      </c>
      <c r="C66" s="34" t="s">
        <v>34</v>
      </c>
      <c r="D66" s="28">
        <v>26.25</v>
      </c>
      <c r="E66" s="29"/>
      <c r="F66" s="28">
        <v>0</v>
      </c>
      <c r="G66" s="28">
        <v>0</v>
      </c>
      <c r="H66" s="32">
        <v>180</v>
      </c>
      <c r="I66" s="39">
        <v>6000</v>
      </c>
      <c r="J66" s="39">
        <f>+I66*H66</f>
        <v>1080000</v>
      </c>
    </row>
    <row r="67" spans="1:18" s="30" customFormat="1" hidden="1" x14ac:dyDescent="0.3">
      <c r="A67" s="8" t="s">
        <v>61</v>
      </c>
      <c r="B67" s="8" t="s">
        <v>198</v>
      </c>
      <c r="C67" s="8" t="s">
        <v>3</v>
      </c>
      <c r="D67" s="28">
        <v>63.2</v>
      </c>
      <c r="E67" s="29"/>
      <c r="F67" s="28">
        <v>0</v>
      </c>
      <c r="G67" s="28">
        <v>0</v>
      </c>
      <c r="H67" s="2">
        <v>0</v>
      </c>
    </row>
    <row r="68" spans="1:18" s="37" customFormat="1" x14ac:dyDescent="0.3">
      <c r="A68" s="34" t="s">
        <v>67</v>
      </c>
      <c r="B68" s="8" t="s">
        <v>199</v>
      </c>
      <c r="C68" s="34" t="s">
        <v>34</v>
      </c>
      <c r="D68" s="28">
        <v>30</v>
      </c>
      <c r="E68" s="29"/>
      <c r="F68" s="28">
        <v>0</v>
      </c>
      <c r="G68" s="28">
        <v>0</v>
      </c>
      <c r="H68" s="32">
        <v>18</v>
      </c>
      <c r="I68" s="39">
        <v>6000</v>
      </c>
      <c r="J68" s="39">
        <f>+I68*H68</f>
        <v>108000</v>
      </c>
    </row>
    <row r="69" spans="1:18" s="30" customFormat="1" hidden="1" x14ac:dyDescent="0.3">
      <c r="A69" s="8" t="s">
        <v>68</v>
      </c>
      <c r="B69" s="8" t="s">
        <v>200</v>
      </c>
      <c r="C69" s="8" t="s">
        <v>3</v>
      </c>
      <c r="D69" s="28">
        <v>13</v>
      </c>
      <c r="E69" s="29"/>
      <c r="F69" s="28">
        <v>0</v>
      </c>
      <c r="G69" s="28">
        <v>0</v>
      </c>
      <c r="H69" s="2">
        <v>0</v>
      </c>
    </row>
    <row r="70" spans="1:18" s="37" customFormat="1" x14ac:dyDescent="0.3">
      <c r="A70" s="34" t="s">
        <v>68</v>
      </c>
      <c r="B70" s="8" t="s">
        <v>200</v>
      </c>
      <c r="C70" s="34" t="s">
        <v>34</v>
      </c>
      <c r="D70" s="28">
        <v>39</v>
      </c>
      <c r="E70" s="29"/>
      <c r="F70" s="28">
        <v>0</v>
      </c>
      <c r="G70" s="28">
        <v>0</v>
      </c>
      <c r="H70" s="32">
        <v>25</v>
      </c>
      <c r="I70" s="39">
        <v>8500</v>
      </c>
      <c r="J70" s="39">
        <f t="shared" ref="J70:J75" si="10">+I70*H70</f>
        <v>212500</v>
      </c>
    </row>
    <row r="71" spans="1:18" s="37" customFormat="1" x14ac:dyDescent="0.3">
      <c r="A71" s="34" t="s">
        <v>69</v>
      </c>
      <c r="B71" s="8" t="s">
        <v>201</v>
      </c>
      <c r="C71" s="34" t="s">
        <v>3</v>
      </c>
      <c r="D71" s="28">
        <v>0.5</v>
      </c>
      <c r="E71" s="29"/>
      <c r="F71" s="28">
        <v>0</v>
      </c>
      <c r="G71" s="28">
        <v>0</v>
      </c>
      <c r="H71" s="32">
        <v>1</v>
      </c>
      <c r="I71" s="39">
        <v>80000</v>
      </c>
      <c r="J71" s="39">
        <f t="shared" si="10"/>
        <v>80000</v>
      </c>
    </row>
    <row r="72" spans="1:18" s="37" customFormat="1" x14ac:dyDescent="0.3">
      <c r="A72" s="34" t="s">
        <v>70</v>
      </c>
      <c r="B72" s="8" t="s">
        <v>202</v>
      </c>
      <c r="C72" s="34" t="s">
        <v>3</v>
      </c>
      <c r="D72" s="28">
        <v>0.5</v>
      </c>
      <c r="E72" s="29"/>
      <c r="F72" s="28">
        <v>0</v>
      </c>
      <c r="G72" s="28">
        <v>0</v>
      </c>
      <c r="H72" s="32">
        <v>0.5</v>
      </c>
      <c r="I72" s="39">
        <v>70000</v>
      </c>
      <c r="J72" s="39">
        <f t="shared" si="10"/>
        <v>35000</v>
      </c>
    </row>
    <row r="73" spans="1:18" s="37" customFormat="1" x14ac:dyDescent="0.3">
      <c r="A73" s="34" t="s">
        <v>71</v>
      </c>
      <c r="B73" s="8" t="s">
        <v>203</v>
      </c>
      <c r="C73" s="34" t="s">
        <v>3</v>
      </c>
      <c r="D73" s="28">
        <v>0.5</v>
      </c>
      <c r="E73" s="29"/>
      <c r="F73" s="28">
        <v>0</v>
      </c>
      <c r="G73" s="28">
        <v>0</v>
      </c>
      <c r="H73" s="32">
        <v>0.5</v>
      </c>
      <c r="I73" s="39">
        <v>70000</v>
      </c>
      <c r="J73" s="39">
        <f t="shared" si="10"/>
        <v>35000</v>
      </c>
    </row>
    <row r="74" spans="1:18" s="37" customFormat="1" x14ac:dyDescent="0.3">
      <c r="A74" s="34" t="s">
        <v>64</v>
      </c>
      <c r="B74" s="8" t="s">
        <v>204</v>
      </c>
      <c r="C74" s="34" t="s">
        <v>3</v>
      </c>
      <c r="D74" s="28">
        <v>435</v>
      </c>
      <c r="E74" s="28"/>
      <c r="F74" s="28">
        <v>0</v>
      </c>
      <c r="G74" s="28">
        <v>0</v>
      </c>
      <c r="H74" s="32">
        <v>40</v>
      </c>
      <c r="I74" s="39">
        <v>7500</v>
      </c>
      <c r="J74" s="39">
        <f t="shared" si="10"/>
        <v>300000</v>
      </c>
      <c r="K74" s="35"/>
      <c r="L74" s="35"/>
      <c r="M74" s="35"/>
      <c r="N74" s="35"/>
      <c r="O74" s="35"/>
      <c r="P74" s="35"/>
      <c r="Q74" s="35"/>
      <c r="R74" s="35"/>
    </row>
    <row r="75" spans="1:18" s="37" customFormat="1" x14ac:dyDescent="0.3">
      <c r="A75" s="34" t="s">
        <v>64</v>
      </c>
      <c r="B75" s="8" t="s">
        <v>204</v>
      </c>
      <c r="C75" s="34" t="s">
        <v>17</v>
      </c>
      <c r="D75" s="28">
        <v>708</v>
      </c>
      <c r="E75" s="28"/>
      <c r="F75" s="28">
        <v>0</v>
      </c>
      <c r="G75" s="28">
        <v>0</v>
      </c>
      <c r="H75" s="32">
        <v>662</v>
      </c>
      <c r="I75" s="39">
        <v>7500</v>
      </c>
      <c r="J75" s="39">
        <f t="shared" si="10"/>
        <v>4965000</v>
      </c>
      <c r="K75" s="35"/>
      <c r="L75" s="35"/>
      <c r="M75" s="35"/>
      <c r="N75" s="35"/>
      <c r="O75" s="35"/>
      <c r="P75" s="35"/>
      <c r="Q75" s="35"/>
      <c r="R75" s="35"/>
    </row>
    <row r="76" spans="1:18" s="30" customFormat="1" hidden="1" x14ac:dyDescent="0.3">
      <c r="A76" s="8" t="s">
        <v>65</v>
      </c>
      <c r="B76" s="8" t="s">
        <v>205</v>
      </c>
      <c r="C76" s="8" t="s">
        <v>3</v>
      </c>
      <c r="D76" s="28">
        <v>3</v>
      </c>
      <c r="E76" s="29"/>
      <c r="F76" s="28">
        <v>0</v>
      </c>
      <c r="G76" s="28">
        <v>0</v>
      </c>
      <c r="H76" s="2">
        <v>0</v>
      </c>
    </row>
    <row r="77" spans="1:18" s="37" customFormat="1" x14ac:dyDescent="0.3">
      <c r="A77" s="34" t="s">
        <v>66</v>
      </c>
      <c r="B77" s="8" t="s">
        <v>206</v>
      </c>
      <c r="C77" s="34" t="s">
        <v>3</v>
      </c>
      <c r="D77" s="28">
        <v>24</v>
      </c>
      <c r="E77" s="28"/>
      <c r="F77" s="28">
        <v>0</v>
      </c>
      <c r="G77" s="28">
        <v>0</v>
      </c>
      <c r="H77" s="32">
        <v>33</v>
      </c>
      <c r="I77" s="39">
        <v>14000</v>
      </c>
      <c r="J77" s="39">
        <f t="shared" ref="J77:J78" si="11">+I77*H77</f>
        <v>462000</v>
      </c>
      <c r="K77" s="35"/>
      <c r="L77" s="35"/>
      <c r="M77" s="35"/>
      <c r="N77" s="35"/>
      <c r="O77" s="35"/>
      <c r="P77" s="35"/>
      <c r="Q77" s="35"/>
      <c r="R77" s="35"/>
    </row>
    <row r="78" spans="1:18" s="37" customFormat="1" x14ac:dyDescent="0.3">
      <c r="A78" s="34" t="s">
        <v>72</v>
      </c>
      <c r="B78" s="8" t="s">
        <v>207</v>
      </c>
      <c r="C78" s="34" t="s">
        <v>3</v>
      </c>
      <c r="D78" s="28">
        <v>41</v>
      </c>
      <c r="E78" s="29"/>
      <c r="F78" s="28">
        <v>0</v>
      </c>
      <c r="G78" s="28">
        <v>0</v>
      </c>
      <c r="H78" s="32">
        <v>20</v>
      </c>
      <c r="I78" s="39">
        <v>9000</v>
      </c>
      <c r="J78" s="39">
        <f t="shared" si="11"/>
        <v>180000</v>
      </c>
    </row>
    <row r="79" spans="1:18" s="30" customFormat="1" hidden="1" x14ac:dyDescent="0.3">
      <c r="A79" s="8" t="s">
        <v>72</v>
      </c>
      <c r="B79" s="8" t="s">
        <v>207</v>
      </c>
      <c r="C79" s="8" t="s">
        <v>19</v>
      </c>
      <c r="D79" s="28">
        <v>133</v>
      </c>
      <c r="E79" s="29"/>
      <c r="F79" s="28">
        <v>0</v>
      </c>
      <c r="G79" s="28">
        <v>0</v>
      </c>
      <c r="H79" s="2">
        <v>0</v>
      </c>
    </row>
    <row r="80" spans="1:18" s="30" customFormat="1" hidden="1" x14ac:dyDescent="0.3">
      <c r="A80" s="8" t="s">
        <v>73</v>
      </c>
      <c r="B80" s="8" t="s">
        <v>208</v>
      </c>
      <c r="C80" s="8" t="s">
        <v>3</v>
      </c>
      <c r="D80" s="28">
        <v>0</v>
      </c>
      <c r="E80" s="29"/>
      <c r="F80" s="28">
        <v>0</v>
      </c>
      <c r="G80" s="28">
        <v>0</v>
      </c>
      <c r="H80" s="2">
        <v>0</v>
      </c>
    </row>
    <row r="81" spans="1:18" s="30" customFormat="1" hidden="1" x14ac:dyDescent="0.3">
      <c r="A81" s="8" t="s">
        <v>74</v>
      </c>
      <c r="B81" s="8" t="s">
        <v>209</v>
      </c>
      <c r="C81" s="8" t="s">
        <v>34</v>
      </c>
      <c r="D81" s="28">
        <v>7</v>
      </c>
      <c r="E81" s="29"/>
      <c r="F81" s="28">
        <v>0</v>
      </c>
      <c r="G81" s="28">
        <v>0</v>
      </c>
      <c r="H81" s="2">
        <v>0</v>
      </c>
    </row>
    <row r="82" spans="1:18" s="37" customFormat="1" x14ac:dyDescent="0.3">
      <c r="A82" s="34" t="s">
        <v>75</v>
      </c>
      <c r="B82" s="8" t="s">
        <v>210</v>
      </c>
      <c r="C82" s="34" t="s">
        <v>3</v>
      </c>
      <c r="D82" s="28">
        <v>12</v>
      </c>
      <c r="E82" s="29"/>
      <c r="F82" s="28">
        <v>0</v>
      </c>
      <c r="G82" s="28">
        <v>0</v>
      </c>
      <c r="H82" s="32">
        <v>2</v>
      </c>
      <c r="I82" s="39">
        <v>14000</v>
      </c>
      <c r="J82" s="39">
        <f t="shared" ref="J82:J83" si="12">+I82*H82</f>
        <v>28000</v>
      </c>
    </row>
    <row r="83" spans="1:18" s="37" customFormat="1" x14ac:dyDescent="0.3">
      <c r="A83" s="34" t="s">
        <v>76</v>
      </c>
      <c r="B83" s="8" t="s">
        <v>211</v>
      </c>
      <c r="C83" s="34" t="s">
        <v>3</v>
      </c>
      <c r="D83" s="28">
        <v>0</v>
      </c>
      <c r="E83" s="29"/>
      <c r="F83" s="28">
        <v>0</v>
      </c>
      <c r="G83" s="28">
        <v>0</v>
      </c>
      <c r="H83" s="32">
        <v>224</v>
      </c>
      <c r="I83" s="39">
        <v>77000</v>
      </c>
      <c r="J83" s="39">
        <f t="shared" si="12"/>
        <v>17248000</v>
      </c>
    </row>
    <row r="84" spans="1:18" s="30" customFormat="1" hidden="1" x14ac:dyDescent="0.3">
      <c r="A84" s="8" t="s">
        <v>76</v>
      </c>
      <c r="B84" s="8" t="s">
        <v>211</v>
      </c>
      <c r="C84" s="8" t="s">
        <v>78</v>
      </c>
      <c r="D84" s="28">
        <v>250</v>
      </c>
      <c r="E84" s="29"/>
      <c r="F84" s="28">
        <v>0</v>
      </c>
      <c r="G84" s="28">
        <v>0</v>
      </c>
      <c r="H84" s="2">
        <v>0</v>
      </c>
    </row>
    <row r="85" spans="1:18" s="30" customFormat="1" hidden="1" x14ac:dyDescent="0.3">
      <c r="A85" s="8" t="s">
        <v>76</v>
      </c>
      <c r="B85" s="8" t="s">
        <v>211</v>
      </c>
      <c r="C85" s="8" t="s">
        <v>77</v>
      </c>
      <c r="D85" s="28">
        <v>150</v>
      </c>
      <c r="E85" s="29"/>
      <c r="F85" s="28">
        <v>0</v>
      </c>
      <c r="G85" s="28">
        <v>0</v>
      </c>
      <c r="H85" s="2">
        <v>0</v>
      </c>
    </row>
    <row r="86" spans="1:18" s="30" customFormat="1" hidden="1" x14ac:dyDescent="0.3">
      <c r="A86" s="8" t="s">
        <v>79</v>
      </c>
      <c r="B86" s="8" t="s">
        <v>212</v>
      </c>
      <c r="C86" s="8" t="s">
        <v>17</v>
      </c>
      <c r="D86" s="28">
        <v>57.75</v>
      </c>
      <c r="E86" s="29"/>
      <c r="F86" s="28">
        <v>0</v>
      </c>
      <c r="G86" s="28">
        <v>0</v>
      </c>
      <c r="H86" s="2">
        <v>0</v>
      </c>
    </row>
    <row r="87" spans="1:18" s="30" customFormat="1" hidden="1" x14ac:dyDescent="0.3">
      <c r="A87" s="8" t="s">
        <v>80</v>
      </c>
      <c r="B87" s="8" t="s">
        <v>213</v>
      </c>
      <c r="C87" s="8" t="s">
        <v>29</v>
      </c>
      <c r="D87" s="28">
        <v>22</v>
      </c>
      <c r="E87" s="29"/>
      <c r="F87" s="28">
        <v>0</v>
      </c>
      <c r="G87" s="28">
        <v>0</v>
      </c>
      <c r="H87" s="2">
        <v>0</v>
      </c>
    </row>
    <row r="88" spans="1:18" s="37" customFormat="1" x14ac:dyDescent="0.3">
      <c r="A88" s="34" t="s">
        <v>80</v>
      </c>
      <c r="B88" s="8" t="s">
        <v>213</v>
      </c>
      <c r="C88" s="34" t="s">
        <v>3</v>
      </c>
      <c r="D88" s="28">
        <v>0</v>
      </c>
      <c r="E88" s="29"/>
      <c r="F88" s="28">
        <v>0</v>
      </c>
      <c r="G88" s="28">
        <v>0</v>
      </c>
      <c r="H88" s="32">
        <v>4</v>
      </c>
      <c r="I88" s="39">
        <v>28000</v>
      </c>
      <c r="J88" s="39">
        <f t="shared" ref="J88:J89" si="13">+I88*H88</f>
        <v>112000</v>
      </c>
    </row>
    <row r="89" spans="1:18" s="37" customFormat="1" x14ac:dyDescent="0.3">
      <c r="A89" s="34" t="s">
        <v>81</v>
      </c>
      <c r="B89" s="8" t="s">
        <v>214</v>
      </c>
      <c r="C89" s="34" t="s">
        <v>3</v>
      </c>
      <c r="D89" s="28">
        <v>23.3</v>
      </c>
      <c r="E89" s="28"/>
      <c r="F89" s="28">
        <v>0</v>
      </c>
      <c r="G89" s="28">
        <v>0</v>
      </c>
      <c r="H89" s="32">
        <v>150</v>
      </c>
      <c r="I89" s="39">
        <v>24000</v>
      </c>
      <c r="J89" s="39">
        <f t="shared" si="13"/>
        <v>3600000</v>
      </c>
      <c r="K89" s="35"/>
      <c r="L89" s="35"/>
      <c r="M89" s="35"/>
      <c r="N89" s="35"/>
      <c r="O89" s="35"/>
      <c r="P89" s="35"/>
      <c r="Q89" s="35"/>
      <c r="R89" s="35"/>
    </row>
    <row r="90" spans="1:18" s="30" customFormat="1" hidden="1" x14ac:dyDescent="0.3">
      <c r="A90" s="8" t="s">
        <v>81</v>
      </c>
      <c r="B90" s="8" t="s">
        <v>214</v>
      </c>
      <c r="C90" s="8" t="s">
        <v>9</v>
      </c>
      <c r="D90" s="28">
        <v>128.75</v>
      </c>
      <c r="E90" s="28"/>
      <c r="F90" s="28">
        <v>0</v>
      </c>
      <c r="G90" s="28">
        <v>0</v>
      </c>
      <c r="H90" s="2">
        <v>0</v>
      </c>
      <c r="I90"/>
      <c r="J90"/>
      <c r="K90"/>
      <c r="L90"/>
      <c r="M90"/>
      <c r="N90"/>
      <c r="O90"/>
      <c r="P90"/>
      <c r="Q90"/>
      <c r="R90"/>
    </row>
    <row r="91" spans="1:18" s="37" customFormat="1" x14ac:dyDescent="0.3">
      <c r="A91" s="34" t="s">
        <v>108</v>
      </c>
      <c r="B91" s="8" t="s">
        <v>215</v>
      </c>
      <c r="C91" s="34" t="s">
        <v>3</v>
      </c>
      <c r="D91" s="28">
        <v>0</v>
      </c>
      <c r="E91" s="29"/>
      <c r="F91" s="28">
        <v>0</v>
      </c>
      <c r="G91" s="28">
        <v>0</v>
      </c>
      <c r="H91" s="32">
        <v>15</v>
      </c>
      <c r="I91" s="39">
        <v>19000</v>
      </c>
      <c r="J91" s="39">
        <f t="shared" ref="J91:J92" si="14">+I91*H91</f>
        <v>285000</v>
      </c>
    </row>
    <row r="92" spans="1:18" s="37" customFormat="1" x14ac:dyDescent="0.3">
      <c r="A92" s="34" t="s">
        <v>82</v>
      </c>
      <c r="B92" s="8" t="s">
        <v>216</v>
      </c>
      <c r="C92" s="34" t="s">
        <v>3</v>
      </c>
      <c r="D92" s="28">
        <v>16.3</v>
      </c>
      <c r="E92" s="29"/>
      <c r="F92" s="28">
        <v>0</v>
      </c>
      <c r="G92" s="28">
        <v>0</v>
      </c>
      <c r="H92" s="32">
        <v>50</v>
      </c>
      <c r="I92" s="39">
        <v>22000</v>
      </c>
      <c r="J92" s="39">
        <f t="shared" si="14"/>
        <v>1100000</v>
      </c>
      <c r="K92" s="35"/>
      <c r="L92" s="35"/>
      <c r="M92" s="35"/>
      <c r="N92" s="35"/>
      <c r="O92" s="35"/>
      <c r="P92" s="35"/>
      <c r="Q92" s="35"/>
      <c r="R92" s="35"/>
    </row>
    <row r="93" spans="1:18" s="30" customFormat="1" hidden="1" x14ac:dyDescent="0.3">
      <c r="A93" s="8" t="s">
        <v>82</v>
      </c>
      <c r="B93" s="8" t="s">
        <v>216</v>
      </c>
      <c r="C93" s="8" t="s">
        <v>9</v>
      </c>
      <c r="D93" s="28">
        <v>89.75</v>
      </c>
      <c r="E93" s="29"/>
      <c r="F93" s="28">
        <v>0</v>
      </c>
      <c r="G93" s="28">
        <v>0</v>
      </c>
      <c r="H93" s="2">
        <v>0</v>
      </c>
      <c r="I93"/>
      <c r="J93"/>
      <c r="K93"/>
      <c r="L93"/>
      <c r="M93"/>
      <c r="N93"/>
      <c r="O93"/>
      <c r="P93"/>
      <c r="Q93"/>
      <c r="R93"/>
    </row>
    <row r="94" spans="1:18" s="37" customFormat="1" x14ac:dyDescent="0.3">
      <c r="A94" s="34" t="s">
        <v>109</v>
      </c>
      <c r="B94" s="8" t="s">
        <v>217</v>
      </c>
      <c r="C94" s="34" t="s">
        <v>3</v>
      </c>
      <c r="D94" s="28">
        <v>0</v>
      </c>
      <c r="E94" s="29"/>
      <c r="F94" s="28">
        <v>0</v>
      </c>
      <c r="G94" s="28">
        <v>0</v>
      </c>
      <c r="H94" s="32">
        <v>47</v>
      </c>
      <c r="I94" s="39">
        <v>17000</v>
      </c>
      <c r="J94" s="39">
        <f t="shared" ref="J94:J95" si="15">+I94*H94</f>
        <v>799000</v>
      </c>
    </row>
    <row r="95" spans="1:18" s="37" customFormat="1" x14ac:dyDescent="0.3">
      <c r="A95" s="34" t="s">
        <v>83</v>
      </c>
      <c r="B95" s="8" t="s">
        <v>218</v>
      </c>
      <c r="C95" s="34" t="s">
        <v>3</v>
      </c>
      <c r="D95" s="28">
        <v>15.2</v>
      </c>
      <c r="E95" s="29"/>
      <c r="F95" s="28">
        <v>0</v>
      </c>
      <c r="G95" s="28">
        <v>0</v>
      </c>
      <c r="H95" s="32">
        <v>75</v>
      </c>
      <c r="I95" s="39">
        <v>28000</v>
      </c>
      <c r="J95" s="39">
        <f t="shared" si="15"/>
        <v>2100000</v>
      </c>
    </row>
    <row r="96" spans="1:18" s="30" customFormat="1" hidden="1" x14ac:dyDescent="0.3">
      <c r="A96" s="8" t="s">
        <v>83</v>
      </c>
      <c r="B96" s="8" t="s">
        <v>218</v>
      </c>
      <c r="C96" s="8" t="s">
        <v>9</v>
      </c>
      <c r="D96" s="28">
        <v>75.5</v>
      </c>
      <c r="E96" s="29"/>
      <c r="F96" s="28">
        <v>0</v>
      </c>
      <c r="G96" s="28">
        <v>0</v>
      </c>
      <c r="H96" s="2">
        <v>0</v>
      </c>
    </row>
    <row r="97" spans="1:10" s="37" customFormat="1" x14ac:dyDescent="0.3">
      <c r="A97" s="34" t="s">
        <v>84</v>
      </c>
      <c r="B97" s="8" t="s">
        <v>219</v>
      </c>
      <c r="C97" s="34" t="s">
        <v>34</v>
      </c>
      <c r="D97" s="28">
        <v>93.5</v>
      </c>
      <c r="E97" s="29"/>
      <c r="F97" s="28">
        <v>0</v>
      </c>
      <c r="G97" s="28">
        <v>0</v>
      </c>
      <c r="H97" s="32">
        <v>125</v>
      </c>
      <c r="I97" s="39">
        <v>16000</v>
      </c>
      <c r="J97" s="39">
        <f>+I97*H97</f>
        <v>2000000</v>
      </c>
    </row>
    <row r="98" spans="1:10" s="30" customFormat="1" hidden="1" x14ac:dyDescent="0.3">
      <c r="A98" s="8" t="s">
        <v>85</v>
      </c>
      <c r="B98" s="8" t="s">
        <v>220</v>
      </c>
      <c r="C98" s="8" t="s">
        <v>34</v>
      </c>
      <c r="D98" s="28">
        <v>5.25</v>
      </c>
      <c r="E98" s="29"/>
      <c r="F98" s="28">
        <v>0</v>
      </c>
      <c r="G98" s="28">
        <v>0</v>
      </c>
      <c r="H98" s="2">
        <v>0</v>
      </c>
    </row>
    <row r="99" spans="1:10" s="37" customFormat="1" x14ac:dyDescent="0.3">
      <c r="A99" s="34" t="s">
        <v>86</v>
      </c>
      <c r="B99" s="8">
        <v>0</v>
      </c>
      <c r="C99" s="34" t="s">
        <v>9</v>
      </c>
      <c r="D99" s="28">
        <v>0</v>
      </c>
      <c r="E99" s="29"/>
      <c r="F99" s="28">
        <v>0</v>
      </c>
      <c r="G99" s="28">
        <v>0</v>
      </c>
      <c r="H99" s="32">
        <v>237</v>
      </c>
      <c r="I99" s="39">
        <v>10000</v>
      </c>
      <c r="J99" s="39">
        <f t="shared" ref="J99:J100" si="16">+I99*H99</f>
        <v>2370000</v>
      </c>
    </row>
    <row r="100" spans="1:10" s="37" customFormat="1" x14ac:dyDescent="0.3">
      <c r="A100" s="34" t="s">
        <v>87</v>
      </c>
      <c r="B100" s="8">
        <v>0</v>
      </c>
      <c r="C100" s="34" t="s">
        <v>9</v>
      </c>
      <c r="D100" s="28">
        <v>0</v>
      </c>
      <c r="E100" s="29"/>
      <c r="F100" s="28">
        <v>0</v>
      </c>
      <c r="G100" s="28">
        <v>0</v>
      </c>
      <c r="H100" s="32">
        <v>353</v>
      </c>
      <c r="I100" s="39">
        <v>11361</v>
      </c>
      <c r="J100" s="39">
        <f t="shared" si="16"/>
        <v>4010433</v>
      </c>
    </row>
    <row r="101" spans="1:10" s="30" customFormat="1" hidden="1" x14ac:dyDescent="0.3">
      <c r="A101" s="8" t="s">
        <v>88</v>
      </c>
      <c r="B101" s="8">
        <v>0</v>
      </c>
      <c r="C101" s="8" t="s">
        <v>3</v>
      </c>
      <c r="D101" s="28">
        <v>0</v>
      </c>
      <c r="E101" s="29"/>
      <c r="F101" s="28">
        <v>0</v>
      </c>
      <c r="G101" s="28">
        <v>0</v>
      </c>
      <c r="H101" s="2">
        <v>0</v>
      </c>
    </row>
    <row r="102" spans="1:10" s="37" customFormat="1" x14ac:dyDescent="0.3">
      <c r="A102" s="34" t="s">
        <v>89</v>
      </c>
      <c r="B102" s="8" t="s">
        <v>221</v>
      </c>
      <c r="C102" s="34" t="s">
        <v>3</v>
      </c>
      <c r="D102" s="28">
        <v>11</v>
      </c>
      <c r="E102" s="29"/>
      <c r="F102" s="28">
        <v>0</v>
      </c>
      <c r="G102" s="28">
        <v>0</v>
      </c>
      <c r="H102" s="32">
        <v>13</v>
      </c>
      <c r="I102" s="39">
        <v>18000</v>
      </c>
      <c r="J102" s="39">
        <f t="shared" ref="J102:J104" si="17">+I102*H102</f>
        <v>234000</v>
      </c>
    </row>
    <row r="103" spans="1:10" s="37" customFormat="1" x14ac:dyDescent="0.3">
      <c r="A103" s="34" t="s">
        <v>90</v>
      </c>
      <c r="B103" s="8" t="s">
        <v>222</v>
      </c>
      <c r="C103" s="34" t="s">
        <v>3</v>
      </c>
      <c r="D103" s="28">
        <v>200.39999999999998</v>
      </c>
      <c r="E103" s="29"/>
      <c r="F103" s="28">
        <v>0</v>
      </c>
      <c r="G103" s="28">
        <v>0</v>
      </c>
      <c r="H103" s="32">
        <v>40</v>
      </c>
      <c r="I103" s="39">
        <v>7000</v>
      </c>
      <c r="J103" s="39">
        <f t="shared" si="17"/>
        <v>280000</v>
      </c>
    </row>
    <row r="104" spans="1:10" s="37" customFormat="1" x14ac:dyDescent="0.3">
      <c r="A104" s="34" t="s">
        <v>91</v>
      </c>
      <c r="B104" s="8" t="s">
        <v>223</v>
      </c>
      <c r="C104" s="34" t="s">
        <v>3</v>
      </c>
      <c r="D104" s="28">
        <v>9</v>
      </c>
      <c r="E104" s="29"/>
      <c r="F104" s="28">
        <v>0</v>
      </c>
      <c r="G104" s="28">
        <v>0</v>
      </c>
      <c r="H104" s="32">
        <v>18</v>
      </c>
      <c r="I104" s="39">
        <v>16000</v>
      </c>
      <c r="J104" s="39">
        <f t="shared" si="17"/>
        <v>288000</v>
      </c>
    </row>
    <row r="105" spans="1:10" s="30" customFormat="1" hidden="1" x14ac:dyDescent="0.3">
      <c r="A105" s="8" t="s">
        <v>92</v>
      </c>
      <c r="B105" s="8" t="s">
        <v>224</v>
      </c>
      <c r="C105" s="8" t="s">
        <v>3</v>
      </c>
      <c r="D105" s="28">
        <v>23</v>
      </c>
      <c r="E105" s="29"/>
      <c r="F105" s="28">
        <v>0</v>
      </c>
      <c r="G105" s="28">
        <v>0</v>
      </c>
      <c r="H105" s="2">
        <v>0</v>
      </c>
    </row>
    <row r="106" spans="1:10" s="30" customFormat="1" hidden="1" x14ac:dyDescent="0.3">
      <c r="A106" s="8" t="s">
        <v>93</v>
      </c>
      <c r="B106" s="8" t="s">
        <v>225</v>
      </c>
      <c r="C106" s="8" t="s">
        <v>19</v>
      </c>
      <c r="D106" s="28">
        <v>296.75</v>
      </c>
      <c r="E106" s="29"/>
      <c r="F106" s="28">
        <v>0</v>
      </c>
      <c r="G106" s="28">
        <v>0</v>
      </c>
      <c r="H106" s="2">
        <v>0</v>
      </c>
    </row>
    <row r="107" spans="1:10" s="30" customFormat="1" hidden="1" x14ac:dyDescent="0.3">
      <c r="A107" s="8" t="s">
        <v>94</v>
      </c>
      <c r="B107" s="8" t="s">
        <v>226</v>
      </c>
      <c r="C107" s="8" t="s">
        <v>3</v>
      </c>
      <c r="D107" s="28">
        <v>14</v>
      </c>
      <c r="E107" s="29"/>
      <c r="F107" s="28">
        <v>0</v>
      </c>
      <c r="G107" s="28">
        <v>0</v>
      </c>
      <c r="H107" s="2">
        <v>0</v>
      </c>
    </row>
    <row r="108" spans="1:10" s="30" customFormat="1" hidden="1" x14ac:dyDescent="0.3">
      <c r="A108" s="8" t="s">
        <v>95</v>
      </c>
      <c r="B108" s="8" t="s">
        <v>227</v>
      </c>
      <c r="C108" s="8" t="s">
        <v>19</v>
      </c>
      <c r="D108" s="28">
        <v>50.55</v>
      </c>
      <c r="E108" s="29"/>
      <c r="F108" s="28">
        <v>0</v>
      </c>
      <c r="G108" s="28">
        <v>0</v>
      </c>
      <c r="H108" s="2">
        <v>0</v>
      </c>
    </row>
    <row r="109" spans="1:10" s="30" customFormat="1" hidden="1" x14ac:dyDescent="0.3">
      <c r="A109" s="8" t="s">
        <v>96</v>
      </c>
      <c r="B109" s="8" t="s">
        <v>228</v>
      </c>
      <c r="C109" s="8" t="s">
        <v>3</v>
      </c>
      <c r="D109" s="28">
        <v>0</v>
      </c>
      <c r="E109" s="29"/>
      <c r="F109" s="28">
        <v>0</v>
      </c>
      <c r="G109" s="28">
        <v>0</v>
      </c>
      <c r="H109" s="2">
        <v>0</v>
      </c>
    </row>
    <row r="110" spans="1:10" s="30" customFormat="1" hidden="1" x14ac:dyDescent="0.3">
      <c r="A110" s="8" t="s">
        <v>97</v>
      </c>
      <c r="B110" s="8" t="s">
        <v>229</v>
      </c>
      <c r="C110" s="8" t="s">
        <v>3</v>
      </c>
      <c r="D110" s="28">
        <v>13</v>
      </c>
      <c r="E110" s="29"/>
      <c r="F110" s="28">
        <v>0</v>
      </c>
      <c r="G110" s="28">
        <v>0</v>
      </c>
      <c r="H110" s="2">
        <v>0</v>
      </c>
    </row>
    <row r="111" spans="1:10" s="37" customFormat="1" x14ac:dyDescent="0.3">
      <c r="A111" s="34" t="s">
        <v>98</v>
      </c>
      <c r="B111" s="8" t="s">
        <v>230</v>
      </c>
      <c r="C111" s="34" t="s">
        <v>19</v>
      </c>
      <c r="D111" s="28">
        <v>924</v>
      </c>
      <c r="E111" s="29"/>
      <c r="F111" s="28">
        <v>0</v>
      </c>
      <c r="G111" s="28">
        <v>0</v>
      </c>
      <c r="H111" s="32">
        <v>33</v>
      </c>
      <c r="I111" s="39">
        <v>6800</v>
      </c>
      <c r="J111" s="39">
        <f>+I111*H111</f>
        <v>224400</v>
      </c>
    </row>
    <row r="112" spans="1:10" s="37" customFormat="1" x14ac:dyDescent="0.3">
      <c r="A112" s="41" t="e">
        <v>#N/A</v>
      </c>
      <c r="B112" s="8" t="e">
        <v>#N/A</v>
      </c>
      <c r="C112" s="41">
        <v>0</v>
      </c>
      <c r="D112" s="28">
        <v>14708.424999999999</v>
      </c>
      <c r="E112" s="29"/>
      <c r="F112" s="28">
        <v>0</v>
      </c>
      <c r="G112" s="28">
        <v>0</v>
      </c>
      <c r="H112" s="42">
        <v>8742</v>
      </c>
      <c r="I112" s="43"/>
      <c r="J112" s="43">
        <f>SUBTOTAL(9,J2:J111)</f>
        <v>110926833</v>
      </c>
    </row>
  </sheetData>
  <autoFilter ref="A1:CT111" xr:uid="{00000000-0009-0000-0000-000015000000}">
    <filterColumn colId="7">
      <filters>
        <filter val="1"/>
        <filter val="1,050"/>
        <filter val="125"/>
        <filter val="13"/>
        <filter val="15"/>
        <filter val="150"/>
        <filter val="18"/>
        <filter val="180"/>
        <filter val="19"/>
        <filter val="2"/>
        <filter val="20"/>
        <filter val="22"/>
        <filter val="224"/>
        <filter val="237"/>
        <filter val="25"/>
        <filter val="26"/>
        <filter val="260"/>
        <filter val="290"/>
        <filter val="3"/>
        <filter val="33"/>
        <filter val="340"/>
        <filter val="35"/>
        <filter val="350"/>
        <filter val="353"/>
        <filter val="4"/>
        <filter val="40"/>
        <filter val="400"/>
        <filter val="41"/>
        <filter val="46"/>
        <filter val="47"/>
        <filter val="5"/>
        <filter val="50"/>
        <filter val="510"/>
        <filter val="590"/>
        <filter val="610"/>
        <filter val="66"/>
        <filter val="662"/>
        <filter val="700"/>
        <filter val="718"/>
        <filter val="75"/>
        <filter val="9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E118"/>
  <sheetViews>
    <sheetView topLeftCell="A69" workbookViewId="0">
      <selection activeCell="D3" sqref="D3"/>
    </sheetView>
  </sheetViews>
  <sheetFormatPr defaultRowHeight="14.4" x14ac:dyDescent="0.3"/>
  <cols>
    <col min="1" max="1" width="26.33203125" style="48" customWidth="1"/>
    <col min="2" max="3" width="8.88671875" style="48"/>
    <col min="4" max="4" width="12.88671875" style="48" customWidth="1"/>
    <col min="5" max="5" width="19.109375" style="48" customWidth="1"/>
    <col min="6" max="16384" width="8.88671875" style="48"/>
  </cols>
  <sheetData>
    <row r="1" spans="1:5" x14ac:dyDescent="0.3">
      <c r="A1" s="48" t="s">
        <v>234</v>
      </c>
    </row>
    <row r="2" spans="1:5" ht="58.8" customHeight="1" x14ac:dyDescent="0.3">
      <c r="A2" s="49" t="s">
        <v>0</v>
      </c>
      <c r="B2" s="49" t="s">
        <v>1</v>
      </c>
      <c r="C2" s="32" t="s">
        <v>100</v>
      </c>
      <c r="D2" s="32" t="s">
        <v>101</v>
      </c>
      <c r="E2" s="50" t="s">
        <v>102</v>
      </c>
    </row>
    <row r="3" spans="1:5" ht="15.6" x14ac:dyDescent="0.3">
      <c r="A3" s="51" t="s">
        <v>2</v>
      </c>
      <c r="B3" s="51" t="s">
        <v>3</v>
      </c>
      <c r="C3" s="32">
        <v>18</v>
      </c>
      <c r="D3" s="32">
        <v>16000</v>
      </c>
      <c r="E3" s="52">
        <f>C3*D3</f>
        <v>288000</v>
      </c>
    </row>
    <row r="4" spans="1:5" ht="15.6" x14ac:dyDescent="0.3">
      <c r="A4" s="51" t="s">
        <v>4</v>
      </c>
      <c r="B4" s="51" t="s">
        <v>3</v>
      </c>
      <c r="C4" s="32">
        <v>420</v>
      </c>
      <c r="D4" s="32">
        <v>8000</v>
      </c>
      <c r="E4" s="52">
        <f t="shared" ref="E4:E67" si="0">C4*D4</f>
        <v>3360000</v>
      </c>
    </row>
    <row r="5" spans="1:5" ht="15.6" x14ac:dyDescent="0.3">
      <c r="A5" s="51" t="s">
        <v>5</v>
      </c>
      <c r="B5" s="51" t="s">
        <v>3</v>
      </c>
      <c r="C5" s="32">
        <v>457</v>
      </c>
      <c r="D5" s="32">
        <v>3500</v>
      </c>
      <c r="E5" s="52">
        <f t="shared" si="0"/>
        <v>1599500</v>
      </c>
    </row>
    <row r="6" spans="1:5" ht="15.6" x14ac:dyDescent="0.3">
      <c r="A6" s="51" t="s">
        <v>103</v>
      </c>
      <c r="B6" s="51" t="s">
        <v>3</v>
      </c>
      <c r="C6" s="32">
        <v>4</v>
      </c>
      <c r="D6" s="32">
        <v>10000</v>
      </c>
      <c r="E6" s="52">
        <f t="shared" si="0"/>
        <v>40000</v>
      </c>
    </row>
    <row r="7" spans="1:5" ht="15.6" x14ac:dyDescent="0.3">
      <c r="A7" s="51" t="s">
        <v>6</v>
      </c>
      <c r="B7" s="51" t="s">
        <v>3</v>
      </c>
      <c r="C7" s="32">
        <v>5</v>
      </c>
      <c r="D7" s="32">
        <v>8000</v>
      </c>
      <c r="E7" s="52">
        <f t="shared" si="0"/>
        <v>40000</v>
      </c>
    </row>
    <row r="8" spans="1:5" ht="15.6" x14ac:dyDescent="0.3">
      <c r="A8" s="51" t="s">
        <v>7</v>
      </c>
      <c r="B8" s="51" t="s">
        <v>3</v>
      </c>
      <c r="C8" s="32">
        <v>915</v>
      </c>
      <c r="D8" s="32">
        <v>9000</v>
      </c>
      <c r="E8" s="52">
        <f t="shared" si="0"/>
        <v>8235000</v>
      </c>
    </row>
    <row r="9" spans="1:5" customFormat="1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51" t="s">
        <v>11</v>
      </c>
      <c r="B10" s="51" t="s">
        <v>3</v>
      </c>
      <c r="C10" s="32">
        <v>263</v>
      </c>
      <c r="D10" s="32">
        <v>7000</v>
      </c>
      <c r="E10" s="52">
        <f t="shared" si="0"/>
        <v>1841000</v>
      </c>
    </row>
    <row r="11" spans="1:5" customFormat="1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51" t="s">
        <v>8</v>
      </c>
      <c r="B12" s="51" t="s">
        <v>3</v>
      </c>
      <c r="C12" s="32">
        <v>20</v>
      </c>
      <c r="D12" s="32">
        <v>12000</v>
      </c>
      <c r="E12" s="52">
        <f t="shared" si="0"/>
        <v>240000</v>
      </c>
    </row>
    <row r="13" spans="1:5" customFormat="1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x14ac:dyDescent="0.3">
      <c r="A14" s="51" t="s">
        <v>122</v>
      </c>
      <c r="B14" s="51" t="s">
        <v>3</v>
      </c>
      <c r="C14" s="32">
        <v>1</v>
      </c>
      <c r="D14" s="32">
        <v>110000</v>
      </c>
      <c r="E14" s="52">
        <f t="shared" si="0"/>
        <v>110000</v>
      </c>
    </row>
    <row r="15" spans="1:5" customFormat="1" ht="15.6" hidden="1" x14ac:dyDescent="0.3">
      <c r="A15" s="8" t="s">
        <v>12</v>
      </c>
      <c r="B15" s="8" t="s">
        <v>3</v>
      </c>
      <c r="C15" s="2">
        <v>0</v>
      </c>
      <c r="D15" s="2"/>
      <c r="E15" s="7">
        <f t="shared" si="0"/>
        <v>0</v>
      </c>
    </row>
    <row r="16" spans="1:5" customFormat="1" ht="15.6" hidden="1" x14ac:dyDescent="0.3">
      <c r="A16" s="8" t="s">
        <v>14</v>
      </c>
      <c r="B16" s="8" t="s">
        <v>3</v>
      </c>
      <c r="C16" s="2">
        <v>0</v>
      </c>
      <c r="D16" s="2"/>
      <c r="E16" s="7">
        <f t="shared" si="0"/>
        <v>0</v>
      </c>
    </row>
    <row r="17" spans="1:5" ht="15.6" x14ac:dyDescent="0.3">
      <c r="A17" s="51" t="s">
        <v>15</v>
      </c>
      <c r="B17" s="51" t="s">
        <v>3</v>
      </c>
      <c r="C17" s="32">
        <v>97</v>
      </c>
      <c r="D17" s="32">
        <v>22000</v>
      </c>
      <c r="E17" s="52">
        <f t="shared" si="0"/>
        <v>2134000</v>
      </c>
    </row>
    <row r="18" spans="1:5" ht="15.6" x14ac:dyDescent="0.3">
      <c r="A18" s="51" t="s">
        <v>16</v>
      </c>
      <c r="B18" s="51" t="s">
        <v>17</v>
      </c>
      <c r="C18" s="32">
        <v>5</v>
      </c>
      <c r="D18" s="32">
        <v>6500</v>
      </c>
      <c r="E18" s="52">
        <f t="shared" si="0"/>
        <v>32500</v>
      </c>
    </row>
    <row r="19" spans="1:5" customFormat="1" ht="15.6" hidden="1" x14ac:dyDescent="0.3">
      <c r="A19" s="8" t="s">
        <v>20</v>
      </c>
      <c r="B19" s="8" t="s">
        <v>3</v>
      </c>
      <c r="C19" s="2">
        <v>0</v>
      </c>
      <c r="D19" s="2"/>
      <c r="E19" s="7">
        <f t="shared" si="0"/>
        <v>0</v>
      </c>
    </row>
    <row r="20" spans="1:5" ht="15.6" x14ac:dyDescent="0.3">
      <c r="A20" s="51" t="s">
        <v>22</v>
      </c>
      <c r="B20" s="51" t="s">
        <v>3</v>
      </c>
      <c r="C20" s="32">
        <v>180</v>
      </c>
      <c r="D20" s="32">
        <v>12000</v>
      </c>
      <c r="E20" s="52">
        <f t="shared" si="0"/>
        <v>2160000</v>
      </c>
    </row>
    <row r="21" spans="1:5" customFormat="1" ht="15.6" hidden="1" x14ac:dyDescent="0.3">
      <c r="A21" s="8" t="s">
        <v>22</v>
      </c>
      <c r="B21" s="8" t="s">
        <v>23</v>
      </c>
      <c r="C21" s="2">
        <v>0</v>
      </c>
      <c r="D21" s="2"/>
      <c r="E21" s="7">
        <f t="shared" si="0"/>
        <v>0</v>
      </c>
    </row>
    <row r="22" spans="1:5" ht="15.6" x14ac:dyDescent="0.3">
      <c r="A22" s="51" t="s">
        <v>24</v>
      </c>
      <c r="B22" s="51" t="s">
        <v>3</v>
      </c>
      <c r="C22" s="32">
        <v>38</v>
      </c>
      <c r="D22" s="32">
        <v>12000</v>
      </c>
      <c r="E22" s="52">
        <f t="shared" si="0"/>
        <v>456000</v>
      </c>
    </row>
    <row r="23" spans="1:5" customFormat="1" ht="15.6" hidden="1" x14ac:dyDescent="0.3">
      <c r="A23" s="8" t="s">
        <v>24</v>
      </c>
      <c r="B23" s="8" t="s">
        <v>25</v>
      </c>
      <c r="C23" s="2">
        <v>0</v>
      </c>
      <c r="D23" s="2"/>
      <c r="E23" s="7">
        <f t="shared" si="0"/>
        <v>0</v>
      </c>
    </row>
    <row r="24" spans="1:5" ht="15.6" x14ac:dyDescent="0.3">
      <c r="A24" s="51" t="s">
        <v>26</v>
      </c>
      <c r="B24" s="51" t="s">
        <v>3</v>
      </c>
      <c r="C24" s="32">
        <v>13</v>
      </c>
      <c r="D24" s="32">
        <v>15000</v>
      </c>
      <c r="E24" s="52">
        <f t="shared" si="0"/>
        <v>195000</v>
      </c>
    </row>
    <row r="25" spans="1:5" ht="15.6" x14ac:dyDescent="0.3">
      <c r="A25" s="51" t="s">
        <v>26</v>
      </c>
      <c r="B25" s="51" t="s">
        <v>27</v>
      </c>
      <c r="C25" s="32">
        <v>14</v>
      </c>
      <c r="D25" s="32">
        <v>4500</v>
      </c>
      <c r="E25" s="52">
        <f t="shared" si="0"/>
        <v>63000</v>
      </c>
    </row>
    <row r="26" spans="1:5" ht="15.6" x14ac:dyDescent="0.3">
      <c r="A26" s="51" t="s">
        <v>28</v>
      </c>
      <c r="B26" s="51" t="s">
        <v>29</v>
      </c>
      <c r="C26" s="32">
        <v>10</v>
      </c>
      <c r="D26" s="32">
        <v>10500</v>
      </c>
      <c r="E26" s="52">
        <f t="shared" si="0"/>
        <v>105000</v>
      </c>
    </row>
    <row r="27" spans="1:5" customFormat="1" ht="15.6" hidden="1" x14ac:dyDescent="0.3">
      <c r="A27" s="8" t="s">
        <v>30</v>
      </c>
      <c r="B27" s="8" t="s">
        <v>3</v>
      </c>
      <c r="C27" s="2">
        <v>0</v>
      </c>
      <c r="D27" s="2"/>
      <c r="E27" s="7">
        <f t="shared" si="0"/>
        <v>0</v>
      </c>
    </row>
    <row r="28" spans="1:5" ht="15.6" x14ac:dyDescent="0.3">
      <c r="A28" s="51" t="s">
        <v>30</v>
      </c>
      <c r="B28" s="51" t="s">
        <v>27</v>
      </c>
      <c r="C28" s="32">
        <v>30</v>
      </c>
      <c r="D28" s="32">
        <v>8000</v>
      </c>
      <c r="E28" s="52">
        <f t="shared" si="0"/>
        <v>240000</v>
      </c>
    </row>
    <row r="29" spans="1:5" ht="15.6" x14ac:dyDescent="0.3">
      <c r="A29" s="51" t="s">
        <v>30</v>
      </c>
      <c r="B29" s="51" t="s">
        <v>31</v>
      </c>
      <c r="C29" s="32">
        <v>238</v>
      </c>
      <c r="D29" s="32">
        <v>7500</v>
      </c>
      <c r="E29" s="52">
        <f t="shared" si="0"/>
        <v>1785000</v>
      </c>
    </row>
    <row r="30" spans="1:5" ht="15.6" x14ac:dyDescent="0.3">
      <c r="A30" s="51" t="s">
        <v>32</v>
      </c>
      <c r="B30" s="51" t="s">
        <v>3</v>
      </c>
      <c r="C30" s="32">
        <v>220</v>
      </c>
      <c r="D30" s="32">
        <v>8000</v>
      </c>
      <c r="E30" s="52">
        <f t="shared" si="0"/>
        <v>1760000</v>
      </c>
    </row>
    <row r="31" spans="1:5" customFormat="1" ht="15.6" hidden="1" x14ac:dyDescent="0.3">
      <c r="A31" s="8" t="s">
        <v>32</v>
      </c>
      <c r="B31" s="8" t="s">
        <v>17</v>
      </c>
      <c r="C31" s="2">
        <v>0</v>
      </c>
      <c r="D31" s="2"/>
      <c r="E31" s="7">
        <f t="shared" si="0"/>
        <v>0</v>
      </c>
    </row>
    <row r="32" spans="1:5" ht="15.6" x14ac:dyDescent="0.3">
      <c r="A32" s="51" t="s">
        <v>33</v>
      </c>
      <c r="B32" s="51" t="s">
        <v>34</v>
      </c>
      <c r="C32" s="32">
        <v>105</v>
      </c>
      <c r="D32" s="32">
        <v>6000</v>
      </c>
      <c r="E32" s="52">
        <f t="shared" si="0"/>
        <v>630000</v>
      </c>
    </row>
    <row r="33" spans="1:5" ht="15.6" x14ac:dyDescent="0.3">
      <c r="A33" s="51" t="s">
        <v>35</v>
      </c>
      <c r="B33" s="51" t="s">
        <v>3</v>
      </c>
      <c r="C33" s="32">
        <v>90</v>
      </c>
      <c r="D33" s="32">
        <v>7000</v>
      </c>
      <c r="E33" s="52">
        <f t="shared" si="0"/>
        <v>630000</v>
      </c>
    </row>
    <row r="34" spans="1:5" customFormat="1" ht="15.6" hidden="1" x14ac:dyDescent="0.3">
      <c r="A34" s="8" t="s">
        <v>35</v>
      </c>
      <c r="B34" s="8" t="s">
        <v>34</v>
      </c>
      <c r="C34" s="2">
        <v>0</v>
      </c>
      <c r="D34" s="2"/>
      <c r="E34" s="7">
        <f t="shared" si="0"/>
        <v>0</v>
      </c>
    </row>
    <row r="35" spans="1:5" ht="15.6" x14ac:dyDescent="0.3">
      <c r="A35" s="51" t="s">
        <v>37</v>
      </c>
      <c r="B35" s="51" t="s">
        <v>3</v>
      </c>
      <c r="C35" s="32">
        <v>40</v>
      </c>
      <c r="D35" s="32">
        <v>8000</v>
      </c>
      <c r="E35" s="52">
        <f t="shared" si="0"/>
        <v>320000</v>
      </c>
    </row>
    <row r="36" spans="1:5" customFormat="1" ht="15.6" hidden="1" x14ac:dyDescent="0.3">
      <c r="A36" s="8" t="s">
        <v>37</v>
      </c>
      <c r="B36" s="8" t="s">
        <v>38</v>
      </c>
      <c r="C36" s="2">
        <v>0</v>
      </c>
      <c r="D36" s="2"/>
      <c r="E36" s="7">
        <f t="shared" si="0"/>
        <v>0</v>
      </c>
    </row>
    <row r="37" spans="1:5" ht="15.6" x14ac:dyDescent="0.3">
      <c r="A37" s="51" t="s">
        <v>39</v>
      </c>
      <c r="B37" s="51" t="s">
        <v>3</v>
      </c>
      <c r="C37" s="32">
        <v>8</v>
      </c>
      <c r="D37" s="32">
        <v>17000</v>
      </c>
      <c r="E37" s="52">
        <f t="shared" si="0"/>
        <v>136000</v>
      </c>
    </row>
    <row r="38" spans="1:5" customFormat="1" ht="15.6" hidden="1" x14ac:dyDescent="0.3">
      <c r="A38" s="8" t="s">
        <v>39</v>
      </c>
      <c r="B38" s="8" t="s">
        <v>34</v>
      </c>
      <c r="C38" s="2">
        <v>0</v>
      </c>
      <c r="D38" s="2"/>
      <c r="E38" s="7">
        <f t="shared" si="0"/>
        <v>0</v>
      </c>
    </row>
    <row r="39" spans="1:5" customFormat="1" ht="15.6" hidden="1" x14ac:dyDescent="0.3">
      <c r="A39" s="8" t="s">
        <v>40</v>
      </c>
      <c r="B39" s="8" t="s">
        <v>3</v>
      </c>
      <c r="C39" s="2">
        <v>0</v>
      </c>
      <c r="D39" s="2"/>
      <c r="E39" s="7">
        <f t="shared" si="0"/>
        <v>0</v>
      </c>
    </row>
    <row r="40" spans="1:5" ht="15.6" x14ac:dyDescent="0.3">
      <c r="A40" s="51" t="s">
        <v>40</v>
      </c>
      <c r="B40" s="51" t="s">
        <v>34</v>
      </c>
      <c r="C40" s="32">
        <v>10</v>
      </c>
      <c r="D40" s="32">
        <v>3000</v>
      </c>
      <c r="E40" s="52">
        <f t="shared" si="0"/>
        <v>30000</v>
      </c>
    </row>
    <row r="41" spans="1:5" ht="15.6" x14ac:dyDescent="0.3">
      <c r="A41" s="51" t="s">
        <v>41</v>
      </c>
      <c r="B41" s="51" t="s">
        <v>3</v>
      </c>
      <c r="C41" s="32">
        <v>12</v>
      </c>
      <c r="D41" s="32">
        <v>15000</v>
      </c>
      <c r="E41" s="52">
        <f t="shared" si="0"/>
        <v>180000</v>
      </c>
    </row>
    <row r="42" spans="1:5" customFormat="1" ht="15.6" hidden="1" x14ac:dyDescent="0.3">
      <c r="A42" s="8" t="s">
        <v>41</v>
      </c>
      <c r="B42" s="8" t="s">
        <v>34</v>
      </c>
      <c r="C42" s="2">
        <v>0</v>
      </c>
      <c r="D42" s="2"/>
      <c r="E42" s="7">
        <f t="shared" si="0"/>
        <v>0</v>
      </c>
    </row>
    <row r="43" spans="1:5" ht="15.6" x14ac:dyDescent="0.3">
      <c r="A43" s="51" t="s">
        <v>42</v>
      </c>
      <c r="B43" s="51" t="s">
        <v>3</v>
      </c>
      <c r="C43" s="32">
        <v>360</v>
      </c>
      <c r="D43" s="32">
        <v>3000</v>
      </c>
      <c r="E43" s="52">
        <f t="shared" si="0"/>
        <v>1080000</v>
      </c>
    </row>
    <row r="44" spans="1:5" customFormat="1" ht="15.6" hidden="1" x14ac:dyDescent="0.3">
      <c r="A44" s="8" t="s">
        <v>43</v>
      </c>
      <c r="B44" s="8" t="s">
        <v>3</v>
      </c>
      <c r="C44" s="2">
        <v>0</v>
      </c>
      <c r="D44" s="2"/>
      <c r="E44" s="7">
        <f t="shared" si="0"/>
        <v>0</v>
      </c>
    </row>
    <row r="45" spans="1:5" ht="15.6" x14ac:dyDescent="0.3">
      <c r="A45" s="51" t="s">
        <v>44</v>
      </c>
      <c r="B45" s="51" t="s">
        <v>3</v>
      </c>
      <c r="C45" s="32">
        <v>840</v>
      </c>
      <c r="D45" s="32">
        <v>3000</v>
      </c>
      <c r="E45" s="52">
        <f t="shared" si="0"/>
        <v>2520000</v>
      </c>
    </row>
    <row r="46" spans="1:5" ht="15.6" x14ac:dyDescent="0.3">
      <c r="A46" s="51" t="s">
        <v>45</v>
      </c>
      <c r="B46" s="51" t="s">
        <v>3</v>
      </c>
      <c r="C46" s="32">
        <v>33</v>
      </c>
      <c r="D46" s="32">
        <v>9000</v>
      </c>
      <c r="E46" s="52">
        <f t="shared" si="0"/>
        <v>297000</v>
      </c>
    </row>
    <row r="47" spans="1:5" customFormat="1" ht="15.6" hidden="1" x14ac:dyDescent="0.3">
      <c r="A47" s="8" t="s">
        <v>45</v>
      </c>
      <c r="B47" s="8" t="s">
        <v>19</v>
      </c>
      <c r="C47" s="2">
        <v>0</v>
      </c>
      <c r="D47" s="2"/>
      <c r="E47" s="7">
        <f t="shared" si="0"/>
        <v>0</v>
      </c>
    </row>
    <row r="48" spans="1:5" ht="15.6" x14ac:dyDescent="0.3">
      <c r="A48" s="51" t="s">
        <v>63</v>
      </c>
      <c r="B48" s="51" t="s">
        <v>3</v>
      </c>
      <c r="C48" s="32">
        <v>3</v>
      </c>
      <c r="D48" s="32">
        <v>14000</v>
      </c>
      <c r="E48" s="52">
        <f t="shared" si="0"/>
        <v>42000</v>
      </c>
    </row>
    <row r="49" spans="1:5" ht="15.6" x14ac:dyDescent="0.3">
      <c r="A49" s="51" t="s">
        <v>46</v>
      </c>
      <c r="B49" s="51" t="s">
        <v>29</v>
      </c>
      <c r="C49" s="32">
        <v>6</v>
      </c>
      <c r="D49" s="32">
        <v>10000</v>
      </c>
      <c r="E49" s="52">
        <f t="shared" si="0"/>
        <v>60000</v>
      </c>
    </row>
    <row r="50" spans="1:5" customFormat="1" ht="15.6" hidden="1" x14ac:dyDescent="0.3">
      <c r="A50" s="8" t="s">
        <v>46</v>
      </c>
      <c r="B50" s="8" t="s">
        <v>3</v>
      </c>
      <c r="C50" s="2">
        <v>0</v>
      </c>
      <c r="D50" s="2"/>
      <c r="E50" s="7">
        <f t="shared" si="0"/>
        <v>0</v>
      </c>
    </row>
    <row r="51" spans="1:5" customFormat="1" ht="15.6" hidden="1" x14ac:dyDescent="0.3">
      <c r="A51" s="8" t="s">
        <v>47</v>
      </c>
      <c r="B51" s="8" t="s">
        <v>3</v>
      </c>
      <c r="C51" s="2">
        <v>0</v>
      </c>
      <c r="D51" s="2"/>
      <c r="E51" s="7">
        <f t="shared" si="0"/>
        <v>0</v>
      </c>
    </row>
    <row r="52" spans="1:5" ht="15.6" x14ac:dyDescent="0.3">
      <c r="A52" s="51" t="s">
        <v>48</v>
      </c>
      <c r="B52" s="51" t="s">
        <v>3</v>
      </c>
      <c r="C52" s="32">
        <v>28</v>
      </c>
      <c r="D52" s="32">
        <v>8000</v>
      </c>
      <c r="E52" s="52">
        <f t="shared" si="0"/>
        <v>224000</v>
      </c>
    </row>
    <row r="53" spans="1:5" customFormat="1" ht="15.6" hidden="1" x14ac:dyDescent="0.3">
      <c r="A53" s="8" t="s">
        <v>48</v>
      </c>
      <c r="B53" s="8" t="s">
        <v>34</v>
      </c>
      <c r="C53" s="2">
        <v>0</v>
      </c>
      <c r="D53" s="2"/>
      <c r="E53" s="7">
        <f t="shared" si="0"/>
        <v>0</v>
      </c>
    </row>
    <row r="54" spans="1:5" ht="15.6" x14ac:dyDescent="0.3">
      <c r="A54" s="51" t="s">
        <v>49</v>
      </c>
      <c r="B54" s="51" t="s">
        <v>3</v>
      </c>
      <c r="C54" s="32">
        <v>5</v>
      </c>
      <c r="D54" s="32">
        <v>21000</v>
      </c>
      <c r="E54" s="52">
        <f t="shared" si="0"/>
        <v>105000</v>
      </c>
    </row>
    <row r="55" spans="1:5" ht="15.6" x14ac:dyDescent="0.3">
      <c r="A55" s="51" t="s">
        <v>50</v>
      </c>
      <c r="B55" s="51" t="s">
        <v>3</v>
      </c>
      <c r="C55" s="32">
        <v>60</v>
      </c>
      <c r="D55" s="32">
        <v>5500</v>
      </c>
      <c r="E55" s="52">
        <f t="shared" si="0"/>
        <v>330000</v>
      </c>
    </row>
    <row r="56" spans="1:5" customFormat="1" ht="15.6" hidden="1" x14ac:dyDescent="0.3">
      <c r="A56" s="8" t="s">
        <v>50</v>
      </c>
      <c r="B56" s="8" t="s">
        <v>51</v>
      </c>
      <c r="C56" s="2">
        <v>0</v>
      </c>
      <c r="D56" s="2"/>
      <c r="E56" s="7">
        <f t="shared" si="0"/>
        <v>0</v>
      </c>
    </row>
    <row r="57" spans="1:5" customFormat="1" ht="15.6" hidden="1" x14ac:dyDescent="0.3">
      <c r="A57" s="8" t="s">
        <v>104</v>
      </c>
      <c r="B57" s="8" t="s">
        <v>3</v>
      </c>
      <c r="C57" s="2">
        <v>0</v>
      </c>
      <c r="D57" s="2"/>
      <c r="E57" s="7">
        <f t="shared" si="0"/>
        <v>0</v>
      </c>
    </row>
    <row r="58" spans="1:5" ht="15.6" x14ac:dyDescent="0.3">
      <c r="A58" s="51" t="s">
        <v>52</v>
      </c>
      <c r="B58" s="51" t="s">
        <v>34</v>
      </c>
      <c r="C58" s="32">
        <v>600</v>
      </c>
      <c r="D58" s="32">
        <v>1350</v>
      </c>
      <c r="E58" s="52">
        <f t="shared" si="0"/>
        <v>810000</v>
      </c>
    </row>
    <row r="59" spans="1:5" ht="15.6" x14ac:dyDescent="0.3">
      <c r="A59" s="51" t="s">
        <v>53</v>
      </c>
      <c r="B59" s="51" t="s">
        <v>3</v>
      </c>
      <c r="C59" s="32">
        <v>500</v>
      </c>
      <c r="D59" s="32">
        <v>26000</v>
      </c>
      <c r="E59" s="52">
        <f t="shared" si="0"/>
        <v>13000000</v>
      </c>
    </row>
    <row r="60" spans="1:5" customFormat="1" ht="15.6" hidden="1" x14ac:dyDescent="0.3">
      <c r="A60" s="8" t="s">
        <v>54</v>
      </c>
      <c r="B60" s="8" t="s">
        <v>3</v>
      </c>
      <c r="C60" s="2">
        <v>0</v>
      </c>
      <c r="D60" s="2"/>
      <c r="E60" s="7">
        <f t="shared" si="0"/>
        <v>0</v>
      </c>
    </row>
    <row r="61" spans="1:5" customFormat="1" ht="15.6" hidden="1" x14ac:dyDescent="0.3">
      <c r="A61" s="8" t="s">
        <v>54</v>
      </c>
      <c r="B61" s="8" t="s">
        <v>34</v>
      </c>
      <c r="C61" s="2">
        <v>0</v>
      </c>
      <c r="D61" s="2"/>
      <c r="E61" s="7">
        <f t="shared" si="0"/>
        <v>0</v>
      </c>
    </row>
    <row r="62" spans="1:5" ht="15.6" x14ac:dyDescent="0.3">
      <c r="A62" s="51" t="s">
        <v>55</v>
      </c>
      <c r="B62" s="51" t="s">
        <v>3</v>
      </c>
      <c r="C62" s="32">
        <v>320</v>
      </c>
      <c r="D62" s="32">
        <v>16000</v>
      </c>
      <c r="E62" s="52">
        <f t="shared" si="0"/>
        <v>5120000</v>
      </c>
    </row>
    <row r="63" spans="1:5" ht="15.6" x14ac:dyDescent="0.3">
      <c r="A63" s="51" t="s">
        <v>56</v>
      </c>
      <c r="B63" s="51" t="s">
        <v>3</v>
      </c>
      <c r="C63" s="32">
        <v>50</v>
      </c>
      <c r="D63" s="32">
        <v>24000</v>
      </c>
      <c r="E63" s="52">
        <f t="shared" si="0"/>
        <v>1200000</v>
      </c>
    </row>
    <row r="64" spans="1:5" customFormat="1" ht="15.6" hidden="1" x14ac:dyDescent="0.3">
      <c r="A64" s="8" t="s">
        <v>58</v>
      </c>
      <c r="B64" s="8" t="s">
        <v>3</v>
      </c>
      <c r="C64" s="2">
        <v>0</v>
      </c>
      <c r="D64" s="2"/>
      <c r="E64" s="7">
        <f t="shared" si="0"/>
        <v>0</v>
      </c>
    </row>
    <row r="65" spans="1:5" customFormat="1" ht="15.6" hidden="1" x14ac:dyDescent="0.3">
      <c r="A65" s="8" t="s">
        <v>105</v>
      </c>
      <c r="B65" s="8" t="s">
        <v>3</v>
      </c>
      <c r="C65" s="2">
        <v>0</v>
      </c>
      <c r="D65" s="2"/>
      <c r="E65" s="7">
        <f t="shared" si="0"/>
        <v>0</v>
      </c>
    </row>
    <row r="66" spans="1:5" ht="15.6" x14ac:dyDescent="0.3">
      <c r="A66" s="51" t="s">
        <v>59</v>
      </c>
      <c r="B66" s="51" t="s">
        <v>3</v>
      </c>
      <c r="C66" s="32">
        <v>755</v>
      </c>
      <c r="D66" s="32">
        <v>14000</v>
      </c>
      <c r="E66" s="52">
        <f t="shared" si="0"/>
        <v>10570000</v>
      </c>
    </row>
    <row r="67" spans="1:5" customFormat="1" ht="15.6" hidden="1" x14ac:dyDescent="0.3">
      <c r="A67" s="8" t="s">
        <v>59</v>
      </c>
      <c r="B67" s="8" t="s">
        <v>34</v>
      </c>
      <c r="C67" s="2">
        <v>0</v>
      </c>
      <c r="D67" s="2"/>
      <c r="E67" s="7">
        <f t="shared" si="0"/>
        <v>0</v>
      </c>
    </row>
    <row r="68" spans="1:5" ht="15.6" x14ac:dyDescent="0.3">
      <c r="A68" s="51" t="s">
        <v>60</v>
      </c>
      <c r="B68" s="51" t="s">
        <v>34</v>
      </c>
      <c r="C68" s="32">
        <v>140</v>
      </c>
      <c r="D68" s="32">
        <v>5000</v>
      </c>
      <c r="E68" s="52">
        <f t="shared" ref="E68:E117" si="1">C68*D68</f>
        <v>700000</v>
      </c>
    </row>
    <row r="69" spans="1:5" ht="15.6" x14ac:dyDescent="0.3">
      <c r="A69" s="51" t="s">
        <v>61</v>
      </c>
      <c r="B69" s="51" t="s">
        <v>3</v>
      </c>
      <c r="C69" s="32">
        <v>4</v>
      </c>
      <c r="D69" s="32">
        <v>11000</v>
      </c>
      <c r="E69" s="52">
        <f t="shared" si="1"/>
        <v>44000</v>
      </c>
    </row>
    <row r="70" spans="1:5" ht="15.6" x14ac:dyDescent="0.3">
      <c r="A70" s="51" t="s">
        <v>67</v>
      </c>
      <c r="B70" s="51" t="s">
        <v>34</v>
      </c>
      <c r="C70" s="32">
        <v>36</v>
      </c>
      <c r="D70" s="32">
        <v>6000</v>
      </c>
      <c r="E70" s="52">
        <f t="shared" si="1"/>
        <v>216000</v>
      </c>
    </row>
    <row r="71" spans="1:5" customFormat="1" ht="15.6" hidden="1" x14ac:dyDescent="0.3">
      <c r="A71" s="8" t="s">
        <v>68</v>
      </c>
      <c r="B71" s="8" t="s">
        <v>3</v>
      </c>
      <c r="C71" s="2">
        <v>0</v>
      </c>
      <c r="D71" s="2"/>
      <c r="E71" s="7">
        <f t="shared" si="1"/>
        <v>0</v>
      </c>
    </row>
    <row r="72" spans="1:5" ht="15.6" x14ac:dyDescent="0.3">
      <c r="A72" s="51" t="s">
        <v>68</v>
      </c>
      <c r="B72" s="51" t="s">
        <v>34</v>
      </c>
      <c r="C72" s="32">
        <v>47</v>
      </c>
      <c r="D72" s="32">
        <v>8500</v>
      </c>
      <c r="E72" s="52">
        <f t="shared" si="1"/>
        <v>399500</v>
      </c>
    </row>
    <row r="73" spans="1:5" ht="15.6" x14ac:dyDescent="0.3">
      <c r="A73" s="51" t="s">
        <v>69</v>
      </c>
      <c r="B73" s="51" t="s">
        <v>3</v>
      </c>
      <c r="C73" s="32">
        <v>0.5</v>
      </c>
      <c r="D73" s="32">
        <v>80000</v>
      </c>
      <c r="E73" s="52">
        <f t="shared" si="1"/>
        <v>40000</v>
      </c>
    </row>
    <row r="74" spans="1:5" customFormat="1" ht="15.6" hidden="1" x14ac:dyDescent="0.3">
      <c r="A74" s="8" t="s">
        <v>70</v>
      </c>
      <c r="B74" s="8" t="s">
        <v>3</v>
      </c>
      <c r="C74" s="2">
        <v>0</v>
      </c>
      <c r="D74" s="2"/>
      <c r="E74" s="7">
        <f t="shared" si="1"/>
        <v>0</v>
      </c>
    </row>
    <row r="75" spans="1:5" customFormat="1" ht="15.6" hidden="1" x14ac:dyDescent="0.3">
      <c r="A75" s="8" t="s">
        <v>71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x14ac:dyDescent="0.3">
      <c r="A76" s="51" t="s">
        <v>64</v>
      </c>
      <c r="B76" s="51" t="s">
        <v>3</v>
      </c>
      <c r="C76" s="32">
        <v>20</v>
      </c>
      <c r="D76" s="32">
        <v>9500</v>
      </c>
      <c r="E76" s="52">
        <f t="shared" si="1"/>
        <v>190000</v>
      </c>
    </row>
    <row r="77" spans="1:5" ht="15.6" x14ac:dyDescent="0.3">
      <c r="A77" s="51" t="s">
        <v>64</v>
      </c>
      <c r="B77" s="51" t="s">
        <v>17</v>
      </c>
      <c r="C77" s="32">
        <v>144</v>
      </c>
      <c r="D77" s="32">
        <v>6700</v>
      </c>
      <c r="E77" s="52">
        <f t="shared" si="1"/>
        <v>964800</v>
      </c>
    </row>
    <row r="78" spans="1:5" ht="15.6" x14ac:dyDescent="0.3">
      <c r="A78" s="51" t="s">
        <v>65</v>
      </c>
      <c r="B78" s="51" t="s">
        <v>3</v>
      </c>
      <c r="C78" s="32">
        <v>2</v>
      </c>
      <c r="D78" s="32">
        <v>14000</v>
      </c>
      <c r="E78" s="52">
        <f t="shared" si="1"/>
        <v>28000</v>
      </c>
    </row>
    <row r="79" spans="1:5" ht="15.6" x14ac:dyDescent="0.3">
      <c r="A79" s="51" t="s">
        <v>66</v>
      </c>
      <c r="B79" s="51" t="s">
        <v>3</v>
      </c>
      <c r="C79" s="32">
        <v>15</v>
      </c>
      <c r="D79" s="32">
        <v>14000</v>
      </c>
      <c r="E79" s="52">
        <f t="shared" si="1"/>
        <v>210000</v>
      </c>
    </row>
    <row r="80" spans="1:5" ht="15.6" x14ac:dyDescent="0.3">
      <c r="A80" s="51" t="s">
        <v>72</v>
      </c>
      <c r="B80" s="51" t="s">
        <v>3</v>
      </c>
      <c r="C80" s="32">
        <v>10</v>
      </c>
      <c r="D80" s="32">
        <v>10000</v>
      </c>
      <c r="E80" s="52">
        <f t="shared" si="1"/>
        <v>100000</v>
      </c>
    </row>
    <row r="81" spans="1:5" customFormat="1" ht="15.6" hidden="1" x14ac:dyDescent="0.3">
      <c r="A81" s="8" t="s">
        <v>72</v>
      </c>
      <c r="B81" s="8" t="s">
        <v>19</v>
      </c>
      <c r="C81" s="2">
        <v>0</v>
      </c>
      <c r="D81" s="2"/>
      <c r="E81" s="7">
        <f t="shared" si="1"/>
        <v>0</v>
      </c>
    </row>
    <row r="82" spans="1:5" customFormat="1" ht="15.6" hidden="1" x14ac:dyDescent="0.3">
      <c r="A82" s="8" t="s">
        <v>74</v>
      </c>
      <c r="B82" s="8" t="s">
        <v>34</v>
      </c>
      <c r="C82" s="2">
        <v>0</v>
      </c>
      <c r="D82" s="2"/>
      <c r="E82" s="7">
        <f t="shared" si="1"/>
        <v>0</v>
      </c>
    </row>
    <row r="83" spans="1:5" ht="15.6" x14ac:dyDescent="0.3">
      <c r="A83" s="51" t="s">
        <v>75</v>
      </c>
      <c r="B83" s="51" t="s">
        <v>3</v>
      </c>
      <c r="C83" s="32">
        <v>20</v>
      </c>
      <c r="D83" s="32">
        <v>14000</v>
      </c>
      <c r="E83" s="52">
        <f t="shared" si="1"/>
        <v>280000</v>
      </c>
    </row>
    <row r="84" spans="1:5" ht="15.6" x14ac:dyDescent="0.3">
      <c r="A84" s="51" t="s">
        <v>76</v>
      </c>
      <c r="B84" s="51" t="s">
        <v>3</v>
      </c>
      <c r="C84" s="32">
        <v>20</v>
      </c>
      <c r="D84" s="32">
        <v>60000</v>
      </c>
      <c r="E84" s="52">
        <f t="shared" si="1"/>
        <v>1200000</v>
      </c>
    </row>
    <row r="85" spans="1:5" customFormat="1" ht="15.6" hidden="1" x14ac:dyDescent="0.3">
      <c r="A85" s="8" t="s">
        <v>76</v>
      </c>
      <c r="B85" s="8" t="s">
        <v>78</v>
      </c>
      <c r="C85" s="2">
        <v>0</v>
      </c>
      <c r="D85" s="2"/>
      <c r="E85" s="7">
        <f t="shared" si="1"/>
        <v>0</v>
      </c>
    </row>
    <row r="86" spans="1:5" customFormat="1" ht="15.6" hidden="1" x14ac:dyDescent="0.3">
      <c r="A86" s="8" t="s">
        <v>76</v>
      </c>
      <c r="B86" s="8" t="s">
        <v>77</v>
      </c>
      <c r="C86" s="2">
        <v>0</v>
      </c>
      <c r="D86" s="2"/>
      <c r="E86" s="7">
        <f t="shared" si="1"/>
        <v>0</v>
      </c>
    </row>
    <row r="87" spans="1:5" customFormat="1" ht="15.6" hidden="1" x14ac:dyDescent="0.3">
      <c r="A87" s="8" t="s">
        <v>137</v>
      </c>
      <c r="B87" s="8" t="s">
        <v>3</v>
      </c>
      <c r="C87" s="2">
        <v>0</v>
      </c>
      <c r="D87" s="2"/>
      <c r="E87" s="7">
        <f t="shared" si="1"/>
        <v>0</v>
      </c>
    </row>
    <row r="88" spans="1:5" customFormat="1" ht="15.6" hidden="1" x14ac:dyDescent="0.3">
      <c r="A88" s="8" t="s">
        <v>79</v>
      </c>
      <c r="B88" s="8" t="s">
        <v>17</v>
      </c>
      <c r="C88" s="2">
        <v>0</v>
      </c>
      <c r="D88" s="2"/>
      <c r="E88" s="7">
        <f t="shared" si="1"/>
        <v>0</v>
      </c>
    </row>
    <row r="89" spans="1:5" customFormat="1" ht="15.6" hidden="1" x14ac:dyDescent="0.3">
      <c r="A89" s="8" t="s">
        <v>80</v>
      </c>
      <c r="B89" s="8" t="s">
        <v>29</v>
      </c>
      <c r="C89" s="2">
        <v>0</v>
      </c>
      <c r="D89" s="2"/>
      <c r="E89" s="7">
        <f t="shared" si="1"/>
        <v>0</v>
      </c>
    </row>
    <row r="90" spans="1:5" ht="15.6" x14ac:dyDescent="0.3">
      <c r="A90" s="51" t="s">
        <v>80</v>
      </c>
      <c r="B90" s="51" t="s">
        <v>3</v>
      </c>
      <c r="C90" s="32">
        <v>2</v>
      </c>
      <c r="D90" s="32">
        <v>28000</v>
      </c>
      <c r="E90" s="52">
        <f t="shared" si="1"/>
        <v>56000</v>
      </c>
    </row>
    <row r="91" spans="1:5" ht="15.6" x14ac:dyDescent="0.3">
      <c r="A91" s="51" t="s">
        <v>81</v>
      </c>
      <c r="B91" s="51" t="s">
        <v>3</v>
      </c>
      <c r="C91" s="32">
        <v>87</v>
      </c>
      <c r="D91" s="32">
        <v>26000</v>
      </c>
      <c r="E91" s="52">
        <f t="shared" si="1"/>
        <v>2262000</v>
      </c>
    </row>
    <row r="92" spans="1:5" customFormat="1" ht="15.6" hidden="1" x14ac:dyDescent="0.3">
      <c r="A92" s="8" t="s">
        <v>81</v>
      </c>
      <c r="B92" s="8" t="s">
        <v>9</v>
      </c>
      <c r="C92" s="2">
        <v>0</v>
      </c>
      <c r="D92" s="2"/>
      <c r="E92" s="7">
        <f t="shared" si="1"/>
        <v>0</v>
      </c>
    </row>
    <row r="93" spans="1:5" ht="15.6" x14ac:dyDescent="0.3">
      <c r="A93" s="51" t="s">
        <v>108</v>
      </c>
      <c r="B93" s="51" t="s">
        <v>3</v>
      </c>
      <c r="C93" s="32">
        <v>10</v>
      </c>
      <c r="D93" s="32">
        <v>22000</v>
      </c>
      <c r="E93" s="52">
        <f t="shared" si="1"/>
        <v>220000</v>
      </c>
    </row>
    <row r="94" spans="1:5" ht="15.6" x14ac:dyDescent="0.3">
      <c r="A94" s="51" t="s">
        <v>82</v>
      </c>
      <c r="B94" s="51" t="s">
        <v>3</v>
      </c>
      <c r="C94" s="32">
        <v>16</v>
      </c>
      <c r="D94" s="32">
        <v>24000</v>
      </c>
      <c r="E94" s="52">
        <f t="shared" si="1"/>
        <v>384000</v>
      </c>
    </row>
    <row r="95" spans="1:5" customFormat="1" ht="15.6" hidden="1" x14ac:dyDescent="0.3">
      <c r="A95" s="8" t="s">
        <v>82</v>
      </c>
      <c r="B95" s="8" t="s">
        <v>9</v>
      </c>
      <c r="C95" s="2">
        <v>0</v>
      </c>
      <c r="D95" s="2"/>
      <c r="E95" s="7">
        <f t="shared" si="1"/>
        <v>0</v>
      </c>
    </row>
    <row r="96" spans="1:5" ht="15.6" x14ac:dyDescent="0.3">
      <c r="A96" s="51" t="s">
        <v>109</v>
      </c>
      <c r="B96" s="51" t="s">
        <v>3</v>
      </c>
      <c r="C96" s="32">
        <v>68</v>
      </c>
      <c r="D96" s="32">
        <v>20000</v>
      </c>
      <c r="E96" s="52">
        <f t="shared" si="1"/>
        <v>1360000</v>
      </c>
    </row>
    <row r="97" spans="1:5" ht="15.6" x14ac:dyDescent="0.3">
      <c r="A97" s="51" t="s">
        <v>83</v>
      </c>
      <c r="B97" s="51" t="s">
        <v>3</v>
      </c>
      <c r="C97" s="32">
        <v>13</v>
      </c>
      <c r="D97" s="32">
        <v>30000</v>
      </c>
      <c r="E97" s="52">
        <f t="shared" si="1"/>
        <v>390000</v>
      </c>
    </row>
    <row r="98" spans="1:5" customFormat="1" ht="15.6" hidden="1" x14ac:dyDescent="0.3">
      <c r="A98" s="8" t="s">
        <v>83</v>
      </c>
      <c r="B98" s="8" t="s">
        <v>9</v>
      </c>
      <c r="C98" s="2">
        <v>0</v>
      </c>
      <c r="D98" s="2"/>
      <c r="E98" s="7">
        <f t="shared" si="1"/>
        <v>0</v>
      </c>
    </row>
    <row r="99" spans="1:5" ht="15.6" x14ac:dyDescent="0.3">
      <c r="A99" s="51" t="s">
        <v>110</v>
      </c>
      <c r="B99" s="51" t="s">
        <v>3</v>
      </c>
      <c r="C99" s="32">
        <v>17</v>
      </c>
      <c r="D99" s="32">
        <v>25000</v>
      </c>
      <c r="E99" s="52">
        <f t="shared" si="1"/>
        <v>425000</v>
      </c>
    </row>
    <row r="100" spans="1:5" ht="15.6" x14ac:dyDescent="0.3">
      <c r="A100" s="51" t="s">
        <v>84</v>
      </c>
      <c r="B100" s="51" t="s">
        <v>34</v>
      </c>
      <c r="C100" s="32">
        <v>10</v>
      </c>
      <c r="D100" s="32">
        <v>16000</v>
      </c>
      <c r="E100" s="52">
        <f t="shared" si="1"/>
        <v>160000</v>
      </c>
    </row>
    <row r="101" spans="1:5" ht="15.6" x14ac:dyDescent="0.3">
      <c r="A101" s="51" t="s">
        <v>142</v>
      </c>
      <c r="B101" s="51" t="s">
        <v>3</v>
      </c>
      <c r="C101" s="32">
        <v>25</v>
      </c>
      <c r="D101" s="32">
        <v>22000</v>
      </c>
      <c r="E101" s="52">
        <f t="shared" si="1"/>
        <v>550000</v>
      </c>
    </row>
    <row r="102" spans="1:5" customFormat="1" ht="15.6" hidden="1" x14ac:dyDescent="0.3">
      <c r="A102" s="8" t="s">
        <v>85</v>
      </c>
      <c r="B102" s="8" t="s">
        <v>34</v>
      </c>
      <c r="C102" s="2">
        <v>0</v>
      </c>
      <c r="D102" s="2"/>
      <c r="E102" s="7">
        <f t="shared" si="1"/>
        <v>0</v>
      </c>
    </row>
    <row r="103" spans="1:5" customFormat="1" ht="15.6" hidden="1" x14ac:dyDescent="0.3">
      <c r="A103" s="8" t="s">
        <v>111</v>
      </c>
      <c r="B103" s="8" t="s">
        <v>3</v>
      </c>
      <c r="C103" s="2">
        <v>0</v>
      </c>
      <c r="D103" s="2"/>
      <c r="E103" s="7">
        <f t="shared" si="1"/>
        <v>0</v>
      </c>
    </row>
    <row r="104" spans="1:5" ht="15.6" x14ac:dyDescent="0.3">
      <c r="A104" s="51" t="s">
        <v>86</v>
      </c>
      <c r="B104" s="51" t="s">
        <v>9</v>
      </c>
      <c r="C104" s="32">
        <v>200</v>
      </c>
      <c r="D104" s="32">
        <v>9000</v>
      </c>
      <c r="E104" s="52">
        <f t="shared" si="1"/>
        <v>1800000</v>
      </c>
    </row>
    <row r="105" spans="1:5" ht="15.6" x14ac:dyDescent="0.3">
      <c r="A105" s="51" t="s">
        <v>87</v>
      </c>
      <c r="B105" s="51" t="s">
        <v>9</v>
      </c>
      <c r="C105" s="32">
        <v>353</v>
      </c>
      <c r="D105" s="32">
        <v>11361</v>
      </c>
      <c r="E105" s="52">
        <f t="shared" si="1"/>
        <v>4010433</v>
      </c>
    </row>
    <row r="106" spans="1:5" ht="15.6" x14ac:dyDescent="0.3">
      <c r="A106" s="51" t="s">
        <v>89</v>
      </c>
      <c r="B106" s="51" t="s">
        <v>3</v>
      </c>
      <c r="C106" s="32">
        <v>17</v>
      </c>
      <c r="D106" s="32">
        <v>18000</v>
      </c>
      <c r="E106" s="52">
        <f t="shared" si="1"/>
        <v>306000</v>
      </c>
    </row>
    <row r="107" spans="1:5" customFormat="1" ht="15.6" hidden="1" x14ac:dyDescent="0.3">
      <c r="A107" s="8" t="s">
        <v>112</v>
      </c>
      <c r="B107" s="8" t="s">
        <v>29</v>
      </c>
      <c r="C107" s="2">
        <v>0</v>
      </c>
      <c r="D107" s="2"/>
      <c r="E107" s="7">
        <f t="shared" si="1"/>
        <v>0</v>
      </c>
    </row>
    <row r="108" spans="1:5" customFormat="1" ht="15.6" hidden="1" x14ac:dyDescent="0.3">
      <c r="A108" s="8" t="s">
        <v>90</v>
      </c>
      <c r="B108" s="8" t="s">
        <v>3</v>
      </c>
      <c r="C108" s="2">
        <v>0</v>
      </c>
      <c r="D108" s="2"/>
      <c r="E108" s="7">
        <f t="shared" si="1"/>
        <v>0</v>
      </c>
    </row>
    <row r="109" spans="1:5" customFormat="1" ht="15.6" hidden="1" x14ac:dyDescent="0.3">
      <c r="A109" s="8" t="s">
        <v>113</v>
      </c>
      <c r="B109" s="8" t="s">
        <v>3</v>
      </c>
      <c r="C109" s="2">
        <v>0</v>
      </c>
      <c r="D109" s="2"/>
      <c r="E109" s="7">
        <f t="shared" si="1"/>
        <v>0</v>
      </c>
    </row>
    <row r="110" spans="1:5" ht="15.6" x14ac:dyDescent="0.3">
      <c r="A110" s="51" t="s">
        <v>91</v>
      </c>
      <c r="B110" s="51" t="s">
        <v>3</v>
      </c>
      <c r="C110" s="32">
        <v>11</v>
      </c>
      <c r="D110" s="32">
        <v>22000</v>
      </c>
      <c r="E110" s="52">
        <f t="shared" si="1"/>
        <v>242000</v>
      </c>
    </row>
    <row r="111" spans="1:5" customFormat="1" ht="15.6" hidden="1" x14ac:dyDescent="0.3">
      <c r="A111" s="8" t="s">
        <v>92</v>
      </c>
      <c r="B111" s="8" t="s">
        <v>3</v>
      </c>
      <c r="C111" s="2">
        <v>0</v>
      </c>
      <c r="D111" s="2"/>
      <c r="E111" s="7">
        <f t="shared" si="1"/>
        <v>0</v>
      </c>
    </row>
    <row r="112" spans="1:5" customFormat="1" ht="15.6" hidden="1" x14ac:dyDescent="0.3">
      <c r="A112" s="8" t="s">
        <v>93</v>
      </c>
      <c r="B112" s="8" t="s">
        <v>19</v>
      </c>
      <c r="C112" s="2">
        <v>0</v>
      </c>
      <c r="D112" s="2"/>
      <c r="E112" s="7">
        <f t="shared" si="1"/>
        <v>0</v>
      </c>
    </row>
    <row r="113" spans="1:5" customFormat="1" ht="15.6" hidden="1" x14ac:dyDescent="0.3">
      <c r="A113" s="8" t="s">
        <v>94</v>
      </c>
      <c r="B113" s="8" t="s">
        <v>3</v>
      </c>
      <c r="C113" s="2">
        <v>0</v>
      </c>
      <c r="D113" s="2"/>
      <c r="E113" s="7">
        <f t="shared" si="1"/>
        <v>0</v>
      </c>
    </row>
    <row r="114" spans="1:5" customFormat="1" ht="15.6" hidden="1" x14ac:dyDescent="0.3">
      <c r="A114" s="8" t="s">
        <v>95</v>
      </c>
      <c r="B114" s="8" t="s">
        <v>19</v>
      </c>
      <c r="C114" s="2">
        <v>0</v>
      </c>
      <c r="D114" s="2"/>
      <c r="E114" s="7">
        <f t="shared" si="1"/>
        <v>0</v>
      </c>
    </row>
    <row r="115" spans="1:5" customFormat="1" ht="15.6" hidden="1" x14ac:dyDescent="0.3">
      <c r="A115" s="8" t="s">
        <v>96</v>
      </c>
      <c r="B115" s="8" t="s">
        <v>3</v>
      </c>
      <c r="C115" s="2">
        <v>0</v>
      </c>
      <c r="D115" s="2"/>
      <c r="E115" s="7">
        <f t="shared" si="1"/>
        <v>0</v>
      </c>
    </row>
    <row r="116" spans="1:5" customFormat="1" ht="15.6" hidden="1" x14ac:dyDescent="0.3">
      <c r="A116" s="8" t="s">
        <v>97</v>
      </c>
      <c r="B116" s="8" t="s">
        <v>3</v>
      </c>
      <c r="C116" s="2">
        <v>0</v>
      </c>
      <c r="D116" s="2"/>
      <c r="E116" s="7">
        <f t="shared" si="1"/>
        <v>0</v>
      </c>
    </row>
    <row r="117" spans="1:5" customFormat="1" ht="15.6" hidden="1" x14ac:dyDescent="0.3">
      <c r="A117" s="8" t="s">
        <v>98</v>
      </c>
      <c r="B117" s="8" t="s">
        <v>19</v>
      </c>
      <c r="C117" s="2">
        <v>0</v>
      </c>
      <c r="D117" s="2"/>
      <c r="E117" s="7">
        <f t="shared" si="1"/>
        <v>0</v>
      </c>
    </row>
    <row r="118" spans="1:5" x14ac:dyDescent="0.3">
      <c r="E118" s="53">
        <f>SUM(E3:E110)</f>
        <v>78505733</v>
      </c>
    </row>
  </sheetData>
  <autoFilter ref="A2:E117" xr:uid="{00000000-0009-0000-0000-000016000000}">
    <filterColumn colId="2">
      <filters>
        <filter val="1"/>
        <filter val="10"/>
        <filter val="105"/>
        <filter val="11"/>
        <filter val="12"/>
        <filter val="13"/>
        <filter val="14"/>
        <filter val="140"/>
        <filter val="144"/>
        <filter val="15"/>
        <filter val="16"/>
        <filter val="17"/>
        <filter val="18"/>
        <filter val="180"/>
        <filter val="2"/>
        <filter val="20"/>
        <filter val="200"/>
        <filter val="220"/>
        <filter val="238"/>
        <filter val="25"/>
        <filter val="263"/>
        <filter val="28"/>
        <filter val="3"/>
        <filter val="30"/>
        <filter val="320"/>
        <filter val="33"/>
        <filter val="353"/>
        <filter val="36"/>
        <filter val="360"/>
        <filter val="38"/>
        <filter val="4"/>
        <filter val="40"/>
        <filter val="420"/>
        <filter val="457"/>
        <filter val="47"/>
        <filter val="5"/>
        <filter val="50"/>
        <filter val="500"/>
        <filter val="6"/>
        <filter val="60"/>
        <filter val="600"/>
        <filter val="68"/>
        <filter val="755"/>
        <filter val="8"/>
        <filter val="840"/>
        <filter val="87"/>
        <filter val="90"/>
        <filter val="915"/>
        <filter val="97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Z115"/>
  <sheetViews>
    <sheetView workbookViewId="0">
      <selection activeCell="E3" sqref="E3"/>
    </sheetView>
  </sheetViews>
  <sheetFormatPr defaultColWidth="8.88671875" defaultRowHeight="15.6" x14ac:dyDescent="0.3"/>
  <cols>
    <col min="1" max="1" width="44.88671875" style="37" bestFit="1" customWidth="1"/>
    <col min="2" max="2" width="17.88671875" style="37" hidden="1" customWidth="1"/>
    <col min="3" max="3" width="13.44140625" style="37" bestFit="1" customWidth="1"/>
    <col min="4" max="4" width="13.44140625" style="44" bestFit="1" customWidth="1"/>
    <col min="5" max="5" width="21.33203125" style="44" customWidth="1"/>
    <col min="6" max="6" width="17.6640625" style="44" customWidth="1"/>
    <col min="7" max="7" width="11.21875" style="37" customWidth="1"/>
    <col min="8" max="25" width="96.5546875" style="37" bestFit="1" customWidth="1"/>
    <col min="26" max="26" width="13.88671875" style="37" bestFit="1" customWidth="1"/>
    <col min="27" max="16384" width="8.88671875" style="37"/>
  </cols>
  <sheetData>
    <row r="1" spans="1:26" s="36" customFormat="1" ht="62.4" x14ac:dyDescent="0.3">
      <c r="A1" s="33" t="s">
        <v>0</v>
      </c>
      <c r="B1" s="33"/>
      <c r="C1" s="33" t="s">
        <v>1</v>
      </c>
      <c r="D1" s="32" t="s">
        <v>235</v>
      </c>
      <c r="E1" s="38" t="s">
        <v>231</v>
      </c>
      <c r="F1" s="38" t="s">
        <v>232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x14ac:dyDescent="0.3">
      <c r="A2" s="34" t="s">
        <v>2</v>
      </c>
      <c r="B2" s="34" t="s">
        <v>152</v>
      </c>
      <c r="C2" s="34" t="s">
        <v>3</v>
      </c>
      <c r="D2" s="32">
        <v>33</v>
      </c>
      <c r="E2" s="47">
        <v>16000</v>
      </c>
      <c r="F2" s="47">
        <f>+E2*D2</f>
        <v>528000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x14ac:dyDescent="0.3">
      <c r="A3" s="34" t="s">
        <v>4</v>
      </c>
      <c r="B3" s="34" t="s">
        <v>153</v>
      </c>
      <c r="C3" s="34" t="s">
        <v>3</v>
      </c>
      <c r="D3" s="32">
        <v>590</v>
      </c>
      <c r="E3" s="47">
        <v>6000</v>
      </c>
      <c r="F3" s="47">
        <f t="shared" ref="F3:F66" si="0">+E3*D3</f>
        <v>3540000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3">
      <c r="A4" s="34" t="s">
        <v>5</v>
      </c>
      <c r="B4" s="34" t="s">
        <v>154</v>
      </c>
      <c r="C4" s="34" t="s">
        <v>3</v>
      </c>
      <c r="D4" s="32">
        <v>814</v>
      </c>
      <c r="E4" s="47">
        <v>3000</v>
      </c>
      <c r="F4" s="47">
        <f t="shared" si="0"/>
        <v>2442000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idden="1" x14ac:dyDescent="0.3">
      <c r="A5" s="34" t="s">
        <v>103</v>
      </c>
      <c r="B5" s="34" t="s">
        <v>155</v>
      </c>
      <c r="C5" s="34" t="s">
        <v>3</v>
      </c>
      <c r="D5" s="32">
        <v>0</v>
      </c>
      <c r="E5" s="47">
        <v>14000</v>
      </c>
      <c r="F5" s="46">
        <f t="shared" si="0"/>
        <v>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x14ac:dyDescent="0.3">
      <c r="A6" s="34" t="s">
        <v>6</v>
      </c>
      <c r="B6" s="34" t="s">
        <v>156</v>
      </c>
      <c r="C6" s="34" t="s">
        <v>3</v>
      </c>
      <c r="D6" s="32">
        <v>5</v>
      </c>
      <c r="E6" s="47">
        <v>8000</v>
      </c>
      <c r="F6" s="47">
        <f t="shared" si="0"/>
        <v>40000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x14ac:dyDescent="0.3">
      <c r="A7" s="34" t="s">
        <v>7</v>
      </c>
      <c r="B7" s="34" t="s">
        <v>157</v>
      </c>
      <c r="C7" s="34" t="s">
        <v>3</v>
      </c>
      <c r="D7" s="32">
        <v>780</v>
      </c>
      <c r="E7" s="47">
        <v>11000</v>
      </c>
      <c r="F7" s="47">
        <f t="shared" si="0"/>
        <v>8580000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x14ac:dyDescent="0.3">
      <c r="A8" s="34" t="s">
        <v>11</v>
      </c>
      <c r="B8" s="34" t="s">
        <v>158</v>
      </c>
      <c r="C8" s="34" t="s">
        <v>3</v>
      </c>
      <c r="D8" s="32">
        <v>175</v>
      </c>
      <c r="E8" s="47">
        <v>15000</v>
      </c>
      <c r="F8" s="47">
        <f t="shared" si="0"/>
        <v>2625000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idden="1" x14ac:dyDescent="0.3">
      <c r="A9" s="34" t="s">
        <v>11</v>
      </c>
      <c r="B9" s="34" t="s">
        <v>158</v>
      </c>
      <c r="C9" s="34" t="s">
        <v>9</v>
      </c>
      <c r="D9" s="32">
        <v>0</v>
      </c>
      <c r="E9" s="47">
        <v>15000</v>
      </c>
      <c r="F9" s="46">
        <f t="shared" si="0"/>
        <v>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x14ac:dyDescent="0.3">
      <c r="A10" s="34" t="s">
        <v>8</v>
      </c>
      <c r="B10" s="34" t="s">
        <v>159</v>
      </c>
      <c r="C10" s="34" t="s">
        <v>3</v>
      </c>
      <c r="D10" s="32">
        <v>24</v>
      </c>
      <c r="E10" s="47">
        <v>13500</v>
      </c>
      <c r="F10" s="47">
        <f t="shared" si="0"/>
        <v>324000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idden="1" x14ac:dyDescent="0.3">
      <c r="A11" s="34" t="s">
        <v>8</v>
      </c>
      <c r="B11" s="34" t="s">
        <v>159</v>
      </c>
      <c r="C11" s="34" t="s">
        <v>9</v>
      </c>
      <c r="D11" s="32">
        <v>0</v>
      </c>
      <c r="E11" s="47">
        <v>13500</v>
      </c>
      <c r="F11" s="46">
        <f t="shared" si="0"/>
        <v>0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idden="1" x14ac:dyDescent="0.3">
      <c r="A12" s="34" t="s">
        <v>21</v>
      </c>
      <c r="B12" s="34" t="s">
        <v>160</v>
      </c>
      <c r="C12" s="34" t="s">
        <v>3</v>
      </c>
      <c r="D12" s="32">
        <v>0</v>
      </c>
      <c r="E12" s="47" t="e">
        <v>#N/A</v>
      </c>
      <c r="F12" s="46" t="e">
        <f t="shared" si="0"/>
        <v>#N/A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idden="1" x14ac:dyDescent="0.3">
      <c r="A13" s="34" t="s">
        <v>140</v>
      </c>
      <c r="B13" s="34" t="s">
        <v>161</v>
      </c>
      <c r="C13" s="34" t="s">
        <v>3</v>
      </c>
      <c r="D13" s="32">
        <v>0</v>
      </c>
      <c r="E13" s="47" t="e">
        <v>#N/A</v>
      </c>
      <c r="F13" s="46" t="e">
        <f t="shared" si="0"/>
        <v>#N/A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x14ac:dyDescent="0.3">
      <c r="A14" s="34" t="s">
        <v>12</v>
      </c>
      <c r="B14" s="34" t="s">
        <v>163</v>
      </c>
      <c r="C14" s="34" t="s">
        <v>3</v>
      </c>
      <c r="D14" s="32">
        <v>2</v>
      </c>
      <c r="E14" s="47">
        <v>12000</v>
      </c>
      <c r="F14" s="47">
        <f t="shared" si="0"/>
        <v>24000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idden="1" x14ac:dyDescent="0.3">
      <c r="A15" s="34" t="s">
        <v>13</v>
      </c>
      <c r="B15" s="34" t="s">
        <v>164</v>
      </c>
      <c r="C15" s="34" t="s">
        <v>3</v>
      </c>
      <c r="D15" s="32">
        <v>0</v>
      </c>
      <c r="E15" s="47" t="e">
        <v>#N/A</v>
      </c>
      <c r="F15" s="46" t="e">
        <f t="shared" si="0"/>
        <v>#N/A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x14ac:dyDescent="0.3">
      <c r="A16" s="34" t="s">
        <v>14</v>
      </c>
      <c r="B16" s="34" t="s">
        <v>165</v>
      </c>
      <c r="C16" s="34" t="s">
        <v>3</v>
      </c>
      <c r="D16" s="32">
        <v>26</v>
      </c>
      <c r="E16" s="47">
        <v>14000</v>
      </c>
      <c r="F16" s="47">
        <f t="shared" si="0"/>
        <v>364000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x14ac:dyDescent="0.3">
      <c r="A17" s="34" t="s">
        <v>15</v>
      </c>
      <c r="B17" s="34" t="s">
        <v>166</v>
      </c>
      <c r="C17" s="34" t="s">
        <v>3</v>
      </c>
      <c r="D17" s="32">
        <v>96</v>
      </c>
      <c r="E17" s="47">
        <v>23000</v>
      </c>
      <c r="F17" s="47">
        <f t="shared" si="0"/>
        <v>2208000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idden="1" x14ac:dyDescent="0.3">
      <c r="A18" s="34" t="s">
        <v>16</v>
      </c>
      <c r="B18" s="34" t="s">
        <v>167</v>
      </c>
      <c r="C18" s="34" t="s">
        <v>17</v>
      </c>
      <c r="D18" s="32">
        <v>0</v>
      </c>
      <c r="E18" s="47">
        <v>6000</v>
      </c>
      <c r="F18" s="46">
        <f t="shared" si="0"/>
        <v>0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idden="1" x14ac:dyDescent="0.3">
      <c r="A19" s="34" t="s">
        <v>18</v>
      </c>
      <c r="B19" s="34">
        <v>0</v>
      </c>
      <c r="C19" s="34" t="s">
        <v>19</v>
      </c>
      <c r="D19" s="32">
        <v>0</v>
      </c>
      <c r="E19" s="47">
        <v>5000</v>
      </c>
      <c r="F19" s="46">
        <f t="shared" si="0"/>
        <v>0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x14ac:dyDescent="0.3">
      <c r="A20" s="34" t="s">
        <v>20</v>
      </c>
      <c r="B20" s="34" t="s">
        <v>168</v>
      </c>
      <c r="C20" s="34" t="s">
        <v>3</v>
      </c>
      <c r="D20" s="32">
        <v>23</v>
      </c>
      <c r="E20" s="47">
        <v>17000</v>
      </c>
      <c r="F20" s="47">
        <f t="shared" si="0"/>
        <v>391000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x14ac:dyDescent="0.3">
      <c r="A21" s="34" t="s">
        <v>22</v>
      </c>
      <c r="B21" s="34" t="s">
        <v>169</v>
      </c>
      <c r="C21" s="34" t="s">
        <v>3</v>
      </c>
      <c r="D21" s="32">
        <v>80</v>
      </c>
      <c r="E21" s="47">
        <v>14000</v>
      </c>
      <c r="F21" s="47">
        <f t="shared" si="0"/>
        <v>1120000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idden="1" x14ac:dyDescent="0.3">
      <c r="A22" s="34" t="s">
        <v>22</v>
      </c>
      <c r="B22" s="34" t="s">
        <v>169</v>
      </c>
      <c r="C22" s="34" t="s">
        <v>17</v>
      </c>
      <c r="D22" s="32">
        <v>0</v>
      </c>
      <c r="E22" s="47">
        <v>14000</v>
      </c>
      <c r="F22" s="46">
        <f t="shared" si="0"/>
        <v>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idden="1" x14ac:dyDescent="0.3">
      <c r="A23" s="34" t="s">
        <v>22</v>
      </c>
      <c r="B23" s="34" t="s">
        <v>169</v>
      </c>
      <c r="C23" s="34" t="s">
        <v>23</v>
      </c>
      <c r="D23" s="32">
        <v>0</v>
      </c>
      <c r="E23" s="47">
        <v>14000</v>
      </c>
      <c r="F23" s="46">
        <f t="shared" si="0"/>
        <v>0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x14ac:dyDescent="0.3">
      <c r="A24" s="34" t="s">
        <v>24</v>
      </c>
      <c r="B24" s="34" t="s">
        <v>170</v>
      </c>
      <c r="C24" s="34" t="s">
        <v>3</v>
      </c>
      <c r="D24" s="32">
        <v>29</v>
      </c>
      <c r="E24" s="47">
        <v>16000</v>
      </c>
      <c r="F24" s="47">
        <f t="shared" si="0"/>
        <v>464000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idden="1" x14ac:dyDescent="0.3">
      <c r="A25" s="34" t="s">
        <v>24</v>
      </c>
      <c r="B25" s="34" t="s">
        <v>170</v>
      </c>
      <c r="C25" s="34" t="s">
        <v>25</v>
      </c>
      <c r="D25" s="32">
        <v>0</v>
      </c>
      <c r="E25" s="47">
        <v>16000</v>
      </c>
      <c r="F25" s="46">
        <f t="shared" si="0"/>
        <v>0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x14ac:dyDescent="0.3">
      <c r="A26" s="34" t="s">
        <v>236</v>
      </c>
      <c r="B26" s="34" t="s">
        <v>237</v>
      </c>
      <c r="C26" s="34" t="s">
        <v>31</v>
      </c>
      <c r="D26" s="32">
        <v>32</v>
      </c>
      <c r="E26" s="47">
        <v>16000</v>
      </c>
      <c r="F26" s="47">
        <f t="shared" si="0"/>
        <v>512000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x14ac:dyDescent="0.3">
      <c r="A27" s="34" t="s">
        <v>26</v>
      </c>
      <c r="B27" s="34" t="s">
        <v>171</v>
      </c>
      <c r="C27" s="34" t="s">
        <v>3</v>
      </c>
      <c r="D27" s="32">
        <v>13</v>
      </c>
      <c r="E27" s="47">
        <v>10000</v>
      </c>
      <c r="F27" s="47">
        <f t="shared" si="0"/>
        <v>130000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x14ac:dyDescent="0.3">
      <c r="A28" s="34" t="s">
        <v>26</v>
      </c>
      <c r="B28" s="34" t="s">
        <v>171</v>
      </c>
      <c r="C28" s="34" t="s">
        <v>27</v>
      </c>
      <c r="D28" s="32">
        <v>38</v>
      </c>
      <c r="E28" s="47">
        <v>10000</v>
      </c>
      <c r="F28" s="47">
        <f t="shared" si="0"/>
        <v>380000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x14ac:dyDescent="0.3">
      <c r="A29" s="34" t="s">
        <v>28</v>
      </c>
      <c r="B29" s="34" t="s">
        <v>172</v>
      </c>
      <c r="C29" s="34" t="s">
        <v>29</v>
      </c>
      <c r="D29" s="32">
        <v>7</v>
      </c>
      <c r="E29" s="47">
        <v>12000</v>
      </c>
      <c r="F29" s="47">
        <f t="shared" si="0"/>
        <v>84000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idden="1" x14ac:dyDescent="0.3">
      <c r="A30" s="34" t="s">
        <v>30</v>
      </c>
      <c r="B30" s="34" t="s">
        <v>173</v>
      </c>
      <c r="C30" s="34" t="s">
        <v>3</v>
      </c>
      <c r="D30" s="32">
        <v>0</v>
      </c>
      <c r="E30" s="47">
        <v>22000</v>
      </c>
      <c r="F30" s="46">
        <f t="shared" si="0"/>
        <v>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x14ac:dyDescent="0.3">
      <c r="A31" s="34" t="s">
        <v>30</v>
      </c>
      <c r="B31" s="34" t="s">
        <v>173</v>
      </c>
      <c r="C31" s="34" t="s">
        <v>31</v>
      </c>
      <c r="D31" s="32">
        <v>441</v>
      </c>
      <c r="E31" s="47">
        <v>22000</v>
      </c>
      <c r="F31" s="47">
        <f t="shared" si="0"/>
        <v>9702000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x14ac:dyDescent="0.3">
      <c r="A32" s="34" t="s">
        <v>32</v>
      </c>
      <c r="B32" s="34" t="s">
        <v>174</v>
      </c>
      <c r="C32" s="34" t="s">
        <v>3</v>
      </c>
      <c r="D32" s="32">
        <v>320</v>
      </c>
      <c r="E32" s="47">
        <v>16000</v>
      </c>
      <c r="F32" s="47">
        <f t="shared" si="0"/>
        <v>5120000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idden="1" x14ac:dyDescent="0.3">
      <c r="A33" s="34" t="s">
        <v>32</v>
      </c>
      <c r="B33" s="34" t="s">
        <v>174</v>
      </c>
      <c r="C33" s="34" t="s">
        <v>17</v>
      </c>
      <c r="D33" s="32">
        <v>0</v>
      </c>
      <c r="E33" s="47">
        <v>16000</v>
      </c>
      <c r="F33" s="46">
        <f t="shared" si="0"/>
        <v>0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idden="1" x14ac:dyDescent="0.3">
      <c r="A34" s="34" t="s">
        <v>33</v>
      </c>
      <c r="B34" s="34" t="s">
        <v>175</v>
      </c>
      <c r="C34" s="34" t="s">
        <v>34</v>
      </c>
      <c r="D34" s="32">
        <v>0</v>
      </c>
      <c r="E34" s="47" t="e">
        <v>#N/A</v>
      </c>
      <c r="F34" s="46" t="e">
        <f t="shared" si="0"/>
        <v>#N/A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x14ac:dyDescent="0.3">
      <c r="A35" s="34" t="s">
        <v>35</v>
      </c>
      <c r="B35" s="34" t="s">
        <v>176</v>
      </c>
      <c r="C35" s="34" t="s">
        <v>3</v>
      </c>
      <c r="D35" s="32">
        <v>130</v>
      </c>
      <c r="E35" s="47">
        <v>6500</v>
      </c>
      <c r="F35" s="47">
        <f t="shared" si="0"/>
        <v>845000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idden="1" x14ac:dyDescent="0.3">
      <c r="A36" s="34" t="s">
        <v>35</v>
      </c>
      <c r="B36" s="34" t="s">
        <v>176</v>
      </c>
      <c r="C36" s="34" t="s">
        <v>34</v>
      </c>
      <c r="D36" s="32">
        <v>0</v>
      </c>
      <c r="E36" s="47">
        <v>6500</v>
      </c>
      <c r="F36" s="46">
        <f t="shared" si="0"/>
        <v>0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x14ac:dyDescent="0.3">
      <c r="A37" s="34" t="s">
        <v>36</v>
      </c>
      <c r="B37" s="34" t="s">
        <v>177</v>
      </c>
      <c r="C37" s="34" t="s">
        <v>17</v>
      </c>
      <c r="D37" s="32">
        <v>10</v>
      </c>
      <c r="E37" s="47">
        <v>6000</v>
      </c>
      <c r="F37" s="47">
        <f t="shared" si="0"/>
        <v>60000</v>
      </c>
      <c r="G37" s="56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x14ac:dyDescent="0.3">
      <c r="A38" s="34" t="s">
        <v>37</v>
      </c>
      <c r="B38" s="34" t="s">
        <v>178</v>
      </c>
      <c r="C38" s="34" t="s">
        <v>3</v>
      </c>
      <c r="D38" s="32">
        <v>46</v>
      </c>
      <c r="E38" s="47">
        <v>8000</v>
      </c>
      <c r="F38" s="47">
        <f t="shared" si="0"/>
        <v>368000</v>
      </c>
      <c r="G38" s="56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idden="1" x14ac:dyDescent="0.3">
      <c r="A39" s="34" t="s">
        <v>37</v>
      </c>
      <c r="B39" s="34" t="s">
        <v>178</v>
      </c>
      <c r="C39" s="34" t="s">
        <v>38</v>
      </c>
      <c r="D39" s="32">
        <v>0</v>
      </c>
      <c r="E39" s="47">
        <v>8000</v>
      </c>
      <c r="F39" s="46">
        <f t="shared" si="0"/>
        <v>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idden="1" x14ac:dyDescent="0.3">
      <c r="A40" s="34" t="s">
        <v>39</v>
      </c>
      <c r="B40" s="34" t="s">
        <v>179</v>
      </c>
      <c r="C40" s="34" t="s">
        <v>3</v>
      </c>
      <c r="D40" s="32">
        <v>0</v>
      </c>
      <c r="E40" s="47">
        <v>22000</v>
      </c>
      <c r="F40" s="46">
        <f t="shared" si="0"/>
        <v>0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idden="1" x14ac:dyDescent="0.3">
      <c r="A41" s="34" t="s">
        <v>39</v>
      </c>
      <c r="B41" s="34" t="s">
        <v>179</v>
      </c>
      <c r="C41" s="34" t="s">
        <v>34</v>
      </c>
      <c r="D41" s="32">
        <v>0</v>
      </c>
      <c r="E41" s="47">
        <v>22000</v>
      </c>
      <c r="F41" s="46">
        <f t="shared" si="0"/>
        <v>0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x14ac:dyDescent="0.3">
      <c r="A42" s="34" t="s">
        <v>40</v>
      </c>
      <c r="B42" s="34" t="s">
        <v>180</v>
      </c>
      <c r="C42" s="34" t="s">
        <v>34</v>
      </c>
      <c r="D42" s="32">
        <v>3</v>
      </c>
      <c r="E42" s="47">
        <v>3000</v>
      </c>
      <c r="F42" s="47">
        <f t="shared" si="0"/>
        <v>9000</v>
      </c>
      <c r="G42" s="56"/>
    </row>
    <row r="43" spans="1:26" x14ac:dyDescent="0.3">
      <c r="A43" s="34" t="s">
        <v>41</v>
      </c>
      <c r="B43" s="34" t="s">
        <v>181</v>
      </c>
      <c r="C43" s="34" t="s">
        <v>3</v>
      </c>
      <c r="D43" s="32">
        <v>4</v>
      </c>
      <c r="E43" s="47">
        <v>3300</v>
      </c>
      <c r="F43" s="47">
        <f t="shared" si="0"/>
        <v>13200</v>
      </c>
      <c r="G43" s="56"/>
    </row>
    <row r="44" spans="1:26" hidden="1" x14ac:dyDescent="0.3">
      <c r="A44" s="34" t="s">
        <v>41</v>
      </c>
      <c r="B44" s="34" t="s">
        <v>181</v>
      </c>
      <c r="C44" s="34" t="s">
        <v>34</v>
      </c>
      <c r="D44" s="32">
        <v>0</v>
      </c>
      <c r="E44" s="47">
        <v>3300</v>
      </c>
      <c r="F44" s="46">
        <f t="shared" si="0"/>
        <v>0</v>
      </c>
    </row>
    <row r="45" spans="1:26" hidden="1" x14ac:dyDescent="0.3">
      <c r="A45" s="34" t="s">
        <v>42</v>
      </c>
      <c r="B45" s="34" t="s">
        <v>182</v>
      </c>
      <c r="C45" s="34" t="s">
        <v>3</v>
      </c>
      <c r="D45" s="32">
        <v>0</v>
      </c>
      <c r="E45" s="47">
        <v>5000</v>
      </c>
      <c r="F45" s="46">
        <f t="shared" si="0"/>
        <v>0</v>
      </c>
    </row>
    <row r="46" spans="1:26" hidden="1" x14ac:dyDescent="0.3">
      <c r="A46" s="34" t="s">
        <v>43</v>
      </c>
      <c r="B46" s="34" t="s">
        <v>238</v>
      </c>
      <c r="C46" s="34" t="s">
        <v>3</v>
      </c>
      <c r="D46" s="32">
        <v>0</v>
      </c>
      <c r="E46" s="47">
        <v>12000</v>
      </c>
      <c r="F46" s="46">
        <f t="shared" si="0"/>
        <v>0</v>
      </c>
    </row>
    <row r="47" spans="1:26" x14ac:dyDescent="0.3">
      <c r="A47" s="34" t="s">
        <v>44</v>
      </c>
      <c r="B47" s="34" t="s">
        <v>183</v>
      </c>
      <c r="C47" s="34" t="s">
        <v>3</v>
      </c>
      <c r="D47" s="32">
        <v>840</v>
      </c>
      <c r="E47" s="47">
        <v>3000</v>
      </c>
      <c r="F47" s="47">
        <f t="shared" si="0"/>
        <v>2520000</v>
      </c>
      <c r="G47" s="56"/>
    </row>
    <row r="48" spans="1:26" hidden="1" x14ac:dyDescent="0.3">
      <c r="A48" s="34" t="s">
        <v>45</v>
      </c>
      <c r="B48" s="34" t="s">
        <v>184</v>
      </c>
      <c r="C48" s="34" t="s">
        <v>3</v>
      </c>
      <c r="D48" s="32">
        <v>0</v>
      </c>
      <c r="E48" s="47">
        <v>11000</v>
      </c>
      <c r="F48" s="46">
        <f t="shared" si="0"/>
        <v>0</v>
      </c>
    </row>
    <row r="49" spans="1:7" hidden="1" x14ac:dyDescent="0.3">
      <c r="A49" s="34" t="s">
        <v>45</v>
      </c>
      <c r="B49" s="34" t="s">
        <v>184</v>
      </c>
      <c r="C49" s="34" t="s">
        <v>19</v>
      </c>
      <c r="D49" s="32">
        <v>0</v>
      </c>
      <c r="E49" s="47">
        <v>11000</v>
      </c>
      <c r="F49" s="46">
        <f t="shared" si="0"/>
        <v>0</v>
      </c>
    </row>
    <row r="50" spans="1:7" hidden="1" x14ac:dyDescent="0.3">
      <c r="A50" s="34" t="s">
        <v>63</v>
      </c>
      <c r="B50" s="34" t="s">
        <v>185</v>
      </c>
      <c r="C50" s="34" t="s">
        <v>3</v>
      </c>
      <c r="D50" s="32">
        <v>0</v>
      </c>
      <c r="E50" s="47">
        <v>14000</v>
      </c>
      <c r="F50" s="46">
        <f t="shared" si="0"/>
        <v>0</v>
      </c>
    </row>
    <row r="51" spans="1:7" hidden="1" x14ac:dyDescent="0.3">
      <c r="A51" s="34" t="s">
        <v>46</v>
      </c>
      <c r="B51" s="34" t="s">
        <v>186</v>
      </c>
      <c r="C51" s="34" t="s">
        <v>29</v>
      </c>
      <c r="D51" s="32">
        <v>0</v>
      </c>
      <c r="E51" s="47">
        <v>10000</v>
      </c>
      <c r="F51" s="46">
        <f t="shared" si="0"/>
        <v>0</v>
      </c>
    </row>
    <row r="52" spans="1:7" hidden="1" x14ac:dyDescent="0.3">
      <c r="A52" s="34" t="s">
        <v>47</v>
      </c>
      <c r="B52" s="34" t="s">
        <v>187</v>
      </c>
      <c r="C52" s="34" t="s">
        <v>3</v>
      </c>
      <c r="D52" s="32">
        <v>0</v>
      </c>
      <c r="E52" s="47">
        <v>4000</v>
      </c>
      <c r="F52" s="46">
        <f t="shared" si="0"/>
        <v>0</v>
      </c>
    </row>
    <row r="53" spans="1:7" x14ac:dyDescent="0.3">
      <c r="A53" s="34" t="s">
        <v>48</v>
      </c>
      <c r="B53" s="34" t="s">
        <v>188</v>
      </c>
      <c r="C53" s="34" t="s">
        <v>3</v>
      </c>
      <c r="D53" s="32">
        <v>45</v>
      </c>
      <c r="E53" s="47">
        <v>9000</v>
      </c>
      <c r="F53" s="47">
        <f t="shared" si="0"/>
        <v>405000</v>
      </c>
      <c r="G53" s="56"/>
    </row>
    <row r="54" spans="1:7" hidden="1" x14ac:dyDescent="0.3">
      <c r="A54" s="34" t="s">
        <v>48</v>
      </c>
      <c r="B54" s="34" t="s">
        <v>188</v>
      </c>
      <c r="C54" s="34" t="s">
        <v>34</v>
      </c>
      <c r="D54" s="32">
        <v>0</v>
      </c>
      <c r="E54" s="47">
        <v>9000</v>
      </c>
      <c r="F54" s="46">
        <f t="shared" si="0"/>
        <v>0</v>
      </c>
    </row>
    <row r="55" spans="1:7" x14ac:dyDescent="0.3">
      <c r="A55" s="34" t="s">
        <v>49</v>
      </c>
      <c r="B55" s="34" t="s">
        <v>189</v>
      </c>
      <c r="C55" s="34" t="s">
        <v>3</v>
      </c>
      <c r="D55" s="32">
        <v>6</v>
      </c>
      <c r="E55" s="47">
        <v>19000</v>
      </c>
      <c r="F55" s="47">
        <f t="shared" si="0"/>
        <v>114000</v>
      </c>
      <c r="G55" s="56"/>
    </row>
    <row r="56" spans="1:7" x14ac:dyDescent="0.3">
      <c r="A56" s="34" t="s">
        <v>50</v>
      </c>
      <c r="B56" s="34" t="s">
        <v>190</v>
      </c>
      <c r="C56" s="34" t="s">
        <v>3</v>
      </c>
      <c r="D56" s="32">
        <v>80</v>
      </c>
      <c r="E56" s="47">
        <v>7000</v>
      </c>
      <c r="F56" s="47">
        <f t="shared" si="0"/>
        <v>560000</v>
      </c>
      <c r="G56" s="56"/>
    </row>
    <row r="57" spans="1:7" hidden="1" x14ac:dyDescent="0.3">
      <c r="A57" s="34" t="s">
        <v>50</v>
      </c>
      <c r="B57" s="34" t="s">
        <v>190</v>
      </c>
      <c r="C57" s="34" t="s">
        <v>51</v>
      </c>
      <c r="D57" s="32">
        <v>0</v>
      </c>
      <c r="E57" s="47">
        <v>7000</v>
      </c>
      <c r="F57" s="46">
        <f t="shared" si="0"/>
        <v>0</v>
      </c>
    </row>
    <row r="58" spans="1:7" x14ac:dyDescent="0.3">
      <c r="A58" s="34" t="s">
        <v>104</v>
      </c>
      <c r="B58" s="34" t="s">
        <v>239</v>
      </c>
      <c r="C58" s="34" t="s">
        <v>3</v>
      </c>
      <c r="D58" s="32">
        <v>120</v>
      </c>
      <c r="E58" s="47">
        <v>20000</v>
      </c>
      <c r="F58" s="47">
        <f t="shared" si="0"/>
        <v>2400000</v>
      </c>
      <c r="G58" s="56"/>
    </row>
    <row r="59" spans="1:7" x14ac:dyDescent="0.3">
      <c r="A59" s="34" t="s">
        <v>52</v>
      </c>
      <c r="B59" s="34" t="s">
        <v>191</v>
      </c>
      <c r="C59" s="34" t="s">
        <v>34</v>
      </c>
      <c r="D59" s="32">
        <v>400</v>
      </c>
      <c r="E59" s="47">
        <v>1350</v>
      </c>
      <c r="F59" s="47">
        <f t="shared" si="0"/>
        <v>540000</v>
      </c>
      <c r="G59" s="56"/>
    </row>
    <row r="60" spans="1:7" x14ac:dyDescent="0.3">
      <c r="A60" s="34" t="s">
        <v>53</v>
      </c>
      <c r="B60" s="34" t="s">
        <v>192</v>
      </c>
      <c r="C60" s="34" t="s">
        <v>3</v>
      </c>
      <c r="D60" s="32">
        <v>260</v>
      </c>
      <c r="E60" s="47">
        <v>26000</v>
      </c>
      <c r="F60" s="47">
        <f t="shared" si="0"/>
        <v>6760000</v>
      </c>
      <c r="G60" s="56"/>
    </row>
    <row r="61" spans="1:7" hidden="1" x14ac:dyDescent="0.3">
      <c r="A61" s="34" t="s">
        <v>54</v>
      </c>
      <c r="B61" s="34" t="s">
        <v>193</v>
      </c>
      <c r="C61" s="34" t="s">
        <v>3</v>
      </c>
      <c r="D61" s="32">
        <v>0</v>
      </c>
      <c r="E61" s="47" t="e">
        <v>#N/A</v>
      </c>
      <c r="F61" s="46" t="e">
        <f t="shared" si="0"/>
        <v>#N/A</v>
      </c>
    </row>
    <row r="62" spans="1:7" hidden="1" x14ac:dyDescent="0.3">
      <c r="A62" s="34" t="s">
        <v>54</v>
      </c>
      <c r="B62" s="34" t="s">
        <v>193</v>
      </c>
      <c r="C62" s="34" t="s">
        <v>34</v>
      </c>
      <c r="D62" s="32">
        <v>0</v>
      </c>
      <c r="E62" s="47" t="e">
        <v>#N/A</v>
      </c>
      <c r="F62" s="46" t="e">
        <f t="shared" si="0"/>
        <v>#N/A</v>
      </c>
    </row>
    <row r="63" spans="1:7" x14ac:dyDescent="0.3">
      <c r="A63" s="34" t="s">
        <v>55</v>
      </c>
      <c r="B63" s="34" t="s">
        <v>194</v>
      </c>
      <c r="C63" s="34" t="s">
        <v>3</v>
      </c>
      <c r="D63" s="32">
        <v>320</v>
      </c>
      <c r="E63" s="47">
        <v>14800</v>
      </c>
      <c r="F63" s="47">
        <f t="shared" si="0"/>
        <v>4736000</v>
      </c>
      <c r="G63" s="56"/>
    </row>
    <row r="64" spans="1:7" x14ac:dyDescent="0.3">
      <c r="A64" s="34" t="s">
        <v>56</v>
      </c>
      <c r="B64" s="34" t="s">
        <v>195</v>
      </c>
      <c r="C64" s="34" t="s">
        <v>3</v>
      </c>
      <c r="D64" s="32">
        <v>35</v>
      </c>
      <c r="E64" s="47">
        <v>25000</v>
      </c>
      <c r="F64" s="47">
        <f t="shared" si="0"/>
        <v>875000</v>
      </c>
      <c r="G64" s="56"/>
    </row>
    <row r="65" spans="1:7" hidden="1" x14ac:dyDescent="0.3">
      <c r="A65" s="34" t="s">
        <v>57</v>
      </c>
      <c r="B65" s="34" t="e">
        <v>#N/A</v>
      </c>
      <c r="C65" s="34" t="s">
        <v>3</v>
      </c>
      <c r="D65" s="32">
        <v>0</v>
      </c>
      <c r="E65" s="47" t="e">
        <v>#N/A</v>
      </c>
      <c r="F65" s="46" t="e">
        <f t="shared" si="0"/>
        <v>#N/A</v>
      </c>
    </row>
    <row r="66" spans="1:7" x14ac:dyDescent="0.3">
      <c r="A66" s="34" t="s">
        <v>59</v>
      </c>
      <c r="B66" s="34" t="s">
        <v>196</v>
      </c>
      <c r="C66" s="34" t="s">
        <v>3</v>
      </c>
      <c r="D66" s="32">
        <v>570</v>
      </c>
      <c r="E66" s="47">
        <v>11000</v>
      </c>
      <c r="F66" s="47">
        <f t="shared" si="0"/>
        <v>6270000</v>
      </c>
      <c r="G66" s="56"/>
    </row>
    <row r="67" spans="1:7" hidden="1" x14ac:dyDescent="0.3">
      <c r="A67" s="34" t="s">
        <v>59</v>
      </c>
      <c r="B67" s="34" t="s">
        <v>196</v>
      </c>
      <c r="C67" s="34" t="s">
        <v>34</v>
      </c>
      <c r="D67" s="32">
        <v>0</v>
      </c>
      <c r="E67" s="47">
        <v>11000</v>
      </c>
      <c r="F67" s="46">
        <f t="shared" ref="F67:F114" si="1">+E67*D67</f>
        <v>0</v>
      </c>
    </row>
    <row r="68" spans="1:7" x14ac:dyDescent="0.3">
      <c r="A68" s="34" t="s">
        <v>60</v>
      </c>
      <c r="B68" s="34" t="s">
        <v>197</v>
      </c>
      <c r="C68" s="34" t="s">
        <v>34</v>
      </c>
      <c r="D68" s="32">
        <v>120</v>
      </c>
      <c r="E68" s="47">
        <v>5000</v>
      </c>
      <c r="F68" s="47">
        <f t="shared" si="1"/>
        <v>600000</v>
      </c>
      <c r="G68" s="56"/>
    </row>
    <row r="69" spans="1:7" hidden="1" x14ac:dyDescent="0.3">
      <c r="A69" s="34" t="s">
        <v>61</v>
      </c>
      <c r="B69" s="34" t="s">
        <v>198</v>
      </c>
      <c r="C69" s="34" t="s">
        <v>3</v>
      </c>
      <c r="D69" s="32">
        <v>0</v>
      </c>
      <c r="E69" s="47">
        <v>9000</v>
      </c>
      <c r="F69" s="46">
        <f t="shared" si="1"/>
        <v>0</v>
      </c>
    </row>
    <row r="70" spans="1:7" x14ac:dyDescent="0.3">
      <c r="A70" s="34" t="s">
        <v>67</v>
      </c>
      <c r="B70" s="34" t="s">
        <v>199</v>
      </c>
      <c r="C70" s="34" t="s">
        <v>34</v>
      </c>
      <c r="D70" s="32">
        <v>15</v>
      </c>
      <c r="E70" s="47">
        <v>6000</v>
      </c>
      <c r="F70" s="47">
        <f t="shared" si="1"/>
        <v>90000</v>
      </c>
      <c r="G70" s="56"/>
    </row>
    <row r="71" spans="1:7" hidden="1" x14ac:dyDescent="0.3">
      <c r="A71" s="34" t="s">
        <v>68</v>
      </c>
      <c r="B71" s="34" t="s">
        <v>200</v>
      </c>
      <c r="C71" s="34" t="s">
        <v>3</v>
      </c>
      <c r="D71" s="32">
        <v>0</v>
      </c>
      <c r="E71" s="47">
        <v>7000</v>
      </c>
      <c r="F71" s="46">
        <f t="shared" si="1"/>
        <v>0</v>
      </c>
    </row>
    <row r="72" spans="1:7" x14ac:dyDescent="0.3">
      <c r="A72" s="34" t="s">
        <v>68</v>
      </c>
      <c r="B72" s="34" t="s">
        <v>200</v>
      </c>
      <c r="C72" s="34" t="s">
        <v>34</v>
      </c>
      <c r="D72" s="32">
        <v>29</v>
      </c>
      <c r="E72" s="47">
        <v>7000</v>
      </c>
      <c r="F72" s="47">
        <f t="shared" si="1"/>
        <v>203000</v>
      </c>
      <c r="G72" s="56"/>
    </row>
    <row r="73" spans="1:7" hidden="1" x14ac:dyDescent="0.3">
      <c r="A73" s="34" t="s">
        <v>69</v>
      </c>
      <c r="B73" s="34" t="s">
        <v>201</v>
      </c>
      <c r="C73" s="34" t="s">
        <v>3</v>
      </c>
      <c r="D73" s="32">
        <v>0.3</v>
      </c>
      <c r="E73" s="47">
        <v>80000</v>
      </c>
      <c r="F73" s="46">
        <f t="shared" si="1"/>
        <v>24000</v>
      </c>
    </row>
    <row r="74" spans="1:7" hidden="1" x14ac:dyDescent="0.3">
      <c r="A74" s="34" t="s">
        <v>70</v>
      </c>
      <c r="B74" s="34" t="s">
        <v>202</v>
      </c>
      <c r="C74" s="34" t="s">
        <v>3</v>
      </c>
      <c r="D74" s="32">
        <v>0</v>
      </c>
      <c r="E74" s="47">
        <v>70000</v>
      </c>
      <c r="F74" s="46">
        <f t="shared" si="1"/>
        <v>0</v>
      </c>
    </row>
    <row r="75" spans="1:7" x14ac:dyDescent="0.3">
      <c r="A75" s="34" t="s">
        <v>71</v>
      </c>
      <c r="B75" s="34" t="s">
        <v>203</v>
      </c>
      <c r="C75" s="34" t="s">
        <v>3</v>
      </c>
      <c r="D75" s="32">
        <v>0.5</v>
      </c>
      <c r="E75" s="47">
        <v>70000</v>
      </c>
      <c r="F75" s="47">
        <f t="shared" si="1"/>
        <v>35000</v>
      </c>
      <c r="G75" s="56"/>
    </row>
    <row r="76" spans="1:7" hidden="1" x14ac:dyDescent="0.3">
      <c r="A76" s="34" t="s">
        <v>117</v>
      </c>
      <c r="B76" s="34" t="s">
        <v>240</v>
      </c>
      <c r="C76" s="34" t="s">
        <v>34</v>
      </c>
      <c r="D76" s="32">
        <v>0</v>
      </c>
      <c r="E76" s="47" t="e">
        <v>#N/A</v>
      </c>
      <c r="F76" s="46" t="e">
        <f t="shared" si="1"/>
        <v>#N/A</v>
      </c>
    </row>
    <row r="77" spans="1:7" x14ac:dyDescent="0.3">
      <c r="A77" s="34" t="s">
        <v>64</v>
      </c>
      <c r="B77" s="34" t="s">
        <v>204</v>
      </c>
      <c r="C77" s="34" t="s">
        <v>3</v>
      </c>
      <c r="D77" s="32">
        <v>243</v>
      </c>
      <c r="E77" s="47">
        <v>9000</v>
      </c>
      <c r="F77" s="47">
        <f t="shared" si="1"/>
        <v>2187000</v>
      </c>
      <c r="G77" s="56"/>
    </row>
    <row r="78" spans="1:7" hidden="1" x14ac:dyDescent="0.3">
      <c r="A78" s="34" t="s">
        <v>64</v>
      </c>
      <c r="B78" s="34" t="s">
        <v>204</v>
      </c>
      <c r="C78" s="34" t="s">
        <v>17</v>
      </c>
      <c r="D78" s="32">
        <v>0</v>
      </c>
      <c r="E78" s="47">
        <v>9000</v>
      </c>
      <c r="F78" s="46">
        <f t="shared" si="1"/>
        <v>0</v>
      </c>
    </row>
    <row r="79" spans="1:7" x14ac:dyDescent="0.3">
      <c r="A79" s="34" t="s">
        <v>65</v>
      </c>
      <c r="B79" s="34" t="s">
        <v>205</v>
      </c>
      <c r="C79" s="34" t="s">
        <v>3</v>
      </c>
      <c r="D79" s="32">
        <v>2</v>
      </c>
      <c r="E79" s="47">
        <v>20000</v>
      </c>
      <c r="F79" s="47">
        <f t="shared" si="1"/>
        <v>40000</v>
      </c>
      <c r="G79" s="56"/>
    </row>
    <row r="80" spans="1:7" x14ac:dyDescent="0.3">
      <c r="A80" s="34" t="s">
        <v>66</v>
      </c>
      <c r="B80" s="34" t="s">
        <v>206</v>
      </c>
      <c r="C80" s="34" t="s">
        <v>3</v>
      </c>
      <c r="D80" s="32">
        <v>25</v>
      </c>
      <c r="E80" s="47">
        <v>10000</v>
      </c>
      <c r="F80" s="47">
        <f t="shared" si="1"/>
        <v>250000</v>
      </c>
      <c r="G80" s="56"/>
    </row>
    <row r="81" spans="1:7" x14ac:dyDescent="0.3">
      <c r="A81" s="34" t="s">
        <v>72</v>
      </c>
      <c r="B81" s="34" t="s">
        <v>207</v>
      </c>
      <c r="C81" s="34" t="s">
        <v>3</v>
      </c>
      <c r="D81" s="32">
        <v>44</v>
      </c>
      <c r="E81" s="47">
        <v>11500</v>
      </c>
      <c r="F81" s="47">
        <f t="shared" si="1"/>
        <v>506000</v>
      </c>
      <c r="G81" s="56"/>
    </row>
    <row r="82" spans="1:7" hidden="1" x14ac:dyDescent="0.3">
      <c r="A82" s="34" t="s">
        <v>72</v>
      </c>
      <c r="B82" s="34" t="s">
        <v>207</v>
      </c>
      <c r="C82" s="34" t="s">
        <v>19</v>
      </c>
      <c r="D82" s="32">
        <v>0</v>
      </c>
      <c r="E82" s="47">
        <v>11500</v>
      </c>
      <c r="F82" s="46">
        <f t="shared" si="1"/>
        <v>0</v>
      </c>
    </row>
    <row r="83" spans="1:7" hidden="1" x14ac:dyDescent="0.3">
      <c r="A83" s="34" t="s">
        <v>73</v>
      </c>
      <c r="B83" s="34" t="s">
        <v>208</v>
      </c>
      <c r="C83" s="34" t="s">
        <v>3</v>
      </c>
      <c r="D83" s="32">
        <v>0</v>
      </c>
      <c r="E83" s="47" t="e">
        <v>#N/A</v>
      </c>
      <c r="F83" s="46" t="e">
        <f t="shared" si="1"/>
        <v>#N/A</v>
      </c>
    </row>
    <row r="84" spans="1:7" x14ac:dyDescent="0.3">
      <c r="A84" s="34" t="s">
        <v>107</v>
      </c>
      <c r="B84" s="34" t="s">
        <v>241</v>
      </c>
      <c r="C84" s="34" t="s">
        <v>29</v>
      </c>
      <c r="D84" s="32">
        <v>1</v>
      </c>
      <c r="E84" s="47">
        <v>125000</v>
      </c>
      <c r="F84" s="47">
        <f t="shared" si="1"/>
        <v>125000</v>
      </c>
      <c r="G84" s="56"/>
    </row>
    <row r="85" spans="1:7" hidden="1" x14ac:dyDescent="0.3">
      <c r="A85" s="34" t="s">
        <v>74</v>
      </c>
      <c r="B85" s="34" t="s">
        <v>209</v>
      </c>
      <c r="C85" s="34" t="s">
        <v>34</v>
      </c>
      <c r="D85" s="32">
        <v>0</v>
      </c>
      <c r="E85" s="47">
        <v>2400</v>
      </c>
      <c r="F85" s="46">
        <f t="shared" si="1"/>
        <v>0</v>
      </c>
    </row>
    <row r="86" spans="1:7" x14ac:dyDescent="0.3">
      <c r="A86" s="34" t="s">
        <v>75</v>
      </c>
      <c r="B86" s="34" t="s">
        <v>210</v>
      </c>
      <c r="C86" s="34" t="s">
        <v>3</v>
      </c>
      <c r="D86" s="32">
        <v>30</v>
      </c>
      <c r="E86" s="47">
        <v>140000</v>
      </c>
      <c r="F86" s="47">
        <f t="shared" si="1"/>
        <v>4200000</v>
      </c>
      <c r="G86" s="56"/>
    </row>
    <row r="87" spans="1:7" x14ac:dyDescent="0.3">
      <c r="A87" s="34" t="s">
        <v>76</v>
      </c>
      <c r="B87" s="34" t="s">
        <v>211</v>
      </c>
      <c r="C87" s="34" t="s">
        <v>3</v>
      </c>
      <c r="D87" s="32">
        <v>65</v>
      </c>
      <c r="E87" s="47">
        <v>70000</v>
      </c>
      <c r="F87" s="47">
        <f t="shared" si="1"/>
        <v>4550000</v>
      </c>
      <c r="G87" s="56"/>
    </row>
    <row r="88" spans="1:7" hidden="1" x14ac:dyDescent="0.3">
      <c r="A88" s="34" t="s">
        <v>137</v>
      </c>
      <c r="B88" s="34" t="s">
        <v>242</v>
      </c>
      <c r="C88" s="34" t="s">
        <v>3</v>
      </c>
      <c r="D88" s="32">
        <v>0</v>
      </c>
      <c r="E88" s="47" t="e">
        <v>#N/A</v>
      </c>
      <c r="F88" s="46" t="e">
        <f t="shared" si="1"/>
        <v>#N/A</v>
      </c>
    </row>
    <row r="89" spans="1:7" hidden="1" x14ac:dyDescent="0.3">
      <c r="A89" s="34" t="s">
        <v>79</v>
      </c>
      <c r="B89" s="34" t="s">
        <v>212</v>
      </c>
      <c r="C89" s="34" t="s">
        <v>17</v>
      </c>
      <c r="D89" s="32">
        <v>0</v>
      </c>
      <c r="E89" s="47" t="e">
        <v>#N/A</v>
      </c>
      <c r="F89" s="46" t="e">
        <f t="shared" si="1"/>
        <v>#N/A</v>
      </c>
    </row>
    <row r="90" spans="1:7" hidden="1" x14ac:dyDescent="0.3">
      <c r="A90" s="34" t="s">
        <v>80</v>
      </c>
      <c r="B90" s="34" t="s">
        <v>213</v>
      </c>
      <c r="C90" s="34" t="s">
        <v>29</v>
      </c>
      <c r="D90" s="32">
        <v>0</v>
      </c>
      <c r="E90" s="47">
        <v>28000</v>
      </c>
      <c r="F90" s="46">
        <f t="shared" si="1"/>
        <v>0</v>
      </c>
    </row>
    <row r="91" spans="1:7" x14ac:dyDescent="0.3">
      <c r="A91" s="34" t="s">
        <v>80</v>
      </c>
      <c r="B91" s="34" t="s">
        <v>213</v>
      </c>
      <c r="C91" s="34" t="s">
        <v>3</v>
      </c>
      <c r="D91" s="32">
        <v>2</v>
      </c>
      <c r="E91" s="47">
        <v>28000</v>
      </c>
      <c r="F91" s="47">
        <f t="shared" si="1"/>
        <v>56000</v>
      </c>
      <c r="G91" s="56"/>
    </row>
    <row r="92" spans="1:7" x14ac:dyDescent="0.3">
      <c r="A92" s="34" t="s">
        <v>81</v>
      </c>
      <c r="B92" s="34" t="s">
        <v>214</v>
      </c>
      <c r="C92" s="34" t="s">
        <v>3</v>
      </c>
      <c r="D92" s="32">
        <v>40</v>
      </c>
      <c r="E92" s="47">
        <v>21000</v>
      </c>
      <c r="F92" s="47">
        <f t="shared" si="1"/>
        <v>840000</v>
      </c>
      <c r="G92" s="56"/>
    </row>
    <row r="93" spans="1:7" hidden="1" x14ac:dyDescent="0.3">
      <c r="A93" s="34" t="s">
        <v>81</v>
      </c>
      <c r="B93" s="34" t="s">
        <v>214</v>
      </c>
      <c r="C93" s="34" t="s">
        <v>9</v>
      </c>
      <c r="D93" s="32">
        <v>0</v>
      </c>
      <c r="E93" s="47">
        <v>21000</v>
      </c>
      <c r="F93" s="46">
        <f t="shared" si="1"/>
        <v>0</v>
      </c>
    </row>
    <row r="94" spans="1:7" x14ac:dyDescent="0.3">
      <c r="A94" s="34" t="s">
        <v>108</v>
      </c>
      <c r="B94" s="34" t="s">
        <v>215</v>
      </c>
      <c r="C94" s="34" t="s">
        <v>3</v>
      </c>
      <c r="D94" s="32">
        <v>20</v>
      </c>
      <c r="E94" s="47">
        <v>16000</v>
      </c>
      <c r="F94" s="47">
        <f t="shared" si="1"/>
        <v>320000</v>
      </c>
      <c r="G94" s="56"/>
    </row>
    <row r="95" spans="1:7" x14ac:dyDescent="0.3">
      <c r="A95" s="34" t="s">
        <v>82</v>
      </c>
      <c r="B95" s="34" t="s">
        <v>216</v>
      </c>
      <c r="C95" s="34" t="s">
        <v>3</v>
      </c>
      <c r="D95" s="32">
        <v>65</v>
      </c>
      <c r="E95" s="47">
        <v>29000</v>
      </c>
      <c r="F95" s="47">
        <f t="shared" si="1"/>
        <v>1885000</v>
      </c>
      <c r="G95" s="56"/>
    </row>
    <row r="96" spans="1:7" hidden="1" x14ac:dyDescent="0.3">
      <c r="A96" s="34" t="s">
        <v>82</v>
      </c>
      <c r="B96" s="34" t="s">
        <v>216</v>
      </c>
      <c r="C96" s="34" t="s">
        <v>9</v>
      </c>
      <c r="D96" s="32">
        <v>0</v>
      </c>
      <c r="E96" s="47">
        <v>29000</v>
      </c>
      <c r="F96" s="46">
        <f t="shared" si="1"/>
        <v>0</v>
      </c>
    </row>
    <row r="97" spans="1:7" hidden="1" x14ac:dyDescent="0.3">
      <c r="A97" s="34" t="s">
        <v>83</v>
      </c>
      <c r="B97" s="34" t="s">
        <v>218</v>
      </c>
      <c r="C97" s="34" t="s">
        <v>3</v>
      </c>
      <c r="D97" s="32">
        <v>0</v>
      </c>
      <c r="E97" s="47">
        <v>28000</v>
      </c>
      <c r="F97" s="46">
        <f t="shared" si="1"/>
        <v>0</v>
      </c>
    </row>
    <row r="98" spans="1:7" hidden="1" x14ac:dyDescent="0.3">
      <c r="A98" s="34" t="s">
        <v>83</v>
      </c>
      <c r="B98" s="34" t="s">
        <v>218</v>
      </c>
      <c r="C98" s="34" t="s">
        <v>9</v>
      </c>
      <c r="D98" s="32">
        <v>0</v>
      </c>
      <c r="E98" s="47">
        <v>28000</v>
      </c>
      <c r="F98" s="46">
        <f t="shared" si="1"/>
        <v>0</v>
      </c>
    </row>
    <row r="99" spans="1:7" x14ac:dyDescent="0.3">
      <c r="A99" s="34" t="s">
        <v>110</v>
      </c>
      <c r="B99" s="34" t="s">
        <v>243</v>
      </c>
      <c r="C99" s="34" t="s">
        <v>3</v>
      </c>
      <c r="D99" s="32">
        <v>10</v>
      </c>
      <c r="E99" s="47">
        <v>14000</v>
      </c>
      <c r="F99" s="47">
        <f t="shared" si="1"/>
        <v>140000</v>
      </c>
      <c r="G99" s="56"/>
    </row>
    <row r="100" spans="1:7" x14ac:dyDescent="0.3">
      <c r="A100" s="34" t="s">
        <v>84</v>
      </c>
      <c r="B100" s="34" t="s">
        <v>219</v>
      </c>
      <c r="C100" s="34" t="s">
        <v>34</v>
      </c>
      <c r="D100" s="32">
        <v>45</v>
      </c>
      <c r="E100" s="47">
        <v>17000</v>
      </c>
      <c r="F100" s="47">
        <f t="shared" si="1"/>
        <v>765000</v>
      </c>
      <c r="G100" s="56"/>
    </row>
    <row r="101" spans="1:7" hidden="1" x14ac:dyDescent="0.3">
      <c r="A101" s="34" t="s">
        <v>85</v>
      </c>
      <c r="B101" s="34" t="s">
        <v>220</v>
      </c>
      <c r="C101" s="34" t="s">
        <v>34</v>
      </c>
      <c r="D101" s="32">
        <v>0</v>
      </c>
      <c r="E101" s="47">
        <v>26700</v>
      </c>
      <c r="F101" s="46">
        <f t="shared" si="1"/>
        <v>0</v>
      </c>
    </row>
    <row r="102" spans="1:7" x14ac:dyDescent="0.3">
      <c r="A102" s="34" t="s">
        <v>86</v>
      </c>
      <c r="B102" s="34">
        <v>0</v>
      </c>
      <c r="C102" s="34" t="s">
        <v>9</v>
      </c>
      <c r="D102" s="32">
        <v>200</v>
      </c>
      <c r="E102" s="47">
        <v>10000</v>
      </c>
      <c r="F102" s="47">
        <f t="shared" si="1"/>
        <v>2000000</v>
      </c>
      <c r="G102" s="56"/>
    </row>
    <row r="103" spans="1:7" x14ac:dyDescent="0.3">
      <c r="A103" s="34" t="s">
        <v>87</v>
      </c>
      <c r="B103" s="34">
        <v>0</v>
      </c>
      <c r="C103" s="34" t="s">
        <v>9</v>
      </c>
      <c r="D103" s="32">
        <v>353</v>
      </c>
      <c r="E103" s="47">
        <v>11361</v>
      </c>
      <c r="F103" s="47">
        <f t="shared" si="1"/>
        <v>4010433</v>
      </c>
      <c r="G103" s="56"/>
    </row>
    <row r="104" spans="1:7" hidden="1" x14ac:dyDescent="0.3">
      <c r="A104" s="34" t="s">
        <v>88</v>
      </c>
      <c r="B104" s="34">
        <v>0</v>
      </c>
      <c r="C104" s="34" t="s">
        <v>3</v>
      </c>
      <c r="D104" s="32">
        <v>0</v>
      </c>
      <c r="E104" s="47" t="e">
        <v>#N/A</v>
      </c>
      <c r="F104" s="46" t="e">
        <f t="shared" si="1"/>
        <v>#N/A</v>
      </c>
    </row>
    <row r="105" spans="1:7" x14ac:dyDescent="0.3">
      <c r="A105" s="34" t="s">
        <v>89</v>
      </c>
      <c r="B105" s="34" t="s">
        <v>221</v>
      </c>
      <c r="C105" s="34" t="s">
        <v>3</v>
      </c>
      <c r="D105" s="32">
        <v>19</v>
      </c>
      <c r="E105" s="47">
        <v>13000</v>
      </c>
      <c r="F105" s="47">
        <f t="shared" si="1"/>
        <v>247000</v>
      </c>
      <c r="G105" s="56"/>
    </row>
    <row r="106" spans="1:7" x14ac:dyDescent="0.3">
      <c r="A106" s="34" t="s">
        <v>90</v>
      </c>
      <c r="B106" s="34" t="s">
        <v>222</v>
      </c>
      <c r="C106" s="34" t="s">
        <v>3</v>
      </c>
      <c r="D106" s="32">
        <v>25</v>
      </c>
      <c r="E106" s="47">
        <v>8000</v>
      </c>
      <c r="F106" s="47">
        <f t="shared" si="1"/>
        <v>200000</v>
      </c>
      <c r="G106" s="56"/>
    </row>
    <row r="107" spans="1:7" hidden="1" x14ac:dyDescent="0.3">
      <c r="A107" s="34" t="s">
        <v>91</v>
      </c>
      <c r="B107" s="34" t="s">
        <v>223</v>
      </c>
      <c r="C107" s="34" t="s">
        <v>3</v>
      </c>
      <c r="D107" s="32">
        <v>0</v>
      </c>
      <c r="E107" s="47">
        <v>12000</v>
      </c>
      <c r="F107" s="46">
        <f t="shared" si="1"/>
        <v>0</v>
      </c>
    </row>
    <row r="108" spans="1:7" hidden="1" x14ac:dyDescent="0.3">
      <c r="A108" s="34" t="s">
        <v>92</v>
      </c>
      <c r="B108" s="34" t="s">
        <v>224</v>
      </c>
      <c r="C108" s="34" t="s">
        <v>3</v>
      </c>
      <c r="D108" s="32">
        <v>0</v>
      </c>
      <c r="E108" s="47">
        <v>26000</v>
      </c>
      <c r="F108" s="46">
        <f t="shared" si="1"/>
        <v>0</v>
      </c>
    </row>
    <row r="109" spans="1:7" hidden="1" x14ac:dyDescent="0.3">
      <c r="A109" s="34" t="s">
        <v>93</v>
      </c>
      <c r="B109" s="34" t="s">
        <v>225</v>
      </c>
      <c r="C109" s="34" t="s">
        <v>19</v>
      </c>
      <c r="D109" s="32">
        <v>0</v>
      </c>
      <c r="E109" s="47">
        <v>6800</v>
      </c>
      <c r="F109" s="46">
        <f t="shared" si="1"/>
        <v>0</v>
      </c>
    </row>
    <row r="110" spans="1:7" hidden="1" x14ac:dyDescent="0.3">
      <c r="A110" s="34" t="s">
        <v>94</v>
      </c>
      <c r="B110" s="34" t="s">
        <v>226</v>
      </c>
      <c r="C110" s="34" t="s">
        <v>3</v>
      </c>
      <c r="D110" s="32">
        <v>0</v>
      </c>
      <c r="E110" s="47">
        <v>26000</v>
      </c>
      <c r="F110" s="46">
        <f t="shared" si="1"/>
        <v>0</v>
      </c>
    </row>
    <row r="111" spans="1:7" hidden="1" x14ac:dyDescent="0.3">
      <c r="A111" s="34" t="s">
        <v>95</v>
      </c>
      <c r="B111" s="34" t="s">
        <v>227</v>
      </c>
      <c r="C111" s="34" t="s">
        <v>19</v>
      </c>
      <c r="D111" s="32">
        <v>0</v>
      </c>
      <c r="E111" s="47">
        <v>6800</v>
      </c>
      <c r="F111" s="46">
        <f t="shared" si="1"/>
        <v>0</v>
      </c>
    </row>
    <row r="112" spans="1:7" hidden="1" x14ac:dyDescent="0.3">
      <c r="A112" s="34" t="s">
        <v>96</v>
      </c>
      <c r="B112" s="34" t="s">
        <v>228</v>
      </c>
      <c r="C112" s="34" t="s">
        <v>3</v>
      </c>
      <c r="D112" s="32">
        <v>0</v>
      </c>
      <c r="E112" s="47" t="e">
        <v>#N/A</v>
      </c>
      <c r="F112" s="46" t="e">
        <f t="shared" si="1"/>
        <v>#N/A</v>
      </c>
    </row>
    <row r="113" spans="1:7" hidden="1" x14ac:dyDescent="0.3">
      <c r="A113" s="34" t="s">
        <v>97</v>
      </c>
      <c r="B113" s="34" t="s">
        <v>229</v>
      </c>
      <c r="C113" s="34" t="s">
        <v>3</v>
      </c>
      <c r="D113" s="32">
        <v>0</v>
      </c>
      <c r="E113" s="47">
        <v>25000</v>
      </c>
      <c r="F113" s="46">
        <f t="shared" si="1"/>
        <v>0</v>
      </c>
    </row>
    <row r="114" spans="1:7" x14ac:dyDescent="0.3">
      <c r="A114" s="34" t="s">
        <v>98</v>
      </c>
      <c r="B114" s="34" t="s">
        <v>230</v>
      </c>
      <c r="C114" s="34" t="s">
        <v>19</v>
      </c>
      <c r="D114" s="32">
        <v>100</v>
      </c>
      <c r="E114" s="47">
        <v>7500</v>
      </c>
      <c r="F114" s="47">
        <f t="shared" si="1"/>
        <v>750000</v>
      </c>
      <c r="G114" s="56"/>
    </row>
    <row r="115" spans="1:7" x14ac:dyDescent="0.3">
      <c r="A115" s="34" t="e">
        <v>#N/A</v>
      </c>
      <c r="B115" s="34" t="e">
        <v>#N/A</v>
      </c>
      <c r="C115" s="34">
        <v>0</v>
      </c>
      <c r="D115" s="32">
        <v>7045.8</v>
      </c>
      <c r="E115" s="39"/>
      <c r="F115" s="39">
        <f>SUBTOTAL(9,F2:F114)</f>
        <v>89052633</v>
      </c>
    </row>
  </sheetData>
  <autoFilter ref="A1:CT115" xr:uid="{00000000-0009-0000-0000-000017000000}">
    <filterColumn colId="3">
      <filters>
        <filter val="1"/>
        <filter val="10"/>
        <filter val="100"/>
        <filter val="120"/>
        <filter val="13"/>
        <filter val="130"/>
        <filter val="15"/>
        <filter val="175"/>
        <filter val="19"/>
        <filter val="2"/>
        <filter val="20"/>
        <filter val="200"/>
        <filter val="23"/>
        <filter val="24"/>
        <filter val="243"/>
        <filter val="25"/>
        <filter val="26"/>
        <filter val="260"/>
        <filter val="29"/>
        <filter val="3"/>
        <filter val="30"/>
        <filter val="32"/>
        <filter val="320"/>
        <filter val="33"/>
        <filter val="35"/>
        <filter val="353"/>
        <filter val="38"/>
        <filter val="4"/>
        <filter val="40"/>
        <filter val="400"/>
        <filter val="44"/>
        <filter val="441"/>
        <filter val="45"/>
        <filter val="46"/>
        <filter val="5"/>
        <filter val="570"/>
        <filter val="590"/>
        <filter val="6"/>
        <filter val="65"/>
        <filter val="7"/>
        <filter val="7,046"/>
        <filter val="780"/>
        <filter val="80"/>
        <filter val="814"/>
        <filter val="840"/>
        <filter val="96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E120"/>
  <sheetViews>
    <sheetView workbookViewId="0">
      <selection activeCell="J95" sqref="J95"/>
    </sheetView>
  </sheetViews>
  <sheetFormatPr defaultRowHeight="14.4" x14ac:dyDescent="0.3"/>
  <cols>
    <col min="1" max="1" width="29.33203125" customWidth="1"/>
    <col min="4" max="4" width="11.5546875" customWidth="1"/>
    <col min="5" max="5" width="20.109375" customWidth="1"/>
  </cols>
  <sheetData>
    <row r="1" spans="1:5" x14ac:dyDescent="0.3">
      <c r="A1" t="s">
        <v>245</v>
      </c>
    </row>
    <row r="2" spans="1:5" ht="25.8" customHeight="1" x14ac:dyDescent="0.3">
      <c r="A2" s="10" t="s">
        <v>0</v>
      </c>
      <c r="B2" s="10" t="s">
        <v>1</v>
      </c>
      <c r="C2" s="2" t="s">
        <v>100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38</v>
      </c>
      <c r="D3" s="7">
        <v>16000</v>
      </c>
      <c r="E3" s="12">
        <f>C3*D3</f>
        <v>608000</v>
      </c>
    </row>
    <row r="4" spans="1:5" ht="15.6" x14ac:dyDescent="0.3">
      <c r="A4" s="8" t="s">
        <v>4</v>
      </c>
      <c r="B4" s="8" t="s">
        <v>3</v>
      </c>
      <c r="C4" s="2">
        <v>700</v>
      </c>
      <c r="D4" s="7">
        <v>8000</v>
      </c>
      <c r="E4" s="12">
        <f t="shared" ref="E4:E67" si="0">C4*D4</f>
        <v>5600000</v>
      </c>
    </row>
    <row r="5" spans="1:5" ht="15.6" x14ac:dyDescent="0.3">
      <c r="A5" s="8" t="s">
        <v>5</v>
      </c>
      <c r="B5" s="8" t="s">
        <v>3</v>
      </c>
      <c r="C5" s="2">
        <v>758</v>
      </c>
      <c r="D5" s="7">
        <v>3500</v>
      </c>
      <c r="E5" s="12">
        <f t="shared" si="0"/>
        <v>2653000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x14ac:dyDescent="0.3">
      <c r="A7" s="8" t="s">
        <v>6</v>
      </c>
      <c r="B7" s="8" t="s">
        <v>3</v>
      </c>
      <c r="C7" s="2">
        <v>5</v>
      </c>
      <c r="D7" s="7">
        <v>8000</v>
      </c>
      <c r="E7" s="12">
        <f t="shared" si="0"/>
        <v>40000</v>
      </c>
    </row>
    <row r="8" spans="1:5" ht="15.6" x14ac:dyDescent="0.3">
      <c r="A8" s="8" t="s">
        <v>7</v>
      </c>
      <c r="B8" s="8" t="s">
        <v>3</v>
      </c>
      <c r="C8" s="2">
        <v>544</v>
      </c>
      <c r="D8" s="7">
        <v>9000</v>
      </c>
      <c r="E8" s="12">
        <f t="shared" si="0"/>
        <v>4896000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7"/>
      <c r="E9" s="12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240</v>
      </c>
      <c r="D10" s="7">
        <v>7000</v>
      </c>
      <c r="E10" s="12">
        <f t="shared" si="0"/>
        <v>1680000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7"/>
      <c r="E11" s="12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5</v>
      </c>
      <c r="D12" s="7">
        <v>10000</v>
      </c>
      <c r="E12" s="12">
        <f t="shared" si="0"/>
        <v>50000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7"/>
      <c r="E13" s="12">
        <f t="shared" si="0"/>
        <v>0</v>
      </c>
    </row>
    <row r="14" spans="1:5" ht="15.6" hidden="1" x14ac:dyDescent="0.3">
      <c r="A14" s="8" t="s">
        <v>140</v>
      </c>
      <c r="B14" s="8" t="s">
        <v>3</v>
      </c>
      <c r="C14" s="2">
        <v>0</v>
      </c>
      <c r="D14" s="7"/>
      <c r="E14" s="12">
        <f t="shared" si="0"/>
        <v>0</v>
      </c>
    </row>
    <row r="15" spans="1:5" ht="15.6" x14ac:dyDescent="0.3">
      <c r="A15" s="8" t="s">
        <v>122</v>
      </c>
      <c r="B15" s="8" t="s">
        <v>3</v>
      </c>
      <c r="C15" s="2">
        <v>3</v>
      </c>
      <c r="D15" s="7">
        <v>110000</v>
      </c>
      <c r="E15" s="12">
        <f t="shared" si="0"/>
        <v>330000</v>
      </c>
    </row>
    <row r="16" spans="1:5" ht="15.6" hidden="1" x14ac:dyDescent="0.3">
      <c r="A16" s="8" t="s">
        <v>12</v>
      </c>
      <c r="B16" s="8" t="s">
        <v>3</v>
      </c>
      <c r="C16" s="2">
        <v>0</v>
      </c>
      <c r="D16" s="7"/>
      <c r="E16" s="12">
        <f t="shared" si="0"/>
        <v>0</v>
      </c>
    </row>
    <row r="17" spans="1:5" ht="15.6" hidden="1" x14ac:dyDescent="0.3">
      <c r="A17" s="8" t="s">
        <v>14</v>
      </c>
      <c r="B17" s="8" t="s">
        <v>3</v>
      </c>
      <c r="C17" s="2">
        <v>0</v>
      </c>
      <c r="D17" s="7"/>
      <c r="E17" s="12">
        <f t="shared" si="0"/>
        <v>0</v>
      </c>
    </row>
    <row r="18" spans="1:5" ht="15.6" hidden="1" x14ac:dyDescent="0.3">
      <c r="A18" s="8" t="s">
        <v>15</v>
      </c>
      <c r="B18" s="8" t="s">
        <v>3</v>
      </c>
      <c r="C18" s="2">
        <v>0</v>
      </c>
      <c r="D18" s="7"/>
      <c r="E18" s="12">
        <f t="shared" si="0"/>
        <v>0</v>
      </c>
    </row>
    <row r="19" spans="1:5" ht="15.6" hidden="1" x14ac:dyDescent="0.3">
      <c r="A19" s="8" t="s">
        <v>16</v>
      </c>
      <c r="B19" s="8" t="s">
        <v>17</v>
      </c>
      <c r="C19" s="2">
        <v>0</v>
      </c>
      <c r="D19" s="7"/>
      <c r="E19" s="12">
        <f t="shared" si="0"/>
        <v>0</v>
      </c>
    </row>
    <row r="20" spans="1:5" ht="15.6" hidden="1" x14ac:dyDescent="0.3">
      <c r="A20" s="8" t="s">
        <v>20</v>
      </c>
      <c r="B20" s="8" t="s">
        <v>3</v>
      </c>
      <c r="C20" s="2">
        <v>0</v>
      </c>
      <c r="D20" s="7"/>
      <c r="E20" s="12">
        <f t="shared" si="0"/>
        <v>0</v>
      </c>
    </row>
    <row r="21" spans="1:5" ht="15.6" x14ac:dyDescent="0.3">
      <c r="A21" s="8" t="s">
        <v>22</v>
      </c>
      <c r="B21" s="8" t="s">
        <v>3</v>
      </c>
      <c r="C21" s="2">
        <v>160</v>
      </c>
      <c r="D21" s="7">
        <v>12000</v>
      </c>
      <c r="E21" s="12">
        <f t="shared" si="0"/>
        <v>1920000</v>
      </c>
    </row>
    <row r="22" spans="1:5" ht="15.6" hidden="1" x14ac:dyDescent="0.3">
      <c r="A22" s="8" t="s">
        <v>22</v>
      </c>
      <c r="B22" s="8" t="s">
        <v>23</v>
      </c>
      <c r="C22" s="2">
        <v>0</v>
      </c>
      <c r="D22" s="7"/>
      <c r="E22" s="12">
        <f t="shared" si="0"/>
        <v>0</v>
      </c>
    </row>
    <row r="23" spans="1:5" ht="15.6" x14ac:dyDescent="0.3">
      <c r="A23" s="8" t="s">
        <v>24</v>
      </c>
      <c r="B23" s="8" t="s">
        <v>3</v>
      </c>
      <c r="C23" s="2">
        <v>33</v>
      </c>
      <c r="D23" s="7">
        <v>12000</v>
      </c>
      <c r="E23" s="12">
        <f t="shared" si="0"/>
        <v>396000</v>
      </c>
    </row>
    <row r="24" spans="1:5" ht="15.6" hidden="1" x14ac:dyDescent="0.3">
      <c r="A24" s="8" t="s">
        <v>24</v>
      </c>
      <c r="B24" s="8" t="s">
        <v>25</v>
      </c>
      <c r="C24" s="2">
        <v>0</v>
      </c>
      <c r="D24" s="7"/>
      <c r="E24" s="12">
        <f t="shared" si="0"/>
        <v>0</v>
      </c>
    </row>
    <row r="25" spans="1:5" ht="15.6" x14ac:dyDescent="0.3">
      <c r="A25" s="8" t="s">
        <v>26</v>
      </c>
      <c r="B25" s="8" t="s">
        <v>3</v>
      </c>
      <c r="C25" s="2">
        <v>13</v>
      </c>
      <c r="D25" s="7">
        <v>15000</v>
      </c>
      <c r="E25" s="12">
        <f t="shared" si="0"/>
        <v>195000</v>
      </c>
    </row>
    <row r="26" spans="1:5" ht="15.6" x14ac:dyDescent="0.3">
      <c r="A26" s="8" t="s">
        <v>26</v>
      </c>
      <c r="B26" s="8" t="s">
        <v>27</v>
      </c>
      <c r="C26" s="2">
        <v>52</v>
      </c>
      <c r="D26" s="7">
        <v>4500</v>
      </c>
      <c r="E26" s="12">
        <f t="shared" si="0"/>
        <v>234000</v>
      </c>
    </row>
    <row r="27" spans="1:5" ht="15.6" hidden="1" x14ac:dyDescent="0.3">
      <c r="A27" s="8" t="s">
        <v>28</v>
      </c>
      <c r="B27" s="8" t="s">
        <v>29</v>
      </c>
      <c r="C27" s="2">
        <v>0</v>
      </c>
      <c r="D27" s="7"/>
      <c r="E27" s="12">
        <f t="shared" si="0"/>
        <v>0</v>
      </c>
    </row>
    <row r="28" spans="1:5" ht="15.6" hidden="1" x14ac:dyDescent="0.3">
      <c r="A28" s="8" t="s">
        <v>30</v>
      </c>
      <c r="B28" s="8" t="s">
        <v>3</v>
      </c>
      <c r="C28" s="2">
        <v>0</v>
      </c>
      <c r="D28" s="7"/>
      <c r="E28" s="12">
        <f t="shared" si="0"/>
        <v>0</v>
      </c>
    </row>
    <row r="29" spans="1:5" ht="15.6" x14ac:dyDescent="0.3">
      <c r="A29" s="8" t="s">
        <v>30</v>
      </c>
      <c r="B29" s="8" t="s">
        <v>244</v>
      </c>
      <c r="C29" s="2">
        <v>218</v>
      </c>
      <c r="D29" s="7">
        <v>7500</v>
      </c>
      <c r="E29" s="12">
        <f t="shared" si="0"/>
        <v>1635000</v>
      </c>
    </row>
    <row r="30" spans="1:5" ht="15.6" x14ac:dyDescent="0.3">
      <c r="A30" s="8" t="s">
        <v>32</v>
      </c>
      <c r="B30" s="8" t="s">
        <v>3</v>
      </c>
      <c r="C30" s="2">
        <v>330</v>
      </c>
      <c r="D30" s="7">
        <v>10000</v>
      </c>
      <c r="E30" s="12">
        <f t="shared" si="0"/>
        <v>3300000</v>
      </c>
    </row>
    <row r="31" spans="1:5" ht="15.6" hidden="1" x14ac:dyDescent="0.3">
      <c r="A31" s="8" t="s">
        <v>32</v>
      </c>
      <c r="B31" s="8" t="s">
        <v>17</v>
      </c>
      <c r="C31" s="2">
        <v>0</v>
      </c>
      <c r="D31" s="7"/>
      <c r="E31" s="12">
        <f t="shared" si="0"/>
        <v>0</v>
      </c>
    </row>
    <row r="32" spans="1:5" ht="15.6" x14ac:dyDescent="0.3">
      <c r="A32" s="8" t="s">
        <v>33</v>
      </c>
      <c r="B32" s="8" t="s">
        <v>34</v>
      </c>
      <c r="C32" s="2">
        <v>100</v>
      </c>
      <c r="D32" s="7">
        <v>7000</v>
      </c>
      <c r="E32" s="12">
        <f t="shared" si="0"/>
        <v>700000</v>
      </c>
    </row>
    <row r="33" spans="1:5" ht="15.6" x14ac:dyDescent="0.3">
      <c r="A33" s="8" t="s">
        <v>35</v>
      </c>
      <c r="B33" s="8" t="s">
        <v>3</v>
      </c>
      <c r="C33" s="2">
        <v>95</v>
      </c>
      <c r="D33" s="7">
        <v>8000</v>
      </c>
      <c r="E33" s="12">
        <f t="shared" si="0"/>
        <v>760000</v>
      </c>
    </row>
    <row r="34" spans="1:5" ht="15.6" hidden="1" x14ac:dyDescent="0.3">
      <c r="A34" s="8" t="s">
        <v>35</v>
      </c>
      <c r="B34" s="8" t="s">
        <v>34</v>
      </c>
      <c r="C34" s="2">
        <v>0</v>
      </c>
      <c r="D34" s="7"/>
      <c r="E34" s="12">
        <f t="shared" si="0"/>
        <v>0</v>
      </c>
    </row>
    <row r="35" spans="1:5" ht="15.6" x14ac:dyDescent="0.3">
      <c r="A35" s="8" t="s">
        <v>36</v>
      </c>
      <c r="B35" s="8" t="s">
        <v>17</v>
      </c>
      <c r="C35" s="2">
        <v>10</v>
      </c>
      <c r="D35" s="7">
        <v>5500</v>
      </c>
      <c r="E35" s="12">
        <f t="shared" si="0"/>
        <v>55000</v>
      </c>
    </row>
    <row r="36" spans="1:5" ht="15.6" x14ac:dyDescent="0.3">
      <c r="A36" s="8" t="s">
        <v>37</v>
      </c>
      <c r="B36" s="8" t="s">
        <v>3</v>
      </c>
      <c r="C36" s="2">
        <v>60</v>
      </c>
      <c r="D36" s="7">
        <v>8000</v>
      </c>
      <c r="E36" s="12">
        <f t="shared" si="0"/>
        <v>480000</v>
      </c>
    </row>
    <row r="37" spans="1:5" ht="15.6" hidden="1" x14ac:dyDescent="0.3">
      <c r="A37" s="8" t="s">
        <v>37</v>
      </c>
      <c r="B37" s="8" t="s">
        <v>38</v>
      </c>
      <c r="C37" s="2">
        <v>0</v>
      </c>
      <c r="D37" s="7"/>
      <c r="E37" s="12">
        <f t="shared" si="0"/>
        <v>0</v>
      </c>
    </row>
    <row r="38" spans="1:5" ht="15.6" hidden="1" x14ac:dyDescent="0.3">
      <c r="A38" s="8" t="s">
        <v>39</v>
      </c>
      <c r="B38" s="8" t="s">
        <v>3</v>
      </c>
      <c r="C38" s="2">
        <v>0</v>
      </c>
      <c r="D38" s="7"/>
      <c r="E38" s="12">
        <f t="shared" si="0"/>
        <v>0</v>
      </c>
    </row>
    <row r="39" spans="1:5" ht="15.6" hidden="1" x14ac:dyDescent="0.3">
      <c r="A39" s="8" t="s">
        <v>39</v>
      </c>
      <c r="B39" s="8" t="s">
        <v>34</v>
      </c>
      <c r="C39" s="2">
        <v>0</v>
      </c>
      <c r="D39" s="7"/>
      <c r="E39" s="12">
        <f t="shared" si="0"/>
        <v>0</v>
      </c>
    </row>
    <row r="40" spans="1:5" ht="15.6" hidden="1" x14ac:dyDescent="0.3">
      <c r="A40" s="8" t="s">
        <v>40</v>
      </c>
      <c r="B40" s="8" t="s">
        <v>3</v>
      </c>
      <c r="C40" s="2">
        <v>0</v>
      </c>
      <c r="D40" s="7"/>
      <c r="E40" s="12">
        <f t="shared" si="0"/>
        <v>0</v>
      </c>
    </row>
    <row r="41" spans="1:5" ht="15.6" x14ac:dyDescent="0.3">
      <c r="A41" s="8" t="s">
        <v>40</v>
      </c>
      <c r="B41" s="8" t="s">
        <v>34</v>
      </c>
      <c r="C41" s="2">
        <v>10</v>
      </c>
      <c r="D41" s="7">
        <v>3000</v>
      </c>
      <c r="E41" s="12">
        <f t="shared" si="0"/>
        <v>30000</v>
      </c>
    </row>
    <row r="42" spans="1:5" ht="15.6" x14ac:dyDescent="0.3">
      <c r="A42" s="8" t="s">
        <v>41</v>
      </c>
      <c r="B42" s="8" t="s">
        <v>3</v>
      </c>
      <c r="C42" s="2">
        <v>2</v>
      </c>
      <c r="D42" s="7">
        <v>15000</v>
      </c>
      <c r="E42" s="12">
        <f t="shared" si="0"/>
        <v>30000</v>
      </c>
    </row>
    <row r="43" spans="1:5" ht="15.6" hidden="1" x14ac:dyDescent="0.3">
      <c r="A43" s="8" t="s">
        <v>41</v>
      </c>
      <c r="B43" s="8" t="s">
        <v>34</v>
      </c>
      <c r="C43" s="2">
        <v>0</v>
      </c>
      <c r="D43" s="7"/>
      <c r="E43" s="12">
        <f t="shared" si="0"/>
        <v>0</v>
      </c>
    </row>
    <row r="44" spans="1:5" ht="15.6" x14ac:dyDescent="0.3">
      <c r="A44" s="8" t="s">
        <v>42</v>
      </c>
      <c r="B44" s="8" t="s">
        <v>3</v>
      </c>
      <c r="C44" s="2">
        <v>610</v>
      </c>
      <c r="D44" s="7">
        <v>3000</v>
      </c>
      <c r="E44" s="12">
        <f t="shared" si="0"/>
        <v>1830000</v>
      </c>
    </row>
    <row r="45" spans="1:5" ht="15.6" x14ac:dyDescent="0.3">
      <c r="A45" s="8" t="s">
        <v>43</v>
      </c>
      <c r="B45" s="8" t="s">
        <v>3</v>
      </c>
      <c r="C45" s="2">
        <v>2</v>
      </c>
      <c r="D45" s="7">
        <v>16000</v>
      </c>
      <c r="E45" s="12">
        <f t="shared" si="0"/>
        <v>32000</v>
      </c>
    </row>
    <row r="46" spans="1:5" ht="15.6" hidden="1" x14ac:dyDescent="0.3">
      <c r="A46" s="8" t="s">
        <v>44</v>
      </c>
      <c r="B46" s="8" t="s">
        <v>3</v>
      </c>
      <c r="C46" s="2">
        <v>0</v>
      </c>
      <c r="D46" s="7"/>
      <c r="E46" s="12">
        <f t="shared" si="0"/>
        <v>0</v>
      </c>
    </row>
    <row r="47" spans="1:5" ht="15.6" hidden="1" x14ac:dyDescent="0.3">
      <c r="A47" s="8" t="s">
        <v>45</v>
      </c>
      <c r="B47" s="8" t="s">
        <v>3</v>
      </c>
      <c r="C47" s="2">
        <v>0</v>
      </c>
      <c r="D47" s="7"/>
      <c r="E47" s="12">
        <f t="shared" si="0"/>
        <v>0</v>
      </c>
    </row>
    <row r="48" spans="1:5" ht="15.6" hidden="1" x14ac:dyDescent="0.3">
      <c r="A48" s="8" t="s">
        <v>45</v>
      </c>
      <c r="B48" s="8" t="s">
        <v>19</v>
      </c>
      <c r="C48" s="2">
        <v>0</v>
      </c>
      <c r="D48" s="7"/>
      <c r="E48" s="12">
        <f t="shared" si="0"/>
        <v>0</v>
      </c>
    </row>
    <row r="49" spans="1:5" ht="15.6" hidden="1" x14ac:dyDescent="0.3">
      <c r="A49" s="8" t="s">
        <v>62</v>
      </c>
      <c r="B49" s="8" t="s">
        <v>3</v>
      </c>
      <c r="C49" s="2">
        <v>0</v>
      </c>
      <c r="D49" s="7"/>
      <c r="E49" s="12">
        <f t="shared" si="0"/>
        <v>0</v>
      </c>
    </row>
    <row r="50" spans="1:5" ht="15.6" x14ac:dyDescent="0.3">
      <c r="A50" s="8" t="s">
        <v>63</v>
      </c>
      <c r="B50" s="8" t="s">
        <v>3</v>
      </c>
      <c r="C50" s="2">
        <v>10</v>
      </c>
      <c r="D50" s="7">
        <v>14000</v>
      </c>
      <c r="E50" s="12">
        <f t="shared" si="0"/>
        <v>140000</v>
      </c>
    </row>
    <row r="51" spans="1:5" ht="15.6" hidden="1" x14ac:dyDescent="0.3">
      <c r="A51" s="8" t="s">
        <v>46</v>
      </c>
      <c r="B51" s="8" t="s">
        <v>29</v>
      </c>
      <c r="C51" s="2">
        <v>0</v>
      </c>
      <c r="D51" s="7"/>
      <c r="E51" s="12">
        <f t="shared" si="0"/>
        <v>0</v>
      </c>
    </row>
    <row r="52" spans="1:5" ht="15.6" hidden="1" x14ac:dyDescent="0.3">
      <c r="A52" s="8" t="s">
        <v>46</v>
      </c>
      <c r="B52" s="8" t="s">
        <v>3</v>
      </c>
      <c r="C52" s="2">
        <v>0</v>
      </c>
      <c r="D52" s="7"/>
      <c r="E52" s="12">
        <f t="shared" si="0"/>
        <v>0</v>
      </c>
    </row>
    <row r="53" spans="1:5" ht="15.6" hidden="1" x14ac:dyDescent="0.3">
      <c r="A53" s="8" t="s">
        <v>47</v>
      </c>
      <c r="B53" s="8" t="s">
        <v>3</v>
      </c>
      <c r="C53" s="2">
        <v>0</v>
      </c>
      <c r="D53" s="7"/>
      <c r="E53" s="12">
        <f t="shared" si="0"/>
        <v>0</v>
      </c>
    </row>
    <row r="54" spans="1:5" ht="15.6" x14ac:dyDescent="0.3">
      <c r="A54" s="8" t="s">
        <v>48</v>
      </c>
      <c r="B54" s="8" t="s">
        <v>3</v>
      </c>
      <c r="C54" s="2">
        <v>30</v>
      </c>
      <c r="D54" s="7">
        <v>8000</v>
      </c>
      <c r="E54" s="12">
        <f t="shared" si="0"/>
        <v>240000</v>
      </c>
    </row>
    <row r="55" spans="1:5" ht="15.6" hidden="1" x14ac:dyDescent="0.3">
      <c r="A55" s="8" t="s">
        <v>48</v>
      </c>
      <c r="B55" s="8" t="s">
        <v>34</v>
      </c>
      <c r="C55" s="2">
        <v>0</v>
      </c>
      <c r="D55" s="7"/>
      <c r="E55" s="12">
        <f t="shared" si="0"/>
        <v>0</v>
      </c>
    </row>
    <row r="56" spans="1:5" ht="15.6" x14ac:dyDescent="0.3">
      <c r="A56" s="8" t="s">
        <v>49</v>
      </c>
      <c r="B56" s="8" t="s">
        <v>3</v>
      </c>
      <c r="C56" s="2">
        <v>12</v>
      </c>
      <c r="D56" s="7">
        <v>21000</v>
      </c>
      <c r="E56" s="12">
        <f t="shared" si="0"/>
        <v>252000</v>
      </c>
    </row>
    <row r="57" spans="1:5" ht="15.6" x14ac:dyDescent="0.3">
      <c r="A57" s="8" t="s">
        <v>50</v>
      </c>
      <c r="B57" s="8" t="s">
        <v>3</v>
      </c>
      <c r="C57" s="2">
        <v>590</v>
      </c>
      <c r="D57" s="7">
        <v>5500</v>
      </c>
      <c r="E57" s="12">
        <f t="shared" si="0"/>
        <v>3245000</v>
      </c>
    </row>
    <row r="58" spans="1:5" ht="15.6" hidden="1" x14ac:dyDescent="0.3">
      <c r="A58" s="8" t="s">
        <v>50</v>
      </c>
      <c r="B58" s="8" t="s">
        <v>51</v>
      </c>
      <c r="C58" s="2">
        <v>0</v>
      </c>
      <c r="D58" s="7"/>
      <c r="E58" s="12">
        <f t="shared" si="0"/>
        <v>0</v>
      </c>
    </row>
    <row r="59" spans="1:5" ht="15.6" x14ac:dyDescent="0.3">
      <c r="A59" s="8" t="s">
        <v>104</v>
      </c>
      <c r="B59" s="8" t="s">
        <v>3</v>
      </c>
      <c r="C59" s="2">
        <v>120</v>
      </c>
      <c r="D59" s="7">
        <v>20000</v>
      </c>
      <c r="E59" s="12">
        <f t="shared" si="0"/>
        <v>2400000</v>
      </c>
    </row>
    <row r="60" spans="1:5" ht="15.6" x14ac:dyDescent="0.3">
      <c r="A60" s="8" t="s">
        <v>52</v>
      </c>
      <c r="B60" s="8" t="s">
        <v>34</v>
      </c>
      <c r="C60" s="2">
        <v>167</v>
      </c>
      <c r="D60" s="7">
        <v>1350</v>
      </c>
      <c r="E60" s="12">
        <f t="shared" si="0"/>
        <v>225450</v>
      </c>
    </row>
    <row r="61" spans="1:5" ht="15.6" x14ac:dyDescent="0.3">
      <c r="A61" s="8" t="s">
        <v>53</v>
      </c>
      <c r="B61" s="8" t="s">
        <v>3</v>
      </c>
      <c r="C61" s="2">
        <v>550</v>
      </c>
      <c r="D61" s="7">
        <v>26000</v>
      </c>
      <c r="E61" s="12">
        <f t="shared" si="0"/>
        <v>14300000</v>
      </c>
    </row>
    <row r="62" spans="1:5" ht="15.6" x14ac:dyDescent="0.3">
      <c r="A62" s="8" t="s">
        <v>54</v>
      </c>
      <c r="B62" s="8" t="s">
        <v>3</v>
      </c>
      <c r="C62" s="2">
        <v>330</v>
      </c>
      <c r="D62" s="7">
        <v>26000</v>
      </c>
      <c r="E62" s="12">
        <f t="shared" si="0"/>
        <v>8580000</v>
      </c>
    </row>
    <row r="63" spans="1:5" ht="15.6" hidden="1" x14ac:dyDescent="0.3">
      <c r="A63" s="8" t="s">
        <v>54</v>
      </c>
      <c r="B63" s="8" t="s">
        <v>34</v>
      </c>
      <c r="C63" s="2">
        <v>0</v>
      </c>
      <c r="D63" s="7"/>
      <c r="E63" s="12">
        <f t="shared" si="0"/>
        <v>0</v>
      </c>
    </row>
    <row r="64" spans="1:5" ht="15.6" x14ac:dyDescent="0.3">
      <c r="A64" s="8" t="s">
        <v>55</v>
      </c>
      <c r="B64" s="8" t="s">
        <v>3</v>
      </c>
      <c r="C64" s="2">
        <v>310</v>
      </c>
      <c r="D64" s="7">
        <v>16000</v>
      </c>
      <c r="E64" s="12">
        <f t="shared" si="0"/>
        <v>4960000</v>
      </c>
    </row>
    <row r="65" spans="1:5" ht="15.6" x14ac:dyDescent="0.3">
      <c r="A65" s="8" t="s">
        <v>56</v>
      </c>
      <c r="B65" s="8" t="s">
        <v>3</v>
      </c>
      <c r="C65" s="2">
        <v>30</v>
      </c>
      <c r="D65" s="7">
        <v>24000</v>
      </c>
      <c r="E65" s="12">
        <f t="shared" si="0"/>
        <v>720000</v>
      </c>
    </row>
    <row r="66" spans="1:5" ht="15.6" hidden="1" x14ac:dyDescent="0.3">
      <c r="A66" s="8" t="s">
        <v>58</v>
      </c>
      <c r="B66" s="8" t="s">
        <v>3</v>
      </c>
      <c r="C66" s="2">
        <v>0</v>
      </c>
      <c r="D66" s="7"/>
      <c r="E66" s="12">
        <f t="shared" si="0"/>
        <v>0</v>
      </c>
    </row>
    <row r="67" spans="1:5" ht="15.6" hidden="1" x14ac:dyDescent="0.3">
      <c r="A67" s="8" t="s">
        <v>58</v>
      </c>
      <c r="B67" s="8" t="s">
        <v>34</v>
      </c>
      <c r="C67" s="2">
        <v>0</v>
      </c>
      <c r="D67" s="7"/>
      <c r="E67" s="12">
        <f t="shared" si="0"/>
        <v>0</v>
      </c>
    </row>
    <row r="68" spans="1:5" ht="15.6" hidden="1" x14ac:dyDescent="0.3">
      <c r="A68" s="8" t="s">
        <v>105</v>
      </c>
      <c r="B68" s="8" t="s">
        <v>3</v>
      </c>
      <c r="C68" s="2">
        <v>0</v>
      </c>
      <c r="D68" s="7"/>
      <c r="E68" s="12">
        <f t="shared" ref="E68:E119" si="1">C68*D68</f>
        <v>0</v>
      </c>
    </row>
    <row r="69" spans="1:5" ht="15.6" x14ac:dyDescent="0.3">
      <c r="A69" s="8" t="s">
        <v>59</v>
      </c>
      <c r="B69" s="8" t="s">
        <v>3</v>
      </c>
      <c r="C69" s="2">
        <v>450</v>
      </c>
      <c r="D69" s="7">
        <v>14000</v>
      </c>
      <c r="E69" s="12">
        <f t="shared" si="1"/>
        <v>6300000</v>
      </c>
    </row>
    <row r="70" spans="1:5" ht="15.6" hidden="1" x14ac:dyDescent="0.3">
      <c r="A70" s="8" t="s">
        <v>59</v>
      </c>
      <c r="B70" s="8" t="s">
        <v>34</v>
      </c>
      <c r="C70" s="2">
        <v>0</v>
      </c>
      <c r="D70" s="7"/>
      <c r="E70" s="12">
        <f t="shared" si="1"/>
        <v>0</v>
      </c>
    </row>
    <row r="71" spans="1:5" ht="15.6" x14ac:dyDescent="0.3">
      <c r="A71" s="8" t="s">
        <v>60</v>
      </c>
      <c r="B71" s="8" t="s">
        <v>34</v>
      </c>
      <c r="C71" s="2">
        <v>60</v>
      </c>
      <c r="D71" s="7">
        <v>5000</v>
      </c>
      <c r="E71" s="12">
        <f t="shared" si="1"/>
        <v>300000</v>
      </c>
    </row>
    <row r="72" spans="1:5" ht="15.6" hidden="1" x14ac:dyDescent="0.3">
      <c r="A72" s="8" t="s">
        <v>61</v>
      </c>
      <c r="B72" s="8" t="s">
        <v>3</v>
      </c>
      <c r="C72" s="2">
        <v>0</v>
      </c>
      <c r="D72" s="7"/>
      <c r="E72" s="12">
        <f t="shared" si="1"/>
        <v>0</v>
      </c>
    </row>
    <row r="73" spans="1:5" ht="15.6" x14ac:dyDescent="0.3">
      <c r="A73" s="8" t="s">
        <v>67</v>
      </c>
      <c r="B73" s="8" t="s">
        <v>34</v>
      </c>
      <c r="C73" s="2">
        <v>22</v>
      </c>
      <c r="D73" s="7">
        <v>6000</v>
      </c>
      <c r="E73" s="12">
        <f t="shared" si="1"/>
        <v>132000</v>
      </c>
    </row>
    <row r="74" spans="1:5" ht="15.6" hidden="1" x14ac:dyDescent="0.3">
      <c r="A74" s="8" t="s">
        <v>68</v>
      </c>
      <c r="B74" s="8" t="s">
        <v>3</v>
      </c>
      <c r="C74" s="2">
        <v>0</v>
      </c>
      <c r="D74" s="7"/>
      <c r="E74" s="12">
        <f t="shared" si="1"/>
        <v>0</v>
      </c>
    </row>
    <row r="75" spans="1:5" ht="15.6" x14ac:dyDescent="0.3">
      <c r="A75" s="8" t="s">
        <v>68</v>
      </c>
      <c r="B75" s="8" t="s">
        <v>34</v>
      </c>
      <c r="C75" s="2">
        <v>29</v>
      </c>
      <c r="D75" s="7">
        <v>7000</v>
      </c>
      <c r="E75" s="12">
        <f t="shared" si="1"/>
        <v>203000</v>
      </c>
    </row>
    <row r="76" spans="1:5" ht="15.6" x14ac:dyDescent="0.3">
      <c r="A76" s="8" t="s">
        <v>69</v>
      </c>
      <c r="B76" s="8" t="s">
        <v>3</v>
      </c>
      <c r="C76" s="2">
        <v>0.5</v>
      </c>
      <c r="D76" s="7">
        <v>80000</v>
      </c>
      <c r="E76" s="12">
        <f t="shared" si="1"/>
        <v>40000</v>
      </c>
    </row>
    <row r="77" spans="1:5" ht="15.6" hidden="1" x14ac:dyDescent="0.3">
      <c r="A77" s="8" t="s">
        <v>106</v>
      </c>
      <c r="B77" s="8" t="s">
        <v>3</v>
      </c>
      <c r="C77" s="2">
        <v>0</v>
      </c>
      <c r="D77" s="7"/>
      <c r="E77" s="12">
        <f t="shared" si="1"/>
        <v>0</v>
      </c>
    </row>
    <row r="78" spans="1:5" ht="15.6" x14ac:dyDescent="0.3">
      <c r="A78" s="8" t="s">
        <v>70</v>
      </c>
      <c r="B78" s="8" t="s">
        <v>3</v>
      </c>
      <c r="C78" s="2">
        <v>0.5</v>
      </c>
      <c r="D78" s="7">
        <v>70000</v>
      </c>
      <c r="E78" s="12">
        <f t="shared" si="1"/>
        <v>35000</v>
      </c>
    </row>
    <row r="79" spans="1:5" ht="15.6" hidden="1" x14ac:dyDescent="0.3">
      <c r="A79" s="8" t="s">
        <v>71</v>
      </c>
      <c r="B79" s="8" t="s">
        <v>3</v>
      </c>
      <c r="C79" s="2">
        <v>0</v>
      </c>
      <c r="D79" s="7"/>
      <c r="E79" s="12">
        <f t="shared" si="1"/>
        <v>0</v>
      </c>
    </row>
    <row r="80" spans="1:5" ht="15.6" hidden="1" x14ac:dyDescent="0.3">
      <c r="A80" s="8" t="s">
        <v>64</v>
      </c>
      <c r="B80" s="8" t="s">
        <v>3</v>
      </c>
      <c r="C80" s="2">
        <v>0</v>
      </c>
      <c r="D80" s="7"/>
      <c r="E80" s="12">
        <f t="shared" si="1"/>
        <v>0</v>
      </c>
    </row>
    <row r="81" spans="1:5" ht="15.6" x14ac:dyDescent="0.3">
      <c r="A81" s="8" t="s">
        <v>64</v>
      </c>
      <c r="B81" s="8" t="s">
        <v>17</v>
      </c>
      <c r="C81" s="2">
        <v>880</v>
      </c>
      <c r="D81" s="7">
        <v>6700</v>
      </c>
      <c r="E81" s="12">
        <f t="shared" si="1"/>
        <v>5896000</v>
      </c>
    </row>
    <row r="82" spans="1:5" ht="15.6" hidden="1" x14ac:dyDescent="0.3">
      <c r="A82" s="8" t="s">
        <v>65</v>
      </c>
      <c r="B82" s="8" t="s">
        <v>3</v>
      </c>
      <c r="C82" s="2">
        <v>0</v>
      </c>
      <c r="D82" s="7"/>
      <c r="E82" s="12">
        <f t="shared" si="1"/>
        <v>0</v>
      </c>
    </row>
    <row r="83" spans="1:5" ht="15.6" x14ac:dyDescent="0.3">
      <c r="A83" s="8" t="s">
        <v>66</v>
      </c>
      <c r="B83" s="8" t="s">
        <v>3</v>
      </c>
      <c r="C83" s="2">
        <v>34</v>
      </c>
      <c r="D83" s="7">
        <v>14000</v>
      </c>
      <c r="E83" s="12">
        <f t="shared" si="1"/>
        <v>476000</v>
      </c>
    </row>
    <row r="84" spans="1:5" ht="15.6" x14ac:dyDescent="0.3">
      <c r="A84" s="8" t="s">
        <v>72</v>
      </c>
      <c r="B84" s="8" t="s">
        <v>3</v>
      </c>
      <c r="C84" s="2">
        <v>15</v>
      </c>
      <c r="D84" s="7">
        <v>10000</v>
      </c>
      <c r="E84" s="12">
        <f t="shared" si="1"/>
        <v>150000</v>
      </c>
    </row>
    <row r="85" spans="1:5" ht="15.6" hidden="1" x14ac:dyDescent="0.3">
      <c r="A85" s="8" t="s">
        <v>72</v>
      </c>
      <c r="B85" s="8" t="s">
        <v>19</v>
      </c>
      <c r="C85" s="2">
        <v>0</v>
      </c>
      <c r="D85" s="7"/>
      <c r="E85" s="12">
        <f t="shared" si="1"/>
        <v>0</v>
      </c>
    </row>
    <row r="86" spans="1:5" ht="15.6" x14ac:dyDescent="0.3">
      <c r="A86" s="8" t="s">
        <v>107</v>
      </c>
      <c r="B86" s="8" t="s">
        <v>29</v>
      </c>
      <c r="C86" s="2">
        <v>1</v>
      </c>
      <c r="D86" s="7">
        <v>125000</v>
      </c>
      <c r="E86" s="12">
        <f t="shared" si="1"/>
        <v>125000</v>
      </c>
    </row>
    <row r="87" spans="1:5" ht="15.6" hidden="1" x14ac:dyDescent="0.3">
      <c r="A87" s="8" t="s">
        <v>74</v>
      </c>
      <c r="B87" s="8" t="s">
        <v>34</v>
      </c>
      <c r="C87" s="2">
        <v>0</v>
      </c>
      <c r="D87" s="7"/>
      <c r="E87" s="12">
        <f t="shared" si="1"/>
        <v>0</v>
      </c>
    </row>
    <row r="88" spans="1:5" ht="15.6" x14ac:dyDescent="0.3">
      <c r="A88" s="8" t="s">
        <v>75</v>
      </c>
      <c r="B88" s="8" t="s">
        <v>3</v>
      </c>
      <c r="C88" s="2">
        <v>20</v>
      </c>
      <c r="D88" s="7">
        <v>14000</v>
      </c>
      <c r="E88" s="12">
        <f t="shared" si="1"/>
        <v>280000</v>
      </c>
    </row>
    <row r="89" spans="1:5" ht="15.6" x14ac:dyDescent="0.3">
      <c r="A89" s="8" t="s">
        <v>76</v>
      </c>
      <c r="B89" s="8" t="s">
        <v>3</v>
      </c>
      <c r="C89" s="2">
        <v>325</v>
      </c>
      <c r="D89" s="7">
        <v>60000</v>
      </c>
      <c r="E89" s="12">
        <f t="shared" si="1"/>
        <v>19500000</v>
      </c>
    </row>
    <row r="90" spans="1:5" ht="15.6" hidden="1" x14ac:dyDescent="0.3">
      <c r="A90" s="8" t="s">
        <v>76</v>
      </c>
      <c r="B90" s="8" t="s">
        <v>78</v>
      </c>
      <c r="C90" s="2">
        <v>0</v>
      </c>
      <c r="D90" s="7"/>
      <c r="E90" s="12">
        <f t="shared" si="1"/>
        <v>0</v>
      </c>
    </row>
    <row r="91" spans="1:5" ht="15.6" hidden="1" x14ac:dyDescent="0.3">
      <c r="A91" s="8" t="s">
        <v>76</v>
      </c>
      <c r="B91" s="8" t="s">
        <v>77</v>
      </c>
      <c r="C91" s="2">
        <v>0</v>
      </c>
      <c r="D91" s="7"/>
      <c r="E91" s="12">
        <f t="shared" si="1"/>
        <v>0</v>
      </c>
    </row>
    <row r="92" spans="1:5" ht="15.6" hidden="1" x14ac:dyDescent="0.3">
      <c r="A92" s="8" t="s">
        <v>137</v>
      </c>
      <c r="B92" s="8" t="s">
        <v>3</v>
      </c>
      <c r="C92" s="2">
        <v>0</v>
      </c>
      <c r="D92" s="7"/>
      <c r="E92" s="12">
        <f t="shared" si="1"/>
        <v>0</v>
      </c>
    </row>
    <row r="93" spans="1:5" ht="15.6" hidden="1" x14ac:dyDescent="0.3">
      <c r="A93" s="8" t="s">
        <v>79</v>
      </c>
      <c r="B93" s="8" t="s">
        <v>17</v>
      </c>
      <c r="C93" s="2">
        <v>0</v>
      </c>
      <c r="D93" s="7"/>
      <c r="E93" s="12">
        <f t="shared" si="1"/>
        <v>0</v>
      </c>
    </row>
    <row r="94" spans="1:5" ht="15.6" hidden="1" x14ac:dyDescent="0.3">
      <c r="A94" s="8" t="s">
        <v>80</v>
      </c>
      <c r="B94" s="8" t="s">
        <v>29</v>
      </c>
      <c r="C94" s="2">
        <v>0</v>
      </c>
      <c r="D94" s="7"/>
      <c r="E94" s="12">
        <f t="shared" si="1"/>
        <v>0</v>
      </c>
    </row>
    <row r="95" spans="1:5" ht="15.6" x14ac:dyDescent="0.3">
      <c r="A95" s="8" t="s">
        <v>81</v>
      </c>
      <c r="B95" s="8" t="s">
        <v>3</v>
      </c>
      <c r="C95" s="2">
        <v>100</v>
      </c>
      <c r="D95" s="7">
        <v>24000</v>
      </c>
      <c r="E95" s="12">
        <f t="shared" si="1"/>
        <v>2400000</v>
      </c>
    </row>
    <row r="96" spans="1:5" ht="15.6" hidden="1" x14ac:dyDescent="0.3">
      <c r="A96" s="8" t="s">
        <v>81</v>
      </c>
      <c r="B96" s="8" t="s">
        <v>9</v>
      </c>
      <c r="C96" s="2">
        <v>0</v>
      </c>
      <c r="D96" s="7"/>
      <c r="E96" s="12">
        <f t="shared" si="1"/>
        <v>0</v>
      </c>
    </row>
    <row r="97" spans="1:5" ht="15.6" x14ac:dyDescent="0.3">
      <c r="A97" s="8" t="s">
        <v>82</v>
      </c>
      <c r="B97" s="8" t="s">
        <v>3</v>
      </c>
      <c r="C97" s="2">
        <v>40</v>
      </c>
      <c r="D97" s="7">
        <v>22000</v>
      </c>
      <c r="E97" s="12">
        <f t="shared" si="1"/>
        <v>880000</v>
      </c>
    </row>
    <row r="98" spans="1:5" ht="15.6" hidden="1" x14ac:dyDescent="0.3">
      <c r="A98" s="8" t="s">
        <v>82</v>
      </c>
      <c r="B98" s="8" t="s">
        <v>9</v>
      </c>
      <c r="C98" s="2">
        <v>0</v>
      </c>
      <c r="D98" s="7"/>
      <c r="E98" s="12">
        <f t="shared" si="1"/>
        <v>0</v>
      </c>
    </row>
    <row r="99" spans="1:5" ht="15.6" x14ac:dyDescent="0.3">
      <c r="A99" s="8" t="s">
        <v>109</v>
      </c>
      <c r="B99" s="8" t="s">
        <v>3</v>
      </c>
      <c r="C99" s="2">
        <v>24</v>
      </c>
      <c r="D99" s="7">
        <v>18000</v>
      </c>
      <c r="E99" s="12">
        <f t="shared" si="1"/>
        <v>432000</v>
      </c>
    </row>
    <row r="100" spans="1:5" ht="15.6" x14ac:dyDescent="0.3">
      <c r="A100" s="8" t="s">
        <v>83</v>
      </c>
      <c r="B100" s="8" t="s">
        <v>3</v>
      </c>
      <c r="C100" s="2">
        <v>30</v>
      </c>
      <c r="D100" s="7">
        <v>27000</v>
      </c>
      <c r="E100" s="12">
        <f t="shared" si="1"/>
        <v>810000</v>
      </c>
    </row>
    <row r="101" spans="1:5" ht="15.6" hidden="1" x14ac:dyDescent="0.3">
      <c r="A101" s="8" t="s">
        <v>83</v>
      </c>
      <c r="B101" s="8" t="s">
        <v>9</v>
      </c>
      <c r="C101" s="2">
        <v>0</v>
      </c>
      <c r="D101" s="7"/>
      <c r="E101" s="12">
        <f t="shared" si="1"/>
        <v>0</v>
      </c>
    </row>
    <row r="102" spans="1:5" ht="15.6" hidden="1" x14ac:dyDescent="0.3">
      <c r="A102" s="8" t="s">
        <v>84</v>
      </c>
      <c r="B102" s="8" t="s">
        <v>34</v>
      </c>
      <c r="C102" s="2">
        <v>0</v>
      </c>
      <c r="D102" s="7"/>
      <c r="E102" s="12">
        <f t="shared" si="1"/>
        <v>0</v>
      </c>
    </row>
    <row r="103" spans="1:5" ht="15.6" hidden="1" x14ac:dyDescent="0.3">
      <c r="A103" s="8" t="s">
        <v>142</v>
      </c>
      <c r="B103" s="8" t="s">
        <v>3</v>
      </c>
      <c r="C103" s="2">
        <v>0</v>
      </c>
      <c r="D103" s="7"/>
      <c r="E103" s="12">
        <f t="shared" si="1"/>
        <v>0</v>
      </c>
    </row>
    <row r="104" spans="1:5" ht="15.6" hidden="1" x14ac:dyDescent="0.3">
      <c r="A104" s="8" t="s">
        <v>85</v>
      </c>
      <c r="B104" s="8" t="s">
        <v>34</v>
      </c>
      <c r="C104" s="2">
        <v>0</v>
      </c>
      <c r="D104" s="7"/>
      <c r="E104" s="12">
        <f t="shared" si="1"/>
        <v>0</v>
      </c>
    </row>
    <row r="105" spans="1:5" ht="15.6" hidden="1" x14ac:dyDescent="0.3">
      <c r="A105" s="8" t="s">
        <v>111</v>
      </c>
      <c r="B105" s="8" t="s">
        <v>3</v>
      </c>
      <c r="C105" s="2">
        <v>0</v>
      </c>
      <c r="D105" s="7"/>
      <c r="E105" s="12">
        <f t="shared" si="1"/>
        <v>0</v>
      </c>
    </row>
    <row r="106" spans="1:5" ht="15.6" x14ac:dyDescent="0.3">
      <c r="A106" s="8" t="s">
        <v>86</v>
      </c>
      <c r="B106" s="8" t="s">
        <v>9</v>
      </c>
      <c r="C106" s="2">
        <v>200</v>
      </c>
      <c r="D106" s="7">
        <v>9000</v>
      </c>
      <c r="E106" s="12">
        <f t="shared" si="1"/>
        <v>1800000</v>
      </c>
    </row>
    <row r="107" spans="1:5" ht="15.6" x14ac:dyDescent="0.3">
      <c r="A107" s="8" t="s">
        <v>87</v>
      </c>
      <c r="B107" s="8" t="s">
        <v>9</v>
      </c>
      <c r="C107" s="2">
        <v>353</v>
      </c>
      <c r="D107" s="7">
        <v>11361</v>
      </c>
      <c r="E107" s="12">
        <f t="shared" si="1"/>
        <v>4010433</v>
      </c>
    </row>
    <row r="108" spans="1:5" ht="15.6" x14ac:dyDescent="0.3">
      <c r="A108" s="8" t="s">
        <v>89</v>
      </c>
      <c r="B108" s="8" t="s">
        <v>3</v>
      </c>
      <c r="C108" s="2">
        <v>7</v>
      </c>
      <c r="D108" s="7">
        <v>18000</v>
      </c>
      <c r="E108" s="12">
        <f t="shared" si="1"/>
        <v>126000</v>
      </c>
    </row>
    <row r="109" spans="1:5" ht="15.6" hidden="1" x14ac:dyDescent="0.3">
      <c r="A109" s="8" t="s">
        <v>112</v>
      </c>
      <c r="B109" s="8" t="s">
        <v>29</v>
      </c>
      <c r="C109" s="2">
        <v>0</v>
      </c>
      <c r="D109" s="7"/>
      <c r="E109" s="12">
        <f t="shared" si="1"/>
        <v>0</v>
      </c>
    </row>
    <row r="110" spans="1:5" ht="15.6" x14ac:dyDescent="0.3">
      <c r="A110" s="8" t="s">
        <v>90</v>
      </c>
      <c r="B110" s="8" t="s">
        <v>3</v>
      </c>
      <c r="C110" s="2">
        <v>10</v>
      </c>
      <c r="D110" s="7">
        <v>8000</v>
      </c>
      <c r="E110" s="12">
        <f t="shared" si="1"/>
        <v>80000</v>
      </c>
    </row>
    <row r="111" spans="1:5" ht="15.6" hidden="1" x14ac:dyDescent="0.3">
      <c r="A111" s="8" t="s">
        <v>113</v>
      </c>
      <c r="B111" s="8" t="s">
        <v>3</v>
      </c>
      <c r="C111" s="2">
        <v>0</v>
      </c>
      <c r="D111" s="7"/>
      <c r="E111" s="12">
        <f t="shared" si="1"/>
        <v>0</v>
      </c>
    </row>
    <row r="112" spans="1:5" ht="15.6" x14ac:dyDescent="0.3">
      <c r="A112" s="8" t="s">
        <v>91</v>
      </c>
      <c r="B112" s="8" t="s">
        <v>3</v>
      </c>
      <c r="C112" s="2">
        <v>10</v>
      </c>
      <c r="D112" s="7">
        <v>22000</v>
      </c>
      <c r="E112" s="12">
        <f t="shared" si="1"/>
        <v>220000</v>
      </c>
    </row>
    <row r="113" spans="1:5" ht="15.6" hidden="1" x14ac:dyDescent="0.3">
      <c r="A113" s="8" t="s">
        <v>120</v>
      </c>
      <c r="B113" s="8" t="s">
        <v>3</v>
      </c>
      <c r="C113" s="2">
        <v>0</v>
      </c>
      <c r="D113" s="7"/>
      <c r="E113" s="12">
        <f t="shared" si="1"/>
        <v>0</v>
      </c>
    </row>
    <row r="114" spans="1:5" ht="15.6" x14ac:dyDescent="0.3">
      <c r="A114" s="8" t="s">
        <v>92</v>
      </c>
      <c r="B114" s="8" t="s">
        <v>3</v>
      </c>
      <c r="C114" s="2">
        <v>2</v>
      </c>
      <c r="D114" s="7">
        <v>25000</v>
      </c>
      <c r="E114" s="12">
        <f t="shared" si="1"/>
        <v>50000</v>
      </c>
    </row>
    <row r="115" spans="1:5" ht="15.6" hidden="1" x14ac:dyDescent="0.3">
      <c r="A115" s="8" t="s">
        <v>93</v>
      </c>
      <c r="B115" s="8" t="s">
        <v>19</v>
      </c>
      <c r="C115" s="2">
        <v>0</v>
      </c>
      <c r="D115" s="7"/>
      <c r="E115" s="12">
        <f t="shared" si="1"/>
        <v>0</v>
      </c>
    </row>
    <row r="116" spans="1:5" ht="15.6" hidden="1" x14ac:dyDescent="0.3">
      <c r="A116" s="8" t="s">
        <v>94</v>
      </c>
      <c r="B116" s="8" t="s">
        <v>3</v>
      </c>
      <c r="C116" s="2">
        <v>0</v>
      </c>
      <c r="D116" s="7"/>
      <c r="E116" s="12">
        <f t="shared" si="1"/>
        <v>0</v>
      </c>
    </row>
    <row r="117" spans="1:5" ht="15.6" hidden="1" x14ac:dyDescent="0.3">
      <c r="A117" s="8" t="s">
        <v>95</v>
      </c>
      <c r="B117" s="8" t="s">
        <v>19</v>
      </c>
      <c r="C117" s="2">
        <v>0</v>
      </c>
      <c r="D117" s="7"/>
      <c r="E117" s="12">
        <f t="shared" si="1"/>
        <v>0</v>
      </c>
    </row>
    <row r="118" spans="1:5" ht="15.6" hidden="1" x14ac:dyDescent="0.3">
      <c r="A118" s="8" t="s">
        <v>97</v>
      </c>
      <c r="B118" s="8" t="s">
        <v>3</v>
      </c>
      <c r="C118" s="2">
        <v>0</v>
      </c>
      <c r="D118" s="7"/>
      <c r="E118" s="12">
        <f t="shared" si="1"/>
        <v>0</v>
      </c>
    </row>
    <row r="119" spans="1:5" ht="15.6" x14ac:dyDescent="0.3">
      <c r="A119" s="8" t="s">
        <v>98</v>
      </c>
      <c r="B119" s="8" t="s">
        <v>19</v>
      </c>
      <c r="C119" s="2">
        <v>98</v>
      </c>
      <c r="D119" s="7">
        <v>7000</v>
      </c>
      <c r="E119" s="12">
        <f t="shared" si="1"/>
        <v>686000</v>
      </c>
    </row>
    <row r="120" spans="1:5" x14ac:dyDescent="0.3">
      <c r="E120" s="9">
        <f>SUM(E3:E119)</f>
        <v>107447883</v>
      </c>
    </row>
  </sheetData>
  <autoFilter ref="A2:E119" xr:uid="{00000000-0009-0000-0000-000018000000}">
    <filterColumn colId="2">
      <filters>
        <filter val="1"/>
        <filter val="10"/>
        <filter val="100"/>
        <filter val="12"/>
        <filter val="120"/>
        <filter val="13"/>
        <filter val="15"/>
        <filter val="160"/>
        <filter val="167"/>
        <filter val="2"/>
        <filter val="20"/>
        <filter val="200"/>
        <filter val="218"/>
        <filter val="22"/>
        <filter val="24"/>
        <filter val="240"/>
        <filter val="29"/>
        <filter val="3"/>
        <filter val="30"/>
        <filter val="310"/>
        <filter val="325"/>
        <filter val="33"/>
        <filter val="330"/>
        <filter val="34"/>
        <filter val="353"/>
        <filter val="38"/>
        <filter val="40"/>
        <filter val="450"/>
        <filter val="5"/>
        <filter val="52"/>
        <filter val="544"/>
        <filter val="550"/>
        <filter val="590"/>
        <filter val="60"/>
        <filter val="610"/>
        <filter val="7"/>
        <filter val="700"/>
        <filter val="758"/>
        <filter val="880"/>
        <filter val="95"/>
        <filter val="98"/>
      </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E109"/>
  <sheetViews>
    <sheetView workbookViewId="0">
      <selection activeCell="G4" sqref="G4"/>
    </sheetView>
  </sheetViews>
  <sheetFormatPr defaultRowHeight="14.4" x14ac:dyDescent="0.3"/>
  <cols>
    <col min="1" max="1" width="28" customWidth="1"/>
    <col min="4" max="4" width="11.6640625" customWidth="1"/>
    <col min="5" max="5" width="25" customWidth="1"/>
  </cols>
  <sheetData>
    <row r="1" spans="1:5" x14ac:dyDescent="0.3">
      <c r="A1" t="s">
        <v>246</v>
      </c>
    </row>
    <row r="2" spans="1:5" ht="40.200000000000003" customHeight="1" x14ac:dyDescent="0.3">
      <c r="A2" s="10" t="s">
        <v>0</v>
      </c>
      <c r="B2" s="10" t="s">
        <v>1</v>
      </c>
      <c r="C2" s="2" t="s">
        <v>100</v>
      </c>
      <c r="D2" s="3" t="s">
        <v>101</v>
      </c>
      <c r="E2" s="11" t="s">
        <v>102</v>
      </c>
    </row>
    <row r="3" spans="1:5" ht="15.6" x14ac:dyDescent="0.3">
      <c r="A3" s="8" t="s">
        <v>2</v>
      </c>
      <c r="B3" s="8" t="s">
        <v>3</v>
      </c>
      <c r="C3" s="2">
        <v>2</v>
      </c>
      <c r="D3" s="7">
        <v>16000</v>
      </c>
      <c r="E3" s="12">
        <f>C3*D3</f>
        <v>32000</v>
      </c>
    </row>
    <row r="4" spans="1:5" ht="15.6" x14ac:dyDescent="0.3">
      <c r="A4" s="8" t="s">
        <v>4</v>
      </c>
      <c r="B4" s="8" t="s">
        <v>3</v>
      </c>
      <c r="C4" s="2">
        <v>560</v>
      </c>
      <c r="D4" s="7">
        <v>7000</v>
      </c>
      <c r="E4" s="12">
        <f t="shared" ref="E4:E67" si="0">C4*D4</f>
        <v>3920000</v>
      </c>
    </row>
    <row r="5" spans="1:5" ht="15.6" x14ac:dyDescent="0.3">
      <c r="A5" s="8" t="s">
        <v>5</v>
      </c>
      <c r="B5" s="8" t="s">
        <v>3</v>
      </c>
      <c r="C5" s="2">
        <v>1308</v>
      </c>
      <c r="D5" s="7">
        <v>3500</v>
      </c>
      <c r="E5" s="12">
        <f t="shared" si="0"/>
        <v>4578000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7"/>
      <c r="E7" s="12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874</v>
      </c>
      <c r="D8" s="7">
        <v>9000</v>
      </c>
      <c r="E8" s="12">
        <f t="shared" si="0"/>
        <v>7866000</v>
      </c>
    </row>
    <row r="9" spans="1:5" ht="15.6" x14ac:dyDescent="0.3">
      <c r="A9" s="8" t="s">
        <v>11</v>
      </c>
      <c r="B9" s="8" t="s">
        <v>3</v>
      </c>
      <c r="C9" s="2">
        <v>155</v>
      </c>
      <c r="D9" s="7">
        <v>7000</v>
      </c>
      <c r="E9" s="12">
        <f t="shared" si="0"/>
        <v>1085000</v>
      </c>
    </row>
    <row r="10" spans="1:5" ht="15.6" hidden="1" x14ac:dyDescent="0.3">
      <c r="A10" s="8" t="s">
        <v>11</v>
      </c>
      <c r="B10" s="8" t="s">
        <v>9</v>
      </c>
      <c r="C10" s="2">
        <v>0</v>
      </c>
      <c r="D10" s="7"/>
      <c r="E10" s="12">
        <f t="shared" si="0"/>
        <v>0</v>
      </c>
    </row>
    <row r="11" spans="1:5" ht="15.6" hidden="1" x14ac:dyDescent="0.3">
      <c r="A11" s="8" t="s">
        <v>8</v>
      </c>
      <c r="B11" s="8" t="s">
        <v>3</v>
      </c>
      <c r="C11" s="2">
        <v>0</v>
      </c>
      <c r="D11" s="7"/>
      <c r="E11" s="12">
        <f t="shared" si="0"/>
        <v>0</v>
      </c>
    </row>
    <row r="12" spans="1:5" ht="15.6" hidden="1" x14ac:dyDescent="0.3">
      <c r="A12" s="8" t="s">
        <v>8</v>
      </c>
      <c r="B12" s="8" t="s">
        <v>9</v>
      </c>
      <c r="C12" s="2">
        <v>0</v>
      </c>
      <c r="D12" s="7"/>
      <c r="E12" s="12">
        <f t="shared" si="0"/>
        <v>0</v>
      </c>
    </row>
    <row r="13" spans="1:5" ht="15.6" hidden="1" x14ac:dyDescent="0.3">
      <c r="A13" s="8" t="s">
        <v>140</v>
      </c>
      <c r="B13" s="8" t="s">
        <v>3</v>
      </c>
      <c r="C13" s="2">
        <v>0</v>
      </c>
      <c r="D13" s="7"/>
      <c r="E13" s="12">
        <f t="shared" si="0"/>
        <v>0</v>
      </c>
    </row>
    <row r="14" spans="1:5" ht="15.6" x14ac:dyDescent="0.3">
      <c r="A14" s="8" t="s">
        <v>122</v>
      </c>
      <c r="B14" s="8" t="s">
        <v>3</v>
      </c>
      <c r="C14" s="2">
        <v>3</v>
      </c>
      <c r="D14" s="7">
        <v>110000</v>
      </c>
      <c r="E14" s="12">
        <f t="shared" si="0"/>
        <v>330000</v>
      </c>
    </row>
    <row r="15" spans="1:5" ht="15.6" x14ac:dyDescent="0.3">
      <c r="A15" s="8" t="s">
        <v>12</v>
      </c>
      <c r="B15" s="8" t="s">
        <v>3</v>
      </c>
      <c r="C15" s="2">
        <v>5</v>
      </c>
      <c r="D15" s="7">
        <v>12000</v>
      </c>
      <c r="E15" s="12">
        <f t="shared" si="0"/>
        <v>60000</v>
      </c>
    </row>
    <row r="16" spans="1:5" ht="15.6" hidden="1" x14ac:dyDescent="0.3">
      <c r="A16" s="8" t="s">
        <v>14</v>
      </c>
      <c r="B16" s="8" t="s">
        <v>3</v>
      </c>
      <c r="C16" s="2">
        <v>0</v>
      </c>
      <c r="D16" s="7"/>
      <c r="E16" s="12">
        <f t="shared" si="0"/>
        <v>0</v>
      </c>
    </row>
    <row r="17" spans="1:5" ht="15.6" hidden="1" x14ac:dyDescent="0.3">
      <c r="A17" s="8" t="s">
        <v>15</v>
      </c>
      <c r="B17" s="8" t="s">
        <v>3</v>
      </c>
      <c r="C17" s="2">
        <v>0</v>
      </c>
      <c r="D17" s="7"/>
      <c r="E17" s="12">
        <f t="shared" si="0"/>
        <v>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7"/>
      <c r="E18" s="12">
        <f t="shared" si="0"/>
        <v>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7"/>
      <c r="E19" s="12">
        <f t="shared" si="0"/>
        <v>0</v>
      </c>
    </row>
    <row r="20" spans="1:5" ht="15.6" x14ac:dyDescent="0.3">
      <c r="A20" s="8" t="s">
        <v>22</v>
      </c>
      <c r="B20" s="8" t="s">
        <v>3</v>
      </c>
      <c r="C20" s="2">
        <v>140</v>
      </c>
      <c r="D20" s="7">
        <v>12000</v>
      </c>
      <c r="E20" s="12">
        <f t="shared" si="0"/>
        <v>1680000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7"/>
      <c r="E21" s="12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37</v>
      </c>
      <c r="D22" s="7">
        <v>10000</v>
      </c>
      <c r="E22" s="12">
        <f t="shared" si="0"/>
        <v>370000</v>
      </c>
    </row>
    <row r="23" spans="1:5" ht="15.6" x14ac:dyDescent="0.3">
      <c r="A23" s="8" t="s">
        <v>24</v>
      </c>
      <c r="B23" s="8" t="s">
        <v>25</v>
      </c>
      <c r="C23" s="2">
        <v>60</v>
      </c>
      <c r="D23" s="7">
        <v>6000</v>
      </c>
      <c r="E23" s="12">
        <f t="shared" si="0"/>
        <v>360000</v>
      </c>
    </row>
    <row r="24" spans="1:5" ht="15.6" hidden="1" x14ac:dyDescent="0.3">
      <c r="A24" s="8" t="s">
        <v>26</v>
      </c>
      <c r="B24" s="8" t="s">
        <v>3</v>
      </c>
      <c r="C24" s="2">
        <v>0</v>
      </c>
      <c r="D24" s="7"/>
      <c r="E24" s="12">
        <f t="shared" si="0"/>
        <v>0</v>
      </c>
    </row>
    <row r="25" spans="1:5" ht="15.6" hidden="1" x14ac:dyDescent="0.3">
      <c r="A25" s="8" t="s">
        <v>26</v>
      </c>
      <c r="B25" s="8" t="s">
        <v>27</v>
      </c>
      <c r="C25" s="2">
        <v>0</v>
      </c>
      <c r="D25" s="7"/>
      <c r="E25" s="12">
        <f t="shared" si="0"/>
        <v>0</v>
      </c>
    </row>
    <row r="26" spans="1:5" ht="15.6" x14ac:dyDescent="0.3">
      <c r="A26" s="8" t="s">
        <v>28</v>
      </c>
      <c r="B26" s="8" t="s">
        <v>29</v>
      </c>
      <c r="C26" s="2">
        <v>18</v>
      </c>
      <c r="D26" s="7">
        <v>10500</v>
      </c>
      <c r="E26" s="12">
        <f t="shared" si="0"/>
        <v>189000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7"/>
      <c r="E27" s="12">
        <f t="shared" si="0"/>
        <v>0</v>
      </c>
    </row>
    <row r="28" spans="1:5" ht="15.6" x14ac:dyDescent="0.3">
      <c r="A28" s="8" t="s">
        <v>30</v>
      </c>
      <c r="B28" s="8" t="s">
        <v>31</v>
      </c>
      <c r="C28" s="2">
        <v>343</v>
      </c>
      <c r="D28" s="7">
        <v>7500</v>
      </c>
      <c r="E28" s="12">
        <f t="shared" si="0"/>
        <v>2572500</v>
      </c>
    </row>
    <row r="29" spans="1:5" ht="15.6" hidden="1" x14ac:dyDescent="0.3">
      <c r="A29" s="8" t="s">
        <v>32</v>
      </c>
      <c r="B29" s="8" t="s">
        <v>3</v>
      </c>
      <c r="C29" s="2">
        <v>0</v>
      </c>
      <c r="D29" s="7"/>
      <c r="E29" s="12">
        <f t="shared" si="0"/>
        <v>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7"/>
      <c r="E30" s="12">
        <f t="shared" si="0"/>
        <v>0</v>
      </c>
    </row>
    <row r="31" spans="1:5" ht="15.6" x14ac:dyDescent="0.3">
      <c r="A31" s="8" t="s">
        <v>33</v>
      </c>
      <c r="B31" s="8" t="s">
        <v>34</v>
      </c>
      <c r="C31" s="2">
        <v>116</v>
      </c>
      <c r="D31" s="7">
        <v>9000</v>
      </c>
      <c r="E31" s="12">
        <f t="shared" si="0"/>
        <v>1044000</v>
      </c>
    </row>
    <row r="32" spans="1:5" ht="15.6" x14ac:dyDescent="0.3">
      <c r="A32" s="8" t="s">
        <v>35</v>
      </c>
      <c r="B32" s="8" t="s">
        <v>3</v>
      </c>
      <c r="C32" s="2">
        <v>35</v>
      </c>
      <c r="D32" s="7">
        <v>8000</v>
      </c>
      <c r="E32" s="12">
        <f t="shared" si="0"/>
        <v>280000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7"/>
      <c r="E33" s="12">
        <f t="shared" si="0"/>
        <v>0</v>
      </c>
    </row>
    <row r="34" spans="1:5" ht="15.6" x14ac:dyDescent="0.3">
      <c r="A34" s="8" t="s">
        <v>36</v>
      </c>
      <c r="B34" s="8" t="s">
        <v>17</v>
      </c>
      <c r="C34" s="2">
        <v>44</v>
      </c>
      <c r="D34" s="7">
        <v>5500</v>
      </c>
      <c r="E34" s="12">
        <f t="shared" si="0"/>
        <v>242000</v>
      </c>
    </row>
    <row r="35" spans="1:5" ht="15.6" x14ac:dyDescent="0.3">
      <c r="A35" s="8" t="s">
        <v>37</v>
      </c>
      <c r="B35" s="8" t="s">
        <v>3</v>
      </c>
      <c r="C35" s="2">
        <v>65</v>
      </c>
      <c r="D35" s="7">
        <v>8000</v>
      </c>
      <c r="E35" s="12">
        <f t="shared" si="0"/>
        <v>520000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7"/>
      <c r="E36" s="12">
        <f t="shared" si="0"/>
        <v>0</v>
      </c>
    </row>
    <row r="37" spans="1:5" ht="15.6" x14ac:dyDescent="0.3">
      <c r="A37" s="8" t="s">
        <v>39</v>
      </c>
      <c r="B37" s="8" t="s">
        <v>3</v>
      </c>
      <c r="C37" s="2">
        <v>2</v>
      </c>
      <c r="D37" s="7">
        <v>18000</v>
      </c>
      <c r="E37" s="12">
        <f t="shared" si="0"/>
        <v>36000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7"/>
      <c r="E38" s="12">
        <f t="shared" si="0"/>
        <v>0</v>
      </c>
    </row>
    <row r="39" spans="1:5" ht="15.6" x14ac:dyDescent="0.3">
      <c r="A39" s="8" t="s">
        <v>40</v>
      </c>
      <c r="B39" s="8" t="s">
        <v>34</v>
      </c>
      <c r="C39" s="2">
        <v>10</v>
      </c>
      <c r="D39" s="7">
        <v>3000</v>
      </c>
      <c r="E39" s="12">
        <f t="shared" si="0"/>
        <v>30000</v>
      </c>
    </row>
    <row r="40" spans="1:5" ht="15.6" hidden="1" x14ac:dyDescent="0.3">
      <c r="A40" s="8" t="s">
        <v>41</v>
      </c>
      <c r="B40" s="8" t="s">
        <v>34</v>
      </c>
      <c r="C40" s="2">
        <v>0</v>
      </c>
      <c r="D40" s="7"/>
      <c r="E40" s="12">
        <f t="shared" si="0"/>
        <v>0</v>
      </c>
    </row>
    <row r="41" spans="1:5" ht="15.6" hidden="1" x14ac:dyDescent="0.3">
      <c r="A41" s="8" t="s">
        <v>42</v>
      </c>
      <c r="B41" s="8" t="s">
        <v>3</v>
      </c>
      <c r="C41" s="2">
        <v>0</v>
      </c>
      <c r="D41" s="7"/>
      <c r="E41" s="12">
        <f t="shared" si="0"/>
        <v>0</v>
      </c>
    </row>
    <row r="42" spans="1:5" ht="15.6" x14ac:dyDescent="0.3">
      <c r="A42" s="8" t="s">
        <v>43</v>
      </c>
      <c r="B42" s="8" t="s">
        <v>3</v>
      </c>
      <c r="C42" s="2">
        <v>2</v>
      </c>
      <c r="D42" s="7">
        <v>15000</v>
      </c>
      <c r="E42" s="12">
        <f t="shared" si="0"/>
        <v>30000</v>
      </c>
    </row>
    <row r="43" spans="1:5" ht="15.6" x14ac:dyDescent="0.3">
      <c r="A43" s="8" t="s">
        <v>44</v>
      </c>
      <c r="B43" s="8" t="s">
        <v>3</v>
      </c>
      <c r="C43" s="2">
        <v>130</v>
      </c>
      <c r="D43" s="7">
        <v>3500</v>
      </c>
      <c r="E43" s="12">
        <f t="shared" si="0"/>
        <v>455000</v>
      </c>
    </row>
    <row r="44" spans="1:5" ht="15.6" x14ac:dyDescent="0.3">
      <c r="A44" s="8" t="s">
        <v>45</v>
      </c>
      <c r="B44" s="8" t="s">
        <v>3</v>
      </c>
      <c r="C44" s="2">
        <v>6</v>
      </c>
      <c r="D44" s="7">
        <v>9000</v>
      </c>
      <c r="E44" s="12">
        <f t="shared" si="0"/>
        <v>54000</v>
      </c>
    </row>
    <row r="45" spans="1:5" ht="15.6" hidden="1" x14ac:dyDescent="0.3">
      <c r="A45" s="8" t="s">
        <v>45</v>
      </c>
      <c r="B45" s="8" t="s">
        <v>19</v>
      </c>
      <c r="C45" s="2">
        <v>0</v>
      </c>
      <c r="D45" s="7"/>
      <c r="E45" s="12">
        <f t="shared" si="0"/>
        <v>0</v>
      </c>
    </row>
    <row r="46" spans="1:5" ht="15.6" hidden="1" x14ac:dyDescent="0.3">
      <c r="A46" s="8" t="s">
        <v>62</v>
      </c>
      <c r="B46" s="8" t="s">
        <v>3</v>
      </c>
      <c r="C46" s="2">
        <v>0</v>
      </c>
      <c r="D46" s="7"/>
      <c r="E46" s="12">
        <f t="shared" si="0"/>
        <v>0</v>
      </c>
    </row>
    <row r="47" spans="1:5" ht="15.6" x14ac:dyDescent="0.3">
      <c r="A47" s="8" t="s">
        <v>63</v>
      </c>
      <c r="B47" s="8" t="s">
        <v>3</v>
      </c>
      <c r="C47" s="2">
        <v>7</v>
      </c>
      <c r="D47" s="7">
        <v>14000</v>
      </c>
      <c r="E47" s="12">
        <f t="shared" si="0"/>
        <v>98000</v>
      </c>
    </row>
    <row r="48" spans="1:5" ht="15.6" hidden="1" x14ac:dyDescent="0.3">
      <c r="A48" s="8" t="s">
        <v>46</v>
      </c>
      <c r="B48" s="8" t="s">
        <v>29</v>
      </c>
      <c r="C48" s="2">
        <v>0</v>
      </c>
      <c r="D48" s="7"/>
      <c r="E48" s="12">
        <f t="shared" si="0"/>
        <v>0</v>
      </c>
    </row>
    <row r="49" spans="1:5" ht="15.6" hidden="1" x14ac:dyDescent="0.3">
      <c r="A49" s="8" t="s">
        <v>47</v>
      </c>
      <c r="B49" s="8" t="s">
        <v>3</v>
      </c>
      <c r="C49" s="2">
        <v>0</v>
      </c>
      <c r="D49" s="7"/>
      <c r="E49" s="12">
        <f t="shared" si="0"/>
        <v>0</v>
      </c>
    </row>
    <row r="50" spans="1:5" ht="15.6" x14ac:dyDescent="0.3">
      <c r="A50" s="8" t="s">
        <v>48</v>
      </c>
      <c r="B50" s="8" t="s">
        <v>3</v>
      </c>
      <c r="C50" s="2">
        <v>40</v>
      </c>
      <c r="D50" s="7">
        <v>8000</v>
      </c>
      <c r="E50" s="12">
        <f t="shared" si="0"/>
        <v>320000</v>
      </c>
    </row>
    <row r="51" spans="1:5" ht="15.6" hidden="1" x14ac:dyDescent="0.3">
      <c r="A51" s="8" t="s">
        <v>48</v>
      </c>
      <c r="B51" s="8" t="s">
        <v>34</v>
      </c>
      <c r="C51" s="2">
        <v>0</v>
      </c>
      <c r="D51" s="7"/>
      <c r="E51" s="12">
        <f t="shared" si="0"/>
        <v>0</v>
      </c>
    </row>
    <row r="52" spans="1:5" ht="15.6" x14ac:dyDescent="0.3">
      <c r="A52" s="8" t="s">
        <v>49</v>
      </c>
      <c r="B52" s="8" t="s">
        <v>3</v>
      </c>
      <c r="C52" s="2">
        <v>12</v>
      </c>
      <c r="D52" s="7">
        <v>21000</v>
      </c>
      <c r="E52" s="12">
        <f t="shared" si="0"/>
        <v>252000</v>
      </c>
    </row>
    <row r="53" spans="1:5" ht="15.6" x14ac:dyDescent="0.3">
      <c r="A53" s="8" t="s">
        <v>50</v>
      </c>
      <c r="B53" s="8" t="s">
        <v>3</v>
      </c>
      <c r="C53" s="2">
        <v>430</v>
      </c>
      <c r="D53" s="7">
        <v>5500</v>
      </c>
      <c r="E53" s="12">
        <f t="shared" si="0"/>
        <v>2365000</v>
      </c>
    </row>
    <row r="54" spans="1:5" ht="15.6" hidden="1" x14ac:dyDescent="0.3">
      <c r="A54" s="8" t="s">
        <v>50</v>
      </c>
      <c r="B54" s="8" t="s">
        <v>51</v>
      </c>
      <c r="C54" s="2">
        <v>0</v>
      </c>
      <c r="D54" s="7"/>
      <c r="E54" s="12">
        <f t="shared" si="0"/>
        <v>0</v>
      </c>
    </row>
    <row r="55" spans="1:5" ht="15.6" x14ac:dyDescent="0.3">
      <c r="A55" s="8" t="s">
        <v>104</v>
      </c>
      <c r="B55" s="8" t="s">
        <v>3</v>
      </c>
      <c r="C55" s="2">
        <v>120</v>
      </c>
      <c r="D55" s="7">
        <v>20000</v>
      </c>
      <c r="E55" s="12">
        <f t="shared" si="0"/>
        <v>2400000</v>
      </c>
    </row>
    <row r="56" spans="1:5" ht="15.6" x14ac:dyDescent="0.3">
      <c r="A56" s="8" t="s">
        <v>52</v>
      </c>
      <c r="B56" s="8" t="s">
        <v>34</v>
      </c>
      <c r="C56" s="2">
        <v>216</v>
      </c>
      <c r="D56" s="7">
        <v>1350</v>
      </c>
      <c r="E56" s="12">
        <f t="shared" si="0"/>
        <v>291600</v>
      </c>
    </row>
    <row r="57" spans="1:5" ht="15.6" x14ac:dyDescent="0.3">
      <c r="A57" s="8" t="s">
        <v>53</v>
      </c>
      <c r="B57" s="8" t="s">
        <v>3</v>
      </c>
      <c r="C57" s="2">
        <v>1000</v>
      </c>
      <c r="D57" s="7">
        <v>26000</v>
      </c>
      <c r="E57" s="12">
        <f t="shared" si="0"/>
        <v>26000000</v>
      </c>
    </row>
    <row r="58" spans="1:5" ht="15.6" x14ac:dyDescent="0.3">
      <c r="A58" s="8" t="s">
        <v>54</v>
      </c>
      <c r="B58" s="8" t="s">
        <v>3</v>
      </c>
      <c r="C58" s="2">
        <v>220</v>
      </c>
      <c r="D58" s="7">
        <v>26000</v>
      </c>
      <c r="E58" s="12">
        <f t="shared" si="0"/>
        <v>5720000</v>
      </c>
    </row>
    <row r="59" spans="1:5" ht="15.6" hidden="1" x14ac:dyDescent="0.3">
      <c r="A59" s="8" t="s">
        <v>54</v>
      </c>
      <c r="B59" s="8" t="s">
        <v>34</v>
      </c>
      <c r="C59" s="2">
        <v>0</v>
      </c>
      <c r="D59" s="7"/>
      <c r="E59" s="12">
        <f t="shared" si="0"/>
        <v>0</v>
      </c>
    </row>
    <row r="60" spans="1:5" ht="15.6" x14ac:dyDescent="0.3">
      <c r="A60" s="8" t="s">
        <v>55</v>
      </c>
      <c r="B60" s="8" t="s">
        <v>3</v>
      </c>
      <c r="C60" s="2">
        <v>440</v>
      </c>
      <c r="D60" s="7">
        <v>17000</v>
      </c>
      <c r="E60" s="12">
        <f t="shared" si="0"/>
        <v>7480000</v>
      </c>
    </row>
    <row r="61" spans="1:5" ht="15.6" x14ac:dyDescent="0.3">
      <c r="A61" s="8" t="s">
        <v>56</v>
      </c>
      <c r="B61" s="8" t="s">
        <v>3</v>
      </c>
      <c r="C61" s="2">
        <v>40</v>
      </c>
      <c r="D61" s="7">
        <v>24000</v>
      </c>
      <c r="E61" s="12">
        <f t="shared" si="0"/>
        <v>960000</v>
      </c>
    </row>
    <row r="62" spans="1:5" ht="15.6" hidden="1" x14ac:dyDescent="0.3">
      <c r="A62" s="8" t="s">
        <v>58</v>
      </c>
      <c r="B62" s="8" t="s">
        <v>34</v>
      </c>
      <c r="C62" s="2">
        <v>0</v>
      </c>
      <c r="D62" s="7"/>
      <c r="E62" s="12">
        <f t="shared" si="0"/>
        <v>0</v>
      </c>
    </row>
    <row r="63" spans="1:5" ht="15.6" x14ac:dyDescent="0.3">
      <c r="A63" s="8" t="s">
        <v>59</v>
      </c>
      <c r="B63" s="8" t="s">
        <v>3</v>
      </c>
      <c r="C63" s="2">
        <v>380</v>
      </c>
      <c r="D63" s="7">
        <v>14000</v>
      </c>
      <c r="E63" s="12">
        <f t="shared" si="0"/>
        <v>5320000</v>
      </c>
    </row>
    <row r="64" spans="1:5" ht="15.6" hidden="1" x14ac:dyDescent="0.3">
      <c r="A64" s="8" t="s">
        <v>59</v>
      </c>
      <c r="B64" s="8" t="s">
        <v>34</v>
      </c>
      <c r="C64" s="2">
        <v>0</v>
      </c>
      <c r="D64" s="7"/>
      <c r="E64" s="12">
        <f t="shared" si="0"/>
        <v>0</v>
      </c>
    </row>
    <row r="65" spans="1:5" ht="15.6" x14ac:dyDescent="0.3">
      <c r="A65" s="8" t="s">
        <v>60</v>
      </c>
      <c r="B65" s="8" t="s">
        <v>34</v>
      </c>
      <c r="C65" s="2">
        <v>60</v>
      </c>
      <c r="D65" s="7">
        <v>5000</v>
      </c>
      <c r="E65" s="12">
        <f t="shared" si="0"/>
        <v>300000</v>
      </c>
    </row>
    <row r="66" spans="1:5" ht="15.6" x14ac:dyDescent="0.3">
      <c r="A66" s="8" t="s">
        <v>61</v>
      </c>
      <c r="B66" s="8" t="s">
        <v>3</v>
      </c>
      <c r="C66" s="2">
        <v>16</v>
      </c>
      <c r="D66" s="7">
        <v>11000</v>
      </c>
      <c r="E66" s="12">
        <f t="shared" si="0"/>
        <v>176000</v>
      </c>
    </row>
    <row r="67" spans="1:5" ht="15.6" x14ac:dyDescent="0.3">
      <c r="A67" s="8" t="s">
        <v>67</v>
      </c>
      <c r="B67" s="8" t="s">
        <v>34</v>
      </c>
      <c r="C67" s="2">
        <v>3</v>
      </c>
      <c r="D67" s="7">
        <v>6000</v>
      </c>
      <c r="E67" s="12">
        <f t="shared" si="0"/>
        <v>18000</v>
      </c>
    </row>
    <row r="68" spans="1:5" ht="15.6" hidden="1" x14ac:dyDescent="0.3">
      <c r="A68" s="8" t="s">
        <v>68</v>
      </c>
      <c r="B68" s="8" t="s">
        <v>3</v>
      </c>
      <c r="C68" s="2">
        <v>0</v>
      </c>
      <c r="D68" s="7"/>
      <c r="E68" s="12">
        <f t="shared" ref="E68:E108" si="1">C68*D68</f>
        <v>0</v>
      </c>
    </row>
    <row r="69" spans="1:5" ht="15.6" x14ac:dyDescent="0.3">
      <c r="A69" s="8" t="s">
        <v>68</v>
      </c>
      <c r="B69" s="8" t="s">
        <v>34</v>
      </c>
      <c r="C69" s="2">
        <v>50</v>
      </c>
      <c r="D69" s="7">
        <v>6500</v>
      </c>
      <c r="E69" s="12">
        <f t="shared" si="1"/>
        <v>325000</v>
      </c>
    </row>
    <row r="70" spans="1:5" ht="15.6" hidden="1" x14ac:dyDescent="0.3">
      <c r="A70" s="8" t="s">
        <v>70</v>
      </c>
      <c r="B70" s="8" t="s">
        <v>3</v>
      </c>
      <c r="C70" s="2">
        <v>0</v>
      </c>
      <c r="D70" s="7"/>
      <c r="E70" s="12">
        <f t="shared" si="1"/>
        <v>0</v>
      </c>
    </row>
    <row r="71" spans="1:5" ht="15.6" x14ac:dyDescent="0.3">
      <c r="A71" s="8" t="s">
        <v>71</v>
      </c>
      <c r="B71" s="8" t="s">
        <v>3</v>
      </c>
      <c r="C71" s="2">
        <v>0.5</v>
      </c>
      <c r="D71" s="7">
        <v>70000</v>
      </c>
      <c r="E71" s="12">
        <f t="shared" si="1"/>
        <v>35000</v>
      </c>
    </row>
    <row r="72" spans="1:5" ht="15.6" hidden="1" x14ac:dyDescent="0.3">
      <c r="A72" s="8" t="s">
        <v>64</v>
      </c>
      <c r="B72" s="8" t="s">
        <v>3</v>
      </c>
      <c r="C72" s="2">
        <v>0</v>
      </c>
      <c r="D72" s="7"/>
      <c r="E72" s="12">
        <f t="shared" si="1"/>
        <v>0</v>
      </c>
    </row>
    <row r="73" spans="1:5" ht="15.6" x14ac:dyDescent="0.3">
      <c r="A73" s="8" t="s">
        <v>64</v>
      </c>
      <c r="B73" s="8" t="s">
        <v>17</v>
      </c>
      <c r="C73" s="2">
        <v>130</v>
      </c>
      <c r="D73" s="7">
        <v>6700</v>
      </c>
      <c r="E73" s="12">
        <f t="shared" si="1"/>
        <v>871000</v>
      </c>
    </row>
    <row r="74" spans="1:5" ht="15.6" hidden="1" x14ac:dyDescent="0.3">
      <c r="A74" s="8" t="s">
        <v>65</v>
      </c>
      <c r="B74" s="8" t="s">
        <v>3</v>
      </c>
      <c r="C74" s="2">
        <v>0</v>
      </c>
      <c r="D74" s="7"/>
      <c r="E74" s="12">
        <f t="shared" si="1"/>
        <v>0</v>
      </c>
    </row>
    <row r="75" spans="1:5" ht="15.6" x14ac:dyDescent="0.3">
      <c r="A75" s="8" t="s">
        <v>66</v>
      </c>
      <c r="B75" s="8" t="s">
        <v>3</v>
      </c>
      <c r="C75" s="2">
        <v>16</v>
      </c>
      <c r="D75" s="7">
        <v>14000</v>
      </c>
      <c r="E75" s="12">
        <f t="shared" si="1"/>
        <v>224000</v>
      </c>
    </row>
    <row r="76" spans="1:5" ht="15.6" x14ac:dyDescent="0.3">
      <c r="A76" s="8" t="s">
        <v>72</v>
      </c>
      <c r="B76" s="8" t="s">
        <v>3</v>
      </c>
      <c r="C76" s="2">
        <v>3</v>
      </c>
      <c r="D76" s="7">
        <v>9000</v>
      </c>
      <c r="E76" s="12">
        <f t="shared" si="1"/>
        <v>27000</v>
      </c>
    </row>
    <row r="77" spans="1:5" ht="15.6" hidden="1" x14ac:dyDescent="0.3">
      <c r="A77" s="8" t="s">
        <v>72</v>
      </c>
      <c r="B77" s="8" t="s">
        <v>19</v>
      </c>
      <c r="C77" s="2">
        <v>0</v>
      </c>
      <c r="D77" s="7"/>
      <c r="E77" s="12">
        <f t="shared" si="1"/>
        <v>0</v>
      </c>
    </row>
    <row r="78" spans="1:5" ht="15.6" hidden="1" x14ac:dyDescent="0.3">
      <c r="A78" s="8" t="s">
        <v>74</v>
      </c>
      <c r="B78" s="8" t="s">
        <v>34</v>
      </c>
      <c r="C78" s="2">
        <v>0</v>
      </c>
      <c r="D78" s="7"/>
      <c r="E78" s="12">
        <f t="shared" si="1"/>
        <v>0</v>
      </c>
    </row>
    <row r="79" spans="1:5" ht="15.6" x14ac:dyDescent="0.3">
      <c r="A79" s="8" t="s">
        <v>75</v>
      </c>
      <c r="B79" s="8" t="s">
        <v>3</v>
      </c>
      <c r="C79" s="2">
        <v>9</v>
      </c>
      <c r="D79" s="7">
        <v>14000</v>
      </c>
      <c r="E79" s="12">
        <f t="shared" si="1"/>
        <v>126000</v>
      </c>
    </row>
    <row r="80" spans="1:5" ht="15.6" x14ac:dyDescent="0.3">
      <c r="A80" s="8" t="s">
        <v>76</v>
      </c>
      <c r="B80" s="8" t="s">
        <v>3</v>
      </c>
      <c r="C80" s="2">
        <v>97</v>
      </c>
      <c r="D80" s="7">
        <v>60000</v>
      </c>
      <c r="E80" s="12">
        <f t="shared" si="1"/>
        <v>5820000</v>
      </c>
    </row>
    <row r="81" spans="1:5" ht="15.6" hidden="1" x14ac:dyDescent="0.3">
      <c r="A81" s="8" t="s">
        <v>76</v>
      </c>
      <c r="B81" s="8" t="s">
        <v>78</v>
      </c>
      <c r="C81" s="2">
        <v>0</v>
      </c>
      <c r="D81" s="7"/>
      <c r="E81" s="12">
        <f t="shared" si="1"/>
        <v>0</v>
      </c>
    </row>
    <row r="82" spans="1:5" ht="15.6" hidden="1" x14ac:dyDescent="0.3">
      <c r="A82" s="8" t="s">
        <v>76</v>
      </c>
      <c r="B82" s="8" t="s">
        <v>77</v>
      </c>
      <c r="C82" s="2">
        <v>0</v>
      </c>
      <c r="D82" s="7"/>
      <c r="E82" s="12">
        <f t="shared" si="1"/>
        <v>0</v>
      </c>
    </row>
    <row r="83" spans="1:5" ht="15.6" hidden="1" x14ac:dyDescent="0.3">
      <c r="A83" s="8" t="s">
        <v>137</v>
      </c>
      <c r="B83" s="8" t="s">
        <v>3</v>
      </c>
      <c r="C83" s="2">
        <v>0</v>
      </c>
      <c r="D83" s="7"/>
      <c r="E83" s="12">
        <f t="shared" si="1"/>
        <v>0</v>
      </c>
    </row>
    <row r="84" spans="1:5" ht="15.6" hidden="1" x14ac:dyDescent="0.3">
      <c r="A84" s="8" t="s">
        <v>79</v>
      </c>
      <c r="B84" s="8" t="s">
        <v>17</v>
      </c>
      <c r="C84" s="2">
        <v>0</v>
      </c>
      <c r="D84" s="7"/>
      <c r="E84" s="12">
        <f t="shared" si="1"/>
        <v>0</v>
      </c>
    </row>
    <row r="85" spans="1:5" ht="15.6" hidden="1" x14ac:dyDescent="0.3">
      <c r="A85" s="8" t="s">
        <v>80</v>
      </c>
      <c r="B85" s="8" t="s">
        <v>29</v>
      </c>
      <c r="C85" s="2">
        <v>0</v>
      </c>
      <c r="D85" s="7"/>
      <c r="E85" s="12">
        <f t="shared" si="1"/>
        <v>0</v>
      </c>
    </row>
    <row r="86" spans="1:5" ht="15.6" x14ac:dyDescent="0.3">
      <c r="A86" s="8" t="s">
        <v>81</v>
      </c>
      <c r="B86" s="8" t="s">
        <v>3</v>
      </c>
      <c r="C86" s="2">
        <v>60</v>
      </c>
      <c r="D86" s="7">
        <v>24000</v>
      </c>
      <c r="E86" s="12">
        <f t="shared" si="1"/>
        <v>1440000</v>
      </c>
    </row>
    <row r="87" spans="1:5" ht="15.6" hidden="1" x14ac:dyDescent="0.3">
      <c r="A87" s="8" t="s">
        <v>81</v>
      </c>
      <c r="B87" s="8" t="s">
        <v>9</v>
      </c>
      <c r="C87" s="2">
        <v>0</v>
      </c>
      <c r="D87" s="7"/>
      <c r="E87" s="12">
        <f t="shared" si="1"/>
        <v>0</v>
      </c>
    </row>
    <row r="88" spans="1:5" ht="15.6" x14ac:dyDescent="0.3">
      <c r="A88" s="8" t="s">
        <v>108</v>
      </c>
      <c r="B88" s="8" t="s">
        <v>3</v>
      </c>
      <c r="C88" s="2">
        <v>20</v>
      </c>
      <c r="D88" s="7">
        <v>18000</v>
      </c>
      <c r="E88" s="12">
        <f t="shared" si="1"/>
        <v>360000</v>
      </c>
    </row>
    <row r="89" spans="1:5" ht="15.6" x14ac:dyDescent="0.3">
      <c r="A89" s="8" t="s">
        <v>82</v>
      </c>
      <c r="B89" s="8" t="s">
        <v>3</v>
      </c>
      <c r="C89" s="2">
        <v>62</v>
      </c>
      <c r="D89" s="7">
        <v>22000</v>
      </c>
      <c r="E89" s="12">
        <f t="shared" si="1"/>
        <v>1364000</v>
      </c>
    </row>
    <row r="90" spans="1:5" ht="15.6" hidden="1" x14ac:dyDescent="0.3">
      <c r="A90" s="8" t="s">
        <v>82</v>
      </c>
      <c r="B90" s="8" t="s">
        <v>9</v>
      </c>
      <c r="C90" s="2">
        <v>0</v>
      </c>
      <c r="D90" s="7"/>
      <c r="E90" s="12">
        <f t="shared" si="1"/>
        <v>0</v>
      </c>
    </row>
    <row r="91" spans="1:5" ht="15.6" x14ac:dyDescent="0.3">
      <c r="A91" s="8" t="s">
        <v>109</v>
      </c>
      <c r="B91" s="8" t="s">
        <v>3</v>
      </c>
      <c r="C91" s="2">
        <v>40</v>
      </c>
      <c r="D91" s="7">
        <v>16000</v>
      </c>
      <c r="E91" s="12">
        <f t="shared" si="1"/>
        <v>640000</v>
      </c>
    </row>
    <row r="92" spans="1:5" ht="15.6" x14ac:dyDescent="0.3">
      <c r="A92" s="8" t="s">
        <v>83</v>
      </c>
      <c r="B92" s="8" t="s">
        <v>3</v>
      </c>
      <c r="C92" s="2">
        <v>40</v>
      </c>
      <c r="D92" s="7">
        <v>27000</v>
      </c>
      <c r="E92" s="12">
        <f t="shared" si="1"/>
        <v>1080000</v>
      </c>
    </row>
    <row r="93" spans="1:5" ht="15.6" hidden="1" x14ac:dyDescent="0.3">
      <c r="A93" s="8" t="s">
        <v>83</v>
      </c>
      <c r="B93" s="8" t="s">
        <v>9</v>
      </c>
      <c r="C93" s="2">
        <v>0</v>
      </c>
      <c r="D93" s="7"/>
      <c r="E93" s="12">
        <f t="shared" si="1"/>
        <v>0</v>
      </c>
    </row>
    <row r="94" spans="1:5" ht="15.6" x14ac:dyDescent="0.3">
      <c r="A94" s="8" t="s">
        <v>110</v>
      </c>
      <c r="B94" s="8" t="s">
        <v>3</v>
      </c>
      <c r="C94" s="2">
        <v>12</v>
      </c>
      <c r="D94" s="7">
        <v>24000</v>
      </c>
      <c r="E94" s="12">
        <f t="shared" si="1"/>
        <v>288000</v>
      </c>
    </row>
    <row r="95" spans="1:5" ht="15.6" hidden="1" x14ac:dyDescent="0.3">
      <c r="A95" s="8" t="s">
        <v>84</v>
      </c>
      <c r="B95" s="8" t="s">
        <v>34</v>
      </c>
      <c r="C95" s="2">
        <v>0</v>
      </c>
      <c r="D95" s="7"/>
      <c r="E95" s="12">
        <f t="shared" si="1"/>
        <v>0</v>
      </c>
    </row>
    <row r="96" spans="1:5" ht="15.6" hidden="1" x14ac:dyDescent="0.3">
      <c r="A96" s="8" t="s">
        <v>142</v>
      </c>
      <c r="B96" s="8" t="s">
        <v>3</v>
      </c>
      <c r="C96" s="2">
        <v>0</v>
      </c>
      <c r="D96" s="7"/>
      <c r="E96" s="12">
        <f t="shared" si="1"/>
        <v>0</v>
      </c>
    </row>
    <row r="97" spans="1:5" ht="15.6" hidden="1" x14ac:dyDescent="0.3">
      <c r="A97" s="8" t="s">
        <v>85</v>
      </c>
      <c r="B97" s="8" t="s">
        <v>34</v>
      </c>
      <c r="C97" s="2">
        <v>0</v>
      </c>
      <c r="D97" s="7"/>
      <c r="E97" s="12">
        <f t="shared" si="1"/>
        <v>0</v>
      </c>
    </row>
    <row r="98" spans="1:5" ht="15.6" x14ac:dyDescent="0.3">
      <c r="A98" s="8" t="s">
        <v>86</v>
      </c>
      <c r="B98" s="8" t="s">
        <v>9</v>
      </c>
      <c r="C98" s="2">
        <v>197</v>
      </c>
      <c r="D98" s="7">
        <v>9000</v>
      </c>
      <c r="E98" s="12">
        <f t="shared" si="1"/>
        <v>1773000</v>
      </c>
    </row>
    <row r="99" spans="1:5" ht="15.6" x14ac:dyDescent="0.3">
      <c r="A99" s="8" t="s">
        <v>87</v>
      </c>
      <c r="B99" s="8" t="s">
        <v>9</v>
      </c>
      <c r="C99" s="2">
        <v>353</v>
      </c>
      <c r="D99" s="7">
        <v>11361</v>
      </c>
      <c r="E99" s="12">
        <f t="shared" si="1"/>
        <v>4010433</v>
      </c>
    </row>
    <row r="100" spans="1:5" ht="15.6" x14ac:dyDescent="0.3">
      <c r="A100" s="8" t="s">
        <v>89</v>
      </c>
      <c r="B100" s="8" t="s">
        <v>3</v>
      </c>
      <c r="C100" s="2">
        <v>6</v>
      </c>
      <c r="D100" s="7">
        <v>18000</v>
      </c>
      <c r="E100" s="12">
        <f t="shared" si="1"/>
        <v>108000</v>
      </c>
    </row>
    <row r="101" spans="1:5" ht="15.6" x14ac:dyDescent="0.3">
      <c r="A101" s="8" t="s">
        <v>90</v>
      </c>
      <c r="B101" s="8" t="s">
        <v>3</v>
      </c>
      <c r="C101" s="2">
        <v>18</v>
      </c>
      <c r="D101" s="7">
        <v>8000</v>
      </c>
      <c r="E101" s="12">
        <f t="shared" si="1"/>
        <v>144000</v>
      </c>
    </row>
    <row r="102" spans="1:5" ht="15.6" x14ac:dyDescent="0.3">
      <c r="A102" s="8" t="s">
        <v>91</v>
      </c>
      <c r="B102" s="8" t="s">
        <v>3</v>
      </c>
      <c r="C102" s="2">
        <v>2</v>
      </c>
      <c r="D102" s="7">
        <v>13000</v>
      </c>
      <c r="E102" s="12">
        <f t="shared" si="1"/>
        <v>26000</v>
      </c>
    </row>
    <row r="103" spans="1:5" ht="15.6" hidden="1" x14ac:dyDescent="0.3">
      <c r="A103" s="8" t="s">
        <v>92</v>
      </c>
      <c r="B103" s="8" t="s">
        <v>3</v>
      </c>
      <c r="C103" s="2">
        <v>0</v>
      </c>
      <c r="D103" s="7"/>
      <c r="E103" s="12">
        <f t="shared" si="1"/>
        <v>0</v>
      </c>
    </row>
    <row r="104" spans="1:5" ht="15.6" hidden="1" x14ac:dyDescent="0.3">
      <c r="A104" s="8" t="s">
        <v>93</v>
      </c>
      <c r="B104" s="8" t="s">
        <v>19</v>
      </c>
      <c r="C104" s="2">
        <v>0</v>
      </c>
      <c r="D104" s="7"/>
      <c r="E104" s="12">
        <f t="shared" si="1"/>
        <v>0</v>
      </c>
    </row>
    <row r="105" spans="1:5" ht="15.6" hidden="1" x14ac:dyDescent="0.3">
      <c r="A105" s="8" t="s">
        <v>94</v>
      </c>
      <c r="B105" s="8" t="s">
        <v>3</v>
      </c>
      <c r="C105" s="2">
        <v>0</v>
      </c>
      <c r="D105" s="7"/>
      <c r="E105" s="12">
        <f t="shared" si="1"/>
        <v>0</v>
      </c>
    </row>
    <row r="106" spans="1:5" ht="15.6" hidden="1" x14ac:dyDescent="0.3">
      <c r="A106" s="8" t="s">
        <v>95</v>
      </c>
      <c r="B106" s="8" t="s">
        <v>19</v>
      </c>
      <c r="C106" s="2">
        <v>0</v>
      </c>
      <c r="D106" s="7"/>
      <c r="E106" s="12">
        <f t="shared" si="1"/>
        <v>0</v>
      </c>
    </row>
    <row r="107" spans="1:5" ht="15.6" x14ac:dyDescent="0.3">
      <c r="A107" s="8" t="s">
        <v>97</v>
      </c>
      <c r="B107" s="8" t="s">
        <v>3</v>
      </c>
      <c r="C107" s="2">
        <v>18</v>
      </c>
      <c r="D107" s="7">
        <v>25000</v>
      </c>
      <c r="E107" s="12">
        <f t="shared" si="1"/>
        <v>450000</v>
      </c>
    </row>
    <row r="108" spans="1:5" ht="15.6" x14ac:dyDescent="0.3">
      <c r="A108" s="8" t="s">
        <v>98</v>
      </c>
      <c r="B108" s="8" t="s">
        <v>19</v>
      </c>
      <c r="C108" s="2">
        <v>28</v>
      </c>
      <c r="D108" s="7">
        <v>6500</v>
      </c>
      <c r="E108" s="12">
        <f t="shared" si="1"/>
        <v>182000</v>
      </c>
    </row>
    <row r="109" spans="1:5" x14ac:dyDescent="0.3">
      <c r="E109" s="9">
        <f>SUM(E3:E108)</f>
        <v>96727533</v>
      </c>
    </row>
  </sheetData>
  <autoFilter ref="A2:E108" xr:uid="{00000000-0009-0000-0000-000019000000}">
    <filterColumn colId="2">
      <filters>
        <filter val="1"/>
        <filter val="1,000"/>
        <filter val="1,308"/>
        <filter val="10"/>
        <filter val="116"/>
        <filter val="12"/>
        <filter val="120"/>
        <filter val="130"/>
        <filter val="140"/>
        <filter val="155"/>
        <filter val="16"/>
        <filter val="18"/>
        <filter val="197"/>
        <filter val="2"/>
        <filter val="20"/>
        <filter val="216"/>
        <filter val="220"/>
        <filter val="28"/>
        <filter val="3"/>
        <filter val="343"/>
        <filter val="35"/>
        <filter val="353"/>
        <filter val="37"/>
        <filter val="380"/>
        <filter val="40"/>
        <filter val="430"/>
        <filter val="44"/>
        <filter val="440"/>
        <filter val="5"/>
        <filter val="50"/>
        <filter val="560"/>
        <filter val="6"/>
        <filter val="60"/>
        <filter val="62"/>
        <filter val="65"/>
        <filter val="7"/>
        <filter val="874"/>
        <filter val="9"/>
        <filter val="97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E123"/>
  <sheetViews>
    <sheetView topLeftCell="A20" workbookViewId="0">
      <selection activeCell="J31" sqref="J31"/>
    </sheetView>
  </sheetViews>
  <sheetFormatPr defaultRowHeight="14.4" x14ac:dyDescent="0.3"/>
  <cols>
    <col min="1" max="1" width="33" customWidth="1"/>
    <col min="4" max="4" width="13.88671875" customWidth="1"/>
    <col min="5" max="5" width="20.88671875" customWidth="1"/>
  </cols>
  <sheetData>
    <row r="1" spans="1:5" x14ac:dyDescent="0.3">
      <c r="A1" t="s">
        <v>247</v>
      </c>
    </row>
    <row r="2" spans="1:5" ht="40.799999999999997" customHeight="1" x14ac:dyDescent="0.3">
      <c r="A2" s="10" t="s">
        <v>0</v>
      </c>
      <c r="B2" s="10" t="s">
        <v>1</v>
      </c>
      <c r="C2" s="3" t="s">
        <v>100</v>
      </c>
      <c r="D2" s="11" t="s">
        <v>101</v>
      </c>
      <c r="E2" s="11" t="s">
        <v>102</v>
      </c>
    </row>
    <row r="3" spans="1:5" x14ac:dyDescent="0.3">
      <c r="A3" s="8" t="s">
        <v>2</v>
      </c>
      <c r="B3" s="8" t="s">
        <v>3</v>
      </c>
      <c r="C3" s="7">
        <v>20</v>
      </c>
      <c r="D3" s="12">
        <v>16000</v>
      </c>
      <c r="E3" s="12">
        <f>C3*D3</f>
        <v>320000</v>
      </c>
    </row>
    <row r="4" spans="1:5" x14ac:dyDescent="0.3">
      <c r="A4" s="8" t="s">
        <v>4</v>
      </c>
      <c r="B4" s="8" t="s">
        <v>3</v>
      </c>
      <c r="C4" s="7">
        <v>500</v>
      </c>
      <c r="D4" s="12">
        <v>8000</v>
      </c>
      <c r="E4" s="12">
        <f t="shared" ref="E4:E67" si="0">C4*D4</f>
        <v>4000000</v>
      </c>
    </row>
    <row r="5" spans="1:5" x14ac:dyDescent="0.3">
      <c r="A5" s="8" t="s">
        <v>5</v>
      </c>
      <c r="B5" s="8" t="s">
        <v>3</v>
      </c>
      <c r="C5" s="7">
        <v>500</v>
      </c>
      <c r="D5" s="12">
        <v>3300</v>
      </c>
      <c r="E5" s="12">
        <f t="shared" si="0"/>
        <v>1650000</v>
      </c>
    </row>
    <row r="6" spans="1:5" hidden="1" x14ac:dyDescent="0.3">
      <c r="A6" s="8" t="s">
        <v>103</v>
      </c>
      <c r="B6" s="8" t="s">
        <v>3</v>
      </c>
      <c r="C6" s="7">
        <v>0</v>
      </c>
      <c r="D6" s="12"/>
      <c r="E6" s="12">
        <f t="shared" si="0"/>
        <v>0</v>
      </c>
    </row>
    <row r="7" spans="1:5" hidden="1" x14ac:dyDescent="0.3">
      <c r="A7" s="8" t="s">
        <v>6</v>
      </c>
      <c r="B7" s="8" t="s">
        <v>3</v>
      </c>
      <c r="C7" s="7">
        <v>0</v>
      </c>
      <c r="D7" s="12"/>
      <c r="E7" s="12">
        <f t="shared" si="0"/>
        <v>0</v>
      </c>
    </row>
    <row r="8" spans="1:5" x14ac:dyDescent="0.3">
      <c r="A8" s="8" t="s">
        <v>7</v>
      </c>
      <c r="B8" s="8" t="s">
        <v>3</v>
      </c>
      <c r="C8" s="7">
        <v>500</v>
      </c>
      <c r="D8" s="12">
        <v>9000</v>
      </c>
      <c r="E8" s="12">
        <f t="shared" si="0"/>
        <v>4500000</v>
      </c>
    </row>
    <row r="9" spans="1:5" x14ac:dyDescent="0.3">
      <c r="A9" s="8" t="s">
        <v>11</v>
      </c>
      <c r="B9" s="8" t="s">
        <v>3</v>
      </c>
      <c r="C9" s="7">
        <v>50</v>
      </c>
      <c r="D9" s="12">
        <v>7000</v>
      </c>
      <c r="E9" s="12">
        <f t="shared" si="0"/>
        <v>350000</v>
      </c>
    </row>
    <row r="10" spans="1:5" x14ac:dyDescent="0.3">
      <c r="A10" s="8" t="s">
        <v>11</v>
      </c>
      <c r="B10" s="8" t="s">
        <v>9</v>
      </c>
      <c r="C10" s="7">
        <v>100</v>
      </c>
      <c r="D10" s="12">
        <v>2500</v>
      </c>
      <c r="E10" s="12">
        <f t="shared" si="0"/>
        <v>250000</v>
      </c>
    </row>
    <row r="11" spans="1:5" x14ac:dyDescent="0.3">
      <c r="A11" s="8" t="s">
        <v>8</v>
      </c>
      <c r="B11" s="8" t="s">
        <v>3</v>
      </c>
      <c r="C11" s="7">
        <v>8</v>
      </c>
      <c r="D11" s="12">
        <v>16000</v>
      </c>
      <c r="E11" s="12">
        <f t="shared" si="0"/>
        <v>128000</v>
      </c>
    </row>
    <row r="12" spans="1:5" x14ac:dyDescent="0.3">
      <c r="A12" s="8" t="s">
        <v>8</v>
      </c>
      <c r="B12" s="8" t="s">
        <v>9</v>
      </c>
      <c r="C12" s="7">
        <v>40</v>
      </c>
      <c r="D12" s="12">
        <v>5000</v>
      </c>
      <c r="E12" s="12">
        <f t="shared" si="0"/>
        <v>200000</v>
      </c>
    </row>
    <row r="13" spans="1:5" x14ac:dyDescent="0.3">
      <c r="A13" s="8" t="s">
        <v>140</v>
      </c>
      <c r="B13" s="8" t="s">
        <v>3</v>
      </c>
      <c r="C13" s="7">
        <v>50</v>
      </c>
      <c r="D13" s="12">
        <v>35000</v>
      </c>
      <c r="E13" s="12">
        <f t="shared" si="0"/>
        <v>1750000</v>
      </c>
    </row>
    <row r="14" spans="1:5" hidden="1" x14ac:dyDescent="0.3">
      <c r="A14" s="8" t="s">
        <v>122</v>
      </c>
      <c r="B14" s="8" t="s">
        <v>3</v>
      </c>
      <c r="C14" s="7">
        <v>0</v>
      </c>
      <c r="D14" s="12"/>
      <c r="E14" s="12">
        <f t="shared" si="0"/>
        <v>0</v>
      </c>
    </row>
    <row r="15" spans="1:5" hidden="1" x14ac:dyDescent="0.3">
      <c r="A15" s="8" t="s">
        <v>12</v>
      </c>
      <c r="B15" s="8" t="s">
        <v>3</v>
      </c>
      <c r="C15" s="7">
        <v>0</v>
      </c>
      <c r="D15" s="12"/>
      <c r="E15" s="12">
        <f t="shared" si="0"/>
        <v>0</v>
      </c>
    </row>
    <row r="16" spans="1:5" hidden="1" x14ac:dyDescent="0.3">
      <c r="A16" s="8" t="s">
        <v>14</v>
      </c>
      <c r="B16" s="8" t="s">
        <v>3</v>
      </c>
      <c r="C16" s="7">
        <v>0</v>
      </c>
      <c r="D16" s="12"/>
      <c r="E16" s="12">
        <f t="shared" si="0"/>
        <v>0</v>
      </c>
    </row>
    <row r="17" spans="1:5" hidden="1" x14ac:dyDescent="0.3">
      <c r="A17" s="8" t="s">
        <v>15</v>
      </c>
      <c r="B17" s="8" t="s">
        <v>3</v>
      </c>
      <c r="C17" s="7">
        <v>0</v>
      </c>
      <c r="D17" s="12"/>
      <c r="E17" s="12">
        <f t="shared" si="0"/>
        <v>0</v>
      </c>
    </row>
    <row r="18" spans="1:5" hidden="1" x14ac:dyDescent="0.3">
      <c r="A18" s="8" t="s">
        <v>16</v>
      </c>
      <c r="B18" s="8" t="s">
        <v>17</v>
      </c>
      <c r="C18" s="7">
        <v>0</v>
      </c>
      <c r="D18" s="12"/>
      <c r="E18" s="12">
        <f t="shared" si="0"/>
        <v>0</v>
      </c>
    </row>
    <row r="19" spans="1:5" hidden="1" x14ac:dyDescent="0.3">
      <c r="A19" s="8" t="s">
        <v>20</v>
      </c>
      <c r="B19" s="8" t="s">
        <v>3</v>
      </c>
      <c r="C19" s="7">
        <v>0</v>
      </c>
      <c r="D19" s="12"/>
      <c r="E19" s="12">
        <f t="shared" si="0"/>
        <v>0</v>
      </c>
    </row>
    <row r="20" spans="1:5" x14ac:dyDescent="0.3">
      <c r="A20" s="8" t="s">
        <v>22</v>
      </c>
      <c r="B20" s="8" t="s">
        <v>3</v>
      </c>
      <c r="C20" s="7">
        <v>200</v>
      </c>
      <c r="D20" s="12">
        <v>12000</v>
      </c>
      <c r="E20" s="12">
        <f t="shared" si="0"/>
        <v>2400000</v>
      </c>
    </row>
    <row r="21" spans="1:5" hidden="1" x14ac:dyDescent="0.3">
      <c r="A21" s="8" t="s">
        <v>22</v>
      </c>
      <c r="B21" s="8" t="s">
        <v>23</v>
      </c>
      <c r="C21" s="7">
        <v>0</v>
      </c>
      <c r="D21" s="12"/>
      <c r="E21" s="12">
        <f t="shared" si="0"/>
        <v>0</v>
      </c>
    </row>
    <row r="22" spans="1:5" x14ac:dyDescent="0.3">
      <c r="A22" s="8" t="s">
        <v>24</v>
      </c>
      <c r="B22" s="8" t="s">
        <v>3</v>
      </c>
      <c r="C22" s="7">
        <v>10</v>
      </c>
      <c r="D22" s="12">
        <v>10000</v>
      </c>
      <c r="E22" s="12">
        <f t="shared" si="0"/>
        <v>100000</v>
      </c>
    </row>
    <row r="23" spans="1:5" x14ac:dyDescent="0.3">
      <c r="A23" s="8" t="s">
        <v>24</v>
      </c>
      <c r="B23" s="8" t="s">
        <v>25</v>
      </c>
      <c r="C23" s="7">
        <v>40</v>
      </c>
      <c r="D23" s="12">
        <v>6000</v>
      </c>
      <c r="E23" s="12">
        <f t="shared" si="0"/>
        <v>240000</v>
      </c>
    </row>
    <row r="24" spans="1:5" x14ac:dyDescent="0.3">
      <c r="A24" s="8" t="s">
        <v>26</v>
      </c>
      <c r="B24" s="8" t="s">
        <v>3</v>
      </c>
      <c r="C24" s="7">
        <v>10</v>
      </c>
      <c r="D24" s="12">
        <v>15000</v>
      </c>
      <c r="E24" s="12">
        <f t="shared" si="0"/>
        <v>150000</v>
      </c>
    </row>
    <row r="25" spans="1:5" x14ac:dyDescent="0.3">
      <c r="A25" s="8" t="s">
        <v>26</v>
      </c>
      <c r="B25" s="8" t="s">
        <v>27</v>
      </c>
      <c r="C25" s="7">
        <v>40</v>
      </c>
      <c r="D25" s="12">
        <v>4500</v>
      </c>
      <c r="E25" s="12">
        <f t="shared" si="0"/>
        <v>180000</v>
      </c>
    </row>
    <row r="26" spans="1:5" x14ac:dyDescent="0.3">
      <c r="A26" s="8" t="s">
        <v>28</v>
      </c>
      <c r="B26" s="8" t="s">
        <v>29</v>
      </c>
      <c r="C26" s="7">
        <v>5</v>
      </c>
      <c r="D26" s="12">
        <v>10500</v>
      </c>
      <c r="E26" s="12">
        <f t="shared" si="0"/>
        <v>52500</v>
      </c>
    </row>
    <row r="27" spans="1:5" x14ac:dyDescent="0.3">
      <c r="A27" s="8" t="s">
        <v>30</v>
      </c>
      <c r="B27" s="8" t="s">
        <v>3</v>
      </c>
      <c r="C27" s="7">
        <v>7</v>
      </c>
      <c r="D27" s="12">
        <v>20000</v>
      </c>
      <c r="E27" s="12">
        <f t="shared" si="0"/>
        <v>140000</v>
      </c>
    </row>
    <row r="28" spans="1:5" hidden="1" x14ac:dyDescent="0.3">
      <c r="A28" s="8" t="s">
        <v>30</v>
      </c>
      <c r="B28" s="8" t="s">
        <v>31</v>
      </c>
      <c r="C28" s="7">
        <v>0</v>
      </c>
      <c r="D28" s="12"/>
      <c r="E28" s="12">
        <f t="shared" si="0"/>
        <v>0</v>
      </c>
    </row>
    <row r="29" spans="1:5" x14ac:dyDescent="0.3">
      <c r="A29" s="8" t="s">
        <v>32</v>
      </c>
      <c r="B29" s="8" t="s">
        <v>3</v>
      </c>
      <c r="C29" s="7">
        <v>250</v>
      </c>
      <c r="D29" s="12">
        <v>12000</v>
      </c>
      <c r="E29" s="12">
        <f t="shared" si="0"/>
        <v>3000000</v>
      </c>
    </row>
    <row r="30" spans="1:5" hidden="1" x14ac:dyDescent="0.3">
      <c r="A30" s="8" t="s">
        <v>32</v>
      </c>
      <c r="B30" s="8" t="s">
        <v>17</v>
      </c>
      <c r="C30" s="7">
        <v>0</v>
      </c>
      <c r="D30" s="12"/>
      <c r="E30" s="12">
        <f t="shared" si="0"/>
        <v>0</v>
      </c>
    </row>
    <row r="31" spans="1:5" x14ac:dyDescent="0.3">
      <c r="A31" s="8" t="s">
        <v>33</v>
      </c>
      <c r="B31" s="8" t="s">
        <v>34</v>
      </c>
      <c r="C31" s="7">
        <v>60</v>
      </c>
      <c r="D31" s="12">
        <v>9000</v>
      </c>
      <c r="E31" s="12">
        <f t="shared" si="0"/>
        <v>540000</v>
      </c>
    </row>
    <row r="32" spans="1:5" x14ac:dyDescent="0.3">
      <c r="A32" s="8" t="s">
        <v>35</v>
      </c>
      <c r="B32" s="8" t="s">
        <v>3</v>
      </c>
      <c r="C32" s="7">
        <v>40</v>
      </c>
      <c r="D32" s="12">
        <v>8000</v>
      </c>
      <c r="E32" s="12">
        <f t="shared" si="0"/>
        <v>320000</v>
      </c>
    </row>
    <row r="33" spans="1:5" hidden="1" x14ac:dyDescent="0.3">
      <c r="A33" s="8" t="s">
        <v>35</v>
      </c>
      <c r="B33" s="8" t="s">
        <v>34</v>
      </c>
      <c r="C33" s="7">
        <v>0</v>
      </c>
      <c r="D33" s="12"/>
      <c r="E33" s="12">
        <f t="shared" si="0"/>
        <v>0</v>
      </c>
    </row>
    <row r="34" spans="1:5" hidden="1" x14ac:dyDescent="0.3">
      <c r="A34" s="8" t="s">
        <v>36</v>
      </c>
      <c r="B34" s="8" t="s">
        <v>3</v>
      </c>
      <c r="C34" s="7">
        <v>0</v>
      </c>
      <c r="D34" s="12"/>
      <c r="E34" s="12">
        <f t="shared" si="0"/>
        <v>0</v>
      </c>
    </row>
    <row r="35" spans="1:5" x14ac:dyDescent="0.3">
      <c r="A35" s="8" t="s">
        <v>36</v>
      </c>
      <c r="B35" s="8" t="s">
        <v>17</v>
      </c>
      <c r="C35" s="7">
        <v>5</v>
      </c>
      <c r="D35" s="12">
        <v>5500</v>
      </c>
      <c r="E35" s="12">
        <f t="shared" si="0"/>
        <v>27500</v>
      </c>
    </row>
    <row r="36" spans="1:5" x14ac:dyDescent="0.3">
      <c r="A36" s="8" t="s">
        <v>37</v>
      </c>
      <c r="B36" s="8" t="s">
        <v>3</v>
      </c>
      <c r="C36" s="7">
        <v>30</v>
      </c>
      <c r="D36" s="12">
        <v>8000</v>
      </c>
      <c r="E36" s="12">
        <f t="shared" si="0"/>
        <v>240000</v>
      </c>
    </row>
    <row r="37" spans="1:5" hidden="1" x14ac:dyDescent="0.3">
      <c r="A37" s="8" t="s">
        <v>37</v>
      </c>
      <c r="B37" s="8" t="s">
        <v>38</v>
      </c>
      <c r="C37" s="7">
        <v>0</v>
      </c>
      <c r="D37" s="12"/>
      <c r="E37" s="12">
        <f t="shared" si="0"/>
        <v>0</v>
      </c>
    </row>
    <row r="38" spans="1:5" hidden="1" x14ac:dyDescent="0.3">
      <c r="A38" s="8" t="s">
        <v>39</v>
      </c>
      <c r="B38" s="8" t="s">
        <v>3</v>
      </c>
      <c r="C38" s="7">
        <v>0</v>
      </c>
      <c r="D38" s="12"/>
      <c r="E38" s="12">
        <f t="shared" si="0"/>
        <v>0</v>
      </c>
    </row>
    <row r="39" spans="1:5" hidden="1" x14ac:dyDescent="0.3">
      <c r="A39" s="8" t="s">
        <v>39</v>
      </c>
      <c r="B39" s="8" t="s">
        <v>34</v>
      </c>
      <c r="C39" s="7">
        <v>0</v>
      </c>
      <c r="D39" s="12"/>
      <c r="E39" s="12">
        <f t="shared" si="0"/>
        <v>0</v>
      </c>
    </row>
    <row r="40" spans="1:5" hidden="1" x14ac:dyDescent="0.3">
      <c r="A40" s="8" t="s">
        <v>40</v>
      </c>
      <c r="B40" s="8" t="s">
        <v>3</v>
      </c>
      <c r="C40" s="7">
        <v>0</v>
      </c>
      <c r="D40" s="12"/>
      <c r="E40" s="12">
        <f t="shared" si="0"/>
        <v>0</v>
      </c>
    </row>
    <row r="41" spans="1:5" x14ac:dyDescent="0.3">
      <c r="A41" s="8" t="s">
        <v>40</v>
      </c>
      <c r="B41" s="8" t="s">
        <v>34</v>
      </c>
      <c r="C41" s="7">
        <v>5</v>
      </c>
      <c r="D41" s="12">
        <v>3000</v>
      </c>
      <c r="E41" s="12">
        <f t="shared" si="0"/>
        <v>15000</v>
      </c>
    </row>
    <row r="42" spans="1:5" hidden="1" x14ac:dyDescent="0.3">
      <c r="A42" s="8" t="s">
        <v>41</v>
      </c>
      <c r="B42" s="8" t="s">
        <v>3</v>
      </c>
      <c r="C42" s="7">
        <v>0</v>
      </c>
      <c r="D42" s="12"/>
      <c r="E42" s="12">
        <f t="shared" si="0"/>
        <v>0</v>
      </c>
    </row>
    <row r="43" spans="1:5" x14ac:dyDescent="0.3">
      <c r="A43" s="8" t="s">
        <v>41</v>
      </c>
      <c r="B43" s="8" t="s">
        <v>34</v>
      </c>
      <c r="C43" s="7">
        <v>10</v>
      </c>
      <c r="D43" s="12">
        <v>3000</v>
      </c>
      <c r="E43" s="12">
        <f t="shared" si="0"/>
        <v>30000</v>
      </c>
    </row>
    <row r="44" spans="1:5" x14ac:dyDescent="0.3">
      <c r="A44" s="8" t="s">
        <v>42</v>
      </c>
      <c r="B44" s="8" t="s">
        <v>3</v>
      </c>
      <c r="C44" s="7">
        <v>300</v>
      </c>
      <c r="D44" s="12">
        <v>4500</v>
      </c>
      <c r="E44" s="12">
        <f t="shared" si="0"/>
        <v>1350000</v>
      </c>
    </row>
    <row r="45" spans="1:5" hidden="1" x14ac:dyDescent="0.3">
      <c r="A45" s="8" t="s">
        <v>43</v>
      </c>
      <c r="B45" s="8" t="s">
        <v>3</v>
      </c>
      <c r="C45" s="7">
        <v>0</v>
      </c>
      <c r="D45" s="12"/>
      <c r="E45" s="12">
        <f t="shared" si="0"/>
        <v>0</v>
      </c>
    </row>
    <row r="46" spans="1:5" hidden="1" x14ac:dyDescent="0.3">
      <c r="A46" s="8" t="s">
        <v>44</v>
      </c>
      <c r="B46" s="8" t="s">
        <v>3</v>
      </c>
      <c r="C46" s="7">
        <v>0</v>
      </c>
      <c r="D46" s="12"/>
      <c r="E46" s="12">
        <f t="shared" si="0"/>
        <v>0</v>
      </c>
    </row>
    <row r="47" spans="1:5" hidden="1" x14ac:dyDescent="0.3">
      <c r="A47" s="8" t="s">
        <v>45</v>
      </c>
      <c r="B47" s="8" t="s">
        <v>3</v>
      </c>
      <c r="C47" s="7">
        <v>0</v>
      </c>
      <c r="D47" s="12"/>
      <c r="E47" s="12">
        <f t="shared" si="0"/>
        <v>0</v>
      </c>
    </row>
    <row r="48" spans="1:5" hidden="1" x14ac:dyDescent="0.3">
      <c r="A48" s="8" t="s">
        <v>45</v>
      </c>
      <c r="B48" s="8" t="s">
        <v>19</v>
      </c>
      <c r="C48" s="7">
        <v>0</v>
      </c>
      <c r="D48" s="12"/>
      <c r="E48" s="12">
        <f t="shared" si="0"/>
        <v>0</v>
      </c>
    </row>
    <row r="49" spans="1:5" hidden="1" x14ac:dyDescent="0.3">
      <c r="A49" s="8" t="s">
        <v>62</v>
      </c>
      <c r="B49" s="8" t="s">
        <v>3</v>
      </c>
      <c r="C49" s="7">
        <v>0</v>
      </c>
      <c r="D49" s="12"/>
      <c r="E49" s="12">
        <f t="shared" si="0"/>
        <v>0</v>
      </c>
    </row>
    <row r="50" spans="1:5" hidden="1" x14ac:dyDescent="0.3">
      <c r="A50" s="8" t="s">
        <v>63</v>
      </c>
      <c r="B50" s="8" t="s">
        <v>3</v>
      </c>
      <c r="C50" s="7">
        <v>0</v>
      </c>
      <c r="D50" s="12"/>
      <c r="E50" s="12">
        <f t="shared" si="0"/>
        <v>0</v>
      </c>
    </row>
    <row r="51" spans="1:5" x14ac:dyDescent="0.3">
      <c r="A51" s="8" t="s">
        <v>46</v>
      </c>
      <c r="B51" s="8" t="s">
        <v>29</v>
      </c>
      <c r="C51" s="7">
        <v>5</v>
      </c>
      <c r="D51" s="12">
        <v>10000</v>
      </c>
      <c r="E51" s="12">
        <f t="shared" si="0"/>
        <v>50000</v>
      </c>
    </row>
    <row r="52" spans="1:5" hidden="1" x14ac:dyDescent="0.3">
      <c r="A52" s="8" t="s">
        <v>46</v>
      </c>
      <c r="B52" s="8" t="s">
        <v>3</v>
      </c>
      <c r="C52" s="7">
        <v>0</v>
      </c>
      <c r="D52" s="12"/>
      <c r="E52" s="12">
        <f t="shared" si="0"/>
        <v>0</v>
      </c>
    </row>
    <row r="53" spans="1:5" hidden="1" x14ac:dyDescent="0.3">
      <c r="A53" s="8" t="s">
        <v>47</v>
      </c>
      <c r="B53" s="8" t="s">
        <v>3</v>
      </c>
      <c r="C53" s="7">
        <v>0</v>
      </c>
      <c r="D53" s="12"/>
      <c r="E53" s="12">
        <f t="shared" si="0"/>
        <v>0</v>
      </c>
    </row>
    <row r="54" spans="1:5" x14ac:dyDescent="0.3">
      <c r="A54" s="8" t="s">
        <v>48</v>
      </c>
      <c r="B54" s="8" t="s">
        <v>3</v>
      </c>
      <c r="C54" s="7">
        <v>50</v>
      </c>
      <c r="D54" s="12">
        <v>8000</v>
      </c>
      <c r="E54" s="12">
        <f t="shared" si="0"/>
        <v>400000</v>
      </c>
    </row>
    <row r="55" spans="1:5" hidden="1" x14ac:dyDescent="0.3">
      <c r="A55" s="8" t="s">
        <v>48</v>
      </c>
      <c r="B55" s="8" t="s">
        <v>34</v>
      </c>
      <c r="C55" s="7">
        <v>0</v>
      </c>
      <c r="D55" s="12"/>
      <c r="E55" s="12">
        <f t="shared" si="0"/>
        <v>0</v>
      </c>
    </row>
    <row r="56" spans="1:5" x14ac:dyDescent="0.3">
      <c r="A56" s="8" t="s">
        <v>49</v>
      </c>
      <c r="B56" s="8" t="s">
        <v>3</v>
      </c>
      <c r="C56" s="7">
        <v>8</v>
      </c>
      <c r="D56" s="12">
        <v>21000</v>
      </c>
      <c r="E56" s="12">
        <f t="shared" si="0"/>
        <v>168000</v>
      </c>
    </row>
    <row r="57" spans="1:5" x14ac:dyDescent="0.3">
      <c r="A57" s="8" t="s">
        <v>50</v>
      </c>
      <c r="B57" s="8" t="s">
        <v>3</v>
      </c>
      <c r="C57" s="7">
        <v>250</v>
      </c>
      <c r="D57" s="12">
        <v>5500</v>
      </c>
      <c r="E57" s="12">
        <f t="shared" si="0"/>
        <v>1375000</v>
      </c>
    </row>
    <row r="58" spans="1:5" hidden="1" x14ac:dyDescent="0.3">
      <c r="A58" s="8" t="s">
        <v>50</v>
      </c>
      <c r="B58" s="8" t="s">
        <v>51</v>
      </c>
      <c r="C58" s="7">
        <v>0</v>
      </c>
      <c r="D58" s="12"/>
      <c r="E58" s="12">
        <f t="shared" si="0"/>
        <v>0</v>
      </c>
    </row>
    <row r="59" spans="1:5" hidden="1" x14ac:dyDescent="0.3">
      <c r="A59" s="8" t="s">
        <v>104</v>
      </c>
      <c r="B59" s="8" t="s">
        <v>3</v>
      </c>
      <c r="C59" s="7">
        <v>0</v>
      </c>
      <c r="D59" s="12"/>
      <c r="E59" s="12">
        <f t="shared" si="0"/>
        <v>0</v>
      </c>
    </row>
    <row r="60" spans="1:5" x14ac:dyDescent="0.3">
      <c r="A60" s="8" t="s">
        <v>52</v>
      </c>
      <c r="B60" s="8" t="s">
        <v>34</v>
      </c>
      <c r="C60" s="7">
        <v>100</v>
      </c>
      <c r="D60" s="12">
        <v>1350</v>
      </c>
      <c r="E60" s="12">
        <f t="shared" si="0"/>
        <v>135000</v>
      </c>
    </row>
    <row r="61" spans="1:5" x14ac:dyDescent="0.3">
      <c r="A61" s="8" t="s">
        <v>53</v>
      </c>
      <c r="B61" s="8" t="s">
        <v>3</v>
      </c>
      <c r="C61" s="7">
        <v>4000</v>
      </c>
      <c r="D61" s="12">
        <v>21500</v>
      </c>
      <c r="E61" s="12">
        <f t="shared" si="0"/>
        <v>86000000</v>
      </c>
    </row>
    <row r="62" spans="1:5" x14ac:dyDescent="0.3">
      <c r="A62" s="8" t="s">
        <v>54</v>
      </c>
      <c r="B62" s="8" t="s">
        <v>3</v>
      </c>
      <c r="C62" s="7">
        <v>310</v>
      </c>
      <c r="D62" s="12">
        <v>26000</v>
      </c>
      <c r="E62" s="12">
        <f t="shared" si="0"/>
        <v>8060000</v>
      </c>
    </row>
    <row r="63" spans="1:5" hidden="1" x14ac:dyDescent="0.3">
      <c r="A63" s="8" t="s">
        <v>54</v>
      </c>
      <c r="B63" s="8" t="s">
        <v>34</v>
      </c>
      <c r="C63" s="7">
        <v>0</v>
      </c>
      <c r="D63" s="12"/>
      <c r="E63" s="12">
        <f t="shared" si="0"/>
        <v>0</v>
      </c>
    </row>
    <row r="64" spans="1:5" x14ac:dyDescent="0.3">
      <c r="A64" s="8" t="s">
        <v>55</v>
      </c>
      <c r="B64" s="8" t="s">
        <v>3</v>
      </c>
      <c r="C64" s="7">
        <v>150</v>
      </c>
      <c r="D64" s="12">
        <v>17000</v>
      </c>
      <c r="E64" s="12">
        <f t="shared" si="0"/>
        <v>2550000</v>
      </c>
    </row>
    <row r="65" spans="1:5" x14ac:dyDescent="0.3">
      <c r="A65" s="8" t="s">
        <v>56</v>
      </c>
      <c r="B65" s="8" t="s">
        <v>3</v>
      </c>
      <c r="C65" s="7">
        <v>20</v>
      </c>
      <c r="D65" s="12">
        <v>21000</v>
      </c>
      <c r="E65" s="12">
        <f t="shared" si="0"/>
        <v>420000</v>
      </c>
    </row>
    <row r="66" spans="1:5" hidden="1" x14ac:dyDescent="0.3">
      <c r="A66" s="8" t="s">
        <v>58</v>
      </c>
      <c r="B66" s="8" t="s">
        <v>34</v>
      </c>
      <c r="C66" s="7">
        <v>0</v>
      </c>
      <c r="D66" s="12"/>
      <c r="E66" s="12">
        <f t="shared" si="0"/>
        <v>0</v>
      </c>
    </row>
    <row r="67" spans="1:5" hidden="1" x14ac:dyDescent="0.3">
      <c r="A67" s="8" t="s">
        <v>105</v>
      </c>
      <c r="B67" s="8" t="s">
        <v>3</v>
      </c>
      <c r="C67" s="7">
        <v>0</v>
      </c>
      <c r="D67" s="12"/>
      <c r="E67" s="12">
        <f t="shared" si="0"/>
        <v>0</v>
      </c>
    </row>
    <row r="68" spans="1:5" x14ac:dyDescent="0.3">
      <c r="A68" s="8" t="s">
        <v>59</v>
      </c>
      <c r="B68" s="8" t="s">
        <v>3</v>
      </c>
      <c r="C68" s="7">
        <v>350</v>
      </c>
      <c r="D68" s="12">
        <v>14000</v>
      </c>
      <c r="E68" s="12">
        <f t="shared" ref="E68:E122" si="1">C68*D68</f>
        <v>4900000</v>
      </c>
    </row>
    <row r="69" spans="1:5" x14ac:dyDescent="0.3">
      <c r="A69" s="8" t="s">
        <v>59</v>
      </c>
      <c r="B69" s="8" t="s">
        <v>34</v>
      </c>
      <c r="C69" s="7">
        <v>50</v>
      </c>
      <c r="D69" s="12">
        <v>5000</v>
      </c>
      <c r="E69" s="12">
        <f t="shared" si="1"/>
        <v>250000</v>
      </c>
    </row>
    <row r="70" spans="1:5" hidden="1" x14ac:dyDescent="0.3">
      <c r="A70" s="8" t="s">
        <v>60</v>
      </c>
      <c r="B70" s="8" t="s">
        <v>34</v>
      </c>
      <c r="C70" s="7">
        <v>0</v>
      </c>
      <c r="D70" s="12"/>
      <c r="E70" s="12">
        <f t="shared" si="1"/>
        <v>0</v>
      </c>
    </row>
    <row r="71" spans="1:5" hidden="1" x14ac:dyDescent="0.3">
      <c r="A71" s="8" t="s">
        <v>61</v>
      </c>
      <c r="B71" s="8" t="s">
        <v>3</v>
      </c>
      <c r="C71" s="7">
        <v>0</v>
      </c>
      <c r="D71" s="12"/>
      <c r="E71" s="12">
        <f t="shared" si="1"/>
        <v>0</v>
      </c>
    </row>
    <row r="72" spans="1:5" x14ac:dyDescent="0.3">
      <c r="A72" s="8" t="s">
        <v>67</v>
      </c>
      <c r="B72" s="8" t="s">
        <v>34</v>
      </c>
      <c r="C72" s="7">
        <v>10</v>
      </c>
      <c r="D72" s="12">
        <v>6000</v>
      </c>
      <c r="E72" s="12">
        <f t="shared" si="1"/>
        <v>60000</v>
      </c>
    </row>
    <row r="73" spans="1:5" x14ac:dyDescent="0.3">
      <c r="A73" s="8" t="s">
        <v>68</v>
      </c>
      <c r="B73" s="8" t="s">
        <v>3</v>
      </c>
      <c r="C73" s="7">
        <v>11</v>
      </c>
      <c r="D73" s="12">
        <v>6500</v>
      </c>
      <c r="E73" s="12">
        <f t="shared" si="1"/>
        <v>71500</v>
      </c>
    </row>
    <row r="74" spans="1:5" hidden="1" x14ac:dyDescent="0.3">
      <c r="A74" s="8" t="s">
        <v>68</v>
      </c>
      <c r="B74" s="8" t="s">
        <v>34</v>
      </c>
      <c r="C74" s="7">
        <v>0</v>
      </c>
      <c r="D74" s="12"/>
      <c r="E74" s="12">
        <f t="shared" si="1"/>
        <v>0</v>
      </c>
    </row>
    <row r="75" spans="1:5" hidden="1" x14ac:dyDescent="0.3">
      <c r="A75" s="8" t="s">
        <v>68</v>
      </c>
      <c r="B75" s="8" t="s">
        <v>116</v>
      </c>
      <c r="C75" s="7">
        <v>0</v>
      </c>
      <c r="D75" s="12"/>
      <c r="E75" s="12">
        <f t="shared" si="1"/>
        <v>0</v>
      </c>
    </row>
    <row r="76" spans="1:5" hidden="1" x14ac:dyDescent="0.3">
      <c r="A76" s="8" t="s">
        <v>69</v>
      </c>
      <c r="B76" s="8" t="s">
        <v>3</v>
      </c>
      <c r="C76" s="7">
        <v>0</v>
      </c>
      <c r="D76" s="12"/>
      <c r="E76" s="12">
        <f t="shared" si="1"/>
        <v>0</v>
      </c>
    </row>
    <row r="77" spans="1:5" hidden="1" x14ac:dyDescent="0.3">
      <c r="A77" s="8" t="s">
        <v>106</v>
      </c>
      <c r="B77" s="8" t="s">
        <v>3</v>
      </c>
      <c r="C77" s="7">
        <v>0</v>
      </c>
      <c r="D77" s="12"/>
      <c r="E77" s="12">
        <f t="shared" si="1"/>
        <v>0</v>
      </c>
    </row>
    <row r="78" spans="1:5" hidden="1" x14ac:dyDescent="0.3">
      <c r="A78" s="8" t="s">
        <v>70</v>
      </c>
      <c r="B78" s="8" t="s">
        <v>3</v>
      </c>
      <c r="C78" s="7">
        <v>0</v>
      </c>
      <c r="D78" s="12"/>
      <c r="E78" s="12">
        <f t="shared" si="1"/>
        <v>0</v>
      </c>
    </row>
    <row r="79" spans="1:5" hidden="1" x14ac:dyDescent="0.3">
      <c r="A79" s="8" t="s">
        <v>71</v>
      </c>
      <c r="B79" s="8" t="s">
        <v>3</v>
      </c>
      <c r="C79" s="7">
        <v>0</v>
      </c>
      <c r="D79" s="12"/>
      <c r="E79" s="12">
        <f t="shared" si="1"/>
        <v>0</v>
      </c>
    </row>
    <row r="80" spans="1:5" hidden="1" x14ac:dyDescent="0.3">
      <c r="A80" s="8" t="s">
        <v>117</v>
      </c>
      <c r="B80" s="8" t="s">
        <v>34</v>
      </c>
      <c r="C80" s="7">
        <v>0</v>
      </c>
      <c r="D80" s="12"/>
      <c r="E80" s="12">
        <f t="shared" si="1"/>
        <v>0</v>
      </c>
    </row>
    <row r="81" spans="1:5" x14ac:dyDescent="0.3">
      <c r="A81" s="8" t="s">
        <v>64</v>
      </c>
      <c r="B81" s="8" t="s">
        <v>3</v>
      </c>
      <c r="C81" s="7">
        <v>30</v>
      </c>
      <c r="D81" s="12">
        <v>9500</v>
      </c>
      <c r="E81" s="12">
        <f t="shared" si="1"/>
        <v>285000</v>
      </c>
    </row>
    <row r="82" spans="1:5" x14ac:dyDescent="0.3">
      <c r="A82" s="8" t="s">
        <v>64</v>
      </c>
      <c r="B82" s="8" t="s">
        <v>17</v>
      </c>
      <c r="C82" s="7">
        <v>200</v>
      </c>
      <c r="D82" s="12">
        <v>6700</v>
      </c>
      <c r="E82" s="12">
        <f t="shared" si="1"/>
        <v>1340000</v>
      </c>
    </row>
    <row r="83" spans="1:5" hidden="1" x14ac:dyDescent="0.3">
      <c r="A83" s="8" t="s">
        <v>65</v>
      </c>
      <c r="B83" s="8" t="s">
        <v>3</v>
      </c>
      <c r="C83" s="7">
        <v>0</v>
      </c>
      <c r="D83" s="12"/>
      <c r="E83" s="12">
        <f t="shared" si="1"/>
        <v>0</v>
      </c>
    </row>
    <row r="84" spans="1:5" x14ac:dyDescent="0.3">
      <c r="A84" s="8" t="s">
        <v>66</v>
      </c>
      <c r="B84" s="8" t="s">
        <v>3</v>
      </c>
      <c r="C84" s="7">
        <v>20</v>
      </c>
      <c r="D84" s="12">
        <v>14000</v>
      </c>
      <c r="E84" s="12">
        <f t="shared" si="1"/>
        <v>280000</v>
      </c>
    </row>
    <row r="85" spans="1:5" hidden="1" x14ac:dyDescent="0.3">
      <c r="A85" s="8" t="s">
        <v>72</v>
      </c>
      <c r="B85" s="8" t="s">
        <v>3</v>
      </c>
      <c r="C85" s="7">
        <v>0</v>
      </c>
      <c r="D85" s="12"/>
      <c r="E85" s="12">
        <f t="shared" si="1"/>
        <v>0</v>
      </c>
    </row>
    <row r="86" spans="1:5" hidden="1" x14ac:dyDescent="0.3">
      <c r="A86" s="8" t="s">
        <v>72</v>
      </c>
      <c r="B86" s="8" t="s">
        <v>19</v>
      </c>
      <c r="C86" s="7">
        <v>0</v>
      </c>
      <c r="D86" s="12"/>
      <c r="E86" s="12">
        <f t="shared" si="1"/>
        <v>0</v>
      </c>
    </row>
    <row r="87" spans="1:5" hidden="1" x14ac:dyDescent="0.3">
      <c r="A87" s="8" t="s">
        <v>107</v>
      </c>
      <c r="B87" s="8" t="s">
        <v>29</v>
      </c>
      <c r="C87" s="7">
        <v>0</v>
      </c>
      <c r="D87" s="12"/>
      <c r="E87" s="12">
        <f t="shared" si="1"/>
        <v>0</v>
      </c>
    </row>
    <row r="88" spans="1:5" x14ac:dyDescent="0.3">
      <c r="A88" s="8" t="s">
        <v>74</v>
      </c>
      <c r="B88" s="8" t="s">
        <v>34</v>
      </c>
      <c r="C88" s="7">
        <v>5</v>
      </c>
      <c r="D88" s="12">
        <v>1900</v>
      </c>
      <c r="E88" s="12">
        <f t="shared" si="1"/>
        <v>9500</v>
      </c>
    </row>
    <row r="89" spans="1:5" hidden="1" x14ac:dyDescent="0.3">
      <c r="A89" s="8" t="s">
        <v>75</v>
      </c>
      <c r="B89" s="8" t="s">
        <v>3</v>
      </c>
      <c r="C89" s="7">
        <v>0</v>
      </c>
      <c r="D89" s="12"/>
      <c r="E89" s="12">
        <f t="shared" si="1"/>
        <v>0</v>
      </c>
    </row>
    <row r="90" spans="1:5" hidden="1" x14ac:dyDescent="0.3">
      <c r="A90" s="8" t="s">
        <v>76</v>
      </c>
      <c r="B90" s="8" t="s">
        <v>3</v>
      </c>
      <c r="C90" s="7">
        <v>0</v>
      </c>
      <c r="D90" s="12"/>
      <c r="E90" s="12">
        <f t="shared" si="1"/>
        <v>0</v>
      </c>
    </row>
    <row r="91" spans="1:5" hidden="1" x14ac:dyDescent="0.3">
      <c r="A91" s="8" t="s">
        <v>76</v>
      </c>
      <c r="B91" s="8" t="s">
        <v>78</v>
      </c>
      <c r="C91" s="7">
        <v>0</v>
      </c>
      <c r="D91" s="12"/>
      <c r="E91" s="12">
        <f t="shared" si="1"/>
        <v>0</v>
      </c>
    </row>
    <row r="92" spans="1:5" hidden="1" x14ac:dyDescent="0.3">
      <c r="A92" s="8" t="s">
        <v>76</v>
      </c>
      <c r="B92" s="8" t="s">
        <v>77</v>
      </c>
      <c r="C92" s="7">
        <v>0</v>
      </c>
      <c r="D92" s="12"/>
      <c r="E92" s="12">
        <f t="shared" si="1"/>
        <v>0</v>
      </c>
    </row>
    <row r="93" spans="1:5" hidden="1" x14ac:dyDescent="0.3">
      <c r="A93" s="8" t="s">
        <v>137</v>
      </c>
      <c r="B93" s="8" t="s">
        <v>3</v>
      </c>
      <c r="C93" s="7">
        <v>0</v>
      </c>
      <c r="D93" s="12"/>
      <c r="E93" s="12">
        <f t="shared" si="1"/>
        <v>0</v>
      </c>
    </row>
    <row r="94" spans="1:5" x14ac:dyDescent="0.3">
      <c r="A94" s="8" t="s">
        <v>79</v>
      </c>
      <c r="B94" s="8" t="s">
        <v>17</v>
      </c>
      <c r="C94" s="7">
        <v>70</v>
      </c>
      <c r="D94" s="12">
        <v>9000</v>
      </c>
      <c r="E94" s="12">
        <f t="shared" si="1"/>
        <v>630000</v>
      </c>
    </row>
    <row r="95" spans="1:5" x14ac:dyDescent="0.3">
      <c r="A95" s="8" t="s">
        <v>80</v>
      </c>
      <c r="B95" s="8" t="s">
        <v>29</v>
      </c>
      <c r="C95" s="7">
        <v>14</v>
      </c>
      <c r="D95" s="12">
        <v>7000</v>
      </c>
      <c r="E95" s="12">
        <f t="shared" si="1"/>
        <v>98000</v>
      </c>
    </row>
    <row r="96" spans="1:5" hidden="1" x14ac:dyDescent="0.3">
      <c r="A96" s="8" t="s">
        <v>80</v>
      </c>
      <c r="B96" s="8" t="s">
        <v>3</v>
      </c>
      <c r="C96" s="7">
        <v>0</v>
      </c>
      <c r="D96" s="12"/>
      <c r="E96" s="12">
        <f t="shared" si="1"/>
        <v>0</v>
      </c>
    </row>
    <row r="97" spans="1:5" x14ac:dyDescent="0.3">
      <c r="A97" s="8" t="s">
        <v>81</v>
      </c>
      <c r="B97" s="8" t="s">
        <v>3</v>
      </c>
      <c r="C97" s="7">
        <v>30</v>
      </c>
      <c r="D97" s="12">
        <v>24000</v>
      </c>
      <c r="E97" s="12">
        <f t="shared" si="1"/>
        <v>720000</v>
      </c>
    </row>
    <row r="98" spans="1:5" x14ac:dyDescent="0.3">
      <c r="A98" s="8" t="s">
        <v>81</v>
      </c>
      <c r="B98" s="8" t="s">
        <v>9</v>
      </c>
      <c r="C98" s="7">
        <v>150</v>
      </c>
      <c r="D98" s="12">
        <v>6000</v>
      </c>
      <c r="E98" s="12">
        <f t="shared" si="1"/>
        <v>900000</v>
      </c>
    </row>
    <row r="99" spans="1:5" x14ac:dyDescent="0.3">
      <c r="A99" s="8" t="s">
        <v>82</v>
      </c>
      <c r="B99" s="8" t="s">
        <v>3</v>
      </c>
      <c r="C99" s="7">
        <v>30</v>
      </c>
      <c r="D99" s="12">
        <v>22000</v>
      </c>
      <c r="E99" s="12">
        <f t="shared" si="1"/>
        <v>660000</v>
      </c>
    </row>
    <row r="100" spans="1:5" x14ac:dyDescent="0.3">
      <c r="A100" s="8" t="s">
        <v>82</v>
      </c>
      <c r="B100" s="8" t="s">
        <v>9</v>
      </c>
      <c r="C100" s="7">
        <v>80</v>
      </c>
      <c r="D100" s="12">
        <v>6000</v>
      </c>
      <c r="E100" s="12">
        <f t="shared" si="1"/>
        <v>480000</v>
      </c>
    </row>
    <row r="101" spans="1:5" hidden="1" x14ac:dyDescent="0.3">
      <c r="A101" s="8" t="s">
        <v>109</v>
      </c>
      <c r="B101" s="8" t="s">
        <v>3</v>
      </c>
      <c r="C101" s="7">
        <v>0</v>
      </c>
      <c r="D101" s="12"/>
      <c r="E101" s="12">
        <f t="shared" si="1"/>
        <v>0</v>
      </c>
    </row>
    <row r="102" spans="1:5" x14ac:dyDescent="0.3">
      <c r="A102" s="8" t="s">
        <v>83</v>
      </c>
      <c r="B102" s="8" t="s">
        <v>3</v>
      </c>
      <c r="C102" s="7">
        <v>30</v>
      </c>
      <c r="D102" s="12">
        <v>28000</v>
      </c>
      <c r="E102" s="12">
        <f t="shared" si="1"/>
        <v>840000</v>
      </c>
    </row>
    <row r="103" spans="1:5" x14ac:dyDescent="0.3">
      <c r="A103" s="8" t="s">
        <v>83</v>
      </c>
      <c r="B103" s="8" t="s">
        <v>9</v>
      </c>
      <c r="C103" s="7">
        <v>80</v>
      </c>
      <c r="D103" s="12">
        <v>7000</v>
      </c>
      <c r="E103" s="12">
        <f t="shared" si="1"/>
        <v>560000</v>
      </c>
    </row>
    <row r="104" spans="1:5" hidden="1" x14ac:dyDescent="0.3">
      <c r="A104" s="8" t="s">
        <v>110</v>
      </c>
      <c r="B104" s="8" t="s">
        <v>3</v>
      </c>
      <c r="C104" s="7">
        <v>0</v>
      </c>
      <c r="D104" s="12"/>
      <c r="E104" s="12">
        <f t="shared" si="1"/>
        <v>0</v>
      </c>
    </row>
    <row r="105" spans="1:5" x14ac:dyDescent="0.3">
      <c r="A105" s="8" t="s">
        <v>84</v>
      </c>
      <c r="B105" s="8" t="s">
        <v>34</v>
      </c>
      <c r="C105" s="7">
        <v>40</v>
      </c>
      <c r="D105" s="12">
        <v>16000</v>
      </c>
      <c r="E105" s="12">
        <f t="shared" si="1"/>
        <v>640000</v>
      </c>
    </row>
    <row r="106" spans="1:5" hidden="1" x14ac:dyDescent="0.3">
      <c r="A106" s="8" t="s">
        <v>142</v>
      </c>
      <c r="B106" s="8" t="s">
        <v>3</v>
      </c>
      <c r="C106" s="7">
        <v>0</v>
      </c>
      <c r="D106" s="12"/>
      <c r="E106" s="12">
        <f t="shared" si="1"/>
        <v>0</v>
      </c>
    </row>
    <row r="107" spans="1:5" hidden="1" x14ac:dyDescent="0.3">
      <c r="A107" s="8" t="s">
        <v>85</v>
      </c>
      <c r="B107" s="8" t="s">
        <v>34</v>
      </c>
      <c r="C107" s="7">
        <v>0</v>
      </c>
      <c r="D107" s="12"/>
      <c r="E107" s="12">
        <f t="shared" si="1"/>
        <v>0</v>
      </c>
    </row>
    <row r="108" spans="1:5" hidden="1" x14ac:dyDescent="0.3">
      <c r="A108" s="8" t="s">
        <v>111</v>
      </c>
      <c r="B108" s="8" t="s">
        <v>3</v>
      </c>
      <c r="C108" s="7">
        <v>0</v>
      </c>
      <c r="D108" s="12"/>
      <c r="E108" s="12">
        <f t="shared" si="1"/>
        <v>0</v>
      </c>
    </row>
    <row r="109" spans="1:5" hidden="1" x14ac:dyDescent="0.3">
      <c r="A109" s="8" t="s">
        <v>86</v>
      </c>
      <c r="B109" s="8" t="s">
        <v>9</v>
      </c>
      <c r="C109" s="7">
        <v>0</v>
      </c>
      <c r="D109" s="12"/>
      <c r="E109" s="12">
        <f t="shared" si="1"/>
        <v>0</v>
      </c>
    </row>
    <row r="110" spans="1:5" hidden="1" x14ac:dyDescent="0.3">
      <c r="A110" s="8" t="s">
        <v>87</v>
      </c>
      <c r="B110" s="8" t="s">
        <v>9</v>
      </c>
      <c r="C110" s="7">
        <v>0</v>
      </c>
      <c r="D110" s="12"/>
      <c r="E110" s="12">
        <f t="shared" si="1"/>
        <v>0</v>
      </c>
    </row>
    <row r="111" spans="1:5" x14ac:dyDescent="0.3">
      <c r="A111" s="8" t="s">
        <v>89</v>
      </c>
      <c r="B111" s="8" t="s">
        <v>3</v>
      </c>
      <c r="C111" s="7">
        <v>10</v>
      </c>
      <c r="D111" s="12">
        <v>18000</v>
      </c>
      <c r="E111" s="12">
        <f t="shared" si="1"/>
        <v>180000</v>
      </c>
    </row>
    <row r="112" spans="1:5" hidden="1" x14ac:dyDescent="0.3">
      <c r="A112" s="8" t="s">
        <v>112</v>
      </c>
      <c r="B112" s="8" t="s">
        <v>29</v>
      </c>
      <c r="C112" s="7">
        <v>0</v>
      </c>
      <c r="D112" s="12"/>
      <c r="E112" s="12">
        <f t="shared" si="1"/>
        <v>0</v>
      </c>
    </row>
    <row r="113" spans="1:5" x14ac:dyDescent="0.3">
      <c r="A113" s="8" t="s">
        <v>90</v>
      </c>
      <c r="B113" s="8" t="s">
        <v>3</v>
      </c>
      <c r="C113" s="7">
        <v>20</v>
      </c>
      <c r="D113" s="12">
        <v>8000</v>
      </c>
      <c r="E113" s="12">
        <f t="shared" si="1"/>
        <v>160000</v>
      </c>
    </row>
    <row r="114" spans="1:5" hidden="1" x14ac:dyDescent="0.3">
      <c r="A114" s="8" t="s">
        <v>113</v>
      </c>
      <c r="B114" s="8" t="s">
        <v>3</v>
      </c>
      <c r="C114" s="7">
        <v>0</v>
      </c>
      <c r="D114" s="12"/>
      <c r="E114" s="12">
        <f t="shared" si="1"/>
        <v>0</v>
      </c>
    </row>
    <row r="115" spans="1:5" hidden="1" x14ac:dyDescent="0.3">
      <c r="A115" s="8" t="s">
        <v>91</v>
      </c>
      <c r="B115" s="8" t="s">
        <v>3</v>
      </c>
      <c r="C115" s="7">
        <v>0</v>
      </c>
      <c r="D115" s="12"/>
      <c r="E115" s="12">
        <f t="shared" si="1"/>
        <v>0</v>
      </c>
    </row>
    <row r="116" spans="1:5" hidden="1" x14ac:dyDescent="0.3">
      <c r="A116" s="8" t="s">
        <v>92</v>
      </c>
      <c r="B116" s="8" t="s">
        <v>3</v>
      </c>
      <c r="C116" s="7">
        <v>0</v>
      </c>
      <c r="D116" s="12"/>
      <c r="E116" s="12">
        <f t="shared" si="1"/>
        <v>0</v>
      </c>
    </row>
    <row r="117" spans="1:5" hidden="1" x14ac:dyDescent="0.3">
      <c r="A117" s="8" t="s">
        <v>93</v>
      </c>
      <c r="B117" s="8" t="s">
        <v>19</v>
      </c>
      <c r="C117" s="7">
        <v>0</v>
      </c>
      <c r="D117" s="12"/>
      <c r="E117" s="12">
        <f t="shared" si="1"/>
        <v>0</v>
      </c>
    </row>
    <row r="118" spans="1:5" hidden="1" x14ac:dyDescent="0.3">
      <c r="A118" s="8" t="s">
        <v>94</v>
      </c>
      <c r="B118" s="8" t="s">
        <v>3</v>
      </c>
      <c r="C118" s="7">
        <v>0</v>
      </c>
      <c r="D118" s="12"/>
      <c r="E118" s="12">
        <f t="shared" si="1"/>
        <v>0</v>
      </c>
    </row>
    <row r="119" spans="1:5" hidden="1" x14ac:dyDescent="0.3">
      <c r="A119" s="8" t="s">
        <v>95</v>
      </c>
      <c r="B119" s="8" t="s">
        <v>19</v>
      </c>
      <c r="C119" s="7">
        <v>0</v>
      </c>
      <c r="D119" s="12"/>
      <c r="E119" s="12">
        <f t="shared" si="1"/>
        <v>0</v>
      </c>
    </row>
    <row r="120" spans="1:5" hidden="1" x14ac:dyDescent="0.3">
      <c r="A120" s="8" t="s">
        <v>96</v>
      </c>
      <c r="B120" s="8" t="s">
        <v>3</v>
      </c>
      <c r="C120" s="7">
        <v>0</v>
      </c>
      <c r="D120" s="12"/>
      <c r="E120" s="12">
        <f t="shared" si="1"/>
        <v>0</v>
      </c>
    </row>
    <row r="121" spans="1:5" hidden="1" x14ac:dyDescent="0.3">
      <c r="A121" s="8" t="s">
        <v>97</v>
      </c>
      <c r="B121" s="8" t="s">
        <v>3</v>
      </c>
      <c r="C121" s="7">
        <v>0</v>
      </c>
      <c r="D121" s="12"/>
      <c r="E121" s="12">
        <f t="shared" si="1"/>
        <v>0</v>
      </c>
    </row>
    <row r="122" spans="1:5" hidden="1" x14ac:dyDescent="0.3">
      <c r="A122" s="8" t="s">
        <v>98</v>
      </c>
      <c r="B122" s="8" t="s">
        <v>19</v>
      </c>
      <c r="C122" s="7">
        <v>0</v>
      </c>
      <c r="D122" s="12"/>
      <c r="E122" s="12">
        <f t="shared" si="1"/>
        <v>0</v>
      </c>
    </row>
    <row r="123" spans="1:5" x14ac:dyDescent="0.3">
      <c r="E123" s="9">
        <f>SUM(E3:E113)</f>
        <v>134155000</v>
      </c>
    </row>
  </sheetData>
  <autoFilter ref="A2:E122" xr:uid="{00000000-0009-0000-0000-00001A000000}">
    <filterColumn colId="2">
      <filters>
        <filter val="10"/>
        <filter val="100"/>
        <filter val="11"/>
        <filter val="14"/>
        <filter val="150"/>
        <filter val="20"/>
        <filter val="200"/>
        <filter val="250"/>
        <filter val="30"/>
        <filter val="300"/>
        <filter val="310"/>
        <filter val="350"/>
        <filter val="4,000"/>
        <filter val="40"/>
        <filter val="5"/>
        <filter val="50"/>
        <filter val="500"/>
        <filter val="60"/>
        <filter val="7"/>
        <filter val="70"/>
        <filter val="8"/>
        <filter val="80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E106"/>
  <sheetViews>
    <sheetView topLeftCell="A73" workbookViewId="0">
      <selection activeCell="F3" sqref="F3"/>
    </sheetView>
  </sheetViews>
  <sheetFormatPr defaultRowHeight="14.4" x14ac:dyDescent="0.3"/>
  <cols>
    <col min="1" max="1" width="28.5546875" customWidth="1"/>
    <col min="4" max="4" width="13.6640625" customWidth="1"/>
    <col min="5" max="5" width="21.88671875" customWidth="1"/>
  </cols>
  <sheetData>
    <row r="1" spans="1:5" x14ac:dyDescent="0.3">
      <c r="A1" t="s">
        <v>249</v>
      </c>
    </row>
    <row r="2" spans="1:5" ht="49.2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30</v>
      </c>
      <c r="D3" s="2">
        <v>16000</v>
      </c>
      <c r="E3" s="7">
        <f>C3*D3</f>
        <v>480000</v>
      </c>
    </row>
    <row r="4" spans="1:5" ht="15.6" x14ac:dyDescent="0.3">
      <c r="A4" s="8" t="s">
        <v>4</v>
      </c>
      <c r="B4" s="8" t="s">
        <v>3</v>
      </c>
      <c r="C4" s="2">
        <v>380</v>
      </c>
      <c r="D4" s="2">
        <v>7000</v>
      </c>
      <c r="E4" s="7">
        <f t="shared" ref="E4:E67" si="0">C4*D4</f>
        <v>2660000</v>
      </c>
    </row>
    <row r="5" spans="1:5" ht="15.6" x14ac:dyDescent="0.3">
      <c r="A5" s="8" t="s">
        <v>5</v>
      </c>
      <c r="B5" s="8" t="s">
        <v>3</v>
      </c>
      <c r="C5" s="2">
        <v>518</v>
      </c>
      <c r="D5" s="2">
        <v>3500</v>
      </c>
      <c r="E5" s="7">
        <f t="shared" si="0"/>
        <v>1813000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2"/>
      <c r="E7" s="7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2319</v>
      </c>
      <c r="D8" s="2">
        <v>9000</v>
      </c>
      <c r="E8" s="7">
        <f t="shared" si="0"/>
        <v>20871000</v>
      </c>
    </row>
    <row r="9" spans="1:5" ht="15.6" x14ac:dyDescent="0.3">
      <c r="A9" s="8" t="s">
        <v>11</v>
      </c>
      <c r="B9" s="8" t="s">
        <v>3</v>
      </c>
      <c r="C9" s="2">
        <v>120</v>
      </c>
      <c r="D9" s="2">
        <v>7500</v>
      </c>
      <c r="E9" s="7">
        <f t="shared" si="0"/>
        <v>900000</v>
      </c>
    </row>
    <row r="10" spans="1:5" ht="15.6" hidden="1" x14ac:dyDescent="0.3">
      <c r="A10" s="8" t="s">
        <v>11</v>
      </c>
      <c r="B10" s="8" t="s">
        <v>9</v>
      </c>
      <c r="C10" s="2">
        <v>0</v>
      </c>
      <c r="D10" s="2"/>
      <c r="E10" s="7">
        <f t="shared" si="0"/>
        <v>0</v>
      </c>
    </row>
    <row r="11" spans="1:5" ht="15.6" x14ac:dyDescent="0.3">
      <c r="A11" s="8" t="s">
        <v>8</v>
      </c>
      <c r="B11" s="8" t="s">
        <v>3</v>
      </c>
      <c r="C11" s="2">
        <v>23</v>
      </c>
      <c r="D11" s="2">
        <v>10000</v>
      </c>
      <c r="E11" s="7">
        <f t="shared" si="0"/>
        <v>230000</v>
      </c>
    </row>
    <row r="12" spans="1:5" ht="15.6" hidden="1" x14ac:dyDescent="0.3">
      <c r="A12" s="8" t="s">
        <v>8</v>
      </c>
      <c r="B12" s="8" t="s">
        <v>9</v>
      </c>
      <c r="C12" s="2">
        <v>0</v>
      </c>
      <c r="D12" s="2"/>
      <c r="E12" s="7">
        <f t="shared" si="0"/>
        <v>0</v>
      </c>
    </row>
    <row r="13" spans="1:5" ht="15.6" x14ac:dyDescent="0.3">
      <c r="A13" s="8" t="s">
        <v>140</v>
      </c>
      <c r="B13" s="8" t="s">
        <v>3</v>
      </c>
      <c r="C13" s="2">
        <v>3</v>
      </c>
      <c r="D13" s="2">
        <v>35000</v>
      </c>
      <c r="E13" s="7">
        <f t="shared" si="0"/>
        <v>105000</v>
      </c>
    </row>
    <row r="14" spans="1:5" ht="15.6" hidden="1" x14ac:dyDescent="0.3">
      <c r="A14" s="8" t="s">
        <v>122</v>
      </c>
      <c r="B14" s="8" t="s">
        <v>3</v>
      </c>
      <c r="C14" s="2">
        <v>0</v>
      </c>
      <c r="D14" s="2"/>
      <c r="E14" s="7">
        <f t="shared" si="0"/>
        <v>0</v>
      </c>
    </row>
    <row r="15" spans="1:5" ht="15.6" x14ac:dyDescent="0.3">
      <c r="A15" s="8" t="s">
        <v>12</v>
      </c>
      <c r="B15" s="8" t="s">
        <v>3</v>
      </c>
      <c r="C15" s="2">
        <v>2</v>
      </c>
      <c r="D15" s="2">
        <v>12000</v>
      </c>
      <c r="E15" s="7">
        <f t="shared" si="0"/>
        <v>24000</v>
      </c>
    </row>
    <row r="16" spans="1:5" ht="15.6" x14ac:dyDescent="0.3">
      <c r="A16" s="8" t="s">
        <v>14</v>
      </c>
      <c r="B16" s="8" t="s">
        <v>3</v>
      </c>
      <c r="C16" s="2">
        <v>40</v>
      </c>
      <c r="D16" s="2">
        <v>14000</v>
      </c>
      <c r="E16" s="7">
        <f t="shared" si="0"/>
        <v>560000</v>
      </c>
    </row>
    <row r="17" spans="1:5" ht="15.6" hidden="1" x14ac:dyDescent="0.3">
      <c r="A17" s="8" t="s">
        <v>15</v>
      </c>
      <c r="B17" s="8" t="s">
        <v>3</v>
      </c>
      <c r="C17" s="2">
        <v>0</v>
      </c>
      <c r="D17" s="2"/>
      <c r="E17" s="7">
        <f t="shared" si="0"/>
        <v>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2"/>
      <c r="E18" s="7">
        <f t="shared" si="0"/>
        <v>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2"/>
      <c r="E19" s="7">
        <f t="shared" si="0"/>
        <v>0</v>
      </c>
    </row>
    <row r="20" spans="1:5" ht="15.6" x14ac:dyDescent="0.3">
      <c r="A20" s="8" t="s">
        <v>22</v>
      </c>
      <c r="B20" s="8" t="s">
        <v>3</v>
      </c>
      <c r="C20" s="2">
        <v>15</v>
      </c>
      <c r="D20" s="2">
        <v>12000</v>
      </c>
      <c r="E20" s="7">
        <f t="shared" si="0"/>
        <v>180000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2"/>
      <c r="E21" s="7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43</v>
      </c>
      <c r="D22" s="2">
        <v>12000</v>
      </c>
      <c r="E22" s="7">
        <f t="shared" si="0"/>
        <v>516000</v>
      </c>
    </row>
    <row r="23" spans="1:5" ht="15.6" hidden="1" x14ac:dyDescent="0.3">
      <c r="A23" s="8" t="s">
        <v>24</v>
      </c>
      <c r="B23" s="8" t="s">
        <v>25</v>
      </c>
      <c r="C23" s="2">
        <v>0</v>
      </c>
      <c r="D23" s="2"/>
      <c r="E23" s="7">
        <f t="shared" si="0"/>
        <v>0</v>
      </c>
    </row>
    <row r="24" spans="1:5" ht="15.6" x14ac:dyDescent="0.3">
      <c r="A24" s="8" t="s">
        <v>26</v>
      </c>
      <c r="B24" s="8" t="s">
        <v>3</v>
      </c>
      <c r="C24" s="2">
        <v>6</v>
      </c>
      <c r="D24" s="2">
        <v>15000</v>
      </c>
      <c r="E24" s="7">
        <f t="shared" si="0"/>
        <v>90000</v>
      </c>
    </row>
    <row r="25" spans="1:5" ht="15.6" x14ac:dyDescent="0.3">
      <c r="A25" s="8" t="s">
        <v>26</v>
      </c>
      <c r="B25" s="8" t="s">
        <v>27</v>
      </c>
      <c r="C25" s="2">
        <v>50</v>
      </c>
      <c r="D25" s="2">
        <v>4500</v>
      </c>
      <c r="E25" s="7">
        <f t="shared" si="0"/>
        <v>225000</v>
      </c>
    </row>
    <row r="26" spans="1:5" ht="15.6" x14ac:dyDescent="0.3">
      <c r="A26" s="8" t="s">
        <v>28</v>
      </c>
      <c r="B26" s="8" t="s">
        <v>29</v>
      </c>
      <c r="C26" s="2">
        <v>10</v>
      </c>
      <c r="D26" s="2">
        <v>10500</v>
      </c>
      <c r="E26" s="7">
        <f t="shared" si="0"/>
        <v>105000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2"/>
      <c r="E27" s="7">
        <f t="shared" si="0"/>
        <v>0</v>
      </c>
    </row>
    <row r="28" spans="1:5" ht="15.6" hidden="1" x14ac:dyDescent="0.3">
      <c r="A28" s="8" t="s">
        <v>30</v>
      </c>
      <c r="B28" s="8" t="s">
        <v>31</v>
      </c>
      <c r="C28" s="2">
        <v>0</v>
      </c>
      <c r="D28" s="2"/>
      <c r="E28" s="7">
        <f t="shared" si="0"/>
        <v>0</v>
      </c>
    </row>
    <row r="29" spans="1:5" ht="15.6" x14ac:dyDescent="0.3">
      <c r="A29" s="8" t="s">
        <v>32</v>
      </c>
      <c r="B29" s="8" t="s">
        <v>3</v>
      </c>
      <c r="C29" s="2">
        <v>180</v>
      </c>
      <c r="D29" s="2">
        <v>12000</v>
      </c>
      <c r="E29" s="7">
        <f t="shared" si="0"/>
        <v>2160000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2"/>
      <c r="E30" s="7">
        <f t="shared" si="0"/>
        <v>0</v>
      </c>
    </row>
    <row r="31" spans="1:5" ht="15.6" x14ac:dyDescent="0.3">
      <c r="A31" s="8" t="s">
        <v>33</v>
      </c>
      <c r="B31" s="8" t="s">
        <v>34</v>
      </c>
      <c r="C31" s="2">
        <v>60</v>
      </c>
      <c r="D31" s="2">
        <v>9000</v>
      </c>
      <c r="E31" s="7">
        <f t="shared" si="0"/>
        <v>540000</v>
      </c>
    </row>
    <row r="32" spans="1:5" ht="15.6" x14ac:dyDescent="0.3">
      <c r="A32" s="8" t="s">
        <v>35</v>
      </c>
      <c r="B32" s="8" t="s">
        <v>3</v>
      </c>
      <c r="C32" s="2">
        <v>95</v>
      </c>
      <c r="D32" s="2">
        <v>8000</v>
      </c>
      <c r="E32" s="7">
        <f t="shared" si="0"/>
        <v>760000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2"/>
      <c r="E33" s="7">
        <f t="shared" si="0"/>
        <v>0</v>
      </c>
    </row>
    <row r="34" spans="1:5" ht="15.6" x14ac:dyDescent="0.3">
      <c r="A34" s="8" t="s">
        <v>36</v>
      </c>
      <c r="B34" s="8" t="s">
        <v>17</v>
      </c>
      <c r="C34" s="2">
        <v>10</v>
      </c>
      <c r="D34" s="2">
        <v>5500</v>
      </c>
      <c r="E34" s="7">
        <f t="shared" si="0"/>
        <v>55000</v>
      </c>
    </row>
    <row r="35" spans="1:5" ht="15.6" x14ac:dyDescent="0.3">
      <c r="A35" s="8" t="s">
        <v>37</v>
      </c>
      <c r="B35" s="8" t="s">
        <v>3</v>
      </c>
      <c r="C35" s="2">
        <v>25</v>
      </c>
      <c r="D35" s="2">
        <v>8000</v>
      </c>
      <c r="E35" s="7">
        <f t="shared" si="0"/>
        <v>200000</v>
      </c>
    </row>
    <row r="36" spans="1:5" ht="15.6" hidden="1" x14ac:dyDescent="0.3">
      <c r="A36" s="8" t="s">
        <v>37</v>
      </c>
      <c r="B36" s="8" t="s">
        <v>38</v>
      </c>
      <c r="C36" s="2">
        <v>0</v>
      </c>
      <c r="D36" s="2"/>
      <c r="E36" s="7">
        <f t="shared" si="0"/>
        <v>0</v>
      </c>
    </row>
    <row r="37" spans="1:5" ht="15.6" x14ac:dyDescent="0.3">
      <c r="A37" s="8" t="s">
        <v>39</v>
      </c>
      <c r="B37" s="8" t="s">
        <v>3</v>
      </c>
      <c r="C37" s="2">
        <v>7</v>
      </c>
      <c r="D37" s="2">
        <v>20000</v>
      </c>
      <c r="E37" s="7">
        <f t="shared" si="0"/>
        <v>140000</v>
      </c>
    </row>
    <row r="38" spans="1:5" ht="15.6" hidden="1" x14ac:dyDescent="0.3">
      <c r="A38" s="8" t="s">
        <v>39</v>
      </c>
      <c r="B38" s="8" t="s">
        <v>34</v>
      </c>
      <c r="C38" s="2">
        <v>0</v>
      </c>
      <c r="D38" s="2"/>
      <c r="E38" s="7">
        <f t="shared" si="0"/>
        <v>0</v>
      </c>
    </row>
    <row r="39" spans="1:5" ht="15.6" hidden="1" x14ac:dyDescent="0.3">
      <c r="A39" s="8" t="s">
        <v>40</v>
      </c>
      <c r="B39" s="8" t="s">
        <v>34</v>
      </c>
      <c r="C39" s="2">
        <v>0</v>
      </c>
      <c r="D39" s="2"/>
      <c r="E39" s="7">
        <f t="shared" si="0"/>
        <v>0</v>
      </c>
    </row>
    <row r="40" spans="1:5" ht="15.6" hidden="1" x14ac:dyDescent="0.3">
      <c r="A40" s="8" t="s">
        <v>41</v>
      </c>
      <c r="B40" s="8" t="s">
        <v>34</v>
      </c>
      <c r="C40" s="2">
        <v>0</v>
      </c>
      <c r="D40" s="2"/>
      <c r="E40" s="7">
        <f t="shared" si="0"/>
        <v>0</v>
      </c>
    </row>
    <row r="41" spans="1:5" ht="15.6" x14ac:dyDescent="0.3">
      <c r="A41" s="8" t="s">
        <v>42</v>
      </c>
      <c r="B41" s="8" t="s">
        <v>3</v>
      </c>
      <c r="C41" s="2">
        <v>320</v>
      </c>
      <c r="D41" s="2">
        <v>4500</v>
      </c>
      <c r="E41" s="7">
        <f t="shared" si="0"/>
        <v>1440000</v>
      </c>
    </row>
    <row r="42" spans="1:5" ht="15.6" x14ac:dyDescent="0.3">
      <c r="A42" s="8" t="s">
        <v>43</v>
      </c>
      <c r="B42" s="8" t="s">
        <v>3</v>
      </c>
      <c r="C42" s="2">
        <v>4</v>
      </c>
      <c r="D42" s="2">
        <v>15000</v>
      </c>
      <c r="E42" s="7">
        <f t="shared" si="0"/>
        <v>60000</v>
      </c>
    </row>
    <row r="43" spans="1:5" ht="15.6" x14ac:dyDescent="0.3">
      <c r="A43" s="8" t="s">
        <v>44</v>
      </c>
      <c r="B43" s="8" t="s">
        <v>3</v>
      </c>
      <c r="C43" s="2">
        <v>610</v>
      </c>
      <c r="D43" s="2">
        <v>3500</v>
      </c>
      <c r="E43" s="7">
        <f t="shared" si="0"/>
        <v>2135000</v>
      </c>
    </row>
    <row r="44" spans="1:5" ht="15.6" x14ac:dyDescent="0.3">
      <c r="A44" s="8" t="s">
        <v>45</v>
      </c>
      <c r="B44" s="8" t="s">
        <v>3</v>
      </c>
      <c r="C44" s="2">
        <v>58</v>
      </c>
      <c r="D44" s="2">
        <v>9000</v>
      </c>
      <c r="E44" s="7">
        <f t="shared" si="0"/>
        <v>522000</v>
      </c>
    </row>
    <row r="45" spans="1:5" ht="15.6" hidden="1" x14ac:dyDescent="0.3">
      <c r="A45" s="8" t="s">
        <v>45</v>
      </c>
      <c r="B45" s="8" t="s">
        <v>19</v>
      </c>
      <c r="C45" s="2">
        <v>0</v>
      </c>
      <c r="D45" s="2"/>
      <c r="E45" s="7">
        <f t="shared" si="0"/>
        <v>0</v>
      </c>
    </row>
    <row r="46" spans="1:5" ht="15.6" x14ac:dyDescent="0.3">
      <c r="A46" s="8" t="s">
        <v>63</v>
      </c>
      <c r="B46" s="8" t="s">
        <v>3</v>
      </c>
      <c r="C46" s="2">
        <v>8</v>
      </c>
      <c r="D46" s="2">
        <v>14000</v>
      </c>
      <c r="E46" s="7">
        <f t="shared" si="0"/>
        <v>112000</v>
      </c>
    </row>
    <row r="47" spans="1:5" ht="15.6" x14ac:dyDescent="0.3">
      <c r="A47" s="8" t="s">
        <v>46</v>
      </c>
      <c r="B47" s="8" t="s">
        <v>29</v>
      </c>
      <c r="C47" s="2">
        <v>10</v>
      </c>
      <c r="D47" s="2">
        <v>10000</v>
      </c>
      <c r="E47" s="7">
        <f t="shared" si="0"/>
        <v>100000</v>
      </c>
    </row>
    <row r="48" spans="1:5" ht="15.6" x14ac:dyDescent="0.3">
      <c r="A48" s="8" t="s">
        <v>47</v>
      </c>
      <c r="B48" s="8" t="s">
        <v>3</v>
      </c>
      <c r="C48" s="2">
        <v>15</v>
      </c>
      <c r="D48" s="2">
        <v>8000</v>
      </c>
      <c r="E48" s="7">
        <f t="shared" si="0"/>
        <v>120000</v>
      </c>
    </row>
    <row r="49" spans="1:5" ht="15.6" x14ac:dyDescent="0.3">
      <c r="A49" s="8" t="s">
        <v>48</v>
      </c>
      <c r="B49" s="8" t="s">
        <v>3</v>
      </c>
      <c r="C49" s="2">
        <v>41</v>
      </c>
      <c r="D49" s="2">
        <v>8000</v>
      </c>
      <c r="E49" s="7">
        <f t="shared" si="0"/>
        <v>328000</v>
      </c>
    </row>
    <row r="50" spans="1:5" ht="15.6" hidden="1" x14ac:dyDescent="0.3">
      <c r="A50" s="8" t="s">
        <v>48</v>
      </c>
      <c r="B50" s="8" t="s">
        <v>34</v>
      </c>
      <c r="C50" s="2">
        <v>0</v>
      </c>
      <c r="D50" s="2"/>
      <c r="E50" s="7">
        <f t="shared" si="0"/>
        <v>0</v>
      </c>
    </row>
    <row r="51" spans="1:5" ht="15.6" x14ac:dyDescent="0.3">
      <c r="A51" s="8" t="s">
        <v>49</v>
      </c>
      <c r="B51" s="8" t="s">
        <v>3</v>
      </c>
      <c r="C51" s="2">
        <v>6</v>
      </c>
      <c r="D51" s="2">
        <v>21000</v>
      </c>
      <c r="E51" s="7">
        <f t="shared" si="0"/>
        <v>126000</v>
      </c>
    </row>
    <row r="52" spans="1:5" ht="15.6" x14ac:dyDescent="0.3">
      <c r="A52" s="8" t="s">
        <v>50</v>
      </c>
      <c r="B52" s="8" t="s">
        <v>3</v>
      </c>
      <c r="C52" s="2">
        <v>410</v>
      </c>
      <c r="D52" s="2">
        <v>5500</v>
      </c>
      <c r="E52" s="7">
        <f t="shared" si="0"/>
        <v>2255000</v>
      </c>
    </row>
    <row r="53" spans="1:5" ht="15.6" hidden="1" x14ac:dyDescent="0.3">
      <c r="A53" s="8" t="s">
        <v>50</v>
      </c>
      <c r="B53" s="8" t="s">
        <v>51</v>
      </c>
      <c r="C53" s="2">
        <v>0</v>
      </c>
      <c r="D53" s="2"/>
      <c r="E53" s="7">
        <f t="shared" si="0"/>
        <v>0</v>
      </c>
    </row>
    <row r="54" spans="1:5" ht="15.6" x14ac:dyDescent="0.3">
      <c r="A54" s="8" t="s">
        <v>104</v>
      </c>
      <c r="B54" s="8" t="s">
        <v>3</v>
      </c>
      <c r="C54" s="2">
        <v>100</v>
      </c>
      <c r="D54" s="2">
        <v>20000</v>
      </c>
      <c r="E54" s="7">
        <f t="shared" si="0"/>
        <v>2000000</v>
      </c>
    </row>
    <row r="55" spans="1:5" ht="15.6" hidden="1" x14ac:dyDescent="0.3">
      <c r="A55" s="8" t="s">
        <v>52</v>
      </c>
      <c r="B55" s="8" t="s">
        <v>34</v>
      </c>
      <c r="C55" s="2">
        <v>0</v>
      </c>
      <c r="D55" s="2"/>
      <c r="E55" s="7">
        <f t="shared" si="0"/>
        <v>0</v>
      </c>
    </row>
    <row r="56" spans="1:5" ht="15.6" x14ac:dyDescent="0.3">
      <c r="A56" s="8" t="s">
        <v>53</v>
      </c>
      <c r="B56" s="8" t="s">
        <v>3</v>
      </c>
      <c r="C56" s="2">
        <v>2285</v>
      </c>
      <c r="D56" s="2">
        <v>21500</v>
      </c>
      <c r="E56" s="7">
        <f t="shared" si="0"/>
        <v>49127500</v>
      </c>
    </row>
    <row r="57" spans="1:5" ht="15.6" x14ac:dyDescent="0.3">
      <c r="A57" s="8" t="s">
        <v>54</v>
      </c>
      <c r="B57" s="8" t="s">
        <v>3</v>
      </c>
      <c r="C57" s="2">
        <v>915</v>
      </c>
      <c r="D57" s="2">
        <v>26000</v>
      </c>
      <c r="E57" s="7">
        <f t="shared" si="0"/>
        <v>23790000</v>
      </c>
    </row>
    <row r="58" spans="1:5" ht="15.6" hidden="1" x14ac:dyDescent="0.3">
      <c r="A58" s="8" t="s">
        <v>54</v>
      </c>
      <c r="B58" s="8" t="s">
        <v>34</v>
      </c>
      <c r="C58" s="2">
        <v>0</v>
      </c>
      <c r="D58" s="2"/>
      <c r="E58" s="7">
        <f t="shared" si="0"/>
        <v>0</v>
      </c>
    </row>
    <row r="59" spans="1:5" ht="15.6" x14ac:dyDescent="0.3">
      <c r="A59" s="8" t="s">
        <v>55</v>
      </c>
      <c r="B59" s="8" t="s">
        <v>3</v>
      </c>
      <c r="C59" s="2">
        <v>810</v>
      </c>
      <c r="D59" s="2">
        <v>17000</v>
      </c>
      <c r="E59" s="7">
        <f t="shared" si="0"/>
        <v>13770000</v>
      </c>
    </row>
    <row r="60" spans="1:5" ht="15.6" hidden="1" x14ac:dyDescent="0.3">
      <c r="A60" s="8" t="s">
        <v>56</v>
      </c>
      <c r="B60" s="8" t="s">
        <v>3</v>
      </c>
      <c r="C60" s="2">
        <v>0</v>
      </c>
      <c r="D60" s="2"/>
      <c r="E60" s="7">
        <f t="shared" si="0"/>
        <v>0</v>
      </c>
    </row>
    <row r="61" spans="1:5" ht="15.6" hidden="1" x14ac:dyDescent="0.3">
      <c r="A61" s="8" t="s">
        <v>58</v>
      </c>
      <c r="B61" s="8" t="s">
        <v>34</v>
      </c>
      <c r="C61" s="2">
        <v>0</v>
      </c>
      <c r="D61" s="2"/>
      <c r="E61" s="7">
        <f t="shared" si="0"/>
        <v>0</v>
      </c>
    </row>
    <row r="62" spans="1:5" ht="15.6" x14ac:dyDescent="0.3">
      <c r="A62" s="8" t="s">
        <v>105</v>
      </c>
      <c r="B62" s="8" t="s">
        <v>3</v>
      </c>
      <c r="C62" s="2">
        <v>3</v>
      </c>
      <c r="D62" s="2">
        <v>20000</v>
      </c>
      <c r="E62" s="7">
        <f t="shared" si="0"/>
        <v>60000</v>
      </c>
    </row>
    <row r="63" spans="1:5" ht="15.6" x14ac:dyDescent="0.3">
      <c r="A63" s="8" t="s">
        <v>59</v>
      </c>
      <c r="B63" s="8" t="s">
        <v>3</v>
      </c>
      <c r="C63" s="2">
        <v>760</v>
      </c>
      <c r="D63" s="2">
        <v>14000</v>
      </c>
      <c r="E63" s="7">
        <f t="shared" si="0"/>
        <v>10640000</v>
      </c>
    </row>
    <row r="64" spans="1:5" ht="15.6" hidden="1" x14ac:dyDescent="0.3">
      <c r="A64" s="8" t="s">
        <v>59</v>
      </c>
      <c r="B64" s="8" t="s">
        <v>34</v>
      </c>
      <c r="C64" s="2">
        <v>0</v>
      </c>
      <c r="D64" s="2"/>
      <c r="E64" s="7">
        <f t="shared" si="0"/>
        <v>0</v>
      </c>
    </row>
    <row r="65" spans="1:5" ht="15.6" hidden="1" x14ac:dyDescent="0.3">
      <c r="A65" s="8" t="s">
        <v>60</v>
      </c>
      <c r="B65" s="8" t="s">
        <v>34</v>
      </c>
      <c r="C65" s="2">
        <v>0</v>
      </c>
      <c r="D65" s="2"/>
      <c r="E65" s="7">
        <f t="shared" si="0"/>
        <v>0</v>
      </c>
    </row>
    <row r="66" spans="1:5" ht="15.6" hidden="1" x14ac:dyDescent="0.3">
      <c r="A66" s="8" t="s">
        <v>61</v>
      </c>
      <c r="B66" s="8" t="s">
        <v>3</v>
      </c>
      <c r="C66" s="2">
        <v>0</v>
      </c>
      <c r="D66" s="2"/>
      <c r="E66" s="7">
        <f t="shared" si="0"/>
        <v>0</v>
      </c>
    </row>
    <row r="67" spans="1:5" ht="15.6" x14ac:dyDescent="0.3">
      <c r="A67" s="8" t="s">
        <v>67</v>
      </c>
      <c r="B67" s="8" t="s">
        <v>34</v>
      </c>
      <c r="C67" s="2">
        <v>30</v>
      </c>
      <c r="D67" s="2">
        <v>6000</v>
      </c>
      <c r="E67" s="7">
        <f t="shared" si="0"/>
        <v>180000</v>
      </c>
    </row>
    <row r="68" spans="1:5" ht="15.6" hidden="1" x14ac:dyDescent="0.3">
      <c r="A68" s="8" t="s">
        <v>68</v>
      </c>
      <c r="B68" s="8" t="s">
        <v>3</v>
      </c>
      <c r="C68" s="2">
        <v>0</v>
      </c>
      <c r="D68" s="2"/>
      <c r="E68" s="7">
        <f t="shared" ref="E68:E105" si="1">C68*D68</f>
        <v>0</v>
      </c>
    </row>
    <row r="69" spans="1:5" ht="15.6" x14ac:dyDescent="0.3">
      <c r="A69" s="8" t="s">
        <v>68</v>
      </c>
      <c r="B69" s="8" t="s">
        <v>34</v>
      </c>
      <c r="C69" s="2">
        <v>29</v>
      </c>
      <c r="D69" s="2">
        <v>8000</v>
      </c>
      <c r="E69" s="7">
        <f t="shared" si="1"/>
        <v>232000</v>
      </c>
    </row>
    <row r="70" spans="1:5" ht="15.6" hidden="1" x14ac:dyDescent="0.3">
      <c r="A70" s="8" t="s">
        <v>69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hidden="1" x14ac:dyDescent="0.3">
      <c r="A71" s="8" t="s">
        <v>70</v>
      </c>
      <c r="B71" s="8" t="s">
        <v>3</v>
      </c>
      <c r="C71" s="2">
        <v>0</v>
      </c>
      <c r="D71" s="2"/>
      <c r="E71" s="7">
        <f t="shared" si="1"/>
        <v>0</v>
      </c>
    </row>
    <row r="72" spans="1:5" ht="15.6" hidden="1" x14ac:dyDescent="0.3">
      <c r="A72" s="8" t="s">
        <v>71</v>
      </c>
      <c r="B72" s="8" t="s">
        <v>3</v>
      </c>
      <c r="C72" s="2">
        <v>0</v>
      </c>
      <c r="D72" s="2"/>
      <c r="E72" s="7">
        <f t="shared" si="1"/>
        <v>0</v>
      </c>
    </row>
    <row r="73" spans="1:5" ht="15.6" x14ac:dyDescent="0.3">
      <c r="A73" s="8" t="s">
        <v>64</v>
      </c>
      <c r="B73" s="8" t="s">
        <v>3</v>
      </c>
      <c r="C73" s="2">
        <v>40</v>
      </c>
      <c r="D73" s="2">
        <v>9500</v>
      </c>
      <c r="E73" s="7">
        <f t="shared" si="1"/>
        <v>380000</v>
      </c>
    </row>
    <row r="74" spans="1:5" ht="15.6" x14ac:dyDescent="0.3">
      <c r="A74" s="8" t="s">
        <v>64</v>
      </c>
      <c r="B74" s="8" t="s">
        <v>17</v>
      </c>
      <c r="C74" s="2">
        <v>476</v>
      </c>
      <c r="D74" s="2">
        <v>6700</v>
      </c>
      <c r="E74" s="7">
        <f t="shared" si="1"/>
        <v>3189200</v>
      </c>
    </row>
    <row r="75" spans="1:5" ht="15.6" x14ac:dyDescent="0.3">
      <c r="A75" s="8" t="s">
        <v>65</v>
      </c>
      <c r="B75" s="8" t="s">
        <v>3</v>
      </c>
      <c r="C75" s="2">
        <v>8</v>
      </c>
      <c r="D75" s="2">
        <v>16000</v>
      </c>
      <c r="E75" s="7">
        <f t="shared" si="1"/>
        <v>128000</v>
      </c>
    </row>
    <row r="76" spans="1:5" ht="15.6" x14ac:dyDescent="0.3">
      <c r="A76" s="8" t="s">
        <v>66</v>
      </c>
      <c r="B76" s="8" t="s">
        <v>3</v>
      </c>
      <c r="C76" s="2">
        <v>6</v>
      </c>
      <c r="D76" s="2">
        <v>14000</v>
      </c>
      <c r="E76" s="7">
        <f t="shared" si="1"/>
        <v>84000</v>
      </c>
    </row>
    <row r="77" spans="1:5" ht="15.6" x14ac:dyDescent="0.3">
      <c r="A77" s="8" t="s">
        <v>72</v>
      </c>
      <c r="B77" s="8" t="s">
        <v>3</v>
      </c>
      <c r="C77" s="2">
        <v>38</v>
      </c>
      <c r="D77" s="2">
        <v>10000</v>
      </c>
      <c r="E77" s="7">
        <f t="shared" si="1"/>
        <v>380000</v>
      </c>
    </row>
    <row r="78" spans="1:5" ht="15.6" hidden="1" x14ac:dyDescent="0.3">
      <c r="A78" s="8" t="s">
        <v>72</v>
      </c>
      <c r="B78" s="8" t="s">
        <v>19</v>
      </c>
      <c r="C78" s="2">
        <v>0</v>
      </c>
      <c r="D78" s="2"/>
      <c r="E78" s="7">
        <f t="shared" si="1"/>
        <v>0</v>
      </c>
    </row>
    <row r="79" spans="1:5" ht="15.6" hidden="1" x14ac:dyDescent="0.3">
      <c r="A79" s="8" t="s">
        <v>74</v>
      </c>
      <c r="B79" s="8" t="s">
        <v>34</v>
      </c>
      <c r="C79" s="2">
        <v>0</v>
      </c>
      <c r="D79" s="2"/>
      <c r="E79" s="7">
        <f t="shared" si="1"/>
        <v>0</v>
      </c>
    </row>
    <row r="80" spans="1:5" ht="15.6" hidden="1" x14ac:dyDescent="0.3">
      <c r="A80" s="8" t="s">
        <v>75</v>
      </c>
      <c r="B80" s="8" t="s">
        <v>3</v>
      </c>
      <c r="C80" s="2">
        <v>0</v>
      </c>
      <c r="D80" s="2"/>
      <c r="E80" s="7">
        <f t="shared" si="1"/>
        <v>0</v>
      </c>
    </row>
    <row r="81" spans="1:5" ht="15.6" x14ac:dyDescent="0.3">
      <c r="A81" s="8" t="s">
        <v>76</v>
      </c>
      <c r="B81" s="8" t="s">
        <v>248</v>
      </c>
      <c r="C81" s="2">
        <v>40</v>
      </c>
      <c r="D81" s="2">
        <v>67000</v>
      </c>
      <c r="E81" s="7">
        <f t="shared" si="1"/>
        <v>2680000</v>
      </c>
    </row>
    <row r="82" spans="1:5" ht="15.6" hidden="1" x14ac:dyDescent="0.3">
      <c r="A82" s="8" t="s">
        <v>137</v>
      </c>
      <c r="B82" s="8" t="s">
        <v>3</v>
      </c>
      <c r="C82" s="2">
        <v>0</v>
      </c>
      <c r="D82" s="2"/>
      <c r="E82" s="7">
        <f t="shared" si="1"/>
        <v>0</v>
      </c>
    </row>
    <row r="83" spans="1:5" ht="15.6" x14ac:dyDescent="0.3">
      <c r="A83" s="8" t="s">
        <v>79</v>
      </c>
      <c r="B83" s="8" t="s">
        <v>17</v>
      </c>
      <c r="C83" s="2">
        <v>4</v>
      </c>
      <c r="D83" s="2">
        <v>9000</v>
      </c>
      <c r="E83" s="7">
        <f t="shared" si="1"/>
        <v>36000</v>
      </c>
    </row>
    <row r="84" spans="1:5" ht="15.6" hidden="1" x14ac:dyDescent="0.3">
      <c r="A84" s="8" t="s">
        <v>80</v>
      </c>
      <c r="B84" s="8" t="s">
        <v>29</v>
      </c>
      <c r="C84" s="2">
        <v>0</v>
      </c>
      <c r="D84" s="2"/>
      <c r="E84" s="7">
        <f t="shared" si="1"/>
        <v>0</v>
      </c>
    </row>
    <row r="85" spans="1:5" ht="15.6" x14ac:dyDescent="0.3">
      <c r="A85" s="8" t="s">
        <v>81</v>
      </c>
      <c r="B85" s="8" t="s">
        <v>3</v>
      </c>
      <c r="C85" s="2">
        <v>70</v>
      </c>
      <c r="D85" s="2">
        <v>24000</v>
      </c>
      <c r="E85" s="7">
        <f t="shared" si="1"/>
        <v>1680000</v>
      </c>
    </row>
    <row r="86" spans="1:5" ht="15.6" hidden="1" x14ac:dyDescent="0.3">
      <c r="A86" s="8" t="s">
        <v>81</v>
      </c>
      <c r="B86" s="8" t="s">
        <v>9</v>
      </c>
      <c r="C86" s="2">
        <v>0</v>
      </c>
      <c r="D86" s="2"/>
      <c r="E86" s="7">
        <f t="shared" si="1"/>
        <v>0</v>
      </c>
    </row>
    <row r="87" spans="1:5" ht="15.6" x14ac:dyDescent="0.3">
      <c r="A87" s="8" t="s">
        <v>108</v>
      </c>
      <c r="B87" s="8" t="s">
        <v>3</v>
      </c>
      <c r="C87" s="2">
        <v>20</v>
      </c>
      <c r="D87" s="2">
        <v>18000</v>
      </c>
      <c r="E87" s="7">
        <f t="shared" si="1"/>
        <v>360000</v>
      </c>
    </row>
    <row r="88" spans="1:5" ht="15.6" x14ac:dyDescent="0.3">
      <c r="A88" s="8" t="s">
        <v>82</v>
      </c>
      <c r="B88" s="8" t="s">
        <v>3</v>
      </c>
      <c r="C88" s="2">
        <v>148</v>
      </c>
      <c r="D88" s="2">
        <v>22000</v>
      </c>
      <c r="E88" s="7">
        <f t="shared" si="1"/>
        <v>3256000</v>
      </c>
    </row>
    <row r="89" spans="1:5" ht="15.6" hidden="1" x14ac:dyDescent="0.3">
      <c r="A89" s="8" t="s">
        <v>82</v>
      </c>
      <c r="B89" s="8" t="s">
        <v>9</v>
      </c>
      <c r="C89" s="2">
        <v>0</v>
      </c>
      <c r="D89" s="2"/>
      <c r="E89" s="7">
        <f t="shared" si="1"/>
        <v>0</v>
      </c>
    </row>
    <row r="90" spans="1:5" ht="15.6" x14ac:dyDescent="0.3">
      <c r="A90" s="8" t="s">
        <v>109</v>
      </c>
      <c r="B90" s="8" t="s">
        <v>3</v>
      </c>
      <c r="C90" s="2">
        <v>20</v>
      </c>
      <c r="D90" s="2">
        <v>16000</v>
      </c>
      <c r="E90" s="7">
        <f t="shared" si="1"/>
        <v>320000</v>
      </c>
    </row>
    <row r="91" spans="1:5" ht="15.6" x14ac:dyDescent="0.3">
      <c r="A91" s="8" t="s">
        <v>83</v>
      </c>
      <c r="B91" s="8" t="s">
        <v>3</v>
      </c>
      <c r="C91" s="2">
        <v>30</v>
      </c>
      <c r="D91" s="2">
        <v>28000</v>
      </c>
      <c r="E91" s="7">
        <f t="shared" si="1"/>
        <v>840000</v>
      </c>
    </row>
    <row r="92" spans="1:5" ht="15.6" hidden="1" x14ac:dyDescent="0.3">
      <c r="A92" s="8" t="s">
        <v>83</v>
      </c>
      <c r="B92" s="8" t="s">
        <v>9</v>
      </c>
      <c r="C92" s="2">
        <v>0</v>
      </c>
      <c r="D92" s="2"/>
      <c r="E92" s="7">
        <f t="shared" si="1"/>
        <v>0</v>
      </c>
    </row>
    <row r="93" spans="1:5" ht="15.6" x14ac:dyDescent="0.3">
      <c r="A93" s="8" t="s">
        <v>84</v>
      </c>
      <c r="B93" s="8" t="s">
        <v>34</v>
      </c>
      <c r="C93" s="2">
        <v>35</v>
      </c>
      <c r="D93" s="2">
        <v>16000</v>
      </c>
      <c r="E93" s="7">
        <f t="shared" si="1"/>
        <v>560000</v>
      </c>
    </row>
    <row r="94" spans="1:5" ht="15.6" hidden="1" x14ac:dyDescent="0.3">
      <c r="A94" s="8" t="s">
        <v>85</v>
      </c>
      <c r="B94" s="8" t="s">
        <v>34</v>
      </c>
      <c r="C94" s="2">
        <v>0</v>
      </c>
      <c r="D94" s="2"/>
      <c r="E94" s="7">
        <f t="shared" si="1"/>
        <v>0</v>
      </c>
    </row>
    <row r="95" spans="1:5" ht="15.6" hidden="1" x14ac:dyDescent="0.3">
      <c r="A95" s="8" t="s">
        <v>86</v>
      </c>
      <c r="B95" s="8" t="s">
        <v>9</v>
      </c>
      <c r="C95" s="2">
        <v>0</v>
      </c>
      <c r="D95" s="2"/>
      <c r="E95" s="7">
        <f t="shared" si="1"/>
        <v>0</v>
      </c>
    </row>
    <row r="96" spans="1:5" ht="15.6" x14ac:dyDescent="0.3">
      <c r="A96" s="8" t="s">
        <v>87</v>
      </c>
      <c r="B96" s="8" t="s">
        <v>9</v>
      </c>
      <c r="C96" s="2">
        <v>353</v>
      </c>
      <c r="D96" s="2">
        <v>11361</v>
      </c>
      <c r="E96" s="7">
        <f t="shared" si="1"/>
        <v>4010433</v>
      </c>
    </row>
    <row r="97" spans="1:5" ht="15.6" x14ac:dyDescent="0.3">
      <c r="A97" s="8" t="s">
        <v>89</v>
      </c>
      <c r="B97" s="8" t="s">
        <v>3</v>
      </c>
      <c r="C97" s="2">
        <v>8</v>
      </c>
      <c r="D97" s="2">
        <v>18000</v>
      </c>
      <c r="E97" s="7">
        <f t="shared" si="1"/>
        <v>144000</v>
      </c>
    </row>
    <row r="98" spans="1:5" ht="15.6" x14ac:dyDescent="0.3">
      <c r="A98" s="8" t="s">
        <v>90</v>
      </c>
      <c r="B98" s="8" t="s">
        <v>3</v>
      </c>
      <c r="C98" s="2">
        <v>22</v>
      </c>
      <c r="D98" s="2">
        <v>8000</v>
      </c>
      <c r="E98" s="7">
        <f t="shared" si="1"/>
        <v>176000</v>
      </c>
    </row>
    <row r="99" spans="1:5" ht="15.6" x14ac:dyDescent="0.3">
      <c r="A99" s="8" t="s">
        <v>91</v>
      </c>
      <c r="B99" s="8" t="s">
        <v>3</v>
      </c>
      <c r="C99" s="2">
        <v>14</v>
      </c>
      <c r="D99" s="2">
        <v>15000</v>
      </c>
      <c r="E99" s="7">
        <f t="shared" si="1"/>
        <v>210000</v>
      </c>
    </row>
    <row r="100" spans="1:5" ht="15.6" hidden="1" x14ac:dyDescent="0.3">
      <c r="A100" s="8" t="s">
        <v>92</v>
      </c>
      <c r="B100" s="8" t="s">
        <v>3</v>
      </c>
      <c r="C100" s="2">
        <v>0</v>
      </c>
      <c r="D100" s="2"/>
      <c r="E100" s="7">
        <f t="shared" si="1"/>
        <v>0</v>
      </c>
    </row>
    <row r="101" spans="1:5" ht="15.6" hidden="1" x14ac:dyDescent="0.3">
      <c r="A101" s="8" t="s">
        <v>93</v>
      </c>
      <c r="B101" s="8" t="s">
        <v>19</v>
      </c>
      <c r="C101" s="2">
        <v>0</v>
      </c>
      <c r="D101" s="2"/>
      <c r="E101" s="7">
        <f t="shared" si="1"/>
        <v>0</v>
      </c>
    </row>
    <row r="102" spans="1:5" ht="15.6" hidden="1" x14ac:dyDescent="0.3">
      <c r="A102" s="8" t="s">
        <v>94</v>
      </c>
      <c r="B102" s="8" t="s">
        <v>3</v>
      </c>
      <c r="C102" s="2">
        <v>0</v>
      </c>
      <c r="D102" s="2"/>
      <c r="E102" s="7">
        <f t="shared" si="1"/>
        <v>0</v>
      </c>
    </row>
    <row r="103" spans="1:5" ht="15.6" hidden="1" x14ac:dyDescent="0.3">
      <c r="A103" s="8" t="s">
        <v>95</v>
      </c>
      <c r="B103" s="8" t="s">
        <v>19</v>
      </c>
      <c r="C103" s="2">
        <v>0</v>
      </c>
      <c r="D103" s="2"/>
      <c r="E103" s="7">
        <f t="shared" si="1"/>
        <v>0</v>
      </c>
    </row>
    <row r="104" spans="1:5" ht="15.6" hidden="1" x14ac:dyDescent="0.3">
      <c r="A104" s="8" t="s">
        <v>97</v>
      </c>
      <c r="B104" s="8" t="s">
        <v>3</v>
      </c>
      <c r="C104" s="2">
        <v>0</v>
      </c>
      <c r="D104" s="2"/>
      <c r="E104" s="7">
        <f t="shared" si="1"/>
        <v>0</v>
      </c>
    </row>
    <row r="105" spans="1:5" ht="15.6" x14ac:dyDescent="0.3">
      <c r="A105" s="8" t="s">
        <v>98</v>
      </c>
      <c r="B105" s="8" t="s">
        <v>19</v>
      </c>
      <c r="C105" s="2">
        <v>73</v>
      </c>
      <c r="D105" s="2">
        <v>6800</v>
      </c>
      <c r="E105" s="7">
        <f t="shared" si="1"/>
        <v>496400</v>
      </c>
    </row>
    <row r="106" spans="1:5" x14ac:dyDescent="0.3">
      <c r="E106" s="9">
        <f>SUM(E3:E105)</f>
        <v>158541533</v>
      </c>
    </row>
  </sheetData>
  <autoFilter ref="A2:E105" xr:uid="{00000000-0009-0000-0000-00001B000000}">
    <filterColumn colId="2">
      <filters>
        <filter val="10"/>
        <filter val="100"/>
        <filter val="120"/>
        <filter val="14"/>
        <filter val="148"/>
        <filter val="15"/>
        <filter val="180"/>
        <filter val="2"/>
        <filter val="2,285"/>
        <filter val="2,319"/>
        <filter val="20"/>
        <filter val="22"/>
        <filter val="23"/>
        <filter val="25"/>
        <filter val="29"/>
        <filter val="3"/>
        <filter val="30"/>
        <filter val="320"/>
        <filter val="35"/>
        <filter val="353"/>
        <filter val="38"/>
        <filter val="380"/>
        <filter val="4"/>
        <filter val="40"/>
        <filter val="41"/>
        <filter val="410"/>
        <filter val="43"/>
        <filter val="476"/>
        <filter val="50"/>
        <filter val="518"/>
        <filter val="58"/>
        <filter val="6"/>
        <filter val="60"/>
        <filter val="610"/>
        <filter val="7"/>
        <filter val="70"/>
        <filter val="73"/>
        <filter val="760"/>
        <filter val="8"/>
        <filter val="810"/>
        <filter val="915"/>
        <filter val="95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E106"/>
  <sheetViews>
    <sheetView workbookViewId="0">
      <selection activeCell="G18" sqref="G18"/>
    </sheetView>
  </sheetViews>
  <sheetFormatPr defaultRowHeight="14.4" x14ac:dyDescent="0.3"/>
  <cols>
    <col min="1" max="1" width="27.109375" customWidth="1"/>
    <col min="4" max="4" width="12.33203125" customWidth="1"/>
    <col min="5" max="5" width="20.109375" customWidth="1"/>
  </cols>
  <sheetData>
    <row r="1" spans="1:5" x14ac:dyDescent="0.3">
      <c r="A1" t="s">
        <v>251</v>
      </c>
    </row>
    <row r="2" spans="1:5" ht="39.6" customHeight="1" x14ac:dyDescent="0.3">
      <c r="A2" s="10" t="s">
        <v>0</v>
      </c>
      <c r="B2" s="10" t="s">
        <v>1</v>
      </c>
      <c r="C2" s="2" t="s">
        <v>235</v>
      </c>
      <c r="D2" s="3" t="s">
        <v>101</v>
      </c>
      <c r="E2" s="11" t="s">
        <v>102</v>
      </c>
    </row>
    <row r="3" spans="1:5" ht="15.6" hidden="1" x14ac:dyDescent="0.3">
      <c r="A3" s="8" t="s">
        <v>2</v>
      </c>
      <c r="B3" s="8" t="s">
        <v>3</v>
      </c>
      <c r="C3" s="2">
        <v>0</v>
      </c>
      <c r="D3" s="7"/>
      <c r="E3" s="12">
        <f>C3*D3</f>
        <v>0</v>
      </c>
    </row>
    <row r="4" spans="1:5" ht="15.6" x14ac:dyDescent="0.3">
      <c r="A4" s="8" t="s">
        <v>4</v>
      </c>
      <c r="B4" s="8" t="s">
        <v>3</v>
      </c>
      <c r="C4" s="2">
        <v>470</v>
      </c>
      <c r="D4" s="7">
        <v>7000</v>
      </c>
      <c r="E4" s="12">
        <f t="shared" ref="E4:E67" si="0">C4*D4</f>
        <v>3290000</v>
      </c>
    </row>
    <row r="5" spans="1:5" ht="15.6" x14ac:dyDescent="0.3">
      <c r="A5" s="8" t="s">
        <v>5</v>
      </c>
      <c r="B5" s="8" t="s">
        <v>3</v>
      </c>
      <c r="C5" s="2">
        <v>550</v>
      </c>
      <c r="D5" s="7">
        <v>3500</v>
      </c>
      <c r="E5" s="12">
        <f t="shared" si="0"/>
        <v>1925000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7"/>
      <c r="E6" s="12">
        <f t="shared" si="0"/>
        <v>0</v>
      </c>
    </row>
    <row r="7" spans="1:5" ht="15.6" hidden="1" x14ac:dyDescent="0.3">
      <c r="A7" s="8" t="s">
        <v>6</v>
      </c>
      <c r="B7" s="8" t="s">
        <v>3</v>
      </c>
      <c r="C7" s="2">
        <v>0</v>
      </c>
      <c r="D7" s="7"/>
      <c r="E7" s="12">
        <f t="shared" si="0"/>
        <v>0</v>
      </c>
    </row>
    <row r="8" spans="1:5" ht="15.6" x14ac:dyDescent="0.3">
      <c r="A8" s="8" t="s">
        <v>7</v>
      </c>
      <c r="B8" s="8" t="s">
        <v>3</v>
      </c>
      <c r="C8" s="2">
        <v>1834</v>
      </c>
      <c r="D8" s="7">
        <v>6500</v>
      </c>
      <c r="E8" s="12">
        <f t="shared" si="0"/>
        <v>11921000</v>
      </c>
    </row>
    <row r="9" spans="1:5" ht="15.6" x14ac:dyDescent="0.3">
      <c r="A9" s="8" t="s">
        <v>11</v>
      </c>
      <c r="B9" s="8" t="s">
        <v>3</v>
      </c>
      <c r="C9" s="2">
        <v>140</v>
      </c>
      <c r="D9" s="7">
        <v>7500</v>
      </c>
      <c r="E9" s="12">
        <f t="shared" si="0"/>
        <v>1050000</v>
      </c>
    </row>
    <row r="10" spans="1:5" ht="15.6" hidden="1" x14ac:dyDescent="0.3">
      <c r="A10" s="8" t="s">
        <v>11</v>
      </c>
      <c r="B10" s="8" t="s">
        <v>9</v>
      </c>
      <c r="C10" s="2">
        <v>0</v>
      </c>
      <c r="D10" s="7"/>
      <c r="E10" s="12">
        <f t="shared" si="0"/>
        <v>0</v>
      </c>
    </row>
    <row r="11" spans="1:5" ht="15.6" x14ac:dyDescent="0.3">
      <c r="A11" s="8" t="s">
        <v>8</v>
      </c>
      <c r="B11" s="8" t="s">
        <v>3</v>
      </c>
      <c r="C11" s="2">
        <v>10</v>
      </c>
      <c r="D11" s="7">
        <v>10000</v>
      </c>
      <c r="E11" s="12">
        <f t="shared" si="0"/>
        <v>100000</v>
      </c>
    </row>
    <row r="12" spans="1:5" ht="15.6" hidden="1" x14ac:dyDescent="0.3">
      <c r="A12" s="8" t="s">
        <v>8</v>
      </c>
      <c r="B12" s="8" t="s">
        <v>9</v>
      </c>
      <c r="C12" s="2">
        <v>0</v>
      </c>
      <c r="D12" s="7"/>
      <c r="E12" s="12">
        <f t="shared" si="0"/>
        <v>0</v>
      </c>
    </row>
    <row r="13" spans="1:5" ht="15.6" hidden="1" x14ac:dyDescent="0.3">
      <c r="A13" s="8" t="s">
        <v>140</v>
      </c>
      <c r="B13" s="8" t="s">
        <v>3</v>
      </c>
      <c r="C13" s="2">
        <v>0</v>
      </c>
      <c r="D13" s="7"/>
      <c r="E13" s="12">
        <f t="shared" si="0"/>
        <v>0</v>
      </c>
    </row>
    <row r="14" spans="1:5" ht="15.6" hidden="1" x14ac:dyDescent="0.3">
      <c r="A14" s="8" t="s">
        <v>122</v>
      </c>
      <c r="B14" s="8" t="s">
        <v>3</v>
      </c>
      <c r="C14" s="2">
        <v>0</v>
      </c>
      <c r="D14" s="7"/>
      <c r="E14" s="12">
        <f t="shared" si="0"/>
        <v>0</v>
      </c>
    </row>
    <row r="15" spans="1:5" ht="15.6" x14ac:dyDescent="0.3">
      <c r="A15" s="8" t="s">
        <v>12</v>
      </c>
      <c r="B15" s="8" t="s">
        <v>3</v>
      </c>
      <c r="C15" s="2">
        <v>13</v>
      </c>
      <c r="D15" s="7">
        <v>12000</v>
      </c>
      <c r="E15" s="12">
        <f t="shared" si="0"/>
        <v>156000</v>
      </c>
    </row>
    <row r="16" spans="1:5" ht="15.6" hidden="1" x14ac:dyDescent="0.3">
      <c r="A16" s="8" t="s">
        <v>14</v>
      </c>
      <c r="B16" s="8" t="s">
        <v>3</v>
      </c>
      <c r="C16" s="2">
        <v>0</v>
      </c>
      <c r="D16" s="7"/>
      <c r="E16" s="12">
        <f t="shared" si="0"/>
        <v>0</v>
      </c>
    </row>
    <row r="17" spans="1:5" ht="15.6" hidden="1" x14ac:dyDescent="0.3">
      <c r="A17" s="8" t="s">
        <v>15</v>
      </c>
      <c r="B17" s="8" t="s">
        <v>3</v>
      </c>
      <c r="C17" s="2">
        <v>0</v>
      </c>
      <c r="D17" s="7"/>
      <c r="E17" s="12">
        <f t="shared" si="0"/>
        <v>0</v>
      </c>
    </row>
    <row r="18" spans="1:5" ht="15.6" x14ac:dyDescent="0.3">
      <c r="A18" s="8" t="s">
        <v>16</v>
      </c>
      <c r="B18" s="8" t="s">
        <v>17</v>
      </c>
      <c r="C18" s="2">
        <v>4</v>
      </c>
      <c r="D18" s="7">
        <v>6000</v>
      </c>
      <c r="E18" s="12">
        <f t="shared" si="0"/>
        <v>24000</v>
      </c>
    </row>
    <row r="19" spans="1:5" ht="15.6" hidden="1" x14ac:dyDescent="0.3">
      <c r="A19" s="8" t="s">
        <v>20</v>
      </c>
      <c r="B19" s="8" t="s">
        <v>3</v>
      </c>
      <c r="C19" s="2">
        <v>0</v>
      </c>
      <c r="D19" s="7"/>
      <c r="E19" s="12">
        <f t="shared" si="0"/>
        <v>0</v>
      </c>
    </row>
    <row r="20" spans="1:5" ht="15.6" x14ac:dyDescent="0.3">
      <c r="A20" s="8" t="s">
        <v>22</v>
      </c>
      <c r="B20" s="8" t="s">
        <v>3</v>
      </c>
      <c r="C20" s="2">
        <v>119</v>
      </c>
      <c r="D20" s="7">
        <v>12000</v>
      </c>
      <c r="E20" s="12">
        <f t="shared" si="0"/>
        <v>1428000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7"/>
      <c r="E21" s="12">
        <f t="shared" si="0"/>
        <v>0</v>
      </c>
    </row>
    <row r="22" spans="1:5" ht="15.6" hidden="1" x14ac:dyDescent="0.3">
      <c r="A22" s="8" t="s">
        <v>24</v>
      </c>
      <c r="B22" s="8" t="s">
        <v>3</v>
      </c>
      <c r="C22" s="2">
        <v>0</v>
      </c>
      <c r="D22" s="7"/>
      <c r="E22" s="12">
        <f t="shared" si="0"/>
        <v>0</v>
      </c>
    </row>
    <row r="23" spans="1:5" ht="15.6" hidden="1" x14ac:dyDescent="0.3">
      <c r="A23" s="8" t="s">
        <v>24</v>
      </c>
      <c r="B23" s="8" t="s">
        <v>25</v>
      </c>
      <c r="C23" s="2">
        <v>0</v>
      </c>
      <c r="D23" s="7"/>
      <c r="E23" s="12">
        <f t="shared" si="0"/>
        <v>0</v>
      </c>
    </row>
    <row r="24" spans="1:5" ht="15.6" x14ac:dyDescent="0.3">
      <c r="A24" s="8" t="s">
        <v>26</v>
      </c>
      <c r="B24" s="8" t="s">
        <v>3</v>
      </c>
      <c r="C24" s="2">
        <v>21</v>
      </c>
      <c r="D24" s="7">
        <v>15000</v>
      </c>
      <c r="E24" s="12">
        <f t="shared" si="0"/>
        <v>315000</v>
      </c>
    </row>
    <row r="25" spans="1:5" ht="15.6" x14ac:dyDescent="0.3">
      <c r="A25" s="8" t="s">
        <v>26</v>
      </c>
      <c r="B25" s="8" t="s">
        <v>27</v>
      </c>
      <c r="C25" s="2">
        <v>60</v>
      </c>
      <c r="D25" s="7">
        <v>4500</v>
      </c>
      <c r="E25" s="12">
        <f t="shared" si="0"/>
        <v>270000</v>
      </c>
    </row>
    <row r="26" spans="1:5" ht="15.6" hidden="1" x14ac:dyDescent="0.3">
      <c r="A26" s="8" t="s">
        <v>30</v>
      </c>
      <c r="B26" s="8" t="s">
        <v>3</v>
      </c>
      <c r="C26" s="2">
        <v>0</v>
      </c>
      <c r="D26" s="7"/>
      <c r="E26" s="12">
        <f t="shared" si="0"/>
        <v>0</v>
      </c>
    </row>
    <row r="27" spans="1:5" ht="15.6" hidden="1" x14ac:dyDescent="0.3">
      <c r="A27" s="8" t="s">
        <v>30</v>
      </c>
      <c r="B27" s="8" t="s">
        <v>31</v>
      </c>
      <c r="C27" s="2">
        <v>0</v>
      </c>
      <c r="D27" s="7"/>
      <c r="E27" s="12">
        <f t="shared" si="0"/>
        <v>0</v>
      </c>
    </row>
    <row r="28" spans="1:5" ht="15.6" x14ac:dyDescent="0.3">
      <c r="A28" s="8" t="s">
        <v>32</v>
      </c>
      <c r="B28" s="8" t="s">
        <v>3</v>
      </c>
      <c r="C28" s="2">
        <v>200</v>
      </c>
      <c r="D28" s="7">
        <v>12000</v>
      </c>
      <c r="E28" s="12">
        <f t="shared" si="0"/>
        <v>2400000</v>
      </c>
    </row>
    <row r="29" spans="1:5" ht="15.6" hidden="1" x14ac:dyDescent="0.3">
      <c r="A29" s="8" t="s">
        <v>32</v>
      </c>
      <c r="B29" s="8" t="s">
        <v>17</v>
      </c>
      <c r="C29" s="2">
        <v>0</v>
      </c>
      <c r="D29" s="7"/>
      <c r="E29" s="12">
        <f t="shared" si="0"/>
        <v>0</v>
      </c>
    </row>
    <row r="30" spans="1:5" ht="15.6" x14ac:dyDescent="0.3">
      <c r="A30" s="8" t="s">
        <v>33</v>
      </c>
      <c r="B30" s="8" t="s">
        <v>34</v>
      </c>
      <c r="C30" s="2">
        <v>80</v>
      </c>
      <c r="D30" s="7">
        <v>9000</v>
      </c>
      <c r="E30" s="12">
        <f t="shared" si="0"/>
        <v>720000</v>
      </c>
    </row>
    <row r="31" spans="1:5" ht="15.6" x14ac:dyDescent="0.3">
      <c r="A31" s="8" t="s">
        <v>35</v>
      </c>
      <c r="B31" s="8" t="s">
        <v>3</v>
      </c>
      <c r="C31" s="2">
        <v>70</v>
      </c>
      <c r="D31" s="7">
        <v>8000</v>
      </c>
      <c r="E31" s="12">
        <f t="shared" si="0"/>
        <v>560000</v>
      </c>
    </row>
    <row r="32" spans="1:5" ht="15.6" hidden="1" x14ac:dyDescent="0.3">
      <c r="A32" s="8" t="s">
        <v>35</v>
      </c>
      <c r="B32" s="8" t="s">
        <v>34</v>
      </c>
      <c r="C32" s="2">
        <v>0</v>
      </c>
      <c r="D32" s="7"/>
      <c r="E32" s="12">
        <f t="shared" si="0"/>
        <v>0</v>
      </c>
    </row>
    <row r="33" spans="1:5" ht="15.6" x14ac:dyDescent="0.3">
      <c r="A33" s="8" t="s">
        <v>36</v>
      </c>
      <c r="B33" s="8" t="s">
        <v>17</v>
      </c>
      <c r="C33" s="2">
        <v>9</v>
      </c>
      <c r="D33" s="7">
        <v>5500</v>
      </c>
      <c r="E33" s="12">
        <f t="shared" si="0"/>
        <v>49500</v>
      </c>
    </row>
    <row r="34" spans="1:5" ht="15.6" x14ac:dyDescent="0.3">
      <c r="A34" s="8" t="s">
        <v>37</v>
      </c>
      <c r="B34" s="8" t="s">
        <v>3</v>
      </c>
      <c r="C34" s="2">
        <v>30</v>
      </c>
      <c r="D34" s="7">
        <v>8000</v>
      </c>
      <c r="E34" s="12">
        <f t="shared" si="0"/>
        <v>240000</v>
      </c>
    </row>
    <row r="35" spans="1:5" ht="15.6" hidden="1" x14ac:dyDescent="0.3">
      <c r="A35" s="8" t="s">
        <v>37</v>
      </c>
      <c r="B35" s="8" t="s">
        <v>38</v>
      </c>
      <c r="C35" s="2">
        <v>0</v>
      </c>
      <c r="D35" s="7"/>
      <c r="E35" s="12">
        <f t="shared" si="0"/>
        <v>0</v>
      </c>
    </row>
    <row r="36" spans="1:5" ht="15.6" x14ac:dyDescent="0.3">
      <c r="A36" s="8" t="s">
        <v>39</v>
      </c>
      <c r="B36" s="8" t="s">
        <v>3</v>
      </c>
      <c r="C36" s="2">
        <v>10</v>
      </c>
      <c r="D36" s="7">
        <v>20000</v>
      </c>
      <c r="E36" s="12">
        <f t="shared" si="0"/>
        <v>200000</v>
      </c>
    </row>
    <row r="37" spans="1:5" ht="15.6" hidden="1" x14ac:dyDescent="0.3">
      <c r="A37" s="8" t="s">
        <v>39</v>
      </c>
      <c r="B37" s="8" t="s">
        <v>34</v>
      </c>
      <c r="C37" s="2">
        <v>0</v>
      </c>
      <c r="D37" s="7"/>
      <c r="E37" s="12">
        <f t="shared" si="0"/>
        <v>0</v>
      </c>
    </row>
    <row r="38" spans="1:5" ht="15.6" x14ac:dyDescent="0.3">
      <c r="A38" s="8" t="s">
        <v>40</v>
      </c>
      <c r="B38" s="8" t="s">
        <v>34</v>
      </c>
      <c r="C38" s="2">
        <v>15</v>
      </c>
      <c r="D38" s="7">
        <v>3000</v>
      </c>
      <c r="E38" s="12">
        <f t="shared" si="0"/>
        <v>45000</v>
      </c>
    </row>
    <row r="39" spans="1:5" ht="15.6" hidden="1" x14ac:dyDescent="0.3">
      <c r="A39" s="8" t="s">
        <v>41</v>
      </c>
      <c r="B39" s="8" t="s">
        <v>34</v>
      </c>
      <c r="C39" s="2">
        <v>0</v>
      </c>
      <c r="D39" s="7"/>
      <c r="E39" s="12">
        <f t="shared" si="0"/>
        <v>0</v>
      </c>
    </row>
    <row r="40" spans="1:5" ht="15.6" x14ac:dyDescent="0.3">
      <c r="A40" s="8" t="s">
        <v>42</v>
      </c>
      <c r="B40" s="8" t="s">
        <v>3</v>
      </c>
      <c r="C40" s="2">
        <v>90</v>
      </c>
      <c r="D40" s="7">
        <v>4500</v>
      </c>
      <c r="E40" s="12">
        <f t="shared" si="0"/>
        <v>405000</v>
      </c>
    </row>
    <row r="41" spans="1:5" ht="15.6" x14ac:dyDescent="0.3">
      <c r="A41" s="8" t="s">
        <v>43</v>
      </c>
      <c r="B41" s="8" t="s">
        <v>3</v>
      </c>
      <c r="C41" s="2">
        <v>4</v>
      </c>
      <c r="D41" s="7">
        <v>15000</v>
      </c>
      <c r="E41" s="12">
        <f t="shared" si="0"/>
        <v>60000</v>
      </c>
    </row>
    <row r="42" spans="1:5" ht="15.6" x14ac:dyDescent="0.3">
      <c r="A42" s="8" t="s">
        <v>44</v>
      </c>
      <c r="B42" s="8" t="s">
        <v>3</v>
      </c>
      <c r="C42" s="2">
        <v>710</v>
      </c>
      <c r="D42" s="7">
        <v>3500</v>
      </c>
      <c r="E42" s="12">
        <f t="shared" si="0"/>
        <v>2485000</v>
      </c>
    </row>
    <row r="43" spans="1:5" ht="15.6" x14ac:dyDescent="0.3">
      <c r="A43" s="8" t="s">
        <v>45</v>
      </c>
      <c r="B43" s="8" t="s">
        <v>3</v>
      </c>
      <c r="C43" s="2">
        <v>25</v>
      </c>
      <c r="D43" s="7">
        <v>12000</v>
      </c>
      <c r="E43" s="12">
        <f t="shared" si="0"/>
        <v>300000</v>
      </c>
    </row>
    <row r="44" spans="1:5" ht="15.6" hidden="1" x14ac:dyDescent="0.3">
      <c r="A44" s="8" t="s">
        <v>45</v>
      </c>
      <c r="B44" s="8" t="s">
        <v>19</v>
      </c>
      <c r="C44" s="2">
        <v>0</v>
      </c>
      <c r="D44" s="7"/>
      <c r="E44" s="12">
        <f t="shared" si="0"/>
        <v>0</v>
      </c>
    </row>
    <row r="45" spans="1:5" ht="15.6" hidden="1" x14ac:dyDescent="0.3">
      <c r="A45" s="8" t="s">
        <v>62</v>
      </c>
      <c r="B45" s="8" t="s">
        <v>3</v>
      </c>
      <c r="C45" s="2">
        <v>0</v>
      </c>
      <c r="D45" s="7"/>
      <c r="E45" s="12">
        <f t="shared" si="0"/>
        <v>0</v>
      </c>
    </row>
    <row r="46" spans="1:5" ht="15.6" x14ac:dyDescent="0.3">
      <c r="A46" s="8" t="s">
        <v>63</v>
      </c>
      <c r="B46" s="8" t="s">
        <v>3</v>
      </c>
      <c r="C46" s="2">
        <v>18</v>
      </c>
      <c r="D46" s="7">
        <v>14000</v>
      </c>
      <c r="E46" s="12">
        <f t="shared" si="0"/>
        <v>252000</v>
      </c>
    </row>
    <row r="47" spans="1:5" ht="15.6" hidden="1" x14ac:dyDescent="0.3">
      <c r="A47" s="8" t="s">
        <v>46</v>
      </c>
      <c r="B47" s="8" t="s">
        <v>29</v>
      </c>
      <c r="C47" s="2">
        <v>0</v>
      </c>
      <c r="D47" s="7"/>
      <c r="E47" s="12">
        <f t="shared" si="0"/>
        <v>0</v>
      </c>
    </row>
    <row r="48" spans="1:5" ht="15.6" hidden="1" x14ac:dyDescent="0.3">
      <c r="A48" s="8" t="s">
        <v>132</v>
      </c>
      <c r="B48" s="8" t="s">
        <v>17</v>
      </c>
      <c r="C48" s="2">
        <v>0</v>
      </c>
      <c r="D48" s="7"/>
      <c r="E48" s="12">
        <f t="shared" si="0"/>
        <v>0</v>
      </c>
    </row>
    <row r="49" spans="1:5" ht="15.6" hidden="1" x14ac:dyDescent="0.3">
      <c r="A49" s="8" t="s">
        <v>47</v>
      </c>
      <c r="B49" s="8" t="s">
        <v>3</v>
      </c>
      <c r="C49" s="2">
        <v>0</v>
      </c>
      <c r="D49" s="7"/>
      <c r="E49" s="12">
        <f t="shared" si="0"/>
        <v>0</v>
      </c>
    </row>
    <row r="50" spans="1:5" ht="15.6" x14ac:dyDescent="0.3">
      <c r="A50" s="8" t="s">
        <v>48</v>
      </c>
      <c r="B50" s="8" t="s">
        <v>3</v>
      </c>
      <c r="C50" s="2">
        <v>35</v>
      </c>
      <c r="D50" s="7">
        <v>8000</v>
      </c>
      <c r="E50" s="12">
        <f t="shared" si="0"/>
        <v>280000</v>
      </c>
    </row>
    <row r="51" spans="1:5" ht="15.6" hidden="1" x14ac:dyDescent="0.3">
      <c r="A51" s="8" t="s">
        <v>48</v>
      </c>
      <c r="B51" s="8" t="s">
        <v>34</v>
      </c>
      <c r="C51" s="2">
        <v>0</v>
      </c>
      <c r="D51" s="7"/>
      <c r="E51" s="12">
        <f t="shared" si="0"/>
        <v>0</v>
      </c>
    </row>
    <row r="52" spans="1:5" ht="15.6" x14ac:dyDescent="0.3">
      <c r="A52" s="8" t="s">
        <v>49</v>
      </c>
      <c r="B52" s="8" t="s">
        <v>3</v>
      </c>
      <c r="C52" s="2">
        <v>2</v>
      </c>
      <c r="D52" s="7">
        <v>21000</v>
      </c>
      <c r="E52" s="12">
        <f t="shared" si="0"/>
        <v>42000</v>
      </c>
    </row>
    <row r="53" spans="1:5" ht="15.6" x14ac:dyDescent="0.3">
      <c r="A53" s="8" t="s">
        <v>50</v>
      </c>
      <c r="B53" s="8" t="s">
        <v>3</v>
      </c>
      <c r="C53" s="2">
        <v>480</v>
      </c>
      <c r="D53" s="7">
        <v>5500</v>
      </c>
      <c r="E53" s="12">
        <f t="shared" si="0"/>
        <v>2640000</v>
      </c>
    </row>
    <row r="54" spans="1:5" ht="15.6" hidden="1" x14ac:dyDescent="0.3">
      <c r="A54" s="8" t="s">
        <v>50</v>
      </c>
      <c r="B54" s="8" t="s">
        <v>51</v>
      </c>
      <c r="C54" s="2">
        <v>0</v>
      </c>
      <c r="D54" s="7"/>
      <c r="E54" s="12">
        <f t="shared" si="0"/>
        <v>0</v>
      </c>
    </row>
    <row r="55" spans="1:5" ht="15.6" x14ac:dyDescent="0.3">
      <c r="A55" s="8" t="s">
        <v>104</v>
      </c>
      <c r="B55" s="8" t="s">
        <v>3</v>
      </c>
      <c r="C55" s="2">
        <v>100</v>
      </c>
      <c r="D55" s="7">
        <v>20000</v>
      </c>
      <c r="E55" s="12">
        <f t="shared" si="0"/>
        <v>2000000</v>
      </c>
    </row>
    <row r="56" spans="1:5" ht="15.6" x14ac:dyDescent="0.3">
      <c r="A56" s="8" t="s">
        <v>52</v>
      </c>
      <c r="B56" s="8" t="s">
        <v>34</v>
      </c>
      <c r="C56" s="2">
        <v>466</v>
      </c>
      <c r="D56" s="7">
        <v>1350</v>
      </c>
      <c r="E56" s="12">
        <f t="shared" si="0"/>
        <v>629100</v>
      </c>
    </row>
    <row r="57" spans="1:5" ht="15.6" x14ac:dyDescent="0.3">
      <c r="A57" s="8" t="s">
        <v>53</v>
      </c>
      <c r="B57" s="8" t="s">
        <v>3</v>
      </c>
      <c r="C57" s="2">
        <v>1975</v>
      </c>
      <c r="D57" s="7">
        <v>21500</v>
      </c>
      <c r="E57" s="12">
        <f t="shared" si="0"/>
        <v>42462500</v>
      </c>
    </row>
    <row r="58" spans="1:5" ht="15.6" x14ac:dyDescent="0.3">
      <c r="A58" s="8" t="s">
        <v>54</v>
      </c>
      <c r="B58" s="8" t="s">
        <v>3</v>
      </c>
      <c r="C58" s="2">
        <v>760</v>
      </c>
      <c r="D58" s="7">
        <v>26000</v>
      </c>
      <c r="E58" s="12">
        <f t="shared" si="0"/>
        <v>19760000</v>
      </c>
    </row>
    <row r="59" spans="1:5" ht="15.6" x14ac:dyDescent="0.3">
      <c r="A59" s="8" t="s">
        <v>55</v>
      </c>
      <c r="B59" s="8" t="s">
        <v>3</v>
      </c>
      <c r="C59" s="2">
        <v>420</v>
      </c>
      <c r="D59" s="7">
        <v>17000</v>
      </c>
      <c r="E59" s="12">
        <f t="shared" si="0"/>
        <v>7140000</v>
      </c>
    </row>
    <row r="60" spans="1:5" ht="15.6" x14ac:dyDescent="0.3">
      <c r="A60" s="8" t="s">
        <v>56</v>
      </c>
      <c r="B60" s="8" t="s">
        <v>3</v>
      </c>
      <c r="C60" s="2">
        <v>18</v>
      </c>
      <c r="D60" s="7">
        <v>21000</v>
      </c>
      <c r="E60" s="12">
        <f t="shared" si="0"/>
        <v>378000</v>
      </c>
    </row>
    <row r="61" spans="1:5" ht="15.6" hidden="1" x14ac:dyDescent="0.3">
      <c r="A61" s="8" t="s">
        <v>58</v>
      </c>
      <c r="B61" s="8" t="s">
        <v>34</v>
      </c>
      <c r="C61" s="2">
        <v>0</v>
      </c>
      <c r="D61" s="7"/>
      <c r="E61" s="12">
        <f t="shared" si="0"/>
        <v>0</v>
      </c>
    </row>
    <row r="62" spans="1:5" ht="15.6" x14ac:dyDescent="0.3">
      <c r="A62" s="8" t="s">
        <v>59</v>
      </c>
      <c r="B62" s="8" t="s">
        <v>3</v>
      </c>
      <c r="C62" s="2">
        <v>580</v>
      </c>
      <c r="D62" s="7">
        <v>14000</v>
      </c>
      <c r="E62" s="12">
        <f t="shared" si="0"/>
        <v>8120000</v>
      </c>
    </row>
    <row r="63" spans="1:5" ht="15.6" hidden="1" x14ac:dyDescent="0.3">
      <c r="A63" s="8" t="s">
        <v>59</v>
      </c>
      <c r="B63" s="8" t="s">
        <v>34</v>
      </c>
      <c r="C63" s="2">
        <v>0</v>
      </c>
      <c r="D63" s="7"/>
      <c r="E63" s="12">
        <f t="shared" si="0"/>
        <v>0</v>
      </c>
    </row>
    <row r="64" spans="1:5" ht="15.6" x14ac:dyDescent="0.3">
      <c r="A64" s="8" t="s">
        <v>60</v>
      </c>
      <c r="B64" s="8" t="s">
        <v>34</v>
      </c>
      <c r="C64" s="2">
        <v>160</v>
      </c>
      <c r="D64" s="7">
        <v>5000</v>
      </c>
      <c r="E64" s="12">
        <f t="shared" si="0"/>
        <v>800000</v>
      </c>
    </row>
    <row r="65" spans="1:5" ht="15.6" hidden="1" x14ac:dyDescent="0.3">
      <c r="A65" s="8" t="s">
        <v>61</v>
      </c>
      <c r="B65" s="8" t="s">
        <v>3</v>
      </c>
      <c r="C65" s="2">
        <v>0</v>
      </c>
      <c r="D65" s="7"/>
      <c r="E65" s="12">
        <f t="shared" si="0"/>
        <v>0</v>
      </c>
    </row>
    <row r="66" spans="1:5" ht="15.6" x14ac:dyDescent="0.3">
      <c r="A66" s="8" t="s">
        <v>67</v>
      </c>
      <c r="B66" s="8" t="s">
        <v>34</v>
      </c>
      <c r="C66" s="2">
        <v>25</v>
      </c>
      <c r="D66" s="7">
        <v>6000</v>
      </c>
      <c r="E66" s="12">
        <f t="shared" si="0"/>
        <v>150000</v>
      </c>
    </row>
    <row r="67" spans="1:5" ht="15.6" hidden="1" x14ac:dyDescent="0.3">
      <c r="A67" s="8" t="s">
        <v>68</v>
      </c>
      <c r="B67" s="8" t="s">
        <v>3</v>
      </c>
      <c r="C67" s="2">
        <v>0</v>
      </c>
      <c r="D67" s="7"/>
      <c r="E67" s="12">
        <f t="shared" si="0"/>
        <v>0</v>
      </c>
    </row>
    <row r="68" spans="1:5" ht="15.6" x14ac:dyDescent="0.3">
      <c r="A68" s="8" t="s">
        <v>68</v>
      </c>
      <c r="B68" s="8" t="s">
        <v>34</v>
      </c>
      <c r="C68" s="2">
        <v>35</v>
      </c>
      <c r="D68" s="7">
        <v>8000</v>
      </c>
      <c r="E68" s="12">
        <f t="shared" ref="E68:E105" si="1">C68*D68</f>
        <v>280000</v>
      </c>
    </row>
    <row r="69" spans="1:5" ht="15.6" hidden="1" x14ac:dyDescent="0.3">
      <c r="A69" s="8" t="s">
        <v>69</v>
      </c>
      <c r="B69" s="8" t="s">
        <v>3</v>
      </c>
      <c r="C69" s="2">
        <v>0</v>
      </c>
      <c r="D69" s="7"/>
      <c r="E69" s="12">
        <f t="shared" si="1"/>
        <v>0</v>
      </c>
    </row>
    <row r="70" spans="1:5" ht="15.6" hidden="1" x14ac:dyDescent="0.3">
      <c r="A70" s="8" t="s">
        <v>70</v>
      </c>
      <c r="B70" s="8" t="s">
        <v>3</v>
      </c>
      <c r="C70" s="2">
        <v>0</v>
      </c>
      <c r="D70" s="7"/>
      <c r="E70" s="12">
        <f t="shared" si="1"/>
        <v>0</v>
      </c>
    </row>
    <row r="71" spans="1:5" ht="15.6" hidden="1" x14ac:dyDescent="0.3">
      <c r="A71" s="8" t="s">
        <v>71</v>
      </c>
      <c r="B71" s="8" t="s">
        <v>3</v>
      </c>
      <c r="C71" s="2">
        <v>0</v>
      </c>
      <c r="D71" s="7"/>
      <c r="E71" s="12">
        <f t="shared" si="1"/>
        <v>0</v>
      </c>
    </row>
    <row r="72" spans="1:5" ht="15.6" hidden="1" x14ac:dyDescent="0.3">
      <c r="A72" s="8" t="s">
        <v>64</v>
      </c>
      <c r="B72" s="8" t="s">
        <v>3</v>
      </c>
      <c r="C72" s="2">
        <v>0</v>
      </c>
      <c r="D72" s="7"/>
      <c r="E72" s="12">
        <f t="shared" si="1"/>
        <v>0</v>
      </c>
    </row>
    <row r="73" spans="1:5" ht="15.6" x14ac:dyDescent="0.3">
      <c r="A73" s="8" t="s">
        <v>64</v>
      </c>
      <c r="B73" s="8" t="s">
        <v>17</v>
      </c>
      <c r="C73" s="2">
        <v>1620</v>
      </c>
      <c r="D73" s="7">
        <v>6700</v>
      </c>
      <c r="E73" s="12">
        <f t="shared" si="1"/>
        <v>10854000</v>
      </c>
    </row>
    <row r="74" spans="1:5" ht="15.6" hidden="1" x14ac:dyDescent="0.3">
      <c r="A74" s="8" t="s">
        <v>65</v>
      </c>
      <c r="B74" s="8" t="s">
        <v>3</v>
      </c>
      <c r="C74" s="2">
        <v>0</v>
      </c>
      <c r="D74" s="7"/>
      <c r="E74" s="12">
        <f t="shared" si="1"/>
        <v>0</v>
      </c>
    </row>
    <row r="75" spans="1:5" ht="15.6" x14ac:dyDescent="0.3">
      <c r="A75" s="8" t="s">
        <v>66</v>
      </c>
      <c r="B75" s="8" t="s">
        <v>3</v>
      </c>
      <c r="C75" s="2">
        <v>20</v>
      </c>
      <c r="D75" s="7">
        <v>14000</v>
      </c>
      <c r="E75" s="12">
        <f t="shared" si="1"/>
        <v>280000</v>
      </c>
    </row>
    <row r="76" spans="1:5" ht="15.6" x14ac:dyDescent="0.3">
      <c r="A76" s="8" t="s">
        <v>72</v>
      </c>
      <c r="B76" s="8" t="s">
        <v>3</v>
      </c>
      <c r="C76" s="2">
        <v>71</v>
      </c>
      <c r="D76" s="7">
        <v>10000</v>
      </c>
      <c r="E76" s="12">
        <f t="shared" si="1"/>
        <v>710000</v>
      </c>
    </row>
    <row r="77" spans="1:5" ht="15.6" hidden="1" x14ac:dyDescent="0.3">
      <c r="A77" s="8" t="s">
        <v>72</v>
      </c>
      <c r="B77" s="8" t="s">
        <v>19</v>
      </c>
      <c r="C77" s="2">
        <v>0</v>
      </c>
      <c r="D77" s="7"/>
      <c r="E77" s="12">
        <f t="shared" si="1"/>
        <v>0</v>
      </c>
    </row>
    <row r="78" spans="1:5" ht="15.6" hidden="1" x14ac:dyDescent="0.3">
      <c r="A78" s="8" t="s">
        <v>74</v>
      </c>
      <c r="B78" s="8" t="s">
        <v>34</v>
      </c>
      <c r="C78" s="2">
        <v>0</v>
      </c>
      <c r="D78" s="7"/>
      <c r="E78" s="12">
        <f t="shared" si="1"/>
        <v>0</v>
      </c>
    </row>
    <row r="79" spans="1:5" ht="15.6" x14ac:dyDescent="0.3">
      <c r="A79" s="8" t="s">
        <v>75</v>
      </c>
      <c r="B79" s="8" t="s">
        <v>3</v>
      </c>
      <c r="C79" s="2">
        <v>11</v>
      </c>
      <c r="D79" s="7">
        <v>14000</v>
      </c>
      <c r="E79" s="12">
        <f t="shared" si="1"/>
        <v>154000</v>
      </c>
    </row>
    <row r="80" spans="1:5" ht="15.6" hidden="1" x14ac:dyDescent="0.3">
      <c r="A80" s="8" t="s">
        <v>76</v>
      </c>
      <c r="B80" s="8" t="s">
        <v>29</v>
      </c>
      <c r="C80" s="2">
        <v>0</v>
      </c>
      <c r="D80" s="7"/>
      <c r="E80" s="12">
        <f t="shared" si="1"/>
        <v>0</v>
      </c>
    </row>
    <row r="81" spans="1:5" ht="15.6" hidden="1" x14ac:dyDescent="0.3">
      <c r="A81" s="8" t="s">
        <v>76</v>
      </c>
      <c r="B81" s="8" t="s">
        <v>3</v>
      </c>
      <c r="C81" s="2">
        <v>0</v>
      </c>
      <c r="D81" s="7"/>
      <c r="E81" s="12">
        <f t="shared" si="1"/>
        <v>0</v>
      </c>
    </row>
    <row r="82" spans="1:5" ht="15.6" hidden="1" x14ac:dyDescent="0.3">
      <c r="A82" s="8" t="s">
        <v>76</v>
      </c>
      <c r="B82" s="8" t="s">
        <v>250</v>
      </c>
      <c r="C82" s="2">
        <v>0</v>
      </c>
      <c r="D82" s="7"/>
      <c r="E82" s="12">
        <f t="shared" si="1"/>
        <v>0</v>
      </c>
    </row>
    <row r="83" spans="1:5" ht="15.6" hidden="1" x14ac:dyDescent="0.3">
      <c r="A83" s="8" t="s">
        <v>137</v>
      </c>
      <c r="B83" s="8" t="s">
        <v>3</v>
      </c>
      <c r="C83" s="2">
        <v>0</v>
      </c>
      <c r="D83" s="7"/>
      <c r="E83" s="12">
        <f t="shared" si="1"/>
        <v>0</v>
      </c>
    </row>
    <row r="84" spans="1:5" ht="15.6" hidden="1" x14ac:dyDescent="0.3">
      <c r="A84" s="8" t="s">
        <v>79</v>
      </c>
      <c r="B84" s="8" t="s">
        <v>17</v>
      </c>
      <c r="C84" s="2">
        <v>0</v>
      </c>
      <c r="D84" s="7"/>
      <c r="E84" s="12">
        <f t="shared" si="1"/>
        <v>0</v>
      </c>
    </row>
    <row r="85" spans="1:5" ht="15.6" hidden="1" x14ac:dyDescent="0.3">
      <c r="A85" s="8" t="s">
        <v>80</v>
      </c>
      <c r="B85" s="8" t="s">
        <v>29</v>
      </c>
      <c r="C85" s="2">
        <v>0</v>
      </c>
      <c r="D85" s="7"/>
      <c r="E85" s="12">
        <f t="shared" si="1"/>
        <v>0</v>
      </c>
    </row>
    <row r="86" spans="1:5" ht="15.6" x14ac:dyDescent="0.3">
      <c r="A86" s="8" t="s">
        <v>81</v>
      </c>
      <c r="B86" s="8" t="s">
        <v>3</v>
      </c>
      <c r="C86" s="2">
        <v>55</v>
      </c>
      <c r="D86" s="7">
        <v>24000</v>
      </c>
      <c r="E86" s="12">
        <f t="shared" si="1"/>
        <v>1320000</v>
      </c>
    </row>
    <row r="87" spans="1:5" ht="15.6" hidden="1" x14ac:dyDescent="0.3">
      <c r="A87" s="8" t="s">
        <v>81</v>
      </c>
      <c r="B87" s="8" t="s">
        <v>9</v>
      </c>
      <c r="C87" s="2">
        <v>0</v>
      </c>
      <c r="D87" s="7"/>
      <c r="E87" s="12">
        <f t="shared" si="1"/>
        <v>0</v>
      </c>
    </row>
    <row r="88" spans="1:5" ht="15.6" x14ac:dyDescent="0.3">
      <c r="A88" s="8" t="s">
        <v>108</v>
      </c>
      <c r="B88" s="8" t="s">
        <v>3</v>
      </c>
      <c r="C88" s="2">
        <v>4</v>
      </c>
      <c r="D88" s="7">
        <v>18000</v>
      </c>
      <c r="E88" s="12">
        <f t="shared" si="1"/>
        <v>72000</v>
      </c>
    </row>
    <row r="89" spans="1:5" ht="15.6" x14ac:dyDescent="0.3">
      <c r="A89" s="8" t="s">
        <v>82</v>
      </c>
      <c r="B89" s="8" t="s">
        <v>3</v>
      </c>
      <c r="C89" s="2">
        <v>40</v>
      </c>
      <c r="D89" s="7">
        <v>22000</v>
      </c>
      <c r="E89" s="12">
        <f t="shared" si="1"/>
        <v>880000</v>
      </c>
    </row>
    <row r="90" spans="1:5" ht="15.6" hidden="1" x14ac:dyDescent="0.3">
      <c r="A90" s="8" t="s">
        <v>82</v>
      </c>
      <c r="B90" s="8" t="s">
        <v>9</v>
      </c>
      <c r="C90" s="2">
        <v>0</v>
      </c>
      <c r="D90" s="7"/>
      <c r="E90" s="12">
        <f t="shared" si="1"/>
        <v>0</v>
      </c>
    </row>
    <row r="91" spans="1:5" ht="15.6" hidden="1" x14ac:dyDescent="0.3">
      <c r="A91" s="8" t="s">
        <v>83</v>
      </c>
      <c r="B91" s="8" t="s">
        <v>3</v>
      </c>
      <c r="C91" s="2">
        <v>0</v>
      </c>
      <c r="D91" s="7"/>
      <c r="E91" s="12">
        <f t="shared" si="1"/>
        <v>0</v>
      </c>
    </row>
    <row r="92" spans="1:5" ht="15.6" hidden="1" x14ac:dyDescent="0.3">
      <c r="A92" s="8" t="s">
        <v>83</v>
      </c>
      <c r="B92" s="8" t="s">
        <v>9</v>
      </c>
      <c r="C92" s="2">
        <v>0</v>
      </c>
      <c r="D92" s="7"/>
      <c r="E92" s="12">
        <f t="shared" si="1"/>
        <v>0</v>
      </c>
    </row>
    <row r="93" spans="1:5" ht="15.6" x14ac:dyDescent="0.3">
      <c r="A93" s="8" t="s">
        <v>84</v>
      </c>
      <c r="B93" s="8" t="s">
        <v>34</v>
      </c>
      <c r="C93" s="2">
        <v>31</v>
      </c>
      <c r="D93" s="7">
        <v>15500</v>
      </c>
      <c r="E93" s="12">
        <f t="shared" si="1"/>
        <v>480500</v>
      </c>
    </row>
    <row r="94" spans="1:5" ht="15.6" hidden="1" x14ac:dyDescent="0.3">
      <c r="A94" s="8" t="s">
        <v>85</v>
      </c>
      <c r="B94" s="8" t="s">
        <v>34</v>
      </c>
      <c r="C94" s="2">
        <v>0</v>
      </c>
      <c r="D94" s="7"/>
      <c r="E94" s="12">
        <f t="shared" si="1"/>
        <v>0</v>
      </c>
    </row>
    <row r="95" spans="1:5" ht="15.6" hidden="1" x14ac:dyDescent="0.3">
      <c r="A95" s="8" t="s">
        <v>86</v>
      </c>
      <c r="B95" s="8" t="s">
        <v>9</v>
      </c>
      <c r="C95" s="2">
        <v>0</v>
      </c>
      <c r="D95" s="7"/>
      <c r="E95" s="12">
        <f t="shared" si="1"/>
        <v>0</v>
      </c>
    </row>
    <row r="96" spans="1:5" ht="15.6" x14ac:dyDescent="0.3">
      <c r="A96" s="8" t="s">
        <v>87</v>
      </c>
      <c r="B96" s="8" t="s">
        <v>9</v>
      </c>
      <c r="C96" s="2">
        <v>353</v>
      </c>
      <c r="D96" s="7">
        <v>11361</v>
      </c>
      <c r="E96" s="12">
        <f t="shared" si="1"/>
        <v>4010433</v>
      </c>
    </row>
    <row r="97" spans="1:5" ht="15.6" x14ac:dyDescent="0.3">
      <c r="A97" s="8" t="s">
        <v>89</v>
      </c>
      <c r="B97" s="8" t="s">
        <v>3</v>
      </c>
      <c r="C97" s="2">
        <v>8</v>
      </c>
      <c r="D97" s="7">
        <v>18000</v>
      </c>
      <c r="E97" s="12">
        <f t="shared" si="1"/>
        <v>144000</v>
      </c>
    </row>
    <row r="98" spans="1:5" ht="15.6" x14ac:dyDescent="0.3">
      <c r="A98" s="8" t="s">
        <v>90</v>
      </c>
      <c r="B98" s="8" t="s">
        <v>3</v>
      </c>
      <c r="C98" s="2">
        <v>28</v>
      </c>
      <c r="D98" s="7">
        <v>8000</v>
      </c>
      <c r="E98" s="12">
        <f t="shared" si="1"/>
        <v>224000</v>
      </c>
    </row>
    <row r="99" spans="1:5" ht="15.6" x14ac:dyDescent="0.3">
      <c r="A99" s="8" t="s">
        <v>91</v>
      </c>
      <c r="B99" s="8" t="s">
        <v>3</v>
      </c>
      <c r="C99" s="2">
        <v>8</v>
      </c>
      <c r="D99" s="7">
        <v>15000</v>
      </c>
      <c r="E99" s="12">
        <f t="shared" si="1"/>
        <v>120000</v>
      </c>
    </row>
    <row r="100" spans="1:5" ht="15.6" x14ac:dyDescent="0.3">
      <c r="A100" s="8" t="s">
        <v>92</v>
      </c>
      <c r="B100" s="8" t="s">
        <v>3</v>
      </c>
      <c r="C100" s="2">
        <v>4</v>
      </c>
      <c r="D100" s="7">
        <v>25000</v>
      </c>
      <c r="E100" s="12">
        <f t="shared" si="1"/>
        <v>100000</v>
      </c>
    </row>
    <row r="101" spans="1:5" ht="15.6" hidden="1" x14ac:dyDescent="0.3">
      <c r="A101" s="8" t="s">
        <v>93</v>
      </c>
      <c r="B101" s="8" t="s">
        <v>19</v>
      </c>
      <c r="C101" s="2">
        <v>0</v>
      </c>
      <c r="D101" s="7"/>
      <c r="E101" s="12">
        <f t="shared" si="1"/>
        <v>0</v>
      </c>
    </row>
    <row r="102" spans="1:5" ht="15.6" hidden="1" x14ac:dyDescent="0.3">
      <c r="A102" s="8" t="s">
        <v>94</v>
      </c>
      <c r="B102" s="8" t="s">
        <v>3</v>
      </c>
      <c r="C102" s="2">
        <v>0</v>
      </c>
      <c r="D102" s="7"/>
      <c r="E102" s="12">
        <f t="shared" si="1"/>
        <v>0</v>
      </c>
    </row>
    <row r="103" spans="1:5" ht="15.6" hidden="1" x14ac:dyDescent="0.3">
      <c r="A103" s="8" t="s">
        <v>95</v>
      </c>
      <c r="B103" s="8" t="s">
        <v>19</v>
      </c>
      <c r="C103" s="2">
        <v>0</v>
      </c>
      <c r="D103" s="7"/>
      <c r="E103" s="12">
        <f t="shared" si="1"/>
        <v>0</v>
      </c>
    </row>
    <row r="104" spans="1:5" ht="15.6" hidden="1" x14ac:dyDescent="0.3">
      <c r="A104" s="8" t="s">
        <v>97</v>
      </c>
      <c r="B104" s="8" t="s">
        <v>3</v>
      </c>
      <c r="C104" s="2">
        <v>0</v>
      </c>
      <c r="D104" s="7"/>
      <c r="E104" s="12">
        <f t="shared" si="1"/>
        <v>0</v>
      </c>
    </row>
    <row r="105" spans="1:5" ht="15.6" hidden="1" x14ac:dyDescent="0.3">
      <c r="A105" s="8" t="s">
        <v>98</v>
      </c>
      <c r="B105" s="8" t="s">
        <v>19</v>
      </c>
      <c r="C105" s="2">
        <v>0</v>
      </c>
      <c r="D105" s="7"/>
      <c r="E105" s="12">
        <f t="shared" si="1"/>
        <v>0</v>
      </c>
    </row>
    <row r="106" spans="1:5" x14ac:dyDescent="0.3">
      <c r="E106" s="9">
        <f>SUM(E4:E100)</f>
        <v>132226033</v>
      </c>
    </row>
  </sheetData>
  <autoFilter ref="A2:E105" xr:uid="{00000000-0009-0000-0000-00001C000000}">
    <filterColumn colId="2">
      <filters>
        <filter val="1,620"/>
        <filter val="1,834"/>
        <filter val="1,975"/>
        <filter val="10"/>
        <filter val="100"/>
        <filter val="11"/>
        <filter val="119"/>
        <filter val="13"/>
        <filter val="140"/>
        <filter val="15"/>
        <filter val="160"/>
        <filter val="18"/>
        <filter val="2"/>
        <filter val="20"/>
        <filter val="200"/>
        <filter val="21"/>
        <filter val="25"/>
        <filter val="28"/>
        <filter val="30"/>
        <filter val="31"/>
        <filter val="35"/>
        <filter val="353"/>
        <filter val="4"/>
        <filter val="40"/>
        <filter val="420"/>
        <filter val="466"/>
        <filter val="470"/>
        <filter val="480"/>
        <filter val="55"/>
        <filter val="550"/>
        <filter val="580"/>
        <filter val="60"/>
        <filter val="70"/>
        <filter val="71"/>
        <filter val="710"/>
        <filter val="760"/>
        <filter val="8"/>
        <filter val="80"/>
        <filter val="9"/>
        <filter val="90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E120"/>
  <sheetViews>
    <sheetView topLeftCell="A38" workbookViewId="0">
      <selection activeCell="D58" sqref="D58"/>
    </sheetView>
  </sheetViews>
  <sheetFormatPr defaultRowHeight="14.4" x14ac:dyDescent="0.3"/>
  <cols>
    <col min="1" max="1" width="27.6640625" customWidth="1"/>
    <col min="4" max="4" width="14" customWidth="1"/>
    <col min="5" max="5" width="22.6640625" customWidth="1"/>
  </cols>
  <sheetData>
    <row r="1" spans="1:5" ht="30.6" customHeight="1" x14ac:dyDescent="0.3">
      <c r="A1" t="s">
        <v>253</v>
      </c>
    </row>
    <row r="2" spans="1:5" ht="41.4" customHeight="1" x14ac:dyDescent="0.3">
      <c r="A2" s="10" t="s">
        <v>0</v>
      </c>
      <c r="B2" s="10" t="s">
        <v>1</v>
      </c>
      <c r="C2" s="2" t="s">
        <v>100</v>
      </c>
      <c r="D2" s="2" t="s">
        <v>101</v>
      </c>
      <c r="E2" s="3" t="s">
        <v>102</v>
      </c>
    </row>
    <row r="3" spans="1:5" ht="15.6" x14ac:dyDescent="0.3">
      <c r="A3" s="8" t="s">
        <v>2</v>
      </c>
      <c r="B3" s="8" t="s">
        <v>3</v>
      </c>
      <c r="C3" s="2">
        <v>30</v>
      </c>
      <c r="D3" s="2">
        <v>18000</v>
      </c>
      <c r="E3" s="7">
        <f>C3*D3</f>
        <v>540000</v>
      </c>
    </row>
    <row r="4" spans="1:5" ht="15.6" x14ac:dyDescent="0.3">
      <c r="A4" s="8" t="s">
        <v>4</v>
      </c>
      <c r="B4" s="8" t="s">
        <v>3</v>
      </c>
      <c r="C4" s="2">
        <v>220</v>
      </c>
      <c r="D4" s="2">
        <v>7000</v>
      </c>
      <c r="E4" s="7">
        <f t="shared" ref="E4:E67" si="0">C4*D4</f>
        <v>1540000</v>
      </c>
    </row>
    <row r="5" spans="1:5" ht="15.6" x14ac:dyDescent="0.3">
      <c r="A5" s="8" t="s">
        <v>5</v>
      </c>
      <c r="B5" s="8" t="s">
        <v>3</v>
      </c>
      <c r="C5" s="2">
        <v>386</v>
      </c>
      <c r="D5" s="2">
        <v>3500</v>
      </c>
      <c r="E5" s="7">
        <f t="shared" si="0"/>
        <v>1351000</v>
      </c>
    </row>
    <row r="6" spans="1:5" ht="15.6" hidden="1" x14ac:dyDescent="0.3">
      <c r="A6" s="8" t="s">
        <v>103</v>
      </c>
      <c r="B6" s="8" t="s">
        <v>3</v>
      </c>
      <c r="C6" s="2">
        <v>0</v>
      </c>
      <c r="D6" s="2"/>
      <c r="E6" s="7">
        <f t="shared" si="0"/>
        <v>0</v>
      </c>
    </row>
    <row r="7" spans="1:5" ht="15.6" x14ac:dyDescent="0.3">
      <c r="A7" s="8" t="s">
        <v>6</v>
      </c>
      <c r="B7" s="8" t="s">
        <v>3</v>
      </c>
      <c r="C7" s="2">
        <v>3</v>
      </c>
      <c r="D7" s="2">
        <v>7000</v>
      </c>
      <c r="E7" s="7">
        <f t="shared" si="0"/>
        <v>21000</v>
      </c>
    </row>
    <row r="8" spans="1:5" ht="15.6" x14ac:dyDescent="0.3">
      <c r="A8" s="8" t="s">
        <v>7</v>
      </c>
      <c r="B8" s="8" t="s">
        <v>3</v>
      </c>
      <c r="C8" s="2">
        <v>1617</v>
      </c>
      <c r="D8" s="2">
        <v>6500</v>
      </c>
      <c r="E8" s="7">
        <f t="shared" si="0"/>
        <v>10510500</v>
      </c>
    </row>
    <row r="9" spans="1:5" ht="15.6" hidden="1" x14ac:dyDescent="0.3">
      <c r="A9" s="8" t="s">
        <v>10</v>
      </c>
      <c r="B9" s="8" t="s">
        <v>3</v>
      </c>
      <c r="C9" s="2">
        <v>0</v>
      </c>
      <c r="D9" s="2"/>
      <c r="E9" s="7">
        <f t="shared" si="0"/>
        <v>0</v>
      </c>
    </row>
    <row r="10" spans="1:5" ht="15.6" x14ac:dyDescent="0.3">
      <c r="A10" s="8" t="s">
        <v>11</v>
      </c>
      <c r="B10" s="8" t="s">
        <v>3</v>
      </c>
      <c r="C10" s="2">
        <v>100</v>
      </c>
      <c r="D10" s="2">
        <v>7500</v>
      </c>
      <c r="E10" s="7">
        <f t="shared" si="0"/>
        <v>750000</v>
      </c>
    </row>
    <row r="11" spans="1:5" ht="15.6" hidden="1" x14ac:dyDescent="0.3">
      <c r="A11" s="8" t="s">
        <v>11</v>
      </c>
      <c r="B11" s="8" t="s">
        <v>9</v>
      </c>
      <c r="C11" s="2">
        <v>0</v>
      </c>
      <c r="D11" s="2"/>
      <c r="E11" s="7">
        <f t="shared" si="0"/>
        <v>0</v>
      </c>
    </row>
    <row r="12" spans="1:5" ht="15.6" x14ac:dyDescent="0.3">
      <c r="A12" s="8" t="s">
        <v>8</v>
      </c>
      <c r="B12" s="8" t="s">
        <v>3</v>
      </c>
      <c r="C12" s="2">
        <v>86</v>
      </c>
      <c r="D12" s="2">
        <v>10000</v>
      </c>
      <c r="E12" s="7">
        <f t="shared" si="0"/>
        <v>860000</v>
      </c>
    </row>
    <row r="13" spans="1:5" ht="15.6" hidden="1" x14ac:dyDescent="0.3">
      <c r="A13" s="8" t="s">
        <v>8</v>
      </c>
      <c r="B13" s="8" t="s">
        <v>9</v>
      </c>
      <c r="C13" s="2">
        <v>0</v>
      </c>
      <c r="D13" s="2"/>
      <c r="E13" s="7">
        <f t="shared" si="0"/>
        <v>0</v>
      </c>
    </row>
    <row r="14" spans="1:5" ht="15.6" x14ac:dyDescent="0.3">
      <c r="A14" s="8" t="s">
        <v>140</v>
      </c>
      <c r="B14" s="8" t="s">
        <v>3</v>
      </c>
      <c r="C14" s="2">
        <v>4</v>
      </c>
      <c r="D14" s="2">
        <v>35000</v>
      </c>
      <c r="E14" s="7">
        <f t="shared" si="0"/>
        <v>140000</v>
      </c>
    </row>
    <row r="15" spans="1:5" ht="15.6" hidden="1" x14ac:dyDescent="0.3">
      <c r="A15" s="8" t="s">
        <v>12</v>
      </c>
      <c r="B15" s="8" t="s">
        <v>3</v>
      </c>
      <c r="C15" s="2">
        <v>0</v>
      </c>
      <c r="D15" s="2"/>
      <c r="E15" s="7">
        <f t="shared" si="0"/>
        <v>0</v>
      </c>
    </row>
    <row r="16" spans="1:5" ht="15.6" hidden="1" x14ac:dyDescent="0.3">
      <c r="A16" s="8" t="s">
        <v>14</v>
      </c>
      <c r="B16" s="8" t="s">
        <v>3</v>
      </c>
      <c r="C16" s="2">
        <v>0</v>
      </c>
      <c r="D16" s="2"/>
      <c r="E16" s="7">
        <f t="shared" si="0"/>
        <v>0</v>
      </c>
    </row>
    <row r="17" spans="1:5" ht="15.6" x14ac:dyDescent="0.3">
      <c r="A17" s="8" t="s">
        <v>15</v>
      </c>
      <c r="B17" s="8" t="s">
        <v>3</v>
      </c>
      <c r="C17" s="2">
        <v>33</v>
      </c>
      <c r="D17" s="2">
        <v>22000</v>
      </c>
      <c r="E17" s="7">
        <f t="shared" si="0"/>
        <v>726000</v>
      </c>
    </row>
    <row r="18" spans="1:5" ht="15.6" hidden="1" x14ac:dyDescent="0.3">
      <c r="A18" s="8" t="s">
        <v>16</v>
      </c>
      <c r="B18" s="8" t="s">
        <v>17</v>
      </c>
      <c r="C18" s="2">
        <v>0</v>
      </c>
      <c r="D18" s="2"/>
      <c r="E18" s="7">
        <f t="shared" si="0"/>
        <v>0</v>
      </c>
    </row>
    <row r="19" spans="1:5" ht="15.6" x14ac:dyDescent="0.3">
      <c r="A19" s="8" t="s">
        <v>20</v>
      </c>
      <c r="B19" s="8" t="s">
        <v>3</v>
      </c>
      <c r="C19" s="2">
        <v>31</v>
      </c>
      <c r="D19" s="2">
        <v>20000</v>
      </c>
      <c r="E19" s="7">
        <f t="shared" si="0"/>
        <v>620000</v>
      </c>
    </row>
    <row r="20" spans="1:5" ht="15.6" x14ac:dyDescent="0.3">
      <c r="A20" s="8" t="s">
        <v>22</v>
      </c>
      <c r="B20" s="8" t="s">
        <v>3</v>
      </c>
      <c r="C20" s="2">
        <v>160</v>
      </c>
      <c r="D20" s="2">
        <v>13000</v>
      </c>
      <c r="E20" s="7">
        <f t="shared" si="0"/>
        <v>2080000</v>
      </c>
    </row>
    <row r="21" spans="1:5" ht="15.6" hidden="1" x14ac:dyDescent="0.3">
      <c r="A21" s="8" t="s">
        <v>22</v>
      </c>
      <c r="B21" s="8" t="s">
        <v>23</v>
      </c>
      <c r="C21" s="2">
        <v>0</v>
      </c>
      <c r="D21" s="2"/>
      <c r="E21" s="7">
        <f t="shared" si="0"/>
        <v>0</v>
      </c>
    </row>
    <row r="22" spans="1:5" ht="15.6" x14ac:dyDescent="0.3">
      <c r="A22" s="8" t="s">
        <v>24</v>
      </c>
      <c r="B22" s="8" t="s">
        <v>3</v>
      </c>
      <c r="C22" s="2">
        <v>10</v>
      </c>
      <c r="D22" s="2">
        <v>12000</v>
      </c>
      <c r="E22" s="7">
        <f t="shared" si="0"/>
        <v>120000</v>
      </c>
    </row>
    <row r="23" spans="1:5" ht="15.6" hidden="1" x14ac:dyDescent="0.3">
      <c r="A23" s="8" t="s">
        <v>24</v>
      </c>
      <c r="B23" s="8" t="s">
        <v>25</v>
      </c>
      <c r="C23" s="2">
        <v>0</v>
      </c>
      <c r="D23" s="2"/>
      <c r="E23" s="7">
        <f t="shared" si="0"/>
        <v>0</v>
      </c>
    </row>
    <row r="24" spans="1:5" ht="15.6" x14ac:dyDescent="0.3">
      <c r="A24" s="8" t="s">
        <v>26</v>
      </c>
      <c r="B24" s="8" t="s">
        <v>3</v>
      </c>
      <c r="C24" s="2">
        <v>4</v>
      </c>
      <c r="D24" s="2">
        <v>15000</v>
      </c>
      <c r="E24" s="7">
        <f t="shared" si="0"/>
        <v>60000</v>
      </c>
    </row>
    <row r="25" spans="1:5" ht="15.6" x14ac:dyDescent="0.3">
      <c r="A25" s="8" t="s">
        <v>26</v>
      </c>
      <c r="B25" s="8" t="s">
        <v>27</v>
      </c>
      <c r="C25" s="2">
        <v>18</v>
      </c>
      <c r="D25" s="2">
        <v>4500</v>
      </c>
      <c r="E25" s="7">
        <f t="shared" si="0"/>
        <v>81000</v>
      </c>
    </row>
    <row r="26" spans="1:5" ht="15.6" x14ac:dyDescent="0.3">
      <c r="A26" s="8" t="s">
        <v>28</v>
      </c>
      <c r="B26" s="8" t="s">
        <v>29</v>
      </c>
      <c r="C26" s="2">
        <v>39</v>
      </c>
      <c r="D26" s="2">
        <v>10500</v>
      </c>
      <c r="E26" s="7">
        <f t="shared" si="0"/>
        <v>409500</v>
      </c>
    </row>
    <row r="27" spans="1:5" ht="15.6" hidden="1" x14ac:dyDescent="0.3">
      <c r="A27" s="8" t="s">
        <v>30</v>
      </c>
      <c r="B27" s="8" t="s">
        <v>3</v>
      </c>
      <c r="C27" s="2">
        <v>0</v>
      </c>
      <c r="D27" s="2"/>
      <c r="E27" s="7">
        <f t="shared" si="0"/>
        <v>0</v>
      </c>
    </row>
    <row r="28" spans="1:5" ht="15.6" x14ac:dyDescent="0.3">
      <c r="A28" s="8" t="s">
        <v>30</v>
      </c>
      <c r="B28" s="8" t="s">
        <v>31</v>
      </c>
      <c r="C28" s="2">
        <v>58</v>
      </c>
      <c r="D28" s="2">
        <v>7500</v>
      </c>
      <c r="E28" s="7">
        <f t="shared" si="0"/>
        <v>435000</v>
      </c>
    </row>
    <row r="29" spans="1:5" ht="15.6" x14ac:dyDescent="0.3">
      <c r="A29" s="8" t="s">
        <v>32</v>
      </c>
      <c r="B29" s="8" t="s">
        <v>3</v>
      </c>
      <c r="C29" s="2">
        <v>250</v>
      </c>
      <c r="D29" s="2">
        <v>11000</v>
      </c>
      <c r="E29" s="7">
        <f t="shared" si="0"/>
        <v>2750000</v>
      </c>
    </row>
    <row r="30" spans="1:5" ht="15.6" hidden="1" x14ac:dyDescent="0.3">
      <c r="A30" s="8" t="s">
        <v>32</v>
      </c>
      <c r="B30" s="8" t="s">
        <v>17</v>
      </c>
      <c r="C30" s="2">
        <v>0</v>
      </c>
      <c r="D30" s="2"/>
      <c r="E30" s="7">
        <f t="shared" si="0"/>
        <v>0</v>
      </c>
    </row>
    <row r="31" spans="1:5" ht="15.6" x14ac:dyDescent="0.3">
      <c r="A31" s="8" t="s">
        <v>33</v>
      </c>
      <c r="B31" s="8" t="s">
        <v>34</v>
      </c>
      <c r="C31" s="2">
        <v>80</v>
      </c>
      <c r="D31" s="2">
        <v>8000</v>
      </c>
      <c r="E31" s="7">
        <f t="shared" si="0"/>
        <v>640000</v>
      </c>
    </row>
    <row r="32" spans="1:5" ht="15.6" x14ac:dyDescent="0.3">
      <c r="A32" s="8" t="s">
        <v>35</v>
      </c>
      <c r="B32" s="8" t="s">
        <v>3</v>
      </c>
      <c r="C32" s="2">
        <v>45</v>
      </c>
      <c r="D32" s="2">
        <v>9000</v>
      </c>
      <c r="E32" s="7">
        <f t="shared" si="0"/>
        <v>405000</v>
      </c>
    </row>
    <row r="33" spans="1:5" ht="15.6" hidden="1" x14ac:dyDescent="0.3">
      <c r="A33" s="8" t="s">
        <v>35</v>
      </c>
      <c r="B33" s="8" t="s">
        <v>34</v>
      </c>
      <c r="C33" s="2">
        <v>0</v>
      </c>
      <c r="D33" s="2"/>
      <c r="E33" s="7">
        <f t="shared" si="0"/>
        <v>0</v>
      </c>
    </row>
    <row r="34" spans="1:5" ht="15.6" hidden="1" x14ac:dyDescent="0.3">
      <c r="A34" s="8" t="s">
        <v>36</v>
      </c>
      <c r="B34" s="8" t="s">
        <v>3</v>
      </c>
      <c r="C34" s="2">
        <v>0</v>
      </c>
      <c r="D34" s="2"/>
      <c r="E34" s="7">
        <f t="shared" si="0"/>
        <v>0</v>
      </c>
    </row>
    <row r="35" spans="1:5" ht="15.6" hidden="1" x14ac:dyDescent="0.3">
      <c r="A35" s="8" t="s">
        <v>36</v>
      </c>
      <c r="B35" s="8" t="s">
        <v>17</v>
      </c>
      <c r="C35" s="2">
        <v>0</v>
      </c>
      <c r="D35" s="2"/>
      <c r="E35" s="7">
        <f t="shared" si="0"/>
        <v>0</v>
      </c>
    </row>
    <row r="36" spans="1:5" ht="15.6" x14ac:dyDescent="0.3">
      <c r="A36" s="8" t="s">
        <v>37</v>
      </c>
      <c r="B36" s="8" t="s">
        <v>3</v>
      </c>
      <c r="C36" s="2">
        <v>25</v>
      </c>
      <c r="D36" s="2">
        <v>8000</v>
      </c>
      <c r="E36" s="7">
        <f t="shared" si="0"/>
        <v>200000</v>
      </c>
    </row>
    <row r="37" spans="1:5" ht="15.6" hidden="1" x14ac:dyDescent="0.3">
      <c r="A37" s="8" t="s">
        <v>37</v>
      </c>
      <c r="B37" s="8" t="s">
        <v>38</v>
      </c>
      <c r="C37" s="2">
        <v>0</v>
      </c>
      <c r="D37" s="2"/>
      <c r="E37" s="7">
        <f t="shared" si="0"/>
        <v>0</v>
      </c>
    </row>
    <row r="38" spans="1:5" ht="15.6" x14ac:dyDescent="0.3">
      <c r="A38" s="8" t="s">
        <v>39</v>
      </c>
      <c r="B38" s="8" t="s">
        <v>3</v>
      </c>
      <c r="C38" s="2">
        <v>5</v>
      </c>
      <c r="D38" s="2">
        <v>20000</v>
      </c>
      <c r="E38" s="7">
        <f t="shared" si="0"/>
        <v>100000</v>
      </c>
    </row>
    <row r="39" spans="1:5" ht="15.6" hidden="1" x14ac:dyDescent="0.3">
      <c r="A39" s="8" t="s">
        <v>39</v>
      </c>
      <c r="B39" s="8" t="s">
        <v>34</v>
      </c>
      <c r="C39" s="2">
        <v>0</v>
      </c>
      <c r="D39" s="2"/>
      <c r="E39" s="7">
        <f t="shared" si="0"/>
        <v>0</v>
      </c>
    </row>
    <row r="40" spans="1:5" ht="15.6" hidden="1" x14ac:dyDescent="0.3">
      <c r="A40" s="8" t="s">
        <v>40</v>
      </c>
      <c r="B40" s="8" t="s">
        <v>3</v>
      </c>
      <c r="C40" s="2">
        <v>0</v>
      </c>
      <c r="D40" s="2"/>
      <c r="E40" s="7">
        <f t="shared" si="0"/>
        <v>0</v>
      </c>
    </row>
    <row r="41" spans="1:5" ht="15.6" x14ac:dyDescent="0.3">
      <c r="A41" s="8" t="s">
        <v>40</v>
      </c>
      <c r="B41" s="8" t="s">
        <v>34</v>
      </c>
      <c r="C41" s="2">
        <v>10</v>
      </c>
      <c r="D41" s="2">
        <v>3000</v>
      </c>
      <c r="E41" s="7">
        <f t="shared" si="0"/>
        <v>30000</v>
      </c>
    </row>
    <row r="42" spans="1:5" ht="15.6" hidden="1" x14ac:dyDescent="0.3">
      <c r="A42" s="8" t="s">
        <v>41</v>
      </c>
      <c r="B42" s="8" t="s">
        <v>3</v>
      </c>
      <c r="C42" s="2">
        <v>0</v>
      </c>
      <c r="D42" s="2"/>
      <c r="E42" s="7">
        <f t="shared" si="0"/>
        <v>0</v>
      </c>
    </row>
    <row r="43" spans="1:5" ht="15.6" hidden="1" x14ac:dyDescent="0.3">
      <c r="A43" s="8" t="s">
        <v>41</v>
      </c>
      <c r="B43" s="8" t="s">
        <v>34</v>
      </c>
      <c r="C43" s="2">
        <v>0</v>
      </c>
      <c r="D43" s="2"/>
      <c r="E43" s="7">
        <f t="shared" si="0"/>
        <v>0</v>
      </c>
    </row>
    <row r="44" spans="1:5" ht="15.6" hidden="1" x14ac:dyDescent="0.3">
      <c r="A44" s="8" t="s">
        <v>42</v>
      </c>
      <c r="B44" s="8" t="s">
        <v>3</v>
      </c>
      <c r="C44" s="2">
        <v>0</v>
      </c>
      <c r="D44" s="2"/>
      <c r="E44" s="7">
        <f t="shared" si="0"/>
        <v>0</v>
      </c>
    </row>
    <row r="45" spans="1:5" ht="15.6" x14ac:dyDescent="0.3">
      <c r="A45" s="8" t="s">
        <v>43</v>
      </c>
      <c r="B45" s="8" t="s">
        <v>3</v>
      </c>
      <c r="C45" s="2">
        <v>5</v>
      </c>
      <c r="D45" s="2">
        <v>15000</v>
      </c>
      <c r="E45" s="7">
        <f t="shared" si="0"/>
        <v>75000</v>
      </c>
    </row>
    <row r="46" spans="1:5" ht="15.6" x14ac:dyDescent="0.3">
      <c r="A46" s="8" t="s">
        <v>44</v>
      </c>
      <c r="B46" s="8" t="s">
        <v>3</v>
      </c>
      <c r="C46" s="2">
        <v>690</v>
      </c>
      <c r="D46" s="2">
        <v>3500</v>
      </c>
      <c r="E46" s="7">
        <f t="shared" si="0"/>
        <v>2415000</v>
      </c>
    </row>
    <row r="47" spans="1:5" ht="15.6" hidden="1" x14ac:dyDescent="0.3">
      <c r="A47" s="8" t="s">
        <v>45</v>
      </c>
      <c r="B47" s="8" t="s">
        <v>3</v>
      </c>
      <c r="C47" s="2">
        <v>0</v>
      </c>
      <c r="D47" s="2"/>
      <c r="E47" s="7">
        <f t="shared" si="0"/>
        <v>0</v>
      </c>
    </row>
    <row r="48" spans="1:5" ht="15.6" hidden="1" x14ac:dyDescent="0.3">
      <c r="A48" s="8" t="s">
        <v>45</v>
      </c>
      <c r="B48" s="8" t="s">
        <v>19</v>
      </c>
      <c r="C48" s="2">
        <v>0</v>
      </c>
      <c r="D48" s="2"/>
      <c r="E48" s="7">
        <f t="shared" si="0"/>
        <v>0</v>
      </c>
    </row>
    <row r="49" spans="1:5" ht="15.6" hidden="1" x14ac:dyDescent="0.3">
      <c r="A49" s="8" t="s">
        <v>62</v>
      </c>
      <c r="B49" s="8" t="s">
        <v>3</v>
      </c>
      <c r="C49" s="2">
        <v>0</v>
      </c>
      <c r="D49" s="2"/>
      <c r="E49" s="7">
        <f t="shared" si="0"/>
        <v>0</v>
      </c>
    </row>
    <row r="50" spans="1:5" ht="15.6" hidden="1" x14ac:dyDescent="0.3">
      <c r="A50" s="8" t="s">
        <v>63</v>
      </c>
      <c r="B50" s="8" t="s">
        <v>3</v>
      </c>
      <c r="C50" s="2">
        <v>0</v>
      </c>
      <c r="D50" s="2"/>
      <c r="E50" s="7">
        <f t="shared" si="0"/>
        <v>0</v>
      </c>
    </row>
    <row r="51" spans="1:5" ht="15.6" hidden="1" x14ac:dyDescent="0.3">
      <c r="A51" s="8" t="s">
        <v>46</v>
      </c>
      <c r="B51" s="8" t="s">
        <v>29</v>
      </c>
      <c r="C51" s="2">
        <v>0</v>
      </c>
      <c r="D51" s="2"/>
      <c r="E51" s="7">
        <f t="shared" si="0"/>
        <v>0</v>
      </c>
    </row>
    <row r="52" spans="1:5" ht="15.6" x14ac:dyDescent="0.3">
      <c r="A52" s="8" t="s">
        <v>47</v>
      </c>
      <c r="B52" s="8" t="s">
        <v>3</v>
      </c>
      <c r="C52" s="2">
        <v>5</v>
      </c>
      <c r="D52" s="2">
        <v>8000</v>
      </c>
      <c r="E52" s="7">
        <f t="shared" si="0"/>
        <v>40000</v>
      </c>
    </row>
    <row r="53" spans="1:5" ht="15.6" x14ac:dyDescent="0.3">
      <c r="A53" s="8" t="s">
        <v>48</v>
      </c>
      <c r="B53" s="8" t="s">
        <v>3</v>
      </c>
      <c r="C53" s="2">
        <v>55</v>
      </c>
      <c r="D53" s="2">
        <v>8000</v>
      </c>
      <c r="E53" s="7">
        <f t="shared" si="0"/>
        <v>440000</v>
      </c>
    </row>
    <row r="54" spans="1:5" ht="15.6" hidden="1" x14ac:dyDescent="0.3">
      <c r="A54" s="8" t="s">
        <v>48</v>
      </c>
      <c r="B54" s="8" t="s">
        <v>34</v>
      </c>
      <c r="C54" s="2">
        <v>0</v>
      </c>
      <c r="D54" s="2"/>
      <c r="E54" s="7">
        <f t="shared" si="0"/>
        <v>0</v>
      </c>
    </row>
    <row r="55" spans="1:5" ht="15.6" x14ac:dyDescent="0.3">
      <c r="A55" s="8" t="s">
        <v>49</v>
      </c>
      <c r="B55" s="8" t="s">
        <v>3</v>
      </c>
      <c r="C55" s="2">
        <v>10</v>
      </c>
      <c r="D55" s="2">
        <v>21000</v>
      </c>
      <c r="E55" s="7">
        <f t="shared" si="0"/>
        <v>210000</v>
      </c>
    </row>
    <row r="56" spans="1:5" ht="15.6" x14ac:dyDescent="0.3">
      <c r="A56" s="8" t="s">
        <v>50</v>
      </c>
      <c r="B56" s="8" t="s">
        <v>3</v>
      </c>
      <c r="C56" s="2">
        <v>350</v>
      </c>
      <c r="D56" s="2">
        <v>5500</v>
      </c>
      <c r="E56" s="7">
        <f t="shared" si="0"/>
        <v>1925000</v>
      </c>
    </row>
    <row r="57" spans="1:5" ht="15.6" hidden="1" x14ac:dyDescent="0.3">
      <c r="A57" s="8" t="s">
        <v>50</v>
      </c>
      <c r="B57" s="8" t="s">
        <v>51</v>
      </c>
      <c r="C57" s="2">
        <v>0</v>
      </c>
      <c r="D57" s="2"/>
      <c r="E57" s="7">
        <f t="shared" si="0"/>
        <v>0</v>
      </c>
    </row>
    <row r="58" spans="1:5" ht="15.6" x14ac:dyDescent="0.3">
      <c r="A58" s="8" t="s">
        <v>104</v>
      </c>
      <c r="B58" s="8" t="s">
        <v>3</v>
      </c>
      <c r="C58" s="2">
        <v>80</v>
      </c>
      <c r="D58" s="2">
        <v>20000</v>
      </c>
      <c r="E58" s="7">
        <f t="shared" si="0"/>
        <v>1600000</v>
      </c>
    </row>
    <row r="59" spans="1:5" ht="15.6" x14ac:dyDescent="0.3">
      <c r="A59" s="8" t="s">
        <v>52</v>
      </c>
      <c r="B59" s="8" t="s">
        <v>34</v>
      </c>
      <c r="C59" s="2">
        <v>333</v>
      </c>
      <c r="D59" s="2">
        <v>1350</v>
      </c>
      <c r="E59" s="7">
        <f t="shared" si="0"/>
        <v>449550</v>
      </c>
    </row>
    <row r="60" spans="1:5" ht="15.6" x14ac:dyDescent="0.3">
      <c r="A60" s="8" t="s">
        <v>53</v>
      </c>
      <c r="B60" s="8" t="s">
        <v>3</v>
      </c>
      <c r="C60" s="2">
        <v>1815</v>
      </c>
      <c r="D60" s="2">
        <v>21500</v>
      </c>
      <c r="E60" s="7">
        <f t="shared" si="0"/>
        <v>39022500</v>
      </c>
    </row>
    <row r="61" spans="1:5" ht="15.6" x14ac:dyDescent="0.3">
      <c r="A61" s="8" t="s">
        <v>54</v>
      </c>
      <c r="B61" s="8" t="s">
        <v>3</v>
      </c>
      <c r="C61" s="2">
        <v>638</v>
      </c>
      <c r="D61" s="2">
        <v>26000</v>
      </c>
      <c r="E61" s="7">
        <f t="shared" si="0"/>
        <v>16588000</v>
      </c>
    </row>
    <row r="62" spans="1:5" ht="15.6" hidden="1" x14ac:dyDescent="0.3">
      <c r="A62" s="8" t="s">
        <v>54</v>
      </c>
      <c r="B62" s="8" t="s">
        <v>34</v>
      </c>
      <c r="C62" s="2">
        <v>0</v>
      </c>
      <c r="D62" s="2"/>
      <c r="E62" s="7">
        <f t="shared" si="0"/>
        <v>0</v>
      </c>
    </row>
    <row r="63" spans="1:5" ht="15.6" x14ac:dyDescent="0.3">
      <c r="A63" s="8" t="s">
        <v>55</v>
      </c>
      <c r="B63" s="8" t="s">
        <v>3</v>
      </c>
      <c r="C63" s="2">
        <v>100</v>
      </c>
      <c r="D63" s="2">
        <v>17000</v>
      </c>
      <c r="E63" s="7">
        <f t="shared" si="0"/>
        <v>1700000</v>
      </c>
    </row>
    <row r="64" spans="1:5" ht="15.6" x14ac:dyDescent="0.3">
      <c r="A64" s="8" t="s">
        <v>56</v>
      </c>
      <c r="B64" s="8" t="s">
        <v>3</v>
      </c>
      <c r="C64" s="2">
        <v>36</v>
      </c>
      <c r="D64" s="2">
        <v>21000</v>
      </c>
      <c r="E64" s="7">
        <f t="shared" si="0"/>
        <v>756000</v>
      </c>
    </row>
    <row r="65" spans="1:5" ht="15.6" hidden="1" x14ac:dyDescent="0.3">
      <c r="A65" s="8" t="s">
        <v>58</v>
      </c>
      <c r="B65" s="8" t="s">
        <v>3</v>
      </c>
      <c r="C65" s="2">
        <v>0</v>
      </c>
      <c r="D65" s="2"/>
      <c r="E65" s="7">
        <f t="shared" si="0"/>
        <v>0</v>
      </c>
    </row>
    <row r="66" spans="1:5" ht="15.6" hidden="1" x14ac:dyDescent="0.3">
      <c r="A66" s="8" t="s">
        <v>105</v>
      </c>
      <c r="B66" s="8" t="s">
        <v>3</v>
      </c>
      <c r="C66" s="2">
        <v>0</v>
      </c>
      <c r="D66" s="2"/>
      <c r="E66" s="7">
        <f t="shared" si="0"/>
        <v>0</v>
      </c>
    </row>
    <row r="67" spans="1:5" ht="15.6" x14ac:dyDescent="0.3">
      <c r="A67" s="8" t="s">
        <v>59</v>
      </c>
      <c r="B67" s="8" t="s">
        <v>3</v>
      </c>
      <c r="C67" s="2">
        <v>380</v>
      </c>
      <c r="D67" s="2">
        <v>14000</v>
      </c>
      <c r="E67" s="7">
        <f t="shared" si="0"/>
        <v>5320000</v>
      </c>
    </row>
    <row r="68" spans="1:5" ht="15.6" hidden="1" x14ac:dyDescent="0.3">
      <c r="A68" s="8" t="s">
        <v>59</v>
      </c>
      <c r="B68" s="8" t="s">
        <v>34</v>
      </c>
      <c r="C68" s="2">
        <v>0</v>
      </c>
      <c r="D68" s="2"/>
      <c r="E68" s="7">
        <f t="shared" ref="E68:E119" si="1">C68*D68</f>
        <v>0</v>
      </c>
    </row>
    <row r="69" spans="1:5" ht="15.6" x14ac:dyDescent="0.3">
      <c r="A69" s="8" t="s">
        <v>60</v>
      </c>
      <c r="B69" s="8" t="s">
        <v>34</v>
      </c>
      <c r="C69" s="2">
        <v>170</v>
      </c>
      <c r="D69" s="2">
        <v>5000</v>
      </c>
      <c r="E69" s="7">
        <f t="shared" si="1"/>
        <v>850000</v>
      </c>
    </row>
    <row r="70" spans="1:5" ht="15.6" hidden="1" x14ac:dyDescent="0.3">
      <c r="A70" s="8" t="s">
        <v>61</v>
      </c>
      <c r="B70" s="8" t="s">
        <v>3</v>
      </c>
      <c r="C70" s="2">
        <v>0</v>
      </c>
      <c r="D70" s="2"/>
      <c r="E70" s="7">
        <f t="shared" si="1"/>
        <v>0</v>
      </c>
    </row>
    <row r="71" spans="1:5" ht="15.6" x14ac:dyDescent="0.3">
      <c r="A71" s="8" t="s">
        <v>67</v>
      </c>
      <c r="B71" s="8" t="s">
        <v>34</v>
      </c>
      <c r="C71" s="2">
        <v>27</v>
      </c>
      <c r="D71" s="2">
        <v>6000</v>
      </c>
      <c r="E71" s="7">
        <f t="shared" si="1"/>
        <v>162000</v>
      </c>
    </row>
    <row r="72" spans="1:5" ht="15.6" hidden="1" x14ac:dyDescent="0.3">
      <c r="A72" s="8" t="s">
        <v>68</v>
      </c>
      <c r="B72" s="8" t="s">
        <v>3</v>
      </c>
      <c r="C72" s="2">
        <v>0</v>
      </c>
      <c r="D72" s="2"/>
      <c r="E72" s="7">
        <f t="shared" si="1"/>
        <v>0</v>
      </c>
    </row>
    <row r="73" spans="1:5" ht="15.6" x14ac:dyDescent="0.3">
      <c r="A73" s="8" t="s">
        <v>68</v>
      </c>
      <c r="B73" s="8" t="s">
        <v>34</v>
      </c>
      <c r="C73" s="2">
        <v>33</v>
      </c>
      <c r="D73" s="2">
        <v>8000</v>
      </c>
      <c r="E73" s="7">
        <f t="shared" si="1"/>
        <v>264000</v>
      </c>
    </row>
    <row r="74" spans="1:5" ht="15.6" x14ac:dyDescent="0.3">
      <c r="A74" s="8" t="s">
        <v>69</v>
      </c>
      <c r="B74" s="8" t="s">
        <v>3</v>
      </c>
      <c r="C74" s="2">
        <v>0.5</v>
      </c>
      <c r="D74" s="2">
        <v>80000</v>
      </c>
      <c r="E74" s="7">
        <f t="shared" si="1"/>
        <v>40000</v>
      </c>
    </row>
    <row r="75" spans="1:5" ht="15.6" hidden="1" x14ac:dyDescent="0.3">
      <c r="A75" s="8" t="s">
        <v>106</v>
      </c>
      <c r="B75" s="8" t="s">
        <v>3</v>
      </c>
      <c r="C75" s="2">
        <v>0</v>
      </c>
      <c r="D75" s="2"/>
      <c r="E75" s="7">
        <f t="shared" si="1"/>
        <v>0</v>
      </c>
    </row>
    <row r="76" spans="1:5" ht="15.6" x14ac:dyDescent="0.3">
      <c r="A76" s="8" t="s">
        <v>70</v>
      </c>
      <c r="B76" s="8" t="s">
        <v>3</v>
      </c>
      <c r="C76" s="2">
        <v>0.5</v>
      </c>
      <c r="D76" s="2">
        <v>70000</v>
      </c>
      <c r="E76" s="7">
        <f t="shared" si="1"/>
        <v>35000</v>
      </c>
    </row>
    <row r="77" spans="1:5" ht="15.6" x14ac:dyDescent="0.3">
      <c r="A77" s="8" t="s">
        <v>71</v>
      </c>
      <c r="B77" s="8" t="s">
        <v>3</v>
      </c>
      <c r="C77" s="2">
        <v>0.5</v>
      </c>
      <c r="D77" s="2">
        <v>70000</v>
      </c>
      <c r="E77" s="7">
        <f t="shared" si="1"/>
        <v>35000</v>
      </c>
    </row>
    <row r="78" spans="1:5" ht="15.6" hidden="1" x14ac:dyDescent="0.3">
      <c r="A78" s="8" t="s">
        <v>64</v>
      </c>
      <c r="B78" s="8" t="s">
        <v>3</v>
      </c>
      <c r="C78" s="2">
        <v>0</v>
      </c>
      <c r="D78" s="2"/>
      <c r="E78" s="7">
        <f t="shared" si="1"/>
        <v>0</v>
      </c>
    </row>
    <row r="79" spans="1:5" ht="15.6" x14ac:dyDescent="0.3">
      <c r="A79" s="8" t="s">
        <v>64</v>
      </c>
      <c r="B79" s="8" t="s">
        <v>17</v>
      </c>
      <c r="C79" s="2">
        <v>1602</v>
      </c>
      <c r="D79" s="2">
        <v>6700</v>
      </c>
      <c r="E79" s="7">
        <f t="shared" si="1"/>
        <v>10733400</v>
      </c>
    </row>
    <row r="80" spans="1:5" ht="15.6" hidden="1" x14ac:dyDescent="0.3">
      <c r="A80" s="8" t="s">
        <v>65</v>
      </c>
      <c r="B80" s="8" t="s">
        <v>3</v>
      </c>
      <c r="C80" s="2">
        <v>0</v>
      </c>
      <c r="D80" s="2"/>
      <c r="E80" s="7">
        <f t="shared" si="1"/>
        <v>0</v>
      </c>
    </row>
    <row r="81" spans="1:5" ht="15.6" x14ac:dyDescent="0.3">
      <c r="A81" s="8" t="s">
        <v>66</v>
      </c>
      <c r="B81" s="8" t="s">
        <v>3</v>
      </c>
      <c r="C81" s="2">
        <v>28</v>
      </c>
      <c r="D81" s="2">
        <v>14000</v>
      </c>
      <c r="E81" s="7">
        <f t="shared" si="1"/>
        <v>392000</v>
      </c>
    </row>
    <row r="82" spans="1:5" ht="15.6" x14ac:dyDescent="0.3">
      <c r="A82" s="8" t="s">
        <v>72</v>
      </c>
      <c r="B82" s="8" t="s">
        <v>3</v>
      </c>
      <c r="C82" s="2">
        <v>48</v>
      </c>
      <c r="D82" s="2">
        <v>10500</v>
      </c>
      <c r="E82" s="7">
        <f t="shared" si="1"/>
        <v>504000</v>
      </c>
    </row>
    <row r="83" spans="1:5" ht="15.6" hidden="1" x14ac:dyDescent="0.3">
      <c r="A83" s="8" t="s">
        <v>72</v>
      </c>
      <c r="B83" s="8" t="s">
        <v>19</v>
      </c>
      <c r="C83" s="2">
        <v>0</v>
      </c>
      <c r="D83" s="2"/>
      <c r="E83" s="7">
        <f t="shared" si="1"/>
        <v>0</v>
      </c>
    </row>
    <row r="84" spans="1:5" ht="15.6" hidden="1" x14ac:dyDescent="0.3">
      <c r="A84" s="8" t="s">
        <v>252</v>
      </c>
      <c r="B84" s="8" t="s">
        <v>3</v>
      </c>
      <c r="C84" s="2">
        <v>0</v>
      </c>
      <c r="D84" s="2"/>
      <c r="E84" s="7">
        <f t="shared" si="1"/>
        <v>0</v>
      </c>
    </row>
    <row r="85" spans="1:5" ht="15.6" hidden="1" x14ac:dyDescent="0.3">
      <c r="A85" s="8" t="s">
        <v>74</v>
      </c>
      <c r="B85" s="8" t="s">
        <v>34</v>
      </c>
      <c r="C85" s="2">
        <v>0</v>
      </c>
      <c r="D85" s="2"/>
      <c r="E85" s="7">
        <f t="shared" si="1"/>
        <v>0</v>
      </c>
    </row>
    <row r="86" spans="1:5" ht="15.6" hidden="1" x14ac:dyDescent="0.3">
      <c r="A86" s="8" t="s">
        <v>75</v>
      </c>
      <c r="B86" s="8" t="s">
        <v>3</v>
      </c>
      <c r="C86" s="2">
        <v>0</v>
      </c>
      <c r="D86" s="2"/>
      <c r="E86" s="7">
        <f t="shared" si="1"/>
        <v>0</v>
      </c>
    </row>
    <row r="87" spans="1:5" ht="15.6" hidden="1" x14ac:dyDescent="0.3">
      <c r="A87" s="8" t="s">
        <v>76</v>
      </c>
      <c r="B87" s="8" t="s">
        <v>29</v>
      </c>
      <c r="C87" s="2">
        <v>0</v>
      </c>
      <c r="D87" s="2"/>
      <c r="E87" s="7">
        <f t="shared" si="1"/>
        <v>0</v>
      </c>
    </row>
    <row r="88" spans="1:5" ht="15.6" hidden="1" x14ac:dyDescent="0.3">
      <c r="A88" s="8" t="s">
        <v>76</v>
      </c>
      <c r="B88" s="8" t="s">
        <v>3</v>
      </c>
      <c r="C88" s="2">
        <v>0</v>
      </c>
      <c r="D88" s="2"/>
      <c r="E88" s="7">
        <f t="shared" si="1"/>
        <v>0</v>
      </c>
    </row>
    <row r="89" spans="1:5" ht="15.6" hidden="1" x14ac:dyDescent="0.3">
      <c r="A89" s="8" t="s">
        <v>76</v>
      </c>
      <c r="B89" s="8" t="s">
        <v>250</v>
      </c>
      <c r="C89" s="2">
        <v>0</v>
      </c>
      <c r="D89" s="2"/>
      <c r="E89" s="7">
        <f t="shared" si="1"/>
        <v>0</v>
      </c>
    </row>
    <row r="90" spans="1:5" ht="15.6" hidden="1" x14ac:dyDescent="0.3">
      <c r="A90" s="8" t="s">
        <v>76</v>
      </c>
      <c r="B90" s="8" t="s">
        <v>78</v>
      </c>
      <c r="C90" s="2">
        <v>0</v>
      </c>
      <c r="D90" s="2"/>
      <c r="E90" s="7">
        <f t="shared" si="1"/>
        <v>0</v>
      </c>
    </row>
    <row r="91" spans="1:5" ht="15.6" hidden="1" x14ac:dyDescent="0.3">
      <c r="A91" s="8" t="s">
        <v>137</v>
      </c>
      <c r="B91" s="8" t="s">
        <v>3</v>
      </c>
      <c r="C91" s="2">
        <v>0</v>
      </c>
      <c r="D91" s="2"/>
      <c r="E91" s="7">
        <f t="shared" si="1"/>
        <v>0</v>
      </c>
    </row>
    <row r="92" spans="1:5" ht="15.6" hidden="1" x14ac:dyDescent="0.3">
      <c r="A92" s="8" t="s">
        <v>79</v>
      </c>
      <c r="B92" s="8" t="s">
        <v>17</v>
      </c>
      <c r="C92" s="2">
        <v>0</v>
      </c>
      <c r="D92" s="2"/>
      <c r="E92" s="7">
        <f t="shared" si="1"/>
        <v>0</v>
      </c>
    </row>
    <row r="93" spans="1:5" ht="15.6" hidden="1" x14ac:dyDescent="0.3">
      <c r="A93" s="8" t="s">
        <v>80</v>
      </c>
      <c r="B93" s="8" t="s">
        <v>29</v>
      </c>
      <c r="C93" s="2">
        <v>0</v>
      </c>
      <c r="D93" s="2"/>
      <c r="E93" s="7">
        <f t="shared" si="1"/>
        <v>0</v>
      </c>
    </row>
    <row r="94" spans="1:5" ht="15.6" hidden="1" x14ac:dyDescent="0.3">
      <c r="A94" s="8" t="s">
        <v>80</v>
      </c>
      <c r="B94" s="8" t="s">
        <v>3</v>
      </c>
      <c r="C94" s="2">
        <v>0</v>
      </c>
      <c r="D94" s="2"/>
      <c r="E94" s="7">
        <f t="shared" si="1"/>
        <v>0</v>
      </c>
    </row>
    <row r="95" spans="1:5" ht="15.6" x14ac:dyDescent="0.3">
      <c r="A95" s="8" t="s">
        <v>81</v>
      </c>
      <c r="B95" s="8" t="s">
        <v>3</v>
      </c>
      <c r="C95" s="2">
        <v>65</v>
      </c>
      <c r="D95" s="2">
        <v>24000</v>
      </c>
      <c r="E95" s="7">
        <f t="shared" si="1"/>
        <v>1560000</v>
      </c>
    </row>
    <row r="96" spans="1:5" ht="15.6" hidden="1" x14ac:dyDescent="0.3">
      <c r="A96" s="8" t="s">
        <v>81</v>
      </c>
      <c r="B96" s="8" t="s">
        <v>9</v>
      </c>
      <c r="C96" s="2">
        <v>0</v>
      </c>
      <c r="D96" s="2"/>
      <c r="E96" s="7">
        <f t="shared" si="1"/>
        <v>0</v>
      </c>
    </row>
    <row r="97" spans="1:5" ht="15.6" x14ac:dyDescent="0.3">
      <c r="A97" s="8" t="s">
        <v>108</v>
      </c>
      <c r="B97" s="8" t="s">
        <v>3</v>
      </c>
      <c r="C97" s="2">
        <v>13</v>
      </c>
      <c r="D97" s="2">
        <v>18000</v>
      </c>
      <c r="E97" s="7">
        <f t="shared" si="1"/>
        <v>234000</v>
      </c>
    </row>
    <row r="98" spans="1:5" ht="15.6" x14ac:dyDescent="0.3">
      <c r="A98" s="8" t="s">
        <v>82</v>
      </c>
      <c r="B98" s="8" t="s">
        <v>3</v>
      </c>
      <c r="C98" s="2">
        <v>110</v>
      </c>
      <c r="D98" s="2">
        <v>22000</v>
      </c>
      <c r="E98" s="7">
        <f t="shared" si="1"/>
        <v>2420000</v>
      </c>
    </row>
    <row r="99" spans="1:5" ht="15.6" hidden="1" x14ac:dyDescent="0.3">
      <c r="A99" s="8" t="s">
        <v>82</v>
      </c>
      <c r="B99" s="8" t="s">
        <v>9</v>
      </c>
      <c r="C99" s="2">
        <v>0</v>
      </c>
      <c r="D99" s="2"/>
      <c r="E99" s="7">
        <f t="shared" si="1"/>
        <v>0</v>
      </c>
    </row>
    <row r="100" spans="1:5" ht="15.6" x14ac:dyDescent="0.3">
      <c r="A100" s="8" t="s">
        <v>109</v>
      </c>
      <c r="B100" s="8" t="s">
        <v>3</v>
      </c>
      <c r="C100" s="2">
        <v>10</v>
      </c>
      <c r="D100" s="2">
        <v>16000</v>
      </c>
      <c r="E100" s="7">
        <f t="shared" si="1"/>
        <v>160000</v>
      </c>
    </row>
    <row r="101" spans="1:5" ht="15.6" x14ac:dyDescent="0.3">
      <c r="A101" s="8" t="s">
        <v>83</v>
      </c>
      <c r="B101" s="8" t="s">
        <v>3</v>
      </c>
      <c r="C101" s="2">
        <v>30</v>
      </c>
      <c r="D101" s="2">
        <v>28000</v>
      </c>
      <c r="E101" s="7">
        <f t="shared" si="1"/>
        <v>840000</v>
      </c>
    </row>
    <row r="102" spans="1:5" ht="15.6" hidden="1" x14ac:dyDescent="0.3">
      <c r="A102" s="8" t="s">
        <v>83</v>
      </c>
      <c r="B102" s="8" t="s">
        <v>9</v>
      </c>
      <c r="C102" s="2">
        <v>0</v>
      </c>
      <c r="D102" s="2"/>
      <c r="E102" s="7">
        <f t="shared" si="1"/>
        <v>0</v>
      </c>
    </row>
    <row r="103" spans="1:5" ht="15.6" x14ac:dyDescent="0.3">
      <c r="A103" s="8" t="s">
        <v>84</v>
      </c>
      <c r="B103" s="8" t="s">
        <v>34</v>
      </c>
      <c r="C103" s="2">
        <v>100</v>
      </c>
      <c r="D103" s="2">
        <v>15500</v>
      </c>
      <c r="E103" s="7">
        <f t="shared" si="1"/>
        <v>1550000</v>
      </c>
    </row>
    <row r="104" spans="1:5" ht="15.6" x14ac:dyDescent="0.3">
      <c r="A104" s="8" t="s">
        <v>142</v>
      </c>
      <c r="B104" s="8" t="s">
        <v>3</v>
      </c>
      <c r="C104" s="2">
        <v>47</v>
      </c>
      <c r="D104" s="2">
        <v>21000</v>
      </c>
      <c r="E104" s="7">
        <f t="shared" si="1"/>
        <v>987000</v>
      </c>
    </row>
    <row r="105" spans="1:5" ht="15.6" hidden="1" x14ac:dyDescent="0.3">
      <c r="A105" s="8" t="s">
        <v>85</v>
      </c>
      <c r="B105" s="8" t="s">
        <v>34</v>
      </c>
      <c r="C105" s="2">
        <v>0</v>
      </c>
      <c r="D105" s="2"/>
      <c r="E105" s="7">
        <f t="shared" si="1"/>
        <v>0</v>
      </c>
    </row>
    <row r="106" spans="1:5" ht="15.6" hidden="1" x14ac:dyDescent="0.3">
      <c r="A106" s="8" t="s">
        <v>111</v>
      </c>
      <c r="B106" s="8" t="s">
        <v>3</v>
      </c>
      <c r="C106" s="2">
        <v>0</v>
      </c>
      <c r="D106" s="2"/>
      <c r="E106" s="7">
        <f t="shared" si="1"/>
        <v>0</v>
      </c>
    </row>
    <row r="107" spans="1:5" ht="15.6" hidden="1" x14ac:dyDescent="0.3">
      <c r="A107" s="8" t="s">
        <v>86</v>
      </c>
      <c r="B107" s="8" t="s">
        <v>9</v>
      </c>
      <c r="C107" s="2">
        <v>0</v>
      </c>
      <c r="D107" s="2"/>
      <c r="E107" s="7">
        <f t="shared" si="1"/>
        <v>0</v>
      </c>
    </row>
    <row r="108" spans="1:5" ht="15.6" x14ac:dyDescent="0.3">
      <c r="A108" s="8" t="s">
        <v>87</v>
      </c>
      <c r="B108" s="8" t="s">
        <v>9</v>
      </c>
      <c r="C108" s="2">
        <v>353</v>
      </c>
      <c r="D108" s="2">
        <v>11361</v>
      </c>
      <c r="E108" s="7">
        <f t="shared" si="1"/>
        <v>4010433</v>
      </c>
    </row>
    <row r="109" spans="1:5" ht="15.6" x14ac:dyDescent="0.3">
      <c r="A109" s="8" t="s">
        <v>89</v>
      </c>
      <c r="B109" s="8" t="s">
        <v>3</v>
      </c>
      <c r="C109" s="2">
        <v>14</v>
      </c>
      <c r="D109" s="2">
        <v>18000</v>
      </c>
      <c r="E109" s="7">
        <f t="shared" si="1"/>
        <v>252000</v>
      </c>
    </row>
    <row r="110" spans="1:5" ht="15.6" x14ac:dyDescent="0.3">
      <c r="A110" s="8" t="s">
        <v>90</v>
      </c>
      <c r="B110" s="8" t="s">
        <v>3</v>
      </c>
      <c r="C110" s="2">
        <v>25</v>
      </c>
      <c r="D110" s="2">
        <v>8000</v>
      </c>
      <c r="E110" s="7">
        <f t="shared" si="1"/>
        <v>200000</v>
      </c>
    </row>
    <row r="111" spans="1:5" ht="15.6" hidden="1" x14ac:dyDescent="0.3">
      <c r="A111" s="8" t="s">
        <v>113</v>
      </c>
      <c r="B111" s="8" t="s">
        <v>3</v>
      </c>
      <c r="C111" s="2">
        <v>0</v>
      </c>
      <c r="D111" s="2"/>
      <c r="E111" s="7">
        <f t="shared" si="1"/>
        <v>0</v>
      </c>
    </row>
    <row r="112" spans="1:5" ht="15.6" x14ac:dyDescent="0.3">
      <c r="A112" s="8" t="s">
        <v>91</v>
      </c>
      <c r="B112" s="8" t="s">
        <v>3</v>
      </c>
      <c r="C112" s="2">
        <v>23</v>
      </c>
      <c r="D112" s="2">
        <v>15000</v>
      </c>
      <c r="E112" s="7">
        <f t="shared" si="1"/>
        <v>345000</v>
      </c>
    </row>
    <row r="113" spans="1:5" ht="15.6" hidden="1" x14ac:dyDescent="0.3">
      <c r="A113" s="8" t="s">
        <v>92</v>
      </c>
      <c r="B113" s="8" t="s">
        <v>3</v>
      </c>
      <c r="C113" s="2">
        <v>0</v>
      </c>
      <c r="D113" s="2"/>
      <c r="E113" s="7">
        <f t="shared" si="1"/>
        <v>0</v>
      </c>
    </row>
    <row r="114" spans="1:5" ht="15.6" hidden="1" x14ac:dyDescent="0.3">
      <c r="A114" s="8" t="s">
        <v>93</v>
      </c>
      <c r="B114" s="8" t="s">
        <v>19</v>
      </c>
      <c r="C114" s="2">
        <v>0</v>
      </c>
      <c r="D114" s="2"/>
      <c r="E114" s="7">
        <f t="shared" si="1"/>
        <v>0</v>
      </c>
    </row>
    <row r="115" spans="1:5" ht="15.6" x14ac:dyDescent="0.3">
      <c r="A115" s="8" t="s">
        <v>94</v>
      </c>
      <c r="B115" s="8" t="s">
        <v>3</v>
      </c>
      <c r="C115" s="2">
        <v>33</v>
      </c>
      <c r="D115" s="2">
        <v>24000</v>
      </c>
      <c r="E115" s="7">
        <f t="shared" si="1"/>
        <v>792000</v>
      </c>
    </row>
    <row r="116" spans="1:5" ht="15.6" x14ac:dyDescent="0.3">
      <c r="A116" s="8" t="s">
        <v>95</v>
      </c>
      <c r="B116" s="8" t="s">
        <v>19</v>
      </c>
      <c r="C116" s="2">
        <v>45</v>
      </c>
      <c r="D116" s="2">
        <v>6800</v>
      </c>
      <c r="E116" s="7">
        <f t="shared" si="1"/>
        <v>306000</v>
      </c>
    </row>
    <row r="117" spans="1:5" ht="15.6" hidden="1" x14ac:dyDescent="0.3">
      <c r="A117" s="8" t="s">
        <v>96</v>
      </c>
      <c r="B117" s="8" t="s">
        <v>3</v>
      </c>
      <c r="C117" s="2">
        <v>0</v>
      </c>
      <c r="D117" s="2"/>
      <c r="E117" s="7">
        <f t="shared" si="1"/>
        <v>0</v>
      </c>
    </row>
    <row r="118" spans="1:5" ht="15.6" hidden="1" x14ac:dyDescent="0.3">
      <c r="A118" s="8" t="s">
        <v>97</v>
      </c>
      <c r="B118" s="8" t="s">
        <v>3</v>
      </c>
      <c r="C118" s="2">
        <v>0</v>
      </c>
      <c r="D118" s="2"/>
      <c r="E118" s="7">
        <f t="shared" si="1"/>
        <v>0</v>
      </c>
    </row>
    <row r="119" spans="1:5" ht="15.6" x14ac:dyDescent="0.3">
      <c r="A119" s="8" t="s">
        <v>98</v>
      </c>
      <c r="B119" s="8" t="s">
        <v>19</v>
      </c>
      <c r="C119" s="2">
        <v>195</v>
      </c>
      <c r="D119" s="2">
        <v>7000</v>
      </c>
      <c r="E119" s="7">
        <f t="shared" si="1"/>
        <v>1365000</v>
      </c>
    </row>
    <row r="120" spans="1:5" x14ac:dyDescent="0.3">
      <c r="E120" s="9">
        <f>SUM(E3:E119)</f>
        <v>122946883</v>
      </c>
    </row>
  </sheetData>
  <autoFilter ref="A2:E119" xr:uid="{00000000-0009-0000-0000-00001D000000}">
    <filterColumn colId="2">
      <filters>
        <filter val="1"/>
        <filter val="1,602"/>
        <filter val="1,617"/>
        <filter val="1,815"/>
        <filter val="10"/>
        <filter val="100"/>
        <filter val="110"/>
        <filter val="13"/>
        <filter val="14"/>
        <filter val="160"/>
        <filter val="170"/>
        <filter val="18"/>
        <filter val="195"/>
        <filter val="220"/>
        <filter val="23"/>
        <filter val="25"/>
        <filter val="250"/>
        <filter val="27"/>
        <filter val="28"/>
        <filter val="3"/>
        <filter val="30"/>
        <filter val="31"/>
        <filter val="33"/>
        <filter val="333"/>
        <filter val="350"/>
        <filter val="353"/>
        <filter val="36"/>
        <filter val="380"/>
        <filter val="386"/>
        <filter val="39"/>
        <filter val="4"/>
        <filter val="45"/>
        <filter val="47"/>
        <filter val="48"/>
        <filter val="5"/>
        <filter val="55"/>
        <filter val="58"/>
        <filter val="638"/>
        <filter val="65"/>
        <filter val="690"/>
        <filter val="80"/>
        <filter val="86"/>
      </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O11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7" sqref="R7"/>
    </sheetView>
  </sheetViews>
  <sheetFormatPr defaultRowHeight="15.6" x14ac:dyDescent="0.3"/>
  <cols>
    <col min="1" max="1" width="26.21875" style="35" bestFit="1" customWidth="1"/>
    <col min="2" max="2" width="31.33203125" style="35" hidden="1" customWidth="1"/>
    <col min="3" max="3" width="11.33203125" style="35" bestFit="1" customWidth="1"/>
    <col min="4" max="4" width="7.88671875" style="35" hidden="1" customWidth="1"/>
    <col min="5" max="5" width="8.44140625" style="35" hidden="1" customWidth="1"/>
    <col min="6" max="6" width="17.33203125" style="35" customWidth="1"/>
    <col min="7" max="7" width="16.33203125" style="40" customWidth="1"/>
    <col min="8" max="8" width="15.6640625" style="40" customWidth="1"/>
    <col min="9" max="16384" width="8.88671875" style="35"/>
  </cols>
  <sheetData>
    <row r="1" spans="1:15" s="36" customFormat="1" ht="51" customHeight="1" x14ac:dyDescent="0.3">
      <c r="A1" s="33" t="s">
        <v>0</v>
      </c>
      <c r="B1" s="33"/>
      <c r="C1" s="33" t="s">
        <v>1</v>
      </c>
      <c r="D1" s="32" t="s">
        <v>148</v>
      </c>
      <c r="E1" s="38" t="s">
        <v>149</v>
      </c>
      <c r="F1" s="32" t="s">
        <v>257</v>
      </c>
      <c r="G1" s="38" t="s">
        <v>231</v>
      </c>
      <c r="H1" s="38" t="s">
        <v>232</v>
      </c>
      <c r="I1" s="35"/>
      <c r="J1" s="35"/>
      <c r="K1" s="35"/>
      <c r="L1" s="35"/>
      <c r="M1" s="35"/>
      <c r="N1" s="35"/>
      <c r="O1" s="35"/>
    </row>
    <row r="2" spans="1:15" s="37" customFormat="1" x14ac:dyDescent="0.3">
      <c r="A2" s="34" t="s">
        <v>2</v>
      </c>
      <c r="B2" s="34" t="s">
        <v>152</v>
      </c>
      <c r="C2" s="34" t="s">
        <v>3</v>
      </c>
      <c r="D2" s="54">
        <v>27.15</v>
      </c>
      <c r="E2" s="39"/>
      <c r="F2" s="32">
        <v>35</v>
      </c>
      <c r="G2" s="39">
        <v>18000</v>
      </c>
      <c r="H2" s="39">
        <f>+G2*F2</f>
        <v>630000</v>
      </c>
    </row>
    <row r="3" spans="1:15" s="37" customFormat="1" x14ac:dyDescent="0.3">
      <c r="A3" s="34" t="s">
        <v>4</v>
      </c>
      <c r="B3" s="34" t="s">
        <v>153</v>
      </c>
      <c r="C3" s="34" t="s">
        <v>3</v>
      </c>
      <c r="D3" s="54">
        <v>508</v>
      </c>
      <c r="E3" s="39"/>
      <c r="F3" s="32">
        <v>340</v>
      </c>
      <c r="G3" s="39">
        <v>8500</v>
      </c>
      <c r="H3" s="39">
        <f t="shared" ref="H3:H66" si="0">+G3*F3</f>
        <v>2890000</v>
      </c>
    </row>
    <row r="4" spans="1:15" s="37" customFormat="1" x14ac:dyDescent="0.3">
      <c r="A4" s="34" t="s">
        <v>5</v>
      </c>
      <c r="B4" s="34" t="s">
        <v>154</v>
      </c>
      <c r="C4" s="34" t="s">
        <v>3</v>
      </c>
      <c r="D4" s="54">
        <v>599.25</v>
      </c>
      <c r="E4" s="54"/>
      <c r="F4" s="32">
        <v>595</v>
      </c>
      <c r="G4" s="39">
        <v>4000</v>
      </c>
      <c r="H4" s="39">
        <f t="shared" si="0"/>
        <v>2380000</v>
      </c>
      <c r="I4" s="35"/>
      <c r="J4" s="35"/>
      <c r="K4" s="35"/>
      <c r="L4" s="35"/>
      <c r="M4" s="35"/>
      <c r="N4" s="35"/>
      <c r="O4" s="35"/>
    </row>
    <row r="5" spans="1:15" s="37" customFormat="1" x14ac:dyDescent="0.3">
      <c r="A5" s="34" t="s">
        <v>103</v>
      </c>
      <c r="B5" s="34" t="s">
        <v>155</v>
      </c>
      <c r="C5" s="34" t="s">
        <v>3</v>
      </c>
      <c r="D5" s="54">
        <v>10</v>
      </c>
      <c r="E5" s="39"/>
      <c r="F5" s="32">
        <v>6</v>
      </c>
      <c r="G5" s="39">
        <v>10000</v>
      </c>
      <c r="H5" s="39">
        <f t="shared" si="0"/>
        <v>60000</v>
      </c>
    </row>
    <row r="6" spans="1:15" s="37" customFormat="1" x14ac:dyDescent="0.3">
      <c r="A6" s="34" t="s">
        <v>6</v>
      </c>
      <c r="B6" s="34" t="s">
        <v>156</v>
      </c>
      <c r="C6" s="34" t="s">
        <v>3</v>
      </c>
      <c r="D6" s="54">
        <v>26.25</v>
      </c>
      <c r="E6" s="39"/>
      <c r="F6" s="32">
        <v>100</v>
      </c>
      <c r="G6" s="39">
        <v>6500</v>
      </c>
      <c r="H6" s="39">
        <f t="shared" si="0"/>
        <v>650000</v>
      </c>
    </row>
    <row r="7" spans="1:15" s="37" customFormat="1" x14ac:dyDescent="0.3">
      <c r="A7" s="34" t="s">
        <v>7</v>
      </c>
      <c r="B7" s="34" t="s">
        <v>157</v>
      </c>
      <c r="C7" s="34" t="s">
        <v>3</v>
      </c>
      <c r="D7" s="54">
        <v>179.5</v>
      </c>
      <c r="E7" s="54"/>
      <c r="F7" s="32">
        <v>1592</v>
      </c>
      <c r="G7" s="39">
        <v>7000</v>
      </c>
      <c r="H7" s="39">
        <f t="shared" si="0"/>
        <v>11144000</v>
      </c>
      <c r="I7" s="35"/>
      <c r="J7" s="35"/>
      <c r="K7" s="35"/>
      <c r="L7" s="35"/>
      <c r="M7" s="35"/>
      <c r="N7" s="35"/>
      <c r="O7" s="35"/>
    </row>
    <row r="8" spans="1:15" s="37" customFormat="1" x14ac:dyDescent="0.3">
      <c r="A8" s="34" t="s">
        <v>11</v>
      </c>
      <c r="B8" s="34" t="s">
        <v>158</v>
      </c>
      <c r="C8" s="34" t="s">
        <v>3</v>
      </c>
      <c r="D8" s="54">
        <v>53.6</v>
      </c>
      <c r="E8" s="54"/>
      <c r="F8" s="32">
        <v>175</v>
      </c>
      <c r="G8" s="39">
        <v>7500</v>
      </c>
      <c r="H8" s="39">
        <f t="shared" si="0"/>
        <v>1312500</v>
      </c>
      <c r="I8" s="35"/>
      <c r="J8" s="35"/>
      <c r="K8" s="35"/>
      <c r="L8" s="35"/>
      <c r="M8" s="35"/>
      <c r="N8" s="35"/>
      <c r="O8" s="35"/>
    </row>
    <row r="9" spans="1:15" s="37" customFormat="1" hidden="1" x14ac:dyDescent="0.3">
      <c r="A9" s="34" t="s">
        <v>11</v>
      </c>
      <c r="B9" s="34" t="s">
        <v>158</v>
      </c>
      <c r="C9" s="34" t="s">
        <v>9</v>
      </c>
      <c r="D9" s="54">
        <v>39.5</v>
      </c>
      <c r="E9" s="54"/>
      <c r="F9" s="32">
        <v>0</v>
      </c>
      <c r="G9" s="45">
        <v>7500</v>
      </c>
      <c r="H9" s="45">
        <f t="shared" si="0"/>
        <v>0</v>
      </c>
      <c r="I9" s="35"/>
      <c r="J9" s="35"/>
      <c r="K9" s="35"/>
      <c r="L9" s="35"/>
      <c r="M9" s="35"/>
      <c r="N9" s="35"/>
      <c r="O9" s="35"/>
    </row>
    <row r="10" spans="1:15" s="37" customFormat="1" x14ac:dyDescent="0.3">
      <c r="A10" s="34" t="s">
        <v>8</v>
      </c>
      <c r="B10" s="34" t="s">
        <v>159</v>
      </c>
      <c r="C10" s="34" t="s">
        <v>3</v>
      </c>
      <c r="D10" s="54">
        <v>3</v>
      </c>
      <c r="E10" s="54"/>
      <c r="F10" s="32">
        <v>82</v>
      </c>
      <c r="G10" s="39">
        <v>10000</v>
      </c>
      <c r="H10" s="39">
        <f t="shared" si="0"/>
        <v>820000</v>
      </c>
      <c r="I10" s="35"/>
      <c r="J10" s="35"/>
      <c r="K10" s="35"/>
      <c r="L10" s="35"/>
      <c r="M10" s="35"/>
      <c r="N10" s="35"/>
      <c r="O10" s="35"/>
    </row>
    <row r="11" spans="1:15" s="37" customFormat="1" hidden="1" x14ac:dyDescent="0.3">
      <c r="A11" s="34" t="s">
        <v>8</v>
      </c>
      <c r="B11" s="34" t="s">
        <v>159</v>
      </c>
      <c r="C11" s="34" t="s">
        <v>9</v>
      </c>
      <c r="D11" s="54">
        <v>35.5</v>
      </c>
      <c r="E11" s="54"/>
      <c r="F11" s="32">
        <v>0</v>
      </c>
      <c r="G11" s="45">
        <v>10000</v>
      </c>
      <c r="H11" s="45">
        <f t="shared" si="0"/>
        <v>0</v>
      </c>
      <c r="I11" s="35"/>
      <c r="J11" s="35"/>
      <c r="K11" s="35"/>
      <c r="L11" s="35"/>
      <c r="M11" s="35"/>
      <c r="N11" s="35"/>
      <c r="O11" s="35"/>
    </row>
    <row r="12" spans="1:15" s="37" customFormat="1" hidden="1" x14ac:dyDescent="0.3">
      <c r="A12" s="34" t="s">
        <v>21</v>
      </c>
      <c r="B12" s="34" t="s">
        <v>160</v>
      </c>
      <c r="C12" s="34" t="s">
        <v>3</v>
      </c>
      <c r="D12" s="54">
        <v>0</v>
      </c>
      <c r="E12" s="39"/>
      <c r="F12" s="32">
        <v>0</v>
      </c>
      <c r="G12" s="45" t="e">
        <v>#N/A</v>
      </c>
      <c r="H12" s="45" t="e">
        <f t="shared" si="0"/>
        <v>#N/A</v>
      </c>
    </row>
    <row r="13" spans="1:15" s="37" customFormat="1" hidden="1" x14ac:dyDescent="0.3">
      <c r="A13" s="34" t="s">
        <v>140</v>
      </c>
      <c r="B13" s="34" t="s">
        <v>161</v>
      </c>
      <c r="C13" s="34" t="s">
        <v>3</v>
      </c>
      <c r="D13" s="54">
        <v>10</v>
      </c>
      <c r="E13" s="39"/>
      <c r="F13" s="32">
        <v>0</v>
      </c>
      <c r="G13" s="45">
        <v>40000</v>
      </c>
      <c r="H13" s="45">
        <f t="shared" si="0"/>
        <v>0</v>
      </c>
    </row>
    <row r="14" spans="1:15" s="37" customFormat="1" hidden="1" x14ac:dyDescent="0.3">
      <c r="A14" s="34" t="s">
        <v>122</v>
      </c>
      <c r="B14" s="34" t="s">
        <v>162</v>
      </c>
      <c r="C14" s="34" t="s">
        <v>3</v>
      </c>
      <c r="D14" s="54">
        <v>135</v>
      </c>
      <c r="E14" s="39"/>
      <c r="F14" s="32">
        <v>0</v>
      </c>
      <c r="G14" s="45" t="e">
        <v>#N/A</v>
      </c>
      <c r="H14" s="45" t="e">
        <f t="shared" si="0"/>
        <v>#N/A</v>
      </c>
    </row>
    <row r="15" spans="1:15" s="37" customFormat="1" hidden="1" x14ac:dyDescent="0.3">
      <c r="A15" s="34" t="s">
        <v>12</v>
      </c>
      <c r="B15" s="34" t="s">
        <v>163</v>
      </c>
      <c r="C15" s="34" t="s">
        <v>3</v>
      </c>
      <c r="D15" s="54">
        <v>35.6</v>
      </c>
      <c r="E15" s="39"/>
      <c r="F15" s="32">
        <v>0</v>
      </c>
      <c r="G15" s="45">
        <v>12000</v>
      </c>
      <c r="H15" s="45">
        <f t="shared" si="0"/>
        <v>0</v>
      </c>
    </row>
    <row r="16" spans="1:15" s="37" customFormat="1" hidden="1" x14ac:dyDescent="0.3">
      <c r="A16" s="34" t="s">
        <v>13</v>
      </c>
      <c r="B16" s="34" t="s">
        <v>164</v>
      </c>
      <c r="C16" s="34" t="s">
        <v>3</v>
      </c>
      <c r="D16" s="54">
        <v>0</v>
      </c>
      <c r="E16" s="39"/>
      <c r="F16" s="32">
        <v>0</v>
      </c>
      <c r="G16" s="45" t="e">
        <v>#N/A</v>
      </c>
      <c r="H16" s="45" t="e">
        <f t="shared" si="0"/>
        <v>#N/A</v>
      </c>
    </row>
    <row r="17" spans="1:15" s="37" customFormat="1" hidden="1" x14ac:dyDescent="0.3">
      <c r="A17" s="34" t="s">
        <v>14</v>
      </c>
      <c r="B17" s="34" t="s">
        <v>165</v>
      </c>
      <c r="C17" s="34" t="s">
        <v>3</v>
      </c>
      <c r="D17" s="54">
        <v>78</v>
      </c>
      <c r="E17" s="39"/>
      <c r="F17" s="32">
        <v>0</v>
      </c>
      <c r="G17" s="45">
        <v>14000</v>
      </c>
      <c r="H17" s="45">
        <f t="shared" si="0"/>
        <v>0</v>
      </c>
    </row>
    <row r="18" spans="1:15" s="37" customFormat="1" hidden="1" x14ac:dyDescent="0.3">
      <c r="A18" s="34" t="s">
        <v>15</v>
      </c>
      <c r="B18" s="34" t="s">
        <v>166</v>
      </c>
      <c r="C18" s="34" t="s">
        <v>3</v>
      </c>
      <c r="D18" s="54">
        <v>785.5</v>
      </c>
      <c r="E18" s="39"/>
      <c r="F18" s="32">
        <v>0</v>
      </c>
      <c r="G18" s="45">
        <v>22000</v>
      </c>
      <c r="H18" s="45">
        <f t="shared" si="0"/>
        <v>0</v>
      </c>
    </row>
    <row r="19" spans="1:15" s="37" customFormat="1" hidden="1" x14ac:dyDescent="0.3">
      <c r="A19" s="34" t="s">
        <v>16</v>
      </c>
      <c r="B19" s="34" t="s">
        <v>167</v>
      </c>
      <c r="C19" s="34" t="s">
        <v>17</v>
      </c>
      <c r="D19" s="54">
        <v>8</v>
      </c>
      <c r="E19" s="54"/>
      <c r="F19" s="32">
        <v>0</v>
      </c>
      <c r="G19" s="45">
        <v>6500</v>
      </c>
      <c r="H19" s="45">
        <f t="shared" si="0"/>
        <v>0</v>
      </c>
      <c r="I19" s="35"/>
      <c r="J19" s="35"/>
      <c r="K19" s="35"/>
      <c r="L19" s="35"/>
      <c r="M19" s="35"/>
      <c r="N19" s="35"/>
      <c r="O19" s="35"/>
    </row>
    <row r="20" spans="1:15" s="37" customFormat="1" hidden="1" x14ac:dyDescent="0.3">
      <c r="A20" s="34" t="s">
        <v>18</v>
      </c>
      <c r="B20" s="34">
        <v>0</v>
      </c>
      <c r="C20" s="34" t="s">
        <v>19</v>
      </c>
      <c r="D20" s="54">
        <v>0</v>
      </c>
      <c r="E20" s="39"/>
      <c r="F20" s="32">
        <v>0</v>
      </c>
      <c r="G20" s="45" t="e">
        <v>#N/A</v>
      </c>
      <c r="H20" s="45" t="e">
        <f t="shared" si="0"/>
        <v>#N/A</v>
      </c>
    </row>
    <row r="21" spans="1:15" s="37" customFormat="1" hidden="1" x14ac:dyDescent="0.3">
      <c r="A21" s="34" t="s">
        <v>20</v>
      </c>
      <c r="B21" s="34" t="s">
        <v>168</v>
      </c>
      <c r="C21" s="34" t="s">
        <v>3</v>
      </c>
      <c r="D21" s="54">
        <v>328.6</v>
      </c>
      <c r="E21" s="39"/>
      <c r="F21" s="32">
        <v>0</v>
      </c>
      <c r="G21" s="45">
        <v>20000</v>
      </c>
      <c r="H21" s="45">
        <f t="shared" si="0"/>
        <v>0</v>
      </c>
    </row>
    <row r="22" spans="1:15" s="37" customFormat="1" x14ac:dyDescent="0.3">
      <c r="A22" s="34" t="s">
        <v>22</v>
      </c>
      <c r="B22" s="34" t="s">
        <v>169</v>
      </c>
      <c r="C22" s="34" t="s">
        <v>3</v>
      </c>
      <c r="D22" s="54">
        <v>308.5</v>
      </c>
      <c r="E22" s="54"/>
      <c r="F22" s="32">
        <v>97</v>
      </c>
      <c r="G22" s="39">
        <v>15000</v>
      </c>
      <c r="H22" s="39">
        <f t="shared" si="0"/>
        <v>1455000</v>
      </c>
      <c r="I22" s="35"/>
      <c r="J22" s="35"/>
      <c r="K22" s="35"/>
      <c r="L22" s="35"/>
      <c r="M22" s="35"/>
      <c r="N22" s="35"/>
      <c r="O22" s="35"/>
    </row>
    <row r="23" spans="1:15" s="37" customFormat="1" hidden="1" x14ac:dyDescent="0.3">
      <c r="A23" s="34" t="s">
        <v>22</v>
      </c>
      <c r="B23" s="34" t="s">
        <v>169</v>
      </c>
      <c r="C23" s="34" t="s">
        <v>17</v>
      </c>
      <c r="D23" s="54">
        <v>0</v>
      </c>
      <c r="E23" s="54"/>
      <c r="F23" s="32">
        <v>0</v>
      </c>
      <c r="G23" s="45">
        <v>15000</v>
      </c>
      <c r="H23" s="45">
        <f t="shared" si="0"/>
        <v>0</v>
      </c>
      <c r="I23" s="35"/>
      <c r="J23" s="35"/>
      <c r="K23" s="35"/>
      <c r="L23" s="35"/>
      <c r="M23" s="35"/>
      <c r="N23" s="35"/>
      <c r="O23" s="35"/>
    </row>
    <row r="24" spans="1:15" s="37" customFormat="1" hidden="1" x14ac:dyDescent="0.3">
      <c r="A24" s="34" t="s">
        <v>22</v>
      </c>
      <c r="B24" s="34" t="s">
        <v>169</v>
      </c>
      <c r="C24" s="34" t="s">
        <v>23</v>
      </c>
      <c r="D24" s="54">
        <v>47.25</v>
      </c>
      <c r="E24" s="55"/>
      <c r="F24" s="32">
        <v>0</v>
      </c>
      <c r="G24" s="45">
        <v>15000</v>
      </c>
      <c r="H24" s="45">
        <f t="shared" si="0"/>
        <v>0</v>
      </c>
      <c r="I24" s="35"/>
      <c r="J24" s="35"/>
      <c r="K24" s="35"/>
      <c r="L24" s="35"/>
      <c r="M24" s="35"/>
      <c r="N24" s="35"/>
      <c r="O24" s="35"/>
    </row>
    <row r="25" spans="1:15" s="37" customFormat="1" x14ac:dyDescent="0.3">
      <c r="A25" s="34" t="s">
        <v>24</v>
      </c>
      <c r="B25" s="34" t="s">
        <v>170</v>
      </c>
      <c r="C25" s="34" t="s">
        <v>3</v>
      </c>
      <c r="D25" s="54">
        <v>10</v>
      </c>
      <c r="E25" s="39"/>
      <c r="F25" s="32">
        <v>28</v>
      </c>
      <c r="G25" s="39">
        <v>7000</v>
      </c>
      <c r="H25" s="39">
        <f t="shared" si="0"/>
        <v>196000</v>
      </c>
    </row>
    <row r="26" spans="1:15" s="37" customFormat="1" hidden="1" x14ac:dyDescent="0.3">
      <c r="A26" s="34" t="s">
        <v>24</v>
      </c>
      <c r="B26" s="34" t="s">
        <v>170</v>
      </c>
      <c r="C26" s="34" t="s">
        <v>25</v>
      </c>
      <c r="D26" s="54">
        <v>50</v>
      </c>
      <c r="E26" s="39"/>
      <c r="F26" s="32">
        <v>0</v>
      </c>
      <c r="G26" s="45">
        <v>7000</v>
      </c>
      <c r="H26" s="45">
        <f t="shared" si="0"/>
        <v>0</v>
      </c>
    </row>
    <row r="27" spans="1:15" s="37" customFormat="1" x14ac:dyDescent="0.3">
      <c r="A27" s="34" t="s">
        <v>26</v>
      </c>
      <c r="B27" s="34" t="s">
        <v>171</v>
      </c>
      <c r="C27" s="34" t="s">
        <v>29</v>
      </c>
      <c r="D27" s="54">
        <v>0</v>
      </c>
      <c r="E27" s="39"/>
      <c r="F27" s="32">
        <v>8</v>
      </c>
      <c r="G27" s="39">
        <v>7500</v>
      </c>
      <c r="H27" s="39">
        <f t="shared" si="0"/>
        <v>60000</v>
      </c>
    </row>
    <row r="28" spans="1:15" s="37" customFormat="1" hidden="1" x14ac:dyDescent="0.3">
      <c r="A28" s="34" t="s">
        <v>26</v>
      </c>
      <c r="B28" s="34" t="s">
        <v>171</v>
      </c>
      <c r="C28" s="34" t="s">
        <v>3</v>
      </c>
      <c r="D28" s="54">
        <v>15</v>
      </c>
      <c r="E28" s="39"/>
      <c r="F28" s="32">
        <v>0</v>
      </c>
      <c r="G28" s="45">
        <v>7500</v>
      </c>
      <c r="H28" s="45">
        <f t="shared" si="0"/>
        <v>0</v>
      </c>
    </row>
    <row r="29" spans="1:15" s="37" customFormat="1" hidden="1" x14ac:dyDescent="0.3">
      <c r="A29" s="34" t="s">
        <v>26</v>
      </c>
      <c r="B29" s="34" t="s">
        <v>171</v>
      </c>
      <c r="C29" s="34" t="s">
        <v>27</v>
      </c>
      <c r="D29" s="54">
        <v>23.5</v>
      </c>
      <c r="E29" s="39"/>
      <c r="F29" s="32">
        <v>0</v>
      </c>
      <c r="G29" s="45">
        <v>7500</v>
      </c>
      <c r="H29" s="45">
        <f t="shared" si="0"/>
        <v>0</v>
      </c>
    </row>
    <row r="30" spans="1:15" s="37" customFormat="1" hidden="1" x14ac:dyDescent="0.3">
      <c r="A30" s="34" t="s">
        <v>28</v>
      </c>
      <c r="B30" s="34" t="s">
        <v>172</v>
      </c>
      <c r="C30" s="34" t="s">
        <v>29</v>
      </c>
      <c r="D30" s="54">
        <v>5</v>
      </c>
      <c r="E30" s="39"/>
      <c r="F30" s="32">
        <v>0</v>
      </c>
      <c r="G30" s="45">
        <v>10500</v>
      </c>
      <c r="H30" s="45">
        <f t="shared" si="0"/>
        <v>0</v>
      </c>
    </row>
    <row r="31" spans="1:15" s="37" customFormat="1" hidden="1" x14ac:dyDescent="0.3">
      <c r="A31" s="34" t="s">
        <v>30</v>
      </c>
      <c r="B31" s="34" t="s">
        <v>173</v>
      </c>
      <c r="C31" s="34" t="s">
        <v>3</v>
      </c>
      <c r="D31" s="54">
        <v>10</v>
      </c>
      <c r="E31" s="39"/>
      <c r="F31" s="32">
        <v>0</v>
      </c>
      <c r="G31" s="45">
        <v>20000</v>
      </c>
      <c r="H31" s="45">
        <f t="shared" si="0"/>
        <v>0</v>
      </c>
    </row>
    <row r="32" spans="1:15" s="37" customFormat="1" x14ac:dyDescent="0.3">
      <c r="A32" s="34" t="s">
        <v>30</v>
      </c>
      <c r="B32" s="34" t="s">
        <v>173</v>
      </c>
      <c r="C32" s="34" t="s">
        <v>31</v>
      </c>
      <c r="D32" s="54">
        <v>149.5</v>
      </c>
      <c r="E32" s="39"/>
      <c r="F32" s="32">
        <v>240</v>
      </c>
      <c r="G32" s="39">
        <v>20000</v>
      </c>
      <c r="H32" s="39">
        <f t="shared" si="0"/>
        <v>4800000</v>
      </c>
    </row>
    <row r="33" spans="1:15" s="37" customFormat="1" x14ac:dyDescent="0.3">
      <c r="A33" s="34" t="s">
        <v>32</v>
      </c>
      <c r="B33" s="34" t="s">
        <v>174</v>
      </c>
      <c r="C33" s="34" t="s">
        <v>3</v>
      </c>
      <c r="D33" s="54">
        <v>349</v>
      </c>
      <c r="E33" s="54"/>
      <c r="F33" s="32">
        <v>526</v>
      </c>
      <c r="G33" s="39">
        <v>11000</v>
      </c>
      <c r="H33" s="39">
        <f t="shared" si="0"/>
        <v>5786000</v>
      </c>
      <c r="I33" s="35"/>
      <c r="J33" s="35"/>
      <c r="K33" s="35"/>
      <c r="L33" s="35"/>
      <c r="M33" s="35"/>
      <c r="N33" s="35"/>
      <c r="O33" s="35"/>
    </row>
    <row r="34" spans="1:15" s="37" customFormat="1" hidden="1" x14ac:dyDescent="0.3">
      <c r="A34" s="34" t="s">
        <v>32</v>
      </c>
      <c r="B34" s="34" t="s">
        <v>174</v>
      </c>
      <c r="C34" s="34" t="s">
        <v>17</v>
      </c>
      <c r="D34" s="54">
        <v>885</v>
      </c>
      <c r="E34" s="54"/>
      <c r="F34" s="32">
        <v>0</v>
      </c>
      <c r="G34" s="45">
        <v>11000</v>
      </c>
      <c r="H34" s="45">
        <f t="shared" si="0"/>
        <v>0</v>
      </c>
      <c r="I34" s="35"/>
      <c r="J34" s="35"/>
      <c r="K34" s="35"/>
      <c r="L34" s="35"/>
      <c r="M34" s="35"/>
      <c r="N34" s="35"/>
      <c r="O34" s="35"/>
    </row>
    <row r="35" spans="1:15" s="37" customFormat="1" hidden="1" x14ac:dyDescent="0.3">
      <c r="A35" s="34" t="s">
        <v>33</v>
      </c>
      <c r="B35" s="34" t="s">
        <v>175</v>
      </c>
      <c r="C35" s="34" t="s">
        <v>34</v>
      </c>
      <c r="D35" s="54">
        <v>83.75</v>
      </c>
      <c r="E35" s="54"/>
      <c r="F35" s="32">
        <v>0</v>
      </c>
      <c r="G35" s="45">
        <v>8000</v>
      </c>
      <c r="H35" s="45">
        <f t="shared" si="0"/>
        <v>0</v>
      </c>
      <c r="I35" s="35"/>
      <c r="J35" s="35"/>
      <c r="K35" s="35"/>
      <c r="L35" s="35"/>
      <c r="M35" s="35"/>
      <c r="N35" s="35"/>
      <c r="O35" s="35"/>
    </row>
    <row r="36" spans="1:15" s="37" customFormat="1" hidden="1" x14ac:dyDescent="0.3">
      <c r="A36" s="34" t="s">
        <v>35</v>
      </c>
      <c r="B36" s="34" t="s">
        <v>176</v>
      </c>
      <c r="C36" s="34" t="s">
        <v>3</v>
      </c>
      <c r="D36" s="54">
        <v>543</v>
      </c>
      <c r="E36" s="54"/>
      <c r="F36" s="32">
        <v>0</v>
      </c>
      <c r="G36" s="45">
        <v>10000</v>
      </c>
      <c r="H36" s="45">
        <f t="shared" si="0"/>
        <v>0</v>
      </c>
      <c r="I36" s="35"/>
      <c r="J36" s="35"/>
      <c r="K36" s="35"/>
      <c r="L36" s="35"/>
      <c r="M36" s="35"/>
      <c r="N36" s="35"/>
      <c r="O36" s="35"/>
    </row>
    <row r="37" spans="1:15" s="37" customFormat="1" hidden="1" x14ac:dyDescent="0.3">
      <c r="A37" s="34" t="s">
        <v>35</v>
      </c>
      <c r="B37" s="34" t="s">
        <v>176</v>
      </c>
      <c r="C37" s="34" t="s">
        <v>34</v>
      </c>
      <c r="D37" s="54">
        <v>221.25</v>
      </c>
      <c r="E37" s="54"/>
      <c r="F37" s="32">
        <v>0</v>
      </c>
      <c r="G37" s="45">
        <v>10000</v>
      </c>
      <c r="H37" s="45">
        <f t="shared" si="0"/>
        <v>0</v>
      </c>
      <c r="I37" s="35"/>
      <c r="J37" s="35"/>
      <c r="K37" s="35"/>
      <c r="L37" s="35"/>
      <c r="M37" s="35"/>
      <c r="N37" s="35"/>
      <c r="O37" s="35"/>
    </row>
    <row r="38" spans="1:15" s="37" customFormat="1" hidden="1" x14ac:dyDescent="0.3">
      <c r="A38" s="34" t="s">
        <v>36</v>
      </c>
      <c r="B38" s="34" t="s">
        <v>177</v>
      </c>
      <c r="C38" s="34" t="s">
        <v>17</v>
      </c>
      <c r="D38" s="54">
        <v>17</v>
      </c>
      <c r="E38" s="54"/>
      <c r="F38" s="32">
        <v>0</v>
      </c>
      <c r="G38" s="45">
        <v>5500</v>
      </c>
      <c r="H38" s="45">
        <f t="shared" si="0"/>
        <v>0</v>
      </c>
      <c r="I38" s="35"/>
      <c r="J38" s="35"/>
      <c r="K38" s="35"/>
      <c r="L38" s="35"/>
      <c r="M38" s="35"/>
      <c r="N38" s="35"/>
      <c r="O38" s="35"/>
    </row>
    <row r="39" spans="1:15" s="37" customFormat="1" x14ac:dyDescent="0.3">
      <c r="A39" s="34" t="s">
        <v>37</v>
      </c>
      <c r="B39" s="34" t="s">
        <v>178</v>
      </c>
      <c r="C39" s="34" t="s">
        <v>3</v>
      </c>
      <c r="D39" s="54">
        <v>71.5</v>
      </c>
      <c r="E39" s="39"/>
      <c r="F39" s="32">
        <v>10</v>
      </c>
      <c r="G39" s="39">
        <v>8000</v>
      </c>
      <c r="H39" s="39">
        <f t="shared" si="0"/>
        <v>80000</v>
      </c>
    </row>
    <row r="40" spans="1:15" s="37" customFormat="1" hidden="1" x14ac:dyDescent="0.3">
      <c r="A40" s="34" t="s">
        <v>37</v>
      </c>
      <c r="B40" s="34" t="s">
        <v>178</v>
      </c>
      <c r="C40" s="34" t="s">
        <v>38</v>
      </c>
      <c r="D40" s="54">
        <v>25</v>
      </c>
      <c r="E40" s="39"/>
      <c r="F40" s="32">
        <v>0</v>
      </c>
      <c r="G40" s="45">
        <v>8000</v>
      </c>
      <c r="H40" s="45">
        <f t="shared" si="0"/>
        <v>0</v>
      </c>
    </row>
    <row r="41" spans="1:15" s="37" customFormat="1" x14ac:dyDescent="0.3">
      <c r="A41" s="34" t="s">
        <v>39</v>
      </c>
      <c r="B41" s="34" t="s">
        <v>179</v>
      </c>
      <c r="C41" s="34" t="s">
        <v>3</v>
      </c>
      <c r="D41" s="54">
        <v>27</v>
      </c>
      <c r="E41" s="54"/>
      <c r="F41" s="32">
        <v>11</v>
      </c>
      <c r="G41" s="39">
        <v>20000</v>
      </c>
      <c r="H41" s="39">
        <f t="shared" si="0"/>
        <v>220000</v>
      </c>
      <c r="I41" s="35"/>
      <c r="J41" s="35"/>
      <c r="K41" s="35"/>
      <c r="L41" s="35"/>
      <c r="M41" s="35"/>
      <c r="N41" s="35"/>
      <c r="O41" s="35"/>
    </row>
    <row r="42" spans="1:15" s="37" customFormat="1" hidden="1" x14ac:dyDescent="0.3">
      <c r="A42" s="34" t="s">
        <v>39</v>
      </c>
      <c r="B42" s="34" t="s">
        <v>179</v>
      </c>
      <c r="C42" s="34" t="s">
        <v>34</v>
      </c>
      <c r="D42" s="54">
        <v>69.75</v>
      </c>
      <c r="E42" s="54"/>
      <c r="F42" s="32">
        <v>0</v>
      </c>
      <c r="G42" s="45">
        <v>20000</v>
      </c>
      <c r="H42" s="45">
        <f t="shared" si="0"/>
        <v>0</v>
      </c>
      <c r="I42" s="35"/>
      <c r="J42" s="35"/>
      <c r="K42" s="35"/>
      <c r="L42" s="35"/>
      <c r="M42" s="35"/>
      <c r="N42" s="35"/>
      <c r="O42" s="35"/>
    </row>
    <row r="43" spans="1:15" s="37" customFormat="1" hidden="1" x14ac:dyDescent="0.3">
      <c r="A43" s="34" t="s">
        <v>40</v>
      </c>
      <c r="B43" s="34" t="s">
        <v>180</v>
      </c>
      <c r="C43" s="34" t="s">
        <v>34</v>
      </c>
      <c r="D43" s="54">
        <v>23</v>
      </c>
      <c r="E43" s="39"/>
      <c r="F43" s="32">
        <v>0</v>
      </c>
      <c r="G43" s="45">
        <v>3000</v>
      </c>
      <c r="H43" s="45">
        <f t="shared" si="0"/>
        <v>0</v>
      </c>
    </row>
    <row r="44" spans="1:15" s="37" customFormat="1" x14ac:dyDescent="0.3">
      <c r="A44" s="34" t="s">
        <v>41</v>
      </c>
      <c r="B44" s="34" t="s">
        <v>181</v>
      </c>
      <c r="C44" s="34" t="s">
        <v>34</v>
      </c>
      <c r="D44" s="54">
        <v>11</v>
      </c>
      <c r="E44" s="54"/>
      <c r="F44" s="32">
        <v>9</v>
      </c>
      <c r="G44" s="39">
        <v>15000</v>
      </c>
      <c r="H44" s="39">
        <f t="shared" si="0"/>
        <v>135000</v>
      </c>
      <c r="I44" s="35"/>
      <c r="J44" s="35"/>
      <c r="K44" s="35"/>
      <c r="L44" s="35"/>
      <c r="M44" s="35"/>
      <c r="N44" s="35"/>
      <c r="O44" s="35"/>
    </row>
    <row r="45" spans="1:15" s="37" customFormat="1" x14ac:dyDescent="0.3">
      <c r="A45" s="34" t="s">
        <v>42</v>
      </c>
      <c r="B45" s="34" t="s">
        <v>182</v>
      </c>
      <c r="C45" s="34" t="s">
        <v>3</v>
      </c>
      <c r="D45" s="54">
        <v>1882.25</v>
      </c>
      <c r="E45" s="54"/>
      <c r="F45" s="32">
        <v>810</v>
      </c>
      <c r="G45" s="39">
        <v>4500</v>
      </c>
      <c r="H45" s="39">
        <f t="shared" si="0"/>
        <v>3645000</v>
      </c>
      <c r="I45" s="35"/>
      <c r="J45" s="35"/>
      <c r="K45" s="35"/>
      <c r="L45" s="35"/>
      <c r="M45" s="35"/>
      <c r="N45" s="35"/>
      <c r="O45" s="35"/>
    </row>
    <row r="46" spans="1:15" s="37" customFormat="1" x14ac:dyDescent="0.3">
      <c r="A46" s="34" t="s">
        <v>43</v>
      </c>
      <c r="B46" s="34" t="s">
        <v>238</v>
      </c>
      <c r="C46" s="34" t="s">
        <v>3</v>
      </c>
      <c r="D46" s="54">
        <v>5</v>
      </c>
      <c r="E46" s="39"/>
      <c r="F46" s="32">
        <v>5</v>
      </c>
      <c r="G46" s="39">
        <v>15000</v>
      </c>
      <c r="H46" s="39">
        <f t="shared" si="0"/>
        <v>75000</v>
      </c>
    </row>
    <row r="47" spans="1:15" s="37" customFormat="1" x14ac:dyDescent="0.3">
      <c r="A47" s="34" t="s">
        <v>44</v>
      </c>
      <c r="B47" s="34" t="s">
        <v>183</v>
      </c>
      <c r="C47" s="34" t="s">
        <v>3</v>
      </c>
      <c r="D47" s="54">
        <v>2000</v>
      </c>
      <c r="E47" s="39"/>
      <c r="F47" s="32">
        <v>720</v>
      </c>
      <c r="G47" s="39">
        <v>3500</v>
      </c>
      <c r="H47" s="39">
        <f t="shared" si="0"/>
        <v>2520000</v>
      </c>
    </row>
    <row r="48" spans="1:15" s="37" customFormat="1" x14ac:dyDescent="0.3">
      <c r="A48" s="34" t="s">
        <v>45</v>
      </c>
      <c r="B48" s="34" t="s">
        <v>184</v>
      </c>
      <c r="C48" s="34" t="s">
        <v>3</v>
      </c>
      <c r="D48" s="54">
        <v>101.2</v>
      </c>
      <c r="E48" s="54"/>
      <c r="F48" s="32">
        <v>20</v>
      </c>
      <c r="G48" s="39">
        <v>12000</v>
      </c>
      <c r="H48" s="39">
        <f t="shared" si="0"/>
        <v>240000</v>
      </c>
      <c r="I48" s="35"/>
      <c r="J48" s="35"/>
      <c r="K48" s="35"/>
      <c r="L48" s="35"/>
      <c r="M48" s="35"/>
      <c r="N48" s="35"/>
      <c r="O48" s="35"/>
    </row>
    <row r="49" spans="1:15" s="37" customFormat="1" hidden="1" x14ac:dyDescent="0.3">
      <c r="A49" s="34" t="s">
        <v>45</v>
      </c>
      <c r="B49" s="34" t="s">
        <v>184</v>
      </c>
      <c r="C49" s="34" t="s">
        <v>19</v>
      </c>
      <c r="D49" s="54">
        <v>102.5</v>
      </c>
      <c r="E49" s="54"/>
      <c r="F49" s="32">
        <v>0</v>
      </c>
      <c r="G49" s="45">
        <v>12000</v>
      </c>
      <c r="H49" s="45">
        <f t="shared" si="0"/>
        <v>0</v>
      </c>
      <c r="I49" s="35"/>
      <c r="J49" s="35"/>
      <c r="K49" s="35"/>
      <c r="L49" s="35"/>
      <c r="M49" s="35"/>
      <c r="N49" s="35"/>
      <c r="O49" s="35"/>
    </row>
    <row r="50" spans="1:15" s="37" customFormat="1" hidden="1" x14ac:dyDescent="0.3">
      <c r="A50" s="34" t="s">
        <v>62</v>
      </c>
      <c r="B50" s="34" t="s">
        <v>254</v>
      </c>
      <c r="C50" s="34" t="s">
        <v>3</v>
      </c>
      <c r="D50" s="54">
        <v>8.8000000000000007</v>
      </c>
      <c r="E50" s="39"/>
      <c r="F50" s="32">
        <v>0</v>
      </c>
      <c r="G50" s="45" t="e">
        <v>#N/A</v>
      </c>
      <c r="H50" s="45" t="e">
        <f t="shared" si="0"/>
        <v>#N/A</v>
      </c>
    </row>
    <row r="51" spans="1:15" s="37" customFormat="1" x14ac:dyDescent="0.3">
      <c r="A51" s="34" t="s">
        <v>63</v>
      </c>
      <c r="B51" s="34" t="s">
        <v>185</v>
      </c>
      <c r="C51" s="34" t="s">
        <v>3</v>
      </c>
      <c r="D51" s="54">
        <v>23.2</v>
      </c>
      <c r="E51" s="39"/>
      <c r="F51" s="32">
        <v>14</v>
      </c>
      <c r="G51" s="39">
        <v>14000</v>
      </c>
      <c r="H51" s="39">
        <f t="shared" si="0"/>
        <v>196000</v>
      </c>
    </row>
    <row r="52" spans="1:15" s="37" customFormat="1" hidden="1" x14ac:dyDescent="0.3">
      <c r="A52" s="34" t="s">
        <v>46</v>
      </c>
      <c r="B52" s="34" t="s">
        <v>186</v>
      </c>
      <c r="C52" s="34" t="s">
        <v>29</v>
      </c>
      <c r="D52" s="54">
        <v>3.15</v>
      </c>
      <c r="E52" s="54"/>
      <c r="F52" s="32">
        <v>0</v>
      </c>
      <c r="G52" s="45">
        <v>11000</v>
      </c>
      <c r="H52" s="45">
        <f t="shared" si="0"/>
        <v>0</v>
      </c>
      <c r="I52" s="35"/>
      <c r="J52" s="35"/>
      <c r="K52" s="35"/>
      <c r="L52" s="35"/>
      <c r="M52" s="35"/>
      <c r="N52" s="35"/>
      <c r="O52" s="35"/>
    </row>
    <row r="53" spans="1:15" s="37" customFormat="1" x14ac:dyDescent="0.3">
      <c r="A53" s="34" t="s">
        <v>132</v>
      </c>
      <c r="B53" s="34" t="s">
        <v>255</v>
      </c>
      <c r="C53" s="34" t="s">
        <v>3</v>
      </c>
      <c r="D53" s="54">
        <v>0</v>
      </c>
      <c r="E53" s="39"/>
      <c r="F53" s="32">
        <v>1</v>
      </c>
      <c r="G53" s="39">
        <v>16000</v>
      </c>
      <c r="H53" s="39">
        <f t="shared" si="0"/>
        <v>16000</v>
      </c>
    </row>
    <row r="54" spans="1:15" s="37" customFormat="1" x14ac:dyDescent="0.3">
      <c r="A54" s="34" t="s">
        <v>47</v>
      </c>
      <c r="B54" s="34" t="s">
        <v>187</v>
      </c>
      <c r="C54" s="34" t="s">
        <v>3</v>
      </c>
      <c r="D54" s="54">
        <v>301</v>
      </c>
      <c r="E54" s="39"/>
      <c r="F54" s="32">
        <v>4</v>
      </c>
      <c r="G54" s="39">
        <v>8000</v>
      </c>
      <c r="H54" s="39">
        <f t="shared" si="0"/>
        <v>32000</v>
      </c>
    </row>
    <row r="55" spans="1:15" s="37" customFormat="1" x14ac:dyDescent="0.3">
      <c r="A55" s="34" t="s">
        <v>48</v>
      </c>
      <c r="B55" s="34" t="s">
        <v>188</v>
      </c>
      <c r="C55" s="34" t="s">
        <v>3</v>
      </c>
      <c r="D55" s="54">
        <v>54.7</v>
      </c>
      <c r="E55" s="54"/>
      <c r="F55" s="32">
        <v>20</v>
      </c>
      <c r="G55" s="39">
        <v>7000</v>
      </c>
      <c r="H55" s="39">
        <f t="shared" si="0"/>
        <v>140000</v>
      </c>
      <c r="I55" s="35"/>
      <c r="J55" s="35"/>
      <c r="K55" s="35"/>
      <c r="L55" s="35"/>
      <c r="M55" s="35"/>
      <c r="N55" s="35"/>
      <c r="O55" s="35"/>
    </row>
    <row r="56" spans="1:15" s="37" customFormat="1" hidden="1" x14ac:dyDescent="0.3">
      <c r="A56" s="34" t="s">
        <v>48</v>
      </c>
      <c r="B56" s="34" t="s">
        <v>188</v>
      </c>
      <c r="C56" s="34" t="s">
        <v>34</v>
      </c>
      <c r="D56" s="54">
        <v>6</v>
      </c>
      <c r="E56" s="54"/>
      <c r="F56" s="32">
        <v>0</v>
      </c>
      <c r="G56" s="45">
        <v>7000</v>
      </c>
      <c r="H56" s="45">
        <f t="shared" si="0"/>
        <v>0</v>
      </c>
      <c r="I56" s="35"/>
      <c r="J56" s="35"/>
      <c r="K56" s="35"/>
      <c r="L56" s="35"/>
      <c r="M56" s="35"/>
      <c r="N56" s="35"/>
      <c r="O56" s="35"/>
    </row>
    <row r="57" spans="1:15" s="37" customFormat="1" x14ac:dyDescent="0.3">
      <c r="A57" s="34" t="s">
        <v>49</v>
      </c>
      <c r="B57" s="34" t="s">
        <v>189</v>
      </c>
      <c r="C57" s="34" t="s">
        <v>3</v>
      </c>
      <c r="D57" s="54">
        <v>11</v>
      </c>
      <c r="E57" s="39"/>
      <c r="F57" s="32">
        <v>13</v>
      </c>
      <c r="G57" s="39">
        <v>20000</v>
      </c>
      <c r="H57" s="39">
        <f t="shared" si="0"/>
        <v>260000</v>
      </c>
    </row>
    <row r="58" spans="1:15" s="37" customFormat="1" x14ac:dyDescent="0.3">
      <c r="A58" s="34" t="s">
        <v>50</v>
      </c>
      <c r="B58" s="34" t="s">
        <v>190</v>
      </c>
      <c r="C58" s="34" t="s">
        <v>3</v>
      </c>
      <c r="D58" s="54">
        <v>535.25</v>
      </c>
      <c r="E58" s="54"/>
      <c r="F58" s="32">
        <v>370</v>
      </c>
      <c r="G58" s="39">
        <v>5300</v>
      </c>
      <c r="H58" s="39">
        <f t="shared" si="0"/>
        <v>1961000</v>
      </c>
      <c r="I58" s="35"/>
      <c r="J58" s="35"/>
      <c r="K58" s="35"/>
      <c r="L58" s="35"/>
      <c r="M58" s="35"/>
      <c r="N58" s="35"/>
      <c r="O58" s="35"/>
    </row>
    <row r="59" spans="1:15" s="37" customFormat="1" hidden="1" x14ac:dyDescent="0.3">
      <c r="A59" s="34" t="s">
        <v>50</v>
      </c>
      <c r="B59" s="34" t="s">
        <v>190</v>
      </c>
      <c r="C59" s="34" t="s">
        <v>51</v>
      </c>
      <c r="D59" s="54">
        <v>64</v>
      </c>
      <c r="E59" s="54"/>
      <c r="F59" s="32">
        <v>0</v>
      </c>
      <c r="G59" s="45">
        <v>5300</v>
      </c>
      <c r="H59" s="45">
        <f t="shared" si="0"/>
        <v>0</v>
      </c>
      <c r="I59" s="35"/>
      <c r="J59" s="35"/>
      <c r="K59" s="35"/>
      <c r="L59" s="35"/>
      <c r="M59" s="35"/>
      <c r="N59" s="35"/>
      <c r="O59" s="35"/>
    </row>
    <row r="60" spans="1:15" s="37" customFormat="1" x14ac:dyDescent="0.3">
      <c r="A60" s="34" t="s">
        <v>104</v>
      </c>
      <c r="B60" s="34" t="s">
        <v>239</v>
      </c>
      <c r="C60" s="34" t="s">
        <v>3</v>
      </c>
      <c r="D60" s="54">
        <v>0</v>
      </c>
      <c r="E60" s="39"/>
      <c r="F60" s="32">
        <v>80</v>
      </c>
      <c r="G60" s="39">
        <v>20000</v>
      </c>
      <c r="H60" s="39">
        <f t="shared" si="0"/>
        <v>1600000</v>
      </c>
    </row>
    <row r="61" spans="1:15" s="37" customFormat="1" hidden="1" x14ac:dyDescent="0.3">
      <c r="A61" s="34" t="s">
        <v>52</v>
      </c>
      <c r="B61" s="34" t="s">
        <v>191</v>
      </c>
      <c r="C61" s="34" t="s">
        <v>34</v>
      </c>
      <c r="D61" s="54">
        <v>388.5</v>
      </c>
      <c r="E61" s="54"/>
      <c r="F61" s="32">
        <v>0</v>
      </c>
      <c r="G61" s="45" t="e">
        <v>#N/A</v>
      </c>
      <c r="H61" s="45" t="e">
        <f t="shared" si="0"/>
        <v>#N/A</v>
      </c>
      <c r="I61" s="35"/>
      <c r="J61" s="35"/>
      <c r="K61" s="35"/>
      <c r="L61" s="35"/>
      <c r="M61" s="35"/>
      <c r="N61" s="35"/>
      <c r="O61" s="35"/>
    </row>
    <row r="62" spans="1:15" s="37" customFormat="1" x14ac:dyDescent="0.3">
      <c r="A62" s="34" t="s">
        <v>53</v>
      </c>
      <c r="B62" s="34" t="s">
        <v>192</v>
      </c>
      <c r="C62" s="34" t="s">
        <v>3</v>
      </c>
      <c r="D62" s="54">
        <v>829.5</v>
      </c>
      <c r="E62" s="39"/>
      <c r="F62" s="32">
        <v>2915</v>
      </c>
      <c r="G62" s="39">
        <v>21500</v>
      </c>
      <c r="H62" s="39">
        <f t="shared" si="0"/>
        <v>62672500</v>
      </c>
    </row>
    <row r="63" spans="1:15" s="37" customFormat="1" x14ac:dyDescent="0.3">
      <c r="A63" s="34" t="s">
        <v>54</v>
      </c>
      <c r="B63" s="34" t="s">
        <v>193</v>
      </c>
      <c r="C63" s="34" t="s">
        <v>3</v>
      </c>
      <c r="D63" s="54">
        <v>212</v>
      </c>
      <c r="E63" s="54"/>
      <c r="F63" s="32">
        <v>418</v>
      </c>
      <c r="G63" s="39">
        <v>21500</v>
      </c>
      <c r="H63" s="39">
        <f t="shared" si="0"/>
        <v>8987000</v>
      </c>
      <c r="I63" s="35"/>
      <c r="J63" s="35"/>
      <c r="K63" s="35"/>
      <c r="L63" s="35"/>
      <c r="M63" s="35"/>
      <c r="N63" s="35"/>
      <c r="O63" s="35"/>
    </row>
    <row r="64" spans="1:15" s="37" customFormat="1" x14ac:dyDescent="0.3">
      <c r="A64" s="34" t="s">
        <v>55</v>
      </c>
      <c r="B64" s="34" t="s">
        <v>194</v>
      </c>
      <c r="C64" s="34" t="s">
        <v>3</v>
      </c>
      <c r="D64" s="54">
        <v>810.5</v>
      </c>
      <c r="E64" s="54"/>
      <c r="F64" s="32">
        <v>240</v>
      </c>
      <c r="G64" s="39">
        <v>17000</v>
      </c>
      <c r="H64" s="39">
        <f t="shared" si="0"/>
        <v>4080000</v>
      </c>
      <c r="I64" s="35"/>
      <c r="J64" s="35"/>
      <c r="K64" s="35"/>
      <c r="L64" s="35"/>
      <c r="M64" s="35"/>
      <c r="N64" s="35"/>
      <c r="O64" s="35"/>
    </row>
    <row r="65" spans="1:15" s="37" customFormat="1" x14ac:dyDescent="0.3">
      <c r="A65" s="34" t="s">
        <v>56</v>
      </c>
      <c r="B65" s="34" t="s">
        <v>195</v>
      </c>
      <c r="C65" s="34" t="s">
        <v>3</v>
      </c>
      <c r="D65" s="54">
        <v>30</v>
      </c>
      <c r="E65" s="39"/>
      <c r="F65" s="32">
        <v>50</v>
      </c>
      <c r="G65" s="39">
        <v>21000</v>
      </c>
      <c r="H65" s="39">
        <f t="shared" si="0"/>
        <v>1050000</v>
      </c>
    </row>
    <row r="66" spans="1:15" s="37" customFormat="1" hidden="1" x14ac:dyDescent="0.3">
      <c r="A66" s="34" t="s">
        <v>57</v>
      </c>
      <c r="B66" s="34" t="e">
        <v>#N/A</v>
      </c>
      <c r="C66" s="34" t="s">
        <v>3</v>
      </c>
      <c r="D66" s="54">
        <v>0</v>
      </c>
      <c r="E66" s="39"/>
      <c r="F66" s="32">
        <v>0</v>
      </c>
      <c r="G66" s="45" t="e">
        <v>#N/A</v>
      </c>
      <c r="H66" s="45" t="e">
        <f t="shared" si="0"/>
        <v>#N/A</v>
      </c>
    </row>
    <row r="67" spans="1:15" s="37" customFormat="1" x14ac:dyDescent="0.3">
      <c r="A67" s="34" t="s">
        <v>58</v>
      </c>
      <c r="B67" s="34" t="s">
        <v>256</v>
      </c>
      <c r="C67" s="34" t="s">
        <v>34</v>
      </c>
      <c r="D67" s="54">
        <v>2</v>
      </c>
      <c r="E67" s="39"/>
      <c r="F67" s="32">
        <v>96</v>
      </c>
      <c r="G67" s="39">
        <v>5000</v>
      </c>
      <c r="H67" s="39">
        <f t="shared" ref="H67:H112" si="1">+G67*F67</f>
        <v>480000</v>
      </c>
    </row>
    <row r="68" spans="1:15" s="37" customFormat="1" x14ac:dyDescent="0.3">
      <c r="A68" s="34" t="s">
        <v>59</v>
      </c>
      <c r="B68" s="34" t="s">
        <v>196</v>
      </c>
      <c r="C68" s="34" t="s">
        <v>3</v>
      </c>
      <c r="D68" s="54">
        <v>949.5</v>
      </c>
      <c r="E68" s="54"/>
      <c r="F68" s="32">
        <v>240</v>
      </c>
      <c r="G68" s="39">
        <v>14000</v>
      </c>
      <c r="H68" s="39">
        <f t="shared" si="1"/>
        <v>3360000</v>
      </c>
      <c r="I68" s="35"/>
      <c r="J68" s="35"/>
      <c r="K68" s="35"/>
      <c r="L68" s="35"/>
      <c r="M68" s="35"/>
      <c r="N68" s="35"/>
      <c r="O68" s="35"/>
    </row>
    <row r="69" spans="1:15" s="37" customFormat="1" hidden="1" x14ac:dyDescent="0.3">
      <c r="A69" s="34" t="s">
        <v>59</v>
      </c>
      <c r="B69" s="34" t="s">
        <v>196</v>
      </c>
      <c r="C69" s="34" t="s">
        <v>34</v>
      </c>
      <c r="D69" s="54">
        <v>79</v>
      </c>
      <c r="E69" s="54"/>
      <c r="F69" s="32">
        <v>0</v>
      </c>
      <c r="G69" s="45">
        <v>14000</v>
      </c>
      <c r="H69" s="45">
        <f t="shared" si="1"/>
        <v>0</v>
      </c>
      <c r="I69" s="35"/>
      <c r="J69" s="35"/>
      <c r="K69" s="35"/>
      <c r="L69" s="35"/>
      <c r="M69" s="35"/>
      <c r="N69" s="35"/>
      <c r="O69" s="35"/>
    </row>
    <row r="70" spans="1:15" s="37" customFormat="1" hidden="1" x14ac:dyDescent="0.3">
      <c r="A70" s="34" t="s">
        <v>60</v>
      </c>
      <c r="B70" s="34" t="s">
        <v>197</v>
      </c>
      <c r="C70" s="34" t="s">
        <v>34</v>
      </c>
      <c r="D70" s="54">
        <v>47.25</v>
      </c>
      <c r="E70" s="39"/>
      <c r="F70" s="32">
        <v>0</v>
      </c>
      <c r="G70" s="45" t="e">
        <v>#N/A</v>
      </c>
      <c r="H70" s="45" t="e">
        <f t="shared" si="1"/>
        <v>#N/A</v>
      </c>
    </row>
    <row r="71" spans="1:15" s="37" customFormat="1" x14ac:dyDescent="0.3">
      <c r="A71" s="34" t="s">
        <v>61</v>
      </c>
      <c r="B71" s="34" t="s">
        <v>198</v>
      </c>
      <c r="C71" s="34" t="s">
        <v>3</v>
      </c>
      <c r="D71" s="54">
        <v>62.150000000000006</v>
      </c>
      <c r="E71" s="39"/>
      <c r="F71" s="32">
        <v>8</v>
      </c>
      <c r="G71" s="39">
        <v>11000</v>
      </c>
      <c r="H71" s="39">
        <f t="shared" si="1"/>
        <v>88000</v>
      </c>
    </row>
    <row r="72" spans="1:15" s="37" customFormat="1" x14ac:dyDescent="0.3">
      <c r="A72" s="34" t="s">
        <v>67</v>
      </c>
      <c r="B72" s="34" t="s">
        <v>199</v>
      </c>
      <c r="C72" s="34" t="s">
        <v>34</v>
      </c>
      <c r="D72" s="54">
        <v>31</v>
      </c>
      <c r="E72" s="39"/>
      <c r="F72" s="32">
        <v>22</v>
      </c>
      <c r="G72" s="39">
        <v>6000</v>
      </c>
      <c r="H72" s="39">
        <f t="shared" si="1"/>
        <v>132000</v>
      </c>
    </row>
    <row r="73" spans="1:15" s="37" customFormat="1" hidden="1" x14ac:dyDescent="0.3">
      <c r="A73" s="34" t="s">
        <v>68</v>
      </c>
      <c r="B73" s="34" t="s">
        <v>200</v>
      </c>
      <c r="C73" s="34" t="s">
        <v>3</v>
      </c>
      <c r="D73" s="54">
        <v>12</v>
      </c>
      <c r="E73" s="39"/>
      <c r="F73" s="32">
        <v>0</v>
      </c>
      <c r="G73" s="45">
        <v>8000</v>
      </c>
      <c r="H73" s="45">
        <f t="shared" si="1"/>
        <v>0</v>
      </c>
    </row>
    <row r="74" spans="1:15" s="37" customFormat="1" x14ac:dyDescent="0.3">
      <c r="A74" s="34" t="s">
        <v>68</v>
      </c>
      <c r="B74" s="34" t="s">
        <v>200</v>
      </c>
      <c r="C74" s="34" t="s">
        <v>34</v>
      </c>
      <c r="D74" s="54">
        <v>30</v>
      </c>
      <c r="E74" s="39"/>
      <c r="F74" s="32">
        <v>3</v>
      </c>
      <c r="G74" s="39">
        <v>8000</v>
      </c>
      <c r="H74" s="39">
        <f t="shared" si="1"/>
        <v>24000</v>
      </c>
    </row>
    <row r="75" spans="1:15" s="37" customFormat="1" hidden="1" x14ac:dyDescent="0.3">
      <c r="A75" s="34" t="s">
        <v>69</v>
      </c>
      <c r="B75" s="34" t="s">
        <v>201</v>
      </c>
      <c r="C75" s="34" t="s">
        <v>3</v>
      </c>
      <c r="D75" s="54">
        <v>0.5</v>
      </c>
      <c r="E75" s="39"/>
      <c r="F75" s="32">
        <v>0</v>
      </c>
      <c r="G75" s="45">
        <v>80000</v>
      </c>
      <c r="H75" s="45">
        <f t="shared" si="1"/>
        <v>0</v>
      </c>
    </row>
    <row r="76" spans="1:15" s="37" customFormat="1" hidden="1" x14ac:dyDescent="0.3">
      <c r="A76" s="34" t="s">
        <v>70</v>
      </c>
      <c r="B76" s="34" t="s">
        <v>202</v>
      </c>
      <c r="C76" s="34" t="s">
        <v>3</v>
      </c>
      <c r="D76" s="54">
        <v>0.5</v>
      </c>
      <c r="E76" s="39"/>
      <c r="F76" s="32">
        <v>0</v>
      </c>
      <c r="G76" s="45">
        <v>70000</v>
      </c>
      <c r="H76" s="45">
        <f t="shared" si="1"/>
        <v>0</v>
      </c>
    </row>
    <row r="77" spans="1:15" s="37" customFormat="1" hidden="1" x14ac:dyDescent="0.3">
      <c r="A77" s="34" t="s">
        <v>71</v>
      </c>
      <c r="B77" s="34" t="s">
        <v>203</v>
      </c>
      <c r="C77" s="34" t="s">
        <v>3</v>
      </c>
      <c r="D77" s="54">
        <v>0.5</v>
      </c>
      <c r="E77" s="39"/>
      <c r="F77" s="32">
        <v>0</v>
      </c>
      <c r="G77" s="45">
        <v>70000</v>
      </c>
      <c r="H77" s="45">
        <f t="shared" si="1"/>
        <v>0</v>
      </c>
    </row>
    <row r="78" spans="1:15" s="37" customFormat="1" hidden="1" x14ac:dyDescent="0.3">
      <c r="A78" s="34" t="s">
        <v>64</v>
      </c>
      <c r="B78" s="34" t="s">
        <v>204</v>
      </c>
      <c r="C78" s="34" t="s">
        <v>3</v>
      </c>
      <c r="D78" s="54">
        <v>415</v>
      </c>
      <c r="E78" s="54"/>
      <c r="F78" s="32">
        <v>0</v>
      </c>
      <c r="G78" s="45">
        <v>5500</v>
      </c>
      <c r="H78" s="45">
        <f t="shared" si="1"/>
        <v>0</v>
      </c>
      <c r="I78" s="35"/>
      <c r="J78" s="35"/>
      <c r="K78" s="35"/>
      <c r="L78" s="35"/>
      <c r="M78" s="35"/>
      <c r="N78" s="35"/>
      <c r="O78" s="35"/>
    </row>
    <row r="79" spans="1:15" s="37" customFormat="1" x14ac:dyDescent="0.3">
      <c r="A79" s="34" t="s">
        <v>64</v>
      </c>
      <c r="B79" s="34" t="s">
        <v>204</v>
      </c>
      <c r="C79" s="34" t="s">
        <v>17</v>
      </c>
      <c r="D79" s="54">
        <v>372.25</v>
      </c>
      <c r="E79" s="54"/>
      <c r="F79" s="32">
        <v>1942</v>
      </c>
      <c r="G79" s="39">
        <v>5500</v>
      </c>
      <c r="H79" s="39">
        <f t="shared" si="1"/>
        <v>10681000</v>
      </c>
      <c r="I79" s="35"/>
      <c r="J79" s="35"/>
      <c r="K79" s="35"/>
      <c r="L79" s="35"/>
      <c r="M79" s="35"/>
      <c r="N79" s="35"/>
      <c r="O79" s="35"/>
    </row>
    <row r="80" spans="1:15" s="37" customFormat="1" hidden="1" x14ac:dyDescent="0.3">
      <c r="A80" s="34" t="s">
        <v>65</v>
      </c>
      <c r="B80" s="34" t="s">
        <v>205</v>
      </c>
      <c r="C80" s="34" t="s">
        <v>3</v>
      </c>
      <c r="D80" s="54">
        <v>3</v>
      </c>
      <c r="E80" s="39"/>
      <c r="F80" s="32">
        <v>0</v>
      </c>
      <c r="G80" s="45">
        <v>12000</v>
      </c>
      <c r="H80" s="45">
        <f t="shared" si="1"/>
        <v>0</v>
      </c>
    </row>
    <row r="81" spans="1:15" s="37" customFormat="1" hidden="1" x14ac:dyDescent="0.3">
      <c r="A81" s="34" t="s">
        <v>66</v>
      </c>
      <c r="B81" s="34" t="s">
        <v>206</v>
      </c>
      <c r="C81" s="34" t="s">
        <v>3</v>
      </c>
      <c r="D81" s="54">
        <v>21</v>
      </c>
      <c r="E81" s="54"/>
      <c r="F81" s="32">
        <v>0</v>
      </c>
      <c r="G81" s="45">
        <v>10000</v>
      </c>
      <c r="H81" s="45">
        <f t="shared" si="1"/>
        <v>0</v>
      </c>
      <c r="I81" s="35"/>
      <c r="J81" s="35"/>
      <c r="K81" s="35"/>
      <c r="L81" s="35"/>
      <c r="M81" s="35"/>
      <c r="N81" s="35"/>
      <c r="O81" s="35"/>
    </row>
    <row r="82" spans="1:15" s="37" customFormat="1" x14ac:dyDescent="0.3">
      <c r="A82" s="34" t="s">
        <v>72</v>
      </c>
      <c r="B82" s="34" t="s">
        <v>207</v>
      </c>
      <c r="C82" s="34" t="s">
        <v>3</v>
      </c>
      <c r="D82" s="54">
        <v>36</v>
      </c>
      <c r="E82" s="39"/>
      <c r="F82" s="32">
        <v>25</v>
      </c>
      <c r="G82" s="39">
        <v>10500</v>
      </c>
      <c r="H82" s="39">
        <f t="shared" si="1"/>
        <v>262500</v>
      </c>
    </row>
    <row r="83" spans="1:15" s="37" customFormat="1" hidden="1" x14ac:dyDescent="0.3">
      <c r="A83" s="34" t="s">
        <v>72</v>
      </c>
      <c r="B83" s="34" t="s">
        <v>207</v>
      </c>
      <c r="C83" s="34" t="s">
        <v>19</v>
      </c>
      <c r="D83" s="54">
        <v>156.25</v>
      </c>
      <c r="E83" s="39"/>
      <c r="F83" s="32">
        <v>0</v>
      </c>
      <c r="G83" s="45">
        <v>10500</v>
      </c>
      <c r="H83" s="45">
        <f t="shared" si="1"/>
        <v>0</v>
      </c>
    </row>
    <row r="84" spans="1:15" s="37" customFormat="1" hidden="1" x14ac:dyDescent="0.3">
      <c r="A84" s="34" t="s">
        <v>73</v>
      </c>
      <c r="B84" s="34" t="s">
        <v>208</v>
      </c>
      <c r="C84" s="34" t="s">
        <v>3</v>
      </c>
      <c r="D84" s="54">
        <v>0</v>
      </c>
      <c r="E84" s="39"/>
      <c r="F84" s="32">
        <v>0</v>
      </c>
      <c r="G84" s="45" t="e">
        <v>#N/A</v>
      </c>
      <c r="H84" s="45" t="e">
        <f t="shared" si="1"/>
        <v>#N/A</v>
      </c>
    </row>
    <row r="85" spans="1:15" s="37" customFormat="1" hidden="1" x14ac:dyDescent="0.3">
      <c r="A85" s="34" t="s">
        <v>107</v>
      </c>
      <c r="B85" s="34" t="s">
        <v>241</v>
      </c>
      <c r="C85" s="34" t="s">
        <v>29</v>
      </c>
      <c r="D85" s="54">
        <v>2</v>
      </c>
      <c r="E85" s="39"/>
      <c r="F85" s="32">
        <v>0</v>
      </c>
      <c r="G85" s="45" t="e">
        <v>#N/A</v>
      </c>
      <c r="H85" s="45" t="e">
        <f t="shared" si="1"/>
        <v>#N/A</v>
      </c>
    </row>
    <row r="86" spans="1:15" s="37" customFormat="1" hidden="1" x14ac:dyDescent="0.3">
      <c r="A86" s="34" t="s">
        <v>74</v>
      </c>
      <c r="B86" s="34" t="s">
        <v>209</v>
      </c>
      <c r="C86" s="34" t="s">
        <v>34</v>
      </c>
      <c r="D86" s="54">
        <v>7</v>
      </c>
      <c r="E86" s="39"/>
      <c r="F86" s="32">
        <v>0</v>
      </c>
      <c r="G86" s="45">
        <v>1900</v>
      </c>
      <c r="H86" s="45">
        <f t="shared" si="1"/>
        <v>0</v>
      </c>
    </row>
    <row r="87" spans="1:15" s="37" customFormat="1" x14ac:dyDescent="0.3">
      <c r="A87" s="34" t="s">
        <v>75</v>
      </c>
      <c r="B87" s="34" t="s">
        <v>210</v>
      </c>
      <c r="C87" s="34" t="s">
        <v>3</v>
      </c>
      <c r="D87" s="54">
        <v>13</v>
      </c>
      <c r="E87" s="39"/>
      <c r="F87" s="32">
        <v>13</v>
      </c>
      <c r="G87" s="39">
        <v>14000</v>
      </c>
      <c r="H87" s="39">
        <f t="shared" si="1"/>
        <v>182000</v>
      </c>
    </row>
    <row r="88" spans="1:15" s="37" customFormat="1" hidden="1" x14ac:dyDescent="0.3">
      <c r="A88" s="34" t="s">
        <v>79</v>
      </c>
      <c r="B88" s="34" t="s">
        <v>212</v>
      </c>
      <c r="C88" s="34" t="s">
        <v>17</v>
      </c>
      <c r="D88" s="54">
        <v>47.25</v>
      </c>
      <c r="E88" s="39"/>
      <c r="F88" s="32">
        <v>0</v>
      </c>
      <c r="G88" s="45" t="e">
        <v>#N/A</v>
      </c>
      <c r="H88" s="45" t="e">
        <f t="shared" si="1"/>
        <v>#N/A</v>
      </c>
    </row>
    <row r="89" spans="1:15" s="37" customFormat="1" hidden="1" x14ac:dyDescent="0.3">
      <c r="A89" s="34" t="s">
        <v>80</v>
      </c>
      <c r="B89" s="34" t="s">
        <v>213</v>
      </c>
      <c r="C89" s="34" t="s">
        <v>29</v>
      </c>
      <c r="D89" s="54">
        <v>12</v>
      </c>
      <c r="E89" s="39"/>
      <c r="F89" s="32">
        <v>0</v>
      </c>
      <c r="G89" s="45">
        <v>32000</v>
      </c>
      <c r="H89" s="45">
        <f t="shared" si="1"/>
        <v>0</v>
      </c>
    </row>
    <row r="90" spans="1:15" s="37" customFormat="1" x14ac:dyDescent="0.3">
      <c r="A90" s="34" t="s">
        <v>81</v>
      </c>
      <c r="B90" s="34" t="s">
        <v>214</v>
      </c>
      <c r="C90" s="34" t="s">
        <v>3</v>
      </c>
      <c r="D90" s="54">
        <v>22.3</v>
      </c>
      <c r="E90" s="54"/>
      <c r="F90" s="32">
        <v>78</v>
      </c>
      <c r="G90" s="39">
        <v>24000</v>
      </c>
      <c r="H90" s="39">
        <f t="shared" si="1"/>
        <v>1872000</v>
      </c>
      <c r="I90" s="35"/>
      <c r="J90" s="35"/>
      <c r="K90" s="35"/>
      <c r="L90" s="35"/>
      <c r="M90" s="35"/>
      <c r="N90" s="35"/>
      <c r="O90" s="35"/>
    </row>
    <row r="91" spans="1:15" s="37" customFormat="1" hidden="1" x14ac:dyDescent="0.3">
      <c r="A91" s="34" t="s">
        <v>81</v>
      </c>
      <c r="B91" s="34" t="s">
        <v>214</v>
      </c>
      <c r="C91" s="34" t="s">
        <v>9</v>
      </c>
      <c r="D91" s="54">
        <v>158</v>
      </c>
      <c r="E91" s="54"/>
      <c r="F91" s="32">
        <v>0</v>
      </c>
      <c r="G91" s="45">
        <v>24000</v>
      </c>
      <c r="H91" s="45">
        <f t="shared" si="1"/>
        <v>0</v>
      </c>
      <c r="I91" s="35"/>
      <c r="J91" s="35"/>
      <c r="K91" s="35"/>
      <c r="L91" s="35"/>
      <c r="M91" s="35"/>
      <c r="N91" s="35"/>
      <c r="O91" s="35"/>
    </row>
    <row r="92" spans="1:15" s="37" customFormat="1" x14ac:dyDescent="0.3">
      <c r="A92" s="34" t="s">
        <v>108</v>
      </c>
      <c r="B92" s="34" t="s">
        <v>215</v>
      </c>
      <c r="C92" s="34" t="s">
        <v>3</v>
      </c>
      <c r="D92" s="54">
        <v>0</v>
      </c>
      <c r="E92" s="39"/>
      <c r="F92" s="32">
        <v>28</v>
      </c>
      <c r="G92" s="39">
        <v>18000</v>
      </c>
      <c r="H92" s="39">
        <f t="shared" si="1"/>
        <v>504000</v>
      </c>
    </row>
    <row r="93" spans="1:15" s="37" customFormat="1" x14ac:dyDescent="0.3">
      <c r="A93" s="34" t="s">
        <v>82</v>
      </c>
      <c r="B93" s="34" t="s">
        <v>216</v>
      </c>
      <c r="C93" s="34" t="s">
        <v>3</v>
      </c>
      <c r="D93" s="54">
        <v>15.3</v>
      </c>
      <c r="E93" s="54"/>
      <c r="F93" s="32">
        <v>77</v>
      </c>
      <c r="G93" s="39">
        <v>22000</v>
      </c>
      <c r="H93" s="39">
        <f t="shared" si="1"/>
        <v>1694000</v>
      </c>
      <c r="I93" s="35"/>
      <c r="J93" s="35"/>
      <c r="K93" s="35"/>
      <c r="L93" s="35"/>
      <c r="M93" s="35"/>
      <c r="N93" s="35"/>
      <c r="O93" s="35"/>
    </row>
    <row r="94" spans="1:15" s="37" customFormat="1" hidden="1" x14ac:dyDescent="0.3">
      <c r="A94" s="34" t="s">
        <v>82</v>
      </c>
      <c r="B94" s="34" t="s">
        <v>216</v>
      </c>
      <c r="C94" s="34" t="s">
        <v>9</v>
      </c>
      <c r="D94" s="54">
        <v>143.75</v>
      </c>
      <c r="E94" s="39"/>
      <c r="F94" s="32">
        <v>0</v>
      </c>
      <c r="G94" s="45">
        <v>22000</v>
      </c>
      <c r="H94" s="45">
        <f t="shared" si="1"/>
        <v>0</v>
      </c>
      <c r="I94" s="35"/>
      <c r="J94" s="35"/>
      <c r="K94" s="35"/>
      <c r="L94" s="35"/>
      <c r="M94" s="35"/>
      <c r="N94" s="35"/>
      <c r="O94" s="35"/>
    </row>
    <row r="95" spans="1:15" s="37" customFormat="1" x14ac:dyDescent="0.3">
      <c r="A95" s="34" t="s">
        <v>83</v>
      </c>
      <c r="B95" s="34" t="s">
        <v>218</v>
      </c>
      <c r="C95" s="34" t="s">
        <v>3</v>
      </c>
      <c r="D95" s="54">
        <v>11.2</v>
      </c>
      <c r="E95" s="39"/>
      <c r="F95" s="32">
        <v>15</v>
      </c>
      <c r="G95" s="39">
        <v>27000</v>
      </c>
      <c r="H95" s="39">
        <f t="shared" si="1"/>
        <v>405000</v>
      </c>
      <c r="I95" s="35"/>
      <c r="J95" s="35"/>
      <c r="K95" s="35"/>
      <c r="L95" s="35"/>
      <c r="M95" s="35"/>
      <c r="N95" s="35"/>
      <c r="O95" s="35"/>
    </row>
    <row r="96" spans="1:15" s="37" customFormat="1" hidden="1" x14ac:dyDescent="0.3">
      <c r="A96" s="34" t="s">
        <v>83</v>
      </c>
      <c r="B96" s="34" t="s">
        <v>218</v>
      </c>
      <c r="C96" s="34" t="s">
        <v>9</v>
      </c>
      <c r="D96" s="54">
        <v>91.5</v>
      </c>
      <c r="E96" s="39"/>
      <c r="F96" s="32">
        <v>0</v>
      </c>
      <c r="G96" s="45">
        <v>27000</v>
      </c>
      <c r="H96" s="45">
        <f t="shared" si="1"/>
        <v>0</v>
      </c>
    </row>
    <row r="97" spans="1:8" s="37" customFormat="1" x14ac:dyDescent="0.3">
      <c r="A97" s="34" t="s">
        <v>110</v>
      </c>
      <c r="B97" s="34" t="s">
        <v>243</v>
      </c>
      <c r="C97" s="34" t="s">
        <v>3</v>
      </c>
      <c r="D97" s="54">
        <v>0</v>
      </c>
      <c r="E97" s="39"/>
      <c r="F97" s="32">
        <v>15</v>
      </c>
      <c r="G97" s="39">
        <v>25000</v>
      </c>
      <c r="H97" s="39">
        <f t="shared" si="1"/>
        <v>375000</v>
      </c>
    </row>
    <row r="98" spans="1:8" s="37" customFormat="1" hidden="1" x14ac:dyDescent="0.3">
      <c r="A98" s="34" t="s">
        <v>84</v>
      </c>
      <c r="B98" s="34" t="s">
        <v>219</v>
      </c>
      <c r="C98" s="34" t="s">
        <v>34</v>
      </c>
      <c r="D98" s="54">
        <v>95.5</v>
      </c>
      <c r="E98" s="39"/>
      <c r="F98" s="32">
        <v>0</v>
      </c>
      <c r="G98" s="45">
        <v>15000</v>
      </c>
      <c r="H98" s="45">
        <f t="shared" si="1"/>
        <v>0</v>
      </c>
    </row>
    <row r="99" spans="1:8" s="37" customFormat="1" x14ac:dyDescent="0.3">
      <c r="A99" s="34" t="s">
        <v>142</v>
      </c>
      <c r="B99" s="34">
        <v>0</v>
      </c>
      <c r="C99" s="34" t="s">
        <v>3</v>
      </c>
      <c r="D99" s="54">
        <v>5.25</v>
      </c>
      <c r="E99" s="39"/>
      <c r="F99" s="32">
        <v>4</v>
      </c>
      <c r="G99" s="39">
        <v>21000</v>
      </c>
      <c r="H99" s="39">
        <f t="shared" si="1"/>
        <v>84000</v>
      </c>
    </row>
    <row r="100" spans="1:8" s="37" customFormat="1" x14ac:dyDescent="0.3">
      <c r="A100" s="34" t="s">
        <v>85</v>
      </c>
      <c r="B100" s="34" t="s">
        <v>220</v>
      </c>
      <c r="C100" s="34" t="s">
        <v>34</v>
      </c>
      <c r="D100" s="54">
        <v>13.65</v>
      </c>
      <c r="E100" s="39"/>
      <c r="F100" s="32">
        <v>3</v>
      </c>
      <c r="G100" s="39">
        <v>35000</v>
      </c>
      <c r="H100" s="39">
        <f t="shared" si="1"/>
        <v>105000</v>
      </c>
    </row>
    <row r="101" spans="1:8" s="37" customFormat="1" hidden="1" x14ac:dyDescent="0.3">
      <c r="A101" s="34" t="s">
        <v>86</v>
      </c>
      <c r="B101" s="34">
        <v>0</v>
      </c>
      <c r="C101" s="34" t="s">
        <v>9</v>
      </c>
      <c r="D101" s="54">
        <v>0</v>
      </c>
      <c r="E101" s="39"/>
      <c r="F101" s="32">
        <v>0</v>
      </c>
      <c r="G101" s="45" t="e">
        <v>#N/A</v>
      </c>
      <c r="H101" s="45" t="e">
        <f t="shared" si="1"/>
        <v>#N/A</v>
      </c>
    </row>
    <row r="102" spans="1:8" s="37" customFormat="1" hidden="1" x14ac:dyDescent="0.3">
      <c r="A102" s="34" t="s">
        <v>88</v>
      </c>
      <c r="B102" s="34">
        <v>0</v>
      </c>
      <c r="C102" s="34" t="s">
        <v>3</v>
      </c>
      <c r="D102" s="54">
        <v>0</v>
      </c>
      <c r="E102" s="39"/>
      <c r="F102" s="32">
        <v>0</v>
      </c>
      <c r="G102" s="45" t="e">
        <v>#N/A</v>
      </c>
      <c r="H102" s="45" t="e">
        <f t="shared" si="1"/>
        <v>#N/A</v>
      </c>
    </row>
    <row r="103" spans="1:8" s="37" customFormat="1" x14ac:dyDescent="0.3">
      <c r="A103" s="34" t="s">
        <v>89</v>
      </c>
      <c r="B103" s="34" t="s">
        <v>221</v>
      </c>
      <c r="C103" s="34" t="s">
        <v>3</v>
      </c>
      <c r="D103" s="54">
        <v>9</v>
      </c>
      <c r="E103" s="39"/>
      <c r="F103" s="32">
        <v>4</v>
      </c>
      <c r="G103" s="39">
        <v>18000</v>
      </c>
      <c r="H103" s="39">
        <f t="shared" si="1"/>
        <v>72000</v>
      </c>
    </row>
    <row r="104" spans="1:8" s="37" customFormat="1" x14ac:dyDescent="0.3">
      <c r="A104" s="34" t="s">
        <v>90</v>
      </c>
      <c r="B104" s="34" t="s">
        <v>222</v>
      </c>
      <c r="C104" s="34" t="s">
        <v>3</v>
      </c>
      <c r="D104" s="54">
        <v>204.75</v>
      </c>
      <c r="E104" s="39"/>
      <c r="F104" s="32">
        <v>115</v>
      </c>
      <c r="G104" s="39">
        <v>5500</v>
      </c>
      <c r="H104" s="39">
        <f t="shared" si="1"/>
        <v>632500</v>
      </c>
    </row>
    <row r="105" spans="1:8" s="37" customFormat="1" x14ac:dyDescent="0.3">
      <c r="A105" s="34" t="s">
        <v>91</v>
      </c>
      <c r="B105" s="34" t="s">
        <v>223</v>
      </c>
      <c r="C105" s="34" t="s">
        <v>3</v>
      </c>
      <c r="D105" s="54">
        <v>14</v>
      </c>
      <c r="E105" s="39"/>
      <c r="F105" s="32">
        <v>25</v>
      </c>
      <c r="G105" s="39">
        <v>13000</v>
      </c>
      <c r="H105" s="39">
        <f t="shared" si="1"/>
        <v>325000</v>
      </c>
    </row>
    <row r="106" spans="1:8" s="37" customFormat="1" hidden="1" x14ac:dyDescent="0.3">
      <c r="A106" s="34" t="s">
        <v>92</v>
      </c>
      <c r="B106" s="34" t="s">
        <v>224</v>
      </c>
      <c r="C106" s="34" t="s">
        <v>3</v>
      </c>
      <c r="D106" s="54">
        <v>26</v>
      </c>
      <c r="E106" s="39"/>
      <c r="F106" s="32">
        <v>0</v>
      </c>
      <c r="G106" s="45">
        <v>26000</v>
      </c>
      <c r="H106" s="45">
        <f t="shared" si="1"/>
        <v>0</v>
      </c>
    </row>
    <row r="107" spans="1:8" s="37" customFormat="1" hidden="1" x14ac:dyDescent="0.3">
      <c r="A107" s="34" t="s">
        <v>93</v>
      </c>
      <c r="B107" s="34" t="s">
        <v>225</v>
      </c>
      <c r="C107" s="34" t="s">
        <v>19</v>
      </c>
      <c r="D107" s="54">
        <v>209.75</v>
      </c>
      <c r="E107" s="39"/>
      <c r="F107" s="32">
        <v>0</v>
      </c>
      <c r="G107" s="45">
        <v>6800</v>
      </c>
      <c r="H107" s="45">
        <f t="shared" si="1"/>
        <v>0</v>
      </c>
    </row>
    <row r="108" spans="1:8" s="37" customFormat="1" hidden="1" x14ac:dyDescent="0.3">
      <c r="A108" s="34" t="s">
        <v>94</v>
      </c>
      <c r="B108" s="34" t="s">
        <v>226</v>
      </c>
      <c r="C108" s="34" t="s">
        <v>3</v>
      </c>
      <c r="D108" s="54">
        <v>13</v>
      </c>
      <c r="E108" s="39"/>
      <c r="F108" s="32">
        <v>0</v>
      </c>
      <c r="G108" s="45">
        <v>26000</v>
      </c>
      <c r="H108" s="45">
        <f t="shared" si="1"/>
        <v>0</v>
      </c>
    </row>
    <row r="109" spans="1:8" s="37" customFormat="1" hidden="1" x14ac:dyDescent="0.3">
      <c r="A109" s="34" t="s">
        <v>95</v>
      </c>
      <c r="B109" s="34" t="s">
        <v>227</v>
      </c>
      <c r="C109" s="34" t="s">
        <v>19</v>
      </c>
      <c r="D109" s="54">
        <v>69.5</v>
      </c>
      <c r="E109" s="39"/>
      <c r="F109" s="32">
        <v>0</v>
      </c>
      <c r="G109" s="45" t="e">
        <v>#N/A</v>
      </c>
      <c r="H109" s="45" t="e">
        <f t="shared" si="1"/>
        <v>#N/A</v>
      </c>
    </row>
    <row r="110" spans="1:8" s="37" customFormat="1" hidden="1" x14ac:dyDescent="0.3">
      <c r="A110" s="34" t="s">
        <v>96</v>
      </c>
      <c r="B110" s="34" t="s">
        <v>228</v>
      </c>
      <c r="C110" s="34" t="s">
        <v>3</v>
      </c>
      <c r="D110" s="54">
        <v>0</v>
      </c>
      <c r="E110" s="39"/>
      <c r="F110" s="32">
        <v>0</v>
      </c>
      <c r="G110" s="45" t="e">
        <v>#N/A</v>
      </c>
      <c r="H110" s="45" t="e">
        <f t="shared" si="1"/>
        <v>#N/A</v>
      </c>
    </row>
    <row r="111" spans="1:8" s="37" customFormat="1" hidden="1" x14ac:dyDescent="0.3">
      <c r="A111" s="34" t="s">
        <v>97</v>
      </c>
      <c r="B111" s="34" t="s">
        <v>229</v>
      </c>
      <c r="C111" s="34" t="s">
        <v>3</v>
      </c>
      <c r="D111" s="54">
        <v>16</v>
      </c>
      <c r="E111" s="39"/>
      <c r="F111" s="32">
        <v>0</v>
      </c>
      <c r="G111" s="45">
        <v>25000</v>
      </c>
      <c r="H111" s="45">
        <f t="shared" si="1"/>
        <v>0</v>
      </c>
    </row>
    <row r="112" spans="1:8" s="37" customFormat="1" hidden="1" x14ac:dyDescent="0.3">
      <c r="A112" s="34" t="s">
        <v>98</v>
      </c>
      <c r="B112" s="34" t="s">
        <v>230</v>
      </c>
      <c r="C112" s="34" t="s">
        <v>19</v>
      </c>
      <c r="D112" s="54">
        <v>1963</v>
      </c>
      <c r="E112" s="39"/>
      <c r="F112" s="32">
        <v>0</v>
      </c>
      <c r="G112" s="45">
        <v>7500</v>
      </c>
      <c r="H112" s="45">
        <f t="shared" si="1"/>
        <v>0</v>
      </c>
    </row>
    <row r="113" spans="1:8" s="37" customFormat="1" x14ac:dyDescent="0.3">
      <c r="A113" s="34" t="e">
        <v>#N/A</v>
      </c>
      <c r="B113" s="34" t="e">
        <v>#N/A</v>
      </c>
      <c r="C113" s="34">
        <v>0</v>
      </c>
      <c r="D113" s="54">
        <v>18556.599999999999</v>
      </c>
      <c r="E113" s="39"/>
      <c r="F113" s="32">
        <v>12247</v>
      </c>
      <c r="G113" s="39"/>
      <c r="H113" s="39">
        <f>SUBTOTAL(9,H2:H105)</f>
        <v>141371000</v>
      </c>
    </row>
  </sheetData>
  <autoFilter ref="A1:O113" xr:uid="{00000000-0001-0000-1E00-000000000000}">
    <filterColumn colId="5">
      <filters>
        <filter val="1"/>
        <filter val="1,592"/>
        <filter val="1,942"/>
        <filter val="10"/>
        <filter val="100"/>
        <filter val="11"/>
        <filter val="115"/>
        <filter val="12,247"/>
        <filter val="13"/>
        <filter val="14"/>
        <filter val="15"/>
        <filter val="175"/>
        <filter val="2,915"/>
        <filter val="20"/>
        <filter val="22"/>
        <filter val="240"/>
        <filter val="25"/>
        <filter val="28"/>
        <filter val="3"/>
        <filter val="340"/>
        <filter val="35"/>
        <filter val="370"/>
        <filter val="4"/>
        <filter val="418"/>
        <filter val="5"/>
        <filter val="50"/>
        <filter val="526"/>
        <filter val="595"/>
        <filter val="6"/>
        <filter val="720"/>
        <filter val="77"/>
        <filter val="78"/>
        <filter val="8"/>
        <filter val="80"/>
        <filter val="810"/>
        <filter val="82"/>
        <filter val="9"/>
        <filter val="96"/>
        <filter val="97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1.3</vt:lpstr>
      <vt:lpstr>2.3</vt:lpstr>
      <vt:lpstr>3.3</vt:lpstr>
      <vt:lpstr>4.3</vt:lpstr>
      <vt:lpstr>5.3</vt:lpstr>
      <vt:lpstr>6.3</vt:lpstr>
      <vt:lpstr>7.3</vt:lpstr>
      <vt:lpstr>8.3</vt:lpstr>
      <vt:lpstr>9.3</vt:lpstr>
      <vt:lpstr>10.3</vt:lpstr>
      <vt:lpstr>11.3</vt:lpstr>
      <vt:lpstr>12.3</vt:lpstr>
      <vt:lpstr>13.3</vt:lpstr>
      <vt:lpstr>14.3</vt:lpstr>
      <vt:lpstr>15.3</vt:lpstr>
      <vt:lpstr>16.3</vt:lpstr>
      <vt:lpstr>17.3</vt:lpstr>
      <vt:lpstr>18.3</vt:lpstr>
      <vt:lpstr>19.3</vt:lpstr>
      <vt:lpstr>20.3</vt:lpstr>
      <vt:lpstr>21.3</vt:lpstr>
      <vt:lpstr>22.3</vt:lpstr>
      <vt:lpstr>23.3</vt:lpstr>
      <vt:lpstr>24.3</vt:lpstr>
      <vt:lpstr>25.3</vt:lpstr>
      <vt:lpstr>26.3</vt:lpstr>
      <vt:lpstr>27.3</vt:lpstr>
      <vt:lpstr>28.3</vt:lpstr>
      <vt:lpstr>29.3</vt:lpstr>
      <vt:lpstr>30.3</vt:lpstr>
      <vt:lpstr>31.3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2025-03-02T04:20:50Z</dcterms:created>
  <dcterms:modified xsi:type="dcterms:W3CDTF">2025-04-01T10:17:14Z</dcterms:modified>
</cp:coreProperties>
</file>