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4\"/>
    </mc:Choice>
  </mc:AlternateContent>
  <xr:revisionPtr revIDLastSave="0" documentId="13_ncr:1_{59D6BB64-3A40-409A-AD88-198340958AF8}" xr6:coauthVersionLast="47" xr6:coauthVersionMax="47" xr10:uidLastSave="{00000000-0000-0000-0000-000000000000}"/>
  <bookViews>
    <workbookView xWindow="-120" yWindow="-120" windowWidth="29040" windowHeight="15720" firstSheet="13" activeTab="30" xr2:uid="{00000000-000D-0000-FFFF-FFFF00000000}"/>
  </bookViews>
  <sheets>
    <sheet name="1.8" sheetId="1" r:id="rId1"/>
    <sheet name="2.8" sheetId="2" r:id="rId2"/>
    <sheet name="3.8" sheetId="3" r:id="rId3"/>
    <sheet name="4.8" sheetId="4" r:id="rId4"/>
    <sheet name="5.8" sheetId="5" r:id="rId5"/>
    <sheet name="6.8" sheetId="6" r:id="rId6"/>
    <sheet name="7.8" sheetId="7" r:id="rId7"/>
    <sheet name="8.8" sheetId="8" r:id="rId8"/>
    <sheet name="9.8" sheetId="9" r:id="rId9"/>
    <sheet name="10.8" sheetId="10" r:id="rId10"/>
    <sheet name="11.8" sheetId="11" r:id="rId11"/>
    <sheet name="12.8" sheetId="12" r:id="rId12"/>
    <sheet name="13.8" sheetId="13" r:id="rId13"/>
    <sheet name="14.8" sheetId="14" r:id="rId14"/>
    <sheet name="15.8" sheetId="15" r:id="rId15"/>
    <sheet name="16.8" sheetId="16" r:id="rId16"/>
    <sheet name="17.8" sheetId="17" r:id="rId17"/>
    <sheet name="18.8" sheetId="18" r:id="rId18"/>
    <sheet name="19.8" sheetId="19" r:id="rId19"/>
    <sheet name="20.8" sheetId="20" r:id="rId20"/>
    <sheet name="21.8" sheetId="21" r:id="rId21"/>
    <sheet name="22.8" sheetId="22" r:id="rId22"/>
    <sheet name="23.8" sheetId="23" r:id="rId23"/>
    <sheet name="24.8" sheetId="24" r:id="rId24"/>
    <sheet name="25.8 " sheetId="25" r:id="rId25"/>
    <sheet name="26.8" sheetId="26" r:id="rId26"/>
    <sheet name="27.8" sheetId="27" r:id="rId27"/>
    <sheet name="28.8" sheetId="28" r:id="rId28"/>
    <sheet name="29.8" sheetId="29" r:id="rId29"/>
    <sheet name="30.8" sheetId="30" r:id="rId30"/>
    <sheet name="31.8" sheetId="31" r:id="rId31"/>
  </sheets>
  <externalReferences>
    <externalReference r:id="rId32"/>
  </externalReferences>
  <definedNames>
    <definedName name="_xlnm._FilterDatabase" localSheetId="0" hidden="1">'1.8'!$A$2:$D$672</definedName>
    <definedName name="_xlnm._FilterDatabase" localSheetId="9" hidden="1">'10.8'!$A$2:$D$683</definedName>
    <definedName name="_xlnm._FilterDatabase" localSheetId="10" hidden="1">'11.8'!$A$2:$D$682</definedName>
    <definedName name="_xlnm._FilterDatabase" localSheetId="11" hidden="1">'12.8'!$A$2:$D$683</definedName>
    <definedName name="_xlnm._FilterDatabase" localSheetId="12" hidden="1">'13.8'!$A$2:$D$683</definedName>
    <definedName name="_xlnm._FilterDatabase" localSheetId="13" hidden="1">'14.8'!$A$2:$D$683</definedName>
    <definedName name="_xlnm._FilterDatabase" localSheetId="14" hidden="1">'15.8'!$A$2:$D$683</definedName>
    <definedName name="_xlnm._FilterDatabase" localSheetId="15" hidden="1">'16.8'!$A$2:$D$683</definedName>
    <definedName name="_xlnm._FilterDatabase" localSheetId="16" hidden="1">'17.8'!$A$2:$D$683</definedName>
    <definedName name="_xlnm._FilterDatabase" localSheetId="17" hidden="1">'18.8'!$A$2:$D$683</definedName>
    <definedName name="_xlnm._FilterDatabase" localSheetId="18" hidden="1">'19.8'!$A$2:$D$684</definedName>
    <definedName name="_xlnm._FilterDatabase" localSheetId="1" hidden="1">'2.8'!$A$2:$D$672</definedName>
    <definedName name="_xlnm._FilterDatabase" localSheetId="19" hidden="1">'20.8'!$A$2:$D$683</definedName>
    <definedName name="_xlnm._FilterDatabase" localSheetId="20" hidden="1">'21.8'!$A$2:$D$683</definedName>
    <definedName name="_xlnm._FilterDatabase" localSheetId="21" hidden="1">'22.8'!$A$2:$D$683</definedName>
    <definedName name="_xlnm._FilterDatabase" localSheetId="22" hidden="1">'23.8'!$A$2:$D$683</definedName>
    <definedName name="_xlnm._FilterDatabase" localSheetId="23" hidden="1">'24.8'!$A$2:$D$683</definedName>
    <definedName name="_xlnm._FilterDatabase" localSheetId="24" hidden="1">'25.8 '!$A$2:$D$683</definedName>
    <definedName name="_xlnm._FilterDatabase" localSheetId="25" hidden="1">'26.8'!$A$2:$D$396</definedName>
    <definedName name="_xlnm._FilterDatabase" localSheetId="26" hidden="1">'27.8'!$A$2:$D$683</definedName>
    <definedName name="_xlnm._FilterDatabase" localSheetId="27" hidden="1">'28.8'!$A$2:$D$683</definedName>
    <definedName name="_xlnm._FilterDatabase" localSheetId="28" hidden="1">'29.8'!$A$2:$D$683</definedName>
    <definedName name="_xlnm._FilterDatabase" localSheetId="2" hidden="1">'3.8'!$A$2:$D$672</definedName>
    <definedName name="_xlnm._FilterDatabase" localSheetId="29" hidden="1">'30.8'!$A$1:$O$150</definedName>
    <definedName name="_xlnm._FilterDatabase" localSheetId="30" hidden="1">'31.8'!$A$2:$D$182</definedName>
    <definedName name="_xlnm._FilterDatabase" localSheetId="3" hidden="1">'4.8'!$A$2:$D$672</definedName>
    <definedName name="_xlnm._FilterDatabase" localSheetId="4" hidden="1">'5.8'!$A$2:$D$672</definedName>
    <definedName name="_xlnm._FilterDatabase" localSheetId="5" hidden="1">'6.8'!$A$2:$D$680</definedName>
    <definedName name="_xlnm._FilterDatabase" localSheetId="6" hidden="1">'7.8'!$A$2:$D$682</definedName>
    <definedName name="_xlnm._FilterDatabase" localSheetId="7" hidden="1">'8.8'!$A$2:$D$683</definedName>
    <definedName name="_xlnm._FilterDatabase" localSheetId="8" hidden="1">'9.8'!$A$2:$D$397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9" i="31" l="1"/>
  <c r="K187" i="31" l="1"/>
  <c r="L187" i="31"/>
  <c r="L186" i="31"/>
  <c r="D398" i="26" l="1"/>
  <c r="D686" i="27"/>
  <c r="D182" i="31"/>
  <c r="D4" i="31"/>
  <c r="D5" i="31"/>
  <c r="D6" i="31"/>
  <c r="D163" i="31" s="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5" i="31"/>
  <c r="D183" i="31" s="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1" i="31"/>
  <c r="D3" i="31"/>
  <c r="E3" i="30" l="1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50" i="30"/>
  <c r="E51" i="30"/>
  <c r="E52" i="30"/>
  <c r="E53" i="30"/>
  <c r="E54" i="30"/>
  <c r="E55" i="30"/>
  <c r="E56" i="30"/>
  <c r="E57" i="30"/>
  <c r="E58" i="30"/>
  <c r="E59" i="30"/>
  <c r="E60" i="30"/>
  <c r="E61" i="30"/>
  <c r="E62" i="30"/>
  <c r="E63" i="30"/>
  <c r="E64" i="30"/>
  <c r="E65" i="30"/>
  <c r="E66" i="30"/>
  <c r="E67" i="30"/>
  <c r="E68" i="30"/>
  <c r="E69" i="30"/>
  <c r="E70" i="30"/>
  <c r="E71" i="30"/>
  <c r="E72" i="30"/>
  <c r="E73" i="30"/>
  <c r="E74" i="30"/>
  <c r="E75" i="30"/>
  <c r="E76" i="30"/>
  <c r="E77" i="30"/>
  <c r="E79" i="30"/>
  <c r="E80" i="30"/>
  <c r="E81" i="30"/>
  <c r="E82" i="30"/>
  <c r="E84" i="30"/>
  <c r="E85" i="30"/>
  <c r="E86" i="30"/>
  <c r="E87" i="30"/>
  <c r="E88" i="30"/>
  <c r="E89" i="30"/>
  <c r="E90" i="30"/>
  <c r="E91" i="30"/>
  <c r="E92" i="30"/>
  <c r="E93" i="30"/>
  <c r="E94" i="30"/>
  <c r="E95" i="30"/>
  <c r="E96" i="30"/>
  <c r="E97" i="30"/>
  <c r="E98" i="30"/>
  <c r="E99" i="30"/>
  <c r="E100" i="30"/>
  <c r="E101" i="30"/>
  <c r="E102" i="30"/>
  <c r="E103" i="30"/>
  <c r="E105" i="30"/>
  <c r="E106" i="30"/>
  <c r="E107" i="30"/>
  <c r="E109" i="30"/>
  <c r="E110" i="30"/>
  <c r="E111" i="30"/>
  <c r="E112" i="30"/>
  <c r="E113" i="30"/>
  <c r="E114" i="30"/>
  <c r="E115" i="30"/>
  <c r="E116" i="30"/>
  <c r="E117" i="30"/>
  <c r="E118" i="30"/>
  <c r="E119" i="30"/>
  <c r="E121" i="30"/>
  <c r="E122" i="30"/>
  <c r="E123" i="30"/>
  <c r="E124" i="30"/>
  <c r="E125" i="30"/>
  <c r="E126" i="30"/>
  <c r="E127" i="30"/>
  <c r="E128" i="30"/>
  <c r="E129" i="30"/>
  <c r="E130" i="30"/>
  <c r="E131" i="30"/>
  <c r="E132" i="30"/>
  <c r="E133" i="30"/>
  <c r="E134" i="30"/>
  <c r="E135" i="30"/>
  <c r="E136" i="30"/>
  <c r="E137" i="30"/>
  <c r="E138" i="30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2" i="30"/>
  <c r="A141" i="30" l="1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C120" i="30"/>
  <c r="E120" i="30" s="1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C108" i="30"/>
  <c r="E108" i="30" s="1"/>
  <c r="A108" i="30"/>
  <c r="A107" i="30"/>
  <c r="A106" i="30"/>
  <c r="A105" i="30"/>
  <c r="C104" i="30"/>
  <c r="E104" i="30" s="1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C83" i="30"/>
  <c r="E83" i="30" s="1"/>
  <c r="A83" i="30"/>
  <c r="A82" i="30"/>
  <c r="A81" i="30"/>
  <c r="A80" i="30"/>
  <c r="A79" i="30"/>
  <c r="C78" i="30"/>
  <c r="E78" i="30" s="1"/>
  <c r="E151" i="30" s="1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A3" i="30"/>
  <c r="A2" i="30"/>
  <c r="D4" i="29" l="1"/>
  <c r="D5" i="29"/>
  <c r="D6" i="29"/>
  <c r="D8" i="29"/>
  <c r="D9" i="29"/>
  <c r="D10" i="29"/>
  <c r="D11" i="29"/>
  <c r="D12" i="29"/>
  <c r="D13" i="29"/>
  <c r="D14" i="29"/>
  <c r="D16" i="29"/>
  <c r="D17" i="29"/>
  <c r="D18" i="29"/>
  <c r="D19" i="29"/>
  <c r="D20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7" i="29"/>
  <c r="D58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6" i="29"/>
  <c r="D217" i="29"/>
  <c r="D218" i="29"/>
  <c r="D219" i="29"/>
  <c r="D220" i="29"/>
  <c r="D222" i="29"/>
  <c r="D223" i="29"/>
  <c r="D224" i="29"/>
  <c r="D225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0" i="29"/>
  <c r="D262" i="29"/>
  <c r="D263" i="29"/>
  <c r="D264" i="29"/>
  <c r="D265" i="29"/>
  <c r="D266" i="29"/>
  <c r="D267" i="29"/>
  <c r="D269" i="29"/>
  <c r="D270" i="29"/>
  <c r="D271" i="29"/>
  <c r="D274" i="29"/>
  <c r="D275" i="29"/>
  <c r="D276" i="29"/>
  <c r="D277" i="29"/>
  <c r="D278" i="29"/>
  <c r="D279" i="29"/>
  <c r="D280" i="29"/>
  <c r="D281" i="29"/>
  <c r="D282" i="29"/>
  <c r="D283" i="29"/>
  <c r="D284" i="29"/>
  <c r="D285" i="29"/>
  <c r="D286" i="29"/>
  <c r="D287" i="29"/>
  <c r="D288" i="29"/>
  <c r="D289" i="29"/>
  <c r="D290" i="29"/>
  <c r="D291" i="29"/>
  <c r="D292" i="29"/>
  <c r="D293" i="29"/>
  <c r="D294" i="29"/>
  <c r="D295" i="29"/>
  <c r="D296" i="29"/>
  <c r="D298" i="29"/>
  <c r="D299" i="29"/>
  <c r="D301" i="29"/>
  <c r="D302" i="29"/>
  <c r="D303" i="29"/>
  <c r="D304" i="29"/>
  <c r="D305" i="29"/>
  <c r="D306" i="29"/>
  <c r="D307" i="29"/>
  <c r="D308" i="29"/>
  <c r="D309" i="29"/>
  <c r="D310" i="29"/>
  <c r="D311" i="29"/>
  <c r="D312" i="29"/>
  <c r="D313" i="29"/>
  <c r="D314" i="29"/>
  <c r="D315" i="29"/>
  <c r="D316" i="29"/>
  <c r="D317" i="29"/>
  <c r="D318" i="29"/>
  <c r="D319" i="29"/>
  <c r="D320" i="29"/>
  <c r="D321" i="29"/>
  <c r="D322" i="29"/>
  <c r="D323" i="29"/>
  <c r="D324" i="29"/>
  <c r="D325" i="29"/>
  <c r="D326" i="29"/>
  <c r="D327" i="29"/>
  <c r="D328" i="29"/>
  <c r="D329" i="29"/>
  <c r="D330" i="29"/>
  <c r="D331" i="29"/>
  <c r="D332" i="29"/>
  <c r="D333" i="29"/>
  <c r="D334" i="29"/>
  <c r="D335" i="29"/>
  <c r="D336" i="29"/>
  <c r="D337" i="29"/>
  <c r="D338" i="29"/>
  <c r="D339" i="29"/>
  <c r="D340" i="29"/>
  <c r="D341" i="29"/>
  <c r="D342" i="29"/>
  <c r="D343" i="29"/>
  <c r="D344" i="29"/>
  <c r="D345" i="29"/>
  <c r="D346" i="29"/>
  <c r="D347" i="29"/>
  <c r="D348" i="29"/>
  <c r="D349" i="29"/>
  <c r="D350" i="29"/>
  <c r="D352" i="29"/>
  <c r="D355" i="29"/>
  <c r="D356" i="29"/>
  <c r="D357" i="29"/>
  <c r="D358" i="29"/>
  <c r="D359" i="29"/>
  <c r="D360" i="29"/>
  <c r="D361" i="29"/>
  <c r="D362" i="29"/>
  <c r="D363" i="29"/>
  <c r="D364" i="29"/>
  <c r="D365" i="29"/>
  <c r="D366" i="29"/>
  <c r="D367" i="29"/>
  <c r="D368" i="29"/>
  <c r="D369" i="29"/>
  <c r="D370" i="29"/>
  <c r="D371" i="29"/>
  <c r="D372" i="29"/>
  <c r="D373" i="29"/>
  <c r="D374" i="29"/>
  <c r="D375" i="29"/>
  <c r="D376" i="29"/>
  <c r="D377" i="29"/>
  <c r="D378" i="29"/>
  <c r="D379" i="29"/>
  <c r="D380" i="29"/>
  <c r="D381" i="29"/>
  <c r="D382" i="29"/>
  <c r="D383" i="29"/>
  <c r="D384" i="29"/>
  <c r="D385" i="29"/>
  <c r="D386" i="29"/>
  <c r="D387" i="29"/>
  <c r="D388" i="29"/>
  <c r="D389" i="29"/>
  <c r="D390" i="29"/>
  <c r="D391" i="29"/>
  <c r="D392" i="29"/>
  <c r="D393" i="29"/>
  <c r="D394" i="29"/>
  <c r="D395" i="29"/>
  <c r="D396" i="29"/>
  <c r="D397" i="29"/>
  <c r="D398" i="29"/>
  <c r="D399" i="29"/>
  <c r="D400" i="29"/>
  <c r="D401" i="29"/>
  <c r="D402" i="29"/>
  <c r="D403" i="29"/>
  <c r="D404" i="29"/>
  <c r="D405" i="29"/>
  <c r="D406" i="29"/>
  <c r="D407" i="29"/>
  <c r="D408" i="29"/>
  <c r="D409" i="29"/>
  <c r="D410" i="29"/>
  <c r="D411" i="29"/>
  <c r="D412" i="29"/>
  <c r="D413" i="29"/>
  <c r="D414" i="29"/>
  <c r="D415" i="29"/>
  <c r="D416" i="29"/>
  <c r="D417" i="29"/>
  <c r="D418" i="29"/>
  <c r="D419" i="29"/>
  <c r="D420" i="29"/>
  <c r="D421" i="29"/>
  <c r="D422" i="29"/>
  <c r="D423" i="29"/>
  <c r="D424" i="29"/>
  <c r="D425" i="29"/>
  <c r="D426" i="29"/>
  <c r="D427" i="29"/>
  <c r="D428" i="29"/>
  <c r="D429" i="29"/>
  <c r="D430" i="29"/>
  <c r="D431" i="29"/>
  <c r="D432" i="29"/>
  <c r="D433" i="29"/>
  <c r="D434" i="29"/>
  <c r="D435" i="29"/>
  <c r="D436" i="29"/>
  <c r="D437" i="29"/>
  <c r="D438" i="29"/>
  <c r="D439" i="29"/>
  <c r="D440" i="29"/>
  <c r="D441" i="29"/>
  <c r="D442" i="29"/>
  <c r="D443" i="29"/>
  <c r="D444" i="29"/>
  <c r="D445" i="29"/>
  <c r="D446" i="29"/>
  <c r="D447" i="29"/>
  <c r="D448" i="29"/>
  <c r="D449" i="29"/>
  <c r="D450" i="29"/>
  <c r="D451" i="29"/>
  <c r="D452" i="29"/>
  <c r="D453" i="29"/>
  <c r="D454" i="29"/>
  <c r="D455" i="29"/>
  <c r="D456" i="29"/>
  <c r="D457" i="29"/>
  <c r="D458" i="29"/>
  <c r="D459" i="29"/>
  <c r="D460" i="29"/>
  <c r="D461" i="29"/>
  <c r="D462" i="29"/>
  <c r="D463" i="29"/>
  <c r="D464" i="29"/>
  <c r="D465" i="29"/>
  <c r="D466" i="29"/>
  <c r="D467" i="29"/>
  <c r="D468" i="29"/>
  <c r="D469" i="29"/>
  <c r="D470" i="29"/>
  <c r="D471" i="29"/>
  <c r="D472" i="29"/>
  <c r="D473" i="29"/>
  <c r="D474" i="29"/>
  <c r="D475" i="29"/>
  <c r="D476" i="29"/>
  <c r="D477" i="29"/>
  <c r="D478" i="29"/>
  <c r="D479" i="29"/>
  <c r="D480" i="29"/>
  <c r="D481" i="29"/>
  <c r="D482" i="29"/>
  <c r="D483" i="29"/>
  <c r="D484" i="29"/>
  <c r="D485" i="29"/>
  <c r="D486" i="29"/>
  <c r="D487" i="29"/>
  <c r="D488" i="29"/>
  <c r="D489" i="29"/>
  <c r="D490" i="29"/>
  <c r="D491" i="29"/>
  <c r="D492" i="29"/>
  <c r="D493" i="29"/>
  <c r="D494" i="29"/>
  <c r="D495" i="29"/>
  <c r="D496" i="29"/>
  <c r="D497" i="29"/>
  <c r="D498" i="29"/>
  <c r="D499" i="29"/>
  <c r="D500" i="29"/>
  <c r="D501" i="29"/>
  <c r="D502" i="29"/>
  <c r="D503" i="29"/>
  <c r="D504" i="29"/>
  <c r="D505" i="29"/>
  <c r="D506" i="29"/>
  <c r="D507" i="29"/>
  <c r="D508" i="29"/>
  <c r="D509" i="29"/>
  <c r="D510" i="29"/>
  <c r="D511" i="29"/>
  <c r="D512" i="29"/>
  <c r="D513" i="29"/>
  <c r="D514" i="29"/>
  <c r="D515" i="29"/>
  <c r="D516" i="29"/>
  <c r="D517" i="29"/>
  <c r="D518" i="29"/>
  <c r="D519" i="29"/>
  <c r="D520" i="29"/>
  <c r="D521" i="29"/>
  <c r="D522" i="29"/>
  <c r="D523" i="29"/>
  <c r="D524" i="29"/>
  <c r="D525" i="29"/>
  <c r="D526" i="29"/>
  <c r="D527" i="29"/>
  <c r="D528" i="29"/>
  <c r="D529" i="29"/>
  <c r="D530" i="29"/>
  <c r="D531" i="29"/>
  <c r="D532" i="29"/>
  <c r="D533" i="29"/>
  <c r="D534" i="29"/>
  <c r="D535" i="29"/>
  <c r="D536" i="29"/>
  <c r="D537" i="29"/>
  <c r="D538" i="29"/>
  <c r="D539" i="29"/>
  <c r="D540" i="29"/>
  <c r="D541" i="29"/>
  <c r="D542" i="29"/>
  <c r="D543" i="29"/>
  <c r="D544" i="29"/>
  <c r="D545" i="29"/>
  <c r="D546" i="29"/>
  <c r="D547" i="29"/>
  <c r="D548" i="29"/>
  <c r="D549" i="29"/>
  <c r="D550" i="29"/>
  <c r="D551" i="29"/>
  <c r="D552" i="29"/>
  <c r="D553" i="29"/>
  <c r="D554" i="29"/>
  <c r="D555" i="29"/>
  <c r="D556" i="29"/>
  <c r="D557" i="29"/>
  <c r="D558" i="29"/>
  <c r="D559" i="29"/>
  <c r="D560" i="29"/>
  <c r="D561" i="29"/>
  <c r="D562" i="29"/>
  <c r="D563" i="29"/>
  <c r="D564" i="29"/>
  <c r="D565" i="29"/>
  <c r="D566" i="29"/>
  <c r="D567" i="29"/>
  <c r="D568" i="29"/>
  <c r="D569" i="29"/>
  <c r="D570" i="29"/>
  <c r="D571" i="29"/>
  <c r="D572" i="29"/>
  <c r="D573" i="29"/>
  <c r="D574" i="29"/>
  <c r="D575" i="29"/>
  <c r="D576" i="29"/>
  <c r="D577" i="29"/>
  <c r="D578" i="29"/>
  <c r="D579" i="29"/>
  <c r="D580" i="29"/>
  <c r="D581" i="29"/>
  <c r="D582" i="29"/>
  <c r="D583" i="29"/>
  <c r="D584" i="29"/>
  <c r="D585" i="29"/>
  <c r="D586" i="29"/>
  <c r="D587" i="29"/>
  <c r="D588" i="29"/>
  <c r="D589" i="29"/>
  <c r="D590" i="29"/>
  <c r="D591" i="29"/>
  <c r="D592" i="29"/>
  <c r="D593" i="29"/>
  <c r="D594" i="29"/>
  <c r="D595" i="29"/>
  <c r="D596" i="29"/>
  <c r="D597" i="29"/>
  <c r="D598" i="29"/>
  <c r="D599" i="29"/>
  <c r="D600" i="29"/>
  <c r="D601" i="29"/>
  <c r="D602" i="29"/>
  <c r="D603" i="29"/>
  <c r="D604" i="29"/>
  <c r="D605" i="29"/>
  <c r="D606" i="29"/>
  <c r="D607" i="29"/>
  <c r="D608" i="29"/>
  <c r="D609" i="29"/>
  <c r="D610" i="29"/>
  <c r="D611" i="29"/>
  <c r="D612" i="29"/>
  <c r="D613" i="29"/>
  <c r="D614" i="29"/>
  <c r="D615" i="29"/>
  <c r="D616" i="29"/>
  <c r="D617" i="29"/>
  <c r="D618" i="29"/>
  <c r="D619" i="29"/>
  <c r="D620" i="29"/>
  <c r="D621" i="29"/>
  <c r="D622" i="29"/>
  <c r="D623" i="29"/>
  <c r="D624" i="29"/>
  <c r="D625" i="29"/>
  <c r="D626" i="29"/>
  <c r="D627" i="29"/>
  <c r="D628" i="29"/>
  <c r="D629" i="29"/>
  <c r="D630" i="29"/>
  <c r="D631" i="29"/>
  <c r="D632" i="29"/>
  <c r="D633" i="29"/>
  <c r="D634" i="29"/>
  <c r="D635" i="29"/>
  <c r="D636" i="29"/>
  <c r="D637" i="29"/>
  <c r="D638" i="29"/>
  <c r="D639" i="29"/>
  <c r="D640" i="29"/>
  <c r="D641" i="29"/>
  <c r="D642" i="29"/>
  <c r="D643" i="29"/>
  <c r="D644" i="29"/>
  <c r="D645" i="29"/>
  <c r="D646" i="29"/>
  <c r="D647" i="29"/>
  <c r="D648" i="29"/>
  <c r="D649" i="29"/>
  <c r="D650" i="29"/>
  <c r="D651" i="29"/>
  <c r="D652" i="29"/>
  <c r="D653" i="29"/>
  <c r="D654" i="29"/>
  <c r="D655" i="29"/>
  <c r="D656" i="29"/>
  <c r="D657" i="29"/>
  <c r="D658" i="29"/>
  <c r="D659" i="29"/>
  <c r="D660" i="29"/>
  <c r="D661" i="29"/>
  <c r="D662" i="29"/>
  <c r="D663" i="29"/>
  <c r="D664" i="29"/>
  <c r="D665" i="29"/>
  <c r="D666" i="29"/>
  <c r="D667" i="29"/>
  <c r="D668" i="29"/>
  <c r="D669" i="29"/>
  <c r="D670" i="29"/>
  <c r="D671" i="29"/>
  <c r="D672" i="29"/>
  <c r="D673" i="29"/>
  <c r="D674" i="29"/>
  <c r="D675" i="29"/>
  <c r="D676" i="29"/>
  <c r="D677" i="29"/>
  <c r="D678" i="29"/>
  <c r="D679" i="29"/>
  <c r="D680" i="29"/>
  <c r="D681" i="29"/>
  <c r="D682" i="29"/>
  <c r="D3" i="29"/>
  <c r="B683" i="29"/>
  <c r="B300" i="29"/>
  <c r="D300" i="29" s="1"/>
  <c r="B297" i="29"/>
  <c r="D297" i="29" s="1"/>
  <c r="B273" i="29"/>
  <c r="D273" i="29" s="1"/>
  <c r="B272" i="29"/>
  <c r="D272" i="29" s="1"/>
  <c r="B269" i="29"/>
  <c r="B268" i="29"/>
  <c r="D268" i="29" s="1"/>
  <c r="B261" i="29"/>
  <c r="D261" i="29" s="1"/>
  <c r="B226" i="29"/>
  <c r="D226" i="29" s="1"/>
  <c r="B221" i="29"/>
  <c r="D221" i="29" s="1"/>
  <c r="B215" i="29"/>
  <c r="D215" i="29" s="1"/>
  <c r="B197" i="29"/>
  <c r="B194" i="29"/>
  <c r="B193" i="29"/>
  <c r="D193" i="29" s="1"/>
  <c r="B146" i="29"/>
  <c r="B135" i="29"/>
  <c r="D135" i="29" s="1"/>
  <c r="B83" i="29"/>
  <c r="D83" i="29" s="1"/>
  <c r="B80" i="29"/>
  <c r="B59" i="29"/>
  <c r="D59" i="29" s="1"/>
  <c r="B56" i="29"/>
  <c r="D56" i="29" s="1"/>
  <c r="B22" i="29"/>
  <c r="D22" i="29" s="1"/>
  <c r="B21" i="29"/>
  <c r="D21" i="29" s="1"/>
  <c r="B15" i="29"/>
  <c r="D15" i="29" s="1"/>
  <c r="B7" i="29"/>
  <c r="D7" i="29" s="1"/>
  <c r="D351" i="29" l="1"/>
  <c r="D683" i="29"/>
  <c r="D685" i="29" s="1"/>
  <c r="B351" i="29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1" i="28"/>
  <c r="D22" i="28"/>
  <c r="D23" i="28"/>
  <c r="D25" i="28"/>
  <c r="D26" i="28"/>
  <c r="D27" i="28"/>
  <c r="D28" i="28"/>
  <c r="D29" i="28"/>
  <c r="D31" i="28"/>
  <c r="D32" i="28"/>
  <c r="D35" i="28"/>
  <c r="D37" i="28"/>
  <c r="D38" i="28"/>
  <c r="D39" i="28"/>
  <c r="D40" i="28"/>
  <c r="D41" i="28"/>
  <c r="D42" i="28"/>
  <c r="D43" i="28"/>
  <c r="D45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8" i="28"/>
  <c r="D119" i="28"/>
  <c r="D120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4" i="28"/>
  <c r="D185" i="28"/>
  <c r="D186" i="28"/>
  <c r="D187" i="28"/>
  <c r="D188" i="28"/>
  <c r="D189" i="28"/>
  <c r="D190" i="28"/>
  <c r="D191" i="28"/>
  <c r="D192" i="28"/>
  <c r="D193" i="28"/>
  <c r="D194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2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3" i="28"/>
  <c r="B465" i="28"/>
  <c r="D465" i="28" s="1"/>
  <c r="B405" i="28"/>
  <c r="D405" i="28" s="1"/>
  <c r="B286" i="28"/>
  <c r="D286" i="28" s="1"/>
  <c r="B203" i="28"/>
  <c r="B195" i="28"/>
  <c r="D195" i="28" s="1"/>
  <c r="B183" i="28"/>
  <c r="D183" i="28" s="1"/>
  <c r="B169" i="28"/>
  <c r="D169" i="28" s="1"/>
  <c r="B147" i="28"/>
  <c r="D147" i="28" s="1"/>
  <c r="B121" i="28"/>
  <c r="D121" i="28" s="1"/>
  <c r="B117" i="28"/>
  <c r="D117" i="28" s="1"/>
  <c r="B96" i="28"/>
  <c r="D96" i="28" s="1"/>
  <c r="B70" i="28"/>
  <c r="D70" i="28" s="1"/>
  <c r="B47" i="28"/>
  <c r="B46" i="28"/>
  <c r="D46" i="28" s="1"/>
  <c r="B44" i="28"/>
  <c r="D44" i="28" s="1"/>
  <c r="B36" i="28"/>
  <c r="D36" i="28" s="1"/>
  <c r="B34" i="28"/>
  <c r="D34" i="28" s="1"/>
  <c r="B33" i="28"/>
  <c r="D33" i="28" s="1"/>
  <c r="B30" i="28"/>
  <c r="D30" i="28" s="1"/>
  <c r="B29" i="28"/>
  <c r="B24" i="28"/>
  <c r="D24" i="28" s="1"/>
  <c r="B20" i="28"/>
  <c r="D20" i="28" s="1"/>
  <c r="D351" i="28" l="1"/>
  <c r="B683" i="28"/>
  <c r="D683" i="28"/>
  <c r="B351" i="28"/>
  <c r="D4" i="27"/>
  <c r="D5" i="27"/>
  <c r="D6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3" i="27"/>
  <c r="D24" i="27"/>
  <c r="D25" i="27"/>
  <c r="D26" i="27"/>
  <c r="D28" i="27"/>
  <c r="D29" i="27"/>
  <c r="D30" i="27"/>
  <c r="D31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60" i="27"/>
  <c r="D61" i="27"/>
  <c r="D62" i="27"/>
  <c r="D63" i="27"/>
  <c r="D64" i="27"/>
  <c r="D65" i="27"/>
  <c r="D67" i="27"/>
  <c r="D68" i="27"/>
  <c r="D69" i="27"/>
  <c r="D70" i="27"/>
  <c r="D71" i="27"/>
  <c r="D72" i="27"/>
  <c r="D73" i="27"/>
  <c r="D75" i="27"/>
  <c r="D76" i="27"/>
  <c r="D77" i="27"/>
  <c r="D78" i="27"/>
  <c r="D79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5" i="27"/>
  <c r="D196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3" i="27"/>
  <c r="D214" i="27"/>
  <c r="D216" i="27"/>
  <c r="D217" i="27"/>
  <c r="D218" i="27"/>
  <c r="D219" i="27"/>
  <c r="D220" i="27"/>
  <c r="D221" i="27"/>
  <c r="D222" i="27"/>
  <c r="D223" i="27"/>
  <c r="D224" i="27"/>
  <c r="D225" i="27"/>
  <c r="D227" i="27"/>
  <c r="D229" i="27"/>
  <c r="D230" i="27"/>
  <c r="D231" i="27"/>
  <c r="D232" i="27"/>
  <c r="D233" i="27"/>
  <c r="D234" i="27"/>
  <c r="D235" i="27"/>
  <c r="D236" i="27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D254" i="27"/>
  <c r="D255" i="27"/>
  <c r="D256" i="27"/>
  <c r="D257" i="27"/>
  <c r="D258" i="27"/>
  <c r="D259" i="27"/>
  <c r="D260" i="27"/>
  <c r="D262" i="27"/>
  <c r="D263" i="27"/>
  <c r="D264" i="27"/>
  <c r="D265" i="27"/>
  <c r="D266" i="27"/>
  <c r="D267" i="27"/>
  <c r="D270" i="27"/>
  <c r="D271" i="27"/>
  <c r="D273" i="27"/>
  <c r="D274" i="27"/>
  <c r="D275" i="27"/>
  <c r="D276" i="27"/>
  <c r="D277" i="27"/>
  <c r="D278" i="27"/>
  <c r="D279" i="27"/>
  <c r="D280" i="27"/>
  <c r="D281" i="27"/>
  <c r="D282" i="27"/>
  <c r="D283" i="27"/>
  <c r="D284" i="27"/>
  <c r="D285" i="27"/>
  <c r="D286" i="27"/>
  <c r="D287" i="27"/>
  <c r="D288" i="27"/>
  <c r="D289" i="27"/>
  <c r="D290" i="27"/>
  <c r="D291" i="27"/>
  <c r="D292" i="27"/>
  <c r="D293" i="27"/>
  <c r="D294" i="27"/>
  <c r="D295" i="27"/>
  <c r="D296" i="27"/>
  <c r="D298" i="27"/>
  <c r="D299" i="27"/>
  <c r="D300" i="27"/>
  <c r="D301" i="27"/>
  <c r="D302" i="27"/>
  <c r="D303" i="27"/>
  <c r="D304" i="27"/>
  <c r="D305" i="27"/>
  <c r="D306" i="27"/>
  <c r="D307" i="27"/>
  <c r="D308" i="27"/>
  <c r="D309" i="27"/>
  <c r="D310" i="27"/>
  <c r="D311" i="27"/>
  <c r="D312" i="27"/>
  <c r="D313" i="27"/>
  <c r="D314" i="27"/>
  <c r="D315" i="27"/>
  <c r="D316" i="27"/>
  <c r="D317" i="27"/>
  <c r="D318" i="27"/>
  <c r="D319" i="27"/>
  <c r="D320" i="27"/>
  <c r="D321" i="27"/>
  <c r="D322" i="27"/>
  <c r="D323" i="27"/>
  <c r="D324" i="27"/>
  <c r="D325" i="27"/>
  <c r="D326" i="27"/>
  <c r="D327" i="27"/>
  <c r="D328" i="27"/>
  <c r="D329" i="27"/>
  <c r="D330" i="27"/>
  <c r="D331" i="27"/>
  <c r="D332" i="27"/>
  <c r="D333" i="27"/>
  <c r="D334" i="27"/>
  <c r="D335" i="27"/>
  <c r="D336" i="27"/>
  <c r="D337" i="27"/>
  <c r="D338" i="27"/>
  <c r="D339" i="27"/>
  <c r="D340" i="27"/>
  <c r="D341" i="27"/>
  <c r="D342" i="27"/>
  <c r="D343" i="27"/>
  <c r="D344" i="27"/>
  <c r="D345" i="27"/>
  <c r="D346" i="27"/>
  <c r="D347" i="27"/>
  <c r="D348" i="27"/>
  <c r="D349" i="27"/>
  <c r="D350" i="27"/>
  <c r="D352" i="27"/>
  <c r="D355" i="27"/>
  <c r="D356" i="27"/>
  <c r="D357" i="27"/>
  <c r="D358" i="27"/>
  <c r="D359" i="27"/>
  <c r="D360" i="27"/>
  <c r="D361" i="27"/>
  <c r="D362" i="27"/>
  <c r="D363" i="27"/>
  <c r="D364" i="27"/>
  <c r="D365" i="27"/>
  <c r="D367" i="27"/>
  <c r="D368" i="27"/>
  <c r="D369" i="27"/>
  <c r="D370" i="27"/>
  <c r="D371" i="27"/>
  <c r="D372" i="27"/>
  <c r="D373" i="27"/>
  <c r="D374" i="27"/>
  <c r="D375" i="27"/>
  <c r="D376" i="27"/>
  <c r="D377" i="27"/>
  <c r="D378" i="27"/>
  <c r="D379" i="27"/>
  <c r="D380" i="27"/>
  <c r="D381" i="27"/>
  <c r="D382" i="27"/>
  <c r="D383" i="27"/>
  <c r="D384" i="27"/>
  <c r="D385" i="27"/>
  <c r="D386" i="27"/>
  <c r="D387" i="27"/>
  <c r="D388" i="27"/>
  <c r="D389" i="27"/>
  <c r="D390" i="27"/>
  <c r="D391" i="27"/>
  <c r="D392" i="27"/>
  <c r="D393" i="27"/>
  <c r="D394" i="27"/>
  <c r="D395" i="27"/>
  <c r="D396" i="27"/>
  <c r="D397" i="27"/>
  <c r="D398" i="27"/>
  <c r="D399" i="27"/>
  <c r="D400" i="27"/>
  <c r="D401" i="27"/>
  <c r="D402" i="27"/>
  <c r="D403" i="27"/>
  <c r="D404" i="27"/>
  <c r="D405" i="27"/>
  <c r="D406" i="27"/>
  <c r="D407" i="27"/>
  <c r="D408" i="27"/>
  <c r="D409" i="27"/>
  <c r="D410" i="27"/>
  <c r="D411" i="27"/>
  <c r="D412" i="27"/>
  <c r="D413" i="27"/>
  <c r="D414" i="27"/>
  <c r="D415" i="27"/>
  <c r="D416" i="27"/>
  <c r="D417" i="27"/>
  <c r="D418" i="27"/>
  <c r="D419" i="27"/>
  <c r="D420" i="27"/>
  <c r="D421" i="27"/>
  <c r="D422" i="27"/>
  <c r="D423" i="27"/>
  <c r="D424" i="27"/>
  <c r="D425" i="27"/>
  <c r="D426" i="27"/>
  <c r="D427" i="27"/>
  <c r="D428" i="27"/>
  <c r="D429" i="27"/>
  <c r="D430" i="27"/>
  <c r="D431" i="27"/>
  <c r="D432" i="27"/>
  <c r="D433" i="27"/>
  <c r="D434" i="27"/>
  <c r="D435" i="27"/>
  <c r="D436" i="27"/>
  <c r="D437" i="27"/>
  <c r="D438" i="27"/>
  <c r="D439" i="27"/>
  <c r="D440" i="27"/>
  <c r="D441" i="27"/>
  <c r="D442" i="27"/>
  <c r="D443" i="27"/>
  <c r="D444" i="27"/>
  <c r="D445" i="27"/>
  <c r="D446" i="27"/>
  <c r="D447" i="27"/>
  <c r="D448" i="27"/>
  <c r="D449" i="27"/>
  <c r="D450" i="27"/>
  <c r="D451" i="27"/>
  <c r="D452" i="27"/>
  <c r="D453" i="27"/>
  <c r="D454" i="27"/>
  <c r="D455" i="27"/>
  <c r="D456" i="27"/>
  <c r="D457" i="27"/>
  <c r="D458" i="27"/>
  <c r="D459" i="27"/>
  <c r="D460" i="27"/>
  <c r="D461" i="27"/>
  <c r="D462" i="27"/>
  <c r="D463" i="27"/>
  <c r="D464" i="27"/>
  <c r="D465" i="27"/>
  <c r="D466" i="27"/>
  <c r="D467" i="27"/>
  <c r="D468" i="27"/>
  <c r="D469" i="27"/>
  <c r="D470" i="27"/>
  <c r="D471" i="27"/>
  <c r="D472" i="27"/>
  <c r="D473" i="27"/>
  <c r="D474" i="27"/>
  <c r="D475" i="27"/>
  <c r="D476" i="27"/>
  <c r="D477" i="27"/>
  <c r="D478" i="27"/>
  <c r="D479" i="27"/>
  <c r="D480" i="27"/>
  <c r="D481" i="27"/>
  <c r="D482" i="27"/>
  <c r="D483" i="27"/>
  <c r="D484" i="27"/>
  <c r="D485" i="27"/>
  <c r="D486" i="27"/>
  <c r="D487" i="27"/>
  <c r="D488" i="27"/>
  <c r="D489" i="27"/>
  <c r="D490" i="27"/>
  <c r="D491" i="27"/>
  <c r="D492" i="27"/>
  <c r="D493" i="27"/>
  <c r="D494" i="27"/>
  <c r="D495" i="27"/>
  <c r="D496" i="27"/>
  <c r="D497" i="27"/>
  <c r="D498" i="27"/>
  <c r="D499" i="27"/>
  <c r="D500" i="27"/>
  <c r="D501" i="27"/>
  <c r="D502" i="27"/>
  <c r="D503" i="27"/>
  <c r="D504" i="27"/>
  <c r="D505" i="27"/>
  <c r="D506" i="27"/>
  <c r="D507" i="27"/>
  <c r="D508" i="27"/>
  <c r="D509" i="27"/>
  <c r="D510" i="27"/>
  <c r="D511" i="27"/>
  <c r="D512" i="27"/>
  <c r="D513" i="27"/>
  <c r="D514" i="27"/>
  <c r="D515" i="27"/>
  <c r="D516" i="27"/>
  <c r="D517" i="27"/>
  <c r="D518" i="27"/>
  <c r="D519" i="27"/>
  <c r="D520" i="27"/>
  <c r="D521" i="27"/>
  <c r="D522" i="27"/>
  <c r="D523" i="27"/>
  <c r="D524" i="27"/>
  <c r="D525" i="27"/>
  <c r="D526" i="27"/>
  <c r="D527" i="27"/>
  <c r="D528" i="27"/>
  <c r="D529" i="27"/>
  <c r="D530" i="27"/>
  <c r="D531" i="27"/>
  <c r="D532" i="27"/>
  <c r="D533" i="27"/>
  <c r="D534" i="27"/>
  <c r="D535" i="27"/>
  <c r="D536" i="27"/>
  <c r="D537" i="27"/>
  <c r="D538" i="27"/>
  <c r="D539" i="27"/>
  <c r="D540" i="27"/>
  <c r="D541" i="27"/>
  <c r="D542" i="27"/>
  <c r="D543" i="27"/>
  <c r="D544" i="27"/>
  <c r="D545" i="27"/>
  <c r="D546" i="27"/>
  <c r="D547" i="27"/>
  <c r="D548" i="27"/>
  <c r="D549" i="27"/>
  <c r="D550" i="27"/>
  <c r="D551" i="27"/>
  <c r="D552" i="27"/>
  <c r="D553" i="27"/>
  <c r="D554" i="27"/>
  <c r="D555" i="27"/>
  <c r="D556" i="27"/>
  <c r="D557" i="27"/>
  <c r="D558" i="27"/>
  <c r="D559" i="27"/>
  <c r="D560" i="27"/>
  <c r="D561" i="27"/>
  <c r="D562" i="27"/>
  <c r="D563" i="27"/>
  <c r="D564" i="27"/>
  <c r="D565" i="27"/>
  <c r="D566" i="27"/>
  <c r="D567" i="27"/>
  <c r="D568" i="27"/>
  <c r="D569" i="27"/>
  <c r="D570" i="27"/>
  <c r="D571" i="27"/>
  <c r="D572" i="27"/>
  <c r="D573" i="27"/>
  <c r="D574" i="27"/>
  <c r="D575" i="27"/>
  <c r="D576" i="27"/>
  <c r="D577" i="27"/>
  <c r="D578" i="27"/>
  <c r="D579" i="27"/>
  <c r="D580" i="27"/>
  <c r="D581" i="27"/>
  <c r="D582" i="27"/>
  <c r="D583" i="27"/>
  <c r="D584" i="27"/>
  <c r="D585" i="27"/>
  <c r="D586" i="27"/>
  <c r="D587" i="27"/>
  <c r="D588" i="27"/>
  <c r="D589" i="27"/>
  <c r="D590" i="27"/>
  <c r="D591" i="27"/>
  <c r="D592" i="27"/>
  <c r="D593" i="27"/>
  <c r="D594" i="27"/>
  <c r="D595" i="27"/>
  <c r="D596" i="27"/>
  <c r="D597" i="27"/>
  <c r="D598" i="27"/>
  <c r="D599" i="27"/>
  <c r="D600" i="27"/>
  <c r="D601" i="27"/>
  <c r="D602" i="27"/>
  <c r="D603" i="27"/>
  <c r="D604" i="27"/>
  <c r="D605" i="27"/>
  <c r="D606" i="27"/>
  <c r="D607" i="27"/>
  <c r="D608" i="27"/>
  <c r="D609" i="27"/>
  <c r="D610" i="27"/>
  <c r="D611" i="27"/>
  <c r="D612" i="27"/>
  <c r="D613" i="27"/>
  <c r="D614" i="27"/>
  <c r="D615" i="27"/>
  <c r="D616" i="27"/>
  <c r="D617" i="27"/>
  <c r="D618" i="27"/>
  <c r="D619" i="27"/>
  <c r="D620" i="27"/>
  <c r="D621" i="27"/>
  <c r="D622" i="27"/>
  <c r="D623" i="27"/>
  <c r="D624" i="27"/>
  <c r="D625" i="27"/>
  <c r="D626" i="27"/>
  <c r="D627" i="27"/>
  <c r="D628" i="27"/>
  <c r="D629" i="27"/>
  <c r="D630" i="27"/>
  <c r="D631" i="27"/>
  <c r="D632" i="27"/>
  <c r="D633" i="27"/>
  <c r="D634" i="27"/>
  <c r="D635" i="27"/>
  <c r="D636" i="27"/>
  <c r="D637" i="27"/>
  <c r="D638" i="27"/>
  <c r="D639" i="27"/>
  <c r="D640" i="27"/>
  <c r="D641" i="27"/>
  <c r="D642" i="27"/>
  <c r="D643" i="27"/>
  <c r="D644" i="27"/>
  <c r="D645" i="27"/>
  <c r="D646" i="27"/>
  <c r="D647" i="27"/>
  <c r="D648" i="27"/>
  <c r="D649" i="27"/>
  <c r="D650" i="27"/>
  <c r="D651" i="27"/>
  <c r="D652" i="27"/>
  <c r="D653" i="27"/>
  <c r="D654" i="27"/>
  <c r="D655" i="27"/>
  <c r="D656" i="27"/>
  <c r="D657" i="27"/>
  <c r="D658" i="27"/>
  <c r="D659" i="27"/>
  <c r="D660" i="27"/>
  <c r="D661" i="27"/>
  <c r="D662" i="27"/>
  <c r="D663" i="27"/>
  <c r="D664" i="27"/>
  <c r="D665" i="27"/>
  <c r="D666" i="27"/>
  <c r="D667" i="27"/>
  <c r="D668" i="27"/>
  <c r="D669" i="27"/>
  <c r="D670" i="27"/>
  <c r="D671" i="27"/>
  <c r="D672" i="27"/>
  <c r="D673" i="27"/>
  <c r="D674" i="27"/>
  <c r="D675" i="27"/>
  <c r="D676" i="27"/>
  <c r="D677" i="27"/>
  <c r="D678" i="27"/>
  <c r="D679" i="27"/>
  <c r="D680" i="27"/>
  <c r="D681" i="27"/>
  <c r="D682" i="27"/>
  <c r="D3" i="27"/>
  <c r="B366" i="27"/>
  <c r="B683" i="27" s="1"/>
  <c r="B297" i="27"/>
  <c r="D297" i="27" s="1"/>
  <c r="B273" i="27"/>
  <c r="B272" i="27"/>
  <c r="D272" i="27" s="1"/>
  <c r="B269" i="27"/>
  <c r="D269" i="27" s="1"/>
  <c r="B268" i="27"/>
  <c r="D268" i="27" s="1"/>
  <c r="B261" i="27"/>
  <c r="D261" i="27" s="1"/>
  <c r="B228" i="27"/>
  <c r="D228" i="27" s="1"/>
  <c r="B226" i="27"/>
  <c r="D226" i="27" s="1"/>
  <c r="B215" i="27"/>
  <c r="D215" i="27" s="1"/>
  <c r="B212" i="27"/>
  <c r="D212" i="27" s="1"/>
  <c r="B204" i="27"/>
  <c r="B197" i="27"/>
  <c r="D197" i="27" s="1"/>
  <c r="B194" i="27"/>
  <c r="D194" i="27" s="1"/>
  <c r="B193" i="27"/>
  <c r="D193" i="27" s="1"/>
  <c r="B178" i="27"/>
  <c r="D178" i="27" s="1"/>
  <c r="B146" i="27"/>
  <c r="D146" i="27" s="1"/>
  <c r="B135" i="27"/>
  <c r="B116" i="27"/>
  <c r="D116" i="27" s="1"/>
  <c r="B94" i="27"/>
  <c r="D94" i="27" s="1"/>
  <c r="B80" i="27"/>
  <c r="D80" i="27" s="1"/>
  <c r="B74" i="27"/>
  <c r="D74" i="27" s="1"/>
  <c r="B66" i="27"/>
  <c r="D66" i="27" s="1"/>
  <c r="B59" i="27"/>
  <c r="D59" i="27" s="1"/>
  <c r="B32" i="27"/>
  <c r="D32" i="27" s="1"/>
  <c r="B27" i="27"/>
  <c r="D27" i="27" s="1"/>
  <c r="B22" i="27"/>
  <c r="D22" i="27" s="1"/>
  <c r="B7" i="27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2" i="26"/>
  <c r="D23" i="26"/>
  <c r="D24" i="26"/>
  <c r="D25" i="26"/>
  <c r="D26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200" i="26"/>
  <c r="D201" i="26"/>
  <c r="D202" i="26"/>
  <c r="D203" i="26"/>
  <c r="D205" i="26"/>
  <c r="D206" i="26"/>
  <c r="D207" i="26"/>
  <c r="D208" i="26"/>
  <c r="D209" i="26"/>
  <c r="D210" i="26"/>
  <c r="D211" i="26"/>
  <c r="D212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2" i="26"/>
  <c r="D263" i="26"/>
  <c r="D264" i="26"/>
  <c r="D265" i="26"/>
  <c r="D266" i="26"/>
  <c r="D267" i="26"/>
  <c r="D269" i="26"/>
  <c r="D270" i="26"/>
  <c r="D271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2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" i="26"/>
  <c r="B273" i="26"/>
  <c r="D273" i="26" s="1"/>
  <c r="B272" i="26"/>
  <c r="D272" i="26" s="1"/>
  <c r="B269" i="26"/>
  <c r="B268" i="26"/>
  <c r="D268" i="26" s="1"/>
  <c r="B261" i="26"/>
  <c r="D261" i="26" s="1"/>
  <c r="B226" i="26"/>
  <c r="D226" i="26" s="1"/>
  <c r="B213" i="26"/>
  <c r="D213" i="26" s="1"/>
  <c r="B204" i="26"/>
  <c r="D204" i="26" s="1"/>
  <c r="B199" i="26"/>
  <c r="D199" i="26" s="1"/>
  <c r="B194" i="26"/>
  <c r="B178" i="26"/>
  <c r="B146" i="26"/>
  <c r="B135" i="26"/>
  <c r="D135" i="26" s="1"/>
  <c r="B80" i="26"/>
  <c r="D80" i="26" s="1"/>
  <c r="B56" i="26"/>
  <c r="D56" i="26" s="1"/>
  <c r="B27" i="26"/>
  <c r="D27" i="26" s="1"/>
  <c r="B21" i="26"/>
  <c r="D21" i="26" s="1"/>
  <c r="D685" i="28" l="1"/>
  <c r="D366" i="27"/>
  <c r="D396" i="26"/>
  <c r="D351" i="26"/>
  <c r="B351" i="26"/>
  <c r="D683" i="27"/>
  <c r="B351" i="27"/>
  <c r="D7" i="27"/>
  <c r="D351" i="27" s="1"/>
  <c r="D4" i="25"/>
  <c r="D5" i="25"/>
  <c r="D6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198" i="25"/>
  <c r="D199" i="25"/>
  <c r="D200" i="25"/>
  <c r="D201" i="25"/>
  <c r="D202" i="25"/>
  <c r="D203" i="25"/>
  <c r="D204" i="25"/>
  <c r="D205" i="25"/>
  <c r="D206" i="25"/>
  <c r="D207" i="25"/>
  <c r="D208" i="25"/>
  <c r="D209" i="25"/>
  <c r="D210" i="25"/>
  <c r="D211" i="25"/>
  <c r="D212" i="25"/>
  <c r="D214" i="25"/>
  <c r="D216" i="25"/>
  <c r="D217" i="25"/>
  <c r="D218" i="25"/>
  <c r="D219" i="25"/>
  <c r="D220" i="25"/>
  <c r="D221" i="25"/>
  <c r="D222" i="25"/>
  <c r="D223" i="25"/>
  <c r="D224" i="25"/>
  <c r="D225" i="25"/>
  <c r="D226" i="25"/>
  <c r="D227" i="25"/>
  <c r="D228" i="25"/>
  <c r="D229" i="25"/>
  <c r="D230" i="25"/>
  <c r="D231" i="25"/>
  <c r="D232" i="25"/>
  <c r="D233" i="25"/>
  <c r="D234" i="25"/>
  <c r="D235" i="25"/>
  <c r="D236" i="25"/>
  <c r="D237" i="25"/>
  <c r="D238" i="25"/>
  <c r="D239" i="25"/>
  <c r="D240" i="25"/>
  <c r="D241" i="25"/>
  <c r="D242" i="25"/>
  <c r="D243" i="25"/>
  <c r="D244" i="25"/>
  <c r="D245" i="25"/>
  <c r="D246" i="25"/>
  <c r="D247" i="25"/>
  <c r="D248" i="25"/>
  <c r="D249" i="25"/>
  <c r="D250" i="25"/>
  <c r="D251" i="25"/>
  <c r="D252" i="25"/>
  <c r="D253" i="25"/>
  <c r="D254" i="25"/>
  <c r="D255" i="25"/>
  <c r="D256" i="25"/>
  <c r="D257" i="25"/>
  <c r="D258" i="25"/>
  <c r="D259" i="25"/>
  <c r="D260" i="25"/>
  <c r="D262" i="25"/>
  <c r="D263" i="25"/>
  <c r="D264" i="25"/>
  <c r="D265" i="25"/>
  <c r="D266" i="25"/>
  <c r="D267" i="25"/>
  <c r="D268" i="25"/>
  <c r="D270" i="25"/>
  <c r="D271" i="25"/>
  <c r="D272" i="25"/>
  <c r="D273" i="25"/>
  <c r="D274" i="25"/>
  <c r="D275" i="25"/>
  <c r="D276" i="25"/>
  <c r="D277" i="25"/>
  <c r="D278" i="25"/>
  <c r="D279" i="25"/>
  <c r="D280" i="25"/>
  <c r="D281" i="25"/>
  <c r="D282" i="25"/>
  <c r="D283" i="25"/>
  <c r="D284" i="25"/>
  <c r="D285" i="25"/>
  <c r="D286" i="25"/>
  <c r="D287" i="25"/>
  <c r="D288" i="25"/>
  <c r="D289" i="25"/>
  <c r="D290" i="25"/>
  <c r="D291" i="25"/>
  <c r="D292" i="25"/>
  <c r="D293" i="25"/>
  <c r="D294" i="25"/>
  <c r="D295" i="25"/>
  <c r="D296" i="25"/>
  <c r="D297" i="25"/>
  <c r="D298" i="25"/>
  <c r="D299" i="25"/>
  <c r="D300" i="25"/>
  <c r="D301" i="25"/>
  <c r="D302" i="25"/>
  <c r="D303" i="25"/>
  <c r="D304" i="25"/>
  <c r="D305" i="25"/>
  <c r="D306" i="25"/>
  <c r="D307" i="25"/>
  <c r="D308" i="25"/>
  <c r="D309" i="25"/>
  <c r="D310" i="25"/>
  <c r="D311" i="25"/>
  <c r="D312" i="25"/>
  <c r="D313" i="25"/>
  <c r="D314" i="25"/>
  <c r="D315" i="25"/>
  <c r="D316" i="25"/>
  <c r="D317" i="25"/>
  <c r="D318" i="25"/>
  <c r="D319" i="25"/>
  <c r="D320" i="25"/>
  <c r="D321" i="25"/>
  <c r="D322" i="25"/>
  <c r="D323" i="25"/>
  <c r="D324" i="25"/>
  <c r="D325" i="25"/>
  <c r="D326" i="25"/>
  <c r="D327" i="25"/>
  <c r="D328" i="25"/>
  <c r="D329" i="25"/>
  <c r="D330" i="25"/>
  <c r="D331" i="25"/>
  <c r="D332" i="25"/>
  <c r="D333" i="25"/>
  <c r="D334" i="25"/>
  <c r="D335" i="25"/>
  <c r="D336" i="25"/>
  <c r="D337" i="25"/>
  <c r="D338" i="25"/>
  <c r="D339" i="25"/>
  <c r="D340" i="25"/>
  <c r="D341" i="25"/>
  <c r="D342" i="25"/>
  <c r="D343" i="25"/>
  <c r="D344" i="25"/>
  <c r="D345" i="25"/>
  <c r="D346" i="25"/>
  <c r="D347" i="25"/>
  <c r="D348" i="25"/>
  <c r="D349" i="25"/>
  <c r="D350" i="25"/>
  <c r="D352" i="25"/>
  <c r="D355" i="25"/>
  <c r="D356" i="25"/>
  <c r="D357" i="25"/>
  <c r="D358" i="25"/>
  <c r="D360" i="25"/>
  <c r="D361" i="25"/>
  <c r="D362" i="25"/>
  <c r="D363" i="25"/>
  <c r="D364" i="25"/>
  <c r="D365" i="25"/>
  <c r="D366" i="25"/>
  <c r="D367" i="25"/>
  <c r="D368" i="25"/>
  <c r="D369" i="25"/>
  <c r="D370" i="25"/>
  <c r="D371" i="25"/>
  <c r="D372" i="25"/>
  <c r="D374" i="25"/>
  <c r="D375" i="25"/>
  <c r="D376" i="25"/>
  <c r="D377" i="25"/>
  <c r="D378" i="25"/>
  <c r="D379" i="25"/>
  <c r="D380" i="25"/>
  <c r="D381" i="25"/>
  <c r="D382" i="25"/>
  <c r="D383" i="25"/>
  <c r="D384" i="25"/>
  <c r="D385" i="25"/>
  <c r="D386" i="25"/>
  <c r="D387" i="25"/>
  <c r="D388" i="25"/>
  <c r="D389" i="25"/>
  <c r="D390" i="25"/>
  <c r="D391" i="25"/>
  <c r="D392" i="25"/>
  <c r="D393" i="25"/>
  <c r="D394" i="25"/>
  <c r="D395" i="25"/>
  <c r="D396" i="25"/>
  <c r="D397" i="25"/>
  <c r="D398" i="25"/>
  <c r="D399" i="25"/>
  <c r="D400" i="25"/>
  <c r="D401" i="25"/>
  <c r="D402" i="25"/>
  <c r="D403" i="25"/>
  <c r="D404" i="25"/>
  <c r="D405" i="25"/>
  <c r="D406" i="25"/>
  <c r="D407" i="25"/>
  <c r="D408" i="25"/>
  <c r="D409" i="25"/>
  <c r="D410" i="25"/>
  <c r="D411" i="25"/>
  <c r="D412" i="25"/>
  <c r="D413" i="25"/>
  <c r="D414" i="25"/>
  <c r="D415" i="25"/>
  <c r="D416" i="25"/>
  <c r="D417" i="25"/>
  <c r="D418" i="25"/>
  <c r="D419" i="25"/>
  <c r="D420" i="25"/>
  <c r="D421" i="25"/>
  <c r="D422" i="25"/>
  <c r="D423" i="25"/>
  <c r="D424" i="25"/>
  <c r="D425" i="25"/>
  <c r="D426" i="25"/>
  <c r="D427" i="25"/>
  <c r="D428" i="25"/>
  <c r="D429" i="25"/>
  <c r="D430" i="25"/>
  <c r="D431" i="25"/>
  <c r="D432" i="25"/>
  <c r="D433" i="25"/>
  <c r="D434" i="25"/>
  <c r="D435" i="25"/>
  <c r="D436" i="25"/>
  <c r="D437" i="25"/>
  <c r="D438" i="25"/>
  <c r="D439" i="25"/>
  <c r="D440" i="25"/>
  <c r="D441" i="25"/>
  <c r="D442" i="25"/>
  <c r="D443" i="25"/>
  <c r="D444" i="25"/>
  <c r="D445" i="25"/>
  <c r="D446" i="25"/>
  <c r="D447" i="25"/>
  <c r="D448" i="25"/>
  <c r="D449" i="25"/>
  <c r="D450" i="25"/>
  <c r="D451" i="25"/>
  <c r="D452" i="25"/>
  <c r="D453" i="25"/>
  <c r="D454" i="25"/>
  <c r="D455" i="25"/>
  <c r="D456" i="25"/>
  <c r="D457" i="25"/>
  <c r="D458" i="25"/>
  <c r="D459" i="25"/>
  <c r="D460" i="25"/>
  <c r="D461" i="25"/>
  <c r="D462" i="25"/>
  <c r="D463" i="25"/>
  <c r="D464" i="25"/>
  <c r="D465" i="25"/>
  <c r="D466" i="25"/>
  <c r="D467" i="25"/>
  <c r="D468" i="25"/>
  <c r="D469" i="25"/>
  <c r="D470" i="25"/>
  <c r="D471" i="25"/>
  <c r="D472" i="25"/>
  <c r="D473" i="25"/>
  <c r="D474" i="25"/>
  <c r="D475" i="25"/>
  <c r="D476" i="25"/>
  <c r="D477" i="25"/>
  <c r="D478" i="25"/>
  <c r="D479" i="25"/>
  <c r="D480" i="25"/>
  <c r="D481" i="25"/>
  <c r="D482" i="25"/>
  <c r="D483" i="25"/>
  <c r="D484" i="25"/>
  <c r="D485" i="25"/>
  <c r="D486" i="25"/>
  <c r="D487" i="25"/>
  <c r="D488" i="25"/>
  <c r="D489" i="25"/>
  <c r="D490" i="25"/>
  <c r="D491" i="25"/>
  <c r="D492" i="25"/>
  <c r="D493" i="25"/>
  <c r="D494" i="25"/>
  <c r="D495" i="25"/>
  <c r="D496" i="25"/>
  <c r="D497" i="25"/>
  <c r="D498" i="25"/>
  <c r="D499" i="25"/>
  <c r="D500" i="25"/>
  <c r="D501" i="25"/>
  <c r="D502" i="25"/>
  <c r="D503" i="25"/>
  <c r="D504" i="25"/>
  <c r="D505" i="25"/>
  <c r="D506" i="25"/>
  <c r="D507" i="25"/>
  <c r="D508" i="25"/>
  <c r="D509" i="25"/>
  <c r="D510" i="25"/>
  <c r="D511" i="25"/>
  <c r="D512" i="25"/>
  <c r="D513" i="25"/>
  <c r="D514" i="25"/>
  <c r="D516" i="25"/>
  <c r="D517" i="25"/>
  <c r="D518" i="25"/>
  <c r="D519" i="25"/>
  <c r="D520" i="25"/>
  <c r="D521" i="25"/>
  <c r="D522" i="25"/>
  <c r="D523" i="25"/>
  <c r="D524" i="25"/>
  <c r="D525" i="25"/>
  <c r="D526" i="25"/>
  <c r="D527" i="25"/>
  <c r="D528" i="25"/>
  <c r="D529" i="25"/>
  <c r="D530" i="25"/>
  <c r="D532" i="25"/>
  <c r="D533" i="25"/>
  <c r="D534" i="25"/>
  <c r="D535" i="25"/>
  <c r="D536" i="25"/>
  <c r="D537" i="25"/>
  <c r="D538" i="25"/>
  <c r="D539" i="25"/>
  <c r="D540" i="25"/>
  <c r="D541" i="25"/>
  <c r="D542" i="25"/>
  <c r="D543" i="25"/>
  <c r="D544" i="25"/>
  <c r="D545" i="25"/>
  <c r="D546" i="25"/>
  <c r="D547" i="25"/>
  <c r="D548" i="25"/>
  <c r="D549" i="25"/>
  <c r="D550" i="25"/>
  <c r="D551" i="25"/>
  <c r="D552" i="25"/>
  <c r="D553" i="25"/>
  <c r="D554" i="25"/>
  <c r="D555" i="25"/>
  <c r="D556" i="25"/>
  <c r="D557" i="25"/>
  <c r="D558" i="25"/>
  <c r="D559" i="25"/>
  <c r="D560" i="25"/>
  <c r="D561" i="25"/>
  <c r="D562" i="25"/>
  <c r="D563" i="25"/>
  <c r="D564" i="25"/>
  <c r="D565" i="25"/>
  <c r="D566" i="25"/>
  <c r="D567" i="25"/>
  <c r="D568" i="25"/>
  <c r="D569" i="25"/>
  <c r="D570" i="25"/>
  <c r="D571" i="25"/>
  <c r="D572" i="25"/>
  <c r="D573" i="25"/>
  <c r="D574" i="25"/>
  <c r="D575" i="25"/>
  <c r="D576" i="25"/>
  <c r="D577" i="25"/>
  <c r="D578" i="25"/>
  <c r="D579" i="25"/>
  <c r="D580" i="25"/>
  <c r="D581" i="25"/>
  <c r="D582" i="25"/>
  <c r="D583" i="25"/>
  <c r="D584" i="25"/>
  <c r="D585" i="25"/>
  <c r="D586" i="25"/>
  <c r="D587" i="25"/>
  <c r="D588" i="25"/>
  <c r="D589" i="25"/>
  <c r="D590" i="25"/>
  <c r="D591" i="25"/>
  <c r="D592" i="25"/>
  <c r="D593" i="25"/>
  <c r="D594" i="25"/>
  <c r="D595" i="25"/>
  <c r="D596" i="25"/>
  <c r="D597" i="25"/>
  <c r="D598" i="25"/>
  <c r="D599" i="25"/>
  <c r="D600" i="25"/>
  <c r="D601" i="25"/>
  <c r="D602" i="25"/>
  <c r="D603" i="25"/>
  <c r="D604" i="25"/>
  <c r="D605" i="25"/>
  <c r="D606" i="25"/>
  <c r="D607" i="25"/>
  <c r="D608" i="25"/>
  <c r="D609" i="25"/>
  <c r="D610" i="25"/>
  <c r="D611" i="25"/>
  <c r="D612" i="25"/>
  <c r="D613" i="25"/>
  <c r="D614" i="25"/>
  <c r="D615" i="25"/>
  <c r="D616" i="25"/>
  <c r="D617" i="25"/>
  <c r="D618" i="25"/>
  <c r="D619" i="25"/>
  <c r="D620" i="25"/>
  <c r="D621" i="25"/>
  <c r="D622" i="25"/>
  <c r="D623" i="25"/>
  <c r="D624" i="25"/>
  <c r="D625" i="25"/>
  <c r="D626" i="25"/>
  <c r="D627" i="25"/>
  <c r="D628" i="25"/>
  <c r="D629" i="25"/>
  <c r="D630" i="25"/>
  <c r="D631" i="25"/>
  <c r="D632" i="25"/>
  <c r="D633" i="25"/>
  <c r="D634" i="25"/>
  <c r="D635" i="25"/>
  <c r="D636" i="25"/>
  <c r="D637" i="25"/>
  <c r="D638" i="25"/>
  <c r="D639" i="25"/>
  <c r="D640" i="25"/>
  <c r="D641" i="25"/>
  <c r="D642" i="25"/>
  <c r="D643" i="25"/>
  <c r="D644" i="25"/>
  <c r="D645" i="25"/>
  <c r="D646" i="25"/>
  <c r="D647" i="25"/>
  <c r="D648" i="25"/>
  <c r="D649" i="25"/>
  <c r="D650" i="25"/>
  <c r="D651" i="25"/>
  <c r="D652" i="25"/>
  <c r="D653" i="25"/>
  <c r="D654" i="25"/>
  <c r="D655" i="25"/>
  <c r="D656" i="25"/>
  <c r="D657" i="25"/>
  <c r="D658" i="25"/>
  <c r="D659" i="25"/>
  <c r="D660" i="25"/>
  <c r="D661" i="25"/>
  <c r="D662" i="25"/>
  <c r="D663" i="25"/>
  <c r="D664" i="25"/>
  <c r="D665" i="25"/>
  <c r="D666" i="25"/>
  <c r="D667" i="25"/>
  <c r="D668" i="25"/>
  <c r="D669" i="25"/>
  <c r="D670" i="25"/>
  <c r="D671" i="25"/>
  <c r="D672" i="25"/>
  <c r="D673" i="25"/>
  <c r="D674" i="25"/>
  <c r="D675" i="25"/>
  <c r="D676" i="25"/>
  <c r="D677" i="25"/>
  <c r="D678" i="25"/>
  <c r="D679" i="25"/>
  <c r="D680" i="25"/>
  <c r="D681" i="25"/>
  <c r="D682" i="25"/>
  <c r="D3" i="25"/>
  <c r="B531" i="25"/>
  <c r="D531" i="25" s="1"/>
  <c r="B515" i="25"/>
  <c r="D515" i="25" s="1"/>
  <c r="B373" i="25"/>
  <c r="D373" i="25" s="1"/>
  <c r="B359" i="25"/>
  <c r="D359" i="25" s="1"/>
  <c r="B272" i="25"/>
  <c r="B269" i="25"/>
  <c r="D269" i="25" s="1"/>
  <c r="B268" i="25"/>
  <c r="B261" i="25"/>
  <c r="D261" i="25" s="1"/>
  <c r="B215" i="25"/>
  <c r="D215" i="25" s="1"/>
  <c r="B213" i="25"/>
  <c r="D213" i="25" s="1"/>
  <c r="B178" i="25"/>
  <c r="D178" i="25" s="1"/>
  <c r="B146" i="25"/>
  <c r="D146" i="25" s="1"/>
  <c r="B107" i="25"/>
  <c r="D107" i="25" s="1"/>
  <c r="B56" i="25"/>
  <c r="D56" i="25" s="1"/>
  <c r="B27" i="25"/>
  <c r="B21" i="25"/>
  <c r="D21" i="25" s="1"/>
  <c r="B7" i="25"/>
  <c r="D7" i="25" s="1"/>
  <c r="D351" i="25" l="1"/>
  <c r="D683" i="25"/>
  <c r="B351" i="25"/>
  <c r="B683" i="25"/>
  <c r="D4" i="24"/>
  <c r="D5" i="24"/>
  <c r="D6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6" i="24"/>
  <c r="D137" i="24"/>
  <c r="D138" i="24"/>
  <c r="D139" i="24"/>
  <c r="D140" i="24"/>
  <c r="D141" i="24"/>
  <c r="D142" i="24"/>
  <c r="D143" i="24"/>
  <c r="D144" i="24"/>
  <c r="D145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5" i="24"/>
  <c r="D196" i="24"/>
  <c r="D197" i="24"/>
  <c r="D198" i="24"/>
  <c r="D199" i="24"/>
  <c r="D200" i="24"/>
  <c r="D201" i="24"/>
  <c r="D202" i="24"/>
  <c r="D203" i="24"/>
  <c r="D205" i="24"/>
  <c r="D206" i="24"/>
  <c r="D207" i="24"/>
  <c r="D208" i="24"/>
  <c r="D209" i="24"/>
  <c r="D210" i="24"/>
  <c r="D211" i="24"/>
  <c r="D212" i="24"/>
  <c r="D213" i="24"/>
  <c r="D214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2" i="24"/>
  <c r="D263" i="24"/>
  <c r="D264" i="24"/>
  <c r="D265" i="24"/>
  <c r="D266" i="24"/>
  <c r="D267" i="24"/>
  <c r="D269" i="24"/>
  <c r="D270" i="24"/>
  <c r="D271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1" i="24"/>
  <c r="D292" i="24"/>
  <c r="D293" i="24"/>
  <c r="D294" i="24"/>
  <c r="D295" i="24"/>
  <c r="D296" i="24"/>
  <c r="D297" i="24"/>
  <c r="D298" i="24"/>
  <c r="D299" i="24"/>
  <c r="D300" i="24"/>
  <c r="D301" i="24"/>
  <c r="D302" i="24"/>
  <c r="D303" i="24"/>
  <c r="D304" i="24"/>
  <c r="D305" i="24"/>
  <c r="D306" i="24"/>
  <c r="D307" i="24"/>
  <c r="D308" i="24"/>
  <c r="D309" i="24"/>
  <c r="D310" i="24"/>
  <c r="D311" i="24"/>
  <c r="D312" i="24"/>
  <c r="D313" i="24"/>
  <c r="D314" i="24"/>
  <c r="D315" i="24"/>
  <c r="D316" i="24"/>
  <c r="D317" i="24"/>
  <c r="D318" i="24"/>
  <c r="D319" i="24"/>
  <c r="D320" i="24"/>
  <c r="D321" i="24"/>
  <c r="D322" i="24"/>
  <c r="D323" i="24"/>
  <c r="D324" i="24"/>
  <c r="D325" i="24"/>
  <c r="D326" i="24"/>
  <c r="D327" i="24"/>
  <c r="D328" i="24"/>
  <c r="D329" i="24"/>
  <c r="D330" i="24"/>
  <c r="D331" i="24"/>
  <c r="D332" i="24"/>
  <c r="D333" i="24"/>
  <c r="D334" i="24"/>
  <c r="D335" i="24"/>
  <c r="D336" i="24"/>
  <c r="D337" i="24"/>
  <c r="D338" i="24"/>
  <c r="D339" i="24"/>
  <c r="D340" i="24"/>
  <c r="D341" i="24"/>
  <c r="D342" i="24"/>
  <c r="D343" i="24"/>
  <c r="D344" i="24"/>
  <c r="D345" i="24"/>
  <c r="D346" i="24"/>
  <c r="D347" i="24"/>
  <c r="D348" i="24"/>
  <c r="D349" i="24"/>
  <c r="D350" i="24"/>
  <c r="D351" i="24"/>
  <c r="D355" i="24"/>
  <c r="D356" i="24"/>
  <c r="D357" i="24"/>
  <c r="D358" i="24"/>
  <c r="D359" i="24"/>
  <c r="D360" i="24"/>
  <c r="D361" i="24"/>
  <c r="D362" i="24"/>
  <c r="D363" i="24"/>
  <c r="D364" i="24"/>
  <c r="D365" i="24"/>
  <c r="D366" i="24"/>
  <c r="D367" i="24"/>
  <c r="D368" i="24"/>
  <c r="D369" i="24"/>
  <c r="D370" i="24"/>
  <c r="D371" i="24"/>
  <c r="D372" i="24"/>
  <c r="D373" i="24"/>
  <c r="D374" i="24"/>
  <c r="D375" i="24"/>
  <c r="D376" i="24"/>
  <c r="D377" i="24"/>
  <c r="D378" i="24"/>
  <c r="D379" i="24"/>
  <c r="D380" i="24"/>
  <c r="D381" i="24"/>
  <c r="D382" i="24"/>
  <c r="D383" i="24"/>
  <c r="D384" i="24"/>
  <c r="D385" i="24"/>
  <c r="D386" i="24"/>
  <c r="D387" i="24"/>
  <c r="D388" i="24"/>
  <c r="D389" i="24"/>
  <c r="D390" i="24"/>
  <c r="D391" i="24"/>
  <c r="D392" i="24"/>
  <c r="D393" i="24"/>
  <c r="D394" i="24"/>
  <c r="D395" i="24"/>
  <c r="D396" i="24"/>
  <c r="D397" i="24"/>
  <c r="D398" i="24"/>
  <c r="D399" i="24"/>
  <c r="D400" i="24"/>
  <c r="D401" i="24"/>
  <c r="D402" i="24"/>
  <c r="D403" i="24"/>
  <c r="D404" i="24"/>
  <c r="D405" i="24"/>
  <c r="D406" i="24"/>
  <c r="D407" i="24"/>
  <c r="D408" i="24"/>
  <c r="D409" i="24"/>
  <c r="D410" i="24"/>
  <c r="D411" i="24"/>
  <c r="D412" i="24"/>
  <c r="D413" i="24"/>
  <c r="D414" i="24"/>
  <c r="D415" i="24"/>
  <c r="D416" i="24"/>
  <c r="D417" i="24"/>
  <c r="D418" i="24"/>
  <c r="D419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4" i="24"/>
  <c r="D455" i="24"/>
  <c r="D456" i="24"/>
  <c r="D457" i="24"/>
  <c r="D458" i="24"/>
  <c r="D459" i="24"/>
  <c r="D461" i="24"/>
  <c r="D462" i="24"/>
  <c r="D463" i="24"/>
  <c r="D464" i="24"/>
  <c r="D465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6" i="24"/>
  <c r="D487" i="24"/>
  <c r="D488" i="24"/>
  <c r="D489" i="24"/>
  <c r="D490" i="24"/>
  <c r="D491" i="24"/>
  <c r="D492" i="24"/>
  <c r="D493" i="24"/>
  <c r="D494" i="24"/>
  <c r="D495" i="24"/>
  <c r="D496" i="24"/>
  <c r="D497" i="24"/>
  <c r="D498" i="24"/>
  <c r="D499" i="24"/>
  <c r="D500" i="24"/>
  <c r="D501" i="24"/>
  <c r="D502" i="24"/>
  <c r="D503" i="24"/>
  <c r="D504" i="24"/>
  <c r="D505" i="24"/>
  <c r="D506" i="24"/>
  <c r="D507" i="24"/>
  <c r="D508" i="24"/>
  <c r="D509" i="24"/>
  <c r="D510" i="24"/>
  <c r="D511" i="24"/>
  <c r="D512" i="24"/>
  <c r="D513" i="24"/>
  <c r="D514" i="24"/>
  <c r="D516" i="24"/>
  <c r="D517" i="24"/>
  <c r="D518" i="24"/>
  <c r="D519" i="24"/>
  <c r="D520" i="24"/>
  <c r="D521" i="24"/>
  <c r="D522" i="24"/>
  <c r="D523" i="24"/>
  <c r="D524" i="24"/>
  <c r="D525" i="24"/>
  <c r="D526" i="24"/>
  <c r="D527" i="24"/>
  <c r="D528" i="24"/>
  <c r="D529" i="24"/>
  <c r="D530" i="24"/>
  <c r="D531" i="24"/>
  <c r="D532" i="24"/>
  <c r="D533" i="24"/>
  <c r="D534" i="24"/>
  <c r="D535" i="24"/>
  <c r="D536" i="24"/>
  <c r="D537" i="24"/>
  <c r="D538" i="24"/>
  <c r="D539" i="24"/>
  <c r="D540" i="24"/>
  <c r="D541" i="24"/>
  <c r="D542" i="24"/>
  <c r="D543" i="24"/>
  <c r="D544" i="24"/>
  <c r="D545" i="24"/>
  <c r="D546" i="24"/>
  <c r="D547" i="24"/>
  <c r="D548" i="24"/>
  <c r="D549" i="24"/>
  <c r="D550" i="24"/>
  <c r="D551" i="24"/>
  <c r="D552" i="24"/>
  <c r="D553" i="24"/>
  <c r="D554" i="24"/>
  <c r="D555" i="24"/>
  <c r="D556" i="24"/>
  <c r="D557" i="24"/>
  <c r="D558" i="24"/>
  <c r="D559" i="24"/>
  <c r="D560" i="24"/>
  <c r="D561" i="24"/>
  <c r="D562" i="24"/>
  <c r="D563" i="24"/>
  <c r="D564" i="24"/>
  <c r="D565" i="24"/>
  <c r="D566" i="24"/>
  <c r="D567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582" i="24"/>
  <c r="D583" i="24"/>
  <c r="D584" i="24"/>
  <c r="D585" i="24"/>
  <c r="D586" i="24"/>
  <c r="D587" i="24"/>
  <c r="D588" i="24"/>
  <c r="D589" i="24"/>
  <c r="D590" i="24"/>
  <c r="D591" i="24"/>
  <c r="D592" i="24"/>
  <c r="D593" i="24"/>
  <c r="D594" i="24"/>
  <c r="D595" i="24"/>
  <c r="D596" i="24"/>
  <c r="D597" i="24"/>
  <c r="D598" i="24"/>
  <c r="D599" i="24"/>
  <c r="D600" i="24"/>
  <c r="D601" i="24"/>
  <c r="D602" i="24"/>
  <c r="D603" i="24"/>
  <c r="D604" i="24"/>
  <c r="D605" i="24"/>
  <c r="D606" i="24"/>
  <c r="D607" i="24"/>
  <c r="D608" i="24"/>
  <c r="D609" i="24"/>
  <c r="D610" i="24"/>
  <c r="D611" i="24"/>
  <c r="D612" i="24"/>
  <c r="D613" i="24"/>
  <c r="D614" i="24"/>
  <c r="D615" i="24"/>
  <c r="D616" i="24"/>
  <c r="D617" i="24"/>
  <c r="D618" i="24"/>
  <c r="D619" i="24"/>
  <c r="D620" i="24"/>
  <c r="D621" i="24"/>
  <c r="D622" i="24"/>
  <c r="D623" i="24"/>
  <c r="D624" i="24"/>
  <c r="D625" i="24"/>
  <c r="D626" i="24"/>
  <c r="D627" i="24"/>
  <c r="D628" i="24"/>
  <c r="D629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D646" i="24"/>
  <c r="D647" i="24"/>
  <c r="D648" i="24"/>
  <c r="D649" i="24"/>
  <c r="D650" i="24"/>
  <c r="D651" i="24"/>
  <c r="D652" i="24"/>
  <c r="D653" i="24"/>
  <c r="D654" i="24"/>
  <c r="D655" i="24"/>
  <c r="D656" i="24"/>
  <c r="D657" i="24"/>
  <c r="D658" i="24"/>
  <c r="D659" i="24"/>
  <c r="D660" i="24"/>
  <c r="D661" i="24"/>
  <c r="D662" i="24"/>
  <c r="D663" i="24"/>
  <c r="D664" i="24"/>
  <c r="D665" i="24"/>
  <c r="D666" i="24"/>
  <c r="D667" i="24"/>
  <c r="D668" i="24"/>
  <c r="D669" i="24"/>
  <c r="D670" i="24"/>
  <c r="D671" i="24"/>
  <c r="D672" i="24"/>
  <c r="D673" i="24"/>
  <c r="D674" i="24"/>
  <c r="D675" i="24"/>
  <c r="D676" i="24"/>
  <c r="D677" i="24"/>
  <c r="D678" i="24"/>
  <c r="D679" i="24"/>
  <c r="D680" i="24"/>
  <c r="D681" i="24"/>
  <c r="D682" i="24"/>
  <c r="D3" i="24"/>
  <c r="B515" i="24"/>
  <c r="D515" i="24" s="1"/>
  <c r="B460" i="24"/>
  <c r="D460" i="24" s="1"/>
  <c r="B272" i="24"/>
  <c r="D272" i="24" s="1"/>
  <c r="B268" i="24"/>
  <c r="D268" i="24" s="1"/>
  <c r="B261" i="24"/>
  <c r="D261" i="24" s="1"/>
  <c r="B215" i="24"/>
  <c r="D215" i="24" s="1"/>
  <c r="B204" i="24"/>
  <c r="D204" i="24" s="1"/>
  <c r="B194" i="24"/>
  <c r="D194" i="24" s="1"/>
  <c r="B178" i="24"/>
  <c r="D178" i="24" s="1"/>
  <c r="B146" i="24"/>
  <c r="D146" i="24" s="1"/>
  <c r="B135" i="24"/>
  <c r="D135" i="24" s="1"/>
  <c r="B102" i="24"/>
  <c r="D102" i="24" s="1"/>
  <c r="B56" i="24"/>
  <c r="D56" i="24" s="1"/>
  <c r="B22" i="24"/>
  <c r="D22" i="24" s="1"/>
  <c r="B21" i="24"/>
  <c r="D21" i="24" s="1"/>
  <c r="B7" i="24"/>
  <c r="D7" i="24" s="1"/>
  <c r="D685" i="25" l="1"/>
  <c r="D352" i="24"/>
  <c r="D683" i="24"/>
  <c r="D685" i="24" s="1"/>
  <c r="B683" i="24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2" i="23"/>
  <c r="D23" i="23"/>
  <c r="D24" i="23"/>
  <c r="D25" i="23"/>
  <c r="D26" i="23"/>
  <c r="D28" i="23"/>
  <c r="D29" i="23"/>
  <c r="D30" i="23"/>
  <c r="D31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7" i="23"/>
  <c r="D58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7" i="23"/>
  <c r="D228" i="23"/>
  <c r="D229" i="23"/>
  <c r="D230" i="23"/>
  <c r="D231" i="23"/>
  <c r="D232" i="23"/>
  <c r="D233" i="23"/>
  <c r="D234" i="23"/>
  <c r="D235" i="23"/>
  <c r="D236" i="23"/>
  <c r="D237" i="23"/>
  <c r="D238" i="23"/>
  <c r="D239" i="23"/>
  <c r="D240" i="23"/>
  <c r="D241" i="23"/>
  <c r="D242" i="23"/>
  <c r="D243" i="23"/>
  <c r="D244" i="23"/>
  <c r="D245" i="23"/>
  <c r="D246" i="23"/>
  <c r="D247" i="23"/>
  <c r="D248" i="23"/>
  <c r="D249" i="23"/>
  <c r="D250" i="23"/>
  <c r="D251" i="23"/>
  <c r="D252" i="23"/>
  <c r="D253" i="23"/>
  <c r="D254" i="23"/>
  <c r="D255" i="23"/>
  <c r="D256" i="23"/>
  <c r="D257" i="23"/>
  <c r="D258" i="23"/>
  <c r="D259" i="23"/>
  <c r="D260" i="23"/>
  <c r="D262" i="23"/>
  <c r="D263" i="23"/>
  <c r="D264" i="23"/>
  <c r="D265" i="23"/>
  <c r="D266" i="23"/>
  <c r="D267" i="23"/>
  <c r="D269" i="23"/>
  <c r="D270" i="23"/>
  <c r="D271" i="23"/>
  <c r="D273" i="23"/>
  <c r="D274" i="23"/>
  <c r="D275" i="23"/>
  <c r="D276" i="23"/>
  <c r="D277" i="23"/>
  <c r="D278" i="23"/>
  <c r="D279" i="23"/>
  <c r="D280" i="23"/>
  <c r="D281" i="23"/>
  <c r="D282" i="23"/>
  <c r="D283" i="23"/>
  <c r="D284" i="23"/>
  <c r="D285" i="23"/>
  <c r="D286" i="23"/>
  <c r="D287" i="23"/>
  <c r="D288" i="23"/>
  <c r="D289" i="23"/>
  <c r="D290" i="23"/>
  <c r="D291" i="23"/>
  <c r="D292" i="23"/>
  <c r="D293" i="23"/>
  <c r="D294" i="23"/>
  <c r="D295" i="23"/>
  <c r="D296" i="23"/>
  <c r="D297" i="23"/>
  <c r="D298" i="23"/>
  <c r="D299" i="23"/>
  <c r="D301" i="23"/>
  <c r="D302" i="23"/>
  <c r="D303" i="23"/>
  <c r="D304" i="23"/>
  <c r="D305" i="23"/>
  <c r="D306" i="23"/>
  <c r="D307" i="23"/>
  <c r="D308" i="23"/>
  <c r="D309" i="23"/>
  <c r="D310" i="23"/>
  <c r="D311" i="23"/>
  <c r="D312" i="23"/>
  <c r="D313" i="23"/>
  <c r="D314" i="23"/>
  <c r="D315" i="23"/>
  <c r="D316" i="23"/>
  <c r="D317" i="23"/>
  <c r="D318" i="23"/>
  <c r="D319" i="23"/>
  <c r="D320" i="23"/>
  <c r="D321" i="23"/>
  <c r="D322" i="23"/>
  <c r="D323" i="23"/>
  <c r="D324" i="23"/>
  <c r="D325" i="23"/>
  <c r="D326" i="23"/>
  <c r="D327" i="23"/>
  <c r="D328" i="23"/>
  <c r="D329" i="23"/>
  <c r="D330" i="23"/>
  <c r="D331" i="23"/>
  <c r="D332" i="23"/>
  <c r="D333" i="23"/>
  <c r="D334" i="23"/>
  <c r="D335" i="23"/>
  <c r="D336" i="23"/>
  <c r="D337" i="23"/>
  <c r="D338" i="23"/>
  <c r="D339" i="23"/>
  <c r="D340" i="23"/>
  <c r="D341" i="23"/>
  <c r="D342" i="23"/>
  <c r="D343" i="23"/>
  <c r="D344" i="23"/>
  <c r="D345" i="23"/>
  <c r="D346" i="23"/>
  <c r="D347" i="23"/>
  <c r="D348" i="23"/>
  <c r="D349" i="23"/>
  <c r="D350" i="23"/>
  <c r="D352" i="23"/>
  <c r="D355" i="23"/>
  <c r="D356" i="23"/>
  <c r="D357" i="23"/>
  <c r="D358" i="23"/>
  <c r="D359" i="23"/>
  <c r="D360" i="23"/>
  <c r="D361" i="23"/>
  <c r="D362" i="23"/>
  <c r="D363" i="23"/>
  <c r="D364" i="23"/>
  <c r="D365" i="23"/>
  <c r="D366" i="23"/>
  <c r="D367" i="23"/>
  <c r="D368" i="23"/>
  <c r="D369" i="23"/>
  <c r="D370" i="23"/>
  <c r="D371" i="23"/>
  <c r="D372" i="23"/>
  <c r="D373" i="23"/>
  <c r="D374" i="23"/>
  <c r="D375" i="23"/>
  <c r="D376" i="23"/>
  <c r="D377" i="23"/>
  <c r="D378" i="23"/>
  <c r="D379" i="23"/>
  <c r="D380" i="23"/>
  <c r="D381" i="23"/>
  <c r="D382" i="23"/>
  <c r="D383" i="23"/>
  <c r="D384" i="23"/>
  <c r="D385" i="23"/>
  <c r="D386" i="23"/>
  <c r="D387" i="23"/>
  <c r="D388" i="23"/>
  <c r="D389" i="23"/>
  <c r="D390" i="23"/>
  <c r="D391" i="23"/>
  <c r="D392" i="23"/>
  <c r="D393" i="23"/>
  <c r="D394" i="23"/>
  <c r="D395" i="23"/>
  <c r="D396" i="23"/>
  <c r="D397" i="23"/>
  <c r="D398" i="23"/>
  <c r="D399" i="23"/>
  <c r="D400" i="23"/>
  <c r="D401" i="23"/>
  <c r="D402" i="23"/>
  <c r="D403" i="23"/>
  <c r="D404" i="23"/>
  <c r="D405" i="23"/>
  <c r="D406" i="23"/>
  <c r="D407" i="23"/>
  <c r="D408" i="23"/>
  <c r="D409" i="23"/>
  <c r="D410" i="23"/>
  <c r="D411" i="23"/>
  <c r="D412" i="23"/>
  <c r="D413" i="23"/>
  <c r="D414" i="23"/>
  <c r="D415" i="23"/>
  <c r="D416" i="23"/>
  <c r="D417" i="23"/>
  <c r="D418" i="23"/>
  <c r="D419" i="23"/>
  <c r="D420" i="23"/>
  <c r="D421" i="23"/>
  <c r="D422" i="23"/>
  <c r="D423" i="23"/>
  <c r="D424" i="23"/>
  <c r="D425" i="23"/>
  <c r="D426" i="23"/>
  <c r="D427" i="23"/>
  <c r="D428" i="23"/>
  <c r="D429" i="23"/>
  <c r="D430" i="23"/>
  <c r="D431" i="23"/>
  <c r="D432" i="23"/>
  <c r="D433" i="23"/>
  <c r="D434" i="23"/>
  <c r="D435" i="23"/>
  <c r="D436" i="23"/>
  <c r="D437" i="23"/>
  <c r="D438" i="23"/>
  <c r="D439" i="23"/>
  <c r="D440" i="23"/>
  <c r="D441" i="23"/>
  <c r="D442" i="23"/>
  <c r="D443" i="23"/>
  <c r="D444" i="23"/>
  <c r="D445" i="23"/>
  <c r="D446" i="23"/>
  <c r="D448" i="23"/>
  <c r="D449" i="23"/>
  <c r="D450" i="23"/>
  <c r="D451" i="23"/>
  <c r="D452" i="23"/>
  <c r="D453" i="23"/>
  <c r="D454" i="23"/>
  <c r="D455" i="23"/>
  <c r="D456" i="23"/>
  <c r="D457" i="23"/>
  <c r="D458" i="23"/>
  <c r="D459" i="23"/>
  <c r="D460" i="23"/>
  <c r="D461" i="23"/>
  <c r="D462" i="23"/>
  <c r="D463" i="23"/>
  <c r="D464" i="23"/>
  <c r="D465" i="23"/>
  <c r="D466" i="23"/>
  <c r="D467" i="23"/>
  <c r="D468" i="23"/>
  <c r="D469" i="23"/>
  <c r="D470" i="23"/>
  <c r="D471" i="23"/>
  <c r="D472" i="23"/>
  <c r="D473" i="23"/>
  <c r="D474" i="23"/>
  <c r="D475" i="23"/>
  <c r="D476" i="23"/>
  <c r="D477" i="23"/>
  <c r="D478" i="23"/>
  <c r="D479" i="23"/>
  <c r="D480" i="23"/>
  <c r="D481" i="23"/>
  <c r="D482" i="23"/>
  <c r="D483" i="23"/>
  <c r="D484" i="23"/>
  <c r="D485" i="23"/>
  <c r="D486" i="23"/>
  <c r="D487" i="23"/>
  <c r="D488" i="23"/>
  <c r="D489" i="23"/>
  <c r="D490" i="23"/>
  <c r="D491" i="23"/>
  <c r="D492" i="23"/>
  <c r="D493" i="23"/>
  <c r="D494" i="23"/>
  <c r="D495" i="23"/>
  <c r="D496" i="23"/>
  <c r="D497" i="23"/>
  <c r="D498" i="23"/>
  <c r="D499" i="23"/>
  <c r="D500" i="23"/>
  <c r="D501" i="23"/>
  <c r="D502" i="23"/>
  <c r="D503" i="23"/>
  <c r="D504" i="23"/>
  <c r="D505" i="23"/>
  <c r="D506" i="23"/>
  <c r="D507" i="23"/>
  <c r="D508" i="23"/>
  <c r="D509" i="23"/>
  <c r="D510" i="23"/>
  <c r="D511" i="23"/>
  <c r="D512" i="23"/>
  <c r="D513" i="23"/>
  <c r="D514" i="23"/>
  <c r="D515" i="23"/>
  <c r="D516" i="23"/>
  <c r="D517" i="23"/>
  <c r="D518" i="23"/>
  <c r="D519" i="23"/>
  <c r="D520" i="23"/>
  <c r="D521" i="23"/>
  <c r="D522" i="23"/>
  <c r="D523" i="23"/>
  <c r="D524" i="23"/>
  <c r="D525" i="23"/>
  <c r="D526" i="23"/>
  <c r="D527" i="23"/>
  <c r="D528" i="23"/>
  <c r="D529" i="23"/>
  <c r="D530" i="23"/>
  <c r="D531" i="23"/>
  <c r="D532" i="23"/>
  <c r="D533" i="23"/>
  <c r="D534" i="23"/>
  <c r="D535" i="23"/>
  <c r="D536" i="23"/>
  <c r="D537" i="23"/>
  <c r="D538" i="23"/>
  <c r="D539" i="23"/>
  <c r="D540" i="23"/>
  <c r="D541" i="23"/>
  <c r="D542" i="23"/>
  <c r="D543" i="23"/>
  <c r="D544" i="23"/>
  <c r="D545" i="23"/>
  <c r="D546" i="23"/>
  <c r="D548" i="23"/>
  <c r="D549" i="23"/>
  <c r="D550" i="23"/>
  <c r="D551" i="23"/>
  <c r="D552" i="23"/>
  <c r="D553" i="23"/>
  <c r="D554" i="23"/>
  <c r="D555" i="23"/>
  <c r="D556" i="23"/>
  <c r="D557" i="23"/>
  <c r="D558" i="23"/>
  <c r="D559" i="23"/>
  <c r="D560" i="23"/>
  <c r="D561" i="23"/>
  <c r="D562" i="23"/>
  <c r="D563" i="23"/>
  <c r="D564" i="23"/>
  <c r="D565" i="23"/>
  <c r="D566" i="23"/>
  <c r="D567" i="23"/>
  <c r="D568" i="23"/>
  <c r="D569" i="23"/>
  <c r="D570" i="23"/>
  <c r="D571" i="23"/>
  <c r="D572" i="23"/>
  <c r="D573" i="23"/>
  <c r="D574" i="23"/>
  <c r="D575" i="23"/>
  <c r="D576" i="23"/>
  <c r="D577" i="23"/>
  <c r="D578" i="23"/>
  <c r="D579" i="23"/>
  <c r="D580" i="23"/>
  <c r="D581" i="23"/>
  <c r="D582" i="23"/>
  <c r="D583" i="23"/>
  <c r="D584" i="23"/>
  <c r="D585" i="23"/>
  <c r="D586" i="23"/>
  <c r="D587" i="23"/>
  <c r="D588" i="23"/>
  <c r="D589" i="23"/>
  <c r="D590" i="23"/>
  <c r="D591" i="23"/>
  <c r="D592" i="23"/>
  <c r="D593" i="23"/>
  <c r="D594" i="23"/>
  <c r="D595" i="23"/>
  <c r="D596" i="23"/>
  <c r="D597" i="23"/>
  <c r="D598" i="23"/>
  <c r="D599" i="23"/>
  <c r="D600" i="23"/>
  <c r="D601" i="23"/>
  <c r="D602" i="23"/>
  <c r="D603" i="23"/>
  <c r="D604" i="23"/>
  <c r="D605" i="23"/>
  <c r="D606" i="23"/>
  <c r="D607" i="23"/>
  <c r="D608" i="23"/>
  <c r="D609" i="23"/>
  <c r="D610" i="23"/>
  <c r="D611" i="23"/>
  <c r="D612" i="23"/>
  <c r="D613" i="23"/>
  <c r="D614" i="23"/>
  <c r="D615" i="23"/>
  <c r="D616" i="23"/>
  <c r="D617" i="23"/>
  <c r="D618" i="23"/>
  <c r="D619" i="23"/>
  <c r="D620" i="23"/>
  <c r="D621" i="23"/>
  <c r="D622" i="23"/>
  <c r="D623" i="23"/>
  <c r="D624" i="23"/>
  <c r="D625" i="23"/>
  <c r="D626" i="23"/>
  <c r="D627" i="23"/>
  <c r="D628" i="23"/>
  <c r="D629" i="23"/>
  <c r="D630" i="23"/>
  <c r="D631" i="23"/>
  <c r="D632" i="23"/>
  <c r="D633" i="23"/>
  <c r="D634" i="23"/>
  <c r="D635" i="23"/>
  <c r="D636" i="23"/>
  <c r="D637" i="23"/>
  <c r="D638" i="23"/>
  <c r="D639" i="23"/>
  <c r="D640" i="23"/>
  <c r="D641" i="23"/>
  <c r="D642" i="23"/>
  <c r="D643" i="23"/>
  <c r="D644" i="23"/>
  <c r="D645" i="23"/>
  <c r="D646" i="23"/>
  <c r="D647" i="23"/>
  <c r="D648" i="23"/>
  <c r="D649" i="23"/>
  <c r="D650" i="23"/>
  <c r="D651" i="23"/>
  <c r="D652" i="23"/>
  <c r="D653" i="23"/>
  <c r="D654" i="23"/>
  <c r="D655" i="23"/>
  <c r="D656" i="23"/>
  <c r="D657" i="23"/>
  <c r="D658" i="23"/>
  <c r="D659" i="23"/>
  <c r="D660" i="23"/>
  <c r="D661" i="23"/>
  <c r="D662" i="23"/>
  <c r="D663" i="23"/>
  <c r="D664" i="23"/>
  <c r="D665" i="23"/>
  <c r="D666" i="23"/>
  <c r="D667" i="23"/>
  <c r="D668" i="23"/>
  <c r="D669" i="23"/>
  <c r="D670" i="23"/>
  <c r="D671" i="23"/>
  <c r="D672" i="23"/>
  <c r="D673" i="23"/>
  <c r="D674" i="23"/>
  <c r="D675" i="23"/>
  <c r="D676" i="23"/>
  <c r="D677" i="23"/>
  <c r="D678" i="23"/>
  <c r="D679" i="23"/>
  <c r="D680" i="23"/>
  <c r="D681" i="23"/>
  <c r="D682" i="23"/>
  <c r="D3" i="23"/>
  <c r="B547" i="23"/>
  <c r="D547" i="23" s="1"/>
  <c r="B447" i="23"/>
  <c r="D447" i="23" s="1"/>
  <c r="B300" i="23"/>
  <c r="D300" i="23" s="1"/>
  <c r="B272" i="23"/>
  <c r="D272" i="23" s="1"/>
  <c r="B268" i="23"/>
  <c r="D268" i="23" s="1"/>
  <c r="B261" i="23"/>
  <c r="D261" i="23" s="1"/>
  <c r="B226" i="23"/>
  <c r="D226" i="23" s="1"/>
  <c r="B215" i="23"/>
  <c r="B213" i="23"/>
  <c r="D213" i="23" s="1"/>
  <c r="B178" i="23"/>
  <c r="D178" i="23" s="1"/>
  <c r="B146" i="23"/>
  <c r="D146" i="23" s="1"/>
  <c r="B82" i="23"/>
  <c r="D82" i="23" s="1"/>
  <c r="B59" i="23"/>
  <c r="D59" i="23" s="1"/>
  <c r="B56" i="23"/>
  <c r="D56" i="23" s="1"/>
  <c r="B32" i="23"/>
  <c r="D32" i="23" s="1"/>
  <c r="B27" i="23"/>
  <c r="D27" i="23" s="1"/>
  <c r="B21" i="23"/>
  <c r="D21" i="23" s="1"/>
  <c r="D4" i="22"/>
  <c r="D5" i="22"/>
  <c r="D6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8" i="22"/>
  <c r="D29" i="22"/>
  <c r="D30" i="22"/>
  <c r="D31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1" i="22"/>
  <c r="D252" i="22"/>
  <c r="D253" i="22"/>
  <c r="D254" i="22"/>
  <c r="D255" i="22"/>
  <c r="D256" i="22"/>
  <c r="D257" i="22"/>
  <c r="D258" i="22"/>
  <c r="D259" i="22"/>
  <c r="D260" i="22"/>
  <c r="D262" i="22"/>
  <c r="D263" i="22"/>
  <c r="D264" i="22"/>
  <c r="D265" i="22"/>
  <c r="D266" i="22"/>
  <c r="D267" i="22"/>
  <c r="D269" i="22"/>
  <c r="D270" i="22"/>
  <c r="D271" i="22"/>
  <c r="D273" i="22"/>
  <c r="D274" i="22"/>
  <c r="D275" i="22"/>
  <c r="D276" i="22"/>
  <c r="D277" i="22"/>
  <c r="D278" i="22"/>
  <c r="D279" i="22"/>
  <c r="D280" i="22"/>
  <c r="D281" i="22"/>
  <c r="D282" i="22"/>
  <c r="D283" i="22"/>
  <c r="D284" i="22"/>
  <c r="D285" i="22"/>
  <c r="D286" i="22"/>
  <c r="D287" i="22"/>
  <c r="D288" i="22"/>
  <c r="D289" i="22"/>
  <c r="D290" i="22"/>
  <c r="D291" i="22"/>
  <c r="D292" i="22"/>
  <c r="D293" i="22"/>
  <c r="D294" i="22"/>
  <c r="D295" i="22"/>
  <c r="D296" i="22"/>
  <c r="D297" i="22"/>
  <c r="D298" i="22"/>
  <c r="D299" i="22"/>
  <c r="D301" i="22"/>
  <c r="D302" i="22"/>
  <c r="D303" i="22"/>
  <c r="D304" i="22"/>
  <c r="D305" i="22"/>
  <c r="D306" i="22"/>
  <c r="D307" i="22"/>
  <c r="D308" i="22"/>
  <c r="D309" i="22"/>
  <c r="D310" i="22"/>
  <c r="D311" i="22"/>
  <c r="D312" i="22"/>
  <c r="D313" i="22"/>
  <c r="D314" i="22"/>
  <c r="D315" i="22"/>
  <c r="D316" i="22"/>
  <c r="D317" i="22"/>
  <c r="D318" i="22"/>
  <c r="D319" i="22"/>
  <c r="D320" i="22"/>
  <c r="D321" i="22"/>
  <c r="D322" i="22"/>
  <c r="D323" i="22"/>
  <c r="D324" i="22"/>
  <c r="D325" i="22"/>
  <c r="D326" i="22"/>
  <c r="D327" i="22"/>
  <c r="D328" i="22"/>
  <c r="D329" i="22"/>
  <c r="D330" i="22"/>
  <c r="D331" i="22"/>
  <c r="D332" i="22"/>
  <c r="D333" i="22"/>
  <c r="D334" i="22"/>
  <c r="D335" i="22"/>
  <c r="D336" i="22"/>
  <c r="D337" i="22"/>
  <c r="D338" i="22"/>
  <c r="D339" i="22"/>
  <c r="D340" i="22"/>
  <c r="D341" i="22"/>
  <c r="D342" i="22"/>
  <c r="D343" i="22"/>
  <c r="D344" i="22"/>
  <c r="D345" i="22"/>
  <c r="D346" i="22"/>
  <c r="D347" i="22"/>
  <c r="D348" i="22"/>
  <c r="D349" i="22"/>
  <c r="D350" i="22"/>
  <c r="D352" i="22"/>
  <c r="D355" i="22"/>
  <c r="D356" i="22"/>
  <c r="D357" i="22"/>
  <c r="D358" i="22"/>
  <c r="D360" i="22"/>
  <c r="D361" i="22"/>
  <c r="D362" i="22"/>
  <c r="D363" i="22"/>
  <c r="D364" i="22"/>
  <c r="D365" i="22"/>
  <c r="D366" i="22"/>
  <c r="D367" i="22"/>
  <c r="D368" i="22"/>
  <c r="D369" i="22"/>
  <c r="D370" i="22"/>
  <c r="D371" i="22"/>
  <c r="D372" i="22"/>
  <c r="D374" i="22"/>
  <c r="D375" i="22"/>
  <c r="D376" i="22"/>
  <c r="D377" i="22"/>
  <c r="D378" i="22"/>
  <c r="D379" i="22"/>
  <c r="D380" i="22"/>
  <c r="D381" i="22"/>
  <c r="D382" i="22"/>
  <c r="D383" i="22"/>
  <c r="D384" i="22"/>
  <c r="D385" i="22"/>
  <c r="D386" i="22"/>
  <c r="D387" i="22"/>
  <c r="D388" i="22"/>
  <c r="D389" i="22"/>
  <c r="D390" i="22"/>
  <c r="D391" i="22"/>
  <c r="D392" i="22"/>
  <c r="D393" i="22"/>
  <c r="D394" i="22"/>
  <c r="D395" i="22"/>
  <c r="D396" i="22"/>
  <c r="D397" i="22"/>
  <c r="D398" i="22"/>
  <c r="D399" i="22"/>
  <c r="D400" i="22"/>
  <c r="D401" i="22"/>
  <c r="D402" i="22"/>
  <c r="D403" i="22"/>
  <c r="D404" i="22"/>
  <c r="D405" i="22"/>
  <c r="D406" i="22"/>
  <c r="D407" i="22"/>
  <c r="D408" i="22"/>
  <c r="D409" i="22"/>
  <c r="D410" i="22"/>
  <c r="D411" i="22"/>
  <c r="D412" i="22"/>
  <c r="D413" i="22"/>
  <c r="D414" i="22"/>
  <c r="D415" i="22"/>
  <c r="D416" i="22"/>
  <c r="D417" i="22"/>
  <c r="D418" i="22"/>
  <c r="D419" i="22"/>
  <c r="D420" i="22"/>
  <c r="D421" i="22"/>
  <c r="D422" i="22"/>
  <c r="D423" i="22"/>
  <c r="D424" i="22"/>
  <c r="D425" i="22"/>
  <c r="D426" i="22"/>
  <c r="D427" i="22"/>
  <c r="D428" i="22"/>
  <c r="D429" i="22"/>
  <c r="D430" i="22"/>
  <c r="D431" i="22"/>
  <c r="D432" i="22"/>
  <c r="D433" i="22"/>
  <c r="D434" i="22"/>
  <c r="D435" i="22"/>
  <c r="D436" i="22"/>
  <c r="D437" i="22"/>
  <c r="D438" i="22"/>
  <c r="D439" i="22"/>
  <c r="D440" i="22"/>
  <c r="D441" i="22"/>
  <c r="D442" i="22"/>
  <c r="D443" i="22"/>
  <c r="D444" i="22"/>
  <c r="D445" i="22"/>
  <c r="D446" i="22"/>
  <c r="D447" i="22"/>
  <c r="D448" i="22"/>
  <c r="D449" i="22"/>
  <c r="D450" i="22"/>
  <c r="D451" i="22"/>
  <c r="D452" i="22"/>
  <c r="D453" i="22"/>
  <c r="D454" i="22"/>
  <c r="D455" i="22"/>
  <c r="D456" i="22"/>
  <c r="D457" i="22"/>
  <c r="D458" i="22"/>
  <c r="D459" i="22"/>
  <c r="D460" i="22"/>
  <c r="D461" i="22"/>
  <c r="D462" i="22"/>
  <c r="D463" i="22"/>
  <c r="D464" i="22"/>
  <c r="D465" i="22"/>
  <c r="D466" i="22"/>
  <c r="D467" i="22"/>
  <c r="D468" i="22"/>
  <c r="D469" i="22"/>
  <c r="D470" i="22"/>
  <c r="D471" i="22"/>
  <c r="D472" i="22"/>
  <c r="D473" i="22"/>
  <c r="D474" i="22"/>
  <c r="D475" i="22"/>
  <c r="D476" i="22"/>
  <c r="D477" i="22"/>
  <c r="D478" i="22"/>
  <c r="D479" i="22"/>
  <c r="D480" i="22"/>
  <c r="D481" i="22"/>
  <c r="D482" i="22"/>
  <c r="D483" i="22"/>
  <c r="D484" i="22"/>
  <c r="D485" i="22"/>
  <c r="D486" i="22"/>
  <c r="D487" i="22"/>
  <c r="D488" i="22"/>
  <c r="D489" i="22"/>
  <c r="D490" i="22"/>
  <c r="D491" i="22"/>
  <c r="D492" i="22"/>
  <c r="D493" i="22"/>
  <c r="D494" i="22"/>
  <c r="D495" i="22"/>
  <c r="D496" i="22"/>
  <c r="D497" i="22"/>
  <c r="D498" i="22"/>
  <c r="D499" i="22"/>
  <c r="D500" i="22"/>
  <c r="D501" i="22"/>
  <c r="D502" i="22"/>
  <c r="D503" i="22"/>
  <c r="D504" i="22"/>
  <c r="D505" i="22"/>
  <c r="D506" i="22"/>
  <c r="D507" i="22"/>
  <c r="D508" i="22"/>
  <c r="D509" i="22"/>
  <c r="D510" i="22"/>
  <c r="D511" i="22"/>
  <c r="D512" i="22"/>
  <c r="D513" i="22"/>
  <c r="D514" i="22"/>
  <c r="D515" i="22"/>
  <c r="D516" i="22"/>
  <c r="D517" i="22"/>
  <c r="D518" i="22"/>
  <c r="D519" i="22"/>
  <c r="D520" i="22"/>
  <c r="D521" i="22"/>
  <c r="D522" i="22"/>
  <c r="D523" i="22"/>
  <c r="D524" i="22"/>
  <c r="D525" i="22"/>
  <c r="D526" i="22"/>
  <c r="D527" i="22"/>
  <c r="D528" i="22"/>
  <c r="D529" i="22"/>
  <c r="D530" i="22"/>
  <c r="D531" i="22"/>
  <c r="D532" i="22"/>
  <c r="D533" i="22"/>
  <c r="D534" i="22"/>
  <c r="D535" i="22"/>
  <c r="D536" i="22"/>
  <c r="D537" i="22"/>
  <c r="D538" i="22"/>
  <c r="D539" i="22"/>
  <c r="D540" i="22"/>
  <c r="D541" i="22"/>
  <c r="D542" i="22"/>
  <c r="D543" i="22"/>
  <c r="D544" i="22"/>
  <c r="D545" i="22"/>
  <c r="D546" i="22"/>
  <c r="D547" i="22"/>
  <c r="D548" i="22"/>
  <c r="D549" i="22"/>
  <c r="D550" i="22"/>
  <c r="D551" i="22"/>
  <c r="D552" i="22"/>
  <c r="D553" i="22"/>
  <c r="D554" i="22"/>
  <c r="D555" i="22"/>
  <c r="D556" i="22"/>
  <c r="D557" i="22"/>
  <c r="D558" i="22"/>
  <c r="D559" i="22"/>
  <c r="D560" i="22"/>
  <c r="D561" i="22"/>
  <c r="D562" i="22"/>
  <c r="D563" i="22"/>
  <c r="D564" i="22"/>
  <c r="D565" i="22"/>
  <c r="D566" i="22"/>
  <c r="D567" i="22"/>
  <c r="D568" i="22"/>
  <c r="D569" i="22"/>
  <c r="D570" i="22"/>
  <c r="D571" i="22"/>
  <c r="D572" i="22"/>
  <c r="D573" i="22"/>
  <c r="D574" i="22"/>
  <c r="D575" i="22"/>
  <c r="D576" i="22"/>
  <c r="D577" i="22"/>
  <c r="D578" i="22"/>
  <c r="D579" i="22"/>
  <c r="D580" i="22"/>
  <c r="D581" i="22"/>
  <c r="D582" i="22"/>
  <c r="D583" i="22"/>
  <c r="D584" i="22"/>
  <c r="D585" i="22"/>
  <c r="D586" i="22"/>
  <c r="D587" i="22"/>
  <c r="D588" i="22"/>
  <c r="D589" i="22"/>
  <c r="D590" i="22"/>
  <c r="D591" i="22"/>
  <c r="D592" i="22"/>
  <c r="D593" i="22"/>
  <c r="D594" i="22"/>
  <c r="D595" i="22"/>
  <c r="D596" i="22"/>
  <c r="D597" i="22"/>
  <c r="D598" i="22"/>
  <c r="D599" i="22"/>
  <c r="D600" i="22"/>
  <c r="D601" i="22"/>
  <c r="D602" i="22"/>
  <c r="D603" i="22"/>
  <c r="D604" i="22"/>
  <c r="D605" i="22"/>
  <c r="D606" i="22"/>
  <c r="D607" i="22"/>
  <c r="D608" i="22"/>
  <c r="D609" i="22"/>
  <c r="D610" i="22"/>
  <c r="D611" i="22"/>
  <c r="D612" i="22"/>
  <c r="D613" i="22"/>
  <c r="D614" i="22"/>
  <c r="D615" i="22"/>
  <c r="D616" i="22"/>
  <c r="D617" i="22"/>
  <c r="D618" i="22"/>
  <c r="D619" i="22"/>
  <c r="D620" i="22"/>
  <c r="D621" i="22"/>
  <c r="D622" i="22"/>
  <c r="D623" i="22"/>
  <c r="D624" i="22"/>
  <c r="D625" i="22"/>
  <c r="D626" i="22"/>
  <c r="D627" i="22"/>
  <c r="D628" i="22"/>
  <c r="D629" i="22"/>
  <c r="D630" i="22"/>
  <c r="D631" i="22"/>
  <c r="D632" i="22"/>
  <c r="D633" i="22"/>
  <c r="D634" i="22"/>
  <c r="D635" i="22"/>
  <c r="D636" i="22"/>
  <c r="D637" i="22"/>
  <c r="D638" i="22"/>
  <c r="D639" i="22"/>
  <c r="D640" i="22"/>
  <c r="D641" i="22"/>
  <c r="D642" i="22"/>
  <c r="D643" i="22"/>
  <c r="D644" i="22"/>
  <c r="D645" i="22"/>
  <c r="D646" i="22"/>
  <c r="D647" i="22"/>
  <c r="D648" i="22"/>
  <c r="D649" i="22"/>
  <c r="D650" i="22"/>
  <c r="D651" i="22"/>
  <c r="D652" i="22"/>
  <c r="D653" i="22"/>
  <c r="D654" i="22"/>
  <c r="D655" i="22"/>
  <c r="D656" i="22"/>
  <c r="D657" i="22"/>
  <c r="D658" i="22"/>
  <c r="D659" i="22"/>
  <c r="D660" i="22"/>
  <c r="D661" i="22"/>
  <c r="D662" i="22"/>
  <c r="D663" i="22"/>
  <c r="D664" i="22"/>
  <c r="D665" i="22"/>
  <c r="D666" i="22"/>
  <c r="D667" i="22"/>
  <c r="D668" i="22"/>
  <c r="D669" i="22"/>
  <c r="D670" i="22"/>
  <c r="D671" i="22"/>
  <c r="D672" i="22"/>
  <c r="D673" i="22"/>
  <c r="D674" i="22"/>
  <c r="D675" i="22"/>
  <c r="D676" i="22"/>
  <c r="D677" i="22"/>
  <c r="D678" i="22"/>
  <c r="D679" i="22"/>
  <c r="D680" i="22"/>
  <c r="D681" i="22"/>
  <c r="D682" i="22"/>
  <c r="D3" i="22"/>
  <c r="B373" i="22"/>
  <c r="D373" i="22" s="1"/>
  <c r="B359" i="22"/>
  <c r="B683" i="22" s="1"/>
  <c r="B300" i="22"/>
  <c r="D300" i="22" s="1"/>
  <c r="B272" i="22"/>
  <c r="D272" i="22" s="1"/>
  <c r="B268" i="22"/>
  <c r="D268" i="22" s="1"/>
  <c r="B261" i="22"/>
  <c r="D261" i="22" s="1"/>
  <c r="B226" i="22"/>
  <c r="D226" i="22" s="1"/>
  <c r="B215" i="22"/>
  <c r="B212" i="22"/>
  <c r="B178" i="22"/>
  <c r="D178" i="22" s="1"/>
  <c r="B146" i="22"/>
  <c r="D146" i="22" s="1"/>
  <c r="B107" i="22"/>
  <c r="D107" i="22" s="1"/>
  <c r="B80" i="22"/>
  <c r="D80" i="22" s="1"/>
  <c r="B56" i="22"/>
  <c r="B32" i="22"/>
  <c r="D32" i="22" s="1"/>
  <c r="B27" i="22"/>
  <c r="D27" i="22" s="1"/>
  <c r="B21" i="22"/>
  <c r="B7" i="22"/>
  <c r="D7" i="22" s="1"/>
  <c r="D351" i="22" s="1"/>
  <c r="D359" i="22" l="1"/>
  <c r="D351" i="23"/>
  <c r="D683" i="23"/>
  <c r="D685" i="23" s="1"/>
  <c r="D683" i="22"/>
  <c r="D685" i="22" s="1"/>
  <c r="B683" i="23"/>
  <c r="B351" i="23"/>
  <c r="B351" i="22"/>
  <c r="D204" i="20"/>
  <c r="D351" i="19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2" i="21"/>
  <c r="D23" i="21"/>
  <c r="D24" i="21"/>
  <c r="D25" i="21"/>
  <c r="D26" i="21"/>
  <c r="D27" i="21"/>
  <c r="D28" i="21"/>
  <c r="D29" i="21"/>
  <c r="D30" i="21"/>
  <c r="D31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7" i="21"/>
  <c r="D58" i="21"/>
  <c r="D59" i="21"/>
  <c r="D60" i="21"/>
  <c r="D61" i="21"/>
  <c r="D62" i="21"/>
  <c r="D63" i="21"/>
  <c r="D64" i="21"/>
  <c r="D65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5" i="21"/>
  <c r="D196" i="21"/>
  <c r="D197" i="21"/>
  <c r="D198" i="21"/>
  <c r="D199" i="21"/>
  <c r="D200" i="21"/>
  <c r="D201" i="21"/>
  <c r="D202" i="21"/>
  <c r="D203" i="21"/>
  <c r="D205" i="21"/>
  <c r="D206" i="21"/>
  <c r="D207" i="21"/>
  <c r="D208" i="21"/>
  <c r="D209" i="21"/>
  <c r="D210" i="21"/>
  <c r="D211" i="21"/>
  <c r="D213" i="21"/>
  <c r="D214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2" i="21"/>
  <c r="D263" i="21"/>
  <c r="D264" i="21"/>
  <c r="D265" i="21"/>
  <c r="D266" i="21"/>
  <c r="D267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D306" i="21"/>
  <c r="D307" i="21"/>
  <c r="D308" i="21"/>
  <c r="D309" i="21"/>
  <c r="D310" i="21"/>
  <c r="D311" i="21"/>
  <c r="D312" i="21"/>
  <c r="D313" i="21"/>
  <c r="D314" i="21"/>
  <c r="D315" i="21"/>
  <c r="D316" i="21"/>
  <c r="D317" i="21"/>
  <c r="D318" i="21"/>
  <c r="D319" i="21"/>
  <c r="D320" i="21"/>
  <c r="D321" i="21"/>
  <c r="D322" i="21"/>
  <c r="D323" i="21"/>
  <c r="D324" i="21"/>
  <c r="D325" i="21"/>
  <c r="D326" i="21"/>
  <c r="D327" i="21"/>
  <c r="D328" i="21"/>
  <c r="D329" i="21"/>
  <c r="D330" i="21"/>
  <c r="D331" i="21"/>
  <c r="D332" i="21"/>
  <c r="D333" i="21"/>
  <c r="D334" i="21"/>
  <c r="D335" i="21"/>
  <c r="D336" i="21"/>
  <c r="D337" i="21"/>
  <c r="D338" i="21"/>
  <c r="D339" i="21"/>
  <c r="D340" i="21"/>
  <c r="D341" i="21"/>
  <c r="D342" i="21"/>
  <c r="D343" i="21"/>
  <c r="D344" i="21"/>
  <c r="D345" i="21"/>
  <c r="D346" i="21"/>
  <c r="D347" i="21"/>
  <c r="D348" i="21"/>
  <c r="D349" i="21"/>
  <c r="D350" i="21"/>
  <c r="D352" i="21"/>
  <c r="D355" i="21"/>
  <c r="D356" i="21"/>
  <c r="D357" i="21"/>
  <c r="D358" i="21"/>
  <c r="D359" i="21"/>
  <c r="D360" i="21"/>
  <c r="D361" i="21"/>
  <c r="D362" i="21"/>
  <c r="D363" i="21"/>
  <c r="D364" i="21"/>
  <c r="D365" i="21"/>
  <c r="D366" i="21"/>
  <c r="D367" i="21"/>
  <c r="D368" i="21"/>
  <c r="D369" i="21"/>
  <c r="D370" i="21"/>
  <c r="D371" i="21"/>
  <c r="D372" i="21"/>
  <c r="D373" i="21"/>
  <c r="D374" i="21"/>
  <c r="D375" i="21"/>
  <c r="D376" i="21"/>
  <c r="D377" i="21"/>
  <c r="D378" i="21"/>
  <c r="D379" i="21"/>
  <c r="D380" i="21"/>
  <c r="D381" i="21"/>
  <c r="D382" i="21"/>
  <c r="D383" i="21"/>
  <c r="D384" i="21"/>
  <c r="D385" i="21"/>
  <c r="D386" i="21"/>
  <c r="D387" i="21"/>
  <c r="D388" i="21"/>
  <c r="D389" i="21"/>
  <c r="D390" i="21"/>
  <c r="D391" i="21"/>
  <c r="D392" i="21"/>
  <c r="D393" i="21"/>
  <c r="D394" i="21"/>
  <c r="D395" i="21"/>
  <c r="D396" i="21"/>
  <c r="D397" i="21"/>
  <c r="D398" i="21"/>
  <c r="D399" i="21"/>
  <c r="D400" i="21"/>
  <c r="D401" i="21"/>
  <c r="D402" i="21"/>
  <c r="D403" i="21"/>
  <c r="D404" i="21"/>
  <c r="D405" i="21"/>
  <c r="D406" i="21"/>
  <c r="D407" i="21"/>
  <c r="D408" i="21"/>
  <c r="D409" i="21"/>
  <c r="D410" i="21"/>
  <c r="D411" i="21"/>
  <c r="D412" i="21"/>
  <c r="D413" i="21"/>
  <c r="D414" i="21"/>
  <c r="D415" i="21"/>
  <c r="D416" i="21"/>
  <c r="D417" i="21"/>
  <c r="D418" i="21"/>
  <c r="D419" i="21"/>
  <c r="D420" i="21"/>
  <c r="D421" i="21"/>
  <c r="D422" i="21"/>
  <c r="D423" i="21"/>
  <c r="D424" i="21"/>
  <c r="D425" i="21"/>
  <c r="D426" i="21"/>
  <c r="D427" i="21"/>
  <c r="D428" i="21"/>
  <c r="D429" i="21"/>
  <c r="D430" i="21"/>
  <c r="D431" i="21"/>
  <c r="D432" i="21"/>
  <c r="D433" i="21"/>
  <c r="D434" i="21"/>
  <c r="D435" i="21"/>
  <c r="D436" i="21"/>
  <c r="D437" i="21"/>
  <c r="D438" i="21"/>
  <c r="D439" i="21"/>
  <c r="D440" i="21"/>
  <c r="D441" i="21"/>
  <c r="D442" i="21"/>
  <c r="D443" i="21"/>
  <c r="D444" i="21"/>
  <c r="D445" i="21"/>
  <c r="D446" i="21"/>
  <c r="D447" i="21"/>
  <c r="D448" i="21"/>
  <c r="D449" i="21"/>
  <c r="D450" i="21"/>
  <c r="D451" i="21"/>
  <c r="D452" i="21"/>
  <c r="D453" i="21"/>
  <c r="D454" i="21"/>
  <c r="D455" i="21"/>
  <c r="D456" i="21"/>
  <c r="D457" i="21"/>
  <c r="D458" i="21"/>
  <c r="D459" i="21"/>
  <c r="D460" i="21"/>
  <c r="D461" i="21"/>
  <c r="D462" i="21"/>
  <c r="D463" i="21"/>
  <c r="D464" i="21"/>
  <c r="D465" i="21"/>
  <c r="D466" i="21"/>
  <c r="D467" i="21"/>
  <c r="D468" i="21"/>
  <c r="D469" i="21"/>
  <c r="D470" i="21"/>
  <c r="D471" i="21"/>
  <c r="D473" i="21"/>
  <c r="D474" i="21"/>
  <c r="D475" i="21"/>
  <c r="D476" i="21"/>
  <c r="D477" i="21"/>
  <c r="D478" i="21"/>
  <c r="D479" i="21"/>
  <c r="D480" i="21"/>
  <c r="D481" i="21"/>
  <c r="D482" i="21"/>
  <c r="D483" i="21"/>
  <c r="D484" i="21"/>
  <c r="D485" i="21"/>
  <c r="D486" i="21"/>
  <c r="D487" i="21"/>
  <c r="D488" i="21"/>
  <c r="D489" i="21"/>
  <c r="D490" i="21"/>
  <c r="D491" i="21"/>
  <c r="D492" i="21"/>
  <c r="D493" i="21"/>
  <c r="D494" i="21"/>
  <c r="D495" i="21"/>
  <c r="D496" i="21"/>
  <c r="D497" i="21"/>
  <c r="D498" i="21"/>
  <c r="D499" i="21"/>
  <c r="D500" i="21"/>
  <c r="D501" i="21"/>
  <c r="D502" i="21"/>
  <c r="D503" i="21"/>
  <c r="D504" i="21"/>
  <c r="D505" i="21"/>
  <c r="D506" i="21"/>
  <c r="D507" i="21"/>
  <c r="D508" i="21"/>
  <c r="D509" i="21"/>
  <c r="D510" i="21"/>
  <c r="D511" i="21"/>
  <c r="D512" i="21"/>
  <c r="D513" i="21"/>
  <c r="D514" i="21"/>
  <c r="D515" i="21"/>
  <c r="D516" i="21"/>
  <c r="D517" i="21"/>
  <c r="D518" i="21"/>
  <c r="D519" i="21"/>
  <c r="D520" i="21"/>
  <c r="D521" i="21"/>
  <c r="D522" i="21"/>
  <c r="D523" i="21"/>
  <c r="D524" i="21"/>
  <c r="D525" i="21"/>
  <c r="D526" i="21"/>
  <c r="D527" i="21"/>
  <c r="D528" i="21"/>
  <c r="D529" i="21"/>
  <c r="D530" i="21"/>
  <c r="D531" i="21"/>
  <c r="D532" i="21"/>
  <c r="D533" i="21"/>
  <c r="D534" i="21"/>
  <c r="D535" i="21"/>
  <c r="D536" i="21"/>
  <c r="D537" i="21"/>
  <c r="D538" i="21"/>
  <c r="D539" i="21"/>
  <c r="D540" i="21"/>
  <c r="D541" i="21"/>
  <c r="D542" i="21"/>
  <c r="D543" i="21"/>
  <c r="D544" i="21"/>
  <c r="D545" i="21"/>
  <c r="D546" i="21"/>
  <c r="D547" i="21"/>
  <c r="D548" i="21"/>
  <c r="D549" i="21"/>
  <c r="D550" i="21"/>
  <c r="D551" i="21"/>
  <c r="D552" i="21"/>
  <c r="D553" i="21"/>
  <c r="D554" i="21"/>
  <c r="D555" i="21"/>
  <c r="D556" i="21"/>
  <c r="D557" i="21"/>
  <c r="D558" i="21"/>
  <c r="D559" i="21"/>
  <c r="D560" i="21"/>
  <c r="D561" i="21"/>
  <c r="D562" i="21"/>
  <c r="D563" i="21"/>
  <c r="D564" i="21"/>
  <c r="D565" i="21"/>
  <c r="D566" i="21"/>
  <c r="D567" i="21"/>
  <c r="D568" i="21"/>
  <c r="D569" i="21"/>
  <c r="D570" i="21"/>
  <c r="D571" i="21"/>
  <c r="D572" i="21"/>
  <c r="D573" i="21"/>
  <c r="D574" i="21"/>
  <c r="D575" i="21"/>
  <c r="D576" i="21"/>
  <c r="D577" i="21"/>
  <c r="D578" i="21"/>
  <c r="D579" i="21"/>
  <c r="D580" i="21"/>
  <c r="D581" i="21"/>
  <c r="D582" i="21"/>
  <c r="D583" i="21"/>
  <c r="D584" i="21"/>
  <c r="D585" i="21"/>
  <c r="D586" i="21"/>
  <c r="D587" i="21"/>
  <c r="D588" i="21"/>
  <c r="D589" i="21"/>
  <c r="D590" i="21"/>
  <c r="D591" i="21"/>
  <c r="D592" i="21"/>
  <c r="D593" i="21"/>
  <c r="D594" i="21"/>
  <c r="D595" i="21"/>
  <c r="D596" i="21"/>
  <c r="D597" i="21"/>
  <c r="D598" i="21"/>
  <c r="D599" i="21"/>
  <c r="D600" i="21"/>
  <c r="D601" i="21"/>
  <c r="D602" i="21"/>
  <c r="D603" i="21"/>
  <c r="D604" i="21"/>
  <c r="D605" i="21"/>
  <c r="D606" i="21"/>
  <c r="D607" i="21"/>
  <c r="D608" i="21"/>
  <c r="D609" i="21"/>
  <c r="D610" i="21"/>
  <c r="D611" i="21"/>
  <c r="D612" i="21"/>
  <c r="D613" i="21"/>
  <c r="D614" i="21"/>
  <c r="D615" i="21"/>
  <c r="D616" i="21"/>
  <c r="D617" i="21"/>
  <c r="D618" i="21"/>
  <c r="D619" i="21"/>
  <c r="D620" i="21"/>
  <c r="D621" i="21"/>
  <c r="D622" i="21"/>
  <c r="D623" i="21"/>
  <c r="D624" i="21"/>
  <c r="D625" i="21"/>
  <c r="D626" i="21"/>
  <c r="D627" i="21"/>
  <c r="D628" i="21"/>
  <c r="D629" i="21"/>
  <c r="D630" i="21"/>
  <c r="D631" i="21"/>
  <c r="D632" i="21"/>
  <c r="D633" i="21"/>
  <c r="D634" i="21"/>
  <c r="D635" i="21"/>
  <c r="D636" i="21"/>
  <c r="D637" i="21"/>
  <c r="D638" i="21"/>
  <c r="D639" i="21"/>
  <c r="D640" i="21"/>
  <c r="D641" i="21"/>
  <c r="D642" i="21"/>
  <c r="D643" i="21"/>
  <c r="D644" i="21"/>
  <c r="D645" i="21"/>
  <c r="D646" i="21"/>
  <c r="D647" i="21"/>
  <c r="D648" i="21"/>
  <c r="D649" i="21"/>
  <c r="D650" i="21"/>
  <c r="D651" i="21"/>
  <c r="D652" i="21"/>
  <c r="D653" i="21"/>
  <c r="D654" i="21"/>
  <c r="D655" i="21"/>
  <c r="D656" i="21"/>
  <c r="D657" i="21"/>
  <c r="D658" i="21"/>
  <c r="D659" i="21"/>
  <c r="D660" i="21"/>
  <c r="D661" i="21"/>
  <c r="D662" i="21"/>
  <c r="D663" i="21"/>
  <c r="D664" i="21"/>
  <c r="D665" i="21"/>
  <c r="D666" i="21"/>
  <c r="D667" i="21"/>
  <c r="D668" i="21"/>
  <c r="D669" i="21"/>
  <c r="D670" i="21"/>
  <c r="D671" i="21"/>
  <c r="D672" i="21"/>
  <c r="D673" i="21"/>
  <c r="D674" i="21"/>
  <c r="D675" i="21"/>
  <c r="D676" i="21"/>
  <c r="D677" i="21"/>
  <c r="D678" i="21"/>
  <c r="D679" i="21"/>
  <c r="D680" i="21"/>
  <c r="D681" i="21"/>
  <c r="D682" i="21"/>
  <c r="D3" i="21"/>
  <c r="B531" i="21"/>
  <c r="B472" i="21"/>
  <c r="D472" i="21" s="1"/>
  <c r="B300" i="21"/>
  <c r="B272" i="21"/>
  <c r="B268" i="21"/>
  <c r="D268" i="21" s="1"/>
  <c r="B261" i="21"/>
  <c r="D261" i="21" s="1"/>
  <c r="B226" i="21"/>
  <c r="B215" i="21"/>
  <c r="D215" i="21" s="1"/>
  <c r="B212" i="21"/>
  <c r="D212" i="21" s="1"/>
  <c r="B204" i="21"/>
  <c r="D204" i="21" s="1"/>
  <c r="B194" i="21"/>
  <c r="D194" i="21" s="1"/>
  <c r="B146" i="21"/>
  <c r="D146" i="21" s="1"/>
  <c r="B80" i="21"/>
  <c r="D80" i="21" s="1"/>
  <c r="B66" i="21"/>
  <c r="D66" i="21" s="1"/>
  <c r="B56" i="21"/>
  <c r="D56" i="21" s="1"/>
  <c r="B32" i="21"/>
  <c r="D32" i="21" s="1"/>
  <c r="B27" i="21"/>
  <c r="B21" i="21"/>
  <c r="B351" i="21" l="1"/>
  <c r="D21" i="21"/>
  <c r="D351" i="21" s="1"/>
  <c r="D683" i="21"/>
  <c r="D685" i="21" s="1"/>
  <c r="B683" i="21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2" i="20"/>
  <c r="D23" i="20"/>
  <c r="D24" i="20"/>
  <c r="D25" i="20"/>
  <c r="D26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7" i="20"/>
  <c r="D58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6" i="20"/>
  <c r="D137" i="20"/>
  <c r="D138" i="20"/>
  <c r="D139" i="20"/>
  <c r="D140" i="20"/>
  <c r="D141" i="20"/>
  <c r="D142" i="20"/>
  <c r="D143" i="20"/>
  <c r="D144" i="20"/>
  <c r="D145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5" i="20"/>
  <c r="D206" i="20"/>
  <c r="D207" i="20"/>
  <c r="D208" i="20"/>
  <c r="D209" i="20"/>
  <c r="D210" i="20"/>
  <c r="D211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2" i="20"/>
  <c r="D263" i="20"/>
  <c r="D264" i="20"/>
  <c r="D265" i="20"/>
  <c r="D266" i="20"/>
  <c r="D267" i="20"/>
  <c r="D269" i="20"/>
  <c r="D270" i="20"/>
  <c r="D271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1" i="20"/>
  <c r="D302" i="20"/>
  <c r="D303" i="20"/>
  <c r="D304" i="20"/>
  <c r="D305" i="20"/>
  <c r="D306" i="20"/>
  <c r="D307" i="20"/>
  <c r="D308" i="20"/>
  <c r="D309" i="20"/>
  <c r="D310" i="20"/>
  <c r="D311" i="20"/>
  <c r="D312" i="20"/>
  <c r="D313" i="20"/>
  <c r="D314" i="20"/>
  <c r="D315" i="20"/>
  <c r="D316" i="20"/>
  <c r="D317" i="20"/>
  <c r="D318" i="20"/>
  <c r="D319" i="20"/>
  <c r="D320" i="20"/>
  <c r="D321" i="20"/>
  <c r="D322" i="20"/>
  <c r="D323" i="20"/>
  <c r="D324" i="20"/>
  <c r="D325" i="20"/>
  <c r="D326" i="20"/>
  <c r="D327" i="20"/>
  <c r="D328" i="20"/>
  <c r="D329" i="20"/>
  <c r="D330" i="20"/>
  <c r="D331" i="20"/>
  <c r="D332" i="20"/>
  <c r="D333" i="20"/>
  <c r="D334" i="20"/>
  <c r="D335" i="20"/>
  <c r="D336" i="20"/>
  <c r="D337" i="20"/>
  <c r="D338" i="20"/>
  <c r="D339" i="20"/>
  <c r="D340" i="20"/>
  <c r="D341" i="20"/>
  <c r="D342" i="20"/>
  <c r="D343" i="20"/>
  <c r="D344" i="20"/>
  <c r="D345" i="20"/>
  <c r="D346" i="20"/>
  <c r="D347" i="20"/>
  <c r="D348" i="20"/>
  <c r="D349" i="20"/>
  <c r="D350" i="20"/>
  <c r="D352" i="20"/>
  <c r="D355" i="20"/>
  <c r="D356" i="20"/>
  <c r="D357" i="20"/>
  <c r="D358" i="20"/>
  <c r="D359" i="20"/>
  <c r="D360" i="20"/>
  <c r="D361" i="20"/>
  <c r="D362" i="20"/>
  <c r="D363" i="20"/>
  <c r="D364" i="20"/>
  <c r="D365" i="20"/>
  <c r="D366" i="20"/>
  <c r="D367" i="20"/>
  <c r="D368" i="20"/>
  <c r="D369" i="20"/>
  <c r="D370" i="20"/>
  <c r="D371" i="20"/>
  <c r="D372" i="20"/>
  <c r="D373" i="20"/>
  <c r="D374" i="20"/>
  <c r="D375" i="20"/>
  <c r="D376" i="20"/>
  <c r="D377" i="20"/>
  <c r="D378" i="20"/>
  <c r="D379" i="20"/>
  <c r="D380" i="20"/>
  <c r="D381" i="20"/>
  <c r="D382" i="20"/>
  <c r="D383" i="20"/>
  <c r="D384" i="20"/>
  <c r="D385" i="20"/>
  <c r="D386" i="20"/>
  <c r="D387" i="20"/>
  <c r="D388" i="20"/>
  <c r="D389" i="20"/>
  <c r="D390" i="20"/>
  <c r="D391" i="20"/>
  <c r="D392" i="20"/>
  <c r="D393" i="20"/>
  <c r="D394" i="20"/>
  <c r="D395" i="20"/>
  <c r="D396" i="20"/>
  <c r="D397" i="20"/>
  <c r="D398" i="20"/>
  <c r="D399" i="20"/>
  <c r="D400" i="20"/>
  <c r="D401" i="20"/>
  <c r="D402" i="20"/>
  <c r="D403" i="20"/>
  <c r="D404" i="20"/>
  <c r="D405" i="20"/>
  <c r="D406" i="20"/>
  <c r="D407" i="20"/>
  <c r="D408" i="20"/>
  <c r="D409" i="20"/>
  <c r="D410" i="20"/>
  <c r="D411" i="20"/>
  <c r="D412" i="20"/>
  <c r="D413" i="20"/>
  <c r="D414" i="20"/>
  <c r="D415" i="20"/>
  <c r="D416" i="20"/>
  <c r="D417" i="20"/>
  <c r="D418" i="20"/>
  <c r="D419" i="20"/>
  <c r="D420" i="20"/>
  <c r="D421" i="20"/>
  <c r="D422" i="20"/>
  <c r="D423" i="20"/>
  <c r="D424" i="20"/>
  <c r="D425" i="20"/>
  <c r="D426" i="20"/>
  <c r="D427" i="20"/>
  <c r="D428" i="20"/>
  <c r="D429" i="20"/>
  <c r="D430" i="20"/>
  <c r="D431" i="20"/>
  <c r="D432" i="20"/>
  <c r="D433" i="20"/>
  <c r="D434" i="20"/>
  <c r="D435" i="20"/>
  <c r="D436" i="20"/>
  <c r="D437" i="20"/>
  <c r="D438" i="20"/>
  <c r="D439" i="20"/>
  <c r="D440" i="20"/>
  <c r="D441" i="20"/>
  <c r="D442" i="20"/>
  <c r="D443" i="20"/>
  <c r="D444" i="20"/>
  <c r="D445" i="20"/>
  <c r="D446" i="20"/>
  <c r="D447" i="20"/>
  <c r="D448" i="20"/>
  <c r="D449" i="20"/>
  <c r="D450" i="20"/>
  <c r="D451" i="20"/>
  <c r="D452" i="20"/>
  <c r="D453" i="20"/>
  <c r="D454" i="20"/>
  <c r="D455" i="20"/>
  <c r="D456" i="20"/>
  <c r="D457" i="20"/>
  <c r="D458" i="20"/>
  <c r="D459" i="20"/>
  <c r="D460" i="20"/>
  <c r="D461" i="20"/>
  <c r="D462" i="20"/>
  <c r="D463" i="20"/>
  <c r="D464" i="20"/>
  <c r="D465" i="20"/>
  <c r="D466" i="20"/>
  <c r="D467" i="20"/>
  <c r="D468" i="20"/>
  <c r="D469" i="20"/>
  <c r="D470" i="20"/>
  <c r="D471" i="20"/>
  <c r="D473" i="20"/>
  <c r="D474" i="20"/>
  <c r="D475" i="20"/>
  <c r="D476" i="20"/>
  <c r="D477" i="20"/>
  <c r="D478" i="20"/>
  <c r="D479" i="20"/>
  <c r="D480" i="20"/>
  <c r="D481" i="20"/>
  <c r="D482" i="20"/>
  <c r="D483" i="20"/>
  <c r="D484" i="20"/>
  <c r="D485" i="20"/>
  <c r="D486" i="20"/>
  <c r="D487" i="20"/>
  <c r="D488" i="20"/>
  <c r="D489" i="20"/>
  <c r="D490" i="20"/>
  <c r="D491" i="20"/>
  <c r="D492" i="20"/>
  <c r="D493" i="20"/>
  <c r="D494" i="20"/>
  <c r="D495" i="20"/>
  <c r="D496" i="20"/>
  <c r="D497" i="20"/>
  <c r="D498" i="20"/>
  <c r="D499" i="20"/>
  <c r="D500" i="20"/>
  <c r="D501" i="20"/>
  <c r="D502" i="20"/>
  <c r="D503" i="20"/>
  <c r="D504" i="20"/>
  <c r="D505" i="20"/>
  <c r="D506" i="20"/>
  <c r="D507" i="20"/>
  <c r="D508" i="20"/>
  <c r="D509" i="20"/>
  <c r="D510" i="20"/>
  <c r="D511" i="20"/>
  <c r="D512" i="20"/>
  <c r="D513" i="20"/>
  <c r="D514" i="20"/>
  <c r="D516" i="20"/>
  <c r="D517" i="20"/>
  <c r="D518" i="20"/>
  <c r="D519" i="20"/>
  <c r="D520" i="20"/>
  <c r="D521" i="20"/>
  <c r="D522" i="20"/>
  <c r="D523" i="20"/>
  <c r="D524" i="20"/>
  <c r="D525" i="20"/>
  <c r="D526" i="20"/>
  <c r="D527" i="20"/>
  <c r="D528" i="20"/>
  <c r="D529" i="20"/>
  <c r="D530" i="20"/>
  <c r="D531" i="20"/>
  <c r="D532" i="20"/>
  <c r="D533" i="20"/>
  <c r="D534" i="20"/>
  <c r="D535" i="20"/>
  <c r="D536" i="20"/>
  <c r="D537" i="20"/>
  <c r="D538" i="20"/>
  <c r="D539" i="20"/>
  <c r="D540" i="20"/>
  <c r="D541" i="20"/>
  <c r="D542" i="20"/>
  <c r="D543" i="20"/>
  <c r="D544" i="20"/>
  <c r="D545" i="20"/>
  <c r="D546" i="20"/>
  <c r="D547" i="20"/>
  <c r="D548" i="20"/>
  <c r="D549" i="20"/>
  <c r="D550" i="20"/>
  <c r="D551" i="20"/>
  <c r="D552" i="20"/>
  <c r="D553" i="20"/>
  <c r="D554" i="20"/>
  <c r="D555" i="20"/>
  <c r="D556" i="20"/>
  <c r="D557" i="20"/>
  <c r="D558" i="20"/>
  <c r="D559" i="20"/>
  <c r="D560" i="20"/>
  <c r="D561" i="20"/>
  <c r="D562" i="20"/>
  <c r="D563" i="20"/>
  <c r="D564" i="20"/>
  <c r="D565" i="20"/>
  <c r="D566" i="20"/>
  <c r="D567" i="20"/>
  <c r="D568" i="20"/>
  <c r="D569" i="20"/>
  <c r="D570" i="20"/>
  <c r="D571" i="20"/>
  <c r="D572" i="20"/>
  <c r="D573" i="20"/>
  <c r="D574" i="20"/>
  <c r="D575" i="20"/>
  <c r="D576" i="20"/>
  <c r="D577" i="20"/>
  <c r="D578" i="20"/>
  <c r="D579" i="20"/>
  <c r="D580" i="20"/>
  <c r="D581" i="20"/>
  <c r="D582" i="20"/>
  <c r="D583" i="20"/>
  <c r="D584" i="20"/>
  <c r="D585" i="20"/>
  <c r="D586" i="20"/>
  <c r="D587" i="20"/>
  <c r="D588" i="20"/>
  <c r="D589" i="20"/>
  <c r="D590" i="20"/>
  <c r="D591" i="20"/>
  <c r="D592" i="20"/>
  <c r="D593" i="20"/>
  <c r="D594" i="20"/>
  <c r="D595" i="20"/>
  <c r="D596" i="20"/>
  <c r="D597" i="20"/>
  <c r="D598" i="20"/>
  <c r="D599" i="20"/>
  <c r="D600" i="20"/>
  <c r="D601" i="20"/>
  <c r="D602" i="20"/>
  <c r="D603" i="20"/>
  <c r="D604" i="20"/>
  <c r="D605" i="20"/>
  <c r="D606" i="20"/>
  <c r="D607" i="20"/>
  <c r="D608" i="20"/>
  <c r="D609" i="20"/>
  <c r="D610" i="20"/>
  <c r="D611" i="20"/>
  <c r="D612" i="20"/>
  <c r="D613" i="20"/>
  <c r="D614" i="20"/>
  <c r="D615" i="20"/>
  <c r="D616" i="20"/>
  <c r="D617" i="20"/>
  <c r="D618" i="20"/>
  <c r="D619" i="20"/>
  <c r="D620" i="20"/>
  <c r="D621" i="20"/>
  <c r="D622" i="20"/>
  <c r="D623" i="20"/>
  <c r="D624" i="20"/>
  <c r="D625" i="20"/>
  <c r="D626" i="20"/>
  <c r="D627" i="20"/>
  <c r="D628" i="20"/>
  <c r="D629" i="20"/>
  <c r="D630" i="20"/>
  <c r="D631" i="20"/>
  <c r="D632" i="20"/>
  <c r="D633" i="20"/>
  <c r="D634" i="20"/>
  <c r="D635" i="20"/>
  <c r="D636" i="20"/>
  <c r="D637" i="20"/>
  <c r="D638" i="20"/>
  <c r="D639" i="20"/>
  <c r="D640" i="20"/>
  <c r="D641" i="20"/>
  <c r="D642" i="20"/>
  <c r="D643" i="20"/>
  <c r="D644" i="20"/>
  <c r="D645" i="20"/>
  <c r="D646" i="20"/>
  <c r="D647" i="20"/>
  <c r="D648" i="20"/>
  <c r="D649" i="20"/>
  <c r="D650" i="20"/>
  <c r="D651" i="20"/>
  <c r="D652" i="20"/>
  <c r="D653" i="20"/>
  <c r="D654" i="20"/>
  <c r="D655" i="20"/>
  <c r="D656" i="20"/>
  <c r="D657" i="20"/>
  <c r="D658" i="20"/>
  <c r="D659" i="20"/>
  <c r="D660" i="20"/>
  <c r="D661" i="20"/>
  <c r="D662" i="20"/>
  <c r="D663" i="20"/>
  <c r="D664" i="20"/>
  <c r="D665" i="20"/>
  <c r="D666" i="20"/>
  <c r="D667" i="20"/>
  <c r="D668" i="20"/>
  <c r="D669" i="20"/>
  <c r="D670" i="20"/>
  <c r="D671" i="20"/>
  <c r="D672" i="20"/>
  <c r="D673" i="20"/>
  <c r="D674" i="20"/>
  <c r="D675" i="20"/>
  <c r="D676" i="20"/>
  <c r="D677" i="20"/>
  <c r="D678" i="20"/>
  <c r="D679" i="20"/>
  <c r="D680" i="20"/>
  <c r="D681" i="20"/>
  <c r="D682" i="20"/>
  <c r="D3" i="20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7" i="19"/>
  <c r="D58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1" i="19"/>
  <c r="D82" i="19"/>
  <c r="D83" i="19"/>
  <c r="D84" i="19"/>
  <c r="D85" i="19"/>
  <c r="D86" i="19"/>
  <c r="D87" i="19"/>
  <c r="D88" i="19"/>
  <c r="D89" i="19"/>
  <c r="D91" i="19"/>
  <c r="D92" i="19"/>
  <c r="D93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6" i="19"/>
  <c r="D137" i="19"/>
  <c r="D138" i="19"/>
  <c r="D139" i="19"/>
  <c r="D140" i="19"/>
  <c r="D141" i="19"/>
  <c r="D142" i="19"/>
  <c r="D143" i="19"/>
  <c r="D144" i="19"/>
  <c r="D145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2" i="19"/>
  <c r="D263" i="19"/>
  <c r="D264" i="19"/>
  <c r="D265" i="19"/>
  <c r="D266" i="19"/>
  <c r="D267" i="19"/>
  <c r="D269" i="19"/>
  <c r="D270" i="19"/>
  <c r="D271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30" i="19"/>
  <c r="D331" i="19"/>
  <c r="D332" i="19"/>
  <c r="D333" i="19"/>
  <c r="D334" i="19"/>
  <c r="D335" i="19"/>
  <c r="D336" i="19"/>
  <c r="D337" i="19"/>
  <c r="D338" i="19"/>
  <c r="D339" i="19"/>
  <c r="D340" i="19"/>
  <c r="D341" i="19"/>
  <c r="D342" i="19"/>
  <c r="D343" i="19"/>
  <c r="D344" i="19"/>
  <c r="D345" i="19"/>
  <c r="D346" i="19"/>
  <c r="D347" i="19"/>
  <c r="D348" i="19"/>
  <c r="D349" i="19"/>
  <c r="D350" i="19"/>
  <c r="D353" i="19"/>
  <c r="D356" i="19"/>
  <c r="D357" i="19"/>
  <c r="D358" i="19"/>
  <c r="D359" i="19"/>
  <c r="D361" i="19"/>
  <c r="D362" i="19"/>
  <c r="D363" i="19"/>
  <c r="D364" i="19"/>
  <c r="D365" i="19"/>
  <c r="D366" i="19"/>
  <c r="D368" i="19"/>
  <c r="D369" i="19"/>
  <c r="D370" i="19"/>
  <c r="D371" i="19"/>
  <c r="D372" i="19"/>
  <c r="D373" i="19"/>
  <c r="D375" i="19"/>
  <c r="D376" i="19"/>
  <c r="D377" i="19"/>
  <c r="D378" i="19"/>
  <c r="D379" i="19"/>
  <c r="D380" i="19"/>
  <c r="D381" i="19"/>
  <c r="D382" i="19"/>
  <c r="D383" i="19"/>
  <c r="D384" i="19"/>
  <c r="D385" i="19"/>
  <c r="D386" i="19"/>
  <c r="D387" i="19"/>
  <c r="D388" i="19"/>
  <c r="D389" i="19"/>
  <c r="D390" i="19"/>
  <c r="D391" i="19"/>
  <c r="D392" i="19"/>
  <c r="D393" i="19"/>
  <c r="D394" i="19"/>
  <c r="D395" i="19"/>
  <c r="D396" i="19"/>
  <c r="D397" i="19"/>
  <c r="D398" i="19"/>
  <c r="D399" i="19"/>
  <c r="D400" i="19"/>
  <c r="D401" i="19"/>
  <c r="D402" i="19"/>
  <c r="D403" i="19"/>
  <c r="D404" i="19"/>
  <c r="D405" i="19"/>
  <c r="D406" i="19"/>
  <c r="D407" i="19"/>
  <c r="D408" i="19"/>
  <c r="D409" i="19"/>
  <c r="D410" i="19"/>
  <c r="D411" i="19"/>
  <c r="D412" i="19"/>
  <c r="D413" i="19"/>
  <c r="D414" i="19"/>
  <c r="D415" i="19"/>
  <c r="D416" i="19"/>
  <c r="D417" i="19"/>
  <c r="D418" i="19"/>
  <c r="D419" i="19"/>
  <c r="D420" i="19"/>
  <c r="D421" i="19"/>
  <c r="D422" i="19"/>
  <c r="D423" i="19"/>
  <c r="D424" i="19"/>
  <c r="D425" i="19"/>
  <c r="D426" i="19"/>
  <c r="D427" i="19"/>
  <c r="D428" i="19"/>
  <c r="D429" i="19"/>
  <c r="D430" i="19"/>
  <c r="D431" i="19"/>
  <c r="D432" i="19"/>
  <c r="D433" i="19"/>
  <c r="D434" i="19"/>
  <c r="D435" i="19"/>
  <c r="D436" i="19"/>
  <c r="D437" i="19"/>
  <c r="D438" i="19"/>
  <c r="D439" i="19"/>
  <c r="D440" i="19"/>
  <c r="D441" i="19"/>
  <c r="D442" i="19"/>
  <c r="D443" i="19"/>
  <c r="D444" i="19"/>
  <c r="D445" i="19"/>
  <c r="D446" i="19"/>
  <c r="D447" i="19"/>
  <c r="D448" i="19"/>
  <c r="D449" i="19"/>
  <c r="D450" i="19"/>
  <c r="D451" i="19"/>
  <c r="D452" i="19"/>
  <c r="D453" i="19"/>
  <c r="D455" i="19"/>
  <c r="D456" i="19"/>
  <c r="D457" i="19"/>
  <c r="D458" i="19"/>
  <c r="D459" i="19"/>
  <c r="D460" i="19"/>
  <c r="D461" i="19"/>
  <c r="D462" i="19"/>
  <c r="D463" i="19"/>
  <c r="D464" i="19"/>
  <c r="D465" i="19"/>
  <c r="D466" i="19"/>
  <c r="D467" i="19"/>
  <c r="D468" i="19"/>
  <c r="D469" i="19"/>
  <c r="D470" i="19"/>
  <c r="D471" i="19"/>
  <c r="D472" i="19"/>
  <c r="D473" i="19"/>
  <c r="D474" i="19"/>
  <c r="D475" i="19"/>
  <c r="D476" i="19"/>
  <c r="D477" i="19"/>
  <c r="D478" i="19"/>
  <c r="D479" i="19"/>
  <c r="D480" i="19"/>
  <c r="D481" i="19"/>
  <c r="D482" i="19"/>
  <c r="D483" i="19"/>
  <c r="D484" i="19"/>
  <c r="D485" i="19"/>
  <c r="D486" i="19"/>
  <c r="D487" i="19"/>
  <c r="D488" i="19"/>
  <c r="D489" i="19"/>
  <c r="D490" i="19"/>
  <c r="D491" i="19"/>
  <c r="D492" i="19"/>
  <c r="D493" i="19"/>
  <c r="D494" i="19"/>
  <c r="D495" i="19"/>
  <c r="D496" i="19"/>
  <c r="D497" i="19"/>
  <c r="D498" i="19"/>
  <c r="D499" i="19"/>
  <c r="D500" i="19"/>
  <c r="D501" i="19"/>
  <c r="D502" i="19"/>
  <c r="D503" i="19"/>
  <c r="D504" i="19"/>
  <c r="D505" i="19"/>
  <c r="D506" i="19"/>
  <c r="D507" i="19"/>
  <c r="D508" i="19"/>
  <c r="D509" i="19"/>
  <c r="D510" i="19"/>
  <c r="D511" i="19"/>
  <c r="D512" i="19"/>
  <c r="D513" i="19"/>
  <c r="D514" i="19"/>
  <c r="D515" i="19"/>
  <c r="D516" i="19"/>
  <c r="D517" i="19"/>
  <c r="D518" i="19"/>
  <c r="D519" i="19"/>
  <c r="D520" i="19"/>
  <c r="D521" i="19"/>
  <c r="D522" i="19"/>
  <c r="D523" i="19"/>
  <c r="D524" i="19"/>
  <c r="D525" i="19"/>
  <c r="D526" i="19"/>
  <c r="D527" i="19"/>
  <c r="D528" i="19"/>
  <c r="D529" i="19"/>
  <c r="D530" i="19"/>
  <c r="D531" i="19"/>
  <c r="D532" i="19"/>
  <c r="D533" i="19"/>
  <c r="D534" i="19"/>
  <c r="D535" i="19"/>
  <c r="D536" i="19"/>
  <c r="D537" i="19"/>
  <c r="D538" i="19"/>
  <c r="D539" i="19"/>
  <c r="D540" i="19"/>
  <c r="D541" i="19"/>
  <c r="D542" i="19"/>
  <c r="D543" i="19"/>
  <c r="D544" i="19"/>
  <c r="D545" i="19"/>
  <c r="D546" i="19"/>
  <c r="D547" i="19"/>
  <c r="D548" i="19"/>
  <c r="D549" i="19"/>
  <c r="D550" i="19"/>
  <c r="D551" i="19"/>
  <c r="D552" i="19"/>
  <c r="D553" i="19"/>
  <c r="D554" i="19"/>
  <c r="D555" i="19"/>
  <c r="D556" i="19"/>
  <c r="D557" i="19"/>
  <c r="D558" i="19"/>
  <c r="D559" i="19"/>
  <c r="D560" i="19"/>
  <c r="D561" i="19"/>
  <c r="D562" i="19"/>
  <c r="D563" i="19"/>
  <c r="D564" i="19"/>
  <c r="D565" i="19"/>
  <c r="D566" i="19"/>
  <c r="D567" i="19"/>
  <c r="D568" i="19"/>
  <c r="D569" i="19"/>
  <c r="D570" i="19"/>
  <c r="D571" i="19"/>
  <c r="D572" i="19"/>
  <c r="D573" i="19"/>
  <c r="D574" i="19"/>
  <c r="D575" i="19"/>
  <c r="D576" i="19"/>
  <c r="D577" i="19"/>
  <c r="D578" i="19"/>
  <c r="D579" i="19"/>
  <c r="D580" i="19"/>
  <c r="D581" i="19"/>
  <c r="D582" i="19"/>
  <c r="D583" i="19"/>
  <c r="D584" i="19"/>
  <c r="D585" i="19"/>
  <c r="D586" i="19"/>
  <c r="D587" i="19"/>
  <c r="D588" i="19"/>
  <c r="D589" i="19"/>
  <c r="D590" i="19"/>
  <c r="D591" i="19"/>
  <c r="D592" i="19"/>
  <c r="D593" i="19"/>
  <c r="D594" i="19"/>
  <c r="D595" i="19"/>
  <c r="D596" i="19"/>
  <c r="D597" i="19"/>
  <c r="D598" i="19"/>
  <c r="D599" i="19"/>
  <c r="D600" i="19"/>
  <c r="D601" i="19"/>
  <c r="D602" i="19"/>
  <c r="D603" i="19"/>
  <c r="D604" i="19"/>
  <c r="D605" i="19"/>
  <c r="D606" i="19"/>
  <c r="D607" i="19"/>
  <c r="D608" i="19"/>
  <c r="D609" i="19"/>
  <c r="D610" i="19"/>
  <c r="D611" i="19"/>
  <c r="D612" i="19"/>
  <c r="D613" i="19"/>
  <c r="D614" i="19"/>
  <c r="D615" i="19"/>
  <c r="D616" i="19"/>
  <c r="D617" i="19"/>
  <c r="D618" i="19"/>
  <c r="D619" i="19"/>
  <c r="D620" i="19"/>
  <c r="D621" i="19"/>
  <c r="D622" i="19"/>
  <c r="D623" i="19"/>
  <c r="D624" i="19"/>
  <c r="D625" i="19"/>
  <c r="D626" i="19"/>
  <c r="D627" i="19"/>
  <c r="D628" i="19"/>
  <c r="D629" i="19"/>
  <c r="D630" i="19"/>
  <c r="D631" i="19"/>
  <c r="D632" i="19"/>
  <c r="D633" i="19"/>
  <c r="D634" i="19"/>
  <c r="D635" i="19"/>
  <c r="D636" i="19"/>
  <c r="D637" i="19"/>
  <c r="D638" i="19"/>
  <c r="D639" i="19"/>
  <c r="D640" i="19"/>
  <c r="D641" i="19"/>
  <c r="D642" i="19"/>
  <c r="D643" i="19"/>
  <c r="D644" i="19"/>
  <c r="D645" i="19"/>
  <c r="D646" i="19"/>
  <c r="D647" i="19"/>
  <c r="D648" i="19"/>
  <c r="D649" i="19"/>
  <c r="D650" i="19"/>
  <c r="D651" i="19"/>
  <c r="D652" i="19"/>
  <c r="D653" i="19"/>
  <c r="D654" i="19"/>
  <c r="D655" i="19"/>
  <c r="D656" i="19"/>
  <c r="D657" i="19"/>
  <c r="D658" i="19"/>
  <c r="D659" i="19"/>
  <c r="D660" i="19"/>
  <c r="D661" i="19"/>
  <c r="D662" i="19"/>
  <c r="D663" i="19"/>
  <c r="D664" i="19"/>
  <c r="D665" i="19"/>
  <c r="D666" i="19"/>
  <c r="D667" i="19"/>
  <c r="D668" i="19"/>
  <c r="D669" i="19"/>
  <c r="D670" i="19"/>
  <c r="D671" i="19"/>
  <c r="D672" i="19"/>
  <c r="D673" i="19"/>
  <c r="D674" i="19"/>
  <c r="D675" i="19"/>
  <c r="D676" i="19"/>
  <c r="D677" i="19"/>
  <c r="D678" i="19"/>
  <c r="D679" i="19"/>
  <c r="D680" i="19"/>
  <c r="D681" i="19"/>
  <c r="D682" i="19"/>
  <c r="D683" i="19"/>
  <c r="D3" i="19"/>
  <c r="B515" i="20"/>
  <c r="D515" i="20" s="1"/>
  <c r="B472" i="20"/>
  <c r="D472" i="20" s="1"/>
  <c r="B300" i="20"/>
  <c r="D300" i="20" s="1"/>
  <c r="B272" i="20"/>
  <c r="D272" i="20" s="1"/>
  <c r="B268" i="20"/>
  <c r="D268" i="20" s="1"/>
  <c r="B261" i="20"/>
  <c r="D261" i="20" s="1"/>
  <c r="B226" i="20"/>
  <c r="D226" i="20" s="1"/>
  <c r="B215" i="20"/>
  <c r="B213" i="20"/>
  <c r="D213" i="20" s="1"/>
  <c r="B212" i="20"/>
  <c r="D212" i="20" s="1"/>
  <c r="B146" i="20"/>
  <c r="D146" i="20" s="1"/>
  <c r="B135" i="20"/>
  <c r="D135" i="20" s="1"/>
  <c r="B59" i="20"/>
  <c r="D59" i="20" s="1"/>
  <c r="B56" i="20"/>
  <c r="D56" i="20" s="1"/>
  <c r="B27" i="20"/>
  <c r="D27" i="20" s="1"/>
  <c r="B21" i="20"/>
  <c r="D21" i="20" s="1"/>
  <c r="B454" i="19"/>
  <c r="D454" i="19" s="1"/>
  <c r="B374" i="19"/>
  <c r="D374" i="19" s="1"/>
  <c r="B367" i="19"/>
  <c r="D367" i="19" s="1"/>
  <c r="B360" i="19"/>
  <c r="D360" i="19" s="1"/>
  <c r="B300" i="19"/>
  <c r="D300" i="19" s="1"/>
  <c r="B272" i="19"/>
  <c r="D272" i="19" s="1"/>
  <c r="B268" i="19"/>
  <c r="D268" i="19" s="1"/>
  <c r="B261" i="19"/>
  <c r="D261" i="19" s="1"/>
  <c r="B226" i="19"/>
  <c r="D226" i="19" s="1"/>
  <c r="B213" i="19"/>
  <c r="D213" i="19" s="1"/>
  <c r="B212" i="19"/>
  <c r="D212" i="19" s="1"/>
  <c r="B194" i="19"/>
  <c r="D194" i="19" s="1"/>
  <c r="B146" i="19"/>
  <c r="D146" i="19" s="1"/>
  <c r="B135" i="19"/>
  <c r="D135" i="19" s="1"/>
  <c r="B94" i="19"/>
  <c r="D94" i="19" s="1"/>
  <c r="B90" i="19"/>
  <c r="D90" i="19" s="1"/>
  <c r="B80" i="19"/>
  <c r="D80" i="19" s="1"/>
  <c r="B59" i="19"/>
  <c r="D59" i="19" s="1"/>
  <c r="B56" i="19"/>
  <c r="D56" i="19" s="1"/>
  <c r="B27" i="19"/>
  <c r="D27" i="19" s="1"/>
  <c r="B21" i="19"/>
  <c r="B352" i="19" l="1"/>
  <c r="D683" i="20"/>
  <c r="D351" i="20"/>
  <c r="D352" i="19"/>
  <c r="B351" i="20"/>
  <c r="B684" i="19"/>
  <c r="B683" i="20"/>
  <c r="D684" i="19"/>
  <c r="D686" i="19" s="1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2" i="18"/>
  <c r="D23" i="18"/>
  <c r="D24" i="18"/>
  <c r="D25" i="18"/>
  <c r="D26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5" i="18"/>
  <c r="D196" i="18"/>
  <c r="D197" i="18"/>
  <c r="D198" i="18"/>
  <c r="D199" i="18"/>
  <c r="D200" i="18"/>
  <c r="D201" i="18"/>
  <c r="D202" i="18"/>
  <c r="D203" i="18"/>
  <c r="D205" i="18"/>
  <c r="D206" i="18"/>
  <c r="D207" i="18"/>
  <c r="D208" i="18"/>
  <c r="D209" i="18"/>
  <c r="D210" i="18"/>
  <c r="D211" i="18"/>
  <c r="D212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2" i="18"/>
  <c r="D263" i="18"/>
  <c r="D264" i="18"/>
  <c r="D265" i="18"/>
  <c r="D266" i="18"/>
  <c r="D267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2" i="18"/>
  <c r="D355" i="18"/>
  <c r="D356" i="18"/>
  <c r="D357" i="18"/>
  <c r="D358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5" i="18"/>
  <c r="D456" i="18"/>
  <c r="D457" i="18"/>
  <c r="D458" i="18"/>
  <c r="D459" i="18"/>
  <c r="D460" i="18"/>
  <c r="D461" i="18"/>
  <c r="D462" i="18"/>
  <c r="D463" i="18"/>
  <c r="D464" i="18"/>
  <c r="D465" i="18"/>
  <c r="D466" i="18"/>
  <c r="D467" i="18"/>
  <c r="D468" i="18"/>
  <c r="D469" i="18"/>
  <c r="D470" i="18"/>
  <c r="D471" i="18"/>
  <c r="D473" i="18"/>
  <c r="D474" i="18"/>
  <c r="D475" i="18"/>
  <c r="D476" i="18"/>
  <c r="D477" i="18"/>
  <c r="D478" i="18"/>
  <c r="D479" i="18"/>
  <c r="D480" i="18"/>
  <c r="D481" i="18"/>
  <c r="D482" i="18"/>
  <c r="D483" i="18"/>
  <c r="D484" i="18"/>
  <c r="D485" i="18"/>
  <c r="D486" i="18"/>
  <c r="D487" i="18"/>
  <c r="D488" i="18"/>
  <c r="D489" i="18"/>
  <c r="D490" i="18"/>
  <c r="D491" i="18"/>
  <c r="D492" i="18"/>
  <c r="D493" i="18"/>
  <c r="D494" i="18"/>
  <c r="D495" i="18"/>
  <c r="D496" i="18"/>
  <c r="D497" i="18"/>
  <c r="D498" i="18"/>
  <c r="D499" i="18"/>
  <c r="D500" i="18"/>
  <c r="D501" i="18"/>
  <c r="D502" i="18"/>
  <c r="D503" i="18"/>
  <c r="D504" i="18"/>
  <c r="D505" i="18"/>
  <c r="D506" i="18"/>
  <c r="D507" i="18"/>
  <c r="D508" i="18"/>
  <c r="D509" i="18"/>
  <c r="D510" i="18"/>
  <c r="D511" i="18"/>
  <c r="D512" i="18"/>
  <c r="D513" i="18"/>
  <c r="D514" i="18"/>
  <c r="D515" i="18"/>
  <c r="D516" i="18"/>
  <c r="D517" i="18"/>
  <c r="D518" i="18"/>
  <c r="D519" i="18"/>
  <c r="D520" i="18"/>
  <c r="D521" i="18"/>
  <c r="D522" i="18"/>
  <c r="D523" i="18"/>
  <c r="D524" i="18"/>
  <c r="D525" i="18"/>
  <c r="D526" i="18"/>
  <c r="D527" i="18"/>
  <c r="D528" i="18"/>
  <c r="D529" i="18"/>
  <c r="D530" i="18"/>
  <c r="D531" i="18"/>
  <c r="D532" i="18"/>
  <c r="D533" i="18"/>
  <c r="D534" i="18"/>
  <c r="D535" i="18"/>
  <c r="D536" i="18"/>
  <c r="D537" i="18"/>
  <c r="D538" i="18"/>
  <c r="D539" i="18"/>
  <c r="D540" i="18"/>
  <c r="D541" i="18"/>
  <c r="D542" i="18"/>
  <c r="D543" i="18"/>
  <c r="D544" i="18"/>
  <c r="D545" i="18"/>
  <c r="D546" i="18"/>
  <c r="D547" i="18"/>
  <c r="D548" i="18"/>
  <c r="D549" i="18"/>
  <c r="D550" i="18"/>
  <c r="D551" i="18"/>
  <c r="D552" i="18"/>
  <c r="D553" i="18"/>
  <c r="D554" i="18"/>
  <c r="D555" i="18"/>
  <c r="D556" i="18"/>
  <c r="D557" i="18"/>
  <c r="D558" i="18"/>
  <c r="D559" i="18"/>
  <c r="D560" i="18"/>
  <c r="D561" i="18"/>
  <c r="D562" i="18"/>
  <c r="D563" i="18"/>
  <c r="D564" i="18"/>
  <c r="D565" i="18"/>
  <c r="D566" i="18"/>
  <c r="D567" i="18"/>
  <c r="D568" i="18"/>
  <c r="D569" i="18"/>
  <c r="D570" i="18"/>
  <c r="D571" i="18"/>
  <c r="D572" i="18"/>
  <c r="D573" i="18"/>
  <c r="D574" i="18"/>
  <c r="D575" i="18"/>
  <c r="D576" i="18"/>
  <c r="D577" i="18"/>
  <c r="D578" i="18"/>
  <c r="D579" i="18"/>
  <c r="D580" i="18"/>
  <c r="D581" i="18"/>
  <c r="D582" i="18"/>
  <c r="D583" i="18"/>
  <c r="D584" i="18"/>
  <c r="D585" i="18"/>
  <c r="D586" i="18"/>
  <c r="D587" i="18"/>
  <c r="D588" i="18"/>
  <c r="D589" i="18"/>
  <c r="D590" i="18"/>
  <c r="D591" i="18"/>
  <c r="D592" i="18"/>
  <c r="D593" i="18"/>
  <c r="D594" i="18"/>
  <c r="D595" i="18"/>
  <c r="D596" i="18"/>
  <c r="D597" i="18"/>
  <c r="D598" i="18"/>
  <c r="D599" i="18"/>
  <c r="D600" i="18"/>
  <c r="D601" i="18"/>
  <c r="D602" i="18"/>
  <c r="D603" i="18"/>
  <c r="D604" i="18"/>
  <c r="D605" i="18"/>
  <c r="D606" i="18"/>
  <c r="D607" i="18"/>
  <c r="D608" i="18"/>
  <c r="D609" i="18"/>
  <c r="D610" i="18"/>
  <c r="D611" i="18"/>
  <c r="D612" i="18"/>
  <c r="D613" i="18"/>
  <c r="D614" i="18"/>
  <c r="D615" i="18"/>
  <c r="D616" i="18"/>
  <c r="D617" i="18"/>
  <c r="D618" i="18"/>
  <c r="D619" i="18"/>
  <c r="D620" i="18"/>
  <c r="D621" i="18"/>
  <c r="D622" i="18"/>
  <c r="D623" i="18"/>
  <c r="D624" i="18"/>
  <c r="D625" i="18"/>
  <c r="D626" i="18"/>
  <c r="D627" i="18"/>
  <c r="D628" i="18"/>
  <c r="D629" i="18"/>
  <c r="D630" i="18"/>
  <c r="D631" i="18"/>
  <c r="D632" i="18"/>
  <c r="D633" i="18"/>
  <c r="D634" i="18"/>
  <c r="D635" i="18"/>
  <c r="D636" i="18"/>
  <c r="D637" i="18"/>
  <c r="D638" i="18"/>
  <c r="D639" i="18"/>
  <c r="D640" i="18"/>
  <c r="D641" i="18"/>
  <c r="D642" i="18"/>
  <c r="D643" i="18"/>
  <c r="D644" i="18"/>
  <c r="D645" i="18"/>
  <c r="D646" i="18"/>
  <c r="D647" i="18"/>
  <c r="D648" i="18"/>
  <c r="D649" i="18"/>
  <c r="D650" i="18"/>
  <c r="D651" i="18"/>
  <c r="D652" i="18"/>
  <c r="D653" i="18"/>
  <c r="D654" i="18"/>
  <c r="D655" i="18"/>
  <c r="D656" i="18"/>
  <c r="D657" i="18"/>
  <c r="D658" i="18"/>
  <c r="D659" i="18"/>
  <c r="D660" i="18"/>
  <c r="D661" i="18"/>
  <c r="D662" i="18"/>
  <c r="D663" i="18"/>
  <c r="D664" i="18"/>
  <c r="D665" i="18"/>
  <c r="D666" i="18"/>
  <c r="D667" i="18"/>
  <c r="D668" i="18"/>
  <c r="D669" i="18"/>
  <c r="D670" i="18"/>
  <c r="D671" i="18"/>
  <c r="D672" i="18"/>
  <c r="D673" i="18"/>
  <c r="D674" i="18"/>
  <c r="D675" i="18"/>
  <c r="D676" i="18"/>
  <c r="D677" i="18"/>
  <c r="D678" i="18"/>
  <c r="D679" i="18"/>
  <c r="D680" i="18"/>
  <c r="D681" i="18"/>
  <c r="D682" i="18"/>
  <c r="D3" i="18"/>
  <c r="B472" i="18"/>
  <c r="D472" i="18" s="1"/>
  <c r="B359" i="18"/>
  <c r="B683" i="18" s="1"/>
  <c r="B272" i="18"/>
  <c r="B268" i="18"/>
  <c r="D268" i="18" s="1"/>
  <c r="B261" i="18"/>
  <c r="D261" i="18" s="1"/>
  <c r="B226" i="18"/>
  <c r="D226" i="18" s="1"/>
  <c r="B213" i="18"/>
  <c r="D213" i="18" s="1"/>
  <c r="B204" i="18"/>
  <c r="D204" i="18" s="1"/>
  <c r="B194" i="18"/>
  <c r="D194" i="18" s="1"/>
  <c r="B178" i="18"/>
  <c r="D178" i="18" s="1"/>
  <c r="B146" i="18"/>
  <c r="D146" i="18" s="1"/>
  <c r="B56" i="18"/>
  <c r="D56" i="18" s="1"/>
  <c r="B27" i="18"/>
  <c r="D27" i="18" s="1"/>
  <c r="B21" i="18"/>
  <c r="D21" i="18" s="1"/>
  <c r="D685" i="20" l="1"/>
  <c r="D351" i="18"/>
  <c r="D359" i="18"/>
  <c r="D683" i="18"/>
  <c r="D685" i="18" s="1"/>
  <c r="B351" i="18"/>
  <c r="D682" i="17"/>
  <c r="D681" i="17"/>
  <c r="D680" i="17"/>
  <c r="D679" i="17"/>
  <c r="D678" i="17"/>
  <c r="D677" i="17"/>
  <c r="D676" i="17"/>
  <c r="D675" i="17"/>
  <c r="D674" i="17"/>
  <c r="D673" i="17"/>
  <c r="D672" i="17"/>
  <c r="D671" i="17"/>
  <c r="D670" i="17"/>
  <c r="D669" i="17"/>
  <c r="D668" i="17"/>
  <c r="D667" i="17"/>
  <c r="D666" i="17"/>
  <c r="D665" i="17"/>
  <c r="D664" i="17"/>
  <c r="D663" i="17"/>
  <c r="D662" i="17"/>
  <c r="D661" i="17"/>
  <c r="D660" i="17"/>
  <c r="D659" i="17"/>
  <c r="D658" i="17"/>
  <c r="D657" i="17"/>
  <c r="D656" i="17"/>
  <c r="D655" i="17"/>
  <c r="D654" i="17"/>
  <c r="D653" i="17"/>
  <c r="D652" i="17"/>
  <c r="D651" i="17"/>
  <c r="D650" i="17"/>
  <c r="D649" i="17"/>
  <c r="D648" i="17"/>
  <c r="D647" i="17"/>
  <c r="D646" i="17"/>
  <c r="D645" i="17"/>
  <c r="D644" i="17"/>
  <c r="D643" i="17"/>
  <c r="D642" i="17"/>
  <c r="D641" i="17"/>
  <c r="D640" i="17"/>
  <c r="D639" i="17"/>
  <c r="D638" i="17"/>
  <c r="D637" i="17"/>
  <c r="D636" i="17"/>
  <c r="D635" i="17"/>
  <c r="D634" i="17"/>
  <c r="D633" i="17"/>
  <c r="D632" i="17"/>
  <c r="D631" i="17"/>
  <c r="D630" i="17"/>
  <c r="D629" i="17"/>
  <c r="D628" i="17"/>
  <c r="D627" i="17"/>
  <c r="D626" i="17"/>
  <c r="D625" i="17"/>
  <c r="D624" i="17"/>
  <c r="D623" i="17"/>
  <c r="D622" i="17"/>
  <c r="D621" i="17"/>
  <c r="D620" i="17"/>
  <c r="D619" i="17"/>
  <c r="D618" i="17"/>
  <c r="D617" i="17"/>
  <c r="D616" i="17"/>
  <c r="D615" i="17"/>
  <c r="D614" i="17"/>
  <c r="D613" i="17"/>
  <c r="D612" i="17"/>
  <c r="D611" i="17"/>
  <c r="D610" i="17"/>
  <c r="D609" i="17"/>
  <c r="D608" i="17"/>
  <c r="D607" i="17"/>
  <c r="D606" i="17"/>
  <c r="D605" i="17"/>
  <c r="D604" i="17"/>
  <c r="D603" i="17"/>
  <c r="D602" i="17"/>
  <c r="D601" i="17"/>
  <c r="D600" i="17"/>
  <c r="D599" i="17"/>
  <c r="D598" i="17"/>
  <c r="D597" i="17"/>
  <c r="D596" i="17"/>
  <c r="D595" i="17"/>
  <c r="D594" i="17"/>
  <c r="D593" i="17"/>
  <c r="D592" i="17"/>
  <c r="D591" i="17"/>
  <c r="D590" i="17"/>
  <c r="D589" i="17"/>
  <c r="D588" i="17"/>
  <c r="D587" i="17"/>
  <c r="D586" i="17"/>
  <c r="D585" i="17"/>
  <c r="D584" i="17"/>
  <c r="D583" i="17"/>
  <c r="D582" i="17"/>
  <c r="D581" i="17"/>
  <c r="D580" i="17"/>
  <c r="D579" i="17"/>
  <c r="D578" i="17"/>
  <c r="D577" i="17"/>
  <c r="D576" i="17"/>
  <c r="D575" i="17"/>
  <c r="D574" i="17"/>
  <c r="D573" i="17"/>
  <c r="D572" i="17"/>
  <c r="D571" i="17"/>
  <c r="D570" i="17"/>
  <c r="D569" i="17"/>
  <c r="D568" i="17"/>
  <c r="D567" i="17"/>
  <c r="D566" i="17"/>
  <c r="D565" i="17"/>
  <c r="D564" i="17"/>
  <c r="D563" i="17"/>
  <c r="D562" i="17"/>
  <c r="D561" i="17"/>
  <c r="D560" i="17"/>
  <c r="D559" i="17"/>
  <c r="D558" i="17"/>
  <c r="D557" i="17"/>
  <c r="D556" i="17"/>
  <c r="D555" i="17"/>
  <c r="D554" i="17"/>
  <c r="D553" i="17"/>
  <c r="D552" i="17"/>
  <c r="D551" i="17"/>
  <c r="D550" i="17"/>
  <c r="D549" i="17"/>
  <c r="D548" i="17"/>
  <c r="D547" i="17"/>
  <c r="D546" i="17"/>
  <c r="D545" i="17"/>
  <c r="D544" i="17"/>
  <c r="D543" i="17"/>
  <c r="D542" i="17"/>
  <c r="D541" i="17"/>
  <c r="D540" i="17"/>
  <c r="D539" i="17"/>
  <c r="D538" i="17"/>
  <c r="D537" i="17"/>
  <c r="D536" i="17"/>
  <c r="D535" i="17"/>
  <c r="D534" i="17"/>
  <c r="D533" i="17"/>
  <c r="D532" i="17"/>
  <c r="D531" i="17"/>
  <c r="D530" i="17"/>
  <c r="D529" i="17"/>
  <c r="D528" i="17"/>
  <c r="D527" i="17"/>
  <c r="D526" i="17"/>
  <c r="D525" i="17"/>
  <c r="D524" i="17"/>
  <c r="D523" i="17"/>
  <c r="D522" i="17"/>
  <c r="D521" i="17"/>
  <c r="D520" i="17"/>
  <c r="D519" i="17"/>
  <c r="D518" i="17"/>
  <c r="D517" i="17"/>
  <c r="D516" i="17"/>
  <c r="D515" i="17"/>
  <c r="D514" i="17"/>
  <c r="D513" i="17"/>
  <c r="D512" i="17"/>
  <c r="D511" i="17"/>
  <c r="D510" i="17"/>
  <c r="D509" i="17"/>
  <c r="D508" i="17"/>
  <c r="D507" i="17"/>
  <c r="D506" i="17"/>
  <c r="D505" i="17"/>
  <c r="D504" i="17"/>
  <c r="D503" i="17"/>
  <c r="D502" i="17"/>
  <c r="D501" i="17"/>
  <c r="D500" i="17"/>
  <c r="D499" i="17"/>
  <c r="D498" i="17"/>
  <c r="D497" i="17"/>
  <c r="D496" i="17"/>
  <c r="D495" i="17"/>
  <c r="D494" i="17"/>
  <c r="D493" i="17"/>
  <c r="D492" i="17"/>
  <c r="D491" i="17"/>
  <c r="D490" i="17"/>
  <c r="D489" i="17"/>
  <c r="D488" i="17"/>
  <c r="D487" i="17"/>
  <c r="D486" i="17"/>
  <c r="D485" i="17"/>
  <c r="D484" i="17"/>
  <c r="D483" i="17"/>
  <c r="D482" i="17"/>
  <c r="D481" i="17"/>
  <c r="D480" i="17"/>
  <c r="D479" i="17"/>
  <c r="D478" i="17"/>
  <c r="D477" i="17"/>
  <c r="D476" i="17"/>
  <c r="D475" i="17"/>
  <c r="D474" i="17"/>
  <c r="D473" i="17"/>
  <c r="D472" i="17"/>
  <c r="D471" i="17"/>
  <c r="D470" i="17"/>
  <c r="D469" i="17"/>
  <c r="D468" i="17"/>
  <c r="D467" i="17"/>
  <c r="D466" i="17"/>
  <c r="D465" i="17"/>
  <c r="D464" i="17"/>
  <c r="D463" i="17"/>
  <c r="D462" i="17"/>
  <c r="D461" i="17"/>
  <c r="D460" i="17"/>
  <c r="D459" i="17"/>
  <c r="D458" i="17"/>
  <c r="D457" i="17"/>
  <c r="D456" i="17"/>
  <c r="D455" i="17"/>
  <c r="D454" i="17"/>
  <c r="D452" i="17"/>
  <c r="D451" i="17"/>
  <c r="D450" i="17"/>
  <c r="D449" i="17"/>
  <c r="D448" i="17"/>
  <c r="D447" i="17"/>
  <c r="D446" i="17"/>
  <c r="D445" i="17"/>
  <c r="D444" i="17"/>
  <c r="D443" i="17"/>
  <c r="D442" i="17"/>
  <c r="D441" i="17"/>
  <c r="D440" i="17"/>
  <c r="D439" i="17"/>
  <c r="D438" i="17"/>
  <c r="D437" i="17"/>
  <c r="D436" i="17"/>
  <c r="D435" i="17"/>
  <c r="D434" i="17"/>
  <c r="D433" i="17"/>
  <c r="D432" i="17"/>
  <c r="D431" i="17"/>
  <c r="D430" i="17"/>
  <c r="D429" i="17"/>
  <c r="D428" i="17"/>
  <c r="D427" i="17"/>
  <c r="D426" i="17"/>
  <c r="D425" i="17"/>
  <c r="D424" i="17"/>
  <c r="D423" i="17"/>
  <c r="D422" i="17"/>
  <c r="D421" i="17"/>
  <c r="D420" i="17"/>
  <c r="D419" i="17"/>
  <c r="D418" i="17"/>
  <c r="D417" i="17"/>
  <c r="D416" i="17"/>
  <c r="D415" i="17"/>
  <c r="D414" i="17"/>
  <c r="D413" i="17"/>
  <c r="D412" i="17"/>
  <c r="D411" i="17"/>
  <c r="D410" i="17"/>
  <c r="D409" i="17"/>
  <c r="D408" i="17"/>
  <c r="D407" i="17"/>
  <c r="D406" i="17"/>
  <c r="D405" i="17"/>
  <c r="D404" i="17"/>
  <c r="D403" i="17"/>
  <c r="D402" i="17"/>
  <c r="D401" i="17"/>
  <c r="D400" i="17"/>
  <c r="D399" i="17"/>
  <c r="D398" i="17"/>
  <c r="D397" i="17"/>
  <c r="D396" i="17"/>
  <c r="D395" i="17"/>
  <c r="D394" i="17"/>
  <c r="D393" i="17"/>
  <c r="D392" i="17"/>
  <c r="D391" i="17"/>
  <c r="D390" i="17"/>
  <c r="D389" i="17"/>
  <c r="D388" i="17"/>
  <c r="D387" i="17"/>
  <c r="D386" i="17"/>
  <c r="D385" i="17"/>
  <c r="D384" i="17"/>
  <c r="D383" i="17"/>
  <c r="D382" i="17"/>
  <c r="D381" i="17"/>
  <c r="D380" i="17"/>
  <c r="D379" i="17"/>
  <c r="D378" i="17"/>
  <c r="D377" i="17"/>
  <c r="D376" i="17"/>
  <c r="D375" i="17"/>
  <c r="D374" i="17"/>
  <c r="D373" i="17"/>
  <c r="D372" i="17"/>
  <c r="D371" i="17"/>
  <c r="D370" i="17"/>
  <c r="D369" i="17"/>
  <c r="D368" i="17"/>
  <c r="D367" i="17"/>
  <c r="D366" i="17"/>
  <c r="D365" i="17"/>
  <c r="D364" i="17"/>
  <c r="D363" i="17"/>
  <c r="D362" i="17"/>
  <c r="D361" i="17"/>
  <c r="D360" i="17"/>
  <c r="D359" i="17"/>
  <c r="D358" i="17"/>
  <c r="D357" i="17"/>
  <c r="D356" i="17"/>
  <c r="D355" i="17"/>
  <c r="D352" i="17"/>
  <c r="D350" i="17"/>
  <c r="D349" i="17"/>
  <c r="D348" i="17"/>
  <c r="D347" i="17"/>
  <c r="D346" i="17"/>
  <c r="D345" i="17"/>
  <c r="D344" i="17"/>
  <c r="D343" i="17"/>
  <c r="D342" i="17"/>
  <c r="D341" i="17"/>
  <c r="D340" i="17"/>
  <c r="D339" i="17"/>
  <c r="D338" i="17"/>
  <c r="D337" i="17"/>
  <c r="D336" i="17"/>
  <c r="D335" i="17"/>
  <c r="D334" i="17"/>
  <c r="D333" i="17"/>
  <c r="D332" i="17"/>
  <c r="D331" i="17"/>
  <c r="D330" i="17"/>
  <c r="D329" i="17"/>
  <c r="D328" i="17"/>
  <c r="D327" i="17"/>
  <c r="D326" i="17"/>
  <c r="D325" i="17"/>
  <c r="D324" i="17"/>
  <c r="D323" i="17"/>
  <c r="D322" i="17"/>
  <c r="D321" i="17"/>
  <c r="D320" i="17"/>
  <c r="D319" i="17"/>
  <c r="D318" i="17"/>
  <c r="D317" i="17"/>
  <c r="D316" i="17"/>
  <c r="D315" i="17"/>
  <c r="D314" i="17"/>
  <c r="D313" i="17"/>
  <c r="D312" i="17"/>
  <c r="D311" i="17"/>
  <c r="D310" i="17"/>
  <c r="D309" i="17"/>
  <c r="D308" i="17"/>
  <c r="D307" i="17"/>
  <c r="D306" i="17"/>
  <c r="D305" i="17"/>
  <c r="D304" i="17"/>
  <c r="D303" i="17"/>
  <c r="D302" i="17"/>
  <c r="D301" i="17"/>
  <c r="D300" i="17"/>
  <c r="D299" i="17"/>
  <c r="D298" i="17"/>
  <c r="D297" i="17"/>
  <c r="D296" i="17"/>
  <c r="D295" i="17"/>
  <c r="D294" i="17"/>
  <c r="D293" i="17"/>
  <c r="D292" i="17"/>
  <c r="D291" i="17"/>
  <c r="D290" i="17"/>
  <c r="D289" i="17"/>
  <c r="D288" i="17"/>
  <c r="D287" i="17"/>
  <c r="D286" i="17"/>
  <c r="D285" i="17"/>
  <c r="D284" i="17"/>
  <c r="D283" i="17"/>
  <c r="D282" i="17"/>
  <c r="D281" i="17"/>
  <c r="D280" i="17"/>
  <c r="D279" i="17"/>
  <c r="D278" i="17"/>
  <c r="D277" i="17"/>
  <c r="D276" i="17"/>
  <c r="D275" i="17"/>
  <c r="D274" i="17"/>
  <c r="D271" i="17"/>
  <c r="D270" i="17"/>
  <c r="D269" i="17"/>
  <c r="D267" i="17"/>
  <c r="D266" i="17"/>
  <c r="D265" i="17"/>
  <c r="D264" i="17"/>
  <c r="D263" i="17"/>
  <c r="D262" i="17"/>
  <c r="D260" i="17"/>
  <c r="D259" i="17"/>
  <c r="D258" i="17"/>
  <c r="D257" i="17"/>
  <c r="D256" i="17"/>
  <c r="D255" i="17"/>
  <c r="D254" i="17"/>
  <c r="D253" i="17"/>
  <c r="D252" i="17"/>
  <c r="D251" i="17"/>
  <c r="D250" i="17"/>
  <c r="D249" i="17"/>
  <c r="D248" i="17"/>
  <c r="D247" i="17"/>
  <c r="D246" i="17"/>
  <c r="D245" i="17"/>
  <c r="D244" i="17"/>
  <c r="D243" i="17"/>
  <c r="D242" i="17"/>
  <c r="D241" i="17"/>
  <c r="D240" i="17"/>
  <c r="D239" i="17"/>
  <c r="D238" i="17"/>
  <c r="D237" i="17"/>
  <c r="D236" i="17"/>
  <c r="D235" i="17"/>
  <c r="D234" i="17"/>
  <c r="D233" i="17"/>
  <c r="D232" i="17"/>
  <c r="D231" i="17"/>
  <c r="D230" i="17"/>
  <c r="D229" i="17"/>
  <c r="D228" i="17"/>
  <c r="D227" i="17"/>
  <c r="D225" i="17"/>
  <c r="D224" i="17"/>
  <c r="D223" i="17"/>
  <c r="D222" i="17"/>
  <c r="D221" i="17"/>
  <c r="D220" i="17"/>
  <c r="D219" i="17"/>
  <c r="D218" i="17"/>
  <c r="D217" i="17"/>
  <c r="D216" i="17"/>
  <c r="D214" i="17"/>
  <c r="D212" i="17"/>
  <c r="D211" i="17"/>
  <c r="D210" i="17"/>
  <c r="D209" i="17"/>
  <c r="D208" i="17"/>
  <c r="D207" i="17"/>
  <c r="D206" i="17"/>
  <c r="D205" i="17"/>
  <c r="D203" i="17"/>
  <c r="D202" i="17"/>
  <c r="D201" i="17"/>
  <c r="D200" i="17"/>
  <c r="D199" i="17"/>
  <c r="D198" i="17"/>
  <c r="D197" i="17"/>
  <c r="D196" i="17"/>
  <c r="D195" i="17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D180" i="17"/>
  <c r="D179" i="17"/>
  <c r="D177" i="17"/>
  <c r="D176" i="17"/>
  <c r="D175" i="17"/>
  <c r="D174" i="17"/>
  <c r="D173" i="17"/>
  <c r="D172" i="17"/>
  <c r="D171" i="17"/>
  <c r="D170" i="17"/>
  <c r="D169" i="17"/>
  <c r="D168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5" i="17"/>
  <c r="D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D117" i="17"/>
  <c r="D116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8" i="17"/>
  <c r="D57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B453" i="17"/>
  <c r="B683" i="17" s="1"/>
  <c r="B273" i="17"/>
  <c r="D273" i="17" s="1"/>
  <c r="B272" i="17"/>
  <c r="D272" i="17" s="1"/>
  <c r="B268" i="17"/>
  <c r="D268" i="17" s="1"/>
  <c r="B261" i="17"/>
  <c r="D261" i="17" s="1"/>
  <c r="B226" i="17"/>
  <c r="D226" i="17" s="1"/>
  <c r="B215" i="17"/>
  <c r="D215" i="17" s="1"/>
  <c r="B213" i="17"/>
  <c r="D213" i="17" s="1"/>
  <c r="B204" i="17"/>
  <c r="D204" i="17" s="1"/>
  <c r="B194" i="17"/>
  <c r="D194" i="17" s="1"/>
  <c r="B178" i="17"/>
  <c r="D178" i="17" s="1"/>
  <c r="B167" i="17"/>
  <c r="D167" i="17" s="1"/>
  <c r="B146" i="17"/>
  <c r="D146" i="17" s="1"/>
  <c r="B80" i="17"/>
  <c r="D80" i="17" s="1"/>
  <c r="B59" i="17"/>
  <c r="D59" i="17" s="1"/>
  <c r="B56" i="17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1" i="16"/>
  <c r="D82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2" i="16"/>
  <c r="D263" i="16"/>
  <c r="D264" i="16"/>
  <c r="D265" i="16"/>
  <c r="D266" i="16"/>
  <c r="D267" i="16"/>
  <c r="D269" i="16"/>
  <c r="D270" i="16"/>
  <c r="D271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D329" i="16"/>
  <c r="D330" i="16"/>
  <c r="D331" i="16"/>
  <c r="D332" i="16"/>
  <c r="D333" i="16"/>
  <c r="D334" i="16"/>
  <c r="D335" i="16"/>
  <c r="D336" i="16"/>
  <c r="D337" i="16"/>
  <c r="D338" i="16"/>
  <c r="D339" i="16"/>
  <c r="D340" i="16"/>
  <c r="D341" i="16"/>
  <c r="D342" i="16"/>
  <c r="D343" i="16"/>
  <c r="D344" i="16"/>
  <c r="D345" i="16"/>
  <c r="D346" i="16"/>
  <c r="D347" i="16"/>
  <c r="D348" i="16"/>
  <c r="D349" i="16"/>
  <c r="D350" i="16"/>
  <c r="D352" i="16"/>
  <c r="D355" i="16"/>
  <c r="D356" i="16"/>
  <c r="D357" i="16"/>
  <c r="D358" i="16"/>
  <c r="D359" i="16"/>
  <c r="D360" i="16"/>
  <c r="D361" i="16"/>
  <c r="D362" i="16"/>
  <c r="D363" i="16"/>
  <c r="D364" i="16"/>
  <c r="D365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0" i="16"/>
  <c r="D381" i="16"/>
  <c r="D382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4" i="16"/>
  <c r="D415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9" i="16"/>
  <c r="D440" i="16"/>
  <c r="D441" i="16"/>
  <c r="D442" i="16"/>
  <c r="D443" i="16"/>
  <c r="D444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1" i="16"/>
  <c r="D462" i="16"/>
  <c r="D463" i="16"/>
  <c r="D464" i="16"/>
  <c r="D465" i="16"/>
  <c r="D466" i="16"/>
  <c r="D467" i="16"/>
  <c r="D468" i="16"/>
  <c r="D469" i="16"/>
  <c r="D470" i="16"/>
  <c r="D471" i="16"/>
  <c r="D473" i="16"/>
  <c r="D474" i="16"/>
  <c r="D475" i="16"/>
  <c r="D476" i="16"/>
  <c r="D477" i="16"/>
  <c r="D478" i="16"/>
  <c r="D479" i="16"/>
  <c r="D480" i="16"/>
  <c r="D481" i="16"/>
  <c r="D482" i="16"/>
  <c r="D483" i="16"/>
  <c r="D484" i="16"/>
  <c r="D485" i="16"/>
  <c r="D486" i="16"/>
  <c r="D487" i="16"/>
  <c r="D488" i="16"/>
  <c r="D489" i="16"/>
  <c r="D490" i="16"/>
  <c r="D491" i="16"/>
  <c r="D492" i="16"/>
  <c r="D493" i="16"/>
  <c r="D494" i="16"/>
  <c r="D495" i="16"/>
  <c r="D496" i="16"/>
  <c r="D497" i="16"/>
  <c r="D498" i="16"/>
  <c r="D499" i="16"/>
  <c r="D500" i="16"/>
  <c r="D501" i="16"/>
  <c r="D502" i="16"/>
  <c r="D503" i="16"/>
  <c r="D504" i="16"/>
  <c r="D505" i="16"/>
  <c r="D506" i="16"/>
  <c r="D507" i="16"/>
  <c r="D508" i="16"/>
  <c r="D509" i="16"/>
  <c r="D510" i="16"/>
  <c r="D511" i="16"/>
  <c r="D512" i="16"/>
  <c r="D513" i="16"/>
  <c r="D514" i="16"/>
  <c r="D515" i="16"/>
  <c r="D516" i="16"/>
  <c r="D517" i="16"/>
  <c r="D518" i="16"/>
  <c r="D519" i="16"/>
  <c r="D520" i="16"/>
  <c r="D521" i="16"/>
  <c r="D522" i="16"/>
  <c r="D523" i="16"/>
  <c r="D524" i="16"/>
  <c r="D525" i="16"/>
  <c r="D526" i="16"/>
  <c r="D527" i="16"/>
  <c r="D528" i="16"/>
  <c r="D529" i="16"/>
  <c r="D530" i="16"/>
  <c r="D531" i="16"/>
  <c r="D532" i="16"/>
  <c r="D533" i="16"/>
  <c r="D534" i="16"/>
  <c r="D535" i="16"/>
  <c r="D536" i="16"/>
  <c r="D537" i="16"/>
  <c r="D538" i="16"/>
  <c r="D539" i="16"/>
  <c r="D540" i="16"/>
  <c r="D541" i="16"/>
  <c r="D542" i="16"/>
  <c r="D543" i="16"/>
  <c r="D544" i="16"/>
  <c r="D545" i="16"/>
  <c r="D546" i="16"/>
  <c r="D547" i="16"/>
  <c r="D548" i="16"/>
  <c r="D549" i="16"/>
  <c r="D550" i="16"/>
  <c r="D551" i="16"/>
  <c r="D552" i="16"/>
  <c r="D553" i="16"/>
  <c r="D554" i="16"/>
  <c r="D555" i="16"/>
  <c r="D556" i="16"/>
  <c r="D557" i="16"/>
  <c r="D558" i="16"/>
  <c r="D559" i="16"/>
  <c r="D560" i="16"/>
  <c r="D561" i="16"/>
  <c r="D562" i="16"/>
  <c r="D563" i="16"/>
  <c r="D564" i="16"/>
  <c r="D565" i="16"/>
  <c r="D566" i="16"/>
  <c r="D567" i="16"/>
  <c r="D568" i="16"/>
  <c r="D569" i="16"/>
  <c r="D570" i="16"/>
  <c r="D571" i="16"/>
  <c r="D572" i="16"/>
  <c r="D573" i="16"/>
  <c r="D574" i="16"/>
  <c r="D575" i="16"/>
  <c r="D576" i="16"/>
  <c r="D577" i="16"/>
  <c r="D578" i="16"/>
  <c r="D579" i="16"/>
  <c r="D580" i="16"/>
  <c r="D581" i="16"/>
  <c r="D582" i="16"/>
  <c r="D583" i="16"/>
  <c r="D584" i="16"/>
  <c r="D585" i="16"/>
  <c r="D586" i="16"/>
  <c r="D587" i="16"/>
  <c r="D588" i="16"/>
  <c r="D589" i="16"/>
  <c r="D590" i="16"/>
  <c r="D591" i="16"/>
  <c r="D592" i="16"/>
  <c r="D593" i="16"/>
  <c r="D594" i="16"/>
  <c r="D595" i="16"/>
  <c r="D596" i="16"/>
  <c r="D597" i="16"/>
  <c r="D598" i="16"/>
  <c r="D599" i="16"/>
  <c r="D600" i="16"/>
  <c r="D601" i="16"/>
  <c r="D602" i="16"/>
  <c r="D603" i="16"/>
  <c r="D604" i="16"/>
  <c r="D605" i="16"/>
  <c r="D606" i="16"/>
  <c r="D607" i="16"/>
  <c r="D608" i="16"/>
  <c r="D609" i="16"/>
  <c r="D610" i="16"/>
  <c r="D611" i="16"/>
  <c r="D612" i="16"/>
  <c r="D613" i="16"/>
  <c r="D614" i="16"/>
  <c r="D615" i="16"/>
  <c r="D616" i="16"/>
  <c r="D617" i="16"/>
  <c r="D618" i="16"/>
  <c r="D619" i="16"/>
  <c r="D620" i="16"/>
  <c r="D621" i="16"/>
  <c r="D622" i="16"/>
  <c r="D623" i="16"/>
  <c r="D624" i="16"/>
  <c r="D625" i="16"/>
  <c r="D626" i="16"/>
  <c r="D627" i="16"/>
  <c r="D628" i="16"/>
  <c r="D629" i="16"/>
  <c r="D630" i="16"/>
  <c r="D631" i="16"/>
  <c r="D632" i="16"/>
  <c r="D633" i="16"/>
  <c r="D634" i="16"/>
  <c r="D635" i="16"/>
  <c r="D636" i="16"/>
  <c r="D637" i="16"/>
  <c r="D638" i="16"/>
  <c r="D639" i="16"/>
  <c r="D640" i="16"/>
  <c r="D641" i="16"/>
  <c r="D642" i="16"/>
  <c r="D643" i="16"/>
  <c r="D644" i="16"/>
  <c r="D645" i="16"/>
  <c r="D646" i="16"/>
  <c r="D647" i="16"/>
  <c r="D648" i="16"/>
  <c r="D649" i="16"/>
  <c r="D650" i="16"/>
  <c r="D651" i="16"/>
  <c r="D652" i="16"/>
  <c r="D653" i="16"/>
  <c r="D654" i="16"/>
  <c r="D655" i="16"/>
  <c r="D656" i="16"/>
  <c r="D657" i="16"/>
  <c r="D658" i="16"/>
  <c r="D659" i="16"/>
  <c r="D660" i="16"/>
  <c r="D661" i="16"/>
  <c r="D662" i="16"/>
  <c r="D663" i="16"/>
  <c r="D664" i="16"/>
  <c r="D665" i="16"/>
  <c r="D666" i="16"/>
  <c r="D667" i="16"/>
  <c r="D668" i="16"/>
  <c r="D669" i="16"/>
  <c r="D670" i="16"/>
  <c r="D671" i="16"/>
  <c r="D672" i="16"/>
  <c r="D673" i="16"/>
  <c r="D674" i="16"/>
  <c r="D675" i="16"/>
  <c r="D676" i="16"/>
  <c r="D677" i="16"/>
  <c r="D678" i="16"/>
  <c r="D679" i="16"/>
  <c r="D680" i="16"/>
  <c r="D681" i="16"/>
  <c r="D682" i="16"/>
  <c r="D3" i="16"/>
  <c r="B472" i="16"/>
  <c r="D472" i="16" s="1"/>
  <c r="B438" i="16"/>
  <c r="D438" i="16" s="1"/>
  <c r="B366" i="16"/>
  <c r="D366" i="16" s="1"/>
  <c r="B272" i="16"/>
  <c r="D272" i="16" s="1"/>
  <c r="B268" i="16"/>
  <c r="D268" i="16" s="1"/>
  <c r="B261" i="16"/>
  <c r="D261" i="16" s="1"/>
  <c r="B213" i="16"/>
  <c r="D213" i="16" s="1"/>
  <c r="B194" i="16"/>
  <c r="D194" i="16" s="1"/>
  <c r="B178" i="16"/>
  <c r="D178" i="16" s="1"/>
  <c r="B146" i="16"/>
  <c r="D146" i="16" s="1"/>
  <c r="B83" i="16"/>
  <c r="D83" i="16" s="1"/>
  <c r="B80" i="16"/>
  <c r="D80" i="16" s="1"/>
  <c r="B56" i="16"/>
  <c r="D56" i="16" s="1"/>
  <c r="B32" i="16"/>
  <c r="D32" i="16" s="1"/>
  <c r="D351" i="16" l="1"/>
  <c r="D453" i="17"/>
  <c r="B351" i="16"/>
  <c r="D683" i="17"/>
  <c r="B351" i="17"/>
  <c r="D56" i="17"/>
  <c r="D351" i="17" s="1"/>
  <c r="D683" i="16"/>
  <c r="D685" i="16" s="1"/>
  <c r="B683" i="16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2" i="15"/>
  <c r="D23" i="15"/>
  <c r="D24" i="15"/>
  <c r="D25" i="15"/>
  <c r="D26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60" i="15"/>
  <c r="D61" i="15"/>
  <c r="D62" i="15"/>
  <c r="D63" i="15"/>
  <c r="D64" i="15"/>
  <c r="D65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6" i="15"/>
  <c r="D137" i="15"/>
  <c r="D138" i="15"/>
  <c r="D139" i="15"/>
  <c r="D140" i="15"/>
  <c r="D141" i="15"/>
  <c r="D142" i="15"/>
  <c r="D143" i="15"/>
  <c r="D144" i="15"/>
  <c r="D145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4" i="15"/>
  <c r="D216" i="15"/>
  <c r="D217" i="15"/>
  <c r="D218" i="15"/>
  <c r="D219" i="15"/>
  <c r="D220" i="15"/>
  <c r="D221" i="15"/>
  <c r="D222" i="15"/>
  <c r="D223" i="15"/>
  <c r="D224" i="15"/>
  <c r="D225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2" i="15"/>
  <c r="D263" i="15"/>
  <c r="D264" i="15"/>
  <c r="D265" i="15"/>
  <c r="D266" i="15"/>
  <c r="D267" i="15"/>
  <c r="D269" i="15"/>
  <c r="D270" i="15"/>
  <c r="D271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2" i="15"/>
  <c r="D355" i="15"/>
  <c r="D356" i="15"/>
  <c r="D357" i="15"/>
  <c r="D358" i="15"/>
  <c r="D360" i="15"/>
  <c r="D361" i="15"/>
  <c r="D362" i="15"/>
  <c r="D363" i="15"/>
  <c r="D364" i="15"/>
  <c r="D365" i="15"/>
  <c r="D367" i="15"/>
  <c r="D368" i="15"/>
  <c r="D369" i="15"/>
  <c r="D370" i="15"/>
  <c r="D371" i="15"/>
  <c r="D372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1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665" i="15"/>
  <c r="D666" i="15"/>
  <c r="D667" i="15"/>
  <c r="D668" i="15"/>
  <c r="D669" i="15"/>
  <c r="D670" i="15"/>
  <c r="D671" i="15"/>
  <c r="D672" i="15"/>
  <c r="D673" i="15"/>
  <c r="D674" i="15"/>
  <c r="D675" i="15"/>
  <c r="D676" i="15"/>
  <c r="D677" i="15"/>
  <c r="D678" i="15"/>
  <c r="D679" i="15"/>
  <c r="D680" i="15"/>
  <c r="D681" i="15"/>
  <c r="D682" i="15"/>
  <c r="B453" i="15"/>
  <c r="D453" i="15" s="1"/>
  <c r="B373" i="15"/>
  <c r="D373" i="15" s="1"/>
  <c r="B366" i="15"/>
  <c r="D366" i="15" s="1"/>
  <c r="B359" i="15"/>
  <c r="B683" i="15" s="1"/>
  <c r="D3" i="15"/>
  <c r="B303" i="15"/>
  <c r="B300" i="15"/>
  <c r="D300" i="15" s="1"/>
  <c r="B272" i="15"/>
  <c r="D272" i="15" s="1"/>
  <c r="B268" i="15"/>
  <c r="D268" i="15" s="1"/>
  <c r="B261" i="15"/>
  <c r="D261" i="15" s="1"/>
  <c r="B226" i="15"/>
  <c r="D226" i="15" s="1"/>
  <c r="B215" i="15"/>
  <c r="D215" i="15" s="1"/>
  <c r="B213" i="15"/>
  <c r="D213" i="15" s="1"/>
  <c r="B212" i="15"/>
  <c r="D212" i="15" s="1"/>
  <c r="B194" i="15"/>
  <c r="D194" i="15" s="1"/>
  <c r="B178" i="15"/>
  <c r="D178" i="15" s="1"/>
  <c r="B146" i="15"/>
  <c r="D146" i="15" s="1"/>
  <c r="B135" i="15"/>
  <c r="D135" i="15" s="1"/>
  <c r="B80" i="15"/>
  <c r="D80" i="15" s="1"/>
  <c r="B66" i="15"/>
  <c r="D66" i="15" s="1"/>
  <c r="B59" i="15"/>
  <c r="D59" i="15" s="1"/>
  <c r="B56" i="15"/>
  <c r="B27" i="15"/>
  <c r="D27" i="15" s="1"/>
  <c r="B21" i="15"/>
  <c r="D21" i="15" s="1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7" i="14"/>
  <c r="D58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3" i="14"/>
  <c r="D74" i="14"/>
  <c r="D75" i="14"/>
  <c r="D76" i="14"/>
  <c r="D77" i="14"/>
  <c r="D78" i="14"/>
  <c r="D79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4" i="14"/>
  <c r="D216" i="14"/>
  <c r="D217" i="14"/>
  <c r="D218" i="14"/>
  <c r="D219" i="14"/>
  <c r="D220" i="14"/>
  <c r="D221" i="14"/>
  <c r="D222" i="14"/>
  <c r="D223" i="14"/>
  <c r="D224" i="14"/>
  <c r="D225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2" i="14"/>
  <c r="D263" i="14"/>
  <c r="D264" i="14"/>
  <c r="D265" i="14"/>
  <c r="D266" i="14"/>
  <c r="D267" i="14"/>
  <c r="D269" i="14"/>
  <c r="D270" i="14"/>
  <c r="D271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8" i="14"/>
  <c r="D299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2" i="14"/>
  <c r="D355" i="14"/>
  <c r="D356" i="14"/>
  <c r="D357" i="14"/>
  <c r="D358" i="14"/>
  <c r="D360" i="14"/>
  <c r="D361" i="14"/>
  <c r="D362" i="14"/>
  <c r="D363" i="14"/>
  <c r="D364" i="14"/>
  <c r="D365" i="14"/>
  <c r="D367" i="14"/>
  <c r="D368" i="14"/>
  <c r="D369" i="14"/>
  <c r="D370" i="14"/>
  <c r="D371" i="14"/>
  <c r="D372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1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665" i="14"/>
  <c r="D666" i="14"/>
  <c r="D667" i="14"/>
  <c r="D668" i="14"/>
  <c r="D669" i="14"/>
  <c r="D670" i="14"/>
  <c r="D671" i="14"/>
  <c r="D672" i="14"/>
  <c r="D673" i="14"/>
  <c r="D674" i="14"/>
  <c r="D675" i="14"/>
  <c r="D676" i="14"/>
  <c r="D677" i="14"/>
  <c r="D678" i="14"/>
  <c r="D679" i="14"/>
  <c r="D680" i="14"/>
  <c r="D681" i="14"/>
  <c r="D682" i="14"/>
  <c r="D3" i="14"/>
  <c r="B503" i="14"/>
  <c r="D503" i="14" s="1"/>
  <c r="B373" i="14"/>
  <c r="D373" i="14" s="1"/>
  <c r="B366" i="14"/>
  <c r="D366" i="14" s="1"/>
  <c r="B359" i="14"/>
  <c r="D359" i="14" s="1"/>
  <c r="B300" i="14"/>
  <c r="D300" i="14" s="1"/>
  <c r="B297" i="14"/>
  <c r="D297" i="14" s="1"/>
  <c r="B272" i="14"/>
  <c r="D272" i="14" s="1"/>
  <c r="B268" i="14"/>
  <c r="D268" i="14" s="1"/>
  <c r="B261" i="14"/>
  <c r="D261" i="14" s="1"/>
  <c r="B226" i="14"/>
  <c r="D226" i="14" s="1"/>
  <c r="B215" i="14"/>
  <c r="D215" i="14" s="1"/>
  <c r="B213" i="14"/>
  <c r="D213" i="14" s="1"/>
  <c r="B195" i="14"/>
  <c r="D195" i="14" s="1"/>
  <c r="B179" i="14"/>
  <c r="D179" i="14" s="1"/>
  <c r="B146" i="14"/>
  <c r="D146" i="14" s="1"/>
  <c r="B80" i="14"/>
  <c r="D80" i="14" s="1"/>
  <c r="B72" i="14"/>
  <c r="D72" i="14" s="1"/>
  <c r="B59" i="14"/>
  <c r="D59" i="14" s="1"/>
  <c r="B56" i="14"/>
  <c r="D56" i="14" s="1"/>
  <c r="B27" i="14"/>
  <c r="D27" i="14" s="1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2" i="13"/>
  <c r="D23" i="13"/>
  <c r="D24" i="13"/>
  <c r="D25" i="13"/>
  <c r="D26" i="13"/>
  <c r="D28" i="13"/>
  <c r="D29" i="13"/>
  <c r="D30" i="13"/>
  <c r="D31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7" i="13"/>
  <c r="D58" i="13"/>
  <c r="D59" i="13"/>
  <c r="D60" i="13"/>
  <c r="D61" i="13"/>
  <c r="D62" i="13"/>
  <c r="D63" i="13"/>
  <c r="D64" i="13"/>
  <c r="D65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5" i="13"/>
  <c r="D136" i="13"/>
  <c r="D137" i="13"/>
  <c r="D138" i="13"/>
  <c r="D139" i="13"/>
  <c r="D140" i="13"/>
  <c r="D141" i="13"/>
  <c r="D142" i="13"/>
  <c r="D143" i="13"/>
  <c r="D144" i="13"/>
  <c r="D145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4" i="13"/>
  <c r="D216" i="13"/>
  <c r="D217" i="13"/>
  <c r="D218" i="13"/>
  <c r="D219" i="13"/>
  <c r="D220" i="13"/>
  <c r="D221" i="13"/>
  <c r="D222" i="13"/>
  <c r="D223" i="13"/>
  <c r="D224" i="13"/>
  <c r="D225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2" i="13"/>
  <c r="D263" i="13"/>
  <c r="D264" i="13"/>
  <c r="D265" i="13"/>
  <c r="D266" i="13"/>
  <c r="D267" i="13"/>
  <c r="D269" i="13"/>
  <c r="D270" i="13"/>
  <c r="D271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2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3" i="13"/>
  <c r="B373" i="13"/>
  <c r="D373" i="13" s="1"/>
  <c r="B272" i="13"/>
  <c r="D272" i="13" s="1"/>
  <c r="B268" i="13"/>
  <c r="D268" i="13" s="1"/>
  <c r="B261" i="13"/>
  <c r="D261" i="13" s="1"/>
  <c r="B226" i="13"/>
  <c r="D226" i="13" s="1"/>
  <c r="B215" i="13"/>
  <c r="D215" i="13" s="1"/>
  <c r="B213" i="13"/>
  <c r="D213" i="13" s="1"/>
  <c r="B212" i="13"/>
  <c r="D212" i="13" s="1"/>
  <c r="B195" i="13"/>
  <c r="D195" i="13" s="1"/>
  <c r="B181" i="13"/>
  <c r="D181" i="13" s="1"/>
  <c r="B166" i="13"/>
  <c r="D166" i="13" s="1"/>
  <c r="B146" i="13"/>
  <c r="D146" i="13" s="1"/>
  <c r="B134" i="13"/>
  <c r="D134" i="13" s="1"/>
  <c r="B116" i="13"/>
  <c r="D116" i="13" s="1"/>
  <c r="B80" i="13"/>
  <c r="D80" i="13" s="1"/>
  <c r="B66" i="13"/>
  <c r="D66" i="13" s="1"/>
  <c r="B56" i="13"/>
  <c r="D56" i="13" s="1"/>
  <c r="B32" i="13"/>
  <c r="D32" i="13" s="1"/>
  <c r="B27" i="13"/>
  <c r="D27" i="13" s="1"/>
  <c r="B21" i="13"/>
  <c r="D359" i="15" l="1"/>
  <c r="D351" i="14"/>
  <c r="D685" i="17"/>
  <c r="D351" i="15"/>
  <c r="B683" i="14"/>
  <c r="B351" i="13"/>
  <c r="B683" i="13"/>
  <c r="D21" i="13"/>
  <c r="D351" i="13" s="1"/>
  <c r="B351" i="14"/>
  <c r="D683" i="14"/>
  <c r="D685" i="14" s="1"/>
  <c r="D683" i="15"/>
  <c r="D685" i="15" s="1"/>
  <c r="B351" i="15"/>
  <c r="D683" i="13"/>
  <c r="D685" i="13" s="1"/>
  <c r="D350" i="12"/>
  <c r="D352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D569" i="12"/>
  <c r="D570" i="12"/>
  <c r="D571" i="12"/>
  <c r="D572" i="12"/>
  <c r="D573" i="12"/>
  <c r="D574" i="12"/>
  <c r="D575" i="12"/>
  <c r="D576" i="12"/>
  <c r="D577" i="12"/>
  <c r="D578" i="12"/>
  <c r="D579" i="12"/>
  <c r="D580" i="12"/>
  <c r="D581" i="12"/>
  <c r="D582" i="12"/>
  <c r="D583" i="12"/>
  <c r="D584" i="12"/>
  <c r="D585" i="12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D601" i="12"/>
  <c r="D602" i="12"/>
  <c r="D603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45" i="12"/>
  <c r="D646" i="12"/>
  <c r="D647" i="12"/>
  <c r="D648" i="12"/>
  <c r="D649" i="12"/>
  <c r="D650" i="12"/>
  <c r="D651" i="12"/>
  <c r="D652" i="12"/>
  <c r="D653" i="12"/>
  <c r="D654" i="12"/>
  <c r="D655" i="12"/>
  <c r="D656" i="12"/>
  <c r="D657" i="12"/>
  <c r="D658" i="12"/>
  <c r="D659" i="12"/>
  <c r="D660" i="12"/>
  <c r="D661" i="12"/>
  <c r="D662" i="12"/>
  <c r="D663" i="12"/>
  <c r="D664" i="12"/>
  <c r="D665" i="12"/>
  <c r="D666" i="12"/>
  <c r="D667" i="12"/>
  <c r="D668" i="12"/>
  <c r="D669" i="12"/>
  <c r="D670" i="12"/>
  <c r="D671" i="12"/>
  <c r="D672" i="12"/>
  <c r="D673" i="12"/>
  <c r="D674" i="12"/>
  <c r="D675" i="12"/>
  <c r="D676" i="12"/>
  <c r="D677" i="12"/>
  <c r="D678" i="12"/>
  <c r="D679" i="12"/>
  <c r="D680" i="12"/>
  <c r="D681" i="12"/>
  <c r="D682" i="12"/>
  <c r="B68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2" i="12"/>
  <c r="D23" i="12"/>
  <c r="D24" i="12"/>
  <c r="D25" i="12"/>
  <c r="D26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3" i="12"/>
  <c r="D74" i="12"/>
  <c r="D75" i="12"/>
  <c r="D76" i="12"/>
  <c r="D77" i="12"/>
  <c r="D78" i="12"/>
  <c r="D79" i="12"/>
  <c r="D80" i="12"/>
  <c r="D81" i="12"/>
  <c r="D82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3" i="12"/>
  <c r="D214" i="12"/>
  <c r="D216" i="12"/>
  <c r="D217" i="12"/>
  <c r="D218" i="12"/>
  <c r="D219" i="12"/>
  <c r="D220" i="12"/>
  <c r="D221" i="12"/>
  <c r="D222" i="12"/>
  <c r="D223" i="12"/>
  <c r="D224" i="12"/>
  <c r="D225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" i="12"/>
  <c r="B272" i="12"/>
  <c r="B261" i="12"/>
  <c r="D261" i="12" s="1"/>
  <c r="B226" i="12"/>
  <c r="D226" i="12" s="1"/>
  <c r="B215" i="12"/>
  <c r="D215" i="12" s="1"/>
  <c r="B212" i="12"/>
  <c r="D212" i="12" s="1"/>
  <c r="B146" i="12"/>
  <c r="D146" i="12" s="1"/>
  <c r="B83" i="12"/>
  <c r="D83" i="12" s="1"/>
  <c r="B72" i="12"/>
  <c r="D72" i="12" s="1"/>
  <c r="B56" i="12"/>
  <c r="D56" i="12" s="1"/>
  <c r="B27" i="12"/>
  <c r="D27" i="12" s="1"/>
  <c r="B21" i="12"/>
  <c r="D21" i="12" s="1"/>
  <c r="D351" i="12" l="1"/>
  <c r="D683" i="12"/>
  <c r="D685" i="12" s="1"/>
  <c r="B351" i="12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355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1" i="11"/>
  <c r="D82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3" i="11"/>
  <c r="D214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2" i="11"/>
  <c r="D263" i="11"/>
  <c r="D264" i="11"/>
  <c r="D265" i="11"/>
  <c r="D266" i="11"/>
  <c r="D267" i="11"/>
  <c r="D269" i="11"/>
  <c r="D270" i="11"/>
  <c r="D271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2" i="11"/>
  <c r="B514" i="11"/>
  <c r="B682" i="11" s="1"/>
  <c r="B272" i="11"/>
  <c r="D272" i="11" s="1"/>
  <c r="B268" i="11"/>
  <c r="D268" i="11" s="1"/>
  <c r="B261" i="11"/>
  <c r="D261" i="11" s="1"/>
  <c r="B215" i="11"/>
  <c r="D215" i="11" s="1"/>
  <c r="B212" i="11"/>
  <c r="D212" i="11" s="1"/>
  <c r="B194" i="11"/>
  <c r="D194" i="11" s="1"/>
  <c r="B146" i="11"/>
  <c r="D146" i="11" s="1"/>
  <c r="B90" i="11"/>
  <c r="B83" i="11"/>
  <c r="D83" i="11" s="1"/>
  <c r="B80" i="11"/>
  <c r="D80" i="11" s="1"/>
  <c r="B72" i="11"/>
  <c r="B56" i="11"/>
  <c r="D56" i="11" s="1"/>
  <c r="B27" i="11"/>
  <c r="D27" i="11" s="1"/>
  <c r="B21" i="11"/>
  <c r="B3" i="11"/>
  <c r="D3" i="11" s="1"/>
  <c r="D351" i="11" l="1"/>
  <c r="D514" i="11"/>
  <c r="D682" i="11" s="1"/>
  <c r="D684" i="11" s="1"/>
  <c r="B351" i="1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4" i="10"/>
  <c r="D216" i="10"/>
  <c r="D217" i="10"/>
  <c r="D218" i="10"/>
  <c r="D219" i="10"/>
  <c r="D220" i="10"/>
  <c r="D221" i="10"/>
  <c r="D222" i="10"/>
  <c r="D223" i="10"/>
  <c r="D224" i="10"/>
  <c r="D225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2" i="10"/>
  <c r="D263" i="10"/>
  <c r="D264" i="10"/>
  <c r="D265" i="10"/>
  <c r="D266" i="10"/>
  <c r="D267" i="10"/>
  <c r="D269" i="10"/>
  <c r="D270" i="10"/>
  <c r="D271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2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B515" i="10"/>
  <c r="D515" i="10" s="1"/>
  <c r="B460" i="10"/>
  <c r="D460" i="10" s="1"/>
  <c r="B425" i="10"/>
  <c r="D425" i="10" s="1"/>
  <c r="B272" i="10"/>
  <c r="D272" i="10" s="1"/>
  <c r="B268" i="10"/>
  <c r="D268" i="10" s="1"/>
  <c r="B261" i="10"/>
  <c r="D261" i="10" s="1"/>
  <c r="B226" i="10"/>
  <c r="D226" i="10" s="1"/>
  <c r="B215" i="10"/>
  <c r="D215" i="10" s="1"/>
  <c r="B213" i="10"/>
  <c r="D213" i="10" s="1"/>
  <c r="B212" i="10"/>
  <c r="D212" i="10" s="1"/>
  <c r="B194" i="10"/>
  <c r="D194" i="10" s="1"/>
  <c r="B146" i="10"/>
  <c r="D146" i="10" s="1"/>
  <c r="B83" i="10"/>
  <c r="D83" i="10" s="1"/>
  <c r="B56" i="10"/>
  <c r="D56" i="10" s="1"/>
  <c r="B27" i="10"/>
  <c r="D27" i="10" s="1"/>
  <c r="B3" i="10"/>
  <c r="D3" i="10" s="1"/>
  <c r="D351" i="10" l="1"/>
  <c r="D683" i="10"/>
  <c r="D685" i="10" s="1"/>
  <c r="B351" i="10"/>
  <c r="B683" i="10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4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2" i="9"/>
  <c r="D263" i="9"/>
  <c r="D264" i="9"/>
  <c r="D265" i="9"/>
  <c r="D266" i="9"/>
  <c r="D267" i="9"/>
  <c r="D270" i="9"/>
  <c r="D271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2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" i="9"/>
  <c r="B272" i="9"/>
  <c r="D272" i="9" s="1"/>
  <c r="B269" i="9"/>
  <c r="D269" i="9" s="1"/>
  <c r="B268" i="9"/>
  <c r="D268" i="9" s="1"/>
  <c r="B261" i="9"/>
  <c r="D261" i="9" s="1"/>
  <c r="B215" i="9"/>
  <c r="D215" i="9" s="1"/>
  <c r="B213" i="9"/>
  <c r="D213" i="9" s="1"/>
  <c r="B194" i="9"/>
  <c r="D194" i="9" s="1"/>
  <c r="B56" i="9"/>
  <c r="D56" i="9" s="1"/>
  <c r="B42" i="9"/>
  <c r="D42" i="9" s="1"/>
  <c r="B27" i="9"/>
  <c r="B351" i="9" s="1"/>
  <c r="D397" i="9" l="1"/>
  <c r="D27" i="9"/>
  <c r="D351" i="9" s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2" i="8"/>
  <c r="D23" i="8"/>
  <c r="D24" i="8"/>
  <c r="D25" i="8"/>
  <c r="D26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1" i="8"/>
  <c r="D82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5" i="8"/>
  <c r="D136" i="8"/>
  <c r="D137" i="8"/>
  <c r="D138" i="8"/>
  <c r="D139" i="8"/>
  <c r="D140" i="8"/>
  <c r="D141" i="8"/>
  <c r="D142" i="8"/>
  <c r="D143" i="8"/>
  <c r="D144" i="8"/>
  <c r="D145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3" i="8"/>
  <c r="D214" i="8"/>
  <c r="D216" i="8"/>
  <c r="D217" i="8"/>
  <c r="D218" i="8"/>
  <c r="D219" i="8"/>
  <c r="D220" i="8"/>
  <c r="D221" i="8"/>
  <c r="D222" i="8"/>
  <c r="D223" i="8"/>
  <c r="D224" i="8"/>
  <c r="D225" i="8"/>
  <c r="D227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2" i="8"/>
  <c r="D263" i="8"/>
  <c r="D264" i="8"/>
  <c r="D265" i="8"/>
  <c r="D266" i="8"/>
  <c r="D267" i="8"/>
  <c r="D269" i="8"/>
  <c r="D270" i="8"/>
  <c r="D271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2" i="8"/>
  <c r="D355" i="8"/>
  <c r="D356" i="8"/>
  <c r="D357" i="8"/>
  <c r="D358" i="8"/>
  <c r="D359" i="8"/>
  <c r="D360" i="8"/>
  <c r="D361" i="8"/>
  <c r="D362" i="8"/>
  <c r="D363" i="8"/>
  <c r="D364" i="8"/>
  <c r="D365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3" i="8"/>
  <c r="B515" i="8"/>
  <c r="D515" i="8" s="1"/>
  <c r="B366" i="8"/>
  <c r="B683" i="8" s="1"/>
  <c r="B297" i="8"/>
  <c r="D297" i="8" s="1"/>
  <c r="B272" i="8"/>
  <c r="D272" i="8" s="1"/>
  <c r="B268" i="8"/>
  <c r="D268" i="8" s="1"/>
  <c r="B261" i="8"/>
  <c r="D261" i="8" s="1"/>
  <c r="B228" i="8"/>
  <c r="D228" i="8" s="1"/>
  <c r="B226" i="8"/>
  <c r="D226" i="8" s="1"/>
  <c r="B215" i="8"/>
  <c r="D215" i="8" s="1"/>
  <c r="B212" i="8"/>
  <c r="D212" i="8" s="1"/>
  <c r="B195" i="8"/>
  <c r="D195" i="8" s="1"/>
  <c r="B194" i="8"/>
  <c r="D194" i="8" s="1"/>
  <c r="B146" i="8"/>
  <c r="D146" i="8" s="1"/>
  <c r="B134" i="8"/>
  <c r="D134" i="8" s="1"/>
  <c r="B83" i="8"/>
  <c r="D83" i="8" s="1"/>
  <c r="B80" i="8"/>
  <c r="D80" i="8" s="1"/>
  <c r="B56" i="8"/>
  <c r="D56" i="8" s="1"/>
  <c r="B27" i="8"/>
  <c r="D27" i="8" s="1"/>
  <c r="B21" i="8"/>
  <c r="D21" i="8" s="1"/>
  <c r="D399" i="9" l="1"/>
  <c r="D366" i="8"/>
  <c r="D351" i="8"/>
  <c r="B351" i="8"/>
  <c r="D683" i="8"/>
  <c r="D685" i="8" s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3" i="7"/>
  <c r="D215" i="7"/>
  <c r="D216" i="7"/>
  <c r="D217" i="7"/>
  <c r="D218" i="7"/>
  <c r="D219" i="7"/>
  <c r="D220" i="7"/>
  <c r="D221" i="7"/>
  <c r="D222" i="7"/>
  <c r="D223" i="7"/>
  <c r="D224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1" i="7"/>
  <c r="D262" i="7"/>
  <c r="D263" i="7"/>
  <c r="D264" i="7"/>
  <c r="D265" i="7"/>
  <c r="D266" i="7"/>
  <c r="D268" i="7"/>
  <c r="D269" i="7"/>
  <c r="D270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1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3" i="7"/>
  <c r="B682" i="7"/>
  <c r="B271" i="7"/>
  <c r="D271" i="7" s="1"/>
  <c r="B267" i="7"/>
  <c r="D267" i="7" s="1"/>
  <c r="B260" i="7"/>
  <c r="D260" i="7" s="1"/>
  <c r="B225" i="7"/>
  <c r="D225" i="7" s="1"/>
  <c r="B214" i="7"/>
  <c r="D214" i="7" s="1"/>
  <c r="B212" i="7"/>
  <c r="D212" i="7" s="1"/>
  <c r="B211" i="7"/>
  <c r="D211" i="7" s="1"/>
  <c r="B193" i="7"/>
  <c r="D193" i="7" s="1"/>
  <c r="B133" i="7"/>
  <c r="D133" i="7" s="1"/>
  <c r="B80" i="7"/>
  <c r="D80" i="7" s="1"/>
  <c r="B56" i="7"/>
  <c r="D56" i="7" s="1"/>
  <c r="B27" i="7"/>
  <c r="D27" i="7" s="1"/>
  <c r="D350" i="7" l="1"/>
  <c r="B350" i="7"/>
  <c r="D682" i="7"/>
  <c r="D684" i="7" s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5" i="6"/>
  <c r="D26" i="6"/>
  <c r="D27" i="6"/>
  <c r="D28" i="6"/>
  <c r="D31" i="6"/>
  <c r="D32" i="6"/>
  <c r="D34" i="6"/>
  <c r="D35" i="6"/>
  <c r="D36" i="6"/>
  <c r="D37" i="6"/>
  <c r="D38" i="6"/>
  <c r="D40" i="6"/>
  <c r="D42" i="6"/>
  <c r="D43" i="6"/>
  <c r="D44" i="6"/>
  <c r="D45" i="6"/>
  <c r="D46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5" i="6"/>
  <c r="D86" i="6"/>
  <c r="D87" i="6"/>
  <c r="D88" i="6"/>
  <c r="D89" i="6"/>
  <c r="D90" i="6"/>
  <c r="D91" i="6"/>
  <c r="D92" i="6"/>
  <c r="D93" i="6"/>
  <c r="D94" i="6"/>
  <c r="D95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7" i="6"/>
  <c r="D148" i="6"/>
  <c r="D149" i="6"/>
  <c r="D150" i="6"/>
  <c r="D151" i="6"/>
  <c r="D152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6" i="6"/>
  <c r="D187" i="6"/>
  <c r="D188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5" i="6"/>
  <c r="D216" i="6"/>
  <c r="D217" i="6"/>
  <c r="D218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9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1" i="6"/>
  <c r="D582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3" i="6"/>
  <c r="B583" i="6"/>
  <c r="D583" i="6" s="1"/>
  <c r="B580" i="6"/>
  <c r="D580" i="6" s="1"/>
  <c r="B513" i="6"/>
  <c r="D513" i="6" s="1"/>
  <c r="B402" i="6"/>
  <c r="B266" i="6"/>
  <c r="D266" i="6" s="1"/>
  <c r="B233" i="6"/>
  <c r="D233" i="6" s="1"/>
  <c r="B219" i="6"/>
  <c r="D219" i="6" s="1"/>
  <c r="B214" i="6"/>
  <c r="D214" i="6" s="1"/>
  <c r="B189" i="6"/>
  <c r="D189" i="6" s="1"/>
  <c r="B185" i="6"/>
  <c r="D185" i="6" s="1"/>
  <c r="B184" i="6"/>
  <c r="D184" i="6" s="1"/>
  <c r="B168" i="6"/>
  <c r="D168" i="6" s="1"/>
  <c r="B153" i="6"/>
  <c r="D153" i="6" s="1"/>
  <c r="B146" i="6"/>
  <c r="D146" i="6" s="1"/>
  <c r="B117" i="6"/>
  <c r="D117" i="6" s="1"/>
  <c r="B96" i="6"/>
  <c r="D96" i="6" s="1"/>
  <c r="B84" i="6"/>
  <c r="D84" i="6" s="1"/>
  <c r="B66" i="6"/>
  <c r="D66" i="6" s="1"/>
  <c r="B65" i="6"/>
  <c r="D65" i="6" s="1"/>
  <c r="B47" i="6"/>
  <c r="D47" i="6" s="1"/>
  <c r="B41" i="6"/>
  <c r="D41" i="6" s="1"/>
  <c r="B39" i="6"/>
  <c r="D39" i="6" s="1"/>
  <c r="B33" i="6"/>
  <c r="D33" i="6" s="1"/>
  <c r="B30" i="6"/>
  <c r="D30" i="6" s="1"/>
  <c r="B29" i="6"/>
  <c r="D29" i="6" s="1"/>
  <c r="B24" i="6"/>
  <c r="D24" i="6" s="1"/>
  <c r="B4" i="6"/>
  <c r="D4" i="6" s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4" i="5"/>
  <c r="D206" i="5"/>
  <c r="D207" i="5"/>
  <c r="D208" i="5"/>
  <c r="D209" i="5"/>
  <c r="D210" i="5"/>
  <c r="D211" i="5"/>
  <c r="D212" i="5"/>
  <c r="D213" i="5"/>
  <c r="D214" i="5"/>
  <c r="D215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2" i="5"/>
  <c r="D253" i="5"/>
  <c r="D254" i="5"/>
  <c r="D255" i="5"/>
  <c r="D256" i="5"/>
  <c r="D257" i="5"/>
  <c r="D258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1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3" i="5"/>
  <c r="B672" i="5"/>
  <c r="B259" i="5"/>
  <c r="D259" i="5" s="1"/>
  <c r="B251" i="5"/>
  <c r="D251" i="5" s="1"/>
  <c r="B216" i="5"/>
  <c r="D216" i="5" s="1"/>
  <c r="B205" i="5"/>
  <c r="D205" i="5" s="1"/>
  <c r="B203" i="5"/>
  <c r="D203" i="5" s="1"/>
  <c r="B202" i="5"/>
  <c r="D202" i="5" s="1"/>
  <c r="B184" i="5"/>
  <c r="D184" i="5" s="1"/>
  <c r="B54" i="5"/>
  <c r="D54" i="5" s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1" i="4"/>
  <c r="D72" i="4"/>
  <c r="D73" i="4"/>
  <c r="D74" i="4"/>
  <c r="D75" i="4"/>
  <c r="D76" i="4"/>
  <c r="D77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4" i="4"/>
  <c r="D206" i="4"/>
  <c r="D207" i="4"/>
  <c r="D208" i="4"/>
  <c r="D209" i="4"/>
  <c r="D210" i="4"/>
  <c r="D211" i="4"/>
  <c r="D212" i="4"/>
  <c r="D213" i="4"/>
  <c r="D214" i="4"/>
  <c r="D215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1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3" i="4"/>
  <c r="B672" i="4"/>
  <c r="B263" i="4"/>
  <c r="B259" i="4"/>
  <c r="D259" i="4" s="1"/>
  <c r="B216" i="4"/>
  <c r="D216" i="4" s="1"/>
  <c r="B205" i="4"/>
  <c r="D205" i="4" s="1"/>
  <c r="B203" i="4"/>
  <c r="D203" i="4" s="1"/>
  <c r="B202" i="4"/>
  <c r="D202" i="4" s="1"/>
  <c r="B184" i="4"/>
  <c r="D184" i="4" s="1"/>
  <c r="B123" i="4"/>
  <c r="D123" i="4" s="1"/>
  <c r="B78" i="4"/>
  <c r="D78" i="4" s="1"/>
  <c r="B70" i="4"/>
  <c r="D70" i="4" s="1"/>
  <c r="B54" i="4"/>
  <c r="D54" i="4" s="1"/>
  <c r="B680" i="6" l="1"/>
  <c r="D340" i="4"/>
  <c r="D340" i="5"/>
  <c r="D348" i="6"/>
  <c r="B348" i="6"/>
  <c r="D402" i="6"/>
  <c r="D680" i="6"/>
  <c r="D682" i="6" s="1"/>
  <c r="D672" i="5"/>
  <c r="D674" i="5" s="1"/>
  <c r="B340" i="5"/>
  <c r="D672" i="4"/>
  <c r="D674" i="4" s="1"/>
  <c r="B340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4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2" i="3"/>
  <c r="D253" i="3"/>
  <c r="D254" i="3"/>
  <c r="D255" i="3"/>
  <c r="D256" i="3"/>
  <c r="D257" i="3"/>
  <c r="D258" i="3"/>
  <c r="D260" i="3"/>
  <c r="D261" i="3"/>
  <c r="D262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1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3" i="3"/>
  <c r="B427" i="3"/>
  <c r="D427" i="3" s="1"/>
  <c r="B362" i="3"/>
  <c r="D362" i="3" s="1"/>
  <c r="B263" i="3"/>
  <c r="D263" i="3" s="1"/>
  <c r="B259" i="3"/>
  <c r="D259" i="3" s="1"/>
  <c r="B251" i="3"/>
  <c r="D251" i="3" s="1"/>
  <c r="B218" i="3"/>
  <c r="D218" i="3" s="1"/>
  <c r="B216" i="3"/>
  <c r="B205" i="3"/>
  <c r="D205" i="3" s="1"/>
  <c r="B203" i="3"/>
  <c r="D203" i="3" s="1"/>
  <c r="B202" i="3"/>
  <c r="D202" i="3" s="1"/>
  <c r="B185" i="3"/>
  <c r="D185" i="3" s="1"/>
  <c r="B78" i="3"/>
  <c r="D78" i="3" s="1"/>
  <c r="D340" i="3" l="1"/>
  <c r="B672" i="3"/>
  <c r="D672" i="3"/>
  <c r="B340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4" i="2"/>
  <c r="D206" i="2"/>
  <c r="D207" i="2"/>
  <c r="D208" i="2"/>
  <c r="D209" i="2"/>
  <c r="D210" i="2"/>
  <c r="D211" i="2"/>
  <c r="D212" i="2"/>
  <c r="D213" i="2"/>
  <c r="D214" i="2"/>
  <c r="D215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2" i="2"/>
  <c r="D253" i="2"/>
  <c r="D254" i="2"/>
  <c r="D255" i="2"/>
  <c r="D256" i="2"/>
  <c r="D257" i="2"/>
  <c r="D258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1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3" i="2"/>
  <c r="B520" i="2"/>
  <c r="D520" i="2" s="1"/>
  <c r="B362" i="2"/>
  <c r="D362" i="2" s="1"/>
  <c r="B259" i="2"/>
  <c r="D259" i="2" s="1"/>
  <c r="B251" i="2"/>
  <c r="D251" i="2" s="1"/>
  <c r="B216" i="2"/>
  <c r="D216" i="2" s="1"/>
  <c r="B205" i="2"/>
  <c r="D205" i="2" s="1"/>
  <c r="B203" i="2"/>
  <c r="D203" i="2" s="1"/>
  <c r="B185" i="2"/>
  <c r="D185" i="2" s="1"/>
  <c r="B78" i="2"/>
  <c r="D78" i="2" s="1"/>
  <c r="B54" i="2"/>
  <c r="B30" i="2"/>
  <c r="D30" i="2" s="1"/>
  <c r="D675" i="3" l="1"/>
  <c r="B340" i="2"/>
  <c r="D54" i="2"/>
  <c r="D340" i="2" s="1"/>
  <c r="D672" i="2"/>
  <c r="B672" i="2"/>
  <c r="D348" i="1"/>
  <c r="D355" i="1"/>
  <c r="D4" i="1"/>
  <c r="D5" i="1"/>
  <c r="D6" i="1"/>
  <c r="D7" i="1"/>
  <c r="D8" i="1"/>
  <c r="D9" i="1"/>
  <c r="D10" i="1"/>
  <c r="D11" i="1"/>
  <c r="D12" i="1"/>
  <c r="D13" i="1"/>
  <c r="D14" i="1"/>
  <c r="D16" i="1"/>
  <c r="D17" i="1"/>
  <c r="D18" i="1"/>
  <c r="D19" i="1"/>
  <c r="D20" i="1"/>
  <c r="D21" i="1"/>
  <c r="D22" i="1"/>
  <c r="D23" i="1"/>
  <c r="D24" i="1"/>
  <c r="D26" i="1"/>
  <c r="D27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3" i="1"/>
  <c r="D204" i="1"/>
  <c r="D206" i="1"/>
  <c r="D207" i="1"/>
  <c r="D208" i="1"/>
  <c r="D209" i="1"/>
  <c r="D210" i="1"/>
  <c r="D211" i="1"/>
  <c r="D212" i="1"/>
  <c r="D213" i="1"/>
  <c r="D214" i="1"/>
  <c r="D215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2" i="1"/>
  <c r="D253" i="1"/>
  <c r="D254" i="1"/>
  <c r="D255" i="1"/>
  <c r="D256" i="1"/>
  <c r="D257" i="1"/>
  <c r="D258" i="1"/>
  <c r="D260" i="1"/>
  <c r="D261" i="1"/>
  <c r="D262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1" i="1"/>
  <c r="D344" i="1"/>
  <c r="D345" i="1"/>
  <c r="D346" i="1"/>
  <c r="D347" i="1"/>
  <c r="D349" i="1"/>
  <c r="D350" i="1"/>
  <c r="D351" i="1"/>
  <c r="D352" i="1"/>
  <c r="D353" i="1"/>
  <c r="D354" i="1"/>
  <c r="D356" i="1"/>
  <c r="D357" i="1"/>
  <c r="D358" i="1"/>
  <c r="D359" i="1"/>
  <c r="D360" i="1"/>
  <c r="D361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3" i="1"/>
  <c r="B362" i="1"/>
  <c r="B672" i="1" s="1"/>
  <c r="B263" i="1"/>
  <c r="D263" i="1" s="1"/>
  <c r="B259" i="1"/>
  <c r="D259" i="1" s="1"/>
  <c r="B251" i="1"/>
  <c r="D251" i="1" s="1"/>
  <c r="B216" i="1"/>
  <c r="D216" i="1" s="1"/>
  <c r="B205" i="1"/>
  <c r="D205" i="1" s="1"/>
  <c r="B202" i="1"/>
  <c r="D202" i="1" s="1"/>
  <c r="B78" i="1"/>
  <c r="D78" i="1" s="1"/>
  <c r="B54" i="1"/>
  <c r="D54" i="1" s="1"/>
  <c r="B28" i="1"/>
  <c r="D28" i="1" s="1"/>
  <c r="B25" i="1"/>
  <c r="D25" i="1" s="1"/>
  <c r="B15" i="1"/>
  <c r="D15" i="1" s="1"/>
  <c r="D362" i="1" l="1"/>
  <c r="D674" i="2"/>
  <c r="D340" i="1"/>
  <c r="D672" i="1"/>
  <c r="D674" i="1" s="1"/>
  <c r="B340" i="1"/>
</calcChain>
</file>

<file path=xl/sharedStrings.xml><?xml version="1.0" encoding="utf-8"?>
<sst xmlns="http://schemas.openxmlformats.org/spreadsheetml/2006/main" count="19578" uniqueCount="685">
  <si>
    <t>TÊN SẢN PHẨM</t>
  </si>
  <si>
    <t>TỒN TRƯỚC</t>
  </si>
  <si>
    <t>BẮP CẢI TÍM</t>
  </si>
  <si>
    <t>BẮP CẢI TÍM (BẮP)</t>
  </si>
  <si>
    <t>BẮP CẢI TÍM SUSHI</t>
  </si>
  <si>
    <t>BẮP CẢI TRẮNG</t>
  </si>
  <si>
    <t>BẮP CẢI TRẮNG (BẮP)</t>
  </si>
  <si>
    <t>BẮP CẢI TRẮNG MỘC CHÂU</t>
  </si>
  <si>
    <t>BẮP CẢI TRẮNG SÓI BIỂN</t>
  </si>
  <si>
    <t>BẮP CẢI TRẮNG SUSHI</t>
  </si>
  <si>
    <t>BẮP MỸ CẶP</t>
  </si>
  <si>
    <t>BẦU</t>
  </si>
  <si>
    <t>BÍ ĐAO XANH</t>
  </si>
  <si>
    <t>BÍ ĐAO XANH 400G</t>
  </si>
  <si>
    <t>BÍ ĐỎ HỒ LÔ</t>
  </si>
  <si>
    <t>BÍ ĐỎ MINI</t>
  </si>
  <si>
    <t>BÍ ĐỎ NON (KG)KQ</t>
  </si>
  <si>
    <t>BÍ ĐỎ NON TRÁI VR</t>
  </si>
  <si>
    <t>BÍ ĐỎ NON( KG) VR</t>
  </si>
  <si>
    <t>BÍ ĐỎ TRÒN</t>
  </si>
  <si>
    <t>BÍ MINI VÀNG 300GR</t>
  </si>
  <si>
    <t>BÍ MINI VÀNG KG</t>
  </si>
  <si>
    <t>BÍ NGÒI VÀNG</t>
  </si>
  <si>
    <t>BÍ NGÒI VÀNG (TRÁI)</t>
  </si>
  <si>
    <t>BÍ NGÒI XANH</t>
  </si>
  <si>
    <t>BÍ NGÒI XANH(TRÁI)</t>
  </si>
  <si>
    <t>BÍ NHẬT</t>
  </si>
  <si>
    <t>BƠ 034</t>
  </si>
  <si>
    <t>BƠ 034 COOP</t>
  </si>
  <si>
    <t>BƠ BOOTH</t>
  </si>
  <si>
    <t>BO HOA CHUONG</t>
  </si>
  <si>
    <t>BO HOA CUC TANA</t>
  </si>
  <si>
    <t>BO HOA DONG TIEN HN</t>
  </si>
  <si>
    <t>BO HOA LOA KEN</t>
  </si>
  <si>
    <t>BO HOA PHANG</t>
  </si>
  <si>
    <t>BO HOA SEN QUAN AM</t>
  </si>
  <si>
    <t>BO HOA SEN SUPER</t>
  </si>
  <si>
    <t>BƠ SÁP</t>
  </si>
  <si>
    <t>BÓ XÔI</t>
  </si>
  <si>
    <t>BÓ XÔI 300G VR</t>
  </si>
  <si>
    <t>BÓ XÔI-NA</t>
  </si>
  <si>
    <t>BÔNG ATISO</t>
  </si>
  <si>
    <t>BÔNG BÍ</t>
  </si>
  <si>
    <t>BÔNG BÍ TÚI 300GR</t>
  </si>
  <si>
    <t>BÔNG CẢI TRẮNG</t>
  </si>
  <si>
    <t>BÔNG CẢI TRẮNG (CÂY)</t>
  </si>
  <si>
    <t>BÔNG CẢI XANH 10P</t>
  </si>
  <si>
    <t>BÔNG CẢI XANH AEON</t>
  </si>
  <si>
    <t>BÔNG CẢI XANH AEON (CÂY)</t>
  </si>
  <si>
    <t>BÔNG CẢI XANH BABY (KG)</t>
  </si>
  <si>
    <t>BÔNG CẢI XANH BABY 200G</t>
  </si>
  <si>
    <t>BÔNG CẢI XANH BIGC</t>
  </si>
  <si>
    <t>BÔNG CẢI XANH CITI</t>
  </si>
  <si>
    <t>CÀ CHUA</t>
  </si>
  <si>
    <t>CÀ CHUA BI</t>
  </si>
  <si>
    <t>CÀ CHUA BI (HỘP) 300GR KQ</t>
  </si>
  <si>
    <t>CÀ CHUA BI (HỘP) 300GR VR</t>
  </si>
  <si>
    <t>CÀ CHUA BI 300GR KQ (KG)</t>
  </si>
  <si>
    <t>CÀ CHUA BI 300GR VR (KG)</t>
  </si>
  <si>
    <t>CÀ CHUA BI CAM SỮA (KG) VR</t>
  </si>
  <si>
    <t>CÀ CHUA BI COOP</t>
  </si>
  <si>
    <t>CÀ CHUA BI-NA</t>
  </si>
  <si>
    <t>CÀ CHUA CHERRY MIX 300G</t>
  </si>
  <si>
    <t>CÀ CHUA L1</t>
  </si>
  <si>
    <t>CÀ CHUA MỘC CHÂU</t>
  </si>
  <si>
    <t>CÀ CHUA NGỌT</t>
  </si>
  <si>
    <t>CÀ CHUA NGỌT 300GR (KG)</t>
  </si>
  <si>
    <t>CÀ CHUA NGỌT XÁ</t>
  </si>
  <si>
    <t>CÀ CHUA ROSEBERRY 300G</t>
  </si>
  <si>
    <t>CÀ CHUA SÔCOLA 250GR (HỘP) VR</t>
  </si>
  <si>
    <t>CÀ CHUA SÔCOLA 250GR (KG) -NA</t>
  </si>
  <si>
    <t>CÀ CHUA SÔCOLA 250GR (KG) VR</t>
  </si>
  <si>
    <t>CÀ CHUA SÔCOLA 250GR(KG) KQ</t>
  </si>
  <si>
    <t>CÀ CHUA SÔCOLA 300GR (HỘP) VR</t>
  </si>
  <si>
    <t>CÀ CHUA SOCOLA XÁ</t>
  </si>
  <si>
    <t>CÀ CHUA SÔCOLA(HỘP) KQ</t>
  </si>
  <si>
    <t>CÀ CHUA VỈ 400GR</t>
  </si>
  <si>
    <t>CÀ CHUA Ý</t>
  </si>
  <si>
    <t>CÀ CHUA Ý 500G</t>
  </si>
  <si>
    <t>CÀ CHUA Ý CHÙM</t>
  </si>
  <si>
    <t>CÀ CHUA Ý(VỈ) KG</t>
  </si>
  <si>
    <t>CÀ CHUA Ý(VỈ) KG KQ</t>
  </si>
  <si>
    <t>CÀ RỐT BABY</t>
  </si>
  <si>
    <t>CÀ RỐT BABY (KG) KQ</t>
  </si>
  <si>
    <t>CÀ RỐT BABY 200GR</t>
  </si>
  <si>
    <t xml:space="preserve">CÀ RỐT DL </t>
  </si>
  <si>
    <t>CÀ RỐT DL L1</t>
  </si>
  <si>
    <t>CÀ RỐT DL TÚI LƯỚI 500GR VR</t>
  </si>
  <si>
    <t>CÀ RỐT TRUNG</t>
  </si>
  <si>
    <t>CÀ RỐT TÚI LƯỚI 800G KQ</t>
  </si>
  <si>
    <t>CÀ TÍM</t>
  </si>
  <si>
    <t>CÀ TÍM CẶP 400G</t>
  </si>
  <si>
    <t>CÀ TÍM SỌC PHA LÊ 300G</t>
  </si>
  <si>
    <t>CÀ TÍM SỌC PHA LÊ HỘP 500GR  VR</t>
  </si>
  <si>
    <t>CÀ TÍM SỌC PHA LÊ TÍM (KG) VR</t>
  </si>
  <si>
    <t>CÀ Ý VỈ 650GR</t>
  </si>
  <si>
    <t>CẢI CẦU VỒNG</t>
  </si>
  <si>
    <t>CẢI CẦU VỒNG 300GR</t>
  </si>
  <si>
    <t>CẢI CÚC 300GR</t>
  </si>
  <si>
    <t>CẢI KALE</t>
  </si>
  <si>
    <t>CẢI KALE 150GR</t>
  </si>
  <si>
    <t>CẢI KALE 300GR</t>
  </si>
  <si>
    <t>CẢI MÈO MỘC CHÂU</t>
  </si>
  <si>
    <t>CẢI THẢO DL</t>
  </si>
  <si>
    <t>CẢI THẢO DL(BẮP)</t>
  </si>
  <si>
    <t>CẢI THẢO HỎA TIỄN</t>
  </si>
  <si>
    <t>CẢI THẢO HỎA TIỄN 250GR</t>
  </si>
  <si>
    <t>CẢI THẢO KIM CHI</t>
  </si>
  <si>
    <t>CẢI THẢO MỘC CHÂU</t>
  </si>
  <si>
    <t>CẢI THẢO VR</t>
  </si>
  <si>
    <t>CẦN TÂY (KG)</t>
  </si>
  <si>
    <t>CẦN TÂY THUỶ CANH</t>
  </si>
  <si>
    <t>CẦN TÂY(CÂY)</t>
  </si>
  <si>
    <t>CHANH DÂY</t>
  </si>
  <si>
    <t>CHANH DÂY NGỌT L2</t>
  </si>
  <si>
    <t>CHANH DÂY NGỌT VỈ 300GR</t>
  </si>
  <si>
    <t>CHANH KHÔNG HẠT</t>
  </si>
  <si>
    <t>CHANH VÀNG (KG)</t>
  </si>
  <si>
    <t>CHANH VÀNG TRÁI 180UP</t>
  </si>
  <si>
    <t>CHẬU CÂY CẢI CẦU VỒNG</t>
  </si>
  <si>
    <t>CHẬU CÂY CẢI KALE</t>
  </si>
  <si>
    <t>CHẬU CÂY CẦN TÂY</t>
  </si>
  <si>
    <t>CHUỐI LABA</t>
  </si>
  <si>
    <t>CÓC NON 200G</t>
  </si>
  <si>
    <t>CỦ CẢI ĐỎ 300GR (KG) VR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</si>
  <si>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</si>
  <si>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</si>
  <si>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</si>
  <si>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</si>
  <si>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</si>
  <si>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CỦ CẢI MUỐI (VỈ) 250G KQ</t>
  </si>
  <si>
    <t>CỦ CẢI MUỐI(KG)</t>
  </si>
  <si>
    <t>CỦ CẢI TRẮNG</t>
  </si>
  <si>
    <t>CỦ CẢI TRẮNG CẶP 400GR</t>
  </si>
  <si>
    <t>CỦ ĐẬU 400G</t>
  </si>
  <si>
    <t>CỦ DỀN</t>
  </si>
  <si>
    <t>CỦ DỀN 600G</t>
  </si>
  <si>
    <t>CỦ HÀNH ĐỎ</t>
  </si>
  <si>
    <t>CỦ HÀNH ĐỎ 500GR</t>
  </si>
  <si>
    <t>CỦ NGHỆ</t>
  </si>
  <si>
    <t>ĐÀO VN</t>
  </si>
  <si>
    <t>ĐẬU BO</t>
  </si>
  <si>
    <t>ĐẬU BO 250GR</t>
  </si>
  <si>
    <t>ĐẬU COVE MỘC CHÂU</t>
  </si>
  <si>
    <t>ĐẬU CÚC</t>
  </si>
  <si>
    <t>ĐẬU CÚC 250GR</t>
  </si>
  <si>
    <t>ĐẬU ĐỎ</t>
  </si>
  <si>
    <t>ĐẬU ĐỎ 250GR</t>
  </si>
  <si>
    <t>ĐẬU HÀ LAN</t>
  </si>
  <si>
    <t>ĐẬU HÀ LAN-FUJI</t>
  </si>
  <si>
    <t>ĐẬU NGỰ</t>
  </si>
  <si>
    <t>ĐẬU NGỰ 250GR</t>
  </si>
  <si>
    <t>ĐẬU QUE TRẮNG (KG NA)</t>
  </si>
  <si>
    <t>ĐẬU QUE TRẮNG (KG) VR</t>
  </si>
  <si>
    <t>ĐẬU QUE TRẮNG (TÚI) KQ</t>
  </si>
  <si>
    <t>ĐẬU QUE TRẮNG (TÚI) VR</t>
  </si>
  <si>
    <t>ĐẬU QUE TRẮNG (TÚI) VR 300gr</t>
  </si>
  <si>
    <t>ĐẬU QUE XANH (KG) KQ</t>
  </si>
  <si>
    <t>ĐẬU QUE XANH( KG) VR</t>
  </si>
  <si>
    <t>ĐẬU QUE XANH( TÚI) KQ</t>
  </si>
  <si>
    <t>ĐẬU QUE XANH( TÚI) VR</t>
  </si>
  <si>
    <t>DAU THAP CAM (HON HOP) TUOI 100G</t>
  </si>
  <si>
    <t>ĐẬU TRẮNG</t>
  </si>
  <si>
    <t>ĐẬU TRẮNG 250GR</t>
  </si>
  <si>
    <t>DỨA 350G</t>
  </si>
  <si>
    <t>DƯA LEO</t>
  </si>
  <si>
    <t>DƯA LEO 400G</t>
  </si>
  <si>
    <t>DƯA LEO BABY KQ(KG)</t>
  </si>
  <si>
    <t>DƯA LEO BABY VR</t>
  </si>
  <si>
    <t>DƯA LEO BABY VR 300G</t>
  </si>
  <si>
    <t>DƯA LEO BABY VR(KG)</t>
  </si>
  <si>
    <t>DƯA LEO BABY VR(KG)-NA</t>
  </si>
  <si>
    <t>DƯA LEO BABY XÁ</t>
  </si>
  <si>
    <t>DƯA LEO GIỐNG NHẬT 600GR</t>
  </si>
  <si>
    <t>DƯA LEO GIỐNG NHẬT KG</t>
  </si>
  <si>
    <t>DƯA LEO KG (VỈ)</t>
  </si>
  <si>
    <t>GỪNG</t>
  </si>
  <si>
    <t>GỪNG 300GR</t>
  </si>
  <si>
    <t>HÀNH LÁ</t>
  </si>
  <si>
    <t>HÀNH LÁ THUỶ CANH</t>
  </si>
  <si>
    <t>HÀNH LÁ THUỶ CANH(KG) VR</t>
  </si>
  <si>
    <t>HÀNH TÂY DL</t>
  </si>
  <si>
    <t>HÀNH TÂY DL BABY</t>
  </si>
  <si>
    <t>HÀNH TÂY DL L1</t>
  </si>
  <si>
    <t>HÀNH TÂY DL L1 TÚI LƯỚI 300GR</t>
  </si>
  <si>
    <t>HÀNH TÂY DL L1 TÚI LƯỚI 500GR</t>
  </si>
  <si>
    <t>HÀNH TÂY DL TRUNG</t>
  </si>
  <si>
    <t>HANH TAY TIM</t>
  </si>
  <si>
    <t>HANH TAY TIM ĐL (TÚI LƯỚI)</t>
  </si>
  <si>
    <t>HẠT DẺ TƯƠI BẮC KINH</t>
  </si>
  <si>
    <t>HẠT DẺ TƯƠI SIZE 24</t>
  </si>
  <si>
    <t>HẠT DẺ TƯƠI SIZE 26</t>
  </si>
  <si>
    <t>HẠT DẺ TƯƠI TÚI 500GR</t>
  </si>
  <si>
    <t>HỒNG GIÒN</t>
  </si>
  <si>
    <t>HỒNG TREO GIÓ</t>
  </si>
  <si>
    <t>HÚNG CAY 50G VR</t>
  </si>
  <si>
    <t>HÚNG LỦI TA 50G VR</t>
  </si>
  <si>
    <t>HÚNG QUẾ 50G VR</t>
  </si>
  <si>
    <t>HƯƠNG THẢO 50G VGR</t>
  </si>
  <si>
    <t>KHỔ QUA</t>
  </si>
  <si>
    <t>KHỔ QUA KG(VỈ)</t>
  </si>
  <si>
    <t>KHOAI LANG MẬT (KG) 2-3 CỦ</t>
  </si>
  <si>
    <t>KHOAI LANG MẬT (KG) 4-6 CỦ</t>
  </si>
  <si>
    <t>KHOAI LANG MẬT 500G VR</t>
  </si>
  <si>
    <t>KHOAI LANG NHẬT</t>
  </si>
  <si>
    <t>KHOAI LANG TÚI LƯỚI 1KG</t>
  </si>
  <si>
    <t>KHOAI LANG TÚI LƯỚI 500GR</t>
  </si>
  <si>
    <t>KHOAI MỠ</t>
  </si>
  <si>
    <t>KHOAI MÔN CAO</t>
  </si>
  <si>
    <t>KHOAI MÔN SỌ</t>
  </si>
  <si>
    <t>KHOAI TÂY BI</t>
  </si>
  <si>
    <t>KHOAI TÂY BI 500G VR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</si>
  <si>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</si>
  <si>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</si>
  <si>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</si>
  <si>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</si>
  <si>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</si>
  <si>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TRUNG TÚI LƯỚI 500G</t>
  </si>
  <si>
    <t>LÁ É</t>
  </si>
  <si>
    <t>LÁ É 300G</t>
  </si>
  <si>
    <t>LÁ GIANG</t>
  </si>
  <si>
    <t>LÁ GIANG 200G</t>
  </si>
  <si>
    <t>LÁ MÈ</t>
  </si>
  <si>
    <t>LÁ MÈ (KG) KQ</t>
  </si>
  <si>
    <t>LÁ MÈ TÚI 50G</t>
  </si>
  <si>
    <t>LÁ MÈ TÚI 50G SB</t>
  </si>
  <si>
    <t>LÊ</t>
  </si>
  <si>
    <t>MÂM XÔI ĐEN</t>
  </si>
  <si>
    <t>MẬN HẬU 500G</t>
  </si>
  <si>
    <t>MẬN HẬU ĐẶC BIỆT</t>
  </si>
  <si>
    <t>MẬN RUBY</t>
  </si>
  <si>
    <t>MĂNG TÂY</t>
  </si>
  <si>
    <t>MĂNG TÂY 300GR</t>
  </si>
  <si>
    <t>MIT RUOT DO XE</t>
  </si>
  <si>
    <t>MÍT THÁI</t>
  </si>
  <si>
    <t>MÍT TỐ NỮ</t>
  </si>
  <si>
    <t>MỒNG TƠI</t>
  </si>
  <si>
    <t>MƯỚP HƯƠNG</t>
  </si>
  <si>
    <t>MƯỚP HƯƠNG 300G</t>
  </si>
  <si>
    <t>NẤM MỠ NÂU 170G</t>
  </si>
  <si>
    <t>NẤM MỠ TRẮNG 170G</t>
  </si>
  <si>
    <t>NGÒ GAI 50G VR</t>
  </si>
  <si>
    <t>NGÒ RÍ</t>
  </si>
  <si>
    <t>NGÒ RÍ TÚI 50GR</t>
  </si>
  <si>
    <t>NGÒ TÂY</t>
  </si>
  <si>
    <t>NGÒ TÂY 50G VR</t>
  </si>
  <si>
    <t>NGUYEN LIEU COM CHIEN DUONG CHAU AL 150G</t>
  </si>
  <si>
    <t>NHA DAM</t>
  </si>
  <si>
    <t>ỔI GĂNG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</si>
  <si>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</si>
  <si>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</si>
  <si>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</si>
  <si>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</si>
  <si>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</si>
  <si>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</si>
  <si>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BABY</t>
  </si>
  <si>
    <t>ỚT CHUÔNG MÀU SNACK MÀU</t>
  </si>
  <si>
    <t>ỚT CHUÔNG MÀU SNACK MÀU(KG) KQ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</si>
  <si>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</si>
  <si>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</si>
  <si>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</si>
  <si>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</si>
  <si>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</si>
  <si>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</si>
  <si>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</si>
  <si>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ỚT HIỂM</t>
  </si>
  <si>
    <t>ỚT HIỂM 100G</t>
  </si>
  <si>
    <t>OT HIEM XANH</t>
  </si>
  <si>
    <t>ỚT NGỌT PALERMO (KG) VR</t>
  </si>
  <si>
    <t>ỚT NGỌT PALERMO TÚI 300GR</t>
  </si>
  <si>
    <t>ỚT SỪNG</t>
  </si>
  <si>
    <t>ỚT SỪNG VÀNG</t>
  </si>
  <si>
    <t>ỚT TRÁI CÂY TÚI 150GR</t>
  </si>
  <si>
    <t>PARO</t>
  </si>
  <si>
    <t>PARO (CÂY)</t>
  </si>
  <si>
    <t>QUẢ MƠ</t>
  </si>
  <si>
    <t>QUẾ TÂY 50G VR</t>
  </si>
  <si>
    <t>RAU BẦU ĐẤT</t>
  </si>
  <si>
    <t>RAU DIẾP CÁ 50G</t>
  </si>
  <si>
    <t>RAU RĂM 50G VR</t>
  </si>
  <si>
    <t>ROCKET</t>
  </si>
  <si>
    <t>ROCKET 200G</t>
  </si>
  <si>
    <t>SẦU RIÊNG RI 6</t>
  </si>
  <si>
    <t>SẤU TƯƠI</t>
  </si>
  <si>
    <t>SET ỚT CHUÔNG BABY 250G</t>
  </si>
  <si>
    <t>SET RAU KÈM ỚT</t>
  </si>
  <si>
    <t>SET RAU KHÔNG KÈM ỚT</t>
  </si>
  <si>
    <t>SU HÀO</t>
  </si>
  <si>
    <t>SU HÀO 400G</t>
  </si>
  <si>
    <t>SU HÀO MỘC CHÂU</t>
  </si>
  <si>
    <t>SU SU</t>
  </si>
  <si>
    <t>SU SU 400G</t>
  </si>
  <si>
    <t>SU SU MỘC CHÂU</t>
  </si>
  <si>
    <t>SÚ TRÁI TIM</t>
  </si>
  <si>
    <t>SÚ TRÁI TIM (BẮP)</t>
  </si>
  <si>
    <t>SUNG GIỐNG MỸ 300G</t>
  </si>
  <si>
    <t>THÌ LÀ</t>
  </si>
  <si>
    <t>THÌ LÀ TÚI 80GR</t>
  </si>
  <si>
    <t>TÍA TÔ 50G</t>
  </si>
  <si>
    <t>TỎI</t>
  </si>
  <si>
    <t>TỎI 250G</t>
  </si>
  <si>
    <t>TRÁI SAKE</t>
  </si>
  <si>
    <t>VẢI THIỀU MB</t>
  </si>
  <si>
    <t>VÚ SỮA</t>
  </si>
  <si>
    <t>XẠ HƯƠNG</t>
  </si>
  <si>
    <t>XÀ LÁCH BÚP MỠ</t>
  </si>
  <si>
    <t>XÀ LÁCH CAROL</t>
  </si>
  <si>
    <t>XÀ LÁCH LOLO TÍM</t>
  </si>
  <si>
    <t>XÀ LÁCH LOLO TÍM TÚI 300G</t>
  </si>
  <si>
    <t>XÀ LÁCH LOLO XANH</t>
  </si>
  <si>
    <t>XÀ LÁCH LOLO XANH SUSHI</t>
  </si>
  <si>
    <t>XÀ LÁCH LOLO XANH THỦY CANH(KG)-NA</t>
  </si>
  <si>
    <t>XÀ LÁCH LOLO XANH TÚI 300GR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</si>
  <si>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</si>
  <si>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</si>
  <si>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</si>
  <si>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</si>
  <si>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</si>
  <si>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</si>
  <si>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MỸ</t>
  </si>
  <si>
    <t>XÀ LÁCH ROMEN (KG)</t>
  </si>
  <si>
    <t>XÀ LÁCH ROMEN THUỶ CANH (KG) VR</t>
  </si>
  <si>
    <t>XÀ LÁCH ROMEN THUỶ CANH VR</t>
  </si>
  <si>
    <t>XÀ LÁCH ROMEN TÚI 300GR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</si>
  <si>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</si>
  <si>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</si>
  <si>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</si>
  <si>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</si>
  <si>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</si>
  <si>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</si>
  <si>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</si>
  <si>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</si>
  <si>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</si>
  <si>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</si>
  <si>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</si>
  <si>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</si>
  <si>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XÀ LÁCH XOONG THUỶ CANH</t>
  </si>
  <si>
    <t>XOÀI CẮT 200G</t>
  </si>
  <si>
    <t>XOÀI CÁT HOÀ LỘC</t>
  </si>
  <si>
    <t>BẮP MỸ</t>
  </si>
  <si>
    <t>BÓ XÔI-HN KQ</t>
  </si>
  <si>
    <t>CÀ CHUA VR</t>
  </si>
  <si>
    <t>CẢI CANH</t>
  </si>
  <si>
    <t>CẢI CHÍP</t>
  </si>
  <si>
    <t>CẢI CÚC 500GR</t>
  </si>
  <si>
    <t>CẢI NGỌT</t>
  </si>
  <si>
    <t>CHANH DÂY TÍM</t>
  </si>
  <si>
    <t>CỦ SẮN</t>
  </si>
  <si>
    <t>ĐẬU QUE TRẮNG (KG) KQ</t>
  </si>
  <si>
    <t>DƯA LEO BABY KQ</t>
  </si>
  <si>
    <t>GỪNG 250GR</t>
  </si>
  <si>
    <t>HÀNH TÂY TÚI LƯỚI 300GR</t>
  </si>
  <si>
    <t>KHỔ QUA 400GR</t>
  </si>
  <si>
    <t>KHOAI LANG MẬT 500G KQ</t>
  </si>
  <si>
    <t>KHOAI SỌ</t>
  </si>
  <si>
    <t>KHOAI TÂY BI TÚI LƯỚI 500GR</t>
  </si>
  <si>
    <t>KHOAI TÂY DT TÚI LƯỚI 1KG</t>
  </si>
  <si>
    <t>KHOAI TÂY VÀNG RỬA</t>
  </si>
  <si>
    <t>MẬN HẬU</t>
  </si>
  <si>
    <t>MẬN HẬU 500G VIP</t>
  </si>
  <si>
    <t>ỚT NGỌT PALERMO (KG) KQ</t>
  </si>
  <si>
    <t>ỚT NGỌT PALERMO TÚI 300GR KQ</t>
  </si>
  <si>
    <t>ỚT SỪNG 100G</t>
  </si>
  <si>
    <t>RAU NGÓT</t>
  </si>
  <si>
    <t>TỎI CÔ ĐƠN</t>
  </si>
  <si>
    <t>VẢI THANH HÀ</t>
  </si>
  <si>
    <t>XẢ CÂY</t>
  </si>
  <si>
    <t>hàng tồn cuối ngày 1/8 vr</t>
  </si>
  <si>
    <t>GIÁ NHẬP</t>
  </si>
  <si>
    <t>THÀNH TIỀN</t>
  </si>
  <si>
    <t>hàng tồn cuối ngày 1/8 kq</t>
  </si>
  <si>
    <t>hàng tồn cuối ngày 2/8 vr</t>
  </si>
  <si>
    <t>hàng tồn cuối ngày 2/8 kq</t>
  </si>
  <si>
    <t>hàng tồn cuối ngày 3/8 vr</t>
  </si>
  <si>
    <t>hàng tồn cuối ngày 3/8 kq</t>
  </si>
  <si>
    <t>hàng tồn cuối ngày 4/8 vr</t>
  </si>
  <si>
    <t>hàng tồn cuối ngày 5/8 vr</t>
  </si>
  <si>
    <t>TẦM BÓP 250G</t>
  </si>
  <si>
    <t>BẮP CẢI TÍM( SỰ KIỆN)</t>
  </si>
  <si>
    <t>BẮP CẢI TRẮNG( SỰ KIỆN)</t>
  </si>
  <si>
    <t>CÀ RỐT (SỰ KIỆN)</t>
  </si>
  <si>
    <t>CẢI THẢO( SỰ KIỆN)</t>
  </si>
  <si>
    <t>CHẬU CÂY HƯƠNG THẢO</t>
  </si>
  <si>
    <t>CHẬU CÂY ỚT CÁC LOẠI</t>
  </si>
  <si>
    <t>CHẬU CÂY ỚT CHUÔNG</t>
  </si>
  <si>
    <t>SÚ TRÁI TIM( SỰ KIỆN)</t>
  </si>
  <si>
    <t>CAM</t>
  </si>
  <si>
    <t>hàng tồn cuối ngày 6/8 vr</t>
  </si>
  <si>
    <t>hàng tồn cuối ngày 4/8 kq</t>
  </si>
  <si>
    <t>hàng tồn cuối ngày 5/8 kq</t>
  </si>
  <si>
    <t>hàng tồn cuối ngày 6/7 kq</t>
  </si>
  <si>
    <t>CHAU CAY BAC HA CAC LOAI (BAC HA DUA/ BAC HA TAO)</t>
  </si>
  <si>
    <t>CHAU CAY BAC HA SOCOLA (CHOCOMINT)</t>
  </si>
  <si>
    <t>hàng tồn cuối ngày 7/8 vr</t>
  </si>
  <si>
    <t>hàng tồn cuối ngày 7/8 kq</t>
  </si>
  <si>
    <t>CHẬU BẮP CẢI TRẮNG (SỰ KIỆN)</t>
  </si>
  <si>
    <t>hàng tồn cuối ngày 8/8 vr</t>
  </si>
  <si>
    <t>hàng tồn cuối ngày 8/8 kq</t>
  </si>
  <si>
    <t>GIÁ NHÂP</t>
  </si>
  <si>
    <t>hàng tồn cuối ngày 9/8 vr</t>
  </si>
  <si>
    <t>hàng tồn cuối ngày 9/8 kq</t>
  </si>
  <si>
    <t>hàng tồn cuối ngày 10/8 vr</t>
  </si>
  <si>
    <t>hàng tồn cuối ngày 10/8 kq</t>
  </si>
  <si>
    <t>ĐẬU BẮP</t>
  </si>
  <si>
    <t>TÁO</t>
  </si>
  <si>
    <t>hàng tồn cuối ngày 11/8 vr</t>
  </si>
  <si>
    <t>hàng tồn cuối ngày 11/8 kq</t>
  </si>
  <si>
    <t>hàng tồn cuối ngày 12/8 vr</t>
  </si>
  <si>
    <t xml:space="preserve">THÀNH TIỀN </t>
  </si>
  <si>
    <t>hnagf tồn cuối ngày 12/8 kq</t>
  </si>
  <si>
    <t>ghi chú</t>
  </si>
  <si>
    <t xml:space="preserve">Tồn kho an toàn 
tại ĐL </t>
  </si>
  <si>
    <t>CHANH KHÔNG HẠT 250G</t>
  </si>
  <si>
    <t>NGÀY  17/08/2024</t>
  </si>
  <si>
    <t>HỒNG GIÒN MB</t>
  </si>
  <si>
    <t>hàng tồn cuối ngày 13/8 vr</t>
  </si>
  <si>
    <t>hàng tồn cuối ngày 13/8 kq</t>
  </si>
  <si>
    <t>hàng tồn cuối ngày 14/8 vr</t>
  </si>
  <si>
    <t>hàng tồn cuối ngày 14/8 kq</t>
  </si>
  <si>
    <t>hàng tồn cuối ngày 15/8 kq</t>
  </si>
  <si>
    <t>hàng tồn cuối ngày 16/8 vr</t>
  </si>
  <si>
    <t>hàng tồn cuối ngày 17/8 vr</t>
  </si>
  <si>
    <t>hàng tồn cuối ngày 16/8 kq</t>
  </si>
  <si>
    <t>hàng tồn cuối ngày 17/8 kq</t>
  </si>
  <si>
    <t>hàng tồn cuối ngày 18/8 vr</t>
  </si>
  <si>
    <t xml:space="preserve">GIÁ NHẬP </t>
  </si>
  <si>
    <t>hàng tồn cuối ngày 18/8 kq</t>
  </si>
  <si>
    <t>hàng tồn cuối ngày 19/8 vr</t>
  </si>
  <si>
    <t>hàng tồn cuối ngày 19/8 kq</t>
  </si>
  <si>
    <t>hàng tồn cuối ngày 20/8 vr</t>
  </si>
  <si>
    <t>hàng tồn cuối ngày 20/8 kq</t>
  </si>
  <si>
    <t>hàng tồn cuối ngày 21/8 vr</t>
  </si>
  <si>
    <t>hàng tồn cuối ngày 21/8 kq</t>
  </si>
  <si>
    <t>hàng tồn cuối ngày 22/8 vr</t>
  </si>
  <si>
    <t>hàng tồn cuối ngày 23/8 vr</t>
  </si>
  <si>
    <t>hàng tồn cuối ngày 22/8 kq</t>
  </si>
  <si>
    <t>hàng tồn cuối ngày 23/8 kq</t>
  </si>
  <si>
    <t>hàng tồn cuối ngày 24/8 vr</t>
  </si>
  <si>
    <t>hàng tồn cuối ngày 24/8 kq</t>
  </si>
  <si>
    <t>hàng tồn cuối ngày 25/8 vr</t>
  </si>
  <si>
    <t>hàng tồn cuối ngày 25/8 kq</t>
  </si>
  <si>
    <t>hàng tồn cuối ngày 26/8 vr</t>
  </si>
  <si>
    <t>hàng tồn cuối ngày 27/8 vr</t>
  </si>
  <si>
    <t>hàng tồn cuối ngày 26/8 kq</t>
  </si>
  <si>
    <t>hàng tồn cuối ngày 27/8 kq</t>
  </si>
  <si>
    <t>hàng tồn cuối ngày 28/8 vr</t>
  </si>
  <si>
    <t>hàng tồn cuối ngày 28/8 kq</t>
  </si>
  <si>
    <t>hàng tồn cuối ngày 29/8 kq</t>
  </si>
  <si>
    <t>Tên Sản phẩm</t>
  </si>
  <si>
    <t>Mã hàng</t>
  </si>
  <si>
    <t>Grand total</t>
  </si>
  <si>
    <t>Tồn ĐL</t>
  </si>
  <si>
    <t>VR0010001</t>
  </si>
  <si>
    <t>VR0010002</t>
  </si>
  <si>
    <t>VR0010004</t>
  </si>
  <si>
    <t>VR0010005</t>
  </si>
  <si>
    <t>VR0010007</t>
  </si>
  <si>
    <t>VR0010008</t>
  </si>
  <si>
    <t>VR0010009</t>
  </si>
  <si>
    <t>VR0010011</t>
  </si>
  <si>
    <t>VR0010012</t>
  </si>
  <si>
    <t>VR0010013</t>
  </si>
  <si>
    <t>VR0010014</t>
  </si>
  <si>
    <t>VR0010016</t>
  </si>
  <si>
    <t>VR0010017</t>
  </si>
  <si>
    <t>VR0010019</t>
  </si>
  <si>
    <t>VR0010021</t>
  </si>
  <si>
    <t>VR0010024</t>
  </si>
  <si>
    <t>VR0020003</t>
  </si>
  <si>
    <t>VR0020008</t>
  </si>
  <si>
    <t>VR0020009</t>
  </si>
  <si>
    <t>VR0030001</t>
  </si>
  <si>
    <t>VR0030002</t>
  </si>
  <si>
    <t>VR0030003</t>
  </si>
  <si>
    <t>VR0030004</t>
  </si>
  <si>
    <t>VR0030005</t>
  </si>
  <si>
    <t>VR0030006</t>
  </si>
  <si>
    <t>VR0030007</t>
  </si>
  <si>
    <t>VR0030008</t>
  </si>
  <si>
    <t>VR0030011</t>
  </si>
  <si>
    <t>VR0030012</t>
  </si>
  <si>
    <t>VR0030013</t>
  </si>
  <si>
    <t>VR0030015</t>
  </si>
  <si>
    <t>VR0030016</t>
  </si>
  <si>
    <t>VR0030018</t>
  </si>
  <si>
    <t>VR0030020</t>
  </si>
  <si>
    <t>VR0030028</t>
  </si>
  <si>
    <t>VR0030033</t>
  </si>
  <si>
    <t>VR0030034</t>
  </si>
  <si>
    <t>VR0030035</t>
  </si>
  <si>
    <t>VR0030036</t>
  </si>
  <si>
    <t>VR0030037</t>
  </si>
  <si>
    <t>VR0030038</t>
  </si>
  <si>
    <t>VR0030040</t>
  </si>
  <si>
    <t>VR0030042</t>
  </si>
  <si>
    <t>VR0030043</t>
  </si>
  <si>
    <t>VR0030044</t>
  </si>
  <si>
    <t>VR0030047</t>
  </si>
  <si>
    <t>VR0040001</t>
  </si>
  <si>
    <t>VR0040002</t>
  </si>
  <si>
    <t>VR0040003</t>
  </si>
  <si>
    <t>VR0040005</t>
  </si>
  <si>
    <t>VR0040007</t>
  </si>
  <si>
    <t>VR0040008</t>
  </si>
  <si>
    <t>VR0040009</t>
  </si>
  <si>
    <t>VR0040010</t>
  </si>
  <si>
    <t>VR0040013</t>
  </si>
  <si>
    <t>VR0040015</t>
  </si>
  <si>
    <t>VR0040016</t>
  </si>
  <si>
    <t>VR0040017</t>
  </si>
  <si>
    <t>VR0040018</t>
  </si>
  <si>
    <t>VR0040019</t>
  </si>
  <si>
    <t>VR0040021</t>
  </si>
  <si>
    <t>VR0040022</t>
  </si>
  <si>
    <t>VR0040023</t>
  </si>
  <si>
    <t>VR0040025</t>
  </si>
  <si>
    <t>VR0040026</t>
  </si>
  <si>
    <t>VR0040027</t>
  </si>
  <si>
    <t>VR0040028</t>
  </si>
  <si>
    <t>VR0040030</t>
  </si>
  <si>
    <t>VR0040032</t>
  </si>
  <si>
    <t>VR0040033</t>
  </si>
  <si>
    <t>VR0040034</t>
  </si>
  <si>
    <t>VR0040035</t>
  </si>
  <si>
    <t>VR0040036</t>
  </si>
  <si>
    <t>VR0040038</t>
  </si>
  <si>
    <t>VR0040039</t>
  </si>
  <si>
    <t>VR0040040</t>
  </si>
  <si>
    <t>VR0040041</t>
  </si>
  <si>
    <t>VR0040042</t>
  </si>
  <si>
    <t>VR0040045</t>
  </si>
  <si>
    <t>VR0040047</t>
  </si>
  <si>
    <t>VR0040048</t>
  </si>
  <si>
    <t>VR0040049</t>
  </si>
  <si>
    <t>VR0040054</t>
  </si>
  <si>
    <t>VR0040057</t>
  </si>
  <si>
    <t>VR0040058</t>
  </si>
  <si>
    <t>VR0050001</t>
  </si>
  <si>
    <t>VR0050004</t>
  </si>
  <si>
    <t>VR0050005</t>
  </si>
  <si>
    <t>VR0050006</t>
  </si>
  <si>
    <t>VR0050010</t>
  </si>
  <si>
    <t>VR0050013</t>
  </si>
  <si>
    <t>VR0050021</t>
  </si>
  <si>
    <t>VR0050022</t>
  </si>
  <si>
    <t>VRDG0001</t>
  </si>
  <si>
    <t>VRDG0062</t>
  </si>
  <si>
    <t>VR0040053</t>
  </si>
  <si>
    <t>VR0030009</t>
  </si>
  <si>
    <t>VRDG0063</t>
  </si>
  <si>
    <t>VR0010015</t>
  </si>
  <si>
    <t>VR0040006</t>
  </si>
  <si>
    <t>VR0040044</t>
  </si>
  <si>
    <t>VR0020002</t>
  </si>
  <si>
    <t>VR0020006</t>
  </si>
  <si>
    <t>VR0010010</t>
  </si>
  <si>
    <t>VR0040060</t>
  </si>
  <si>
    <t>VR0030032</t>
  </si>
  <si>
    <t>VR0030014</t>
  </si>
  <si>
    <t>ỚT CHUÔNG XANH TRUNG</t>
  </si>
  <si>
    <t>ỚT CHUÔNG VÀNG TRUNG</t>
  </si>
  <si>
    <t>ĐẬU HÀ LAN TRÁI</t>
  </si>
  <si>
    <t>Lá Hương Thảo</t>
  </si>
  <si>
    <t>Trái Mâm Xôi</t>
  </si>
  <si>
    <t>QUẾ TÂY</t>
  </si>
  <si>
    <t>Xà Lách Rocket</t>
  </si>
  <si>
    <t>Cà Rốt</t>
  </si>
  <si>
    <t>Cà Rốt Baby</t>
  </si>
  <si>
    <t>Củ Cải Đỏ</t>
  </si>
  <si>
    <t>Củ Cải Đỏ 300Gr</t>
  </si>
  <si>
    <t>Củ Cải Trắng</t>
  </si>
  <si>
    <t>Củ Dền</t>
  </si>
  <si>
    <t>Củ Gừng</t>
  </si>
  <si>
    <t>Củ Hành Tây</t>
  </si>
  <si>
    <t>Củ Hành Tây Tím</t>
  </si>
  <si>
    <t>Củ Hành Tây Trung</t>
  </si>
  <si>
    <t>Củ Khoai Lang Mật</t>
  </si>
  <si>
    <t>Củ Khoai Lang Nhật</t>
  </si>
  <si>
    <t>Củ Khoai Mỡ</t>
  </si>
  <si>
    <t>Củ Khoai Tây Bi Vàng</t>
  </si>
  <si>
    <t>Củ Khoai Tây Vàng</t>
  </si>
  <si>
    <t>Củ Su Hào</t>
  </si>
  <si>
    <t>Bông Cải Xanh Cọng</t>
  </si>
  <si>
    <t>Bông Cải Xanh 7Cm</t>
  </si>
  <si>
    <t>Bông Cải Xanh Baby</t>
  </si>
  <si>
    <t>Hoa Atiso Đỏ</t>
  </si>
  <si>
    <t>Bắp Cải Tím</t>
  </si>
  <si>
    <t>Bắp Cải Trái Tim</t>
  </si>
  <si>
    <t>Bắp Cải Trắng</t>
  </si>
  <si>
    <t>Cải Bó Xôi</t>
  </si>
  <si>
    <t>Cải Bó Xôi Túi</t>
  </si>
  <si>
    <t>Cải Cầu Vồng</t>
  </si>
  <si>
    <t>Cải Kale</t>
  </si>
  <si>
    <t>Cải Thảo</t>
  </si>
  <si>
    <t>Cần Tây</t>
  </si>
  <si>
    <t>Hành Paro</t>
  </si>
  <si>
    <t>Lá Mè</t>
  </si>
  <si>
    <t>Lá Nha Đam</t>
  </si>
  <si>
    <t>Lá Quế Tây</t>
  </si>
  <si>
    <t>Lá Tía Tô</t>
  </si>
  <si>
    <t>Măng Tây</t>
  </si>
  <si>
    <t>Rau Ngò Rí</t>
  </si>
  <si>
    <t>Xà Lách Lolo Xanh</t>
  </si>
  <si>
    <t>Xà Lách Lolo Xanh T.C</t>
  </si>
  <si>
    <t>Xà Lách Lolo Xanh T.C Cây</t>
  </si>
  <si>
    <t>Xà Lách Mỡ T.C</t>
  </si>
  <si>
    <t>Xà Lách Mỡ T.C Cây</t>
  </si>
  <si>
    <t>Xà Lách Mỹ</t>
  </si>
  <si>
    <t>Xà Lách Romaine</t>
  </si>
  <si>
    <t>Xà Lách Thủy Tinh T.C</t>
  </si>
  <si>
    <t>Xà Lách Thủy Tinh T.C Cây</t>
  </si>
  <si>
    <t>Xà Lách Mỡ</t>
  </si>
  <si>
    <t>Bí Đao Xanh</t>
  </si>
  <si>
    <t>Bí Đỏ Hồ Lô</t>
  </si>
  <si>
    <t>Bí Đỏ Tròn</t>
  </si>
  <si>
    <t>Bí Ngòi Xanh</t>
  </si>
  <si>
    <t>Bí Non Nhật</t>
  </si>
  <si>
    <t>Cà Chua Beef</t>
  </si>
  <si>
    <t>Cà Chua Beef 500Gr</t>
  </si>
  <si>
    <t>Cà Chua Beef 650Gr</t>
  </si>
  <si>
    <t>Cà Chua Bi 300Gr</t>
  </si>
  <si>
    <t>Cà Chua Bi Mix</t>
  </si>
  <si>
    <t>Cà Chua Socola</t>
  </si>
  <si>
    <t>Cà Chua Socola 250Gr</t>
  </si>
  <si>
    <t>Cà Chua Thường</t>
  </si>
  <si>
    <t>Cà Chua Thường Trung</t>
  </si>
  <si>
    <t>Cà Tím</t>
  </si>
  <si>
    <t>Cà Tím Cặp 400Gr</t>
  </si>
  <si>
    <t>Chanh Không Hạt</t>
  </si>
  <si>
    <t>Đậu Cove Trắng</t>
  </si>
  <si>
    <t>Đậu Cove Trắng 300Gr</t>
  </si>
  <si>
    <t>Đậu Cove Trắng 500Gr</t>
  </si>
  <si>
    <t>Đậu Cove Nhật 300Gr</t>
  </si>
  <si>
    <t>Đậu Đỏ</t>
  </si>
  <si>
    <t>Đậu Ngự</t>
  </si>
  <si>
    <t>Dưa Leo Baby</t>
  </si>
  <si>
    <t>Dưa Leo Baby 500Gr</t>
  </si>
  <si>
    <t>Dưa Leo Nhật</t>
  </si>
  <si>
    <t>Dưa Leo Thường</t>
  </si>
  <si>
    <t>Ớt Chuông Baby</t>
  </si>
  <si>
    <t>Ớt Chuông Đỏ</t>
  </si>
  <si>
    <t>Ớt Chuông Snack</t>
  </si>
  <si>
    <t>Ớt Chuông Vàng</t>
  </si>
  <si>
    <t>Ớt Chuông Xanh</t>
  </si>
  <si>
    <t>Ớt Sweet Palemo 300Gr</t>
  </si>
  <si>
    <t>Trái Chanh Vàng</t>
  </si>
  <si>
    <t>Trái Su Su</t>
  </si>
  <si>
    <t>Đậu Trắng</t>
  </si>
  <si>
    <t>Bí Ngô Mini</t>
  </si>
  <si>
    <t>Trái Khổ Qua</t>
  </si>
  <si>
    <t>Cà Chua Socola 300gr</t>
  </si>
  <si>
    <t>Chuối Laba</t>
  </si>
  <si>
    <t>Trái Mít Thái</t>
  </si>
  <si>
    <t>Bơ 034 L1</t>
  </si>
  <si>
    <t>Bơ Sáp</t>
  </si>
  <si>
    <t>Bơ Booth</t>
  </si>
  <si>
    <t>Hạt Dẻ Tươi</t>
  </si>
  <si>
    <t>Ổi Găng</t>
  </si>
  <si>
    <t>Trái Sake</t>
  </si>
  <si>
    <t>Hồng Fuji</t>
  </si>
  <si>
    <t>Ớt Chuông Ba Màu Vỉ 350gr</t>
  </si>
  <si>
    <t>Đậu Tươi Hỗn Hợp Túi 100gr</t>
  </si>
  <si>
    <t>Nguyên Liệu Cơm Chiên Dương Châu Túi 150gr</t>
  </si>
  <si>
    <t>Set Rau Salad</t>
  </si>
  <si>
    <t>Bí Ngòi Vàng</t>
  </si>
  <si>
    <t>Ớt Chuông Ba Màu</t>
  </si>
  <si>
    <t>Củ Khoai Lang Mật Size 23</t>
  </si>
  <si>
    <t>Cà Chua Bi Đỏ</t>
  </si>
  <si>
    <t>Đậu Bo</t>
  </si>
  <si>
    <t>Củ Cải Muối</t>
  </si>
  <si>
    <t>Bông Cải Trắng</t>
  </si>
  <si>
    <t>Chanh Dây Tím</t>
  </si>
  <si>
    <t>Cải Thảo Hỏa Tiễn</t>
  </si>
  <si>
    <t>Củ Khoai Tây Hồng</t>
  </si>
  <si>
    <t>Măng Cụt</t>
  </si>
  <si>
    <t>Cải Thảo Kim Chi</t>
  </si>
  <si>
    <t>hàng tồn cuối ngày 31/8 vr</t>
  </si>
  <si>
    <t>hàng tồn cuối ngày 31/8 kq</t>
  </si>
  <si>
    <t xml:space="preserve"> Ngọc Thụy </t>
  </si>
  <si>
    <t xml:space="preserve"> Đà Lạt </t>
  </si>
  <si>
    <t xml:space="preserve"> Cộng </t>
  </si>
  <si>
    <t>Xuất trong kỳ</t>
  </si>
  <si>
    <t>Tổng cộng nhập trong kỳ từ 31/07 đến 30/08</t>
  </si>
  <si>
    <t>Tổn cuối tháng 8</t>
  </si>
  <si>
    <t>Tồn đầu kỳ tháng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</si>
</sst>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2"/>
      <color rgb="FFFF0000"/>
      <name val="Times New Roman"/>
      <family val="1"/>
    </font>
    <font>
      <sz val="14"/>
      <color rgb="FFFF0000"/>
      <name val="Times New Roman"/>
      <family val="1"/>
    </font>
    <font>
      <sz val="11"/>
      <name val="Times New Roman"/>
      <family val="1"/>
    </font>
    <font>
      <b/>
      <sz val="20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  <font>
      <b/>
      <sz val="15"/>
      <color theme="1"/>
      <name val="Times New Roman"/>
      <family val="2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shrinkToFit="1"/>
    </xf>
    <xf numFmtId="164" fontId="5" fillId="0" borderId="2" xfId="1" applyNumberFormat="1" applyFont="1" applyFill="1" applyBorder="1" applyAlignment="1">
      <alignment horizontal="left" vertical="center" shrinkToFit="1"/>
    </xf>
    <xf numFmtId="164" fontId="5" fillId="0" borderId="2" xfId="2" applyNumberFormat="1" applyFont="1" applyFill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shrinkToFit="1"/>
    </xf>
    <xf numFmtId="1" fontId="5" fillId="0" borderId="2" xfId="0" applyNumberFormat="1" applyFont="1" applyBorder="1" applyAlignment="1">
      <alignment horizontal="left" vertical="center" shrinkToFit="1"/>
    </xf>
    <xf numFmtId="0" fontId="8" fillId="0" borderId="2" xfId="0" applyFont="1" applyBorder="1" applyAlignment="1">
      <alignment horizontal="left" vertical="center" wrapText="1" shrinkToFit="1"/>
    </xf>
    <xf numFmtId="165" fontId="8" fillId="0" borderId="2" xfId="0" applyNumberFormat="1" applyFont="1" applyBorder="1" applyAlignment="1">
      <alignment horizontal="left" vertical="center" shrinkToFit="1"/>
    </xf>
    <xf numFmtId="165" fontId="5" fillId="0" borderId="2" xfId="0" applyNumberFormat="1" applyFont="1" applyBorder="1" applyAlignment="1">
      <alignment horizontal="left" vertical="center" shrinkToFit="1"/>
    </xf>
    <xf numFmtId="1" fontId="7" fillId="0" borderId="2" xfId="0" applyNumberFormat="1" applyFont="1" applyBorder="1" applyAlignment="1">
      <alignment horizontal="left" vertical="center" shrinkToFit="1"/>
    </xf>
    <xf numFmtId="164" fontId="5" fillId="0" borderId="2" xfId="1" applyNumberFormat="1" applyFont="1" applyFill="1" applyBorder="1" applyAlignment="1">
      <alignment horizontal="left" vertical="center" wrapText="1" shrinkToFit="1"/>
    </xf>
    <xf numFmtId="166" fontId="5" fillId="0" borderId="2" xfId="1" applyNumberFormat="1" applyFont="1" applyFill="1" applyBorder="1" applyAlignment="1">
      <alignment horizontal="left" vertical="center" shrinkToFit="1"/>
    </xf>
    <xf numFmtId="166" fontId="5" fillId="0" borderId="2" xfId="2" applyNumberFormat="1" applyFont="1" applyFill="1" applyBorder="1" applyAlignment="1">
      <alignment horizontal="left" vertical="center" shrinkToFit="1"/>
    </xf>
    <xf numFmtId="165" fontId="7" fillId="0" borderId="2" xfId="0" applyNumberFormat="1" applyFont="1" applyBorder="1" applyAlignment="1">
      <alignment horizontal="left" vertical="center" shrinkToFit="1"/>
    </xf>
    <xf numFmtId="1" fontId="5" fillId="0" borderId="0" xfId="0" applyNumberFormat="1" applyFont="1" applyAlignment="1">
      <alignment horizontal="left" vertical="center" shrinkToFit="1"/>
    </xf>
    <xf numFmtId="1" fontId="8" fillId="0" borderId="2" xfId="0" applyNumberFormat="1" applyFont="1" applyBorder="1" applyAlignment="1">
      <alignment horizontal="left" vertical="center" wrapText="1" shrinkToFit="1"/>
    </xf>
    <xf numFmtId="3" fontId="7" fillId="0" borderId="2" xfId="0" applyNumberFormat="1" applyFont="1" applyBorder="1"/>
    <xf numFmtId="1" fontId="8" fillId="0" borderId="2" xfId="0" applyNumberFormat="1" applyFont="1" applyBorder="1" applyAlignment="1">
      <alignment horizontal="left" vertical="center" shrinkToFit="1"/>
    </xf>
    <xf numFmtId="1" fontId="8" fillId="0" borderId="4" xfId="0" applyNumberFormat="1" applyFont="1" applyBorder="1" applyAlignment="1">
      <alignment horizontal="left" vertical="center" shrinkToFit="1"/>
    </xf>
    <xf numFmtId="165" fontId="8" fillId="0" borderId="4" xfId="0" applyNumberFormat="1" applyFont="1" applyBorder="1" applyAlignment="1">
      <alignment horizontal="left" vertical="center" shrinkToFit="1"/>
    </xf>
    <xf numFmtId="1" fontId="5" fillId="0" borderId="4" xfId="0" applyNumberFormat="1" applyFont="1" applyBorder="1" applyAlignment="1">
      <alignment horizontal="left" vertical="center" shrinkToFit="1"/>
    </xf>
    <xf numFmtId="165" fontId="8" fillId="0" borderId="2" xfId="0" applyNumberFormat="1" applyFont="1" applyBorder="1" applyAlignment="1">
      <alignment horizontal="left" vertical="center" wrapText="1" shrinkToFit="1"/>
    </xf>
    <xf numFmtId="166" fontId="5" fillId="0" borderId="2" xfId="1" applyNumberFormat="1" applyFont="1" applyFill="1" applyBorder="1" applyAlignment="1">
      <alignment horizontal="left" vertical="top"/>
    </xf>
    <xf numFmtId="166" fontId="5" fillId="0" borderId="2" xfId="2" applyNumberFormat="1" applyFont="1" applyFill="1" applyBorder="1" applyAlignment="1">
      <alignment horizontal="left" vertical="top"/>
    </xf>
    <xf numFmtId="165" fontId="5" fillId="3" borderId="2" xfId="0" applyNumberFormat="1" applyFont="1" applyFill="1" applyBorder="1" applyAlignment="1">
      <alignment horizontal="left" vertical="center" shrinkToFit="1"/>
    </xf>
    <xf numFmtId="164" fontId="9" fillId="0" borderId="2" xfId="1" applyNumberFormat="1" applyFont="1" applyFill="1" applyBorder="1" applyAlignment="1">
      <alignment horizontal="left" vertical="center" wrapText="1" shrinkToFit="1"/>
    </xf>
    <xf numFmtId="1" fontId="10" fillId="0" borderId="2" xfId="0" applyNumberFormat="1" applyFont="1" applyBorder="1" applyAlignment="1">
      <alignment horizontal="left" vertical="center" shrinkToFit="1"/>
    </xf>
    <xf numFmtId="1" fontId="11" fillId="0" borderId="2" xfId="0" applyNumberFormat="1" applyFont="1" applyBorder="1" applyAlignment="1">
      <alignment horizontal="left" vertical="center" shrinkToFit="1"/>
    </xf>
    <xf numFmtId="164" fontId="11" fillId="0" borderId="2" xfId="1" applyNumberFormat="1" applyFont="1" applyFill="1" applyBorder="1" applyAlignment="1">
      <alignment horizontal="left" vertical="center" shrinkToFit="1"/>
    </xf>
    <xf numFmtId="164" fontId="11" fillId="0" borderId="2" xfId="2" applyNumberFormat="1" applyFont="1" applyFill="1" applyBorder="1" applyAlignment="1">
      <alignment horizontal="left" vertical="center" shrinkToFit="1"/>
    </xf>
    <xf numFmtId="0" fontId="11" fillId="0" borderId="2" xfId="0" applyFont="1" applyBorder="1" applyAlignment="1">
      <alignment vertical="center"/>
    </xf>
    <xf numFmtId="3" fontId="7" fillId="0" borderId="2" xfId="0" applyNumberFormat="1" applyFont="1" applyBorder="1" applyAlignment="1">
      <alignment horizontal="left" vertical="center" shrinkToFit="1"/>
    </xf>
    <xf numFmtId="3" fontId="8" fillId="0" borderId="2" xfId="0" applyNumberFormat="1" applyFont="1" applyBorder="1" applyAlignment="1">
      <alignment horizontal="left" vertical="center" shrinkToFit="1"/>
    </xf>
    <xf numFmtId="3" fontId="5" fillId="0" borderId="2" xfId="0" applyNumberFormat="1" applyFont="1" applyBorder="1" applyAlignment="1">
      <alignment horizontal="left" vertical="center" shrinkToFit="1"/>
    </xf>
    <xf numFmtId="164" fontId="12" fillId="0" borderId="2" xfId="1" applyNumberFormat="1" applyFont="1" applyFill="1" applyBorder="1" applyAlignment="1">
      <alignment horizontal="center" vertical="center"/>
    </xf>
    <xf numFmtId="164" fontId="12" fillId="0" borderId="2" xfId="2" applyNumberFormat="1" applyFont="1" applyFill="1" applyBorder="1" applyAlignment="1">
      <alignment horizontal="center" vertical="center"/>
    </xf>
    <xf numFmtId="1" fontId="12" fillId="0" borderId="2" xfId="0" applyNumberFormat="1" applyFont="1" applyBorder="1" applyAlignment="1">
      <alignment vertical="center" shrinkToFit="1"/>
    </xf>
    <xf numFmtId="164" fontId="4" fillId="0" borderId="2" xfId="1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left" vertical="center" shrinkToFit="1"/>
    </xf>
    <xf numFmtId="164" fontId="4" fillId="0" borderId="2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5" fillId="0" borderId="2" xfId="2" applyNumberFormat="1" applyFont="1" applyFill="1" applyBorder="1" applyAlignment="1">
      <alignment horizontal="left" vertical="center" wrapText="1" shrinkToFit="1"/>
    </xf>
    <xf numFmtId="164" fontId="9" fillId="0" borderId="2" xfId="2" applyNumberFormat="1" applyFont="1" applyFill="1" applyBorder="1" applyAlignment="1">
      <alignment horizontal="left" vertical="center" wrapText="1" shrinkToFit="1"/>
    </xf>
    <xf numFmtId="0" fontId="13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left" vertical="center" shrinkToFit="1"/>
    </xf>
    <xf numFmtId="165" fontId="8" fillId="0" borderId="0" xfId="0" applyNumberFormat="1" applyFont="1" applyAlignment="1">
      <alignment horizontal="left" vertical="center" shrinkToFit="1"/>
    </xf>
    <xf numFmtId="165" fontId="7" fillId="0" borderId="4" xfId="0" applyNumberFormat="1" applyFont="1" applyBorder="1" applyAlignment="1">
      <alignment horizontal="left" vertical="center" shrinkToFit="1"/>
    </xf>
    <xf numFmtId="3" fontId="14" fillId="0" borderId="2" xfId="0" applyNumberFormat="1" applyFont="1" applyBorder="1" applyAlignment="1">
      <alignment horizontal="left" vertical="center" shrinkToFit="1"/>
    </xf>
    <xf numFmtId="164" fontId="15" fillId="0" borderId="2" xfId="2" applyNumberFormat="1" applyFont="1" applyFill="1" applyBorder="1" applyAlignment="1">
      <alignment horizontal="left" vertical="center" shrinkToFit="1"/>
    </xf>
    <xf numFmtId="164" fontId="0" fillId="0" borderId="0" xfId="0" applyNumberFormat="1"/>
    <xf numFmtId="1" fontId="15" fillId="0" borderId="2" xfId="0" applyNumberFormat="1" applyFont="1" applyBorder="1" applyAlignment="1">
      <alignment horizontal="left" vertical="center" shrinkToFit="1"/>
    </xf>
    <xf numFmtId="1" fontId="5" fillId="4" borderId="2" xfId="0" applyNumberFormat="1" applyFont="1" applyFill="1" applyBorder="1" applyAlignment="1">
      <alignment horizontal="left" vertical="center" shrinkToFit="1"/>
    </xf>
    <xf numFmtId="164" fontId="5" fillId="4" borderId="2" xfId="2" applyNumberFormat="1" applyFont="1" applyFill="1" applyBorder="1" applyAlignment="1">
      <alignment horizontal="left" vertical="center" shrinkToFit="1"/>
    </xf>
    <xf numFmtId="165" fontId="14" fillId="0" borderId="0" xfId="0" applyNumberFormat="1" applyFont="1" applyAlignment="1">
      <alignment horizontal="left" vertical="center" shrinkToFit="1"/>
    </xf>
    <xf numFmtId="165" fontId="5" fillId="4" borderId="2" xfId="0" applyNumberFormat="1" applyFont="1" applyFill="1" applyBorder="1" applyAlignment="1">
      <alignment horizontal="left" vertical="center" shrinkToFit="1"/>
    </xf>
    <xf numFmtId="165" fontId="8" fillId="4" borderId="2" xfId="0" applyNumberFormat="1" applyFont="1" applyFill="1" applyBorder="1" applyAlignment="1">
      <alignment horizontal="left" vertical="center" shrinkToFit="1"/>
    </xf>
    <xf numFmtId="165" fontId="8" fillId="4" borderId="4" xfId="0" applyNumberFormat="1" applyFont="1" applyFill="1" applyBorder="1" applyAlignment="1">
      <alignment horizontal="left" vertical="center" shrinkToFit="1"/>
    </xf>
    <xf numFmtId="164" fontId="9" fillId="4" borderId="2" xfId="2" applyNumberFormat="1" applyFont="1" applyFill="1" applyBorder="1" applyAlignment="1">
      <alignment horizontal="left" vertical="center" wrapText="1" shrinkToFit="1"/>
    </xf>
    <xf numFmtId="164" fontId="16" fillId="0" borderId="2" xfId="2" applyNumberFormat="1" applyFont="1" applyFill="1" applyBorder="1" applyAlignment="1">
      <alignment horizontal="left" vertical="center" wrapText="1" shrinkToFit="1"/>
    </xf>
    <xf numFmtId="164" fontId="13" fillId="0" borderId="2" xfId="2" applyNumberFormat="1" applyFont="1" applyFill="1" applyBorder="1" applyAlignment="1">
      <alignment horizontal="left" vertical="center" wrapText="1" shrinkToFit="1"/>
    </xf>
    <xf numFmtId="164" fontId="15" fillId="0" borderId="2" xfId="1" applyNumberFormat="1" applyFont="1" applyFill="1" applyBorder="1" applyAlignment="1">
      <alignment horizontal="left" vertical="center" shrinkToFit="1"/>
    </xf>
    <xf numFmtId="0" fontId="17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 wrapText="1"/>
    </xf>
    <xf numFmtId="0" fontId="18" fillId="5" borderId="2" xfId="0" applyFont="1" applyFill="1" applyBorder="1"/>
    <xf numFmtId="0" fontId="0" fillId="0" borderId="2" xfId="0" applyBorder="1"/>
    <xf numFmtId="0" fontId="0" fillId="7" borderId="2" xfId="0" applyFill="1" applyBorder="1"/>
    <xf numFmtId="0" fontId="18" fillId="5" borderId="1" xfId="0" applyFont="1" applyFill="1" applyBorder="1"/>
    <xf numFmtId="0" fontId="0" fillId="0" borderId="1" xfId="0" applyBorder="1"/>
    <xf numFmtId="0" fontId="20" fillId="5" borderId="2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0" borderId="6" xfId="0" applyFont="1" applyBorder="1"/>
    <xf numFmtId="0" fontId="18" fillId="5" borderId="0" xfId="0" applyFont="1" applyFill="1"/>
    <xf numFmtId="1" fontId="21" fillId="0" borderId="2" xfId="0" applyNumberFormat="1" applyFont="1" applyBorder="1"/>
    <xf numFmtId="0" fontId="19" fillId="0" borderId="2" xfId="0" applyFont="1" applyBorder="1"/>
    <xf numFmtId="0" fontId="22" fillId="5" borderId="2" xfId="0" applyFont="1" applyFill="1" applyBorder="1"/>
    <xf numFmtId="0" fontId="19" fillId="0" borderId="0" xfId="0" applyFont="1"/>
    <xf numFmtId="164" fontId="0" fillId="7" borderId="5" xfId="1" applyNumberFormat="1" applyFont="1" applyFill="1" applyBorder="1"/>
    <xf numFmtId="164" fontId="0" fillId="7" borderId="2" xfId="1" applyNumberFormat="1" applyFont="1" applyFill="1" applyBorder="1"/>
    <xf numFmtId="0" fontId="23" fillId="5" borderId="2" xfId="0" applyFont="1" applyFill="1" applyBorder="1"/>
    <xf numFmtId="0" fontId="24" fillId="7" borderId="2" xfId="0" applyFont="1" applyFill="1" applyBorder="1"/>
    <xf numFmtId="164" fontId="24" fillId="7" borderId="2" xfId="1" applyNumberFormat="1" applyFont="1" applyFill="1" applyBorder="1"/>
    <xf numFmtId="3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4/TH&#193;NG%209/&#272;&#416;N%20H&#192;NG%20CHI%20TI&#7870;T/&#272;&#416;N%20H&#192;NG%20T&#7892;NG%2001.09.2024%20VR%20&#272;&#218;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ƯA QUY ĐỔI"/>
      <sheetName val="ĐƠN GỌI NCC"/>
      <sheetName val="ĐƠN ĐẶT HÀNG"/>
      <sheetName val="Trang_tính1"/>
      <sheetName val="Sheet2"/>
      <sheetName val="ĐƠN HÀNG TỔNG"/>
      <sheetName val="Sheet3"/>
      <sheetName val="HÀNG CHƯA XUẤT"/>
      <sheetName val="DANH SÁCH HÀNG HÓA, DỊCH VỤ"/>
    </sheetNames>
    <sheetDataSet>
      <sheetData sheetId="0"/>
      <sheetData sheetId="1"/>
      <sheetData sheetId="2"/>
      <sheetData sheetId="3">
        <row r="2">
          <cell r="A2" t="str">
            <v>Cà Rốt</v>
          </cell>
        </row>
      </sheetData>
      <sheetData sheetId="4"/>
      <sheetData sheetId="5"/>
      <sheetData sheetId="6"/>
      <sheetData sheetId="7"/>
      <sheetData sheetId="8">
        <row r="1">
          <cell r="B1" t="str">
            <v>Mã</v>
          </cell>
          <cell r="C1" t="str">
            <v>Tên</v>
          </cell>
        </row>
        <row r="2">
          <cell r="B2" t="str">
            <v>VR0010001</v>
          </cell>
          <cell r="C2" t="str">
            <v>Cà Rốt</v>
          </cell>
        </row>
        <row r="3">
          <cell r="B3" t="str">
            <v>VR0010002</v>
          </cell>
          <cell r="C3" t="str">
            <v>Cà Rốt Baby</v>
          </cell>
        </row>
        <row r="4">
          <cell r="B4" t="str">
            <v>VR0010003</v>
          </cell>
          <cell r="C4" t="str">
            <v>Cà Rốt Trung</v>
          </cell>
        </row>
        <row r="5">
          <cell r="B5" t="str">
            <v>VR0010004</v>
          </cell>
          <cell r="C5" t="str">
            <v>Củ Cải Đỏ</v>
          </cell>
        </row>
        <row r="6">
          <cell r="B6" t="str">
            <v>VR0010005</v>
          </cell>
          <cell r="C6" t="str">
            <v>Củ Cải Đỏ 300Gr</v>
          </cell>
        </row>
        <row r="7">
          <cell r="B7" t="str">
            <v>VR0010006</v>
          </cell>
          <cell r="C7" t="str">
            <v>Củ Cải Muối</v>
          </cell>
        </row>
        <row r="8">
          <cell r="B8" t="str">
            <v>VR0010007</v>
          </cell>
          <cell r="C8" t="str">
            <v>Củ Cải Trắng</v>
          </cell>
        </row>
        <row r="9">
          <cell r="B9" t="str">
            <v>VR0010008</v>
          </cell>
          <cell r="C9" t="str">
            <v>Củ Dền</v>
          </cell>
        </row>
        <row r="10">
          <cell r="B10" t="str">
            <v>VR0010009</v>
          </cell>
          <cell r="C10" t="str">
            <v>Củ Gừng</v>
          </cell>
        </row>
        <row r="11">
          <cell r="B11" t="str">
            <v>VR0010010</v>
          </cell>
          <cell r="C11" t="str">
            <v>Củ Hành Đỏ</v>
          </cell>
        </row>
        <row r="12">
          <cell r="B12" t="str">
            <v>VR0010011</v>
          </cell>
          <cell r="C12" t="str">
            <v>Củ Hành Tây</v>
          </cell>
        </row>
        <row r="13">
          <cell r="B13" t="str">
            <v>VR0010012</v>
          </cell>
          <cell r="C13" t="str">
            <v>Củ Hành Tây Tím</v>
          </cell>
        </row>
        <row r="14">
          <cell r="B14" t="str">
            <v>VR0010013</v>
          </cell>
          <cell r="C14" t="str">
            <v>Củ Hành Tây Trung</v>
          </cell>
        </row>
        <row r="15">
          <cell r="B15" t="str">
            <v>VR0010014</v>
          </cell>
          <cell r="C15" t="str">
            <v>Củ Khoai Lang Mật</v>
          </cell>
        </row>
        <row r="16">
          <cell r="B16" t="str">
            <v>VR0010015</v>
          </cell>
          <cell r="C16" t="str">
            <v>Củ Khoai Lang Mật Size 23</v>
          </cell>
        </row>
        <row r="17">
          <cell r="B17" t="str">
            <v>VR0010016</v>
          </cell>
          <cell r="C17" t="str">
            <v>Củ Khoai Lang Nhật</v>
          </cell>
        </row>
        <row r="18">
          <cell r="B18" t="str">
            <v>VR0010017</v>
          </cell>
          <cell r="C18" t="str">
            <v>Củ Khoai Mỡ</v>
          </cell>
        </row>
        <row r="19">
          <cell r="B19" t="str">
            <v>VR0010018</v>
          </cell>
          <cell r="C19" t="str">
            <v>Củ Khoai Môn Cao</v>
          </cell>
        </row>
        <row r="20">
          <cell r="B20" t="str">
            <v>VR0010019</v>
          </cell>
          <cell r="C20" t="str">
            <v>Củ Khoai Tây Bi Vàng</v>
          </cell>
        </row>
        <row r="21">
          <cell r="B21" t="str">
            <v>VR0010020</v>
          </cell>
          <cell r="C21" t="str">
            <v>Củ Khoai Tây Hồng</v>
          </cell>
        </row>
        <row r="22">
          <cell r="B22" t="str">
            <v>VR0010021</v>
          </cell>
          <cell r="C22" t="str">
            <v>Củ Khoai Tây Vàng</v>
          </cell>
        </row>
        <row r="23">
          <cell r="B23" t="str">
            <v>VR0010022</v>
          </cell>
          <cell r="C23" t="str">
            <v>Củ Khoai Tây Vàng Trung</v>
          </cell>
        </row>
        <row r="24">
          <cell r="B24" t="str">
            <v>VR0010023</v>
          </cell>
          <cell r="C24" t="str">
            <v>Củ Sắn</v>
          </cell>
        </row>
        <row r="25">
          <cell r="B25" t="str">
            <v>VR0010024</v>
          </cell>
          <cell r="C25" t="str">
            <v>Củ Su Hào</v>
          </cell>
        </row>
        <row r="26">
          <cell r="B26" t="str">
            <v>VR0010025</v>
          </cell>
          <cell r="C26" t="str">
            <v>Củ Tỏi</v>
          </cell>
        </row>
        <row r="27">
          <cell r="B27" t="str">
            <v>VR0010026</v>
          </cell>
          <cell r="C27" t="str">
            <v>Hành Tây Túi 300Gr</v>
          </cell>
        </row>
        <row r="28">
          <cell r="B28" t="str">
            <v>VR0020001</v>
          </cell>
          <cell r="C28" t="str">
            <v>Bông Atiso</v>
          </cell>
        </row>
        <row r="29">
          <cell r="B29" t="str">
            <v>VR0020002</v>
          </cell>
          <cell r="C29" t="str">
            <v>Bông Bí Nụ</v>
          </cell>
        </row>
        <row r="30">
          <cell r="B30" t="str">
            <v>VR0020003</v>
          </cell>
          <cell r="C30" t="str">
            <v>Bông Cải Trắng</v>
          </cell>
        </row>
        <row r="31">
          <cell r="B31" t="str">
            <v>VR0020004</v>
          </cell>
          <cell r="C31" t="str">
            <v>Bông Cải Xanh Cọng</v>
          </cell>
        </row>
        <row r="32">
          <cell r="B32" t="str">
            <v>VR0020005</v>
          </cell>
          <cell r="C32" t="str">
            <v>Bông Cải Xanh 10Cm</v>
          </cell>
        </row>
        <row r="33">
          <cell r="B33" t="str">
            <v>VR0020006</v>
          </cell>
          <cell r="C33" t="str">
            <v>Bông Cải Xanh 12Cm</v>
          </cell>
        </row>
        <row r="34">
          <cell r="B34" t="str">
            <v>VR0020007</v>
          </cell>
          <cell r="C34" t="str">
            <v>Bông Cải Xanh 15Cm</v>
          </cell>
        </row>
        <row r="35">
          <cell r="B35" t="str">
            <v>VR0020008</v>
          </cell>
          <cell r="C35" t="str">
            <v>Bông Cải Xanh 7Cm</v>
          </cell>
        </row>
        <row r="36">
          <cell r="B36" t="str">
            <v>VR0020009</v>
          </cell>
          <cell r="C36" t="str">
            <v>Bông Cải Xanh Baby</v>
          </cell>
        </row>
        <row r="37">
          <cell r="B37" t="str">
            <v>VR0020010</v>
          </cell>
          <cell r="C37" t="str">
            <v>Hoa Atiso Đỏ</v>
          </cell>
        </row>
        <row r="38">
          <cell r="B38" t="str">
            <v>VR0030001</v>
          </cell>
          <cell r="C38" t="str">
            <v>Bắp Cải Tím</v>
          </cell>
        </row>
        <row r="39">
          <cell r="B39" t="str">
            <v>VR0030002</v>
          </cell>
          <cell r="C39" t="str">
            <v>Bắp Cải Trái Tim</v>
          </cell>
        </row>
        <row r="40">
          <cell r="B40" t="str">
            <v>VR0030003</v>
          </cell>
          <cell r="C40" t="str">
            <v>Bắp Cải Trắng</v>
          </cell>
        </row>
        <row r="41">
          <cell r="B41" t="str">
            <v>VR0030004</v>
          </cell>
          <cell r="C41" t="str">
            <v>Cải Bó Xôi</v>
          </cell>
        </row>
        <row r="42">
          <cell r="B42" t="str">
            <v>VR0030005</v>
          </cell>
          <cell r="C42" t="str">
            <v>Cải Bó Xôi Túi</v>
          </cell>
        </row>
        <row r="43">
          <cell r="B43" t="str">
            <v>VR0030006</v>
          </cell>
          <cell r="C43" t="str">
            <v>Cải Cầu Vồng</v>
          </cell>
        </row>
        <row r="44">
          <cell r="B44" t="str">
            <v>VR0030007</v>
          </cell>
          <cell r="C44" t="str">
            <v>Cải Kale</v>
          </cell>
        </row>
        <row r="45">
          <cell r="B45" t="str">
            <v>VR0030008</v>
          </cell>
          <cell r="C45" t="str">
            <v>Cải Thảo</v>
          </cell>
        </row>
        <row r="46">
          <cell r="B46" t="str">
            <v>VR0030009</v>
          </cell>
          <cell r="C46" t="str">
            <v>Cải Thảo Hỏa Tiễn</v>
          </cell>
        </row>
        <row r="47">
          <cell r="B47" t="str">
            <v>VR0030010</v>
          </cell>
          <cell r="C47" t="str">
            <v>Cải Thảo Kim Chi</v>
          </cell>
        </row>
        <row r="48">
          <cell r="B48" t="str">
            <v>VR0030011</v>
          </cell>
          <cell r="C48" t="str">
            <v>Cần Tây</v>
          </cell>
        </row>
        <row r="49">
          <cell r="B49" t="str">
            <v>VR0030012</v>
          </cell>
          <cell r="C49" t="str">
            <v>Hành Paro</v>
          </cell>
        </row>
        <row r="50">
          <cell r="B50" t="str">
            <v>VR0030013</v>
          </cell>
          <cell r="C50" t="str">
            <v>Lá É</v>
          </cell>
        </row>
        <row r="51">
          <cell r="B51" t="str">
            <v>VR0030014</v>
          </cell>
          <cell r="C51" t="str">
            <v>Lá Giang</v>
          </cell>
        </row>
        <row r="52">
          <cell r="B52" t="str">
            <v>VR0030015</v>
          </cell>
          <cell r="C52" t="str">
            <v>Lá Mè</v>
          </cell>
        </row>
        <row r="53">
          <cell r="B53" t="str">
            <v>VR0030016</v>
          </cell>
          <cell r="C53" t="str">
            <v>Lá Nha Đam</v>
          </cell>
        </row>
        <row r="54">
          <cell r="B54" t="str">
            <v>VR0030017</v>
          </cell>
          <cell r="C54" t="str">
            <v>Lá Quế Tây</v>
          </cell>
        </row>
        <row r="55">
          <cell r="B55" t="str">
            <v>VR0030018</v>
          </cell>
          <cell r="C55" t="str">
            <v>Lá Tía Tô</v>
          </cell>
        </row>
        <row r="56">
          <cell r="B56" t="str">
            <v>VR0030019</v>
          </cell>
          <cell r="C56" t="str">
            <v>Lá Hương Thảo</v>
          </cell>
        </row>
        <row r="57">
          <cell r="B57" t="str">
            <v>VR0030020</v>
          </cell>
          <cell r="C57" t="str">
            <v>Măng Tây</v>
          </cell>
        </row>
        <row r="58">
          <cell r="B58" t="str">
            <v>VR0030021</v>
          </cell>
          <cell r="C58" t="str">
            <v>Rau Bầu Đất</v>
          </cell>
        </row>
        <row r="59">
          <cell r="B59" t="str">
            <v>VR0030022</v>
          </cell>
          <cell r="C59" t="str">
            <v>Rau Cải Cúc</v>
          </cell>
        </row>
        <row r="60">
          <cell r="B60" t="str">
            <v>VR0030023</v>
          </cell>
          <cell r="C60" t="str">
            <v>Rau Diếp Cá</v>
          </cell>
        </row>
        <row r="61">
          <cell r="B61" t="str">
            <v>VR0030024</v>
          </cell>
          <cell r="C61" t="str">
            <v>Rau Húng Cay</v>
          </cell>
        </row>
        <row r="62">
          <cell r="B62" t="str">
            <v>VR0030025</v>
          </cell>
          <cell r="C62" t="str">
            <v>Rau Húng Lủi</v>
          </cell>
        </row>
        <row r="63">
          <cell r="B63" t="str">
            <v>VR0030026</v>
          </cell>
          <cell r="C63" t="str">
            <v>Rau Húng Quế</v>
          </cell>
        </row>
        <row r="64">
          <cell r="B64" t="str">
            <v>VR0030027</v>
          </cell>
          <cell r="C64" t="str">
            <v>Rau Ngò Gai</v>
          </cell>
        </row>
        <row r="65">
          <cell r="B65" t="str">
            <v>VR0030028</v>
          </cell>
          <cell r="C65" t="str">
            <v>Rau Ngò Rí</v>
          </cell>
        </row>
        <row r="66">
          <cell r="B66" t="str">
            <v>VR0030029</v>
          </cell>
          <cell r="C66" t="str">
            <v>Rau Ngò Tây</v>
          </cell>
        </row>
        <row r="67">
          <cell r="B67" t="str">
            <v>VR0030030</v>
          </cell>
          <cell r="C67" t="str">
            <v>Rau Răm</v>
          </cell>
        </row>
        <row r="68">
          <cell r="B68" t="str">
            <v>VR0030031</v>
          </cell>
          <cell r="C68" t="str">
            <v>Xà Lách Carol</v>
          </cell>
        </row>
        <row r="69">
          <cell r="B69" t="str">
            <v>VR0030032</v>
          </cell>
          <cell r="C69" t="str">
            <v>Xà Lách Lolo Tím</v>
          </cell>
        </row>
        <row r="70">
          <cell r="B70" t="str">
            <v>VR0030033</v>
          </cell>
          <cell r="C70" t="str">
            <v>Xà Lách Lolo Xanh</v>
          </cell>
        </row>
        <row r="71">
          <cell r="B71" t="str">
            <v>VR0030034</v>
          </cell>
          <cell r="C71" t="str">
            <v>Xà Lách Lolo Xanh T.C</v>
          </cell>
        </row>
        <row r="72">
          <cell r="B72" t="str">
            <v>VR0030035</v>
          </cell>
          <cell r="C72" t="str">
            <v>Xà Lách Lolo Xanh T.C Cây</v>
          </cell>
        </row>
        <row r="73">
          <cell r="B73" t="str">
            <v>VR0030036</v>
          </cell>
          <cell r="C73" t="str">
            <v>Xà Lách Mỡ T.C</v>
          </cell>
        </row>
        <row r="74">
          <cell r="B74" t="str">
            <v>VR0030037</v>
          </cell>
          <cell r="C74" t="str">
            <v>Xà Lách Mỡ T.C Cây</v>
          </cell>
        </row>
        <row r="75">
          <cell r="B75" t="str">
            <v>VR0030038</v>
          </cell>
          <cell r="C75" t="str">
            <v>Xà Lách Mỹ</v>
          </cell>
        </row>
        <row r="76">
          <cell r="B76" t="str">
            <v>VR0030039</v>
          </cell>
          <cell r="C76" t="str">
            <v>Xà Lách Rocket</v>
          </cell>
        </row>
        <row r="77">
          <cell r="B77" t="str">
            <v>VR0030040</v>
          </cell>
          <cell r="C77" t="str">
            <v>Xà Lách Romaine</v>
          </cell>
        </row>
        <row r="78">
          <cell r="B78" t="str">
            <v>VR0030041</v>
          </cell>
          <cell r="C78" t="str">
            <v>Xà Lách Romaine T.C</v>
          </cell>
        </row>
        <row r="79">
          <cell r="B79" t="str">
            <v>VR0030042</v>
          </cell>
          <cell r="C79" t="str">
            <v>Xà Lách Thủy Tinh T.C</v>
          </cell>
        </row>
        <row r="80">
          <cell r="B80" t="str">
            <v>VR0030043</v>
          </cell>
          <cell r="C80" t="str">
            <v>Xà Lách Thủy Tinh T.C Cây</v>
          </cell>
        </row>
        <row r="81">
          <cell r="B81" t="str">
            <v>VR0030044</v>
          </cell>
          <cell r="C81" t="str">
            <v>Xà Lách Mỡ</v>
          </cell>
        </row>
        <row r="82">
          <cell r="B82" t="str">
            <v>VR0030045</v>
          </cell>
          <cell r="C82" t="str">
            <v>Xà Lách Lolo Xanh 300Gr</v>
          </cell>
        </row>
        <row r="83">
          <cell r="B83" t="str">
            <v>VR0030046</v>
          </cell>
          <cell r="C83" t="str">
            <v>Hành Lá Thủy Canh</v>
          </cell>
        </row>
        <row r="84">
          <cell r="B84" t="str">
            <v>VR0030047</v>
          </cell>
          <cell r="C84" t="str">
            <v>Rau Thì Là</v>
          </cell>
        </row>
        <row r="85">
          <cell r="B85" t="str">
            <v>VR0030048</v>
          </cell>
          <cell r="C85" t="str">
            <v>Mít Thái Tách Múi</v>
          </cell>
        </row>
        <row r="86">
          <cell r="B86" t="str">
            <v>VR0040001</v>
          </cell>
          <cell r="C86" t="str">
            <v>Bí Đao Xanh</v>
          </cell>
        </row>
        <row r="87">
          <cell r="B87" t="str">
            <v>VR0040002</v>
          </cell>
          <cell r="C87" t="str">
            <v>Bí Đỏ Hồ Lô</v>
          </cell>
        </row>
        <row r="88">
          <cell r="B88" t="str">
            <v>VR0040003</v>
          </cell>
          <cell r="C88" t="str">
            <v>Bí Đỏ Tròn</v>
          </cell>
        </row>
        <row r="89">
          <cell r="B89" t="str">
            <v>VR0040004</v>
          </cell>
          <cell r="C89" t="str">
            <v>Bí Ngòi Vàng</v>
          </cell>
        </row>
        <row r="90">
          <cell r="B90" t="str">
            <v>VR0040005</v>
          </cell>
          <cell r="C90" t="str">
            <v>Bí Ngòi Xanh</v>
          </cell>
        </row>
        <row r="91">
          <cell r="B91" t="str">
            <v>VR0040006</v>
          </cell>
          <cell r="C91" t="str">
            <v>Cà Chua Bi Đỏ</v>
          </cell>
        </row>
        <row r="92">
          <cell r="B92" t="str">
            <v>VR0040007</v>
          </cell>
          <cell r="C92" t="str">
            <v>Bí Non Nhật</v>
          </cell>
        </row>
        <row r="93">
          <cell r="B93" t="str">
            <v>VR0040008</v>
          </cell>
          <cell r="C93" t="str">
            <v>Cà Chua Beef</v>
          </cell>
        </row>
        <row r="94">
          <cell r="B94" t="str">
            <v>VR0040009</v>
          </cell>
          <cell r="C94" t="str">
            <v>Cà Chua Beef 500Gr</v>
          </cell>
        </row>
        <row r="95">
          <cell r="B95" t="str">
            <v>VR0040010</v>
          </cell>
          <cell r="C95" t="str">
            <v>Cà Chua Beef 650Gr</v>
          </cell>
        </row>
        <row r="96">
          <cell r="B96" t="str">
            <v>VR0040011</v>
          </cell>
          <cell r="C96" t="str">
            <v>Cà Chua Beef Chùm</v>
          </cell>
        </row>
        <row r="97">
          <cell r="B97" t="str">
            <v>VR0040012</v>
          </cell>
          <cell r="C97" t="str">
            <v>Cà Chua Beef Trung</v>
          </cell>
        </row>
        <row r="98">
          <cell r="B98" t="str">
            <v>VR0040013</v>
          </cell>
          <cell r="C98" t="str">
            <v>Cà Chua Bi 300Gr</v>
          </cell>
        </row>
        <row r="99">
          <cell r="B99" t="str">
            <v>VR0040014</v>
          </cell>
          <cell r="C99" t="str">
            <v>Cà Chua Bi 500Gr</v>
          </cell>
        </row>
        <row r="100">
          <cell r="B100" t="str">
            <v>VR0040015</v>
          </cell>
          <cell r="C100" t="str">
            <v>Cà Chua Bi Mix</v>
          </cell>
        </row>
        <row r="101">
          <cell r="B101" t="str">
            <v>VR0040016</v>
          </cell>
          <cell r="C101" t="str">
            <v>Cà Chua Socola</v>
          </cell>
        </row>
        <row r="102">
          <cell r="B102" t="str">
            <v>VR0040017</v>
          </cell>
          <cell r="C102" t="str">
            <v>Cà Chua Socola 250Gr</v>
          </cell>
        </row>
        <row r="103">
          <cell r="B103" t="str">
            <v>VR0040018</v>
          </cell>
          <cell r="C103" t="str">
            <v>Cà Chua Thường</v>
          </cell>
        </row>
        <row r="104">
          <cell r="B104" t="str">
            <v>VR0040019</v>
          </cell>
          <cell r="C104" t="str">
            <v>Cà Chua Thường Trung</v>
          </cell>
        </row>
        <row r="105">
          <cell r="B105" t="str">
            <v>VR0040020</v>
          </cell>
          <cell r="C105" t="str">
            <v>Ớt Sừng Vàng</v>
          </cell>
        </row>
        <row r="106">
          <cell r="B106" t="str">
            <v>VR0040021</v>
          </cell>
          <cell r="C106" t="str">
            <v>Cà Tím</v>
          </cell>
        </row>
        <row r="107">
          <cell r="B107" t="str">
            <v>VR0040022</v>
          </cell>
          <cell r="C107" t="str">
            <v>Cà Tím Cặp 400Gr</v>
          </cell>
        </row>
        <row r="108">
          <cell r="B108" t="str">
            <v>VR0040023</v>
          </cell>
          <cell r="C108" t="str">
            <v>Chanh Không Hạt</v>
          </cell>
        </row>
        <row r="109">
          <cell r="B109" t="str">
            <v>VR0040024</v>
          </cell>
          <cell r="C109" t="str">
            <v>Đậu Bo</v>
          </cell>
        </row>
        <row r="110">
          <cell r="B110" t="str">
            <v>VR0040025</v>
          </cell>
          <cell r="C110" t="str">
            <v>Đậu Cove Trắng</v>
          </cell>
        </row>
        <row r="111">
          <cell r="B111" t="str">
            <v>VR0040026</v>
          </cell>
          <cell r="C111" t="str">
            <v>Đậu Cove Trắng 300Gr</v>
          </cell>
        </row>
        <row r="112">
          <cell r="B112" t="str">
            <v>VR0040027</v>
          </cell>
          <cell r="C112" t="str">
            <v>Đậu Cove Trắng 500Gr</v>
          </cell>
        </row>
        <row r="113">
          <cell r="B113" t="str">
            <v>VR0040028</v>
          </cell>
          <cell r="C113" t="str">
            <v>Đậu Cove Nhật 300Gr</v>
          </cell>
        </row>
        <row r="114">
          <cell r="B114" t="str">
            <v>VR0040029</v>
          </cell>
          <cell r="C114" t="str">
            <v>Đậu Cúc</v>
          </cell>
        </row>
        <row r="115">
          <cell r="B115" t="str">
            <v>VR0040030</v>
          </cell>
          <cell r="C115" t="str">
            <v>Đậu Đỏ</v>
          </cell>
        </row>
        <row r="116">
          <cell r="B116" t="str">
            <v>VR0040031</v>
          </cell>
          <cell r="C116" t="str">
            <v>Đậu Hà Lan Trái</v>
          </cell>
        </row>
        <row r="117">
          <cell r="B117" t="str">
            <v>VR0040032</v>
          </cell>
          <cell r="C117" t="str">
            <v>Đậu Ngự</v>
          </cell>
        </row>
        <row r="118">
          <cell r="B118" t="str">
            <v>VR0040033</v>
          </cell>
          <cell r="C118" t="str">
            <v>Dưa Leo Baby</v>
          </cell>
        </row>
        <row r="119">
          <cell r="B119" t="str">
            <v>VR0040034</v>
          </cell>
          <cell r="C119" t="str">
            <v>Dưa Leo Baby 500Gr</v>
          </cell>
        </row>
        <row r="120">
          <cell r="B120" t="str">
            <v>VR0040035</v>
          </cell>
          <cell r="C120" t="str">
            <v>Dưa Leo Nhật</v>
          </cell>
        </row>
        <row r="121">
          <cell r="B121" t="str">
            <v>VR0040036</v>
          </cell>
          <cell r="C121" t="str">
            <v>Dưa Leo Thường</v>
          </cell>
        </row>
        <row r="122">
          <cell r="B122" t="str">
            <v>VR0040037</v>
          </cell>
          <cell r="C122" t="str">
            <v>Dưa Leo Thường 400Gr</v>
          </cell>
        </row>
        <row r="123">
          <cell r="B123" t="str">
            <v>VR0040038</v>
          </cell>
          <cell r="C123" t="str">
            <v>Ớt Chuông Baby</v>
          </cell>
        </row>
        <row r="124">
          <cell r="B124" t="str">
            <v>VR0040039</v>
          </cell>
          <cell r="C124" t="str">
            <v>Ớt Chuông Đỏ</v>
          </cell>
        </row>
        <row r="125">
          <cell r="B125" t="str">
            <v>VR0040040</v>
          </cell>
          <cell r="C125" t="str">
            <v>Ớt Chuông Snack</v>
          </cell>
        </row>
        <row r="126">
          <cell r="B126" t="str">
            <v>VR0040041</v>
          </cell>
          <cell r="C126" t="str">
            <v>Ớt Chuông Vàng</v>
          </cell>
        </row>
        <row r="127">
          <cell r="B127" t="str">
            <v>VR0040042</v>
          </cell>
          <cell r="C127" t="str">
            <v>Ớt Chuông Xanh</v>
          </cell>
        </row>
        <row r="128">
          <cell r="B128" t="str">
            <v>VR0040043</v>
          </cell>
          <cell r="C128" t="str">
            <v>Ớt Hiểm Đỏ</v>
          </cell>
        </row>
        <row r="129">
          <cell r="B129" t="str">
            <v>VR0040044</v>
          </cell>
          <cell r="C129" t="str">
            <v>Ớt Sweet Palemo</v>
          </cell>
        </row>
        <row r="130">
          <cell r="B130" t="str">
            <v>VR0040045</v>
          </cell>
          <cell r="C130" t="str">
            <v>Ớt Sweet Palemo 300Gr</v>
          </cell>
        </row>
        <row r="131">
          <cell r="B131" t="str">
            <v>VR0040046</v>
          </cell>
          <cell r="C131" t="str">
            <v>Trái Bắp Mỹ</v>
          </cell>
        </row>
        <row r="132">
          <cell r="B132" t="str">
            <v>VR0040047</v>
          </cell>
          <cell r="C132" t="str">
            <v>Trái Chanh Vàng</v>
          </cell>
        </row>
        <row r="133">
          <cell r="B133" t="str">
            <v>VR0040048</v>
          </cell>
          <cell r="C133" t="str">
            <v>Trái Su Su</v>
          </cell>
        </row>
        <row r="134">
          <cell r="B134" t="str">
            <v>VR0040049</v>
          </cell>
          <cell r="C134" t="str">
            <v>Đậu Trắng</v>
          </cell>
        </row>
        <row r="135">
          <cell r="B135" t="str">
            <v>VR0040050</v>
          </cell>
          <cell r="C135" t="str">
            <v>Ớt Chuông Đỏ Trung</v>
          </cell>
        </row>
        <row r="136">
          <cell r="B136" t="str">
            <v>VR0040051</v>
          </cell>
          <cell r="C136" t="str">
            <v>Ớt Chuông Vàng Trung</v>
          </cell>
        </row>
        <row r="137">
          <cell r="B137" t="str">
            <v>VR0040052</v>
          </cell>
          <cell r="C137" t="str">
            <v>Ớt Chuông Xanh Trung</v>
          </cell>
        </row>
        <row r="138">
          <cell r="B138" t="str">
            <v>VR0040053</v>
          </cell>
          <cell r="C138" t="str">
            <v>Đậu Cove Nhật</v>
          </cell>
        </row>
        <row r="139">
          <cell r="B139" t="str">
            <v>VR0040054</v>
          </cell>
          <cell r="C139" t="str">
            <v>Bí Ngô Mini</v>
          </cell>
        </row>
        <row r="140">
          <cell r="B140" t="str">
            <v>VR0040055</v>
          </cell>
          <cell r="C140" t="str">
            <v>Cà Chua Bi Cam Sữa</v>
          </cell>
        </row>
        <row r="141">
          <cell r="B141" t="str">
            <v>VR0040056</v>
          </cell>
          <cell r="C141" t="str">
            <v>Trái Bầu</v>
          </cell>
        </row>
        <row r="142">
          <cell r="B142" t="str">
            <v>VR0040057</v>
          </cell>
          <cell r="C142" t="str">
            <v>Trái Khổ Qua</v>
          </cell>
        </row>
        <row r="143">
          <cell r="B143" t="str">
            <v>VR0040058</v>
          </cell>
          <cell r="C143" t="str">
            <v>Cà Chua Socola 300gr</v>
          </cell>
        </row>
        <row r="144">
          <cell r="B144" t="str">
            <v>VR0040059</v>
          </cell>
          <cell r="C144" t="str">
            <v>Quả Mướp</v>
          </cell>
        </row>
        <row r="145">
          <cell r="B145" t="str">
            <v>VR0040060</v>
          </cell>
          <cell r="C145" t="str">
            <v>Cà Tím Sọc Pha Lê</v>
          </cell>
        </row>
        <row r="146">
          <cell r="B146" t="str">
            <v>VR0040061</v>
          </cell>
          <cell r="C146" t="str">
            <v>Ớt Sừng Đỏ</v>
          </cell>
        </row>
        <row r="147">
          <cell r="B147" t="str">
            <v>VR0040062</v>
          </cell>
          <cell r="C147" t="str">
            <v>Trái Đậu Bắp</v>
          </cell>
        </row>
        <row r="148">
          <cell r="B148" t="str">
            <v>VR0040063</v>
          </cell>
          <cell r="C148" t="str">
            <v>Trái tầm bóp</v>
          </cell>
        </row>
        <row r="149">
          <cell r="B149" t="str">
            <v>VR0050001</v>
          </cell>
          <cell r="C149" t="str">
            <v>Chuối Laba</v>
          </cell>
        </row>
        <row r="150">
          <cell r="B150" t="str">
            <v>VR0050002</v>
          </cell>
          <cell r="C150" t="str">
            <v>Trái Cóc Non</v>
          </cell>
        </row>
        <row r="151">
          <cell r="B151" t="str">
            <v>VR0050003</v>
          </cell>
          <cell r="C151" t="str">
            <v>Trái Mâm Xôi</v>
          </cell>
        </row>
        <row r="152">
          <cell r="B152" t="str">
            <v>VR0050004</v>
          </cell>
          <cell r="C152" t="str">
            <v>Trái Mít Thái</v>
          </cell>
        </row>
        <row r="153">
          <cell r="B153" t="str">
            <v>VR0050005</v>
          </cell>
          <cell r="C153" t="str">
            <v>Bơ 034 L1</v>
          </cell>
        </row>
        <row r="154">
          <cell r="B154" t="str">
            <v>VR0050006</v>
          </cell>
          <cell r="C154" t="str">
            <v>Bơ Sáp</v>
          </cell>
        </row>
        <row r="155">
          <cell r="B155" t="str">
            <v>VR0050007</v>
          </cell>
          <cell r="C155" t="str">
            <v>Bơ 034 L2</v>
          </cell>
        </row>
        <row r="156">
          <cell r="B156" t="str">
            <v>VR0050008</v>
          </cell>
          <cell r="C156" t="str">
            <v>Chanh Dây Tím</v>
          </cell>
        </row>
        <row r="157">
          <cell r="B157" t="str">
            <v>VR0050009</v>
          </cell>
          <cell r="C157" t="str">
            <v>Quả Sấu</v>
          </cell>
        </row>
        <row r="158">
          <cell r="B158" t="str">
            <v>VR0050010</v>
          </cell>
          <cell r="C158" t="str">
            <v>Bơ Booth</v>
          </cell>
        </row>
        <row r="159">
          <cell r="B159" t="str">
            <v>VR0050011</v>
          </cell>
          <cell r="C159" t="str">
            <v>Lê Tai Nung</v>
          </cell>
        </row>
        <row r="160">
          <cell r="B160" t="str">
            <v>VR0050012</v>
          </cell>
          <cell r="C160" t="str">
            <v>Mận Hậu</v>
          </cell>
        </row>
        <row r="161">
          <cell r="B161" t="str">
            <v>VR0050013</v>
          </cell>
          <cell r="C161" t="str">
            <v>Hạt Dẻ Tươi</v>
          </cell>
        </row>
        <row r="162">
          <cell r="B162" t="str">
            <v>VR0050015</v>
          </cell>
          <cell r="C162" t="str">
            <v>Ổi Găng</v>
          </cell>
        </row>
        <row r="163">
          <cell r="B163" t="str">
            <v>VR0050016</v>
          </cell>
          <cell r="C163" t="str">
            <v>Hồng Giòn Đà Lạt</v>
          </cell>
        </row>
        <row r="164">
          <cell r="B164" t="str">
            <v>VR0050017</v>
          </cell>
          <cell r="C164" t="str">
            <v>Quả Dứa</v>
          </cell>
        </row>
        <row r="165">
          <cell r="B165" t="str">
            <v>VR0050018</v>
          </cell>
          <cell r="C165" t="str">
            <v>Hồng Vuông Đà Lạt</v>
          </cell>
        </row>
        <row r="166">
          <cell r="B166" t="str">
            <v>VR0050019</v>
          </cell>
          <cell r="C166" t="str">
            <v>Hồng Trứng Đà Lạt</v>
          </cell>
        </row>
        <row r="167">
          <cell r="B167" t="str">
            <v>VR0050020</v>
          </cell>
          <cell r="C167" t="str">
            <v>Trái Cam Vinh</v>
          </cell>
        </row>
        <row r="168">
          <cell r="B168" t="str">
            <v>VR0050021</v>
          </cell>
          <cell r="C168" t="str">
            <v>Trái Sake</v>
          </cell>
        </row>
        <row r="169">
          <cell r="B169" t="str">
            <v>VR0050022</v>
          </cell>
          <cell r="C169" t="str">
            <v>Hồng Fuji</v>
          </cell>
        </row>
        <row r="170">
          <cell r="B170" t="str">
            <v>VR0050023</v>
          </cell>
          <cell r="C170" t="str">
            <v>Hồng Fuji L2</v>
          </cell>
        </row>
        <row r="171">
          <cell r="B171" t="str">
            <v>VR0050024</v>
          </cell>
          <cell r="C171" t="str">
            <v>Dâu Tây Đà Lạt</v>
          </cell>
        </row>
        <row r="172">
          <cell r="B172" t="str">
            <v>VR0060001</v>
          </cell>
          <cell r="C172" t="str">
            <v>Hoa Chuông</v>
          </cell>
        </row>
        <row r="173">
          <cell r="B173" t="str">
            <v>VR0060002</v>
          </cell>
          <cell r="C173" t="str">
            <v>Hoa Cúc Bó 5 Cành</v>
          </cell>
        </row>
        <row r="174">
          <cell r="B174" t="str">
            <v>VR0060003</v>
          </cell>
          <cell r="C174" t="str">
            <v>Hoa Cúc Tana</v>
          </cell>
        </row>
        <row r="175">
          <cell r="B175" t="str">
            <v>VR0060004</v>
          </cell>
          <cell r="C175" t="str">
            <v>Hoa Đồng Tiền</v>
          </cell>
        </row>
        <row r="176">
          <cell r="B176" t="str">
            <v>VR0060005</v>
          </cell>
          <cell r="C176" t="str">
            <v>Hoa Hồng</v>
          </cell>
        </row>
        <row r="177">
          <cell r="B177" t="str">
            <v>VR0060006</v>
          </cell>
          <cell r="C177" t="str">
            <v>Hoa Lay Ơn</v>
          </cell>
        </row>
        <row r="178">
          <cell r="B178" t="str">
            <v>VR0060007</v>
          </cell>
          <cell r="C178" t="str">
            <v>Hoa Loa Kèn</v>
          </cell>
        </row>
        <row r="179">
          <cell r="B179" t="str">
            <v>VR0060008</v>
          </cell>
          <cell r="C179" t="str">
            <v>Hoa Ly Vàng</v>
          </cell>
        </row>
        <row r="180">
          <cell r="B180" t="str">
            <v>VR0060009</v>
          </cell>
          <cell r="C180" t="str">
            <v>Hoa Phăng</v>
          </cell>
        </row>
        <row r="181">
          <cell r="B181" t="str">
            <v>VR0060010</v>
          </cell>
          <cell r="C181" t="str">
            <v>Hoa Sen Quan Âm</v>
          </cell>
        </row>
        <row r="182">
          <cell r="B182" t="str">
            <v>VR0060011</v>
          </cell>
          <cell r="C182" t="str">
            <v>Hoa Sen Super</v>
          </cell>
        </row>
        <row r="183">
          <cell r="B183" t="str">
            <v>VR0070001</v>
          </cell>
          <cell r="C183" t="str">
            <v>Chậu Cây Cần Tây</v>
          </cell>
        </row>
        <row r="184">
          <cell r="B184" t="str">
            <v>VR0070002</v>
          </cell>
          <cell r="C184" t="str">
            <v>Chậu Cây Chocomin</v>
          </cell>
        </row>
        <row r="185">
          <cell r="B185" t="str">
            <v>VR0070003</v>
          </cell>
          <cell r="C185" t="str">
            <v>Chậu Cây Bạc Hà</v>
          </cell>
        </row>
        <row r="186">
          <cell r="B186" t="str">
            <v>VR0070004</v>
          </cell>
          <cell r="C186" t="str">
            <v>Chậu Cây Hương Thảo</v>
          </cell>
        </row>
        <row r="187">
          <cell r="B187" t="str">
            <v>VR0070005</v>
          </cell>
          <cell r="C187" t="str">
            <v>Chậu Cây Ớt Chuông</v>
          </cell>
        </row>
        <row r="188">
          <cell r="B188" t="str">
            <v>VR0070006</v>
          </cell>
          <cell r="C188" t="str">
            <v>Chậu Cây Ớt Các Loại</v>
          </cell>
        </row>
        <row r="189">
          <cell r="B189" t="str">
            <v>VRDG0001</v>
          </cell>
          <cell r="C189" t="str">
            <v>Ớt Chuông Ba Màu Vỉ 350gr</v>
          </cell>
        </row>
        <row r="190">
          <cell r="B190" t="str">
            <v>VRDG0002</v>
          </cell>
          <cell r="C190" t="str">
            <v>Bí Đao Xanh Trái 400gr</v>
          </cell>
        </row>
        <row r="191">
          <cell r="B191" t="str">
            <v>VRDG0003</v>
          </cell>
          <cell r="C191" t="str">
            <v>Bí Ngô Mini Trái 250gr</v>
          </cell>
        </row>
        <row r="192">
          <cell r="B192" t="str">
            <v>VRDG0004</v>
          </cell>
          <cell r="C192" t="str">
            <v>Bí Ngòi Xanh Trái 250gr</v>
          </cell>
        </row>
        <row r="193">
          <cell r="B193" t="str">
            <v>VRDG0005</v>
          </cell>
          <cell r="C193" t="str">
            <v>Bí Non Nhật Trái 300gr</v>
          </cell>
        </row>
        <row r="194">
          <cell r="B194" t="str">
            <v>VRDG0006</v>
          </cell>
          <cell r="C194" t="str">
            <v>Bông Bí Nụ Vỉ 300gr</v>
          </cell>
        </row>
        <row r="195">
          <cell r="B195" t="str">
            <v>VRDG0007</v>
          </cell>
          <cell r="C195" t="str">
            <v>Bông Cải Xanh Baby Vỉ 200gr</v>
          </cell>
        </row>
        <row r="196">
          <cell r="B196" t="str">
            <v>VRDG0008</v>
          </cell>
          <cell r="C196" t="str">
            <v>Cà Chua Beef Vỉ 500gr</v>
          </cell>
        </row>
        <row r="197">
          <cell r="B197" t="str">
            <v>VRDG0009</v>
          </cell>
          <cell r="C197" t="str">
            <v>Cà Chua Beef Vỉ 650gr</v>
          </cell>
        </row>
        <row r="198">
          <cell r="B198" t="str">
            <v>VRDG0010</v>
          </cell>
          <cell r="C198" t="str">
            <v>Cà Chua Bi Mix Hộp 300gr</v>
          </cell>
        </row>
        <row r="199">
          <cell r="B199" t="str">
            <v>VRDG0011</v>
          </cell>
          <cell r="C199" t="str">
            <v>Cà Chua Socola Hộp 250gr</v>
          </cell>
        </row>
        <row r="200">
          <cell r="B200" t="str">
            <v>VRDG0012</v>
          </cell>
          <cell r="C200" t="str">
            <v>Cà Chua Vỉ 400gr</v>
          </cell>
        </row>
        <row r="201">
          <cell r="B201" t="str">
            <v>VRDG0013</v>
          </cell>
          <cell r="C201" t="str">
            <v>Cà Chua Túi 1kg</v>
          </cell>
        </row>
        <row r="202">
          <cell r="B202" t="str">
            <v>VRDG0014</v>
          </cell>
          <cell r="C202" t="str">
            <v>Cà Rốt Túi 500gr</v>
          </cell>
        </row>
        <row r="203">
          <cell r="B203" t="str">
            <v>VRDG0015</v>
          </cell>
          <cell r="C203" t="str">
            <v>Cà Rốt Baby Vỉ 200gr</v>
          </cell>
        </row>
        <row r="204">
          <cell r="B204" t="str">
            <v>VRDG0016</v>
          </cell>
          <cell r="C204" t="str">
            <v>Cải Bó Xôi Túi 300gr</v>
          </cell>
        </row>
        <row r="205">
          <cell r="B205" t="str">
            <v>VRDG0017</v>
          </cell>
          <cell r="C205" t="str">
            <v>Cải Cầu Vồng Túi 300gr</v>
          </cell>
        </row>
        <row r="206">
          <cell r="B206" t="str">
            <v>VRDG0018</v>
          </cell>
          <cell r="C206" t="str">
            <v>Cải Kale Túi 300gr</v>
          </cell>
        </row>
        <row r="207">
          <cell r="B207" t="str">
            <v>VRDG0020</v>
          </cell>
          <cell r="C207" t="str">
            <v>Cần Tây Cây 500gr</v>
          </cell>
        </row>
        <row r="208">
          <cell r="B208" t="str">
            <v>VRDG0021</v>
          </cell>
          <cell r="C208" t="str">
            <v>Củ Cải Đỏ Hộp 300gr</v>
          </cell>
        </row>
        <row r="209">
          <cell r="B209" t="str">
            <v>VRDG0023</v>
          </cell>
          <cell r="C209" t="str">
            <v>Củ Hành Tây Tím Túi 300gr</v>
          </cell>
        </row>
        <row r="210">
          <cell r="B210" t="str">
            <v>VRDG0024</v>
          </cell>
          <cell r="C210" t="str">
            <v>Củ Hành Tây Trung túi 300gr</v>
          </cell>
        </row>
        <row r="211">
          <cell r="B211" t="str">
            <v>VRDG0025</v>
          </cell>
          <cell r="C211" t="str">
            <v>Củ Khoai Lang Mật Túi 500gr</v>
          </cell>
        </row>
        <row r="212">
          <cell r="B212" t="str">
            <v>VRDG0027</v>
          </cell>
          <cell r="C212" t="str">
            <v>Củ Khoai Lang Nhật Túi 1kg</v>
          </cell>
        </row>
        <row r="213">
          <cell r="B213" t="str">
            <v>VRDG0028</v>
          </cell>
          <cell r="C213" t="str">
            <v>Củ Khoai Tây Bi Vàng Túi 500gr</v>
          </cell>
        </row>
        <row r="214">
          <cell r="B214" t="str">
            <v>VRDG0030</v>
          </cell>
          <cell r="C214" t="str">
            <v>Củ Khoai Tây Vàng Trung Túi 500gr</v>
          </cell>
        </row>
        <row r="215">
          <cell r="B215" t="str">
            <v>VRDG0031</v>
          </cell>
          <cell r="C215" t="str">
            <v>Đậu Cove Nhật Túi 300gr</v>
          </cell>
        </row>
        <row r="216">
          <cell r="B216" t="str">
            <v>VRDG0032</v>
          </cell>
          <cell r="C216" t="str">
            <v>Dưa Leo Baby Vỉ 500gr</v>
          </cell>
        </row>
        <row r="217">
          <cell r="B217" t="str">
            <v>VRDG0033</v>
          </cell>
          <cell r="C217" t="str">
            <v>Dưa Leo Nhật Túi 600gr</v>
          </cell>
        </row>
        <row r="218">
          <cell r="B218" t="str">
            <v>VRDG0034</v>
          </cell>
          <cell r="C218" t="str">
            <v>Hành Paro Cây 150gr</v>
          </cell>
        </row>
        <row r="219">
          <cell r="B219" t="str">
            <v>VRDG0035</v>
          </cell>
          <cell r="C219" t="str">
            <v>Lá É Túi 300gr</v>
          </cell>
        </row>
        <row r="220">
          <cell r="B220" t="str">
            <v>VRDG0037</v>
          </cell>
          <cell r="C220" t="str">
            <v>Lá Mè Túi 50gr</v>
          </cell>
        </row>
        <row r="221">
          <cell r="B221" t="str">
            <v>VRDG0038</v>
          </cell>
          <cell r="C221" t="str">
            <v>Lá Quế Tây Túi 50gr</v>
          </cell>
        </row>
        <row r="222">
          <cell r="B222" t="str">
            <v>VRDG0039</v>
          </cell>
          <cell r="C222" t="str">
            <v>Lá Tía Tô Túi 50gr</v>
          </cell>
        </row>
        <row r="223">
          <cell r="B223" t="str">
            <v>VRDG0040</v>
          </cell>
          <cell r="C223" t="str">
            <v>Lá Xạ Hương Thyme Túi 50gr</v>
          </cell>
        </row>
        <row r="224">
          <cell r="B224" t="str">
            <v>VRDG0041</v>
          </cell>
          <cell r="C224" t="str">
            <v>Măng Tây Bó 300gr</v>
          </cell>
        </row>
        <row r="225">
          <cell r="B225" t="str">
            <v>VRDG0042</v>
          </cell>
          <cell r="C225" t="str">
            <v>Ớt Chuông Baby Vỉ 250gr</v>
          </cell>
        </row>
        <row r="226">
          <cell r="B226" t="str">
            <v>VRDG0043</v>
          </cell>
          <cell r="C226" t="str">
            <v>Ớt Chuông Đỏ Trái 150gr</v>
          </cell>
        </row>
        <row r="227">
          <cell r="B227" t="str">
            <v>VRDG0044</v>
          </cell>
          <cell r="C227" t="str">
            <v>Ớt Chuông Snack Hộp 150gr</v>
          </cell>
        </row>
        <row r="228">
          <cell r="B228" t="str">
            <v>VRDG0045</v>
          </cell>
          <cell r="C228" t="str">
            <v>Ớt Chuông Vàng Trái 150gr</v>
          </cell>
        </row>
        <row r="229">
          <cell r="B229" t="str">
            <v>VRDG0046</v>
          </cell>
          <cell r="C229" t="str">
            <v>Ớt Chuông Xanh Trái 150gr</v>
          </cell>
        </row>
        <row r="230">
          <cell r="B230" t="str">
            <v>VRDG0047</v>
          </cell>
          <cell r="C230" t="str">
            <v>Ớt Sweet Palemo Túi 300gr</v>
          </cell>
        </row>
        <row r="231">
          <cell r="B231" t="str">
            <v>VRDG0048</v>
          </cell>
          <cell r="C231" t="str">
            <v>Rau Bầu Đất Túi 300gr</v>
          </cell>
        </row>
        <row r="232">
          <cell r="B232" t="str">
            <v>VRDG0049</v>
          </cell>
          <cell r="C232" t="str">
            <v>Rau Cải Cúc Túi 500gr</v>
          </cell>
        </row>
        <row r="233">
          <cell r="B233" t="str">
            <v>VRDG0051</v>
          </cell>
          <cell r="C233" t="str">
            <v>Rau Húng Cay Túi 50gr</v>
          </cell>
        </row>
        <row r="234">
          <cell r="B234" t="str">
            <v>VRDG0052</v>
          </cell>
          <cell r="C234" t="str">
            <v>Rau Húng Lủi Túi 50gr</v>
          </cell>
        </row>
        <row r="235">
          <cell r="B235" t="str">
            <v>VRDG0053</v>
          </cell>
          <cell r="C235" t="str">
            <v>Rau Húng Quế Túi 50gr</v>
          </cell>
        </row>
        <row r="236">
          <cell r="B236" t="str">
            <v>VRDG0054</v>
          </cell>
          <cell r="C236" t="str">
            <v>Rau Ngò Gai Túi 50gr</v>
          </cell>
        </row>
        <row r="237">
          <cell r="B237" t="str">
            <v>VRDG0055</v>
          </cell>
          <cell r="C237" t="str">
            <v>Rau Ngò Rí Túi 50gr</v>
          </cell>
        </row>
        <row r="238">
          <cell r="B238" t="str">
            <v>VRDG0056</v>
          </cell>
          <cell r="C238" t="str">
            <v>Rau Ngò Tây Túi 50gr</v>
          </cell>
        </row>
        <row r="239">
          <cell r="B239" t="str">
            <v>VRDG0057</v>
          </cell>
          <cell r="C239" t="str">
            <v>Rau Răm Túi 50gr</v>
          </cell>
        </row>
        <row r="240">
          <cell r="B240" t="str">
            <v>VRDG0058</v>
          </cell>
          <cell r="C240" t="str">
            <v>Trái Chanh Vàng 150gr</v>
          </cell>
        </row>
        <row r="241">
          <cell r="B241" t="str">
            <v>VRDG0059</v>
          </cell>
          <cell r="C241" t="str">
            <v>Trái Chanh Vàng 180gr</v>
          </cell>
        </row>
        <row r="242">
          <cell r="B242" t="str">
            <v>VRDG0061</v>
          </cell>
          <cell r="C242" t="str">
            <v>Xà Lách Romaine Túi 300gr</v>
          </cell>
        </row>
        <row r="243">
          <cell r="B243" t="str">
            <v>VRDG0062</v>
          </cell>
          <cell r="C243" t="str">
            <v>Cà Chua Bi Xá</v>
          </cell>
        </row>
        <row r="244">
          <cell r="B244" t="str">
            <v>VRDG0063</v>
          </cell>
          <cell r="C244" t="str">
            <v>Ớt Chuông Ba Màu</v>
          </cell>
        </row>
        <row r="245">
          <cell r="B245" t="str">
            <v>VRDG0064</v>
          </cell>
          <cell r="C245" t="str">
            <v>Cóc Non Gọt Sẵn Vỉ 200gr</v>
          </cell>
        </row>
        <row r="246">
          <cell r="B246" t="str">
            <v>VRDG0065</v>
          </cell>
          <cell r="C246" t="str">
            <v>Củ Đậu Cắt Sẵn Vỉ 400gr</v>
          </cell>
        </row>
        <row r="247">
          <cell r="B247" t="str">
            <v>VRDG0066</v>
          </cell>
          <cell r="C247" t="str">
            <v>Đậu Tươi Hỗn Hợp Túi 100gr</v>
          </cell>
        </row>
        <row r="248">
          <cell r="B248" t="str">
            <v>VRDG0067</v>
          </cell>
          <cell r="C248" t="str">
            <v>Xà Lách Rocket Túi 200gr</v>
          </cell>
        </row>
        <row r="249">
          <cell r="B249" t="str">
            <v>VRDG0068</v>
          </cell>
          <cell r="C249" t="str">
            <v>Nguyên Liệu Cơm Chiên Dương Châu Túi 150gr</v>
          </cell>
        </row>
        <row r="250">
          <cell r="B250" t="str">
            <v>VRDG0069</v>
          </cell>
          <cell r="C250" t="str">
            <v>Cải Kale Túi 150gr</v>
          </cell>
        </row>
        <row r="251">
          <cell r="B251" t="str">
            <v>VRDG0070</v>
          </cell>
          <cell r="C251" t="str">
            <v>Ngô Ngọt Cặp</v>
          </cell>
        </row>
        <row r="252">
          <cell r="B252" t="str">
            <v>VRDG0072</v>
          </cell>
          <cell r="C252" t="str">
            <v>Set Rau Salad</v>
          </cell>
        </row>
        <row r="253">
          <cell r="B253" t="str">
            <v>VRDG0073</v>
          </cell>
          <cell r="C253" t="str">
            <v>Củ Khoai Tây Vàng Túi 1Kg</v>
          </cell>
        </row>
        <row r="254">
          <cell r="B254" t="str">
            <v>VRDG0074</v>
          </cell>
          <cell r="C254" t="str">
            <v>Củ Dền Túi 500gr</v>
          </cell>
        </row>
        <row r="255">
          <cell r="B255" t="str">
            <v>VRDG0075</v>
          </cell>
          <cell r="C255" t="str">
            <v>Xà Lách Lolo Tím Túi 300gr</v>
          </cell>
        </row>
        <row r="256">
          <cell r="B256" t="str">
            <v>VRDG0076</v>
          </cell>
          <cell r="C256" t="str">
            <v>Củ Dền Túi 600gr</v>
          </cell>
        </row>
        <row r="257">
          <cell r="B257" t="str">
            <v>VRDG0077</v>
          </cell>
          <cell r="C257" t="str">
            <v>Củ Khoai Tây Vàng Túi 500gr</v>
          </cell>
        </row>
        <row r="258">
          <cell r="B258" t="str">
            <v>VRDG0106</v>
          </cell>
          <cell r="C258" t="str">
            <v>Bí Mini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74"/>
  <sheetViews>
    <sheetView topLeftCell="A269" workbookViewId="0">
      <selection activeCell="D674" sqref="D674"/>
    </sheetView>
  </sheetViews>
  <sheetFormatPr defaultRowHeight="15" x14ac:dyDescent="0.25"/>
  <cols>
    <col min="1" max="1" width="34.140625" customWidth="1"/>
    <col min="2" max="2" width="10.28515625" customWidth="1"/>
    <col min="3" max="3" width="16.42578125" customWidth="1"/>
    <col min="4" max="4" width="20.42578125" customWidth="1"/>
  </cols>
  <sheetData>
    <row r="1" spans="1:4" x14ac:dyDescent="0.25">
      <c r="A1" s="1" t="s">
        <v>367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6"/>
      <c r="C3" s="6"/>
      <c r="D3" s="7">
        <f>B3*C3</f>
        <v>0</v>
      </c>
    </row>
    <row r="4" spans="1:4" ht="18.75" hidden="1" x14ac:dyDescent="0.25">
      <c r="A4" s="8" t="s">
        <v>3</v>
      </c>
      <c r="B4" s="6"/>
      <c r="C4" s="6"/>
      <c r="D4" s="7">
        <f t="shared" ref="D4:D67" si="0">B4*C4</f>
        <v>0</v>
      </c>
    </row>
    <row r="5" spans="1:4" ht="18.75" hidden="1" x14ac:dyDescent="0.25">
      <c r="A5" s="5" t="s">
        <v>4</v>
      </c>
      <c r="B5" s="6"/>
      <c r="C5" s="6"/>
      <c r="D5" s="7">
        <f t="shared" si="0"/>
        <v>0</v>
      </c>
    </row>
    <row r="6" spans="1:4" ht="18.75" hidden="1" x14ac:dyDescent="0.25">
      <c r="A6" s="5" t="s">
        <v>5</v>
      </c>
      <c r="B6" s="6"/>
      <c r="C6" s="6"/>
      <c r="D6" s="7">
        <f t="shared" si="0"/>
        <v>0</v>
      </c>
    </row>
    <row r="7" spans="1:4" ht="18.75" hidden="1" x14ac:dyDescent="0.25">
      <c r="A7" s="9" t="s">
        <v>6</v>
      </c>
      <c r="B7" s="6"/>
      <c r="C7" s="6"/>
      <c r="D7" s="7">
        <f t="shared" si="0"/>
        <v>0</v>
      </c>
    </row>
    <row r="8" spans="1:4" ht="18.75" hidden="1" x14ac:dyDescent="0.25">
      <c r="A8" s="10" t="s">
        <v>7</v>
      </c>
      <c r="B8" s="6"/>
      <c r="C8" s="6"/>
      <c r="D8" s="7">
        <f t="shared" si="0"/>
        <v>0</v>
      </c>
    </row>
    <row r="9" spans="1:4" ht="18.75" hidden="1" x14ac:dyDescent="0.25">
      <c r="A9" s="5" t="s">
        <v>8</v>
      </c>
      <c r="B9" s="6"/>
      <c r="C9" s="6"/>
      <c r="D9" s="7">
        <f t="shared" si="0"/>
        <v>0</v>
      </c>
    </row>
    <row r="10" spans="1:4" ht="18.75" hidden="1" x14ac:dyDescent="0.25">
      <c r="A10" s="5" t="s">
        <v>9</v>
      </c>
      <c r="B10" s="6"/>
      <c r="C10" s="6"/>
      <c r="D10" s="7">
        <f t="shared" si="0"/>
        <v>0</v>
      </c>
    </row>
    <row r="11" spans="1:4" ht="18.75" hidden="1" x14ac:dyDescent="0.25">
      <c r="A11" s="11" t="s">
        <v>10</v>
      </c>
      <c r="B11" s="6"/>
      <c r="C11" s="6"/>
      <c r="D11" s="7">
        <f t="shared" si="0"/>
        <v>0</v>
      </c>
    </row>
    <row r="12" spans="1:4" ht="18.75" hidden="1" x14ac:dyDescent="0.25">
      <c r="A12" s="9" t="s">
        <v>11</v>
      </c>
      <c r="B12" s="6"/>
      <c r="C12" s="6"/>
      <c r="D12" s="7">
        <f t="shared" si="0"/>
        <v>0</v>
      </c>
    </row>
    <row r="13" spans="1:4" ht="18.75" hidden="1" x14ac:dyDescent="0.25">
      <c r="A13" s="9" t="s">
        <v>12</v>
      </c>
      <c r="B13" s="6"/>
      <c r="C13" s="6"/>
      <c r="D13" s="7">
        <f t="shared" si="0"/>
        <v>0</v>
      </c>
    </row>
    <row r="14" spans="1:4" ht="18.75" hidden="1" x14ac:dyDescent="0.25">
      <c r="A14" s="12" t="s">
        <v>13</v>
      </c>
      <c r="B14" s="6"/>
      <c r="C14" s="6"/>
      <c r="D14" s="7">
        <f t="shared" si="0"/>
        <v>0</v>
      </c>
    </row>
    <row r="15" spans="1:4" ht="18.75" x14ac:dyDescent="0.25">
      <c r="A15" s="12" t="s">
        <v>14</v>
      </c>
      <c r="B15" s="6">
        <f>5+11+10</f>
        <v>26</v>
      </c>
      <c r="C15" s="6">
        <v>13000</v>
      </c>
      <c r="D15" s="7">
        <f t="shared" si="0"/>
        <v>338000</v>
      </c>
    </row>
    <row r="16" spans="1:4" ht="18.75" hidden="1" x14ac:dyDescent="0.25">
      <c r="A16" s="9" t="s">
        <v>15</v>
      </c>
      <c r="B16" s="6"/>
      <c r="C16" s="6"/>
      <c r="D16" s="7">
        <f t="shared" si="0"/>
        <v>0</v>
      </c>
    </row>
    <row r="17" spans="1:4" ht="18.75" hidden="1" x14ac:dyDescent="0.25">
      <c r="A17" s="9" t="s">
        <v>16</v>
      </c>
      <c r="B17" s="6"/>
      <c r="C17" s="6"/>
      <c r="D17" s="7">
        <f t="shared" si="0"/>
        <v>0</v>
      </c>
    </row>
    <row r="18" spans="1:4" ht="18.75" x14ac:dyDescent="0.25">
      <c r="A18" s="13" t="s">
        <v>17</v>
      </c>
      <c r="B18" s="6">
        <v>42</v>
      </c>
      <c r="C18" s="6">
        <v>4000</v>
      </c>
      <c r="D18" s="7">
        <f t="shared" si="0"/>
        <v>168000</v>
      </c>
    </row>
    <row r="19" spans="1:4" ht="18.75" hidden="1" x14ac:dyDescent="0.25">
      <c r="A19" s="11" t="s">
        <v>18</v>
      </c>
      <c r="B19" s="6"/>
      <c r="C19" s="14"/>
      <c r="D19" s="7">
        <f t="shared" si="0"/>
        <v>0</v>
      </c>
    </row>
    <row r="20" spans="1:4" ht="18.75" x14ac:dyDescent="0.25">
      <c r="A20" s="9" t="s">
        <v>19</v>
      </c>
      <c r="B20" s="6">
        <v>1500</v>
      </c>
      <c r="C20" s="6">
        <v>12000</v>
      </c>
      <c r="D20" s="7">
        <f t="shared" si="0"/>
        <v>18000000</v>
      </c>
    </row>
    <row r="21" spans="1:4" ht="18.75" hidden="1" x14ac:dyDescent="0.25">
      <c r="A21" s="12" t="s">
        <v>20</v>
      </c>
      <c r="B21" s="6"/>
      <c r="C21" s="6"/>
      <c r="D21" s="7">
        <f t="shared" si="0"/>
        <v>0</v>
      </c>
    </row>
    <row r="22" spans="1:4" ht="18.75" hidden="1" x14ac:dyDescent="0.25">
      <c r="A22" s="12" t="s">
        <v>21</v>
      </c>
      <c r="B22" s="6"/>
      <c r="C22" s="6"/>
      <c r="D22" s="7">
        <f t="shared" si="0"/>
        <v>0</v>
      </c>
    </row>
    <row r="23" spans="1:4" ht="18.75" hidden="1" x14ac:dyDescent="0.25">
      <c r="A23" s="9" t="s">
        <v>22</v>
      </c>
      <c r="B23" s="6"/>
      <c r="C23" s="6"/>
      <c r="D23" s="7">
        <f t="shared" si="0"/>
        <v>0</v>
      </c>
    </row>
    <row r="24" spans="1:4" ht="18.75" hidden="1" x14ac:dyDescent="0.25">
      <c r="A24" s="9" t="s">
        <v>23</v>
      </c>
      <c r="B24" s="6"/>
      <c r="C24" s="6"/>
      <c r="D24" s="7">
        <f t="shared" si="0"/>
        <v>0</v>
      </c>
    </row>
    <row r="25" spans="1:4" ht="18.75" x14ac:dyDescent="0.25">
      <c r="A25" s="9" t="s">
        <v>24</v>
      </c>
      <c r="B25" s="6">
        <f>-30+30</f>
        <v>0</v>
      </c>
      <c r="C25" s="6">
        <v>12000</v>
      </c>
      <c r="D25" s="7">
        <f t="shared" si="0"/>
        <v>0</v>
      </c>
    </row>
    <row r="26" spans="1:4" ht="18.75" hidden="1" x14ac:dyDescent="0.25">
      <c r="A26" s="9" t="s">
        <v>25</v>
      </c>
      <c r="B26" s="6"/>
      <c r="C26" s="6"/>
      <c r="D26" s="7">
        <f t="shared" si="0"/>
        <v>0</v>
      </c>
    </row>
    <row r="27" spans="1:4" ht="18.75" hidden="1" x14ac:dyDescent="0.25">
      <c r="A27" s="9" t="s">
        <v>26</v>
      </c>
      <c r="B27" s="6"/>
      <c r="C27" s="6"/>
      <c r="D27" s="7">
        <f t="shared" si="0"/>
        <v>0</v>
      </c>
    </row>
    <row r="28" spans="1:4" ht="18.75" x14ac:dyDescent="0.25">
      <c r="A28" s="9" t="s">
        <v>27</v>
      </c>
      <c r="B28" s="6">
        <f>18+48+10</f>
        <v>76</v>
      </c>
      <c r="C28" s="6">
        <v>17000</v>
      </c>
      <c r="D28" s="7">
        <f t="shared" si="0"/>
        <v>1292000</v>
      </c>
    </row>
    <row r="29" spans="1:4" ht="18.75" hidden="1" x14ac:dyDescent="0.25">
      <c r="A29" s="11" t="s">
        <v>28</v>
      </c>
      <c r="B29" s="15"/>
      <c r="C29" s="15"/>
      <c r="D29" s="7">
        <f t="shared" si="0"/>
        <v>0</v>
      </c>
    </row>
    <row r="30" spans="1:4" ht="18.75" hidden="1" x14ac:dyDescent="0.25">
      <c r="A30" s="12" t="s">
        <v>29</v>
      </c>
      <c r="B30" s="6"/>
      <c r="C30" s="6"/>
      <c r="D30" s="7">
        <f t="shared" si="0"/>
        <v>0</v>
      </c>
    </row>
    <row r="31" spans="1:4" ht="18.75" hidden="1" x14ac:dyDescent="0.25">
      <c r="A31" s="11" t="s">
        <v>30</v>
      </c>
      <c r="B31" s="6"/>
      <c r="C31" s="6"/>
      <c r="D31" s="7">
        <f t="shared" si="0"/>
        <v>0</v>
      </c>
    </row>
    <row r="32" spans="1:4" ht="18.75" hidden="1" x14ac:dyDescent="0.25">
      <c r="A32" s="11" t="s">
        <v>31</v>
      </c>
      <c r="B32" s="6"/>
      <c r="C32" s="6"/>
      <c r="D32" s="7">
        <f t="shared" si="0"/>
        <v>0</v>
      </c>
    </row>
    <row r="33" spans="1:4" ht="18.75" hidden="1" x14ac:dyDescent="0.25">
      <c r="A33" s="11" t="s">
        <v>32</v>
      </c>
      <c r="B33" s="6"/>
      <c r="C33" s="6"/>
      <c r="D33" s="7">
        <f t="shared" si="0"/>
        <v>0</v>
      </c>
    </row>
    <row r="34" spans="1:4" ht="18.75" hidden="1" x14ac:dyDescent="0.25">
      <c r="A34" s="12" t="s">
        <v>33</v>
      </c>
      <c r="B34" s="6"/>
      <c r="C34" s="6"/>
      <c r="D34" s="7">
        <f t="shared" si="0"/>
        <v>0</v>
      </c>
    </row>
    <row r="35" spans="1:4" ht="18.75" hidden="1" x14ac:dyDescent="0.25">
      <c r="A35" s="11" t="s">
        <v>34</v>
      </c>
      <c r="B35" s="6"/>
      <c r="C35" s="6"/>
      <c r="D35" s="7">
        <f t="shared" si="0"/>
        <v>0</v>
      </c>
    </row>
    <row r="36" spans="1:4" ht="18.75" hidden="1" x14ac:dyDescent="0.25">
      <c r="A36" s="11" t="s">
        <v>35</v>
      </c>
      <c r="B36" s="6"/>
      <c r="C36" s="6"/>
      <c r="D36" s="7">
        <f t="shared" si="0"/>
        <v>0</v>
      </c>
    </row>
    <row r="37" spans="1:4" ht="18.75" hidden="1" x14ac:dyDescent="0.25">
      <c r="A37" s="11" t="s">
        <v>36</v>
      </c>
      <c r="B37" s="6"/>
      <c r="C37" s="6"/>
      <c r="D37" s="7">
        <f t="shared" si="0"/>
        <v>0</v>
      </c>
    </row>
    <row r="38" spans="1:4" ht="18.75" hidden="1" x14ac:dyDescent="0.25">
      <c r="A38" s="12" t="s">
        <v>37</v>
      </c>
      <c r="B38" s="6"/>
      <c r="C38" s="6"/>
      <c r="D38" s="7">
        <f t="shared" si="0"/>
        <v>0</v>
      </c>
    </row>
    <row r="39" spans="1:4" ht="18.75" hidden="1" x14ac:dyDescent="0.25">
      <c r="A39" s="9" t="s">
        <v>38</v>
      </c>
      <c r="B39" s="6"/>
      <c r="C39" s="6"/>
      <c r="D39" s="7">
        <f t="shared" si="0"/>
        <v>0</v>
      </c>
    </row>
    <row r="40" spans="1:4" ht="18.75" hidden="1" x14ac:dyDescent="0.25">
      <c r="A40" s="9" t="s">
        <v>39</v>
      </c>
      <c r="B40" s="6"/>
      <c r="C40" s="6"/>
      <c r="D40" s="7">
        <f t="shared" si="0"/>
        <v>0</v>
      </c>
    </row>
    <row r="41" spans="1:4" ht="18.75" hidden="1" x14ac:dyDescent="0.25">
      <c r="A41" s="11" t="s">
        <v>40</v>
      </c>
      <c r="B41" s="15"/>
      <c r="C41" s="15"/>
      <c r="D41" s="7">
        <f t="shared" si="0"/>
        <v>0</v>
      </c>
    </row>
    <row r="42" spans="1:4" ht="18.75" hidden="1" x14ac:dyDescent="0.25">
      <c r="A42" s="9" t="s">
        <v>41</v>
      </c>
      <c r="B42" s="6"/>
      <c r="C42" s="6"/>
      <c r="D42" s="7">
        <f t="shared" si="0"/>
        <v>0</v>
      </c>
    </row>
    <row r="43" spans="1:4" ht="18.75" hidden="1" x14ac:dyDescent="0.25">
      <c r="A43" s="9" t="s">
        <v>42</v>
      </c>
      <c r="B43" s="6"/>
      <c r="C43" s="6"/>
      <c r="D43" s="7">
        <f t="shared" si="0"/>
        <v>0</v>
      </c>
    </row>
    <row r="44" spans="1:4" ht="18.75" hidden="1" x14ac:dyDescent="0.25">
      <c r="A44" s="17" t="s">
        <v>43</v>
      </c>
      <c r="B44" s="6"/>
      <c r="C44" s="6"/>
      <c r="D44" s="7">
        <f t="shared" si="0"/>
        <v>0</v>
      </c>
    </row>
    <row r="45" spans="1:4" ht="18.75" hidden="1" x14ac:dyDescent="0.25">
      <c r="A45" s="9" t="s">
        <v>44</v>
      </c>
      <c r="B45" s="6"/>
      <c r="C45" s="6"/>
      <c r="D45" s="7">
        <f t="shared" si="0"/>
        <v>0</v>
      </c>
    </row>
    <row r="46" spans="1:4" ht="18.75" hidden="1" x14ac:dyDescent="0.25">
      <c r="A46" s="9" t="s">
        <v>45</v>
      </c>
      <c r="B46" s="6"/>
      <c r="C46" s="6"/>
      <c r="D46" s="7">
        <f t="shared" si="0"/>
        <v>0</v>
      </c>
    </row>
    <row r="47" spans="1:4" ht="18.75" hidden="1" x14ac:dyDescent="0.25">
      <c r="A47" s="9" t="s">
        <v>46</v>
      </c>
      <c r="B47" s="6"/>
      <c r="C47" s="6"/>
      <c r="D47" s="7">
        <f t="shared" si="0"/>
        <v>0</v>
      </c>
    </row>
    <row r="48" spans="1:4" ht="18.75" hidden="1" x14ac:dyDescent="0.25">
      <c r="A48" s="18" t="s">
        <v>47</v>
      </c>
      <c r="B48" s="6"/>
      <c r="C48" s="6"/>
      <c r="D48" s="7">
        <f t="shared" si="0"/>
        <v>0</v>
      </c>
    </row>
    <row r="49" spans="1:4" ht="18.75" hidden="1" x14ac:dyDescent="0.25">
      <c r="A49" s="13" t="s">
        <v>48</v>
      </c>
      <c r="B49" s="6"/>
      <c r="C49" s="6"/>
      <c r="D49" s="7">
        <f t="shared" si="0"/>
        <v>0</v>
      </c>
    </row>
    <row r="50" spans="1:4" ht="18.75" hidden="1" x14ac:dyDescent="0.25">
      <c r="A50" s="11" t="s">
        <v>49</v>
      </c>
      <c r="B50" s="6"/>
      <c r="C50" s="6"/>
      <c r="D50" s="7">
        <f t="shared" si="0"/>
        <v>0</v>
      </c>
    </row>
    <row r="51" spans="1:4" ht="18.75" hidden="1" x14ac:dyDescent="0.25">
      <c r="A51" s="13" t="s">
        <v>50</v>
      </c>
      <c r="B51" s="6"/>
      <c r="C51" s="6"/>
      <c r="D51" s="7">
        <f t="shared" si="0"/>
        <v>0</v>
      </c>
    </row>
    <row r="52" spans="1:4" ht="18.75" hidden="1" x14ac:dyDescent="0.25">
      <c r="A52" s="9" t="s">
        <v>51</v>
      </c>
      <c r="B52" s="6"/>
      <c r="C52" s="6"/>
      <c r="D52" s="7">
        <f t="shared" si="0"/>
        <v>0</v>
      </c>
    </row>
    <row r="53" spans="1:4" ht="18.75" hidden="1" x14ac:dyDescent="0.25">
      <c r="A53" s="9" t="s">
        <v>52</v>
      </c>
      <c r="B53" s="6"/>
      <c r="C53" s="6"/>
      <c r="D53" s="7">
        <f t="shared" si="0"/>
        <v>0</v>
      </c>
    </row>
    <row r="54" spans="1:4" ht="18.75" x14ac:dyDescent="0.25">
      <c r="A54" s="12" t="s">
        <v>53</v>
      </c>
      <c r="B54" s="6">
        <f>-300+400+420</f>
        <v>520</v>
      </c>
      <c r="C54" s="6">
        <v>19000</v>
      </c>
      <c r="D54" s="7">
        <f t="shared" si="0"/>
        <v>9880000</v>
      </c>
    </row>
    <row r="55" spans="1:4" ht="18.75" hidden="1" x14ac:dyDescent="0.25">
      <c r="A55" s="9" t="s">
        <v>54</v>
      </c>
      <c r="B55" s="6"/>
      <c r="C55" s="6"/>
      <c r="D55" s="7">
        <f t="shared" si="0"/>
        <v>0</v>
      </c>
    </row>
    <row r="56" spans="1:4" ht="18.75" hidden="1" x14ac:dyDescent="0.25">
      <c r="A56" s="17" t="s">
        <v>55</v>
      </c>
      <c r="B56" s="6"/>
      <c r="C56" s="6"/>
      <c r="D56" s="7">
        <f t="shared" si="0"/>
        <v>0</v>
      </c>
    </row>
    <row r="57" spans="1:4" ht="18.75" hidden="1" x14ac:dyDescent="0.25">
      <c r="A57" s="17" t="s">
        <v>56</v>
      </c>
      <c r="B57" s="6"/>
      <c r="C57" s="6"/>
      <c r="D57" s="7">
        <f t="shared" si="0"/>
        <v>0</v>
      </c>
    </row>
    <row r="58" spans="1:4" ht="18.75" hidden="1" x14ac:dyDescent="0.25">
      <c r="A58" s="17" t="s">
        <v>57</v>
      </c>
      <c r="B58" s="6"/>
      <c r="C58" s="6"/>
      <c r="D58" s="7">
        <f t="shared" si="0"/>
        <v>0</v>
      </c>
    </row>
    <row r="59" spans="1:4" ht="18.75" hidden="1" x14ac:dyDescent="0.25">
      <c r="A59" s="9" t="s">
        <v>58</v>
      </c>
      <c r="B59" s="6"/>
      <c r="C59" s="6"/>
      <c r="D59" s="7">
        <f t="shared" si="0"/>
        <v>0</v>
      </c>
    </row>
    <row r="60" spans="1:4" ht="18.75" hidden="1" x14ac:dyDescent="0.25">
      <c r="A60" s="11" t="s">
        <v>59</v>
      </c>
      <c r="B60" s="6"/>
      <c r="C60" s="6"/>
      <c r="D60" s="7">
        <f t="shared" si="0"/>
        <v>0</v>
      </c>
    </row>
    <row r="61" spans="1:4" ht="18.75" hidden="1" x14ac:dyDescent="0.25">
      <c r="A61" s="9" t="s">
        <v>60</v>
      </c>
      <c r="B61" s="6"/>
      <c r="C61" s="6"/>
      <c r="D61" s="7">
        <f t="shared" si="0"/>
        <v>0</v>
      </c>
    </row>
    <row r="62" spans="1:4" ht="18.75" hidden="1" x14ac:dyDescent="0.25">
      <c r="A62" s="18" t="s">
        <v>61</v>
      </c>
      <c r="B62" s="6"/>
      <c r="C62" s="6"/>
      <c r="D62" s="7">
        <f t="shared" si="0"/>
        <v>0</v>
      </c>
    </row>
    <row r="63" spans="1:4" ht="18.75" hidden="1" x14ac:dyDescent="0.25">
      <c r="A63" s="17" t="s">
        <v>62</v>
      </c>
      <c r="B63" s="6"/>
      <c r="C63" s="6"/>
      <c r="D63" s="7">
        <f t="shared" si="0"/>
        <v>0</v>
      </c>
    </row>
    <row r="64" spans="1:4" ht="18.75" x14ac:dyDescent="0.25">
      <c r="A64" s="9" t="s">
        <v>63</v>
      </c>
      <c r="B64" s="6">
        <v>40</v>
      </c>
      <c r="C64" s="6">
        <v>17000</v>
      </c>
      <c r="D64" s="7">
        <f t="shared" si="0"/>
        <v>680000</v>
      </c>
    </row>
    <row r="65" spans="1:4" ht="18.75" hidden="1" x14ac:dyDescent="0.25">
      <c r="A65" s="19" t="s">
        <v>64</v>
      </c>
      <c r="B65" s="6"/>
      <c r="C65" s="6"/>
      <c r="D65" s="7">
        <f t="shared" si="0"/>
        <v>0</v>
      </c>
    </row>
    <row r="66" spans="1:4" ht="18.75" hidden="1" x14ac:dyDescent="0.25">
      <c r="A66" s="9" t="s">
        <v>65</v>
      </c>
      <c r="B66" s="6"/>
      <c r="C66" s="6"/>
      <c r="D66" s="7">
        <f t="shared" si="0"/>
        <v>0</v>
      </c>
    </row>
    <row r="67" spans="1:4" ht="18.75" hidden="1" x14ac:dyDescent="0.25">
      <c r="A67" s="9" t="s">
        <v>66</v>
      </c>
      <c r="B67" s="6"/>
      <c r="C67" s="6"/>
      <c r="D67" s="7">
        <f t="shared" si="0"/>
        <v>0</v>
      </c>
    </row>
    <row r="68" spans="1:4" ht="18.75" hidden="1" x14ac:dyDescent="0.25">
      <c r="A68" s="20" t="s">
        <v>67</v>
      </c>
      <c r="B68" s="6"/>
      <c r="C68" s="6"/>
      <c r="D68" s="7">
        <f t="shared" ref="D68:D131" si="1">B68*C68</f>
        <v>0</v>
      </c>
    </row>
    <row r="69" spans="1:4" ht="18.75" hidden="1" x14ac:dyDescent="0.25">
      <c r="A69" s="12" t="s">
        <v>68</v>
      </c>
      <c r="B69" s="6"/>
      <c r="C69" s="6"/>
      <c r="D69" s="7">
        <f t="shared" si="1"/>
        <v>0</v>
      </c>
    </row>
    <row r="70" spans="1:4" ht="18.75" hidden="1" x14ac:dyDescent="0.25">
      <c r="A70" s="12" t="s">
        <v>69</v>
      </c>
      <c r="B70" s="6"/>
      <c r="C70" s="6"/>
      <c r="D70" s="7">
        <f t="shared" si="1"/>
        <v>0</v>
      </c>
    </row>
    <row r="71" spans="1:4" ht="18.75" hidden="1" x14ac:dyDescent="0.25">
      <c r="A71" s="11" t="s">
        <v>70</v>
      </c>
      <c r="B71" s="6"/>
      <c r="C71" s="6"/>
      <c r="D71" s="7">
        <f t="shared" si="1"/>
        <v>0</v>
      </c>
    </row>
    <row r="72" spans="1:4" ht="18.75" x14ac:dyDescent="0.25">
      <c r="A72" s="12" t="s">
        <v>71</v>
      </c>
      <c r="B72" s="6">
        <v>3</v>
      </c>
      <c r="C72" s="6">
        <v>9000</v>
      </c>
      <c r="D72" s="7">
        <f t="shared" si="1"/>
        <v>27000</v>
      </c>
    </row>
    <row r="73" spans="1:4" ht="18.75" hidden="1" x14ac:dyDescent="0.25">
      <c r="A73" s="12" t="s">
        <v>72</v>
      </c>
      <c r="B73" s="6"/>
      <c r="C73" s="6"/>
      <c r="D73" s="7">
        <f t="shared" si="1"/>
        <v>0</v>
      </c>
    </row>
    <row r="74" spans="1:4" ht="18.75" hidden="1" x14ac:dyDescent="0.25">
      <c r="A74" s="12" t="s">
        <v>73</v>
      </c>
      <c r="B74" s="6"/>
      <c r="C74" s="6"/>
      <c r="D74" s="7">
        <f t="shared" si="1"/>
        <v>0</v>
      </c>
    </row>
    <row r="75" spans="1:4" ht="18.75" hidden="1" x14ac:dyDescent="0.25">
      <c r="A75" s="20" t="s">
        <v>74</v>
      </c>
      <c r="B75" s="6"/>
      <c r="C75" s="6"/>
      <c r="D75" s="7">
        <f t="shared" si="1"/>
        <v>0</v>
      </c>
    </row>
    <row r="76" spans="1:4" ht="18.75" hidden="1" x14ac:dyDescent="0.25">
      <c r="A76" s="9" t="s">
        <v>75</v>
      </c>
      <c r="B76" s="6"/>
      <c r="C76" s="6"/>
      <c r="D76" s="7">
        <f t="shared" si="1"/>
        <v>0</v>
      </c>
    </row>
    <row r="77" spans="1:4" ht="18.75" hidden="1" x14ac:dyDescent="0.25">
      <c r="A77" s="9" t="s">
        <v>76</v>
      </c>
      <c r="B77" s="6"/>
      <c r="C77" s="6"/>
      <c r="D77" s="7">
        <f t="shared" si="1"/>
        <v>0</v>
      </c>
    </row>
    <row r="78" spans="1:4" ht="18.75" x14ac:dyDescent="0.25">
      <c r="A78" s="9" t="s">
        <v>77</v>
      </c>
      <c r="B78" s="6">
        <f>-100+240+25</f>
        <v>165</v>
      </c>
      <c r="C78" s="6">
        <v>28000</v>
      </c>
      <c r="D78" s="7">
        <f t="shared" si="1"/>
        <v>4620000</v>
      </c>
    </row>
    <row r="79" spans="1:4" ht="18.75" hidden="1" x14ac:dyDescent="0.25">
      <c r="A79" s="13" t="s">
        <v>78</v>
      </c>
      <c r="B79" s="6"/>
      <c r="C79" s="6"/>
      <c r="D79" s="7">
        <f t="shared" si="1"/>
        <v>0</v>
      </c>
    </row>
    <row r="80" spans="1:4" ht="18.75" x14ac:dyDescent="0.25">
      <c r="A80" s="9" t="s">
        <v>79</v>
      </c>
      <c r="B80" s="6">
        <v>85</v>
      </c>
      <c r="C80" s="6">
        <v>29000</v>
      </c>
      <c r="D80" s="7">
        <f t="shared" si="1"/>
        <v>2465000</v>
      </c>
    </row>
    <row r="81" spans="1:4" ht="18.75" x14ac:dyDescent="0.25">
      <c r="A81" s="9" t="s">
        <v>80</v>
      </c>
      <c r="B81" s="6">
        <v>25</v>
      </c>
      <c r="C81" s="6">
        <v>24000</v>
      </c>
      <c r="D81" s="7">
        <f t="shared" si="1"/>
        <v>600000</v>
      </c>
    </row>
    <row r="82" spans="1:4" ht="18.75" hidden="1" x14ac:dyDescent="0.25">
      <c r="A82" s="9" t="s">
        <v>81</v>
      </c>
      <c r="B82" s="6"/>
      <c r="C82" s="6"/>
      <c r="D82" s="7">
        <f t="shared" si="1"/>
        <v>0</v>
      </c>
    </row>
    <row r="83" spans="1:4" ht="18.75" hidden="1" x14ac:dyDescent="0.25">
      <c r="A83" s="12" t="s">
        <v>82</v>
      </c>
      <c r="B83" s="15"/>
      <c r="C83" s="15"/>
      <c r="D83" s="7">
        <f t="shared" si="1"/>
        <v>0</v>
      </c>
    </row>
    <row r="84" spans="1:4" ht="18.75" hidden="1" x14ac:dyDescent="0.25">
      <c r="A84" s="12" t="s">
        <v>83</v>
      </c>
      <c r="B84" s="15"/>
      <c r="C84" s="15"/>
      <c r="D84" s="7">
        <f t="shared" si="1"/>
        <v>0</v>
      </c>
    </row>
    <row r="85" spans="1:4" ht="18.75" hidden="1" x14ac:dyDescent="0.25">
      <c r="A85" s="12" t="s">
        <v>84</v>
      </c>
      <c r="B85" s="15"/>
      <c r="C85" s="15"/>
      <c r="D85" s="7">
        <f t="shared" si="1"/>
        <v>0</v>
      </c>
    </row>
    <row r="86" spans="1:4" ht="18.75" hidden="1" x14ac:dyDescent="0.25">
      <c r="A86" s="9" t="s">
        <v>85</v>
      </c>
      <c r="B86" s="6"/>
      <c r="C86" s="6"/>
      <c r="D86" s="7">
        <f t="shared" si="1"/>
        <v>0</v>
      </c>
    </row>
    <row r="87" spans="1:4" ht="18.75" hidden="1" x14ac:dyDescent="0.25">
      <c r="A87" s="9" t="s">
        <v>86</v>
      </c>
      <c r="B87" s="6"/>
      <c r="C87" s="6"/>
      <c r="D87" s="7">
        <f t="shared" si="1"/>
        <v>0</v>
      </c>
    </row>
    <row r="88" spans="1:4" ht="18.75" hidden="1" x14ac:dyDescent="0.25">
      <c r="A88" s="9" t="s">
        <v>87</v>
      </c>
      <c r="B88" s="6"/>
      <c r="C88" s="6"/>
      <c r="D88" s="7">
        <f t="shared" si="1"/>
        <v>0</v>
      </c>
    </row>
    <row r="89" spans="1:4" ht="18.75" hidden="1" x14ac:dyDescent="0.25">
      <c r="A89" s="9" t="s">
        <v>88</v>
      </c>
      <c r="B89" s="6"/>
      <c r="C89" s="6"/>
      <c r="D89" s="7">
        <f t="shared" si="1"/>
        <v>0</v>
      </c>
    </row>
    <row r="90" spans="1:4" ht="18.75" hidden="1" x14ac:dyDescent="0.25">
      <c r="A90" s="9" t="s">
        <v>89</v>
      </c>
      <c r="B90" s="6"/>
      <c r="C90" s="6"/>
      <c r="D90" s="7">
        <f t="shared" si="1"/>
        <v>0</v>
      </c>
    </row>
    <row r="91" spans="1:4" ht="18.75" hidden="1" x14ac:dyDescent="0.25">
      <c r="A91" s="9" t="s">
        <v>90</v>
      </c>
      <c r="B91" s="6"/>
      <c r="C91" s="6"/>
      <c r="D91" s="7">
        <f t="shared" si="1"/>
        <v>0</v>
      </c>
    </row>
    <row r="92" spans="1:4" ht="18.75" hidden="1" x14ac:dyDescent="0.25">
      <c r="A92" s="21" t="s">
        <v>91</v>
      </c>
      <c r="B92" s="6"/>
      <c r="C92" s="6"/>
      <c r="D92" s="7">
        <f t="shared" si="1"/>
        <v>0</v>
      </c>
    </row>
    <row r="93" spans="1:4" ht="18.75" hidden="1" x14ac:dyDescent="0.25">
      <c r="A93" s="21" t="s">
        <v>92</v>
      </c>
      <c r="B93" s="6"/>
      <c r="C93" s="6"/>
      <c r="D93" s="7">
        <f t="shared" si="1"/>
        <v>0</v>
      </c>
    </row>
    <row r="94" spans="1:4" ht="18.75" hidden="1" x14ac:dyDescent="0.25">
      <c r="A94" s="21" t="s">
        <v>93</v>
      </c>
      <c r="B94" s="6"/>
      <c r="C94" s="6"/>
      <c r="D94" s="7">
        <f t="shared" si="1"/>
        <v>0</v>
      </c>
    </row>
    <row r="95" spans="1:4" ht="18.75" hidden="1" x14ac:dyDescent="0.25">
      <c r="A95" s="11" t="s">
        <v>94</v>
      </c>
      <c r="B95" s="6"/>
      <c r="C95" s="6"/>
      <c r="D95" s="7">
        <f t="shared" si="1"/>
        <v>0</v>
      </c>
    </row>
    <row r="96" spans="1:4" ht="18.75" hidden="1" x14ac:dyDescent="0.25">
      <c r="A96" s="13" t="s">
        <v>95</v>
      </c>
      <c r="B96" s="6"/>
      <c r="C96" s="6"/>
      <c r="D96" s="7">
        <f t="shared" si="1"/>
        <v>0</v>
      </c>
    </row>
    <row r="97" spans="1:4" ht="18.75" hidden="1" x14ac:dyDescent="0.25">
      <c r="A97" s="9" t="s">
        <v>96</v>
      </c>
      <c r="B97" s="6"/>
      <c r="C97" s="6"/>
      <c r="D97" s="7">
        <f t="shared" si="1"/>
        <v>0</v>
      </c>
    </row>
    <row r="98" spans="1:4" ht="18.75" hidden="1" x14ac:dyDescent="0.25">
      <c r="A98" s="9" t="s">
        <v>97</v>
      </c>
      <c r="B98" s="6"/>
      <c r="C98" s="6"/>
      <c r="D98" s="7">
        <f t="shared" si="1"/>
        <v>0</v>
      </c>
    </row>
    <row r="99" spans="1:4" ht="18.75" hidden="1" x14ac:dyDescent="0.25">
      <c r="A99" s="11" t="s">
        <v>98</v>
      </c>
      <c r="B99" s="6"/>
      <c r="C99" s="6"/>
      <c r="D99" s="7">
        <f t="shared" si="1"/>
        <v>0</v>
      </c>
    </row>
    <row r="100" spans="1:4" ht="18.75" hidden="1" x14ac:dyDescent="0.25">
      <c r="A100" s="9" t="s">
        <v>99</v>
      </c>
      <c r="B100" s="15"/>
      <c r="C100" s="15"/>
      <c r="D100" s="7">
        <f t="shared" si="1"/>
        <v>0</v>
      </c>
    </row>
    <row r="101" spans="1:4" ht="18.75" hidden="1" x14ac:dyDescent="0.25">
      <c r="A101" s="11" t="s">
        <v>100</v>
      </c>
      <c r="B101" s="6"/>
      <c r="C101" s="6"/>
      <c r="D101" s="7">
        <f t="shared" si="1"/>
        <v>0</v>
      </c>
    </row>
    <row r="102" spans="1:4" ht="18.75" hidden="1" x14ac:dyDescent="0.25">
      <c r="A102" s="22" t="s">
        <v>101</v>
      </c>
      <c r="B102" s="6"/>
      <c r="C102" s="6"/>
      <c r="D102" s="7">
        <f t="shared" si="1"/>
        <v>0</v>
      </c>
    </row>
    <row r="103" spans="1:4" ht="18.75" hidden="1" x14ac:dyDescent="0.25">
      <c r="A103" s="23" t="s">
        <v>102</v>
      </c>
      <c r="B103" s="6"/>
      <c r="C103" s="6"/>
      <c r="D103" s="7">
        <f t="shared" si="1"/>
        <v>0</v>
      </c>
    </row>
    <row r="104" spans="1:4" ht="18.75" hidden="1" x14ac:dyDescent="0.25">
      <c r="A104" s="24" t="s">
        <v>103</v>
      </c>
      <c r="B104" s="6"/>
      <c r="C104" s="6"/>
      <c r="D104" s="7">
        <f t="shared" si="1"/>
        <v>0</v>
      </c>
    </row>
    <row r="105" spans="1:4" ht="18.75" hidden="1" x14ac:dyDescent="0.25">
      <c r="A105" s="17" t="s">
        <v>104</v>
      </c>
      <c r="B105" s="6"/>
      <c r="C105" s="6"/>
      <c r="D105" s="7">
        <f t="shared" si="1"/>
        <v>0</v>
      </c>
    </row>
    <row r="106" spans="1:4" ht="18.75" hidden="1" x14ac:dyDescent="0.25">
      <c r="A106" s="9" t="s">
        <v>105</v>
      </c>
      <c r="B106" s="6"/>
      <c r="C106" s="6"/>
      <c r="D106" s="7">
        <f t="shared" si="1"/>
        <v>0</v>
      </c>
    </row>
    <row r="107" spans="1:4" ht="18.75" hidden="1" x14ac:dyDescent="0.25">
      <c r="A107" s="9" t="s">
        <v>106</v>
      </c>
      <c r="B107" s="6"/>
      <c r="C107" s="6"/>
      <c r="D107" s="7">
        <f t="shared" si="1"/>
        <v>0</v>
      </c>
    </row>
    <row r="108" spans="1:4" ht="18.75" hidden="1" x14ac:dyDescent="0.25">
      <c r="A108" s="11" t="s">
        <v>107</v>
      </c>
      <c r="B108" s="6"/>
      <c r="C108" s="6"/>
      <c r="D108" s="7">
        <f t="shared" si="1"/>
        <v>0</v>
      </c>
    </row>
    <row r="109" spans="1:4" ht="18.75" hidden="1" x14ac:dyDescent="0.25">
      <c r="A109" s="25" t="s">
        <v>108</v>
      </c>
      <c r="B109" s="6"/>
      <c r="C109" s="6"/>
      <c r="D109" s="7">
        <f t="shared" si="1"/>
        <v>0</v>
      </c>
    </row>
    <row r="110" spans="1:4" ht="18.75" hidden="1" x14ac:dyDescent="0.25">
      <c r="A110" s="9" t="s">
        <v>109</v>
      </c>
      <c r="B110" s="6"/>
      <c r="C110" s="6"/>
      <c r="D110" s="7">
        <f t="shared" si="1"/>
        <v>0</v>
      </c>
    </row>
    <row r="111" spans="1:4" ht="18.75" hidden="1" x14ac:dyDescent="0.25">
      <c r="A111" s="9" t="s">
        <v>110</v>
      </c>
      <c r="B111" s="6"/>
      <c r="C111" s="6"/>
      <c r="D111" s="7">
        <f t="shared" si="1"/>
        <v>0</v>
      </c>
    </row>
    <row r="112" spans="1:4" ht="18.75" hidden="1" x14ac:dyDescent="0.25">
      <c r="A112" s="9" t="s">
        <v>111</v>
      </c>
      <c r="B112" s="6"/>
      <c r="C112" s="6"/>
      <c r="D112" s="7">
        <f t="shared" si="1"/>
        <v>0</v>
      </c>
    </row>
    <row r="113" spans="1:4" ht="18.75" hidden="1" x14ac:dyDescent="0.25">
      <c r="A113" s="9" t="s">
        <v>112</v>
      </c>
      <c r="B113" s="6"/>
      <c r="C113" s="6"/>
      <c r="D113" s="7">
        <f t="shared" si="1"/>
        <v>0</v>
      </c>
    </row>
    <row r="114" spans="1:4" ht="18.75" hidden="1" x14ac:dyDescent="0.25">
      <c r="A114" s="9" t="s">
        <v>113</v>
      </c>
      <c r="B114" s="6"/>
      <c r="C114" s="6"/>
      <c r="D114" s="7">
        <f t="shared" si="1"/>
        <v>0</v>
      </c>
    </row>
    <row r="115" spans="1:4" ht="18.75" hidden="1" x14ac:dyDescent="0.25">
      <c r="A115" s="9" t="s">
        <v>114</v>
      </c>
      <c r="B115" s="6"/>
      <c r="C115" s="6"/>
      <c r="D115" s="7">
        <f t="shared" si="1"/>
        <v>0</v>
      </c>
    </row>
    <row r="116" spans="1:4" ht="18.75" hidden="1" x14ac:dyDescent="0.25">
      <c r="A116" s="9" t="s">
        <v>115</v>
      </c>
      <c r="B116" s="6"/>
      <c r="C116" s="6"/>
      <c r="D116" s="7">
        <f t="shared" si="1"/>
        <v>0</v>
      </c>
    </row>
    <row r="117" spans="1:4" ht="18.75" hidden="1" x14ac:dyDescent="0.25">
      <c r="A117" s="9" t="s">
        <v>116</v>
      </c>
      <c r="B117" s="6"/>
      <c r="C117" s="6"/>
      <c r="D117" s="7">
        <f t="shared" si="1"/>
        <v>0</v>
      </c>
    </row>
    <row r="118" spans="1:4" ht="18.75" hidden="1" x14ac:dyDescent="0.25">
      <c r="A118" s="11" t="s">
        <v>117</v>
      </c>
      <c r="B118" s="6"/>
      <c r="C118" s="6"/>
      <c r="D118" s="7">
        <f t="shared" si="1"/>
        <v>0</v>
      </c>
    </row>
    <row r="119" spans="1:4" ht="18.75" hidden="1" x14ac:dyDescent="0.25">
      <c r="A119" s="21" t="s">
        <v>118</v>
      </c>
      <c r="B119" s="6"/>
      <c r="C119" s="6"/>
      <c r="D119" s="7">
        <f t="shared" si="1"/>
        <v>0</v>
      </c>
    </row>
    <row r="120" spans="1:4" ht="18.75" hidden="1" x14ac:dyDescent="0.25">
      <c r="A120" s="9" t="s">
        <v>119</v>
      </c>
      <c r="B120" s="6"/>
      <c r="C120" s="6"/>
      <c r="D120" s="7">
        <f t="shared" si="1"/>
        <v>0</v>
      </c>
    </row>
    <row r="121" spans="1:4" ht="18.75" hidden="1" x14ac:dyDescent="0.25">
      <c r="A121" s="11" t="s">
        <v>120</v>
      </c>
      <c r="B121" s="6"/>
      <c r="C121" s="6"/>
      <c r="D121" s="7">
        <f t="shared" si="1"/>
        <v>0</v>
      </c>
    </row>
    <row r="122" spans="1:4" ht="18.75" hidden="1" x14ac:dyDescent="0.25">
      <c r="A122" s="11" t="s">
        <v>121</v>
      </c>
      <c r="B122" s="6"/>
      <c r="C122" s="6"/>
      <c r="D122" s="7">
        <f t="shared" si="1"/>
        <v>0</v>
      </c>
    </row>
    <row r="123" spans="1:4" ht="18.75" hidden="1" x14ac:dyDescent="0.25">
      <c r="A123" s="9" t="s">
        <v>122</v>
      </c>
      <c r="B123" s="6"/>
      <c r="C123" s="6"/>
      <c r="D123" s="7">
        <f t="shared" si="1"/>
        <v>0</v>
      </c>
    </row>
    <row r="124" spans="1:4" ht="18.75" hidden="1" x14ac:dyDescent="0.25">
      <c r="A124" s="9" t="s">
        <v>123</v>
      </c>
      <c r="B124" s="6"/>
      <c r="C124" s="6"/>
      <c r="D124" s="7">
        <f t="shared" si="1"/>
        <v>0</v>
      </c>
    </row>
    <row r="125" spans="1:4" ht="18.75" hidden="1" x14ac:dyDescent="0.25">
      <c r="A125" s="10" t="s">
        <v>124</v>
      </c>
      <c r="B125" s="6"/>
      <c r="C125" s="6"/>
      <c r="D125" s="7">
        <f t="shared" si="1"/>
        <v>0</v>
      </c>
    </row>
    <row r="126" spans="1:4" ht="18.75" x14ac:dyDescent="0.25">
      <c r="A126" s="13" t="s">
        <v>125</v>
      </c>
      <c r="B126" s="6">
        <v>16</v>
      </c>
      <c r="C126" s="6">
        <v>10500</v>
      </c>
      <c r="D126" s="7">
        <f t="shared" si="1"/>
        <v>168000</v>
      </c>
    </row>
    <row r="127" spans="1:4" ht="18.75" hidden="1" x14ac:dyDescent="0.25">
      <c r="A127" s="12" t="s">
        <v>126</v>
      </c>
      <c r="B127" s="15"/>
      <c r="C127" s="15"/>
      <c r="D127" s="7">
        <f t="shared" si="1"/>
        <v>0</v>
      </c>
    </row>
    <row r="128" spans="1:4" ht="18.75" hidden="1" x14ac:dyDescent="0.25">
      <c r="A128" s="12" t="s">
        <v>127</v>
      </c>
      <c r="B128" s="15"/>
      <c r="C128" s="15"/>
      <c r="D128" s="7">
        <f t="shared" si="1"/>
        <v>0</v>
      </c>
    </row>
    <row r="129" spans="1:4" ht="18.75" hidden="1" x14ac:dyDescent="0.25">
      <c r="A129" s="12" t="s">
        <v>128</v>
      </c>
      <c r="B129" s="15"/>
      <c r="C129" s="15"/>
      <c r="D129" s="7">
        <f t="shared" si="1"/>
        <v>0</v>
      </c>
    </row>
    <row r="130" spans="1:4" ht="18.75" hidden="1" x14ac:dyDescent="0.25">
      <c r="A130" s="12" t="s">
        <v>129</v>
      </c>
      <c r="B130" s="26"/>
      <c r="C130" s="26"/>
      <c r="D130" s="7">
        <f t="shared" si="1"/>
        <v>0</v>
      </c>
    </row>
    <row r="131" spans="1:4" ht="18.75" hidden="1" x14ac:dyDescent="0.25">
      <c r="A131" s="28" t="s">
        <v>130</v>
      </c>
      <c r="B131" s="6"/>
      <c r="C131" s="6"/>
      <c r="D131" s="7">
        <f t="shared" si="1"/>
        <v>0</v>
      </c>
    </row>
    <row r="132" spans="1:4" ht="18.75" x14ac:dyDescent="0.25">
      <c r="A132" s="12" t="s">
        <v>131</v>
      </c>
      <c r="B132" s="15">
        <v>1</v>
      </c>
      <c r="C132" s="15">
        <v>16000</v>
      </c>
      <c r="D132" s="7">
        <f t="shared" ref="D132:D195" si="2">B132*C132</f>
        <v>16000</v>
      </c>
    </row>
    <row r="133" spans="1:4" ht="18.75" x14ac:dyDescent="0.25">
      <c r="A133" s="9" t="s">
        <v>132</v>
      </c>
      <c r="B133" s="6">
        <v>8</v>
      </c>
      <c r="C133" s="6">
        <v>9000</v>
      </c>
      <c r="D133" s="7">
        <f t="shared" si="2"/>
        <v>72000</v>
      </c>
    </row>
    <row r="134" spans="1:4" ht="18.75" hidden="1" x14ac:dyDescent="0.25">
      <c r="A134" s="9" t="s">
        <v>133</v>
      </c>
      <c r="B134" s="6"/>
      <c r="C134" s="6"/>
      <c r="D134" s="7">
        <f t="shared" si="2"/>
        <v>0</v>
      </c>
    </row>
    <row r="135" spans="1:4" ht="18.75" hidden="1" x14ac:dyDescent="0.25">
      <c r="A135" s="9" t="s">
        <v>134</v>
      </c>
      <c r="B135" s="6"/>
      <c r="C135" s="6"/>
      <c r="D135" s="7">
        <f t="shared" si="2"/>
        <v>0</v>
      </c>
    </row>
    <row r="136" spans="1:4" ht="18.75" hidden="1" x14ac:dyDescent="0.25">
      <c r="A136" s="9" t="s">
        <v>135</v>
      </c>
      <c r="B136" s="6"/>
      <c r="C136" s="6"/>
      <c r="D136" s="7">
        <f t="shared" si="2"/>
        <v>0</v>
      </c>
    </row>
    <row r="137" spans="1:4" ht="18.75" hidden="1" x14ac:dyDescent="0.25">
      <c r="A137" s="17" t="s">
        <v>136</v>
      </c>
      <c r="B137" s="6"/>
      <c r="C137" s="6"/>
      <c r="D137" s="7">
        <f t="shared" si="2"/>
        <v>0</v>
      </c>
    </row>
    <row r="138" spans="1:4" ht="18.75" hidden="1" x14ac:dyDescent="0.25">
      <c r="A138" s="12" t="s">
        <v>137</v>
      </c>
      <c r="B138" s="6"/>
      <c r="C138" s="6"/>
      <c r="D138" s="7">
        <f t="shared" si="2"/>
        <v>0</v>
      </c>
    </row>
    <row r="139" spans="1:4" ht="18.75" hidden="1" x14ac:dyDescent="0.25">
      <c r="A139" s="12" t="s">
        <v>138</v>
      </c>
      <c r="B139" s="6"/>
      <c r="C139" s="6"/>
      <c r="D139" s="7">
        <f t="shared" si="2"/>
        <v>0</v>
      </c>
    </row>
    <row r="140" spans="1:4" ht="18.75" hidden="1" x14ac:dyDescent="0.25">
      <c r="A140" s="9" t="s">
        <v>139</v>
      </c>
      <c r="B140" s="6"/>
      <c r="C140" s="6"/>
      <c r="D140" s="7">
        <f t="shared" si="2"/>
        <v>0</v>
      </c>
    </row>
    <row r="141" spans="1:4" ht="18.75" hidden="1" x14ac:dyDescent="0.25">
      <c r="A141" s="9" t="s">
        <v>140</v>
      </c>
      <c r="B141" s="6"/>
      <c r="C141" s="6"/>
      <c r="D141" s="7">
        <f t="shared" si="2"/>
        <v>0</v>
      </c>
    </row>
    <row r="142" spans="1:4" ht="18.75" hidden="1" x14ac:dyDescent="0.25">
      <c r="A142" s="9" t="s">
        <v>141</v>
      </c>
      <c r="B142" s="15"/>
      <c r="C142" s="15"/>
      <c r="D142" s="7">
        <f t="shared" si="2"/>
        <v>0</v>
      </c>
    </row>
    <row r="143" spans="1:4" ht="18.75" hidden="1" x14ac:dyDescent="0.25">
      <c r="A143" s="9" t="s">
        <v>142</v>
      </c>
      <c r="B143" s="15"/>
      <c r="C143" s="15"/>
      <c r="D143" s="7">
        <f t="shared" si="2"/>
        <v>0</v>
      </c>
    </row>
    <row r="144" spans="1:4" ht="18.75" hidden="1" x14ac:dyDescent="0.25">
      <c r="A144" s="9" t="s">
        <v>143</v>
      </c>
      <c r="B144" s="6"/>
      <c r="C144" s="6"/>
      <c r="D144" s="7">
        <f t="shared" si="2"/>
        <v>0</v>
      </c>
    </row>
    <row r="145" spans="1:4" ht="18.75" hidden="1" x14ac:dyDescent="0.25">
      <c r="A145" s="9" t="s">
        <v>144</v>
      </c>
      <c r="B145" s="15"/>
      <c r="C145" s="15"/>
      <c r="D145" s="7">
        <f t="shared" si="2"/>
        <v>0</v>
      </c>
    </row>
    <row r="146" spans="1:4" ht="18.75" hidden="1" x14ac:dyDescent="0.25">
      <c r="A146" s="9" t="s">
        <v>145</v>
      </c>
      <c r="B146" s="15"/>
      <c r="C146" s="15"/>
      <c r="D146" s="7">
        <f t="shared" si="2"/>
        <v>0</v>
      </c>
    </row>
    <row r="147" spans="1:4" ht="18.75" hidden="1" x14ac:dyDescent="0.25">
      <c r="A147" s="9" t="s">
        <v>146</v>
      </c>
      <c r="B147" s="15"/>
      <c r="C147" s="15"/>
      <c r="D147" s="7">
        <f t="shared" si="2"/>
        <v>0</v>
      </c>
    </row>
    <row r="148" spans="1:4" ht="18.75" hidden="1" x14ac:dyDescent="0.25">
      <c r="A148" s="9" t="s">
        <v>147</v>
      </c>
      <c r="B148" s="15"/>
      <c r="C148" s="15"/>
      <c r="D148" s="7">
        <f t="shared" si="2"/>
        <v>0</v>
      </c>
    </row>
    <row r="149" spans="1:4" ht="18.75" hidden="1" x14ac:dyDescent="0.25">
      <c r="A149" s="9" t="s">
        <v>148</v>
      </c>
      <c r="B149" s="15"/>
      <c r="C149" s="15"/>
      <c r="D149" s="7">
        <f t="shared" si="2"/>
        <v>0</v>
      </c>
    </row>
    <row r="150" spans="1:4" ht="18.75" hidden="1" x14ac:dyDescent="0.25">
      <c r="A150" s="9" t="s">
        <v>149</v>
      </c>
      <c r="B150" s="15"/>
      <c r="C150" s="15"/>
      <c r="D150" s="7">
        <f t="shared" si="2"/>
        <v>0</v>
      </c>
    </row>
    <row r="151" spans="1:4" ht="18.75" hidden="1" x14ac:dyDescent="0.25">
      <c r="A151" s="9" t="s">
        <v>150</v>
      </c>
      <c r="B151" s="15"/>
      <c r="C151" s="15"/>
      <c r="D151" s="7">
        <f t="shared" si="2"/>
        <v>0</v>
      </c>
    </row>
    <row r="152" spans="1:4" ht="18.75" hidden="1" x14ac:dyDescent="0.25">
      <c r="A152" s="9" t="s">
        <v>151</v>
      </c>
      <c r="B152" s="15"/>
      <c r="C152" s="15"/>
      <c r="D152" s="7">
        <f t="shared" si="2"/>
        <v>0</v>
      </c>
    </row>
    <row r="153" spans="1:4" ht="18.75" hidden="1" x14ac:dyDescent="0.25">
      <c r="A153" s="9" t="s">
        <v>152</v>
      </c>
      <c r="B153" s="6"/>
      <c r="C153" s="6"/>
      <c r="D153" s="7">
        <f t="shared" si="2"/>
        <v>0</v>
      </c>
    </row>
    <row r="154" spans="1:4" ht="18.75" hidden="1" x14ac:dyDescent="0.25">
      <c r="A154" s="9" t="s">
        <v>153</v>
      </c>
      <c r="B154" s="6"/>
      <c r="C154" s="6"/>
      <c r="D154" s="7">
        <f t="shared" si="2"/>
        <v>0</v>
      </c>
    </row>
    <row r="155" spans="1:4" ht="18.75" hidden="1" x14ac:dyDescent="0.25">
      <c r="A155" s="9" t="s">
        <v>154</v>
      </c>
      <c r="B155" s="6"/>
      <c r="C155" s="6"/>
      <c r="D155" s="7">
        <f t="shared" si="2"/>
        <v>0</v>
      </c>
    </row>
    <row r="156" spans="1:4" ht="18.75" x14ac:dyDescent="0.25">
      <c r="A156" s="9" t="s">
        <v>155</v>
      </c>
      <c r="B156" s="6">
        <v>8</v>
      </c>
      <c r="C156" s="6">
        <v>8000</v>
      </c>
      <c r="D156" s="7">
        <f t="shared" si="2"/>
        <v>64000</v>
      </c>
    </row>
    <row r="157" spans="1:4" ht="18.75" hidden="1" x14ac:dyDescent="0.25">
      <c r="A157" s="17" t="s">
        <v>156</v>
      </c>
      <c r="B157" s="6"/>
      <c r="C157" s="6"/>
      <c r="D157" s="7">
        <f t="shared" si="2"/>
        <v>0</v>
      </c>
    </row>
    <row r="158" spans="1:4" ht="18.75" hidden="1" x14ac:dyDescent="0.25">
      <c r="A158" s="18" t="s">
        <v>157</v>
      </c>
      <c r="B158" s="6"/>
      <c r="C158" s="6"/>
      <c r="D158" s="7">
        <f t="shared" si="2"/>
        <v>0</v>
      </c>
    </row>
    <row r="159" spans="1:4" ht="18.75" hidden="1" x14ac:dyDescent="0.25">
      <c r="A159" s="9" t="s">
        <v>158</v>
      </c>
      <c r="B159" s="6"/>
      <c r="C159" s="6"/>
      <c r="D159" s="7">
        <f t="shared" si="2"/>
        <v>0</v>
      </c>
    </row>
    <row r="160" spans="1:4" ht="18.75" hidden="1" x14ac:dyDescent="0.25">
      <c r="A160" s="9" t="s">
        <v>159</v>
      </c>
      <c r="B160" s="6"/>
      <c r="C160" s="6"/>
      <c r="D160" s="7">
        <f t="shared" si="2"/>
        <v>0</v>
      </c>
    </row>
    <row r="161" spans="1:4" ht="18.75" hidden="1" x14ac:dyDescent="0.25">
      <c r="A161" s="9" t="s">
        <v>160</v>
      </c>
      <c r="B161" s="6"/>
      <c r="C161" s="6"/>
      <c r="D161" s="7">
        <f t="shared" si="2"/>
        <v>0</v>
      </c>
    </row>
    <row r="162" spans="1:4" ht="18.75" hidden="1" x14ac:dyDescent="0.25">
      <c r="A162" s="9" t="s">
        <v>161</v>
      </c>
      <c r="B162" s="15"/>
      <c r="C162" s="15"/>
      <c r="D162" s="7">
        <f t="shared" si="2"/>
        <v>0</v>
      </c>
    </row>
    <row r="163" spans="1:4" ht="18.75" hidden="1" x14ac:dyDescent="0.25">
      <c r="A163" s="9" t="s">
        <v>162</v>
      </c>
      <c r="B163" s="15"/>
      <c r="C163" s="15"/>
      <c r="D163" s="7">
        <f t="shared" si="2"/>
        <v>0</v>
      </c>
    </row>
    <row r="164" spans="1:4" ht="18.75" hidden="1" x14ac:dyDescent="0.25">
      <c r="A164" s="9" t="s">
        <v>163</v>
      </c>
      <c r="B164" s="15"/>
      <c r="C164" s="15"/>
      <c r="D164" s="7">
        <f t="shared" si="2"/>
        <v>0</v>
      </c>
    </row>
    <row r="165" spans="1:4" ht="18.75" hidden="1" x14ac:dyDescent="0.25">
      <c r="A165" s="9" t="s">
        <v>164</v>
      </c>
      <c r="B165" s="6"/>
      <c r="C165" s="6"/>
      <c r="D165" s="7">
        <f t="shared" si="2"/>
        <v>0</v>
      </c>
    </row>
    <row r="166" spans="1:4" ht="18.75" hidden="1" x14ac:dyDescent="0.25">
      <c r="A166" s="9" t="s">
        <v>165</v>
      </c>
      <c r="B166" s="6"/>
      <c r="C166" s="6"/>
      <c r="D166" s="7">
        <f t="shared" si="2"/>
        <v>0</v>
      </c>
    </row>
    <row r="167" spans="1:4" ht="18.75" hidden="1" x14ac:dyDescent="0.25">
      <c r="A167" s="17" t="s">
        <v>166</v>
      </c>
      <c r="B167" s="6"/>
      <c r="C167" s="6"/>
      <c r="D167" s="7">
        <f t="shared" si="2"/>
        <v>0</v>
      </c>
    </row>
    <row r="168" spans="1:4" ht="18.75" hidden="1" x14ac:dyDescent="0.25">
      <c r="A168" s="12" t="s">
        <v>167</v>
      </c>
      <c r="B168" s="6"/>
      <c r="C168" s="6"/>
      <c r="D168" s="7">
        <f t="shared" si="2"/>
        <v>0</v>
      </c>
    </row>
    <row r="169" spans="1:4" ht="18.75" hidden="1" x14ac:dyDescent="0.25">
      <c r="A169" s="9" t="s">
        <v>168</v>
      </c>
      <c r="B169" s="6"/>
      <c r="C169" s="29"/>
      <c r="D169" s="7">
        <f t="shared" si="2"/>
        <v>0</v>
      </c>
    </row>
    <row r="170" spans="1:4" ht="18.75" hidden="1" x14ac:dyDescent="0.25">
      <c r="A170" s="30" t="s">
        <v>169</v>
      </c>
      <c r="B170" s="6"/>
      <c r="C170" s="6"/>
      <c r="D170" s="7">
        <f t="shared" si="2"/>
        <v>0</v>
      </c>
    </row>
    <row r="171" spans="1:4" ht="18.75" hidden="1" x14ac:dyDescent="0.25">
      <c r="A171" s="9" t="s">
        <v>170</v>
      </c>
      <c r="B171" s="6"/>
      <c r="C171" s="6"/>
      <c r="D171" s="7">
        <f t="shared" si="2"/>
        <v>0</v>
      </c>
    </row>
    <row r="172" spans="1:4" ht="18.75" hidden="1" x14ac:dyDescent="0.25">
      <c r="A172" s="9" t="s">
        <v>171</v>
      </c>
      <c r="B172" s="6"/>
      <c r="C172" s="6"/>
      <c r="D172" s="7">
        <f t="shared" si="2"/>
        <v>0</v>
      </c>
    </row>
    <row r="173" spans="1:4" ht="18.75" hidden="1" x14ac:dyDescent="0.25">
      <c r="A173" s="20" t="s">
        <v>172</v>
      </c>
      <c r="B173" s="6"/>
      <c r="C173" s="6"/>
      <c r="D173" s="7">
        <f t="shared" si="2"/>
        <v>0</v>
      </c>
    </row>
    <row r="174" spans="1:4" ht="18.75" hidden="1" x14ac:dyDescent="0.25">
      <c r="A174" s="9" t="s">
        <v>173</v>
      </c>
      <c r="B174" s="6"/>
      <c r="C174" s="6"/>
      <c r="D174" s="7">
        <f t="shared" si="2"/>
        <v>0</v>
      </c>
    </row>
    <row r="175" spans="1:4" ht="18.75" x14ac:dyDescent="0.25">
      <c r="A175" s="31" t="s">
        <v>174</v>
      </c>
      <c r="B175" s="32">
        <v>1</v>
      </c>
      <c r="C175" s="32">
        <v>15000</v>
      </c>
      <c r="D175" s="7">
        <f t="shared" si="2"/>
        <v>15000</v>
      </c>
    </row>
    <row r="176" spans="1:4" ht="18.75" hidden="1" x14ac:dyDescent="0.25">
      <c r="A176" s="11" t="s">
        <v>175</v>
      </c>
      <c r="B176" s="6"/>
      <c r="C176" s="6"/>
      <c r="D176" s="7">
        <f t="shared" si="2"/>
        <v>0</v>
      </c>
    </row>
    <row r="177" spans="1:4" ht="18.75" x14ac:dyDescent="0.25">
      <c r="A177" s="9" t="s">
        <v>176</v>
      </c>
      <c r="B177" s="6">
        <v>7</v>
      </c>
      <c r="C177" s="6">
        <v>43000</v>
      </c>
      <c r="D177" s="7">
        <f t="shared" si="2"/>
        <v>301000</v>
      </c>
    </row>
    <row r="178" spans="1:4" ht="18.75" hidden="1" x14ac:dyDescent="0.25">
      <c r="A178" s="9" t="s">
        <v>177</v>
      </c>
      <c r="B178" s="6"/>
      <c r="C178" s="6"/>
      <c r="D178" s="7">
        <f t="shared" si="2"/>
        <v>0</v>
      </c>
    </row>
    <row r="179" spans="1:4" ht="18.75" hidden="1" x14ac:dyDescent="0.25">
      <c r="A179" s="12" t="s">
        <v>178</v>
      </c>
      <c r="B179" s="6"/>
      <c r="C179" s="6"/>
      <c r="D179" s="7">
        <f t="shared" si="2"/>
        <v>0</v>
      </c>
    </row>
    <row r="180" spans="1:4" ht="18.75" hidden="1" x14ac:dyDescent="0.25">
      <c r="A180" s="9" t="s">
        <v>179</v>
      </c>
      <c r="B180" s="6"/>
      <c r="C180" s="6"/>
      <c r="D180" s="7">
        <f t="shared" si="2"/>
        <v>0</v>
      </c>
    </row>
    <row r="181" spans="1:4" ht="18.75" hidden="1" x14ac:dyDescent="0.25">
      <c r="A181" s="9" t="s">
        <v>180</v>
      </c>
      <c r="B181" s="6"/>
      <c r="C181" s="6"/>
      <c r="D181" s="7">
        <f t="shared" si="2"/>
        <v>0</v>
      </c>
    </row>
    <row r="182" spans="1:4" ht="18.75" hidden="1" x14ac:dyDescent="0.25">
      <c r="A182" s="12" t="s">
        <v>181</v>
      </c>
      <c r="B182" s="6"/>
      <c r="C182" s="6"/>
      <c r="D182" s="7">
        <f t="shared" si="2"/>
        <v>0</v>
      </c>
    </row>
    <row r="183" spans="1:4" ht="18.75" hidden="1" x14ac:dyDescent="0.25">
      <c r="A183" s="12" t="s">
        <v>182</v>
      </c>
      <c r="B183" s="6"/>
      <c r="C183" s="6"/>
      <c r="D183" s="7">
        <f t="shared" si="2"/>
        <v>0</v>
      </c>
    </row>
    <row r="184" spans="1:4" ht="18.75" hidden="1" x14ac:dyDescent="0.25">
      <c r="A184" s="12" t="s">
        <v>183</v>
      </c>
      <c r="B184" s="6"/>
      <c r="C184" s="6"/>
      <c r="D184" s="7">
        <f t="shared" si="2"/>
        <v>0</v>
      </c>
    </row>
    <row r="185" spans="1:4" ht="18.75" x14ac:dyDescent="0.25">
      <c r="A185" s="9" t="s">
        <v>184</v>
      </c>
      <c r="B185" s="6">
        <v>18</v>
      </c>
      <c r="C185" s="6">
        <v>7000</v>
      </c>
      <c r="D185" s="7">
        <f t="shared" si="2"/>
        <v>126000</v>
      </c>
    </row>
    <row r="186" spans="1:4" ht="18.75" hidden="1" x14ac:dyDescent="0.25">
      <c r="A186" s="9" t="s">
        <v>185</v>
      </c>
      <c r="B186" s="6"/>
      <c r="C186" s="6"/>
      <c r="D186" s="7">
        <f t="shared" si="2"/>
        <v>0</v>
      </c>
    </row>
    <row r="187" spans="1:4" ht="18.75" hidden="1" x14ac:dyDescent="0.25">
      <c r="A187" s="12" t="s">
        <v>186</v>
      </c>
      <c r="B187" s="6"/>
      <c r="C187" s="6"/>
      <c r="D187" s="7">
        <f t="shared" si="2"/>
        <v>0</v>
      </c>
    </row>
    <row r="188" spans="1:4" ht="18.75" hidden="1" x14ac:dyDescent="0.25">
      <c r="A188" s="12" t="s">
        <v>187</v>
      </c>
      <c r="B188" s="6"/>
      <c r="C188" s="6"/>
      <c r="D188" s="7">
        <f t="shared" si="2"/>
        <v>0</v>
      </c>
    </row>
    <row r="189" spans="1:4" ht="18.75" hidden="1" x14ac:dyDescent="0.25">
      <c r="A189" s="12" t="s">
        <v>188</v>
      </c>
      <c r="B189" s="6"/>
      <c r="C189" s="6"/>
      <c r="D189" s="7">
        <f t="shared" si="2"/>
        <v>0</v>
      </c>
    </row>
    <row r="190" spans="1:4" ht="18.75" hidden="1" x14ac:dyDescent="0.25">
      <c r="A190" s="17" t="s">
        <v>189</v>
      </c>
      <c r="B190" s="6"/>
      <c r="C190" s="6"/>
      <c r="D190" s="7">
        <f t="shared" si="2"/>
        <v>0</v>
      </c>
    </row>
    <row r="191" spans="1:4" ht="18.75" hidden="1" x14ac:dyDescent="0.25">
      <c r="A191" s="17" t="s">
        <v>190</v>
      </c>
      <c r="B191" s="6"/>
      <c r="C191" s="6"/>
      <c r="D191" s="7">
        <f t="shared" si="2"/>
        <v>0</v>
      </c>
    </row>
    <row r="192" spans="1:4" ht="18.75" hidden="1" x14ac:dyDescent="0.25">
      <c r="A192" s="17" t="s">
        <v>191</v>
      </c>
      <c r="B192" s="6"/>
      <c r="C192" s="6"/>
      <c r="D192" s="7">
        <f t="shared" si="2"/>
        <v>0</v>
      </c>
    </row>
    <row r="193" spans="1:4" ht="18.75" hidden="1" x14ac:dyDescent="0.25">
      <c r="A193" s="17" t="s">
        <v>192</v>
      </c>
      <c r="B193" s="6"/>
      <c r="C193" s="6"/>
      <c r="D193" s="7">
        <f t="shared" si="2"/>
        <v>0</v>
      </c>
    </row>
    <row r="194" spans="1:4" ht="18.75" hidden="1" x14ac:dyDescent="0.25">
      <c r="A194" s="12" t="s">
        <v>193</v>
      </c>
      <c r="B194" s="6"/>
      <c r="C194" s="6"/>
      <c r="D194" s="7">
        <f t="shared" si="2"/>
        <v>0</v>
      </c>
    </row>
    <row r="195" spans="1:4" ht="18.75" hidden="1" x14ac:dyDescent="0.25">
      <c r="A195" s="9" t="s">
        <v>194</v>
      </c>
      <c r="B195" s="6"/>
      <c r="C195" s="6"/>
      <c r="D195" s="7">
        <f t="shared" si="2"/>
        <v>0</v>
      </c>
    </row>
    <row r="196" spans="1:4" ht="18.75" hidden="1" x14ac:dyDescent="0.25">
      <c r="A196" s="34" t="s">
        <v>195</v>
      </c>
      <c r="B196" s="6"/>
      <c r="C196" s="6"/>
      <c r="D196" s="7">
        <f t="shared" ref="D196:D259" si="3">B196*C196</f>
        <v>0</v>
      </c>
    </row>
    <row r="197" spans="1:4" ht="18.75" hidden="1" x14ac:dyDescent="0.25">
      <c r="A197" s="34" t="s">
        <v>196</v>
      </c>
      <c r="B197" s="6"/>
      <c r="C197" s="6"/>
      <c r="D197" s="7">
        <f t="shared" si="3"/>
        <v>0</v>
      </c>
    </row>
    <row r="198" spans="1:4" ht="18.75" hidden="1" x14ac:dyDescent="0.25">
      <c r="A198" s="34" t="s">
        <v>197</v>
      </c>
      <c r="B198" s="6"/>
      <c r="C198" s="6"/>
      <c r="D198" s="7">
        <f t="shared" si="3"/>
        <v>0</v>
      </c>
    </row>
    <row r="199" spans="1:4" ht="18.75" hidden="1" x14ac:dyDescent="0.25">
      <c r="A199" s="34" t="s">
        <v>198</v>
      </c>
      <c r="B199" s="6"/>
      <c r="C199" s="6"/>
      <c r="D199" s="7">
        <f t="shared" si="3"/>
        <v>0</v>
      </c>
    </row>
    <row r="200" spans="1:4" ht="18.75" hidden="1" x14ac:dyDescent="0.25">
      <c r="A200" s="9" t="s">
        <v>199</v>
      </c>
      <c r="B200" s="6"/>
      <c r="C200" s="6"/>
      <c r="D200" s="7">
        <f t="shared" si="3"/>
        <v>0</v>
      </c>
    </row>
    <row r="201" spans="1:4" ht="18.75" hidden="1" x14ac:dyDescent="0.25">
      <c r="A201" s="35" t="s">
        <v>200</v>
      </c>
      <c r="B201" s="6"/>
      <c r="C201" s="6"/>
      <c r="D201" s="7">
        <f t="shared" si="3"/>
        <v>0</v>
      </c>
    </row>
    <row r="202" spans="1:4" ht="18.75" x14ac:dyDescent="0.25">
      <c r="A202" s="9" t="s">
        <v>201</v>
      </c>
      <c r="B202" s="6">
        <f>95+240</f>
        <v>335</v>
      </c>
      <c r="C202" s="6">
        <v>22000</v>
      </c>
      <c r="D202" s="7">
        <f t="shared" si="3"/>
        <v>7370000</v>
      </c>
    </row>
    <row r="203" spans="1:4" ht="18.75" x14ac:dyDescent="0.25">
      <c r="A203" s="12" t="s">
        <v>202</v>
      </c>
      <c r="B203" s="6">
        <v>260</v>
      </c>
      <c r="C203" s="6">
        <v>22000</v>
      </c>
      <c r="D203" s="7">
        <f t="shared" si="3"/>
        <v>5720000</v>
      </c>
    </row>
    <row r="204" spans="1:4" ht="18.75" hidden="1" x14ac:dyDescent="0.25">
      <c r="A204" s="9" t="s">
        <v>203</v>
      </c>
      <c r="B204" s="6"/>
      <c r="C204" s="6"/>
      <c r="D204" s="7">
        <f t="shared" si="3"/>
        <v>0</v>
      </c>
    </row>
    <row r="205" spans="1:4" ht="18.75" x14ac:dyDescent="0.25">
      <c r="A205" s="9" t="s">
        <v>204</v>
      </c>
      <c r="B205" s="6">
        <f>-400+230+250+80+190</f>
        <v>350</v>
      </c>
      <c r="C205" s="6">
        <v>20000</v>
      </c>
      <c r="D205" s="7">
        <f t="shared" si="3"/>
        <v>7000000</v>
      </c>
    </row>
    <row r="206" spans="1:4" ht="18.75" hidden="1" x14ac:dyDescent="0.25">
      <c r="A206" s="36" t="s">
        <v>205</v>
      </c>
      <c r="B206" s="6"/>
      <c r="C206" s="6"/>
      <c r="D206" s="7">
        <f t="shared" si="3"/>
        <v>0</v>
      </c>
    </row>
    <row r="207" spans="1:4" ht="18.75" hidden="1" x14ac:dyDescent="0.25">
      <c r="A207" s="36" t="s">
        <v>206</v>
      </c>
      <c r="B207" s="6"/>
      <c r="C207" s="6"/>
      <c r="D207" s="7">
        <f t="shared" si="3"/>
        <v>0</v>
      </c>
    </row>
    <row r="208" spans="1:4" ht="18.75" hidden="1" x14ac:dyDescent="0.25">
      <c r="A208" s="9" t="s">
        <v>207</v>
      </c>
      <c r="B208" s="6"/>
      <c r="C208" s="6"/>
      <c r="D208" s="7">
        <f t="shared" si="3"/>
        <v>0</v>
      </c>
    </row>
    <row r="209" spans="1:4" ht="18.75" hidden="1" x14ac:dyDescent="0.25">
      <c r="A209" s="11" t="s">
        <v>208</v>
      </c>
      <c r="B209" s="6"/>
      <c r="C209" s="6"/>
      <c r="D209" s="7">
        <f t="shared" si="3"/>
        <v>0</v>
      </c>
    </row>
    <row r="210" spans="1:4" ht="18.75" hidden="1" x14ac:dyDescent="0.25">
      <c r="A210" s="9" t="s">
        <v>209</v>
      </c>
      <c r="B210" s="6"/>
      <c r="C210" s="6"/>
      <c r="D210" s="7">
        <f t="shared" si="3"/>
        <v>0</v>
      </c>
    </row>
    <row r="211" spans="1:4" ht="18.75" x14ac:dyDescent="0.25">
      <c r="A211" s="9" t="s">
        <v>210</v>
      </c>
      <c r="B211" s="6">
        <v>15</v>
      </c>
      <c r="C211" s="6">
        <v>12000</v>
      </c>
      <c r="D211" s="7">
        <f t="shared" si="3"/>
        <v>180000</v>
      </c>
    </row>
    <row r="212" spans="1:4" ht="18.75" hidden="1" x14ac:dyDescent="0.25">
      <c r="A212" s="9" t="s">
        <v>211</v>
      </c>
      <c r="B212" s="6"/>
      <c r="C212" s="6"/>
      <c r="D212" s="7">
        <f t="shared" si="3"/>
        <v>0</v>
      </c>
    </row>
    <row r="213" spans="1:4" ht="18.75" hidden="1" x14ac:dyDescent="0.25">
      <c r="A213" s="9" t="s">
        <v>212</v>
      </c>
      <c r="B213" s="6"/>
      <c r="C213" s="6"/>
      <c r="D213" s="7">
        <f t="shared" si="3"/>
        <v>0</v>
      </c>
    </row>
    <row r="214" spans="1:4" ht="18.75" hidden="1" x14ac:dyDescent="0.25">
      <c r="A214" s="37" t="s">
        <v>213</v>
      </c>
      <c r="B214" s="6"/>
      <c r="C214" s="6"/>
      <c r="D214" s="7">
        <f t="shared" si="3"/>
        <v>0</v>
      </c>
    </row>
    <row r="215" spans="1:4" ht="18.75" hidden="1" x14ac:dyDescent="0.25">
      <c r="A215" s="9" t="s">
        <v>214</v>
      </c>
      <c r="B215" s="6"/>
      <c r="C215" s="6"/>
      <c r="D215" s="7">
        <f t="shared" si="3"/>
        <v>0</v>
      </c>
    </row>
    <row r="216" spans="1:4" ht="18.75" x14ac:dyDescent="0.25">
      <c r="A216" s="9" t="s">
        <v>215</v>
      </c>
      <c r="B216" s="6">
        <f>-300+70+135+200+45</f>
        <v>150</v>
      </c>
      <c r="C216" s="6">
        <v>16000</v>
      </c>
      <c r="D216" s="7">
        <f t="shared" si="3"/>
        <v>2400000</v>
      </c>
    </row>
    <row r="217" spans="1:4" ht="18.75" hidden="1" x14ac:dyDescent="0.25">
      <c r="A217" s="9" t="s">
        <v>216</v>
      </c>
      <c r="B217" s="6"/>
      <c r="C217" s="6"/>
      <c r="D217" s="7">
        <f t="shared" si="3"/>
        <v>0</v>
      </c>
    </row>
    <row r="218" spans="1:4" ht="18.75" x14ac:dyDescent="0.25">
      <c r="A218" s="9" t="s">
        <v>217</v>
      </c>
      <c r="B218" s="6">
        <v>20</v>
      </c>
      <c r="C218" s="6">
        <v>14000</v>
      </c>
      <c r="D218" s="7">
        <f t="shared" si="3"/>
        <v>280000</v>
      </c>
    </row>
    <row r="219" spans="1:4" ht="18.75" hidden="1" x14ac:dyDescent="0.25">
      <c r="A219" s="17" t="s">
        <v>218</v>
      </c>
      <c r="B219" s="6"/>
      <c r="C219" s="6"/>
      <c r="D219" s="7">
        <f t="shared" si="3"/>
        <v>0</v>
      </c>
    </row>
    <row r="220" spans="1:4" ht="18.75" hidden="1" x14ac:dyDescent="0.25">
      <c r="A220" s="17" t="s">
        <v>219</v>
      </c>
      <c r="B220" s="6"/>
      <c r="C220" s="6"/>
      <c r="D220" s="7">
        <f t="shared" si="3"/>
        <v>0</v>
      </c>
    </row>
    <row r="221" spans="1:4" ht="18.75" hidden="1" x14ac:dyDescent="0.25">
      <c r="A221" s="17" t="s">
        <v>220</v>
      </c>
      <c r="B221" s="6"/>
      <c r="C221" s="6"/>
      <c r="D221" s="7">
        <f t="shared" si="3"/>
        <v>0</v>
      </c>
    </row>
    <row r="222" spans="1:4" ht="18.75" hidden="1" x14ac:dyDescent="0.25">
      <c r="A222" s="17" t="s">
        <v>221</v>
      </c>
      <c r="B222" s="6"/>
      <c r="C222" s="6"/>
      <c r="D222" s="7">
        <f t="shared" si="3"/>
        <v>0</v>
      </c>
    </row>
    <row r="223" spans="1:4" ht="18.75" hidden="1" x14ac:dyDescent="0.25">
      <c r="A223" s="9" t="s">
        <v>222</v>
      </c>
      <c r="B223" s="6"/>
      <c r="C223" s="6"/>
      <c r="D223" s="7">
        <f t="shared" si="3"/>
        <v>0</v>
      </c>
    </row>
    <row r="224" spans="1:4" ht="18.75" hidden="1" x14ac:dyDescent="0.25">
      <c r="A224" s="9" t="s">
        <v>223</v>
      </c>
      <c r="B224" s="6"/>
      <c r="C224" s="6"/>
      <c r="D224" s="7">
        <f t="shared" si="3"/>
        <v>0</v>
      </c>
    </row>
    <row r="225" spans="1:4" ht="18.75" hidden="1" x14ac:dyDescent="0.25">
      <c r="A225" s="17" t="s">
        <v>224</v>
      </c>
      <c r="B225" s="6"/>
      <c r="C225" s="6"/>
      <c r="D225" s="7">
        <f t="shared" si="3"/>
        <v>0</v>
      </c>
    </row>
    <row r="226" spans="1:4" ht="18.75" hidden="1" x14ac:dyDescent="0.25">
      <c r="A226" s="17" t="s">
        <v>225</v>
      </c>
      <c r="B226" s="6"/>
      <c r="C226" s="6"/>
      <c r="D226" s="7">
        <f t="shared" si="3"/>
        <v>0</v>
      </c>
    </row>
    <row r="227" spans="1:4" ht="18.75" hidden="1" x14ac:dyDescent="0.25">
      <c r="A227" s="11" t="s">
        <v>226</v>
      </c>
      <c r="B227" s="6"/>
      <c r="C227" s="6"/>
      <c r="D227" s="7">
        <f t="shared" si="3"/>
        <v>0</v>
      </c>
    </row>
    <row r="228" spans="1:4" ht="18.75" hidden="1" x14ac:dyDescent="0.25">
      <c r="A228" s="12" t="s">
        <v>227</v>
      </c>
      <c r="B228" s="6"/>
      <c r="C228" s="6"/>
      <c r="D228" s="7">
        <f t="shared" si="3"/>
        <v>0</v>
      </c>
    </row>
    <row r="229" spans="1:4" ht="18.75" hidden="1" x14ac:dyDescent="0.25">
      <c r="A229" s="11" t="s">
        <v>228</v>
      </c>
      <c r="B229" s="6"/>
      <c r="C229" s="6"/>
      <c r="D229" s="7">
        <f t="shared" si="3"/>
        <v>0</v>
      </c>
    </row>
    <row r="230" spans="1:4" ht="18.75" hidden="1" x14ac:dyDescent="0.25">
      <c r="A230" s="17" t="s">
        <v>229</v>
      </c>
      <c r="B230" s="6"/>
      <c r="C230" s="6"/>
      <c r="D230" s="7">
        <f t="shared" si="3"/>
        <v>0</v>
      </c>
    </row>
    <row r="231" spans="1:4" ht="18.75" hidden="1" x14ac:dyDescent="0.25">
      <c r="A231" s="11" t="s">
        <v>230</v>
      </c>
      <c r="B231" s="6"/>
      <c r="C231" s="6"/>
      <c r="D231" s="7">
        <f t="shared" si="3"/>
        <v>0</v>
      </c>
    </row>
    <row r="232" spans="1:4" ht="18.75" hidden="1" x14ac:dyDescent="0.25">
      <c r="A232" s="11" t="s">
        <v>231</v>
      </c>
      <c r="B232" s="6"/>
      <c r="C232" s="6"/>
      <c r="D232" s="7">
        <f t="shared" si="3"/>
        <v>0</v>
      </c>
    </row>
    <row r="233" spans="1:4" ht="18.75" hidden="1" x14ac:dyDescent="0.25">
      <c r="A233" s="11" t="s">
        <v>232</v>
      </c>
      <c r="B233" s="6"/>
      <c r="C233" s="6"/>
      <c r="D233" s="7">
        <f t="shared" si="3"/>
        <v>0</v>
      </c>
    </row>
    <row r="234" spans="1:4" ht="18.75" hidden="1" x14ac:dyDescent="0.25">
      <c r="A234" s="9" t="s">
        <v>233</v>
      </c>
      <c r="B234" s="6"/>
      <c r="C234" s="6"/>
      <c r="D234" s="7">
        <f t="shared" si="3"/>
        <v>0</v>
      </c>
    </row>
    <row r="235" spans="1:4" ht="18.75" hidden="1" x14ac:dyDescent="0.25">
      <c r="A235" s="9" t="s">
        <v>234</v>
      </c>
      <c r="B235" s="6"/>
      <c r="C235" s="6"/>
      <c r="D235" s="7">
        <f t="shared" si="3"/>
        <v>0</v>
      </c>
    </row>
    <row r="236" spans="1:4" ht="18.75" hidden="1" x14ac:dyDescent="0.25">
      <c r="A236" s="11" t="s">
        <v>235</v>
      </c>
      <c r="B236" s="6"/>
      <c r="C236" s="6"/>
      <c r="D236" s="7">
        <f t="shared" si="3"/>
        <v>0</v>
      </c>
    </row>
    <row r="237" spans="1:4" ht="18.75" hidden="1" x14ac:dyDescent="0.25">
      <c r="A237" s="36" t="s">
        <v>236</v>
      </c>
      <c r="B237" s="6"/>
      <c r="C237" s="6"/>
      <c r="D237" s="7">
        <f t="shared" si="3"/>
        <v>0</v>
      </c>
    </row>
    <row r="238" spans="1:4" ht="18.75" hidden="1" x14ac:dyDescent="0.25">
      <c r="A238" s="9" t="s">
        <v>237</v>
      </c>
      <c r="B238" s="6"/>
      <c r="C238" s="6"/>
      <c r="D238" s="7">
        <f t="shared" si="3"/>
        <v>0</v>
      </c>
    </row>
    <row r="239" spans="1:4" ht="18.75" hidden="1" x14ac:dyDescent="0.25">
      <c r="A239" s="9" t="s">
        <v>238</v>
      </c>
      <c r="B239" s="6"/>
      <c r="C239" s="6"/>
      <c r="D239" s="7">
        <f t="shared" si="3"/>
        <v>0</v>
      </c>
    </row>
    <row r="240" spans="1:4" ht="18.75" hidden="1" x14ac:dyDescent="0.25">
      <c r="A240" s="13" t="s">
        <v>239</v>
      </c>
      <c r="B240" s="6"/>
      <c r="C240" s="6"/>
      <c r="D240" s="7">
        <f t="shared" si="3"/>
        <v>0</v>
      </c>
    </row>
    <row r="241" spans="1:4" ht="18.75" hidden="1" x14ac:dyDescent="0.25">
      <c r="A241" s="13" t="s">
        <v>240</v>
      </c>
      <c r="B241" s="6"/>
      <c r="C241" s="6"/>
      <c r="D241" s="7">
        <f t="shared" si="3"/>
        <v>0</v>
      </c>
    </row>
    <row r="242" spans="1:4" ht="18.75" hidden="1" x14ac:dyDescent="0.25">
      <c r="A242" s="34" t="s">
        <v>241</v>
      </c>
      <c r="B242" s="6"/>
      <c r="C242" s="6"/>
      <c r="D242" s="7">
        <f t="shared" si="3"/>
        <v>0</v>
      </c>
    </row>
    <row r="243" spans="1:4" ht="18.75" hidden="1" x14ac:dyDescent="0.25">
      <c r="A243" s="9" t="s">
        <v>242</v>
      </c>
      <c r="B243" s="6"/>
      <c r="C243" s="6"/>
      <c r="D243" s="7">
        <f t="shared" si="3"/>
        <v>0</v>
      </c>
    </row>
    <row r="244" spans="1:4" ht="18.75" hidden="1" x14ac:dyDescent="0.25">
      <c r="A244" s="9" t="s">
        <v>243</v>
      </c>
      <c r="B244" s="6"/>
      <c r="C244" s="6"/>
      <c r="D244" s="7">
        <f t="shared" si="3"/>
        <v>0</v>
      </c>
    </row>
    <row r="245" spans="1:4" ht="18.75" hidden="1" x14ac:dyDescent="0.25">
      <c r="A245" s="9" t="s">
        <v>244</v>
      </c>
      <c r="B245" s="15"/>
      <c r="C245" s="15"/>
      <c r="D245" s="7">
        <f t="shared" si="3"/>
        <v>0</v>
      </c>
    </row>
    <row r="246" spans="1:4" ht="18.75" hidden="1" x14ac:dyDescent="0.25">
      <c r="A246" s="34" t="s">
        <v>245</v>
      </c>
      <c r="B246" s="6"/>
      <c r="C246" s="6"/>
      <c r="D246" s="7">
        <f t="shared" si="3"/>
        <v>0</v>
      </c>
    </row>
    <row r="247" spans="1:4" ht="18.75" hidden="1" x14ac:dyDescent="0.25">
      <c r="A247" s="9" t="s">
        <v>246</v>
      </c>
      <c r="B247" s="15"/>
      <c r="C247" s="15"/>
      <c r="D247" s="7">
        <f t="shared" si="3"/>
        <v>0</v>
      </c>
    </row>
    <row r="248" spans="1:4" ht="18.75" x14ac:dyDescent="0.25">
      <c r="A248" s="9" t="s">
        <v>247</v>
      </c>
      <c r="B248" s="6">
        <v>10</v>
      </c>
      <c r="C248" s="6">
        <v>14000</v>
      </c>
      <c r="D248" s="7">
        <f t="shared" si="3"/>
        <v>140000</v>
      </c>
    </row>
    <row r="249" spans="1:4" ht="18.75" hidden="1" x14ac:dyDescent="0.25">
      <c r="A249" s="11" t="s">
        <v>248</v>
      </c>
      <c r="B249" s="6"/>
      <c r="C249" s="6"/>
      <c r="D249" s="7">
        <f t="shared" si="3"/>
        <v>0</v>
      </c>
    </row>
    <row r="250" spans="1:4" ht="18.75" hidden="1" x14ac:dyDescent="0.25">
      <c r="A250" s="11" t="s">
        <v>249</v>
      </c>
      <c r="B250" s="6"/>
      <c r="C250" s="6"/>
      <c r="D250" s="7">
        <f t="shared" si="3"/>
        <v>0</v>
      </c>
    </row>
    <row r="251" spans="1:4" ht="18.75" x14ac:dyDescent="0.25">
      <c r="A251" s="9" t="s">
        <v>250</v>
      </c>
      <c r="B251" s="6">
        <f>-20+140</f>
        <v>120</v>
      </c>
      <c r="C251" s="6">
        <v>21000</v>
      </c>
      <c r="D251" s="7">
        <f t="shared" si="3"/>
        <v>2520000</v>
      </c>
    </row>
    <row r="252" spans="1:4" ht="18.75" hidden="1" x14ac:dyDescent="0.25">
      <c r="A252" s="9" t="s">
        <v>251</v>
      </c>
      <c r="B252" s="6"/>
      <c r="C252" s="6"/>
      <c r="D252" s="7">
        <f t="shared" si="3"/>
        <v>0</v>
      </c>
    </row>
    <row r="253" spans="1:4" ht="18.75" hidden="1" x14ac:dyDescent="0.25">
      <c r="A253" s="9" t="s">
        <v>252</v>
      </c>
      <c r="B253" s="6"/>
      <c r="C253" s="6"/>
      <c r="D253" s="7">
        <f t="shared" si="3"/>
        <v>0</v>
      </c>
    </row>
    <row r="254" spans="1:4" ht="18.75" hidden="1" x14ac:dyDescent="0.25">
      <c r="A254" s="9" t="s">
        <v>253</v>
      </c>
      <c r="B254" s="6"/>
      <c r="C254" s="6"/>
      <c r="D254" s="7">
        <f t="shared" si="3"/>
        <v>0</v>
      </c>
    </row>
    <row r="255" spans="1:4" ht="18.75" hidden="1" x14ac:dyDescent="0.25">
      <c r="A255" s="9" t="s">
        <v>254</v>
      </c>
      <c r="B255" s="6"/>
      <c r="C255" s="6"/>
      <c r="D255" s="7">
        <f t="shared" si="3"/>
        <v>0</v>
      </c>
    </row>
    <row r="256" spans="1:4" ht="18.75" hidden="1" x14ac:dyDescent="0.25">
      <c r="A256" s="17" t="s">
        <v>255</v>
      </c>
      <c r="B256" s="6"/>
      <c r="C256" s="6"/>
      <c r="D256" s="7">
        <f t="shared" si="3"/>
        <v>0</v>
      </c>
    </row>
    <row r="257" spans="1:4" ht="18.75" hidden="1" x14ac:dyDescent="0.25">
      <c r="A257" s="21" t="s">
        <v>256</v>
      </c>
      <c r="B257" s="6"/>
      <c r="C257" s="6"/>
      <c r="D257" s="7">
        <f t="shared" si="3"/>
        <v>0</v>
      </c>
    </row>
    <row r="258" spans="1:4" ht="18.75" hidden="1" x14ac:dyDescent="0.25">
      <c r="A258" s="21" t="s">
        <v>257</v>
      </c>
      <c r="B258" s="6"/>
      <c r="C258" s="6"/>
      <c r="D258" s="7">
        <f t="shared" si="3"/>
        <v>0</v>
      </c>
    </row>
    <row r="259" spans="1:4" ht="18.75" x14ac:dyDescent="0.25">
      <c r="A259" s="9" t="s">
        <v>258</v>
      </c>
      <c r="B259" s="6">
        <f>-20+15+60</f>
        <v>55</v>
      </c>
      <c r="C259" s="6">
        <v>23000</v>
      </c>
      <c r="D259" s="7">
        <f t="shared" si="3"/>
        <v>1265000</v>
      </c>
    </row>
    <row r="260" spans="1:4" ht="18.75" x14ac:dyDescent="0.25">
      <c r="A260" s="9" t="s">
        <v>259</v>
      </c>
      <c r="B260" s="6">
        <v>8</v>
      </c>
      <c r="C260" s="6">
        <v>15000</v>
      </c>
      <c r="D260" s="7">
        <f t="shared" ref="D260:D323" si="4">B260*C260</f>
        <v>120000</v>
      </c>
    </row>
    <row r="261" spans="1:4" ht="18.75" hidden="1" x14ac:dyDescent="0.25">
      <c r="A261" s="9" t="s">
        <v>260</v>
      </c>
      <c r="B261" s="6"/>
      <c r="C261" s="6"/>
      <c r="D261" s="7">
        <f t="shared" si="4"/>
        <v>0</v>
      </c>
    </row>
    <row r="262" spans="1:4" ht="18.75" hidden="1" x14ac:dyDescent="0.25">
      <c r="A262" s="9" t="s">
        <v>261</v>
      </c>
      <c r="B262" s="6"/>
      <c r="C262" s="6"/>
      <c r="D262" s="7">
        <f t="shared" si="4"/>
        <v>0</v>
      </c>
    </row>
    <row r="263" spans="1:4" ht="18.75" x14ac:dyDescent="0.25">
      <c r="A263" s="9" t="s">
        <v>262</v>
      </c>
      <c r="B263" s="6">
        <f>-20+15+13+5+48</f>
        <v>61</v>
      </c>
      <c r="C263" s="6">
        <v>21000</v>
      </c>
      <c r="D263" s="7">
        <f t="shared" si="4"/>
        <v>1281000</v>
      </c>
    </row>
    <row r="264" spans="1:4" ht="18.75" x14ac:dyDescent="0.25">
      <c r="A264" s="9" t="s">
        <v>263</v>
      </c>
      <c r="B264" s="6">
        <v>37</v>
      </c>
      <c r="C264" s="6">
        <v>19000</v>
      </c>
      <c r="D264" s="7">
        <f t="shared" si="4"/>
        <v>703000</v>
      </c>
    </row>
    <row r="265" spans="1:4" ht="18.75" hidden="1" x14ac:dyDescent="0.25">
      <c r="A265" s="9" t="s">
        <v>264</v>
      </c>
      <c r="B265" s="6"/>
      <c r="C265" s="6"/>
      <c r="D265" s="7">
        <f t="shared" si="4"/>
        <v>0</v>
      </c>
    </row>
    <row r="266" spans="1:4" ht="18.75" hidden="1" x14ac:dyDescent="0.25">
      <c r="A266" s="9" t="s">
        <v>265</v>
      </c>
      <c r="B266" s="15"/>
      <c r="C266" s="15"/>
      <c r="D266" s="7">
        <f t="shared" si="4"/>
        <v>0</v>
      </c>
    </row>
    <row r="267" spans="1:4" ht="18.75" hidden="1" x14ac:dyDescent="0.25">
      <c r="A267" s="13" t="s">
        <v>266</v>
      </c>
      <c r="B267" s="6"/>
      <c r="C267" s="6"/>
      <c r="D267" s="7">
        <f t="shared" si="4"/>
        <v>0</v>
      </c>
    </row>
    <row r="268" spans="1:4" ht="18.75" hidden="1" x14ac:dyDescent="0.25">
      <c r="A268" s="9" t="s">
        <v>267</v>
      </c>
      <c r="B268" s="6"/>
      <c r="C268" s="6"/>
      <c r="D268" s="7">
        <f t="shared" si="4"/>
        <v>0</v>
      </c>
    </row>
    <row r="269" spans="1:4" ht="18.75" x14ac:dyDescent="0.25">
      <c r="A269" s="11" t="s">
        <v>268</v>
      </c>
      <c r="B269" s="6">
        <v>21</v>
      </c>
      <c r="C269" s="6">
        <v>45000</v>
      </c>
      <c r="D269" s="7">
        <f t="shared" si="4"/>
        <v>945000</v>
      </c>
    </row>
    <row r="270" spans="1:4" ht="18.75" hidden="1" x14ac:dyDescent="0.25">
      <c r="A270" s="9" t="s">
        <v>269</v>
      </c>
      <c r="B270" s="6"/>
      <c r="C270" s="6"/>
      <c r="D270" s="7">
        <f t="shared" si="4"/>
        <v>0</v>
      </c>
    </row>
    <row r="271" spans="1:4" ht="18.75" hidden="1" x14ac:dyDescent="0.25">
      <c r="A271" s="9" t="s">
        <v>270</v>
      </c>
      <c r="B271" s="6"/>
      <c r="C271" s="6"/>
      <c r="D271" s="7">
        <f t="shared" si="4"/>
        <v>0</v>
      </c>
    </row>
    <row r="272" spans="1:4" ht="18.75" hidden="1" x14ac:dyDescent="0.25">
      <c r="A272" s="9" t="s">
        <v>271</v>
      </c>
      <c r="B272" s="6"/>
      <c r="C272" s="6"/>
      <c r="D272" s="7">
        <f t="shared" si="4"/>
        <v>0</v>
      </c>
    </row>
    <row r="273" spans="1:4" ht="18.75" hidden="1" x14ac:dyDescent="0.25">
      <c r="A273" s="9" t="s">
        <v>272</v>
      </c>
      <c r="B273" s="6"/>
      <c r="C273" s="6"/>
      <c r="D273" s="7">
        <f t="shared" si="4"/>
        <v>0</v>
      </c>
    </row>
    <row r="274" spans="1:4" ht="18.75" hidden="1" x14ac:dyDescent="0.25">
      <c r="A274" s="9" t="s">
        <v>273</v>
      </c>
      <c r="B274" s="6"/>
      <c r="C274" s="6"/>
      <c r="D274" s="7">
        <f t="shared" si="4"/>
        <v>0</v>
      </c>
    </row>
    <row r="275" spans="1:4" ht="18.75" hidden="1" x14ac:dyDescent="0.25">
      <c r="A275" s="9" t="s">
        <v>274</v>
      </c>
      <c r="B275" s="6"/>
      <c r="C275" s="6"/>
      <c r="D275" s="7">
        <f t="shared" si="4"/>
        <v>0</v>
      </c>
    </row>
    <row r="276" spans="1:4" ht="18.75" hidden="1" x14ac:dyDescent="0.25">
      <c r="A276" s="9" t="s">
        <v>275</v>
      </c>
      <c r="B276" s="6"/>
      <c r="C276" s="6"/>
      <c r="D276" s="7">
        <f t="shared" si="4"/>
        <v>0</v>
      </c>
    </row>
    <row r="277" spans="1:4" ht="18.75" hidden="1" x14ac:dyDescent="0.25">
      <c r="A277" s="34" t="s">
        <v>276</v>
      </c>
      <c r="B277" s="6"/>
      <c r="C277" s="6"/>
      <c r="D277" s="7">
        <f t="shared" si="4"/>
        <v>0</v>
      </c>
    </row>
    <row r="278" spans="1:4" ht="18.75" hidden="1" x14ac:dyDescent="0.25">
      <c r="A278" s="9" t="s">
        <v>277</v>
      </c>
      <c r="B278" s="6"/>
      <c r="C278" s="6"/>
      <c r="D278" s="7">
        <f t="shared" si="4"/>
        <v>0</v>
      </c>
    </row>
    <row r="279" spans="1:4" ht="18.75" hidden="1" x14ac:dyDescent="0.25">
      <c r="A279" s="34" t="s">
        <v>278</v>
      </c>
      <c r="B279" s="6"/>
      <c r="C279" s="6"/>
      <c r="D279" s="7">
        <f t="shared" si="4"/>
        <v>0</v>
      </c>
    </row>
    <row r="280" spans="1:4" ht="18.75" hidden="1" x14ac:dyDescent="0.25">
      <c r="A280" s="34" t="s">
        <v>279</v>
      </c>
      <c r="B280" s="6"/>
      <c r="C280" s="6"/>
      <c r="D280" s="7">
        <f t="shared" si="4"/>
        <v>0</v>
      </c>
    </row>
    <row r="281" spans="1:4" ht="18.75" hidden="1" x14ac:dyDescent="0.25">
      <c r="A281" s="12" t="s">
        <v>280</v>
      </c>
      <c r="B281" s="15"/>
      <c r="C281" s="15"/>
      <c r="D281" s="7">
        <f t="shared" si="4"/>
        <v>0</v>
      </c>
    </row>
    <row r="282" spans="1:4" ht="18.75" hidden="1" x14ac:dyDescent="0.25">
      <c r="A282" s="12" t="s">
        <v>281</v>
      </c>
      <c r="B282" s="6"/>
      <c r="C282" s="6"/>
      <c r="D282" s="7">
        <f t="shared" si="4"/>
        <v>0</v>
      </c>
    </row>
    <row r="283" spans="1:4" ht="18.75" hidden="1" x14ac:dyDescent="0.25">
      <c r="A283" s="11" t="s">
        <v>282</v>
      </c>
      <c r="B283" s="6"/>
      <c r="C283" s="6"/>
      <c r="D283" s="7">
        <f t="shared" si="4"/>
        <v>0</v>
      </c>
    </row>
    <row r="284" spans="1:4" ht="18.75" hidden="1" x14ac:dyDescent="0.25">
      <c r="A284" s="11" t="s">
        <v>283</v>
      </c>
      <c r="B284" s="6"/>
      <c r="C284" s="6"/>
      <c r="D284" s="7">
        <f t="shared" si="4"/>
        <v>0</v>
      </c>
    </row>
    <row r="285" spans="1:4" ht="18.75" hidden="1" x14ac:dyDescent="0.25">
      <c r="A285" s="17" t="s">
        <v>284</v>
      </c>
      <c r="B285" s="6"/>
      <c r="C285" s="6"/>
      <c r="D285" s="7">
        <f t="shared" si="4"/>
        <v>0</v>
      </c>
    </row>
    <row r="286" spans="1:4" ht="18.75" hidden="1" x14ac:dyDescent="0.25">
      <c r="A286" s="17" t="s">
        <v>285</v>
      </c>
      <c r="B286" s="6"/>
      <c r="C286" s="6"/>
      <c r="D286" s="7">
        <f t="shared" si="4"/>
        <v>0</v>
      </c>
    </row>
    <row r="287" spans="1:4" ht="18.75" hidden="1" x14ac:dyDescent="0.25">
      <c r="A287" s="17" t="s">
        <v>286</v>
      </c>
      <c r="B287" s="6"/>
      <c r="C287" s="6"/>
      <c r="D287" s="7">
        <f t="shared" si="4"/>
        <v>0</v>
      </c>
    </row>
    <row r="288" spans="1:4" ht="18.75" x14ac:dyDescent="0.25">
      <c r="A288" s="9" t="s">
        <v>287</v>
      </c>
      <c r="B288" s="6">
        <v>20</v>
      </c>
      <c r="C288" s="6">
        <v>11000</v>
      </c>
      <c r="D288" s="7">
        <f t="shared" si="4"/>
        <v>220000</v>
      </c>
    </row>
    <row r="289" spans="1:4" ht="18.75" hidden="1" x14ac:dyDescent="0.25">
      <c r="A289" s="17" t="s">
        <v>288</v>
      </c>
      <c r="B289" s="6"/>
      <c r="C289" s="6"/>
      <c r="D289" s="7">
        <f t="shared" si="4"/>
        <v>0</v>
      </c>
    </row>
    <row r="290" spans="1:4" ht="18.75" hidden="1" x14ac:dyDescent="0.25">
      <c r="A290" s="9" t="s">
        <v>289</v>
      </c>
      <c r="B290" s="6"/>
      <c r="C290" s="6"/>
      <c r="D290" s="7">
        <f t="shared" si="4"/>
        <v>0</v>
      </c>
    </row>
    <row r="291" spans="1:4" ht="18.75" hidden="1" x14ac:dyDescent="0.25">
      <c r="A291" s="9" t="s">
        <v>290</v>
      </c>
      <c r="B291" s="6"/>
      <c r="C291" s="6"/>
      <c r="D291" s="7">
        <f t="shared" si="4"/>
        <v>0</v>
      </c>
    </row>
    <row r="292" spans="1:4" ht="18.75" hidden="1" x14ac:dyDescent="0.25">
      <c r="A292" s="17" t="s">
        <v>291</v>
      </c>
      <c r="B292" s="6"/>
      <c r="C292" s="6"/>
      <c r="D292" s="7">
        <f t="shared" si="4"/>
        <v>0</v>
      </c>
    </row>
    <row r="293" spans="1:4" ht="18.75" hidden="1" x14ac:dyDescent="0.25">
      <c r="A293" s="25" t="s">
        <v>292</v>
      </c>
      <c r="B293" s="6"/>
      <c r="C293" s="6"/>
      <c r="D293" s="7">
        <f t="shared" si="4"/>
        <v>0</v>
      </c>
    </row>
    <row r="294" spans="1:4" ht="18.75" x14ac:dyDescent="0.25">
      <c r="A294" s="9" t="s">
        <v>293</v>
      </c>
      <c r="B294" s="6">
        <v>20</v>
      </c>
      <c r="C294" s="6">
        <v>10000</v>
      </c>
      <c r="D294" s="7">
        <f t="shared" si="4"/>
        <v>200000</v>
      </c>
    </row>
    <row r="295" spans="1:4" ht="18.75" hidden="1" x14ac:dyDescent="0.25">
      <c r="A295" s="13" t="s">
        <v>294</v>
      </c>
      <c r="B295" s="6"/>
      <c r="C295" s="6"/>
      <c r="D295" s="7">
        <f t="shared" si="4"/>
        <v>0</v>
      </c>
    </row>
    <row r="296" spans="1:4" ht="18.75" hidden="1" x14ac:dyDescent="0.25">
      <c r="A296" s="13" t="s">
        <v>295</v>
      </c>
      <c r="B296" s="6"/>
      <c r="C296" s="6"/>
      <c r="D296" s="7">
        <f t="shared" si="4"/>
        <v>0</v>
      </c>
    </row>
    <row r="297" spans="1:4" ht="18.75" hidden="1" x14ac:dyDescent="0.25">
      <c r="A297" s="12" t="s">
        <v>296</v>
      </c>
      <c r="B297" s="6"/>
      <c r="C297" s="6"/>
      <c r="D297" s="7">
        <f t="shared" si="4"/>
        <v>0</v>
      </c>
    </row>
    <row r="298" spans="1:4" ht="18.75" hidden="1" x14ac:dyDescent="0.25">
      <c r="A298" s="17" t="s">
        <v>297</v>
      </c>
      <c r="B298" s="6"/>
      <c r="C298" s="6"/>
      <c r="D298" s="7">
        <f t="shared" si="4"/>
        <v>0</v>
      </c>
    </row>
    <row r="299" spans="1:4" ht="18.75" hidden="1" x14ac:dyDescent="0.25">
      <c r="A299" s="13" t="s">
        <v>298</v>
      </c>
      <c r="B299" s="6"/>
      <c r="C299" s="6"/>
      <c r="D299" s="7">
        <f t="shared" si="4"/>
        <v>0</v>
      </c>
    </row>
    <row r="300" spans="1:4" ht="18.75" hidden="1" x14ac:dyDescent="0.25">
      <c r="A300" s="9" t="s">
        <v>299</v>
      </c>
      <c r="B300" s="6"/>
      <c r="C300" s="6"/>
      <c r="D300" s="7">
        <f t="shared" si="4"/>
        <v>0</v>
      </c>
    </row>
    <row r="301" spans="1:4" ht="18.75" hidden="1" x14ac:dyDescent="0.25">
      <c r="A301" s="17" t="s">
        <v>300</v>
      </c>
      <c r="B301" s="6"/>
      <c r="C301" s="6"/>
      <c r="D301" s="7">
        <f t="shared" si="4"/>
        <v>0</v>
      </c>
    </row>
    <row r="302" spans="1:4" ht="18.75" hidden="1" x14ac:dyDescent="0.25">
      <c r="A302" s="9" t="s">
        <v>301</v>
      </c>
      <c r="B302" s="6"/>
      <c r="C302" s="6"/>
      <c r="D302" s="7">
        <f t="shared" si="4"/>
        <v>0</v>
      </c>
    </row>
    <row r="303" spans="1:4" ht="18.75" hidden="1" x14ac:dyDescent="0.25">
      <c r="A303" s="9" t="s">
        <v>302</v>
      </c>
      <c r="B303" s="6"/>
      <c r="C303" s="6"/>
      <c r="D303" s="7">
        <f t="shared" si="4"/>
        <v>0</v>
      </c>
    </row>
    <row r="304" spans="1:4" ht="18.75" hidden="1" x14ac:dyDescent="0.25">
      <c r="A304" s="11" t="s">
        <v>303</v>
      </c>
      <c r="B304" s="6"/>
      <c r="C304" s="6"/>
      <c r="D304" s="7">
        <f t="shared" si="4"/>
        <v>0</v>
      </c>
    </row>
    <row r="305" spans="1:4" ht="18.75" hidden="1" x14ac:dyDescent="0.25">
      <c r="A305" s="12" t="s">
        <v>304</v>
      </c>
      <c r="B305" s="6"/>
      <c r="C305" s="6"/>
      <c r="D305" s="7">
        <f t="shared" si="4"/>
        <v>0</v>
      </c>
    </row>
    <row r="306" spans="1:4" ht="18.75" hidden="1" x14ac:dyDescent="0.25">
      <c r="A306" s="12" t="s">
        <v>305</v>
      </c>
      <c r="B306" s="6"/>
      <c r="C306" s="6"/>
      <c r="D306" s="7">
        <f t="shared" si="4"/>
        <v>0</v>
      </c>
    </row>
    <row r="307" spans="1:4" ht="18.75" hidden="1" x14ac:dyDescent="0.25">
      <c r="A307" s="9" t="s">
        <v>306</v>
      </c>
      <c r="B307" s="6"/>
      <c r="C307" s="6"/>
      <c r="D307" s="7">
        <f t="shared" si="4"/>
        <v>0</v>
      </c>
    </row>
    <row r="308" spans="1:4" ht="18.75" hidden="1" x14ac:dyDescent="0.25">
      <c r="A308" s="9" t="s">
        <v>307</v>
      </c>
      <c r="B308" s="6"/>
      <c r="C308" s="6"/>
      <c r="D308" s="7">
        <f t="shared" si="4"/>
        <v>0</v>
      </c>
    </row>
    <row r="309" spans="1:4" ht="18.75" hidden="1" x14ac:dyDescent="0.25">
      <c r="A309" s="9" t="s">
        <v>308</v>
      </c>
      <c r="B309" s="6"/>
      <c r="C309" s="6"/>
      <c r="D309" s="7">
        <f t="shared" si="4"/>
        <v>0</v>
      </c>
    </row>
    <row r="310" spans="1:4" ht="18.75" hidden="1" x14ac:dyDescent="0.25">
      <c r="A310" s="13" t="s">
        <v>309</v>
      </c>
      <c r="B310" s="6"/>
      <c r="C310" s="6"/>
      <c r="D310" s="7">
        <f t="shared" si="4"/>
        <v>0</v>
      </c>
    </row>
    <row r="311" spans="1:4" ht="18.75" hidden="1" x14ac:dyDescent="0.25">
      <c r="A311" s="13" t="s">
        <v>310</v>
      </c>
      <c r="B311" s="6"/>
      <c r="C311" s="6"/>
      <c r="D311" s="7">
        <f t="shared" si="4"/>
        <v>0</v>
      </c>
    </row>
    <row r="312" spans="1:4" ht="18.75" hidden="1" x14ac:dyDescent="0.25">
      <c r="A312" s="21" t="s">
        <v>311</v>
      </c>
      <c r="B312" s="6"/>
      <c r="C312" s="6"/>
      <c r="D312" s="7">
        <f t="shared" si="4"/>
        <v>0</v>
      </c>
    </row>
    <row r="313" spans="1:4" ht="18.75" hidden="1" x14ac:dyDescent="0.25">
      <c r="A313" s="13" t="s">
        <v>312</v>
      </c>
      <c r="B313" s="6"/>
      <c r="C313" s="6"/>
      <c r="D313" s="7">
        <f t="shared" si="4"/>
        <v>0</v>
      </c>
    </row>
    <row r="314" spans="1:4" ht="18.75" hidden="1" x14ac:dyDescent="0.25">
      <c r="A314" s="9" t="s">
        <v>313</v>
      </c>
      <c r="B314" s="6"/>
      <c r="C314" s="6"/>
      <c r="D314" s="7">
        <f t="shared" si="4"/>
        <v>0</v>
      </c>
    </row>
    <row r="315" spans="1:4" ht="18.75" hidden="1" x14ac:dyDescent="0.25">
      <c r="A315" s="9" t="s">
        <v>314</v>
      </c>
      <c r="B315" s="6"/>
      <c r="C315" s="6"/>
      <c r="D315" s="7">
        <f t="shared" si="4"/>
        <v>0</v>
      </c>
    </row>
    <row r="316" spans="1:4" ht="18.75" hidden="1" x14ac:dyDescent="0.25">
      <c r="A316" s="9" t="s">
        <v>315</v>
      </c>
      <c r="B316" s="6"/>
      <c r="C316" s="6"/>
      <c r="D316" s="7">
        <f t="shared" si="4"/>
        <v>0</v>
      </c>
    </row>
    <row r="317" spans="1:4" ht="18.75" hidden="1" x14ac:dyDescent="0.25">
      <c r="A317" s="9" t="s">
        <v>316</v>
      </c>
      <c r="B317" s="6"/>
      <c r="C317" s="6"/>
      <c r="D317" s="7">
        <f t="shared" si="4"/>
        <v>0</v>
      </c>
    </row>
    <row r="318" spans="1:4" ht="18.75" hidden="1" x14ac:dyDescent="0.25">
      <c r="A318" s="21" t="s">
        <v>317</v>
      </c>
      <c r="B318" s="6"/>
      <c r="C318" s="6"/>
      <c r="D318" s="7">
        <f t="shared" si="4"/>
        <v>0</v>
      </c>
    </row>
    <row r="319" spans="1:4" ht="18.75" hidden="1" x14ac:dyDescent="0.25">
      <c r="A319" s="9" t="s">
        <v>318</v>
      </c>
      <c r="B319" s="6"/>
      <c r="C319" s="6"/>
      <c r="D319" s="7">
        <f t="shared" si="4"/>
        <v>0</v>
      </c>
    </row>
    <row r="320" spans="1:4" ht="18.75" hidden="1" x14ac:dyDescent="0.25">
      <c r="A320" s="9" t="s">
        <v>319</v>
      </c>
      <c r="B320" s="6"/>
      <c r="C320" s="6"/>
      <c r="D320" s="7">
        <f t="shared" si="4"/>
        <v>0</v>
      </c>
    </row>
    <row r="321" spans="1:4" ht="18.75" hidden="1" x14ac:dyDescent="0.25">
      <c r="A321" s="12" t="s">
        <v>320</v>
      </c>
      <c r="B321" s="6"/>
      <c r="C321" s="6"/>
      <c r="D321" s="7">
        <f t="shared" si="4"/>
        <v>0</v>
      </c>
    </row>
    <row r="322" spans="1:4" ht="18.75" hidden="1" x14ac:dyDescent="0.25">
      <c r="A322" s="9" t="s">
        <v>321</v>
      </c>
      <c r="B322" s="38"/>
      <c r="C322" s="38"/>
      <c r="D322" s="7">
        <f t="shared" si="4"/>
        <v>0</v>
      </c>
    </row>
    <row r="323" spans="1:4" ht="18.75" hidden="1" x14ac:dyDescent="0.25">
      <c r="A323" s="9" t="s">
        <v>322</v>
      </c>
      <c r="B323" s="6"/>
      <c r="C323" s="6"/>
      <c r="D323" s="7">
        <f t="shared" si="4"/>
        <v>0</v>
      </c>
    </row>
    <row r="324" spans="1:4" ht="18.75" hidden="1" x14ac:dyDescent="0.25">
      <c r="A324" s="9" t="s">
        <v>323</v>
      </c>
      <c r="B324" s="6"/>
      <c r="C324" s="6"/>
      <c r="D324" s="7">
        <f t="shared" ref="D324:D387" si="5">B324*C324</f>
        <v>0</v>
      </c>
    </row>
    <row r="325" spans="1:4" ht="18.75" hidden="1" x14ac:dyDescent="0.25">
      <c r="A325" s="21" t="s">
        <v>324</v>
      </c>
      <c r="B325" s="6"/>
      <c r="C325" s="6"/>
      <c r="D325" s="7">
        <f t="shared" si="5"/>
        <v>0</v>
      </c>
    </row>
    <row r="326" spans="1:4" ht="18.75" hidden="1" x14ac:dyDescent="0.25">
      <c r="A326" s="21" t="s">
        <v>325</v>
      </c>
      <c r="B326" s="6"/>
      <c r="C326" s="6"/>
      <c r="D326" s="7">
        <f t="shared" si="5"/>
        <v>0</v>
      </c>
    </row>
    <row r="327" spans="1:4" ht="18.75" hidden="1" x14ac:dyDescent="0.25">
      <c r="A327" s="9" t="s">
        <v>326</v>
      </c>
      <c r="B327" s="6"/>
      <c r="C327" s="6"/>
      <c r="D327" s="7">
        <f t="shared" si="5"/>
        <v>0</v>
      </c>
    </row>
    <row r="328" spans="1:4" ht="18.75" hidden="1" x14ac:dyDescent="0.25">
      <c r="A328" s="9" t="s">
        <v>327</v>
      </c>
      <c r="B328" s="6"/>
      <c r="C328" s="6"/>
      <c r="D328" s="7">
        <f t="shared" si="5"/>
        <v>0</v>
      </c>
    </row>
    <row r="329" spans="1:4" ht="18.75" hidden="1" x14ac:dyDescent="0.25">
      <c r="A329" s="21" t="s">
        <v>328</v>
      </c>
      <c r="B329" s="6"/>
      <c r="C329" s="6"/>
      <c r="D329" s="7">
        <f t="shared" si="5"/>
        <v>0</v>
      </c>
    </row>
    <row r="330" spans="1:4" ht="18.75" hidden="1" x14ac:dyDescent="0.25">
      <c r="A330" s="9" t="s">
        <v>329</v>
      </c>
      <c r="B330" s="6"/>
      <c r="C330" s="6"/>
      <c r="D330" s="7">
        <f t="shared" si="5"/>
        <v>0</v>
      </c>
    </row>
    <row r="331" spans="1:4" ht="18.75" hidden="1" x14ac:dyDescent="0.25">
      <c r="A331" s="9" t="s">
        <v>330</v>
      </c>
      <c r="B331" s="6"/>
      <c r="C331" s="6"/>
      <c r="D331" s="7">
        <f t="shared" si="5"/>
        <v>0</v>
      </c>
    </row>
    <row r="332" spans="1:4" ht="18.75" hidden="1" x14ac:dyDescent="0.25">
      <c r="A332" s="9" t="s">
        <v>331</v>
      </c>
      <c r="B332" s="6"/>
      <c r="C332" s="6"/>
      <c r="D332" s="7">
        <f t="shared" si="5"/>
        <v>0</v>
      </c>
    </row>
    <row r="333" spans="1:4" ht="18.75" hidden="1" x14ac:dyDescent="0.25">
      <c r="A333" s="9" t="s">
        <v>332</v>
      </c>
      <c r="B333" s="6"/>
      <c r="C333" s="6"/>
      <c r="D333" s="7">
        <f t="shared" si="5"/>
        <v>0</v>
      </c>
    </row>
    <row r="334" spans="1:4" ht="18.75" hidden="1" x14ac:dyDescent="0.25">
      <c r="A334" s="9" t="s">
        <v>333</v>
      </c>
      <c r="B334" s="6"/>
      <c r="C334" s="6"/>
      <c r="D334" s="7">
        <f t="shared" si="5"/>
        <v>0</v>
      </c>
    </row>
    <row r="335" spans="1:4" ht="18.75" hidden="1" x14ac:dyDescent="0.25">
      <c r="A335" s="9" t="s">
        <v>334</v>
      </c>
      <c r="B335" s="6"/>
      <c r="C335" s="6"/>
      <c r="D335" s="7">
        <f t="shared" si="5"/>
        <v>0</v>
      </c>
    </row>
    <row r="336" spans="1:4" ht="18.75" hidden="1" x14ac:dyDescent="0.25">
      <c r="A336" s="9" t="s">
        <v>335</v>
      </c>
      <c r="B336" s="6"/>
      <c r="C336" s="6"/>
      <c r="D336" s="7">
        <f t="shared" si="5"/>
        <v>0</v>
      </c>
    </row>
    <row r="337" spans="1:4" ht="18.75" hidden="1" x14ac:dyDescent="0.25">
      <c r="A337" s="9" t="s">
        <v>336</v>
      </c>
      <c r="B337" s="6"/>
      <c r="C337" s="6"/>
      <c r="D337" s="7">
        <f t="shared" si="5"/>
        <v>0</v>
      </c>
    </row>
    <row r="338" spans="1:4" ht="18.75" hidden="1" x14ac:dyDescent="0.25">
      <c r="A338" s="11" t="s">
        <v>337</v>
      </c>
      <c r="B338" s="6"/>
      <c r="C338" s="6"/>
      <c r="D338" s="7">
        <f t="shared" si="5"/>
        <v>0</v>
      </c>
    </row>
    <row r="339" spans="1:4" ht="18.75" hidden="1" x14ac:dyDescent="0.25">
      <c r="A339" s="11" t="s">
        <v>338</v>
      </c>
      <c r="B339" s="6"/>
      <c r="C339" s="6"/>
      <c r="D339" s="7">
        <f t="shared" si="5"/>
        <v>0</v>
      </c>
    </row>
    <row r="340" spans="1:4" ht="18.75" x14ac:dyDescent="0.25">
      <c r="A340" s="40"/>
      <c r="B340" s="41">
        <f>SUM(B3:B339)</f>
        <v>4023</v>
      </c>
      <c r="C340" s="41"/>
      <c r="D340" s="7">
        <f>SUM(D15:D294)</f>
        <v>69176000</v>
      </c>
    </row>
    <row r="341" spans="1:4" ht="18.75" hidden="1" x14ac:dyDescent="0.25">
      <c r="D341" s="7">
        <f t="shared" si="5"/>
        <v>0</v>
      </c>
    </row>
    <row r="342" spans="1:4" ht="18.75" x14ac:dyDescent="0.25">
      <c r="A342" s="1" t="s">
        <v>370</v>
      </c>
      <c r="B342" s="2"/>
      <c r="C342" s="2"/>
      <c r="D342" s="7"/>
    </row>
    <row r="343" spans="1:4" ht="25.5" x14ac:dyDescent="0.25">
      <c r="A343" s="88" t="s">
        <v>0</v>
      </c>
      <c r="B343" s="3" t="s">
        <v>1</v>
      </c>
      <c r="C343" s="3" t="s">
        <v>368</v>
      </c>
      <c r="D343" s="7" t="s">
        <v>369</v>
      </c>
    </row>
    <row r="344" spans="1:4" ht="18.75" hidden="1" x14ac:dyDescent="0.25">
      <c r="A344" s="89"/>
      <c r="B344" s="4"/>
      <c r="C344" s="4"/>
      <c r="D344" s="7">
        <f t="shared" si="5"/>
        <v>0</v>
      </c>
    </row>
    <row r="345" spans="1:4" ht="18.75" hidden="1" x14ac:dyDescent="0.25">
      <c r="A345" s="5" t="s">
        <v>2</v>
      </c>
      <c r="B345" s="7"/>
      <c r="C345" s="7"/>
      <c r="D345" s="7">
        <f t="shared" si="5"/>
        <v>0</v>
      </c>
    </row>
    <row r="346" spans="1:4" ht="18.75" hidden="1" x14ac:dyDescent="0.25">
      <c r="A346" s="8" t="s">
        <v>3</v>
      </c>
      <c r="B346" s="7"/>
      <c r="C346" s="7"/>
      <c r="D346" s="7">
        <f t="shared" si="5"/>
        <v>0</v>
      </c>
    </row>
    <row r="347" spans="1:4" ht="18.75" hidden="1" x14ac:dyDescent="0.25">
      <c r="A347" s="5" t="s">
        <v>4</v>
      </c>
      <c r="B347" s="7"/>
      <c r="C347" s="7"/>
      <c r="D347" s="7">
        <f t="shared" si="5"/>
        <v>0</v>
      </c>
    </row>
    <row r="348" spans="1:4" ht="18.75" x14ac:dyDescent="0.25">
      <c r="A348" s="5" t="s">
        <v>5</v>
      </c>
      <c r="B348" s="7">
        <v>29</v>
      </c>
      <c r="C348" s="7">
        <v>7300</v>
      </c>
      <c r="D348" s="7">
        <f t="shared" si="5"/>
        <v>211700</v>
      </c>
    </row>
    <row r="349" spans="1:4" ht="18.75" hidden="1" x14ac:dyDescent="0.25">
      <c r="A349" s="9" t="s">
        <v>6</v>
      </c>
      <c r="B349" s="7"/>
      <c r="C349" s="7"/>
      <c r="D349" s="7">
        <f t="shared" si="5"/>
        <v>0</v>
      </c>
    </row>
    <row r="350" spans="1:4" ht="18.75" hidden="1" x14ac:dyDescent="0.25">
      <c r="A350" s="10" t="s">
        <v>7</v>
      </c>
      <c r="B350" s="7"/>
      <c r="C350" s="7"/>
      <c r="D350" s="7">
        <f t="shared" si="5"/>
        <v>0</v>
      </c>
    </row>
    <row r="351" spans="1:4" ht="18.75" hidden="1" x14ac:dyDescent="0.25">
      <c r="A351" s="5" t="s">
        <v>8</v>
      </c>
      <c r="B351" s="7"/>
      <c r="C351" s="7"/>
      <c r="D351" s="7">
        <f t="shared" si="5"/>
        <v>0</v>
      </c>
    </row>
    <row r="352" spans="1:4" ht="18.75" hidden="1" x14ac:dyDescent="0.25">
      <c r="A352" s="5" t="s">
        <v>9</v>
      </c>
      <c r="B352" s="7"/>
      <c r="C352" s="7"/>
      <c r="D352" s="7">
        <f t="shared" si="5"/>
        <v>0</v>
      </c>
    </row>
    <row r="353" spans="1:4" ht="18.75" hidden="1" x14ac:dyDescent="0.25">
      <c r="A353" s="11" t="s">
        <v>339</v>
      </c>
      <c r="B353" s="7"/>
      <c r="C353" s="7"/>
      <c r="D353" s="7">
        <f t="shared" si="5"/>
        <v>0</v>
      </c>
    </row>
    <row r="354" spans="1:4" ht="18.75" hidden="1" x14ac:dyDescent="0.25">
      <c r="A354" s="9" t="s">
        <v>11</v>
      </c>
      <c r="B354" s="7"/>
      <c r="C354" s="7"/>
      <c r="D354" s="7">
        <f t="shared" si="5"/>
        <v>0</v>
      </c>
    </row>
    <row r="355" spans="1:4" ht="18.75" x14ac:dyDescent="0.25">
      <c r="A355" s="9" t="s">
        <v>12</v>
      </c>
      <c r="B355" s="7">
        <v>34</v>
      </c>
      <c r="C355" s="7">
        <v>8000</v>
      </c>
      <c r="D355" s="7">
        <f t="shared" si="5"/>
        <v>272000</v>
      </c>
    </row>
    <row r="356" spans="1:4" ht="18.75" hidden="1" x14ac:dyDescent="0.25">
      <c r="A356" s="12" t="s">
        <v>13</v>
      </c>
      <c r="B356" s="7"/>
      <c r="C356" s="7"/>
      <c r="D356" s="7">
        <f t="shared" si="5"/>
        <v>0</v>
      </c>
    </row>
    <row r="357" spans="1:4" ht="18.75" hidden="1" x14ac:dyDescent="0.25">
      <c r="A357" s="12" t="s">
        <v>14</v>
      </c>
      <c r="B357" s="7"/>
      <c r="C357" s="7"/>
      <c r="D357" s="7">
        <f t="shared" si="5"/>
        <v>0</v>
      </c>
    </row>
    <row r="358" spans="1:4" ht="18.75" hidden="1" x14ac:dyDescent="0.25">
      <c r="A358" s="9" t="s">
        <v>15</v>
      </c>
      <c r="B358" s="7"/>
      <c r="C358" s="7"/>
      <c r="D358" s="7">
        <f t="shared" si="5"/>
        <v>0</v>
      </c>
    </row>
    <row r="359" spans="1:4" ht="18.75" hidden="1" x14ac:dyDescent="0.25">
      <c r="A359" s="9" t="s">
        <v>16</v>
      </c>
      <c r="B359" s="7"/>
      <c r="C359" s="7"/>
      <c r="D359" s="7">
        <f t="shared" si="5"/>
        <v>0</v>
      </c>
    </row>
    <row r="360" spans="1:4" ht="18.75" hidden="1" x14ac:dyDescent="0.25">
      <c r="A360" s="13" t="s">
        <v>17</v>
      </c>
      <c r="B360" s="7"/>
      <c r="C360" s="7"/>
      <c r="D360" s="7">
        <f t="shared" si="5"/>
        <v>0</v>
      </c>
    </row>
    <row r="361" spans="1:4" ht="18.75" hidden="1" x14ac:dyDescent="0.25">
      <c r="A361" s="11" t="s">
        <v>18</v>
      </c>
      <c r="B361" s="7"/>
      <c r="C361" s="7"/>
      <c r="D361" s="7">
        <f t="shared" si="5"/>
        <v>0</v>
      </c>
    </row>
    <row r="362" spans="1:4" ht="18.75" x14ac:dyDescent="0.25">
      <c r="A362" s="9" t="s">
        <v>19</v>
      </c>
      <c r="B362" s="7">
        <f>-1500+2350</f>
        <v>850</v>
      </c>
      <c r="C362" s="7">
        <v>12000</v>
      </c>
      <c r="D362" s="7">
        <f t="shared" si="5"/>
        <v>10200000</v>
      </c>
    </row>
    <row r="363" spans="1:4" ht="18.75" hidden="1" x14ac:dyDescent="0.25">
      <c r="A363" s="12" t="s">
        <v>20</v>
      </c>
      <c r="B363" s="7"/>
      <c r="C363" s="7"/>
      <c r="D363" s="7">
        <f t="shared" si="5"/>
        <v>0</v>
      </c>
    </row>
    <row r="364" spans="1:4" ht="18.75" hidden="1" x14ac:dyDescent="0.25">
      <c r="A364" s="12" t="s">
        <v>21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22</v>
      </c>
      <c r="B365" s="7"/>
      <c r="C365" s="7"/>
      <c r="D365" s="7">
        <f t="shared" si="5"/>
        <v>0</v>
      </c>
    </row>
    <row r="366" spans="1:4" ht="18.75" hidden="1" x14ac:dyDescent="0.25">
      <c r="A366" s="9" t="s">
        <v>23</v>
      </c>
      <c r="B366" s="7"/>
      <c r="C366" s="7"/>
      <c r="D366" s="7">
        <f t="shared" si="5"/>
        <v>0</v>
      </c>
    </row>
    <row r="367" spans="1:4" ht="18.75" x14ac:dyDescent="0.25">
      <c r="A367" s="9" t="s">
        <v>24</v>
      </c>
      <c r="B367" s="7">
        <v>30</v>
      </c>
      <c r="C367" s="7">
        <v>14000</v>
      </c>
      <c r="D367" s="7">
        <f t="shared" si="5"/>
        <v>420000</v>
      </c>
    </row>
    <row r="368" spans="1:4" ht="18.75" hidden="1" x14ac:dyDescent="0.25">
      <c r="A368" s="9" t="s">
        <v>25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26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27</v>
      </c>
      <c r="B370" s="7"/>
      <c r="C370" s="7"/>
      <c r="D370" s="7">
        <f t="shared" si="5"/>
        <v>0</v>
      </c>
    </row>
    <row r="371" spans="1:4" ht="18.75" hidden="1" x14ac:dyDescent="0.25">
      <c r="A371" s="12" t="s">
        <v>29</v>
      </c>
      <c r="B371" s="7"/>
      <c r="C371" s="7"/>
      <c r="D371" s="7">
        <f t="shared" si="5"/>
        <v>0</v>
      </c>
    </row>
    <row r="372" spans="1:4" ht="18.75" hidden="1" x14ac:dyDescent="0.25">
      <c r="A372" s="12" t="s">
        <v>37</v>
      </c>
      <c r="B372" s="7"/>
      <c r="C372" s="7"/>
      <c r="D372" s="7">
        <f t="shared" si="5"/>
        <v>0</v>
      </c>
    </row>
    <row r="373" spans="1:4" ht="18.75" hidden="1" x14ac:dyDescent="0.25">
      <c r="A373" s="9" t="s">
        <v>38</v>
      </c>
      <c r="B373" s="7"/>
      <c r="C373" s="7"/>
      <c r="D373" s="7">
        <f t="shared" si="5"/>
        <v>0</v>
      </c>
    </row>
    <row r="374" spans="1:4" ht="18.75" hidden="1" x14ac:dyDescent="0.25">
      <c r="A374" s="9" t="s">
        <v>39</v>
      </c>
      <c r="B374" s="7"/>
      <c r="C374" s="7"/>
      <c r="D374" s="7">
        <f t="shared" si="5"/>
        <v>0</v>
      </c>
    </row>
    <row r="375" spans="1:4" ht="18.75" hidden="1" x14ac:dyDescent="0.25">
      <c r="A375" s="11" t="s">
        <v>340</v>
      </c>
      <c r="B375" s="16"/>
      <c r="C375" s="16"/>
      <c r="D375" s="7">
        <f t="shared" si="5"/>
        <v>0</v>
      </c>
    </row>
    <row r="376" spans="1:4" ht="18.75" hidden="1" x14ac:dyDescent="0.25">
      <c r="A376" s="11" t="s">
        <v>40</v>
      </c>
      <c r="B376" s="16"/>
      <c r="C376" s="16"/>
      <c r="D376" s="7">
        <f t="shared" si="5"/>
        <v>0</v>
      </c>
    </row>
    <row r="377" spans="1:4" ht="18.75" hidden="1" x14ac:dyDescent="0.25">
      <c r="A377" s="9" t="s">
        <v>41</v>
      </c>
      <c r="B377" s="7"/>
      <c r="C377" s="7"/>
      <c r="D377" s="7">
        <f t="shared" si="5"/>
        <v>0</v>
      </c>
    </row>
    <row r="378" spans="1:4" ht="18.75" hidden="1" x14ac:dyDescent="0.25">
      <c r="A378" s="9" t="s">
        <v>42</v>
      </c>
      <c r="B378" s="7"/>
      <c r="C378" s="7"/>
      <c r="D378" s="7">
        <f t="shared" si="5"/>
        <v>0</v>
      </c>
    </row>
    <row r="379" spans="1:4" ht="18.75" hidden="1" x14ac:dyDescent="0.25">
      <c r="A379" s="17" t="s">
        <v>43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44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45</v>
      </c>
      <c r="B381" s="7"/>
      <c r="C381" s="7"/>
      <c r="D381" s="7">
        <f t="shared" si="5"/>
        <v>0</v>
      </c>
    </row>
    <row r="382" spans="1:4" ht="18.75" hidden="1" x14ac:dyDescent="0.25">
      <c r="A382" s="9" t="s">
        <v>46</v>
      </c>
      <c r="B382" s="7"/>
      <c r="C382" s="7"/>
      <c r="D382" s="7">
        <f t="shared" si="5"/>
        <v>0</v>
      </c>
    </row>
    <row r="383" spans="1:4" ht="18.75" hidden="1" x14ac:dyDescent="0.25">
      <c r="A383" s="9" t="s">
        <v>47</v>
      </c>
      <c r="B383" s="7"/>
      <c r="C383" s="7"/>
      <c r="D383" s="7">
        <f t="shared" si="5"/>
        <v>0</v>
      </c>
    </row>
    <row r="384" spans="1:4" ht="18.75" hidden="1" x14ac:dyDescent="0.25">
      <c r="A384" s="13" t="s">
        <v>48</v>
      </c>
      <c r="B384" s="7"/>
      <c r="C384" s="7"/>
      <c r="D384" s="7">
        <f t="shared" si="5"/>
        <v>0</v>
      </c>
    </row>
    <row r="385" spans="1:4" ht="18.75" hidden="1" x14ac:dyDescent="0.25">
      <c r="A385" s="11" t="s">
        <v>49</v>
      </c>
      <c r="B385" s="7"/>
      <c r="C385" s="7"/>
      <c r="D385" s="7">
        <f t="shared" si="5"/>
        <v>0</v>
      </c>
    </row>
    <row r="386" spans="1:4" ht="18.75" hidden="1" x14ac:dyDescent="0.25">
      <c r="A386" s="13" t="s">
        <v>50</v>
      </c>
      <c r="B386" s="7"/>
      <c r="C386" s="7"/>
      <c r="D386" s="7">
        <f t="shared" si="5"/>
        <v>0</v>
      </c>
    </row>
    <row r="387" spans="1:4" ht="18.75" hidden="1" x14ac:dyDescent="0.25">
      <c r="A387" s="9" t="s">
        <v>51</v>
      </c>
      <c r="B387" s="7"/>
      <c r="C387" s="7"/>
      <c r="D387" s="7">
        <f t="shared" si="5"/>
        <v>0</v>
      </c>
    </row>
    <row r="388" spans="1:4" ht="18.75" hidden="1" x14ac:dyDescent="0.25">
      <c r="A388" s="9" t="s">
        <v>52</v>
      </c>
      <c r="B388" s="7"/>
      <c r="C388" s="7"/>
      <c r="D388" s="7">
        <f t="shared" ref="D388:D451" si="6">B388*C388</f>
        <v>0</v>
      </c>
    </row>
    <row r="389" spans="1:4" ht="18.75" x14ac:dyDescent="0.25">
      <c r="A389" s="12" t="s">
        <v>53</v>
      </c>
      <c r="B389" s="7">
        <v>300</v>
      </c>
      <c r="C389" s="7">
        <v>19000</v>
      </c>
      <c r="D389" s="7">
        <f t="shared" si="6"/>
        <v>5700000</v>
      </c>
    </row>
    <row r="390" spans="1:4" ht="18.75" hidden="1" x14ac:dyDescent="0.25">
      <c r="A390" s="18" t="s">
        <v>54</v>
      </c>
      <c r="B390" s="7"/>
      <c r="C390" s="7"/>
      <c r="D390" s="7">
        <f t="shared" si="6"/>
        <v>0</v>
      </c>
    </row>
    <row r="391" spans="1:4" ht="18.75" hidden="1" x14ac:dyDescent="0.25">
      <c r="A391" s="17" t="s">
        <v>55</v>
      </c>
      <c r="B391" s="7"/>
      <c r="C391" s="7"/>
      <c r="D391" s="7">
        <f t="shared" si="6"/>
        <v>0</v>
      </c>
    </row>
    <row r="392" spans="1:4" ht="18.75" hidden="1" x14ac:dyDescent="0.25">
      <c r="A392" s="17" t="s">
        <v>56</v>
      </c>
      <c r="B392" s="7"/>
      <c r="C392" s="7"/>
      <c r="D392" s="7">
        <f t="shared" si="6"/>
        <v>0</v>
      </c>
    </row>
    <row r="393" spans="1:4" ht="18.75" hidden="1" x14ac:dyDescent="0.25">
      <c r="A393" s="17" t="s">
        <v>57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58</v>
      </c>
      <c r="B394" s="7"/>
      <c r="C394" s="7"/>
      <c r="D394" s="7">
        <f t="shared" si="6"/>
        <v>0</v>
      </c>
    </row>
    <row r="395" spans="1:4" ht="18.75" hidden="1" x14ac:dyDescent="0.25">
      <c r="A395" s="11" t="s">
        <v>59</v>
      </c>
      <c r="B395" s="7"/>
      <c r="C395" s="7"/>
      <c r="D395" s="7">
        <f t="shared" si="6"/>
        <v>0</v>
      </c>
    </row>
    <row r="396" spans="1:4" ht="18.75" hidden="1" x14ac:dyDescent="0.25">
      <c r="A396" s="9" t="s">
        <v>60</v>
      </c>
      <c r="B396" s="7"/>
      <c r="C396" s="7"/>
      <c r="D396" s="7">
        <f t="shared" si="6"/>
        <v>0</v>
      </c>
    </row>
    <row r="397" spans="1:4" ht="18.75" hidden="1" x14ac:dyDescent="0.25">
      <c r="A397" s="9" t="s">
        <v>61</v>
      </c>
      <c r="B397" s="7"/>
      <c r="C397" s="7"/>
      <c r="D397" s="7">
        <f t="shared" si="6"/>
        <v>0</v>
      </c>
    </row>
    <row r="398" spans="1:4" ht="18.75" hidden="1" x14ac:dyDescent="0.25">
      <c r="A398" s="17" t="s">
        <v>62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63</v>
      </c>
      <c r="B399" s="7"/>
      <c r="C399" s="7"/>
      <c r="D399" s="7">
        <f t="shared" si="6"/>
        <v>0</v>
      </c>
    </row>
    <row r="400" spans="1:4" ht="18.75" hidden="1" x14ac:dyDescent="0.25">
      <c r="A400" s="19" t="s">
        <v>64</v>
      </c>
      <c r="B400" s="7"/>
      <c r="C400" s="7"/>
      <c r="D400" s="7">
        <f t="shared" si="6"/>
        <v>0</v>
      </c>
    </row>
    <row r="401" spans="1:4" ht="18.75" hidden="1" x14ac:dyDescent="0.25">
      <c r="A401" s="9" t="s">
        <v>65</v>
      </c>
      <c r="B401" s="7"/>
      <c r="C401" s="7"/>
      <c r="D401" s="7">
        <f t="shared" si="6"/>
        <v>0</v>
      </c>
    </row>
    <row r="402" spans="1:4" ht="18.75" hidden="1" x14ac:dyDescent="0.25">
      <c r="A402" s="9" t="s">
        <v>66</v>
      </c>
      <c r="B402" s="7"/>
      <c r="C402" s="7"/>
      <c r="D402" s="7">
        <f t="shared" si="6"/>
        <v>0</v>
      </c>
    </row>
    <row r="403" spans="1:4" ht="18.75" hidden="1" x14ac:dyDescent="0.25">
      <c r="A403" s="20" t="s">
        <v>67</v>
      </c>
      <c r="B403" s="7"/>
      <c r="C403" s="7"/>
      <c r="D403" s="7">
        <f t="shared" si="6"/>
        <v>0</v>
      </c>
    </row>
    <row r="404" spans="1:4" ht="18.75" hidden="1" x14ac:dyDescent="0.25">
      <c r="A404" s="42" t="s">
        <v>68</v>
      </c>
      <c r="B404" s="7"/>
      <c r="C404" s="7"/>
      <c r="D404" s="7">
        <f t="shared" si="6"/>
        <v>0</v>
      </c>
    </row>
    <row r="405" spans="1:4" ht="18.75" hidden="1" x14ac:dyDescent="0.25">
      <c r="A405" s="12" t="s">
        <v>69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70</v>
      </c>
      <c r="B406" s="7"/>
      <c r="C406" s="7"/>
      <c r="D406" s="7">
        <f t="shared" si="6"/>
        <v>0</v>
      </c>
    </row>
    <row r="407" spans="1:4" ht="18.75" hidden="1" x14ac:dyDescent="0.25">
      <c r="A407" s="12" t="s">
        <v>71</v>
      </c>
      <c r="B407" s="7"/>
      <c r="C407" s="7"/>
      <c r="D407" s="7">
        <f t="shared" si="6"/>
        <v>0</v>
      </c>
    </row>
    <row r="408" spans="1:4" ht="18.75" hidden="1" x14ac:dyDescent="0.25">
      <c r="A408" s="12" t="s">
        <v>72</v>
      </c>
      <c r="B408" s="7"/>
      <c r="C408" s="7"/>
      <c r="D408" s="7">
        <f t="shared" si="6"/>
        <v>0</v>
      </c>
    </row>
    <row r="409" spans="1:4" ht="18.75" hidden="1" x14ac:dyDescent="0.25">
      <c r="A409" s="12" t="s">
        <v>73</v>
      </c>
      <c r="B409" s="7"/>
      <c r="C409" s="7"/>
      <c r="D409" s="7">
        <f t="shared" si="6"/>
        <v>0</v>
      </c>
    </row>
    <row r="410" spans="1:4" ht="18.75" hidden="1" x14ac:dyDescent="0.25">
      <c r="A410" s="20" t="s">
        <v>74</v>
      </c>
      <c r="B410" s="7"/>
      <c r="C410" s="7"/>
      <c r="D410" s="7">
        <f t="shared" si="6"/>
        <v>0</v>
      </c>
    </row>
    <row r="411" spans="1:4" ht="18.75" hidden="1" x14ac:dyDescent="0.25">
      <c r="A411" s="9" t="s">
        <v>75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76</v>
      </c>
      <c r="B412" s="7"/>
      <c r="C412" s="7"/>
      <c r="D412" s="7">
        <f t="shared" si="6"/>
        <v>0</v>
      </c>
    </row>
    <row r="413" spans="1:4" ht="18.75" hidden="1" x14ac:dyDescent="0.25">
      <c r="A413" s="12" t="s">
        <v>341</v>
      </c>
      <c r="B413" s="7"/>
      <c r="C413" s="7"/>
      <c r="D413" s="7">
        <f t="shared" si="6"/>
        <v>0</v>
      </c>
    </row>
    <row r="414" spans="1:4" ht="18.75" x14ac:dyDescent="0.25">
      <c r="A414" s="9" t="s">
        <v>77</v>
      </c>
      <c r="B414" s="7">
        <v>100</v>
      </c>
      <c r="C414" s="7">
        <v>27000</v>
      </c>
      <c r="D414" s="7">
        <f t="shared" si="6"/>
        <v>2700000</v>
      </c>
    </row>
    <row r="415" spans="1:4" ht="18.75" hidden="1" x14ac:dyDescent="0.25">
      <c r="A415" s="13" t="s">
        <v>78</v>
      </c>
      <c r="B415" s="7"/>
      <c r="C415" s="7"/>
      <c r="D415" s="7">
        <f t="shared" si="6"/>
        <v>0</v>
      </c>
    </row>
    <row r="416" spans="1:4" ht="18.75" hidden="1" x14ac:dyDescent="0.25">
      <c r="A416" s="9" t="s">
        <v>79</v>
      </c>
      <c r="B416" s="7"/>
      <c r="C416" s="7"/>
      <c r="D416" s="7">
        <f t="shared" si="6"/>
        <v>0</v>
      </c>
    </row>
    <row r="417" spans="1:4" ht="18.75" hidden="1" x14ac:dyDescent="0.25">
      <c r="A417" s="9" t="s">
        <v>80</v>
      </c>
      <c r="B417" s="7"/>
      <c r="C417" s="7"/>
      <c r="D417" s="7">
        <f t="shared" si="6"/>
        <v>0</v>
      </c>
    </row>
    <row r="418" spans="1:4" ht="18.75" hidden="1" x14ac:dyDescent="0.25">
      <c r="A418" s="9" t="s">
        <v>81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82</v>
      </c>
      <c r="B419" s="16"/>
      <c r="C419" s="16"/>
      <c r="D419" s="7">
        <f t="shared" si="6"/>
        <v>0</v>
      </c>
    </row>
    <row r="420" spans="1:4" ht="18.75" hidden="1" x14ac:dyDescent="0.25">
      <c r="A420" s="12" t="s">
        <v>83</v>
      </c>
      <c r="B420" s="16"/>
      <c r="C420" s="16"/>
      <c r="D420" s="7">
        <f t="shared" si="6"/>
        <v>0</v>
      </c>
    </row>
    <row r="421" spans="1:4" ht="18.75" hidden="1" x14ac:dyDescent="0.25">
      <c r="A421" s="12" t="s">
        <v>84</v>
      </c>
      <c r="B421" s="16"/>
      <c r="C421" s="16"/>
      <c r="D421" s="7">
        <f t="shared" si="6"/>
        <v>0</v>
      </c>
    </row>
    <row r="422" spans="1:4" ht="18.75" hidden="1" x14ac:dyDescent="0.25">
      <c r="A422" s="9" t="s">
        <v>85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86</v>
      </c>
      <c r="B423" s="7"/>
      <c r="C423" s="7"/>
      <c r="D423" s="7">
        <f t="shared" si="6"/>
        <v>0</v>
      </c>
    </row>
    <row r="424" spans="1:4" ht="18.75" hidden="1" x14ac:dyDescent="0.25">
      <c r="A424" s="9" t="s">
        <v>87</v>
      </c>
      <c r="B424" s="7"/>
      <c r="C424" s="7"/>
      <c r="D424" s="7">
        <f t="shared" si="6"/>
        <v>0</v>
      </c>
    </row>
    <row r="425" spans="1:4" ht="18.75" hidden="1" x14ac:dyDescent="0.25">
      <c r="A425" s="9" t="s">
        <v>88</v>
      </c>
      <c r="B425" s="7"/>
      <c r="C425" s="7"/>
      <c r="D425" s="7">
        <f t="shared" si="6"/>
        <v>0</v>
      </c>
    </row>
    <row r="426" spans="1:4" ht="18.75" hidden="1" x14ac:dyDescent="0.25">
      <c r="A426" s="9" t="s">
        <v>89</v>
      </c>
      <c r="B426" s="7"/>
      <c r="C426" s="7"/>
      <c r="D426" s="7">
        <f t="shared" si="6"/>
        <v>0</v>
      </c>
    </row>
    <row r="427" spans="1:4" ht="18.75" x14ac:dyDescent="0.25">
      <c r="A427" s="9" t="s">
        <v>90</v>
      </c>
      <c r="B427" s="7">
        <v>16</v>
      </c>
      <c r="C427" s="7">
        <v>9000</v>
      </c>
      <c r="D427" s="7">
        <f t="shared" si="6"/>
        <v>144000</v>
      </c>
    </row>
    <row r="428" spans="1:4" ht="18.75" hidden="1" x14ac:dyDescent="0.25">
      <c r="A428" s="21" t="s">
        <v>91</v>
      </c>
      <c r="B428" s="7"/>
      <c r="C428" s="7"/>
      <c r="D428" s="7">
        <f t="shared" si="6"/>
        <v>0</v>
      </c>
    </row>
    <row r="429" spans="1:4" ht="18.75" hidden="1" x14ac:dyDescent="0.25">
      <c r="A429" s="21" t="s">
        <v>92</v>
      </c>
      <c r="B429" s="7"/>
      <c r="C429" s="7"/>
      <c r="D429" s="7">
        <f t="shared" si="6"/>
        <v>0</v>
      </c>
    </row>
    <row r="430" spans="1:4" ht="18.75" hidden="1" x14ac:dyDescent="0.25">
      <c r="A430" s="21" t="s">
        <v>93</v>
      </c>
      <c r="B430" s="7"/>
      <c r="C430" s="7"/>
      <c r="D430" s="7">
        <f t="shared" si="6"/>
        <v>0</v>
      </c>
    </row>
    <row r="431" spans="1:4" ht="18.75" hidden="1" x14ac:dyDescent="0.25">
      <c r="A431" s="11" t="s">
        <v>94</v>
      </c>
      <c r="B431" s="7"/>
      <c r="C431" s="7"/>
      <c r="D431" s="7">
        <f t="shared" si="6"/>
        <v>0</v>
      </c>
    </row>
    <row r="432" spans="1:4" ht="18.75" hidden="1" x14ac:dyDescent="0.25">
      <c r="A432" s="13" t="s">
        <v>95</v>
      </c>
      <c r="B432" s="7"/>
      <c r="C432" s="7"/>
      <c r="D432" s="7">
        <f t="shared" si="6"/>
        <v>0</v>
      </c>
    </row>
    <row r="433" spans="1:4" ht="18.75" hidden="1" x14ac:dyDescent="0.25">
      <c r="A433" s="11" t="s">
        <v>342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96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97</v>
      </c>
      <c r="B435" s="7"/>
      <c r="C435" s="7"/>
      <c r="D435" s="7">
        <f t="shared" si="6"/>
        <v>0</v>
      </c>
    </row>
    <row r="436" spans="1:4" ht="18.75" hidden="1" x14ac:dyDescent="0.25">
      <c r="A436" s="11" t="s">
        <v>343</v>
      </c>
      <c r="B436" s="7"/>
      <c r="C436" s="7"/>
      <c r="D436" s="7">
        <f t="shared" si="6"/>
        <v>0</v>
      </c>
    </row>
    <row r="437" spans="1:4" ht="18.75" hidden="1" x14ac:dyDescent="0.25">
      <c r="A437" s="11" t="s">
        <v>344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99</v>
      </c>
      <c r="B438" s="16"/>
      <c r="C438" s="16"/>
      <c r="D438" s="7">
        <f t="shared" si="6"/>
        <v>0</v>
      </c>
    </row>
    <row r="439" spans="1:4" ht="18.75" hidden="1" x14ac:dyDescent="0.25">
      <c r="A439" s="21" t="s">
        <v>101</v>
      </c>
      <c r="B439" s="7"/>
      <c r="C439" s="7"/>
      <c r="D439" s="7">
        <f t="shared" si="6"/>
        <v>0</v>
      </c>
    </row>
    <row r="440" spans="1:4" ht="18.75" hidden="1" x14ac:dyDescent="0.25">
      <c r="A440" s="11" t="s">
        <v>102</v>
      </c>
      <c r="B440" s="7"/>
      <c r="C440" s="7"/>
      <c r="D440" s="7">
        <f t="shared" si="6"/>
        <v>0</v>
      </c>
    </row>
    <row r="441" spans="1:4" ht="18.75" hidden="1" x14ac:dyDescent="0.25">
      <c r="A441" s="11" t="s">
        <v>345</v>
      </c>
      <c r="B441" s="7"/>
      <c r="C441" s="7"/>
      <c r="D441" s="7">
        <f t="shared" si="6"/>
        <v>0</v>
      </c>
    </row>
    <row r="442" spans="1:4" ht="18.75" hidden="1" x14ac:dyDescent="0.25">
      <c r="A442" s="9" t="s">
        <v>103</v>
      </c>
      <c r="B442" s="7"/>
      <c r="C442" s="7"/>
      <c r="D442" s="7">
        <f t="shared" si="6"/>
        <v>0</v>
      </c>
    </row>
    <row r="443" spans="1:4" ht="18.75" hidden="1" x14ac:dyDescent="0.25">
      <c r="A443" s="17" t="s">
        <v>104</v>
      </c>
      <c r="B443" s="7"/>
      <c r="C443" s="7"/>
      <c r="D443" s="7">
        <f t="shared" si="6"/>
        <v>0</v>
      </c>
    </row>
    <row r="444" spans="1:4" ht="18.75" hidden="1" x14ac:dyDescent="0.25">
      <c r="A444" s="24" t="s">
        <v>105</v>
      </c>
      <c r="B444" s="7"/>
      <c r="C444" s="7"/>
      <c r="D444" s="7">
        <f t="shared" si="6"/>
        <v>0</v>
      </c>
    </row>
    <row r="445" spans="1:4" ht="18.75" hidden="1" x14ac:dyDescent="0.25">
      <c r="A445" s="24" t="s">
        <v>106</v>
      </c>
      <c r="B445" s="7"/>
      <c r="C445" s="7"/>
      <c r="D445" s="7">
        <f t="shared" si="6"/>
        <v>0</v>
      </c>
    </row>
    <row r="446" spans="1:4" ht="18.75" hidden="1" x14ac:dyDescent="0.25">
      <c r="A446" s="23" t="s">
        <v>107</v>
      </c>
      <c r="B446" s="7"/>
      <c r="C446" s="7"/>
      <c r="D446" s="7">
        <f t="shared" si="6"/>
        <v>0</v>
      </c>
    </row>
    <row r="447" spans="1:4" ht="18.75" hidden="1" x14ac:dyDescent="0.25">
      <c r="A447" s="25" t="s">
        <v>108</v>
      </c>
      <c r="B447" s="7"/>
      <c r="C447" s="7"/>
      <c r="D447" s="7">
        <f t="shared" si="6"/>
        <v>0</v>
      </c>
    </row>
    <row r="448" spans="1:4" ht="18.75" hidden="1" x14ac:dyDescent="0.25">
      <c r="A448" s="9" t="s">
        <v>109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110</v>
      </c>
      <c r="B449" s="7"/>
      <c r="C449" s="7"/>
      <c r="D449" s="7">
        <f t="shared" si="6"/>
        <v>0</v>
      </c>
    </row>
    <row r="450" spans="1:4" ht="18.75" hidden="1" x14ac:dyDescent="0.25">
      <c r="A450" s="9" t="s">
        <v>111</v>
      </c>
      <c r="B450" s="7"/>
      <c r="C450" s="7"/>
      <c r="D450" s="7">
        <f t="shared" si="6"/>
        <v>0</v>
      </c>
    </row>
    <row r="451" spans="1:4" ht="18.75" hidden="1" x14ac:dyDescent="0.25">
      <c r="A451" s="9" t="s">
        <v>112</v>
      </c>
      <c r="B451" s="7"/>
      <c r="C451" s="7"/>
      <c r="D451" s="7">
        <f t="shared" si="6"/>
        <v>0</v>
      </c>
    </row>
    <row r="452" spans="1:4" ht="18.75" hidden="1" x14ac:dyDescent="0.25">
      <c r="A452" s="9" t="s">
        <v>114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115</v>
      </c>
      <c r="B453" s="7"/>
      <c r="C453" s="7"/>
      <c r="D453" s="7">
        <f t="shared" si="7"/>
        <v>0</v>
      </c>
    </row>
    <row r="454" spans="1:4" ht="18.75" hidden="1" x14ac:dyDescent="0.25">
      <c r="A454" s="9" t="s">
        <v>346</v>
      </c>
      <c r="B454" s="7"/>
      <c r="C454" s="7"/>
      <c r="D454" s="7">
        <f t="shared" si="7"/>
        <v>0</v>
      </c>
    </row>
    <row r="455" spans="1:4" ht="18.75" hidden="1" x14ac:dyDescent="0.25">
      <c r="A455" s="9" t="s">
        <v>116</v>
      </c>
      <c r="B455" s="7"/>
      <c r="C455" s="7"/>
      <c r="D455" s="7">
        <f t="shared" si="7"/>
        <v>0</v>
      </c>
    </row>
    <row r="456" spans="1:4" ht="18.75" hidden="1" x14ac:dyDescent="0.25">
      <c r="A456" s="11" t="s">
        <v>117</v>
      </c>
      <c r="B456" s="7"/>
      <c r="C456" s="7"/>
      <c r="D456" s="7">
        <f t="shared" si="7"/>
        <v>0</v>
      </c>
    </row>
    <row r="457" spans="1:4" ht="18.75" hidden="1" x14ac:dyDescent="0.25">
      <c r="A457" s="21" t="s">
        <v>118</v>
      </c>
      <c r="B457" s="7"/>
      <c r="C457" s="7"/>
      <c r="D457" s="7">
        <f t="shared" si="7"/>
        <v>0</v>
      </c>
    </row>
    <row r="458" spans="1:4" ht="18.75" hidden="1" x14ac:dyDescent="0.25">
      <c r="A458" s="9" t="s">
        <v>119</v>
      </c>
      <c r="B458" s="7"/>
      <c r="C458" s="7"/>
      <c r="D458" s="7">
        <f t="shared" si="7"/>
        <v>0</v>
      </c>
    </row>
    <row r="459" spans="1:4" ht="18.75" hidden="1" x14ac:dyDescent="0.25">
      <c r="A459" s="11" t="s">
        <v>120</v>
      </c>
      <c r="B459" s="7"/>
      <c r="C459" s="7"/>
      <c r="D459" s="7">
        <f t="shared" si="7"/>
        <v>0</v>
      </c>
    </row>
    <row r="460" spans="1:4" ht="18.75" hidden="1" x14ac:dyDescent="0.25">
      <c r="A460" s="11" t="s">
        <v>121</v>
      </c>
      <c r="B460" s="7"/>
      <c r="C460" s="7"/>
      <c r="D460" s="7">
        <f t="shared" si="7"/>
        <v>0</v>
      </c>
    </row>
    <row r="461" spans="1:4" ht="18.75" hidden="1" x14ac:dyDescent="0.25">
      <c r="A461" s="9" t="s">
        <v>122</v>
      </c>
      <c r="B461" s="7"/>
      <c r="C461" s="7"/>
      <c r="D461" s="7">
        <f t="shared" si="7"/>
        <v>0</v>
      </c>
    </row>
    <row r="462" spans="1:4" ht="18.75" hidden="1" x14ac:dyDescent="0.25">
      <c r="A462" s="10" t="s">
        <v>124</v>
      </c>
      <c r="B462" s="7"/>
      <c r="C462" s="7"/>
      <c r="D462" s="7">
        <f t="shared" si="7"/>
        <v>0</v>
      </c>
    </row>
    <row r="463" spans="1:4" ht="18.75" hidden="1" x14ac:dyDescent="0.25">
      <c r="A463" s="13" t="s">
        <v>125</v>
      </c>
      <c r="B463" s="7"/>
      <c r="C463" s="7"/>
      <c r="D463" s="7">
        <f t="shared" si="7"/>
        <v>0</v>
      </c>
    </row>
    <row r="464" spans="1:4" ht="18.75" hidden="1" x14ac:dyDescent="0.25">
      <c r="A464" s="12" t="s">
        <v>126</v>
      </c>
      <c r="B464" s="16"/>
      <c r="C464" s="16"/>
      <c r="D464" s="7">
        <f t="shared" si="7"/>
        <v>0</v>
      </c>
    </row>
    <row r="465" spans="1:4" ht="18.75" hidden="1" x14ac:dyDescent="0.25">
      <c r="A465" s="12" t="s">
        <v>127</v>
      </c>
      <c r="B465" s="16"/>
      <c r="C465" s="16"/>
      <c r="D465" s="7">
        <f t="shared" si="7"/>
        <v>0</v>
      </c>
    </row>
    <row r="466" spans="1:4" ht="18.75" hidden="1" x14ac:dyDescent="0.25">
      <c r="A466" s="12" t="s">
        <v>128</v>
      </c>
      <c r="B466" s="16"/>
      <c r="C466" s="16"/>
      <c r="D466" s="7">
        <f t="shared" si="7"/>
        <v>0</v>
      </c>
    </row>
    <row r="467" spans="1:4" ht="18.75" hidden="1" x14ac:dyDescent="0.25">
      <c r="A467" s="12" t="s">
        <v>129</v>
      </c>
      <c r="B467" s="27"/>
      <c r="C467" s="27"/>
      <c r="D467" s="7">
        <f t="shared" si="7"/>
        <v>0</v>
      </c>
    </row>
    <row r="468" spans="1:4" ht="18.75" hidden="1" x14ac:dyDescent="0.25">
      <c r="A468" s="28" t="s">
        <v>130</v>
      </c>
      <c r="B468" s="7"/>
      <c r="C468" s="7"/>
      <c r="D468" s="7">
        <f t="shared" si="7"/>
        <v>0</v>
      </c>
    </row>
    <row r="469" spans="1:4" ht="18.75" hidden="1" x14ac:dyDescent="0.25">
      <c r="A469" s="12" t="s">
        <v>131</v>
      </c>
      <c r="B469" s="16"/>
      <c r="C469" s="16"/>
      <c r="D469" s="7">
        <f t="shared" si="7"/>
        <v>0</v>
      </c>
    </row>
    <row r="470" spans="1:4" ht="18.75" hidden="1" x14ac:dyDescent="0.25">
      <c r="A470" s="9" t="s">
        <v>132</v>
      </c>
      <c r="B470" s="7"/>
      <c r="C470" s="7"/>
      <c r="D470" s="7">
        <f t="shared" si="7"/>
        <v>0</v>
      </c>
    </row>
    <row r="471" spans="1:4" ht="18.75" hidden="1" x14ac:dyDescent="0.25">
      <c r="A471" s="9" t="s">
        <v>133</v>
      </c>
      <c r="B471" s="7"/>
      <c r="C471" s="7"/>
      <c r="D471" s="7">
        <f t="shared" si="7"/>
        <v>0</v>
      </c>
    </row>
    <row r="472" spans="1:4" ht="18.75" x14ac:dyDescent="0.25">
      <c r="A472" s="9" t="s">
        <v>135</v>
      </c>
      <c r="B472" s="7">
        <v>30</v>
      </c>
      <c r="C472" s="7">
        <v>16000</v>
      </c>
      <c r="D472" s="7">
        <f t="shared" si="7"/>
        <v>480000</v>
      </c>
    </row>
    <row r="473" spans="1:4" ht="18.75" hidden="1" x14ac:dyDescent="0.25">
      <c r="A473" s="17" t="s">
        <v>136</v>
      </c>
      <c r="B473" s="7"/>
      <c r="C473" s="7"/>
      <c r="D473" s="7">
        <f t="shared" si="7"/>
        <v>0</v>
      </c>
    </row>
    <row r="474" spans="1:4" ht="18.75" hidden="1" x14ac:dyDescent="0.25">
      <c r="A474" s="12" t="s">
        <v>137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138</v>
      </c>
      <c r="B475" s="7"/>
      <c r="C475" s="7"/>
      <c r="D475" s="7">
        <f t="shared" si="7"/>
        <v>0</v>
      </c>
    </row>
    <row r="476" spans="1:4" ht="18.75" hidden="1" x14ac:dyDescent="0.25">
      <c r="A476" s="9" t="s">
        <v>139</v>
      </c>
      <c r="B476" s="7"/>
      <c r="C476" s="7"/>
      <c r="D476" s="7">
        <f t="shared" si="7"/>
        <v>0</v>
      </c>
    </row>
    <row r="477" spans="1:4" ht="18.75" hidden="1" x14ac:dyDescent="0.25">
      <c r="A477" s="9" t="s">
        <v>347</v>
      </c>
      <c r="B477" s="7"/>
      <c r="C477" s="7"/>
      <c r="D477" s="7">
        <f t="shared" si="7"/>
        <v>0</v>
      </c>
    </row>
    <row r="478" spans="1:4" ht="18.75" hidden="1" x14ac:dyDescent="0.25">
      <c r="A478" s="9" t="s">
        <v>141</v>
      </c>
      <c r="B478" s="16"/>
      <c r="C478" s="16"/>
      <c r="D478" s="7">
        <f t="shared" si="7"/>
        <v>0</v>
      </c>
    </row>
    <row r="479" spans="1:4" ht="18.75" hidden="1" x14ac:dyDescent="0.25">
      <c r="A479" s="9" t="s">
        <v>142</v>
      </c>
      <c r="B479" s="16"/>
      <c r="C479" s="16"/>
      <c r="D479" s="7">
        <f t="shared" si="7"/>
        <v>0</v>
      </c>
    </row>
    <row r="480" spans="1:4" ht="18.75" hidden="1" x14ac:dyDescent="0.25">
      <c r="A480" s="9" t="s">
        <v>143</v>
      </c>
      <c r="B480" s="7"/>
      <c r="C480" s="7"/>
      <c r="D480" s="7">
        <f t="shared" si="7"/>
        <v>0</v>
      </c>
    </row>
    <row r="481" spans="1:4" ht="18.75" hidden="1" x14ac:dyDescent="0.25">
      <c r="A481" s="9" t="s">
        <v>144</v>
      </c>
      <c r="B481" s="16"/>
      <c r="C481" s="16"/>
      <c r="D481" s="7">
        <f t="shared" si="7"/>
        <v>0</v>
      </c>
    </row>
    <row r="482" spans="1:4" ht="18.75" hidden="1" x14ac:dyDescent="0.25">
      <c r="A482" s="9" t="s">
        <v>145</v>
      </c>
      <c r="B482" s="16"/>
      <c r="C482" s="16"/>
      <c r="D482" s="7">
        <f t="shared" si="7"/>
        <v>0</v>
      </c>
    </row>
    <row r="483" spans="1:4" ht="18.75" hidden="1" x14ac:dyDescent="0.25">
      <c r="A483" s="9" t="s">
        <v>146</v>
      </c>
      <c r="B483" s="16"/>
      <c r="C483" s="16"/>
      <c r="D483" s="7">
        <f t="shared" si="7"/>
        <v>0</v>
      </c>
    </row>
    <row r="484" spans="1:4" ht="18.75" hidden="1" x14ac:dyDescent="0.25">
      <c r="A484" s="9" t="s">
        <v>147</v>
      </c>
      <c r="B484" s="16"/>
      <c r="C484" s="16"/>
      <c r="D484" s="7">
        <f t="shared" si="7"/>
        <v>0</v>
      </c>
    </row>
    <row r="485" spans="1:4" ht="18.75" hidden="1" x14ac:dyDescent="0.25">
      <c r="A485" s="9" t="s">
        <v>148</v>
      </c>
      <c r="B485" s="16"/>
      <c r="C485" s="16"/>
      <c r="D485" s="7">
        <f t="shared" si="7"/>
        <v>0</v>
      </c>
    </row>
    <row r="486" spans="1:4" ht="18.75" hidden="1" x14ac:dyDescent="0.25">
      <c r="A486" s="9" t="s">
        <v>149</v>
      </c>
      <c r="B486" s="16"/>
      <c r="C486" s="16"/>
      <c r="D486" s="7">
        <f t="shared" si="7"/>
        <v>0</v>
      </c>
    </row>
    <row r="487" spans="1:4" ht="18.75" hidden="1" x14ac:dyDescent="0.25">
      <c r="A487" s="9" t="s">
        <v>150</v>
      </c>
      <c r="B487" s="16"/>
      <c r="C487" s="16"/>
      <c r="D487" s="7">
        <f t="shared" si="7"/>
        <v>0</v>
      </c>
    </row>
    <row r="488" spans="1:4" ht="18.75" hidden="1" x14ac:dyDescent="0.25">
      <c r="A488" s="9" t="s">
        <v>151</v>
      </c>
      <c r="B488" s="16"/>
      <c r="C488" s="16"/>
      <c r="D488" s="7">
        <f t="shared" si="7"/>
        <v>0</v>
      </c>
    </row>
    <row r="489" spans="1:4" ht="18.75" hidden="1" x14ac:dyDescent="0.25">
      <c r="A489" s="9" t="s">
        <v>152</v>
      </c>
      <c r="B489" s="7"/>
      <c r="C489" s="7"/>
      <c r="D489" s="7">
        <f t="shared" si="7"/>
        <v>0</v>
      </c>
    </row>
    <row r="490" spans="1:4" ht="18.75" hidden="1" x14ac:dyDescent="0.25">
      <c r="A490" s="9" t="s">
        <v>348</v>
      </c>
      <c r="B490" s="7"/>
      <c r="C490" s="7"/>
      <c r="D490" s="7">
        <f t="shared" si="7"/>
        <v>0</v>
      </c>
    </row>
    <row r="491" spans="1:4" ht="18.75" hidden="1" x14ac:dyDescent="0.25">
      <c r="A491" s="9" t="s">
        <v>153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154</v>
      </c>
      <c r="B492" s="7"/>
      <c r="C492" s="7"/>
      <c r="D492" s="7">
        <f t="shared" si="7"/>
        <v>0</v>
      </c>
    </row>
    <row r="493" spans="1:4" ht="18.75" hidden="1" x14ac:dyDescent="0.25">
      <c r="A493" s="9" t="s">
        <v>155</v>
      </c>
      <c r="B493" s="7"/>
      <c r="C493" s="7"/>
      <c r="D493" s="7">
        <f t="shared" si="7"/>
        <v>0</v>
      </c>
    </row>
    <row r="494" spans="1:4" ht="18.75" hidden="1" x14ac:dyDescent="0.25">
      <c r="A494" s="17" t="s">
        <v>156</v>
      </c>
      <c r="B494" s="7"/>
      <c r="C494" s="7"/>
      <c r="D494" s="7">
        <f t="shared" si="7"/>
        <v>0</v>
      </c>
    </row>
    <row r="495" spans="1:4" ht="18.75" hidden="1" x14ac:dyDescent="0.25">
      <c r="A495" s="9" t="s">
        <v>157</v>
      </c>
      <c r="B495" s="7"/>
      <c r="C495" s="7"/>
      <c r="D495" s="7">
        <f t="shared" si="7"/>
        <v>0</v>
      </c>
    </row>
    <row r="496" spans="1:4" ht="18.75" hidden="1" x14ac:dyDescent="0.25">
      <c r="A496" s="9" t="s">
        <v>158</v>
      </c>
      <c r="B496" s="7"/>
      <c r="C496" s="7"/>
      <c r="D496" s="7">
        <f t="shared" si="7"/>
        <v>0</v>
      </c>
    </row>
    <row r="497" spans="1:4" ht="18.75" hidden="1" x14ac:dyDescent="0.25">
      <c r="A497" s="9" t="s">
        <v>159</v>
      </c>
      <c r="B497" s="7"/>
      <c r="C497" s="7"/>
      <c r="D497" s="7">
        <f t="shared" si="7"/>
        <v>0</v>
      </c>
    </row>
    <row r="498" spans="1:4" ht="18.75" hidden="1" x14ac:dyDescent="0.25">
      <c r="A498" s="9" t="s">
        <v>160</v>
      </c>
      <c r="B498" s="7"/>
      <c r="C498" s="7"/>
      <c r="D498" s="7">
        <f t="shared" si="7"/>
        <v>0</v>
      </c>
    </row>
    <row r="499" spans="1:4" ht="18.75" hidden="1" x14ac:dyDescent="0.25">
      <c r="A499" s="9" t="s">
        <v>161</v>
      </c>
      <c r="B499" s="16"/>
      <c r="C499" s="16"/>
      <c r="D499" s="7">
        <f t="shared" si="7"/>
        <v>0</v>
      </c>
    </row>
    <row r="500" spans="1:4" ht="18.75" hidden="1" x14ac:dyDescent="0.25">
      <c r="A500" s="18" t="s">
        <v>162</v>
      </c>
      <c r="B500" s="16"/>
      <c r="C500" s="16"/>
      <c r="D500" s="7">
        <f t="shared" si="7"/>
        <v>0</v>
      </c>
    </row>
    <row r="501" spans="1:4" ht="18.75" hidden="1" x14ac:dyDescent="0.25">
      <c r="A501" s="9" t="s">
        <v>163</v>
      </c>
      <c r="B501" s="16"/>
      <c r="C501" s="16"/>
      <c r="D501" s="7">
        <f t="shared" si="7"/>
        <v>0</v>
      </c>
    </row>
    <row r="502" spans="1:4" ht="18.75" hidden="1" x14ac:dyDescent="0.25">
      <c r="A502" s="9" t="s">
        <v>165</v>
      </c>
      <c r="B502" s="7"/>
      <c r="C502" s="7"/>
      <c r="D502" s="7">
        <f t="shared" si="7"/>
        <v>0</v>
      </c>
    </row>
    <row r="503" spans="1:4" ht="18.75" hidden="1" x14ac:dyDescent="0.25">
      <c r="A503" s="17" t="s">
        <v>166</v>
      </c>
      <c r="B503" s="7"/>
      <c r="C503" s="7"/>
      <c r="D503" s="7">
        <f t="shared" si="7"/>
        <v>0</v>
      </c>
    </row>
    <row r="504" spans="1:4" ht="18.75" hidden="1" x14ac:dyDescent="0.25">
      <c r="A504" s="9" t="s">
        <v>349</v>
      </c>
      <c r="B504" s="7"/>
      <c r="C504" s="7"/>
      <c r="D504" s="7">
        <f t="shared" si="7"/>
        <v>0</v>
      </c>
    </row>
    <row r="505" spans="1:4" ht="18.75" hidden="1" x14ac:dyDescent="0.25">
      <c r="A505" s="12" t="s">
        <v>167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168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170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171</v>
      </c>
      <c r="B508" s="7"/>
      <c r="C508" s="7"/>
      <c r="D508" s="7">
        <f t="shared" si="7"/>
        <v>0</v>
      </c>
    </row>
    <row r="509" spans="1:4" ht="18.75" hidden="1" x14ac:dyDescent="0.25">
      <c r="A509" s="20" t="s">
        <v>172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173</v>
      </c>
      <c r="B510" s="7"/>
      <c r="C510" s="7"/>
      <c r="D510" s="7">
        <f t="shared" si="7"/>
        <v>0</v>
      </c>
    </row>
    <row r="511" spans="1:4" ht="18.75" hidden="1" x14ac:dyDescent="0.25">
      <c r="A511" s="31" t="s">
        <v>174</v>
      </c>
      <c r="B511" s="33"/>
      <c r="C511" s="33"/>
      <c r="D511" s="7">
        <f t="shared" si="7"/>
        <v>0</v>
      </c>
    </row>
    <row r="512" spans="1:4" ht="18.75" hidden="1" x14ac:dyDescent="0.25">
      <c r="A512" s="11" t="s">
        <v>175</v>
      </c>
      <c r="B512" s="7"/>
      <c r="C512" s="7"/>
      <c r="D512" s="7">
        <f t="shared" si="7"/>
        <v>0</v>
      </c>
    </row>
    <row r="513" spans="1:4" ht="18.75" hidden="1" x14ac:dyDescent="0.25">
      <c r="A513" s="9" t="s">
        <v>176</v>
      </c>
      <c r="B513" s="7"/>
      <c r="C513" s="7"/>
      <c r="D513" s="7">
        <f t="shared" si="7"/>
        <v>0</v>
      </c>
    </row>
    <row r="514" spans="1:4" ht="18.75" hidden="1" x14ac:dyDescent="0.25">
      <c r="A514" s="9" t="s">
        <v>350</v>
      </c>
      <c r="B514" s="7"/>
      <c r="C514" s="7"/>
      <c r="D514" s="7">
        <f t="shared" si="7"/>
        <v>0</v>
      </c>
    </row>
    <row r="515" spans="1:4" ht="18.75" hidden="1" x14ac:dyDescent="0.25">
      <c r="A515" s="12" t="s">
        <v>178</v>
      </c>
      <c r="B515" s="7"/>
      <c r="C515" s="7"/>
      <c r="D515" s="7">
        <f t="shared" si="7"/>
        <v>0</v>
      </c>
    </row>
    <row r="516" spans="1:4" ht="18.75" hidden="1" x14ac:dyDescent="0.25">
      <c r="A516" s="9" t="s">
        <v>179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180</v>
      </c>
      <c r="B517" s="7"/>
      <c r="C517" s="7"/>
      <c r="D517" s="7">
        <f t="shared" si="8"/>
        <v>0</v>
      </c>
    </row>
    <row r="518" spans="1:4" ht="18.75" hidden="1" x14ac:dyDescent="0.25">
      <c r="A518" s="12" t="s">
        <v>181</v>
      </c>
      <c r="B518" s="7"/>
      <c r="C518" s="7"/>
      <c r="D518" s="7">
        <f t="shared" si="8"/>
        <v>0</v>
      </c>
    </row>
    <row r="519" spans="1:4" ht="18.75" hidden="1" x14ac:dyDescent="0.25">
      <c r="A519" s="12" t="s">
        <v>182</v>
      </c>
      <c r="B519" s="7"/>
      <c r="C519" s="7"/>
      <c r="D519" s="7">
        <f t="shared" si="8"/>
        <v>0</v>
      </c>
    </row>
    <row r="520" spans="1:4" ht="18.75" x14ac:dyDescent="0.25">
      <c r="A520" s="12" t="s">
        <v>183</v>
      </c>
      <c r="B520" s="7">
        <v>400</v>
      </c>
      <c r="C520" s="7">
        <v>9000</v>
      </c>
      <c r="D520" s="7">
        <f t="shared" si="8"/>
        <v>3600000</v>
      </c>
    </row>
    <row r="521" spans="1:4" ht="18.75" hidden="1" x14ac:dyDescent="0.25">
      <c r="A521" s="9" t="s">
        <v>184</v>
      </c>
      <c r="B521" s="7"/>
      <c r="C521" s="7"/>
      <c r="D521" s="7">
        <f t="shared" si="8"/>
        <v>0</v>
      </c>
    </row>
    <row r="522" spans="1:4" ht="18.75" hidden="1" x14ac:dyDescent="0.25">
      <c r="A522" s="12" t="s">
        <v>186</v>
      </c>
      <c r="B522" s="7"/>
      <c r="C522" s="7"/>
      <c r="D522" s="7">
        <f t="shared" si="8"/>
        <v>0</v>
      </c>
    </row>
    <row r="523" spans="1:4" ht="18.75" hidden="1" x14ac:dyDescent="0.25">
      <c r="A523" s="12" t="s">
        <v>187</v>
      </c>
      <c r="B523" s="7"/>
      <c r="C523" s="7"/>
      <c r="D523" s="7">
        <f t="shared" si="8"/>
        <v>0</v>
      </c>
    </row>
    <row r="524" spans="1:4" ht="18.75" hidden="1" x14ac:dyDescent="0.25">
      <c r="A524" s="12" t="s">
        <v>188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351</v>
      </c>
      <c r="B525" s="7"/>
      <c r="C525" s="7"/>
      <c r="D525" s="7">
        <f t="shared" si="8"/>
        <v>0</v>
      </c>
    </row>
    <row r="526" spans="1:4" ht="18.75" hidden="1" x14ac:dyDescent="0.25">
      <c r="A526" s="17" t="s">
        <v>189</v>
      </c>
      <c r="B526" s="7"/>
      <c r="C526" s="7"/>
      <c r="D526" s="7">
        <f t="shared" si="8"/>
        <v>0</v>
      </c>
    </row>
    <row r="527" spans="1:4" ht="18.75" hidden="1" x14ac:dyDescent="0.25">
      <c r="A527" s="17" t="s">
        <v>190</v>
      </c>
      <c r="B527" s="7"/>
      <c r="C527" s="7"/>
      <c r="D527" s="7">
        <f t="shared" si="8"/>
        <v>0</v>
      </c>
    </row>
    <row r="528" spans="1:4" ht="18.75" hidden="1" x14ac:dyDescent="0.25">
      <c r="A528" s="17" t="s">
        <v>191</v>
      </c>
      <c r="B528" s="7"/>
      <c r="C528" s="7"/>
      <c r="D528" s="7">
        <f t="shared" si="8"/>
        <v>0</v>
      </c>
    </row>
    <row r="529" spans="1:4" ht="18.75" hidden="1" x14ac:dyDescent="0.25">
      <c r="A529" s="17" t="s">
        <v>192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193</v>
      </c>
      <c r="B530" s="7"/>
      <c r="C530" s="7"/>
      <c r="D530" s="7">
        <f t="shared" si="8"/>
        <v>0</v>
      </c>
    </row>
    <row r="531" spans="1:4" ht="18.75" hidden="1" x14ac:dyDescent="0.25">
      <c r="A531" s="9" t="s">
        <v>194</v>
      </c>
      <c r="B531" s="7"/>
      <c r="C531" s="7"/>
      <c r="D531" s="7">
        <f t="shared" si="8"/>
        <v>0</v>
      </c>
    </row>
    <row r="532" spans="1:4" ht="18.75" hidden="1" x14ac:dyDescent="0.25">
      <c r="A532" s="34" t="s">
        <v>195</v>
      </c>
      <c r="B532" s="7"/>
      <c r="C532" s="7"/>
      <c r="D532" s="7">
        <f t="shared" si="8"/>
        <v>0</v>
      </c>
    </row>
    <row r="533" spans="1:4" ht="18.75" hidden="1" x14ac:dyDescent="0.25">
      <c r="A533" s="34" t="s">
        <v>196</v>
      </c>
      <c r="B533" s="7"/>
      <c r="C533" s="7"/>
      <c r="D533" s="7">
        <f t="shared" si="8"/>
        <v>0</v>
      </c>
    </row>
    <row r="534" spans="1:4" ht="18.75" hidden="1" x14ac:dyDescent="0.25">
      <c r="A534" s="34" t="s">
        <v>197</v>
      </c>
      <c r="B534" s="7"/>
      <c r="C534" s="7"/>
      <c r="D534" s="7">
        <f t="shared" si="8"/>
        <v>0</v>
      </c>
    </row>
    <row r="535" spans="1:4" ht="18.75" hidden="1" x14ac:dyDescent="0.25">
      <c r="A535" s="34" t="s">
        <v>198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199</v>
      </c>
      <c r="B536" s="7"/>
      <c r="C536" s="7"/>
      <c r="D536" s="7">
        <f t="shared" si="8"/>
        <v>0</v>
      </c>
    </row>
    <row r="537" spans="1:4" ht="18.75" hidden="1" x14ac:dyDescent="0.25">
      <c r="A537" s="35" t="s">
        <v>352</v>
      </c>
      <c r="B537" s="7"/>
      <c r="C537" s="7"/>
      <c r="D537" s="7">
        <f t="shared" si="8"/>
        <v>0</v>
      </c>
    </row>
    <row r="538" spans="1:4" ht="18.75" hidden="1" x14ac:dyDescent="0.25">
      <c r="A538" s="9" t="s">
        <v>201</v>
      </c>
      <c r="B538" s="7"/>
      <c r="C538" s="7"/>
      <c r="D538" s="7">
        <f t="shared" si="8"/>
        <v>0</v>
      </c>
    </row>
    <row r="539" spans="1:4" ht="18.75" hidden="1" x14ac:dyDescent="0.25">
      <c r="A539" s="12" t="s">
        <v>202</v>
      </c>
      <c r="B539" s="7"/>
      <c r="C539" s="7"/>
      <c r="D539" s="7">
        <f t="shared" si="8"/>
        <v>0</v>
      </c>
    </row>
    <row r="540" spans="1:4" ht="18.75" hidden="1" x14ac:dyDescent="0.25">
      <c r="A540" s="9" t="s">
        <v>353</v>
      </c>
      <c r="B540" s="7"/>
      <c r="C540" s="7"/>
      <c r="D540" s="7">
        <f t="shared" si="8"/>
        <v>0</v>
      </c>
    </row>
    <row r="541" spans="1:4" ht="18.75" hidden="1" x14ac:dyDescent="0.25">
      <c r="A541" s="9" t="s">
        <v>203</v>
      </c>
      <c r="B541" s="7"/>
      <c r="C541" s="7"/>
      <c r="D541" s="7">
        <f t="shared" si="8"/>
        <v>0</v>
      </c>
    </row>
    <row r="542" spans="1:4" ht="18.75" x14ac:dyDescent="0.25">
      <c r="A542" s="9" t="s">
        <v>204</v>
      </c>
      <c r="B542" s="7">
        <v>400</v>
      </c>
      <c r="C542" s="7">
        <v>20000</v>
      </c>
      <c r="D542" s="7">
        <f t="shared" si="8"/>
        <v>8000000</v>
      </c>
    </row>
    <row r="543" spans="1:4" ht="18.75" hidden="1" x14ac:dyDescent="0.25">
      <c r="A543" s="36" t="s">
        <v>205</v>
      </c>
      <c r="B543" s="7"/>
      <c r="C543" s="7"/>
      <c r="D543" s="7">
        <f t="shared" si="8"/>
        <v>0</v>
      </c>
    </row>
    <row r="544" spans="1:4" ht="18.75" hidden="1" x14ac:dyDescent="0.25">
      <c r="A544" s="36" t="s">
        <v>206</v>
      </c>
      <c r="B544" s="7"/>
      <c r="C544" s="7"/>
      <c r="D544" s="7">
        <f t="shared" si="8"/>
        <v>0</v>
      </c>
    </row>
    <row r="545" spans="1:4" ht="18.75" hidden="1" x14ac:dyDescent="0.25">
      <c r="A545" s="9" t="s">
        <v>207</v>
      </c>
      <c r="B545" s="7"/>
      <c r="C545" s="7"/>
      <c r="D545" s="7">
        <f t="shared" si="8"/>
        <v>0</v>
      </c>
    </row>
    <row r="546" spans="1:4" ht="18.75" hidden="1" x14ac:dyDescent="0.25">
      <c r="A546" s="11" t="s">
        <v>208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209</v>
      </c>
      <c r="B547" s="7"/>
      <c r="C547" s="7"/>
      <c r="D547" s="7">
        <f t="shared" si="8"/>
        <v>0</v>
      </c>
    </row>
    <row r="548" spans="1:4" ht="18.75" hidden="1" x14ac:dyDescent="0.25">
      <c r="A548" s="11" t="s">
        <v>354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210</v>
      </c>
      <c r="B549" s="7"/>
      <c r="C549" s="7"/>
      <c r="D549" s="7">
        <f t="shared" si="8"/>
        <v>0</v>
      </c>
    </row>
    <row r="550" spans="1:4" ht="18.75" hidden="1" x14ac:dyDescent="0.25">
      <c r="A550" s="9" t="s">
        <v>211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355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356</v>
      </c>
      <c r="B552" s="7"/>
      <c r="C552" s="7"/>
      <c r="D552" s="7">
        <f t="shared" si="8"/>
        <v>0</v>
      </c>
    </row>
    <row r="553" spans="1:4" ht="18.75" x14ac:dyDescent="0.25">
      <c r="A553" s="9" t="s">
        <v>212</v>
      </c>
      <c r="B553" s="7">
        <v>5</v>
      </c>
      <c r="C553" s="7">
        <v>23000</v>
      </c>
      <c r="D553" s="7">
        <f t="shared" si="8"/>
        <v>115000</v>
      </c>
    </row>
    <row r="554" spans="1:4" ht="18.75" hidden="1" x14ac:dyDescent="0.25">
      <c r="A554" s="37" t="s">
        <v>213</v>
      </c>
      <c r="B554" s="7"/>
      <c r="C554" s="7"/>
      <c r="D554" s="7">
        <f t="shared" si="8"/>
        <v>0</v>
      </c>
    </row>
    <row r="555" spans="1:4" ht="18.75" hidden="1" x14ac:dyDescent="0.25">
      <c r="A555" s="9" t="s">
        <v>214</v>
      </c>
      <c r="B555" s="7"/>
      <c r="C555" s="7"/>
      <c r="D555" s="7">
        <f t="shared" si="8"/>
        <v>0</v>
      </c>
    </row>
    <row r="556" spans="1:4" ht="18.75" x14ac:dyDescent="0.25">
      <c r="A556" s="9" t="s">
        <v>215</v>
      </c>
      <c r="B556" s="7">
        <v>300</v>
      </c>
      <c r="C556" s="7">
        <v>15000</v>
      </c>
      <c r="D556" s="7">
        <f t="shared" si="8"/>
        <v>4500000</v>
      </c>
    </row>
    <row r="557" spans="1:4" ht="18.75" hidden="1" x14ac:dyDescent="0.25">
      <c r="A557" s="9" t="s">
        <v>216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357</v>
      </c>
      <c r="B558" s="7"/>
      <c r="C558" s="7"/>
      <c r="D558" s="7">
        <f t="shared" si="8"/>
        <v>0</v>
      </c>
    </row>
    <row r="559" spans="1:4" ht="18.75" hidden="1" x14ac:dyDescent="0.25">
      <c r="A559" s="9" t="s">
        <v>217</v>
      </c>
      <c r="B559" s="7"/>
      <c r="C559" s="7"/>
      <c r="D559" s="7">
        <f t="shared" si="8"/>
        <v>0</v>
      </c>
    </row>
    <row r="560" spans="1:4" ht="18.75" hidden="1" x14ac:dyDescent="0.25">
      <c r="A560" s="17" t="s">
        <v>218</v>
      </c>
      <c r="B560" s="7"/>
      <c r="C560" s="7"/>
      <c r="D560" s="7">
        <f t="shared" si="8"/>
        <v>0</v>
      </c>
    </row>
    <row r="561" spans="1:4" ht="18.75" hidden="1" x14ac:dyDescent="0.25">
      <c r="A561" s="17" t="s">
        <v>219</v>
      </c>
      <c r="B561" s="7"/>
      <c r="C561" s="7"/>
      <c r="D561" s="7">
        <f t="shared" si="8"/>
        <v>0</v>
      </c>
    </row>
    <row r="562" spans="1:4" ht="18.75" hidden="1" x14ac:dyDescent="0.25">
      <c r="A562" s="17" t="s">
        <v>220</v>
      </c>
      <c r="B562" s="7"/>
      <c r="C562" s="7"/>
      <c r="D562" s="7">
        <f t="shared" si="8"/>
        <v>0</v>
      </c>
    </row>
    <row r="563" spans="1:4" ht="18.75" hidden="1" x14ac:dyDescent="0.25">
      <c r="A563" s="17" t="s">
        <v>221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222</v>
      </c>
      <c r="B564" s="7"/>
      <c r="C564" s="7"/>
      <c r="D564" s="7">
        <f t="shared" si="8"/>
        <v>0</v>
      </c>
    </row>
    <row r="565" spans="1:4" ht="18.75" hidden="1" x14ac:dyDescent="0.25">
      <c r="A565" s="9" t="s">
        <v>223</v>
      </c>
      <c r="B565" s="7"/>
      <c r="C565" s="7"/>
      <c r="D565" s="7">
        <f t="shared" si="8"/>
        <v>0</v>
      </c>
    </row>
    <row r="566" spans="1:4" ht="18.75" hidden="1" x14ac:dyDescent="0.25">
      <c r="A566" s="17" t="s">
        <v>224</v>
      </c>
      <c r="B566" s="7"/>
      <c r="C566" s="7"/>
      <c r="D566" s="7">
        <f t="shared" si="8"/>
        <v>0</v>
      </c>
    </row>
    <row r="567" spans="1:4" ht="18.75" hidden="1" x14ac:dyDescent="0.25">
      <c r="A567" s="17" t="s">
        <v>225</v>
      </c>
      <c r="B567" s="7"/>
      <c r="C567" s="7"/>
      <c r="D567" s="7">
        <f t="shared" si="8"/>
        <v>0</v>
      </c>
    </row>
    <row r="568" spans="1:4" ht="18.75" hidden="1" x14ac:dyDescent="0.25">
      <c r="A568" s="11" t="s">
        <v>226</v>
      </c>
      <c r="B568" s="7"/>
      <c r="C568" s="7"/>
      <c r="D568" s="7">
        <f t="shared" si="8"/>
        <v>0</v>
      </c>
    </row>
    <row r="569" spans="1:4" ht="18.75" hidden="1" x14ac:dyDescent="0.25">
      <c r="A569" s="12" t="s">
        <v>227</v>
      </c>
      <c r="B569" s="7"/>
      <c r="C569" s="7"/>
      <c r="D569" s="7">
        <f t="shared" si="8"/>
        <v>0</v>
      </c>
    </row>
    <row r="570" spans="1:4" ht="18.75" hidden="1" x14ac:dyDescent="0.25">
      <c r="A570" s="21" t="s">
        <v>358</v>
      </c>
      <c r="B570" s="7"/>
      <c r="C570" s="7"/>
      <c r="D570" s="7">
        <f t="shared" si="8"/>
        <v>0</v>
      </c>
    </row>
    <row r="571" spans="1:4" ht="18.75" hidden="1" x14ac:dyDescent="0.25">
      <c r="A571" s="21" t="s">
        <v>359</v>
      </c>
      <c r="B571" s="7"/>
      <c r="C571" s="7"/>
      <c r="D571" s="7">
        <f t="shared" si="8"/>
        <v>0</v>
      </c>
    </row>
    <row r="572" spans="1:4" ht="18.75" hidden="1" x14ac:dyDescent="0.25">
      <c r="A572" s="11" t="s">
        <v>232</v>
      </c>
      <c r="B572" s="7"/>
      <c r="C572" s="7"/>
      <c r="D572" s="7">
        <f t="shared" si="8"/>
        <v>0</v>
      </c>
    </row>
    <row r="573" spans="1:4" ht="18.75" hidden="1" x14ac:dyDescent="0.25">
      <c r="A573" s="9" t="s">
        <v>237</v>
      </c>
      <c r="B573" s="7"/>
      <c r="C573" s="7"/>
      <c r="D573" s="7">
        <f t="shared" si="8"/>
        <v>0</v>
      </c>
    </row>
    <row r="574" spans="1:4" ht="18.75" hidden="1" x14ac:dyDescent="0.25">
      <c r="A574" s="9" t="s">
        <v>238</v>
      </c>
      <c r="B574" s="7"/>
      <c r="C574" s="7"/>
      <c r="D574" s="7">
        <f t="shared" si="8"/>
        <v>0</v>
      </c>
    </row>
    <row r="575" spans="1:4" ht="18.75" hidden="1" x14ac:dyDescent="0.25">
      <c r="A575" s="13" t="s">
        <v>239</v>
      </c>
      <c r="B575" s="7"/>
      <c r="C575" s="7"/>
      <c r="D575" s="7">
        <f t="shared" si="8"/>
        <v>0</v>
      </c>
    </row>
    <row r="576" spans="1:4" ht="18.75" hidden="1" x14ac:dyDescent="0.25">
      <c r="A576" s="13" t="s">
        <v>240</v>
      </c>
      <c r="B576" s="7"/>
      <c r="C576" s="7"/>
      <c r="D576" s="7">
        <f t="shared" si="8"/>
        <v>0</v>
      </c>
    </row>
    <row r="577" spans="1:4" ht="18.75" hidden="1" x14ac:dyDescent="0.25">
      <c r="A577" s="34" t="s">
        <v>241</v>
      </c>
      <c r="B577" s="7"/>
      <c r="C577" s="7"/>
      <c r="D577" s="7">
        <f t="shared" si="8"/>
        <v>0</v>
      </c>
    </row>
    <row r="578" spans="1:4" ht="18.75" hidden="1" x14ac:dyDescent="0.25">
      <c r="A578" s="9" t="s">
        <v>242</v>
      </c>
      <c r="B578" s="7"/>
      <c r="C578" s="7"/>
      <c r="D578" s="7">
        <f t="shared" si="8"/>
        <v>0</v>
      </c>
    </row>
    <row r="579" spans="1:4" ht="18.75" hidden="1" x14ac:dyDescent="0.25">
      <c r="A579" s="9" t="s">
        <v>243</v>
      </c>
      <c r="B579" s="7"/>
      <c r="C579" s="7"/>
      <c r="D579" s="7">
        <f t="shared" si="8"/>
        <v>0</v>
      </c>
    </row>
    <row r="580" spans="1:4" ht="18.75" hidden="1" x14ac:dyDescent="0.25">
      <c r="A580" s="9" t="s">
        <v>244</v>
      </c>
      <c r="B580" s="16"/>
      <c r="C580" s="16"/>
      <c r="D580" s="7">
        <f t="shared" ref="D580:D643" si="9">B580*C580</f>
        <v>0</v>
      </c>
    </row>
    <row r="581" spans="1:4" ht="18.75" hidden="1" x14ac:dyDescent="0.25">
      <c r="A581" s="34" t="s">
        <v>245</v>
      </c>
      <c r="B581" s="7"/>
      <c r="C581" s="7"/>
      <c r="D581" s="7">
        <f t="shared" si="9"/>
        <v>0</v>
      </c>
    </row>
    <row r="582" spans="1:4" ht="18.75" hidden="1" x14ac:dyDescent="0.25">
      <c r="A582" s="9" t="s">
        <v>246</v>
      </c>
      <c r="B582" s="16"/>
      <c r="C582" s="16"/>
      <c r="D582" s="7">
        <f t="shared" si="9"/>
        <v>0</v>
      </c>
    </row>
    <row r="583" spans="1:4" ht="18.75" hidden="1" x14ac:dyDescent="0.25">
      <c r="A583" s="9" t="s">
        <v>247</v>
      </c>
      <c r="B583" s="7"/>
      <c r="C583" s="7"/>
      <c r="D583" s="7">
        <f t="shared" si="9"/>
        <v>0</v>
      </c>
    </row>
    <row r="584" spans="1:4" ht="18.75" hidden="1" x14ac:dyDescent="0.25">
      <c r="A584" s="11" t="s">
        <v>249</v>
      </c>
      <c r="B584" s="7"/>
      <c r="C584" s="7"/>
      <c r="D584" s="7">
        <f t="shared" si="9"/>
        <v>0</v>
      </c>
    </row>
    <row r="585" spans="1:4" ht="18.75" x14ac:dyDescent="0.25">
      <c r="A585" s="9" t="s">
        <v>250</v>
      </c>
      <c r="B585" s="7">
        <v>20</v>
      </c>
      <c r="C585" s="7">
        <v>21000</v>
      </c>
      <c r="D585" s="7">
        <f t="shared" si="9"/>
        <v>420000</v>
      </c>
    </row>
    <row r="586" spans="1:4" ht="18.75" hidden="1" x14ac:dyDescent="0.25">
      <c r="A586" s="9" t="s">
        <v>251</v>
      </c>
      <c r="B586" s="7"/>
      <c r="C586" s="7"/>
      <c r="D586" s="7">
        <f t="shared" si="9"/>
        <v>0</v>
      </c>
    </row>
    <row r="587" spans="1:4" ht="18.75" hidden="1" x14ac:dyDescent="0.25">
      <c r="A587" s="9" t="s">
        <v>252</v>
      </c>
      <c r="B587" s="7"/>
      <c r="C587" s="7"/>
      <c r="D587" s="7">
        <f t="shared" si="9"/>
        <v>0</v>
      </c>
    </row>
    <row r="588" spans="1:4" ht="18.75" hidden="1" x14ac:dyDescent="0.25">
      <c r="A588" s="9" t="s">
        <v>253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254</v>
      </c>
      <c r="B589" s="7"/>
      <c r="C589" s="7"/>
      <c r="D589" s="7">
        <f t="shared" si="9"/>
        <v>0</v>
      </c>
    </row>
    <row r="590" spans="1:4" ht="18.75" hidden="1" x14ac:dyDescent="0.25">
      <c r="A590" s="17" t="s">
        <v>255</v>
      </c>
      <c r="B590" s="7"/>
      <c r="C590" s="7"/>
      <c r="D590" s="7">
        <f t="shared" si="9"/>
        <v>0</v>
      </c>
    </row>
    <row r="591" spans="1:4" ht="18.75" hidden="1" x14ac:dyDescent="0.25">
      <c r="A591" s="21" t="s">
        <v>256</v>
      </c>
      <c r="B591" s="7"/>
      <c r="C591" s="7"/>
      <c r="D591" s="7">
        <f t="shared" si="9"/>
        <v>0</v>
      </c>
    </row>
    <row r="592" spans="1:4" ht="18.75" hidden="1" x14ac:dyDescent="0.25">
      <c r="A592" s="21" t="s">
        <v>257</v>
      </c>
      <c r="B592" s="7"/>
      <c r="C592" s="7"/>
      <c r="D592" s="7">
        <f t="shared" si="9"/>
        <v>0</v>
      </c>
    </row>
    <row r="593" spans="1:4" ht="18.75" x14ac:dyDescent="0.25">
      <c r="A593" s="9" t="s">
        <v>258</v>
      </c>
      <c r="B593" s="7">
        <v>20</v>
      </c>
      <c r="C593" s="7">
        <v>23000</v>
      </c>
      <c r="D593" s="7">
        <f t="shared" si="9"/>
        <v>460000</v>
      </c>
    </row>
    <row r="594" spans="1:4" ht="18.75" hidden="1" x14ac:dyDescent="0.25">
      <c r="A594" s="9" t="s">
        <v>259</v>
      </c>
      <c r="B594" s="7"/>
      <c r="C594" s="7"/>
      <c r="D594" s="7">
        <f t="shared" si="9"/>
        <v>0</v>
      </c>
    </row>
    <row r="595" spans="1:4" ht="18.75" hidden="1" x14ac:dyDescent="0.25">
      <c r="A595" s="9" t="s">
        <v>260</v>
      </c>
      <c r="B595" s="7"/>
      <c r="C595" s="7"/>
      <c r="D595" s="7">
        <f t="shared" si="9"/>
        <v>0</v>
      </c>
    </row>
    <row r="596" spans="1:4" ht="18.75" hidden="1" x14ac:dyDescent="0.25">
      <c r="A596" s="9" t="s">
        <v>261</v>
      </c>
      <c r="B596" s="7"/>
      <c r="C596" s="7"/>
      <c r="D596" s="7">
        <f t="shared" si="9"/>
        <v>0</v>
      </c>
    </row>
    <row r="597" spans="1:4" ht="18.75" x14ac:dyDescent="0.25">
      <c r="A597" s="9" t="s">
        <v>262</v>
      </c>
      <c r="B597" s="7">
        <v>20</v>
      </c>
      <c r="C597" s="7">
        <v>21000</v>
      </c>
      <c r="D597" s="7">
        <f t="shared" si="9"/>
        <v>420000</v>
      </c>
    </row>
    <row r="598" spans="1:4" ht="18.75" hidden="1" x14ac:dyDescent="0.25">
      <c r="A598" s="9" t="s">
        <v>263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264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265</v>
      </c>
      <c r="B600" s="16"/>
      <c r="C600" s="16"/>
      <c r="D600" s="7">
        <f t="shared" si="9"/>
        <v>0</v>
      </c>
    </row>
    <row r="601" spans="1:4" ht="18.75" hidden="1" x14ac:dyDescent="0.25">
      <c r="A601" s="13" t="s">
        <v>266</v>
      </c>
      <c r="B601" s="7"/>
      <c r="C601" s="7"/>
      <c r="D601" s="7">
        <f t="shared" si="9"/>
        <v>0</v>
      </c>
    </row>
    <row r="602" spans="1:4" ht="18.75" hidden="1" x14ac:dyDescent="0.25">
      <c r="A602" s="9" t="s">
        <v>267</v>
      </c>
      <c r="B602" s="7"/>
      <c r="C602" s="7"/>
      <c r="D602" s="7">
        <f t="shared" si="9"/>
        <v>0</v>
      </c>
    </row>
    <row r="603" spans="1:4" ht="18.75" hidden="1" x14ac:dyDescent="0.25">
      <c r="A603" s="11" t="s">
        <v>360</v>
      </c>
      <c r="B603" s="7"/>
      <c r="C603" s="7"/>
      <c r="D603" s="7">
        <f t="shared" si="9"/>
        <v>0</v>
      </c>
    </row>
    <row r="604" spans="1:4" ht="18.75" hidden="1" x14ac:dyDescent="0.25">
      <c r="A604" s="11" t="s">
        <v>268</v>
      </c>
      <c r="B604" s="7"/>
      <c r="C604" s="7"/>
      <c r="D604" s="7">
        <f t="shared" si="9"/>
        <v>0</v>
      </c>
    </row>
    <row r="605" spans="1:4" ht="18.75" hidden="1" x14ac:dyDescent="0.25">
      <c r="A605" s="9" t="s">
        <v>269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361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270</v>
      </c>
      <c r="B607" s="7"/>
      <c r="C607" s="7"/>
      <c r="D607" s="7">
        <f t="shared" si="9"/>
        <v>0</v>
      </c>
    </row>
    <row r="608" spans="1:4" ht="18.75" hidden="1" x14ac:dyDescent="0.25">
      <c r="A608" s="9" t="s">
        <v>362</v>
      </c>
      <c r="B608" s="7"/>
      <c r="C608" s="7"/>
      <c r="D608" s="7">
        <f t="shared" si="9"/>
        <v>0</v>
      </c>
    </row>
    <row r="609" spans="1:4" ht="18.75" hidden="1" x14ac:dyDescent="0.25">
      <c r="A609" s="9" t="s">
        <v>272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273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274</v>
      </c>
      <c r="B611" s="7"/>
      <c r="C611" s="7"/>
      <c r="D611" s="7">
        <f t="shared" si="9"/>
        <v>0</v>
      </c>
    </row>
    <row r="612" spans="1:4" ht="18.75" hidden="1" x14ac:dyDescent="0.25">
      <c r="A612" s="34" t="s">
        <v>276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277</v>
      </c>
      <c r="B613" s="7"/>
      <c r="C613" s="7"/>
      <c r="D613" s="7">
        <f t="shared" si="9"/>
        <v>0</v>
      </c>
    </row>
    <row r="614" spans="1:4" ht="18.75" hidden="1" x14ac:dyDescent="0.25">
      <c r="A614" s="34" t="s">
        <v>278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363</v>
      </c>
      <c r="B615" s="7"/>
      <c r="C615" s="7"/>
      <c r="D615" s="7">
        <f t="shared" si="9"/>
        <v>0</v>
      </c>
    </row>
    <row r="616" spans="1:4" ht="18.75" hidden="1" x14ac:dyDescent="0.25">
      <c r="A616" s="34" t="s">
        <v>279</v>
      </c>
      <c r="B616" s="7"/>
      <c r="C616" s="7"/>
      <c r="D616" s="7">
        <f t="shared" si="9"/>
        <v>0</v>
      </c>
    </row>
    <row r="617" spans="1:4" ht="18.75" hidden="1" x14ac:dyDescent="0.25">
      <c r="A617" s="12" t="s">
        <v>280</v>
      </c>
      <c r="B617" s="16"/>
      <c r="C617" s="16"/>
      <c r="D617" s="7">
        <f t="shared" si="9"/>
        <v>0</v>
      </c>
    </row>
    <row r="618" spans="1:4" ht="18.75" hidden="1" x14ac:dyDescent="0.25">
      <c r="A618" s="17" t="s">
        <v>284</v>
      </c>
      <c r="B618" s="7"/>
      <c r="C618" s="7"/>
      <c r="D618" s="7">
        <f t="shared" si="9"/>
        <v>0</v>
      </c>
    </row>
    <row r="619" spans="1:4" ht="18.75" hidden="1" x14ac:dyDescent="0.25">
      <c r="A619" s="17" t="s">
        <v>285</v>
      </c>
      <c r="B619" s="7"/>
      <c r="C619" s="7"/>
      <c r="D619" s="7">
        <f t="shared" si="9"/>
        <v>0</v>
      </c>
    </row>
    <row r="620" spans="1:4" ht="18.75" hidden="1" x14ac:dyDescent="0.25">
      <c r="A620" s="17" t="s">
        <v>286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287</v>
      </c>
      <c r="B621" s="7"/>
      <c r="C621" s="7"/>
      <c r="D621" s="7">
        <f t="shared" si="9"/>
        <v>0</v>
      </c>
    </row>
    <row r="622" spans="1:4" ht="18.75" hidden="1" x14ac:dyDescent="0.25">
      <c r="A622" s="17" t="s">
        <v>288</v>
      </c>
      <c r="B622" s="7"/>
      <c r="C622" s="7"/>
      <c r="D622" s="7">
        <f t="shared" si="9"/>
        <v>0</v>
      </c>
    </row>
    <row r="623" spans="1:4" ht="18.75" hidden="1" x14ac:dyDescent="0.25">
      <c r="A623" s="9" t="s">
        <v>289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290</v>
      </c>
      <c r="B624" s="7"/>
      <c r="C624" s="7"/>
      <c r="D624" s="7">
        <f t="shared" si="9"/>
        <v>0</v>
      </c>
    </row>
    <row r="625" spans="1:4" ht="18.75" hidden="1" x14ac:dyDescent="0.25">
      <c r="A625" s="17" t="s">
        <v>291</v>
      </c>
      <c r="B625" s="7"/>
      <c r="C625" s="7"/>
      <c r="D625" s="7">
        <f t="shared" si="9"/>
        <v>0</v>
      </c>
    </row>
    <row r="626" spans="1:4" ht="18.75" hidden="1" x14ac:dyDescent="0.25">
      <c r="A626" s="25" t="s">
        <v>292</v>
      </c>
      <c r="B626" s="7"/>
      <c r="C626" s="7"/>
      <c r="D626" s="7">
        <f t="shared" si="9"/>
        <v>0</v>
      </c>
    </row>
    <row r="627" spans="1:4" ht="18.75" hidden="1" x14ac:dyDescent="0.25">
      <c r="A627" s="9" t="s">
        <v>293</v>
      </c>
      <c r="B627" s="7"/>
      <c r="C627" s="7"/>
      <c r="D627" s="7">
        <f t="shared" si="9"/>
        <v>0</v>
      </c>
    </row>
    <row r="628" spans="1:4" ht="18.75" hidden="1" x14ac:dyDescent="0.25">
      <c r="A628" s="13" t="s">
        <v>294</v>
      </c>
      <c r="B628" s="7"/>
      <c r="C628" s="7"/>
      <c r="D628" s="7">
        <f t="shared" si="9"/>
        <v>0</v>
      </c>
    </row>
    <row r="629" spans="1:4" ht="18.75" hidden="1" x14ac:dyDescent="0.25">
      <c r="A629" s="12" t="s">
        <v>296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297</v>
      </c>
      <c r="B630" s="7"/>
      <c r="C630" s="7"/>
      <c r="D630" s="7">
        <f t="shared" si="9"/>
        <v>0</v>
      </c>
    </row>
    <row r="631" spans="1:4" ht="18.75" hidden="1" x14ac:dyDescent="0.25">
      <c r="A631" s="13" t="s">
        <v>298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299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300</v>
      </c>
      <c r="B633" s="7"/>
      <c r="C633" s="7"/>
      <c r="D633" s="7">
        <f t="shared" si="9"/>
        <v>0</v>
      </c>
    </row>
    <row r="634" spans="1:4" ht="18.75" hidden="1" x14ac:dyDescent="0.25">
      <c r="A634" s="12" t="s">
        <v>364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365</v>
      </c>
      <c r="B635" s="7"/>
      <c r="C635" s="7"/>
      <c r="D635" s="7">
        <f t="shared" si="9"/>
        <v>0</v>
      </c>
    </row>
    <row r="636" spans="1:4" ht="18.75" hidden="1" x14ac:dyDescent="0.25">
      <c r="A636" s="11" t="s">
        <v>303</v>
      </c>
      <c r="B636" s="7"/>
      <c r="C636" s="7"/>
      <c r="D636" s="7">
        <f t="shared" si="9"/>
        <v>0</v>
      </c>
    </row>
    <row r="637" spans="1:4" ht="18.75" hidden="1" x14ac:dyDescent="0.25">
      <c r="A637" s="9" t="s">
        <v>366</v>
      </c>
      <c r="B637" s="7"/>
      <c r="C637" s="7"/>
      <c r="D637" s="7">
        <f t="shared" si="9"/>
        <v>0</v>
      </c>
    </row>
    <row r="638" spans="1:4" ht="18.75" hidden="1" x14ac:dyDescent="0.25">
      <c r="A638" s="12" t="s">
        <v>304</v>
      </c>
      <c r="B638" s="7"/>
      <c r="C638" s="7"/>
      <c r="D638" s="7">
        <f t="shared" si="9"/>
        <v>0</v>
      </c>
    </row>
    <row r="639" spans="1:4" ht="18.75" hidden="1" x14ac:dyDescent="0.25">
      <c r="A639" s="12" t="s">
        <v>305</v>
      </c>
      <c r="B639" s="7"/>
      <c r="C639" s="7"/>
      <c r="D639" s="7">
        <f t="shared" si="9"/>
        <v>0</v>
      </c>
    </row>
    <row r="640" spans="1:4" ht="18.75" hidden="1" x14ac:dyDescent="0.25">
      <c r="A640" s="9" t="s">
        <v>306</v>
      </c>
      <c r="B640" s="7"/>
      <c r="C640" s="7"/>
      <c r="D640" s="7">
        <f t="shared" si="9"/>
        <v>0</v>
      </c>
    </row>
    <row r="641" spans="1:4" ht="18.75" hidden="1" x14ac:dyDescent="0.25">
      <c r="A641" s="9" t="s">
        <v>307</v>
      </c>
      <c r="B641" s="7"/>
      <c r="C641" s="7"/>
      <c r="D641" s="7">
        <f t="shared" si="9"/>
        <v>0</v>
      </c>
    </row>
    <row r="642" spans="1:4" ht="18.75" hidden="1" x14ac:dyDescent="0.25">
      <c r="A642" s="9" t="s">
        <v>308</v>
      </c>
      <c r="B642" s="7"/>
      <c r="C642" s="7"/>
      <c r="D642" s="7">
        <f t="shared" si="9"/>
        <v>0</v>
      </c>
    </row>
    <row r="643" spans="1:4" ht="18.75" hidden="1" x14ac:dyDescent="0.25">
      <c r="A643" s="13" t="s">
        <v>309</v>
      </c>
      <c r="B643" s="7"/>
      <c r="C643" s="7"/>
      <c r="D643" s="7">
        <f t="shared" si="9"/>
        <v>0</v>
      </c>
    </row>
    <row r="644" spans="1:4" ht="18.75" hidden="1" x14ac:dyDescent="0.25">
      <c r="A644" s="13" t="s">
        <v>310</v>
      </c>
      <c r="B644" s="7"/>
      <c r="C644" s="7"/>
      <c r="D644" s="7">
        <f t="shared" ref="D644:D671" si="10">B644*C644</f>
        <v>0</v>
      </c>
    </row>
    <row r="645" spans="1:4" ht="18.75" hidden="1" x14ac:dyDescent="0.25">
      <c r="A645" s="21" t="s">
        <v>311</v>
      </c>
      <c r="B645" s="7"/>
      <c r="C645" s="7"/>
      <c r="D645" s="7">
        <f t="shared" si="10"/>
        <v>0</v>
      </c>
    </row>
    <row r="646" spans="1:4" ht="18.75" hidden="1" x14ac:dyDescent="0.25">
      <c r="A646" s="13" t="s">
        <v>312</v>
      </c>
      <c r="B646" s="7"/>
      <c r="C646" s="7"/>
      <c r="D646" s="7">
        <f t="shared" si="10"/>
        <v>0</v>
      </c>
    </row>
    <row r="647" spans="1:4" ht="18.75" hidden="1" x14ac:dyDescent="0.25">
      <c r="A647" s="9" t="s">
        <v>313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314</v>
      </c>
      <c r="B648" s="7"/>
      <c r="C648" s="7"/>
      <c r="D648" s="7">
        <f t="shared" si="10"/>
        <v>0</v>
      </c>
    </row>
    <row r="649" spans="1:4" ht="18.75" hidden="1" x14ac:dyDescent="0.25">
      <c r="A649" s="9" t="s">
        <v>315</v>
      </c>
      <c r="B649" s="7"/>
      <c r="C649" s="7"/>
      <c r="D649" s="7">
        <f t="shared" si="10"/>
        <v>0</v>
      </c>
    </row>
    <row r="650" spans="1:4" ht="18.75" hidden="1" x14ac:dyDescent="0.25">
      <c r="A650" s="9" t="s">
        <v>316</v>
      </c>
      <c r="B650" s="7"/>
      <c r="C650" s="7"/>
      <c r="D650" s="7">
        <f t="shared" si="10"/>
        <v>0</v>
      </c>
    </row>
    <row r="651" spans="1:4" ht="18.75" hidden="1" x14ac:dyDescent="0.25">
      <c r="A651" s="21" t="s">
        <v>317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318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319</v>
      </c>
      <c r="B653" s="7"/>
      <c r="C653" s="7"/>
      <c r="D653" s="7">
        <f t="shared" si="10"/>
        <v>0</v>
      </c>
    </row>
    <row r="654" spans="1:4" ht="18.75" hidden="1" x14ac:dyDescent="0.25">
      <c r="A654" s="12" t="s">
        <v>320</v>
      </c>
      <c r="B654" s="7"/>
      <c r="C654" s="7"/>
      <c r="D654" s="7">
        <f t="shared" si="10"/>
        <v>0</v>
      </c>
    </row>
    <row r="655" spans="1:4" ht="18.75" hidden="1" x14ac:dyDescent="0.25">
      <c r="A655" s="9" t="s">
        <v>321</v>
      </c>
      <c r="B655" s="39"/>
      <c r="C655" s="39"/>
      <c r="D655" s="7">
        <f t="shared" si="10"/>
        <v>0</v>
      </c>
    </row>
    <row r="656" spans="1:4" ht="18.75" hidden="1" x14ac:dyDescent="0.25">
      <c r="A656" s="9" t="s">
        <v>322</v>
      </c>
      <c r="B656" s="7"/>
      <c r="C656" s="7"/>
      <c r="D656" s="7">
        <f t="shared" si="10"/>
        <v>0</v>
      </c>
    </row>
    <row r="657" spans="1:4" ht="18.75" hidden="1" x14ac:dyDescent="0.25">
      <c r="A657" s="9" t="s">
        <v>323</v>
      </c>
      <c r="B657" s="7"/>
      <c r="C657" s="7"/>
      <c r="D657" s="7">
        <f t="shared" si="10"/>
        <v>0</v>
      </c>
    </row>
    <row r="658" spans="1:4" ht="18.75" hidden="1" x14ac:dyDescent="0.25">
      <c r="A658" s="21" t="s">
        <v>324</v>
      </c>
      <c r="B658" s="7"/>
      <c r="C658" s="7"/>
      <c r="D658" s="7">
        <f t="shared" si="10"/>
        <v>0</v>
      </c>
    </row>
    <row r="659" spans="1:4" ht="18.75" hidden="1" x14ac:dyDescent="0.25">
      <c r="A659" s="21" t="s">
        <v>325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326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327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328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329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330</v>
      </c>
      <c r="B664" s="7"/>
      <c r="C664" s="7"/>
      <c r="D664" s="7">
        <f t="shared" si="10"/>
        <v>0</v>
      </c>
    </row>
    <row r="665" spans="1:4" ht="18.75" hidden="1" x14ac:dyDescent="0.25">
      <c r="A665" s="9" t="s">
        <v>331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332</v>
      </c>
      <c r="B666" s="7"/>
      <c r="C666" s="7"/>
      <c r="D666" s="7">
        <f t="shared" si="10"/>
        <v>0</v>
      </c>
    </row>
    <row r="667" spans="1:4" ht="18.75" hidden="1" x14ac:dyDescent="0.25">
      <c r="A667" s="9" t="s">
        <v>333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334</v>
      </c>
      <c r="B668" s="7"/>
      <c r="C668" s="7"/>
      <c r="D668" s="7">
        <f t="shared" si="10"/>
        <v>0</v>
      </c>
    </row>
    <row r="669" spans="1:4" ht="18.75" hidden="1" x14ac:dyDescent="0.25">
      <c r="A669" s="9" t="s">
        <v>335</v>
      </c>
      <c r="B669" s="7"/>
      <c r="C669" s="7"/>
      <c r="D669" s="7">
        <f t="shared" si="10"/>
        <v>0</v>
      </c>
    </row>
    <row r="670" spans="1:4" ht="18.75" hidden="1" x14ac:dyDescent="0.25">
      <c r="A670" s="9" t="s">
        <v>336</v>
      </c>
      <c r="B670" s="7"/>
      <c r="C670" s="7"/>
      <c r="D670" s="7">
        <f t="shared" si="10"/>
        <v>0</v>
      </c>
    </row>
    <row r="671" spans="1:4" ht="18.75" hidden="1" x14ac:dyDescent="0.25">
      <c r="A671" s="11" t="s">
        <v>338</v>
      </c>
      <c r="B671" s="7"/>
      <c r="C671" s="7"/>
      <c r="D671" s="7">
        <f t="shared" si="10"/>
        <v>0</v>
      </c>
    </row>
    <row r="672" spans="1:4" ht="18.75" x14ac:dyDescent="0.25">
      <c r="A672" s="40"/>
      <c r="B672" s="43">
        <f>SUM(B345:B671)</f>
        <v>2554</v>
      </c>
      <c r="C672" s="43"/>
      <c r="D672" s="43">
        <f t="shared" ref="D672" si="11">SUM(D345:D671)</f>
        <v>37642700</v>
      </c>
    </row>
    <row r="674" spans="4:4" x14ac:dyDescent="0.25">
      <c r="D674" s="53">
        <f>D672+D340</f>
        <v>106818700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00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674"/>
  <sheetViews>
    <sheetView topLeftCell="A263" workbookViewId="0">
      <selection activeCell="D674" sqref="D674"/>
    </sheetView>
  </sheetViews>
  <sheetFormatPr defaultRowHeight="15" x14ac:dyDescent="0.25"/>
  <cols>
    <col min="1" max="1" width="35.140625" customWidth="1"/>
    <col min="3" max="3" width="14.42578125" customWidth="1"/>
    <col min="4" max="4" width="19" customWidth="1"/>
  </cols>
  <sheetData>
    <row r="1" spans="1:4" x14ac:dyDescent="0.25">
      <c r="A1" s="1" t="s">
        <v>371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5" t="s">
        <v>5</v>
      </c>
      <c r="B6" s="7"/>
      <c r="C6" s="7"/>
      <c r="D6" s="7">
        <f t="shared" si="0"/>
        <v>0</v>
      </c>
    </row>
    <row r="7" spans="1:4" ht="18.75" hidden="1" x14ac:dyDescent="0.25">
      <c r="A7" s="9" t="s">
        <v>6</v>
      </c>
      <c r="B7" s="7"/>
      <c r="C7" s="7"/>
      <c r="D7" s="7">
        <f t="shared" si="0"/>
        <v>0</v>
      </c>
    </row>
    <row r="8" spans="1:4" ht="18.75" hidden="1" x14ac:dyDescent="0.25">
      <c r="A8" s="10" t="s">
        <v>7</v>
      </c>
      <c r="B8" s="7"/>
      <c r="C8" s="7"/>
      <c r="D8" s="7">
        <f t="shared" si="0"/>
        <v>0</v>
      </c>
    </row>
    <row r="9" spans="1:4" ht="18.75" hidden="1" x14ac:dyDescent="0.25">
      <c r="A9" s="5" t="s">
        <v>8</v>
      </c>
      <c r="B9" s="7"/>
      <c r="C9" s="7"/>
      <c r="D9" s="7">
        <f t="shared" si="0"/>
        <v>0</v>
      </c>
    </row>
    <row r="10" spans="1:4" ht="18.75" hidden="1" x14ac:dyDescent="0.25">
      <c r="A10" s="5" t="s">
        <v>9</v>
      </c>
      <c r="B10" s="7"/>
      <c r="C10" s="7"/>
      <c r="D10" s="7">
        <f t="shared" si="0"/>
        <v>0</v>
      </c>
    </row>
    <row r="11" spans="1:4" ht="18.75" hidden="1" x14ac:dyDescent="0.25">
      <c r="A11" s="11" t="s">
        <v>10</v>
      </c>
      <c r="B11" s="7"/>
      <c r="C11" s="7"/>
      <c r="D11" s="7">
        <f t="shared" si="0"/>
        <v>0</v>
      </c>
    </row>
    <row r="12" spans="1:4" ht="18.75" hidden="1" x14ac:dyDescent="0.25">
      <c r="A12" s="9" t="s">
        <v>11</v>
      </c>
      <c r="B12" s="7"/>
      <c r="C12" s="7"/>
      <c r="D12" s="7">
        <f t="shared" si="0"/>
        <v>0</v>
      </c>
    </row>
    <row r="13" spans="1:4" ht="18.75" hidden="1" x14ac:dyDescent="0.25">
      <c r="A13" s="9" t="s">
        <v>12</v>
      </c>
      <c r="B13" s="7"/>
      <c r="C13" s="7"/>
      <c r="D13" s="7">
        <f t="shared" si="0"/>
        <v>0</v>
      </c>
    </row>
    <row r="14" spans="1:4" ht="18.75" hidden="1" x14ac:dyDescent="0.25">
      <c r="A14" s="12" t="s">
        <v>13</v>
      </c>
      <c r="B14" s="7"/>
      <c r="C14" s="7"/>
      <c r="D14" s="7">
        <f t="shared" si="0"/>
        <v>0</v>
      </c>
    </row>
    <row r="15" spans="1:4" ht="18.75" x14ac:dyDescent="0.25">
      <c r="A15" s="12" t="s">
        <v>14</v>
      </c>
      <c r="B15" s="7">
        <v>13</v>
      </c>
      <c r="C15" s="7">
        <v>12000</v>
      </c>
      <c r="D15" s="7">
        <f t="shared" si="0"/>
        <v>156000</v>
      </c>
    </row>
    <row r="16" spans="1:4" ht="18.75" hidden="1" x14ac:dyDescent="0.25">
      <c r="A16" s="9" t="s">
        <v>15</v>
      </c>
      <c r="B16" s="7"/>
      <c r="C16" s="7"/>
      <c r="D16" s="7">
        <f t="shared" si="0"/>
        <v>0</v>
      </c>
    </row>
    <row r="17" spans="1:4" ht="18.75" hidden="1" x14ac:dyDescent="0.25">
      <c r="A17" s="9" t="s">
        <v>16</v>
      </c>
      <c r="B17" s="7"/>
      <c r="C17" s="7"/>
      <c r="D17" s="7">
        <f t="shared" si="0"/>
        <v>0</v>
      </c>
    </row>
    <row r="18" spans="1:4" ht="18.75" hidden="1" x14ac:dyDescent="0.25">
      <c r="A18" s="13" t="s">
        <v>17</v>
      </c>
      <c r="B18" s="7"/>
      <c r="C18" s="7"/>
      <c r="D18" s="7">
        <f t="shared" si="0"/>
        <v>0</v>
      </c>
    </row>
    <row r="19" spans="1:4" ht="18.75" hidden="1" x14ac:dyDescent="0.25">
      <c r="A19" s="11" t="s">
        <v>18</v>
      </c>
      <c r="B19" s="7"/>
      <c r="C19" s="45"/>
      <c r="D19" s="7">
        <f t="shared" si="0"/>
        <v>0</v>
      </c>
    </row>
    <row r="20" spans="1:4" ht="18.75" x14ac:dyDescent="0.25">
      <c r="A20" s="9" t="s">
        <v>19</v>
      </c>
      <c r="B20" s="7">
        <v>700</v>
      </c>
      <c r="C20" s="7">
        <v>12000</v>
      </c>
      <c r="D20" s="7">
        <f t="shared" si="0"/>
        <v>8400000</v>
      </c>
    </row>
    <row r="21" spans="1:4" ht="18.75" hidden="1" x14ac:dyDescent="0.25">
      <c r="A21" s="12" t="s">
        <v>20</v>
      </c>
      <c r="B21" s="7"/>
      <c r="C21" s="7"/>
      <c r="D21" s="7">
        <f t="shared" si="0"/>
        <v>0</v>
      </c>
    </row>
    <row r="22" spans="1:4" ht="18.75" hidden="1" x14ac:dyDescent="0.25">
      <c r="A22" s="12" t="s">
        <v>21</v>
      </c>
      <c r="B22" s="7"/>
      <c r="C22" s="7"/>
      <c r="D22" s="7">
        <f t="shared" si="0"/>
        <v>0</v>
      </c>
    </row>
    <row r="23" spans="1:4" ht="18.75" hidden="1" x14ac:dyDescent="0.25">
      <c r="A23" s="9" t="s">
        <v>22</v>
      </c>
      <c r="B23" s="7"/>
      <c r="C23" s="7"/>
      <c r="D23" s="7">
        <f t="shared" si="0"/>
        <v>0</v>
      </c>
    </row>
    <row r="24" spans="1:4" ht="18.75" hidden="1" x14ac:dyDescent="0.25">
      <c r="A24" s="9" t="s">
        <v>23</v>
      </c>
      <c r="B24" s="7"/>
      <c r="C24" s="7"/>
      <c r="D24" s="7">
        <f t="shared" si="0"/>
        <v>0</v>
      </c>
    </row>
    <row r="25" spans="1:4" ht="18.75" hidden="1" x14ac:dyDescent="0.25">
      <c r="A25" s="9" t="s">
        <v>24</v>
      </c>
      <c r="B25" s="7"/>
      <c r="C25" s="7"/>
      <c r="D25" s="7">
        <f t="shared" si="0"/>
        <v>0</v>
      </c>
    </row>
    <row r="26" spans="1:4" ht="18.75" hidden="1" x14ac:dyDescent="0.25">
      <c r="A26" s="9" t="s">
        <v>25</v>
      </c>
      <c r="B26" s="7"/>
      <c r="C26" s="7"/>
      <c r="D26" s="7">
        <f t="shared" si="0"/>
        <v>0</v>
      </c>
    </row>
    <row r="27" spans="1:4" ht="18.75" hidden="1" x14ac:dyDescent="0.25">
      <c r="A27" s="9" t="s">
        <v>26</v>
      </c>
      <c r="B27" s="7"/>
      <c r="C27" s="7"/>
      <c r="D27" s="7">
        <f t="shared" si="0"/>
        <v>0</v>
      </c>
    </row>
    <row r="28" spans="1:4" ht="18.75" hidden="1" x14ac:dyDescent="0.25">
      <c r="A28" s="9" t="s">
        <v>27</v>
      </c>
      <c r="B28" s="7"/>
      <c r="C28" s="7"/>
      <c r="D28" s="7">
        <f t="shared" si="0"/>
        <v>0</v>
      </c>
    </row>
    <row r="29" spans="1:4" ht="18.75" hidden="1" x14ac:dyDescent="0.25">
      <c r="A29" s="11" t="s">
        <v>28</v>
      </c>
      <c r="B29" s="16"/>
      <c r="C29" s="16"/>
      <c r="D29" s="7">
        <f t="shared" si="0"/>
        <v>0</v>
      </c>
    </row>
    <row r="30" spans="1:4" ht="18.75" x14ac:dyDescent="0.25">
      <c r="A30" s="12" t="s">
        <v>29</v>
      </c>
      <c r="B30" s="7">
        <f>18+11+20</f>
        <v>49</v>
      </c>
      <c r="C30" s="7">
        <v>18000</v>
      </c>
      <c r="D30" s="7">
        <f t="shared" si="0"/>
        <v>882000</v>
      </c>
    </row>
    <row r="31" spans="1:4" ht="18.75" hidden="1" x14ac:dyDescent="0.25">
      <c r="A31" s="11" t="s">
        <v>30</v>
      </c>
      <c r="B31" s="7"/>
      <c r="C31" s="7"/>
      <c r="D31" s="7">
        <f t="shared" si="0"/>
        <v>0</v>
      </c>
    </row>
    <row r="32" spans="1:4" ht="18.75" hidden="1" x14ac:dyDescent="0.25">
      <c r="A32" s="11" t="s">
        <v>31</v>
      </c>
      <c r="B32" s="7"/>
      <c r="C32" s="7"/>
      <c r="D32" s="7">
        <f t="shared" si="0"/>
        <v>0</v>
      </c>
    </row>
    <row r="33" spans="1:4" ht="18.75" hidden="1" x14ac:dyDescent="0.25">
      <c r="A33" s="11" t="s">
        <v>32</v>
      </c>
      <c r="B33" s="7"/>
      <c r="C33" s="7"/>
      <c r="D33" s="7">
        <f t="shared" si="0"/>
        <v>0</v>
      </c>
    </row>
    <row r="34" spans="1:4" ht="18.75" hidden="1" x14ac:dyDescent="0.25">
      <c r="A34" s="12" t="s">
        <v>33</v>
      </c>
      <c r="B34" s="7"/>
      <c r="C34" s="7"/>
      <c r="D34" s="7">
        <f t="shared" si="0"/>
        <v>0</v>
      </c>
    </row>
    <row r="35" spans="1:4" ht="18.75" hidden="1" x14ac:dyDescent="0.25">
      <c r="A35" s="11" t="s">
        <v>34</v>
      </c>
      <c r="B35" s="7"/>
      <c r="C35" s="7"/>
      <c r="D35" s="7">
        <f t="shared" si="0"/>
        <v>0</v>
      </c>
    </row>
    <row r="36" spans="1:4" ht="18.75" hidden="1" x14ac:dyDescent="0.25">
      <c r="A36" s="11" t="s">
        <v>35</v>
      </c>
      <c r="B36" s="7"/>
      <c r="C36" s="7"/>
      <c r="D36" s="7">
        <f t="shared" si="0"/>
        <v>0</v>
      </c>
    </row>
    <row r="37" spans="1:4" ht="18.75" hidden="1" x14ac:dyDescent="0.25">
      <c r="A37" s="11" t="s">
        <v>36</v>
      </c>
      <c r="B37" s="7"/>
      <c r="C37" s="7"/>
      <c r="D37" s="7">
        <f t="shared" si="0"/>
        <v>0</v>
      </c>
    </row>
    <row r="38" spans="1:4" ht="18.75" x14ac:dyDescent="0.25">
      <c r="A38" s="12" t="s">
        <v>37</v>
      </c>
      <c r="B38" s="7">
        <v>42</v>
      </c>
      <c r="C38" s="7">
        <v>13000</v>
      </c>
      <c r="D38" s="7">
        <f t="shared" si="0"/>
        <v>546000</v>
      </c>
    </row>
    <row r="39" spans="1:4" ht="18.75" hidden="1" x14ac:dyDescent="0.25">
      <c r="A39" s="9" t="s">
        <v>38</v>
      </c>
      <c r="B39" s="7"/>
      <c r="C39" s="7"/>
      <c r="D39" s="7">
        <f t="shared" si="0"/>
        <v>0</v>
      </c>
    </row>
    <row r="40" spans="1:4" ht="18.75" hidden="1" x14ac:dyDescent="0.25">
      <c r="A40" s="9" t="s">
        <v>39</v>
      </c>
      <c r="B40" s="7"/>
      <c r="C40" s="7"/>
      <c r="D40" s="7">
        <f t="shared" si="0"/>
        <v>0</v>
      </c>
    </row>
    <row r="41" spans="1:4" ht="18.75" hidden="1" x14ac:dyDescent="0.25">
      <c r="A41" s="11" t="s">
        <v>40</v>
      </c>
      <c r="B41" s="16"/>
      <c r="C41" s="16"/>
      <c r="D41" s="7">
        <f t="shared" si="0"/>
        <v>0</v>
      </c>
    </row>
    <row r="42" spans="1:4" ht="18.75" hidden="1" x14ac:dyDescent="0.25">
      <c r="A42" s="9" t="s">
        <v>41</v>
      </c>
      <c r="B42" s="7"/>
      <c r="C42" s="7"/>
      <c r="D42" s="7">
        <f t="shared" si="0"/>
        <v>0</v>
      </c>
    </row>
    <row r="43" spans="1:4" ht="18.75" hidden="1" x14ac:dyDescent="0.25">
      <c r="A43" s="9" t="s">
        <v>42</v>
      </c>
      <c r="B43" s="7"/>
      <c r="C43" s="7"/>
      <c r="D43" s="7">
        <f t="shared" si="0"/>
        <v>0</v>
      </c>
    </row>
    <row r="44" spans="1:4" ht="18.75" hidden="1" x14ac:dyDescent="0.25">
      <c r="A44" s="17" t="s">
        <v>43</v>
      </c>
      <c r="B44" s="7"/>
      <c r="C44" s="7"/>
      <c r="D44" s="7">
        <f t="shared" si="0"/>
        <v>0</v>
      </c>
    </row>
    <row r="45" spans="1:4" ht="18.75" hidden="1" x14ac:dyDescent="0.25">
      <c r="A45" s="9" t="s">
        <v>44</v>
      </c>
      <c r="B45" s="7"/>
      <c r="C45" s="7"/>
      <c r="D45" s="7">
        <f t="shared" si="0"/>
        <v>0</v>
      </c>
    </row>
    <row r="46" spans="1:4" ht="18.75" hidden="1" x14ac:dyDescent="0.25">
      <c r="A46" s="9" t="s">
        <v>45</v>
      </c>
      <c r="B46" s="7"/>
      <c r="C46" s="7"/>
      <c r="D46" s="7">
        <f t="shared" si="0"/>
        <v>0</v>
      </c>
    </row>
    <row r="47" spans="1:4" ht="18.75" hidden="1" x14ac:dyDescent="0.25">
      <c r="A47" s="9" t="s">
        <v>46</v>
      </c>
      <c r="B47" s="7"/>
      <c r="C47" s="7"/>
      <c r="D47" s="7">
        <f t="shared" si="0"/>
        <v>0</v>
      </c>
    </row>
    <row r="48" spans="1:4" ht="18.75" hidden="1" x14ac:dyDescent="0.25">
      <c r="A48" s="18" t="s">
        <v>47</v>
      </c>
      <c r="B48" s="7"/>
      <c r="C48" s="7"/>
      <c r="D48" s="7">
        <f t="shared" si="0"/>
        <v>0</v>
      </c>
    </row>
    <row r="49" spans="1:4" ht="18.75" hidden="1" x14ac:dyDescent="0.25">
      <c r="A49" s="13" t="s">
        <v>48</v>
      </c>
      <c r="B49" s="7"/>
      <c r="C49" s="7"/>
      <c r="D49" s="7">
        <f t="shared" si="0"/>
        <v>0</v>
      </c>
    </row>
    <row r="50" spans="1:4" ht="18.75" hidden="1" x14ac:dyDescent="0.25">
      <c r="A50" s="11" t="s">
        <v>49</v>
      </c>
      <c r="B50" s="7"/>
      <c r="C50" s="7"/>
      <c r="D50" s="7">
        <f t="shared" si="0"/>
        <v>0</v>
      </c>
    </row>
    <row r="51" spans="1:4" ht="18.75" hidden="1" x14ac:dyDescent="0.25">
      <c r="A51" s="13" t="s">
        <v>50</v>
      </c>
      <c r="B51" s="7"/>
      <c r="C51" s="7"/>
      <c r="D51" s="7">
        <f t="shared" si="0"/>
        <v>0</v>
      </c>
    </row>
    <row r="52" spans="1:4" ht="18.75" hidden="1" x14ac:dyDescent="0.25">
      <c r="A52" s="9" t="s">
        <v>51</v>
      </c>
      <c r="B52" s="7"/>
      <c r="C52" s="7"/>
      <c r="D52" s="7">
        <f t="shared" si="0"/>
        <v>0</v>
      </c>
    </row>
    <row r="53" spans="1:4" ht="18.75" hidden="1" x14ac:dyDescent="0.25">
      <c r="A53" s="9" t="s">
        <v>52</v>
      </c>
      <c r="B53" s="7"/>
      <c r="C53" s="7"/>
      <c r="D53" s="7">
        <f t="shared" si="0"/>
        <v>0</v>
      </c>
    </row>
    <row r="54" spans="1:4" ht="18.75" x14ac:dyDescent="0.25">
      <c r="A54" s="12" t="s">
        <v>53</v>
      </c>
      <c r="B54" s="7">
        <f>-300+280+70</f>
        <v>50</v>
      </c>
      <c r="C54" s="7">
        <v>19000</v>
      </c>
      <c r="D54" s="7">
        <f t="shared" si="0"/>
        <v>950000</v>
      </c>
    </row>
    <row r="55" spans="1:4" ht="18.75" hidden="1" x14ac:dyDescent="0.25">
      <c r="A55" s="9" t="s">
        <v>54</v>
      </c>
      <c r="B55" s="7"/>
      <c r="C55" s="7"/>
      <c r="D55" s="7">
        <f t="shared" si="0"/>
        <v>0</v>
      </c>
    </row>
    <row r="56" spans="1:4" ht="18.75" hidden="1" x14ac:dyDescent="0.25">
      <c r="A56" s="17" t="s">
        <v>55</v>
      </c>
      <c r="B56" s="7"/>
      <c r="C56" s="7"/>
      <c r="D56" s="7">
        <f t="shared" si="0"/>
        <v>0</v>
      </c>
    </row>
    <row r="57" spans="1:4" ht="18.75" hidden="1" x14ac:dyDescent="0.25">
      <c r="A57" s="17" t="s">
        <v>56</v>
      </c>
      <c r="B57" s="7"/>
      <c r="C57" s="7"/>
      <c r="D57" s="7">
        <f t="shared" si="0"/>
        <v>0</v>
      </c>
    </row>
    <row r="58" spans="1:4" ht="18.75" hidden="1" x14ac:dyDescent="0.25">
      <c r="A58" s="17" t="s">
        <v>57</v>
      </c>
      <c r="B58" s="7"/>
      <c r="C58" s="7"/>
      <c r="D58" s="7">
        <f t="shared" si="0"/>
        <v>0</v>
      </c>
    </row>
    <row r="59" spans="1:4" ht="18.75" hidden="1" x14ac:dyDescent="0.25">
      <c r="A59" s="9" t="s">
        <v>58</v>
      </c>
      <c r="B59" s="7"/>
      <c r="C59" s="7"/>
      <c r="D59" s="7">
        <f t="shared" si="0"/>
        <v>0</v>
      </c>
    </row>
    <row r="60" spans="1:4" ht="18.75" hidden="1" x14ac:dyDescent="0.25">
      <c r="A60" s="11" t="s">
        <v>59</v>
      </c>
      <c r="B60" s="7"/>
      <c r="C60" s="7"/>
      <c r="D60" s="7">
        <f t="shared" si="0"/>
        <v>0</v>
      </c>
    </row>
    <row r="61" spans="1:4" ht="18.75" hidden="1" x14ac:dyDescent="0.25">
      <c r="A61" s="9" t="s">
        <v>60</v>
      </c>
      <c r="B61" s="7"/>
      <c r="C61" s="7"/>
      <c r="D61" s="7">
        <f t="shared" si="0"/>
        <v>0</v>
      </c>
    </row>
    <row r="62" spans="1:4" ht="18.75" hidden="1" x14ac:dyDescent="0.25">
      <c r="A62" s="18" t="s">
        <v>61</v>
      </c>
      <c r="B62" s="7"/>
      <c r="C62" s="7"/>
      <c r="D62" s="7">
        <f t="shared" si="0"/>
        <v>0</v>
      </c>
    </row>
    <row r="63" spans="1:4" ht="18.75" hidden="1" x14ac:dyDescent="0.25">
      <c r="A63" s="17" t="s">
        <v>62</v>
      </c>
      <c r="B63" s="7"/>
      <c r="C63" s="7"/>
      <c r="D63" s="7">
        <f t="shared" si="0"/>
        <v>0</v>
      </c>
    </row>
    <row r="64" spans="1:4" ht="18.75" hidden="1" x14ac:dyDescent="0.25">
      <c r="A64" s="9" t="s">
        <v>63</v>
      </c>
      <c r="B64" s="7"/>
      <c r="C64" s="7"/>
      <c r="D64" s="7">
        <f t="shared" si="0"/>
        <v>0</v>
      </c>
    </row>
    <row r="65" spans="1:4" ht="18.75" hidden="1" x14ac:dyDescent="0.25">
      <c r="A65" s="19" t="s">
        <v>64</v>
      </c>
      <c r="B65" s="7"/>
      <c r="C65" s="7"/>
      <c r="D65" s="7">
        <f t="shared" si="0"/>
        <v>0</v>
      </c>
    </row>
    <row r="66" spans="1:4" ht="18.75" hidden="1" x14ac:dyDescent="0.25">
      <c r="A66" s="9" t="s">
        <v>65</v>
      </c>
      <c r="B66" s="7"/>
      <c r="C66" s="7"/>
      <c r="D66" s="7">
        <f t="shared" si="0"/>
        <v>0</v>
      </c>
    </row>
    <row r="67" spans="1:4" ht="18.75" hidden="1" x14ac:dyDescent="0.25">
      <c r="A67" s="9" t="s">
        <v>66</v>
      </c>
      <c r="B67" s="7"/>
      <c r="C67" s="7"/>
      <c r="D67" s="7">
        <f t="shared" si="0"/>
        <v>0</v>
      </c>
    </row>
    <row r="68" spans="1:4" ht="18.75" hidden="1" x14ac:dyDescent="0.25">
      <c r="A68" s="20" t="s">
        <v>67</v>
      </c>
      <c r="B68" s="7"/>
      <c r="C68" s="7"/>
      <c r="D68" s="7">
        <f t="shared" ref="D68:D131" si="1">B68*C68</f>
        <v>0</v>
      </c>
    </row>
    <row r="69" spans="1:4" ht="18.75" hidden="1" x14ac:dyDescent="0.25">
      <c r="A69" s="12" t="s">
        <v>68</v>
      </c>
      <c r="B69" s="7"/>
      <c r="C69" s="7"/>
      <c r="D69" s="7">
        <f t="shared" si="1"/>
        <v>0</v>
      </c>
    </row>
    <row r="70" spans="1:4" ht="18.75" hidden="1" x14ac:dyDescent="0.25">
      <c r="A70" s="12" t="s">
        <v>69</v>
      </c>
      <c r="B70" s="7"/>
      <c r="C70" s="7"/>
      <c r="D70" s="7">
        <f t="shared" si="1"/>
        <v>0</v>
      </c>
    </row>
    <row r="71" spans="1:4" ht="18.75" hidden="1" x14ac:dyDescent="0.25">
      <c r="A71" s="11" t="s">
        <v>70</v>
      </c>
      <c r="B71" s="7"/>
      <c r="C71" s="7"/>
      <c r="D71" s="7">
        <f t="shared" si="1"/>
        <v>0</v>
      </c>
    </row>
    <row r="72" spans="1:4" ht="18.75" x14ac:dyDescent="0.25">
      <c r="A72" s="12" t="s">
        <v>71</v>
      </c>
      <c r="B72" s="7">
        <v>7.5</v>
      </c>
      <c r="C72" s="7">
        <v>9000</v>
      </c>
      <c r="D72" s="7">
        <f t="shared" si="1"/>
        <v>67500</v>
      </c>
    </row>
    <row r="73" spans="1:4" ht="18.75" hidden="1" x14ac:dyDescent="0.25">
      <c r="A73" s="12" t="s">
        <v>72</v>
      </c>
      <c r="B73" s="7"/>
      <c r="C73" s="7"/>
      <c r="D73" s="7">
        <f t="shared" si="1"/>
        <v>0</v>
      </c>
    </row>
    <row r="74" spans="1:4" ht="18.75" hidden="1" x14ac:dyDescent="0.25">
      <c r="A74" s="12" t="s">
        <v>73</v>
      </c>
      <c r="B74" s="7"/>
      <c r="C74" s="7"/>
      <c r="D74" s="7">
        <f t="shared" si="1"/>
        <v>0</v>
      </c>
    </row>
    <row r="75" spans="1:4" ht="18.75" hidden="1" x14ac:dyDescent="0.25">
      <c r="A75" s="20" t="s">
        <v>74</v>
      </c>
      <c r="B75" s="7"/>
      <c r="C75" s="7"/>
      <c r="D75" s="7">
        <f t="shared" si="1"/>
        <v>0</v>
      </c>
    </row>
    <row r="76" spans="1:4" ht="18.75" hidden="1" x14ac:dyDescent="0.25">
      <c r="A76" s="9" t="s">
        <v>75</v>
      </c>
      <c r="B76" s="7"/>
      <c r="C76" s="7"/>
      <c r="D76" s="7">
        <f t="shared" si="1"/>
        <v>0</v>
      </c>
    </row>
    <row r="77" spans="1:4" ht="18.75" hidden="1" x14ac:dyDescent="0.25">
      <c r="A77" s="9" t="s">
        <v>76</v>
      </c>
      <c r="B77" s="7"/>
      <c r="C77" s="7"/>
      <c r="D77" s="7">
        <f t="shared" si="1"/>
        <v>0</v>
      </c>
    </row>
    <row r="78" spans="1:4" ht="18.75" x14ac:dyDescent="0.25">
      <c r="A78" s="9" t="s">
        <v>77</v>
      </c>
      <c r="B78" s="7">
        <f>-100+100</f>
        <v>0</v>
      </c>
      <c r="C78" s="7">
        <v>27000</v>
      </c>
      <c r="D78" s="7">
        <f t="shared" si="1"/>
        <v>0</v>
      </c>
    </row>
    <row r="79" spans="1:4" ht="18.75" hidden="1" x14ac:dyDescent="0.25">
      <c r="A79" s="13" t="s">
        <v>78</v>
      </c>
      <c r="B79" s="7"/>
      <c r="C79" s="7"/>
      <c r="D79" s="7">
        <f t="shared" si="1"/>
        <v>0</v>
      </c>
    </row>
    <row r="80" spans="1:4" ht="18.75" hidden="1" x14ac:dyDescent="0.25">
      <c r="A80" s="9" t="s">
        <v>79</v>
      </c>
      <c r="B80" s="7"/>
      <c r="C80" s="7"/>
      <c r="D80" s="7">
        <f t="shared" si="1"/>
        <v>0</v>
      </c>
    </row>
    <row r="81" spans="1:4" ht="18.75" x14ac:dyDescent="0.25">
      <c r="A81" s="9" t="s">
        <v>80</v>
      </c>
      <c r="B81" s="7">
        <v>20</v>
      </c>
      <c r="C81" s="7">
        <v>25000</v>
      </c>
      <c r="D81" s="7">
        <f t="shared" si="1"/>
        <v>500000</v>
      </c>
    </row>
    <row r="82" spans="1:4" ht="18.75" hidden="1" x14ac:dyDescent="0.25">
      <c r="A82" s="9" t="s">
        <v>81</v>
      </c>
      <c r="B82" s="7"/>
      <c r="C82" s="7"/>
      <c r="D82" s="7">
        <f t="shared" si="1"/>
        <v>0</v>
      </c>
    </row>
    <row r="83" spans="1:4" ht="18.75" hidden="1" x14ac:dyDescent="0.25">
      <c r="A83" s="12" t="s">
        <v>82</v>
      </c>
      <c r="B83" s="16"/>
      <c r="C83" s="16"/>
      <c r="D83" s="7">
        <f t="shared" si="1"/>
        <v>0</v>
      </c>
    </row>
    <row r="84" spans="1:4" ht="18.75" hidden="1" x14ac:dyDescent="0.25">
      <c r="A84" s="12" t="s">
        <v>83</v>
      </c>
      <c r="B84" s="16"/>
      <c r="C84" s="16"/>
      <c r="D84" s="7">
        <f t="shared" si="1"/>
        <v>0</v>
      </c>
    </row>
    <row r="85" spans="1:4" ht="18.75" hidden="1" x14ac:dyDescent="0.25">
      <c r="A85" s="12" t="s">
        <v>84</v>
      </c>
      <c r="B85" s="16"/>
      <c r="C85" s="16"/>
      <c r="D85" s="7">
        <f t="shared" si="1"/>
        <v>0</v>
      </c>
    </row>
    <row r="86" spans="1:4" ht="18.75" hidden="1" x14ac:dyDescent="0.25">
      <c r="A86" s="9" t="s">
        <v>85</v>
      </c>
      <c r="B86" s="7"/>
      <c r="C86" s="7"/>
      <c r="D86" s="7">
        <f t="shared" si="1"/>
        <v>0</v>
      </c>
    </row>
    <row r="87" spans="1:4" ht="18.75" hidden="1" x14ac:dyDescent="0.25">
      <c r="A87" s="9" t="s">
        <v>86</v>
      </c>
      <c r="B87" s="7"/>
      <c r="C87" s="7"/>
      <c r="D87" s="7">
        <f t="shared" si="1"/>
        <v>0</v>
      </c>
    </row>
    <row r="88" spans="1:4" ht="18.75" hidden="1" x14ac:dyDescent="0.25">
      <c r="A88" s="9" t="s">
        <v>87</v>
      </c>
      <c r="B88" s="7"/>
      <c r="C88" s="7"/>
      <c r="D88" s="7">
        <f t="shared" si="1"/>
        <v>0</v>
      </c>
    </row>
    <row r="89" spans="1:4" ht="18.75" hidden="1" x14ac:dyDescent="0.25">
      <c r="A89" s="9" t="s">
        <v>88</v>
      </c>
      <c r="B89" s="7"/>
      <c r="C89" s="7"/>
      <c r="D89" s="7">
        <f t="shared" si="1"/>
        <v>0</v>
      </c>
    </row>
    <row r="90" spans="1:4" ht="18.75" hidden="1" x14ac:dyDescent="0.25">
      <c r="A90" s="9" t="s">
        <v>89</v>
      </c>
      <c r="B90" s="7"/>
      <c r="C90" s="7"/>
      <c r="D90" s="7">
        <f t="shared" si="1"/>
        <v>0</v>
      </c>
    </row>
    <row r="91" spans="1:4" ht="18.75" hidden="1" x14ac:dyDescent="0.25">
      <c r="A91" s="9" t="s">
        <v>90</v>
      </c>
      <c r="B91" s="7"/>
      <c r="C91" s="7"/>
      <c r="D91" s="7">
        <f t="shared" si="1"/>
        <v>0</v>
      </c>
    </row>
    <row r="92" spans="1:4" ht="18.75" hidden="1" x14ac:dyDescent="0.25">
      <c r="A92" s="21" t="s">
        <v>91</v>
      </c>
      <c r="B92" s="7"/>
      <c r="C92" s="7"/>
      <c r="D92" s="7">
        <f t="shared" si="1"/>
        <v>0</v>
      </c>
    </row>
    <row r="93" spans="1:4" ht="18.75" hidden="1" x14ac:dyDescent="0.25">
      <c r="A93" s="21" t="s">
        <v>92</v>
      </c>
      <c r="B93" s="7"/>
      <c r="C93" s="7"/>
      <c r="D93" s="7">
        <f t="shared" si="1"/>
        <v>0</v>
      </c>
    </row>
    <row r="94" spans="1:4" ht="18.75" hidden="1" x14ac:dyDescent="0.25">
      <c r="A94" s="21" t="s">
        <v>93</v>
      </c>
      <c r="B94" s="7"/>
      <c r="C94" s="7"/>
      <c r="D94" s="7">
        <f t="shared" si="1"/>
        <v>0</v>
      </c>
    </row>
    <row r="95" spans="1:4" ht="18.75" hidden="1" x14ac:dyDescent="0.25">
      <c r="A95" s="11" t="s">
        <v>94</v>
      </c>
      <c r="B95" s="7"/>
      <c r="C95" s="7"/>
      <c r="D95" s="7">
        <f t="shared" si="1"/>
        <v>0</v>
      </c>
    </row>
    <row r="96" spans="1:4" ht="18.75" hidden="1" x14ac:dyDescent="0.25">
      <c r="A96" s="13" t="s">
        <v>95</v>
      </c>
      <c r="B96" s="7"/>
      <c r="C96" s="7"/>
      <c r="D96" s="7">
        <f t="shared" si="1"/>
        <v>0</v>
      </c>
    </row>
    <row r="97" spans="1:4" ht="18.75" hidden="1" x14ac:dyDescent="0.25">
      <c r="A97" s="9" t="s">
        <v>96</v>
      </c>
      <c r="B97" s="7"/>
      <c r="C97" s="7"/>
      <c r="D97" s="7">
        <f t="shared" si="1"/>
        <v>0</v>
      </c>
    </row>
    <row r="98" spans="1:4" ht="18.75" hidden="1" x14ac:dyDescent="0.25">
      <c r="A98" s="9" t="s">
        <v>97</v>
      </c>
      <c r="B98" s="7"/>
      <c r="C98" s="7"/>
      <c r="D98" s="7">
        <f t="shared" si="1"/>
        <v>0</v>
      </c>
    </row>
    <row r="99" spans="1:4" ht="18.75" hidden="1" x14ac:dyDescent="0.25">
      <c r="A99" s="11" t="s">
        <v>98</v>
      </c>
      <c r="B99" s="7"/>
      <c r="C99" s="7"/>
      <c r="D99" s="7">
        <f t="shared" si="1"/>
        <v>0</v>
      </c>
    </row>
    <row r="100" spans="1:4" ht="18.75" hidden="1" x14ac:dyDescent="0.25">
      <c r="A100" s="9" t="s">
        <v>99</v>
      </c>
      <c r="B100" s="16"/>
      <c r="C100" s="16"/>
      <c r="D100" s="7">
        <f t="shared" si="1"/>
        <v>0</v>
      </c>
    </row>
    <row r="101" spans="1:4" ht="18.75" hidden="1" x14ac:dyDescent="0.25">
      <c r="A101" s="11" t="s">
        <v>100</v>
      </c>
      <c r="B101" s="7"/>
      <c r="C101" s="7"/>
      <c r="D101" s="7">
        <f t="shared" si="1"/>
        <v>0</v>
      </c>
    </row>
    <row r="102" spans="1:4" ht="18.75" hidden="1" x14ac:dyDescent="0.25">
      <c r="A102" s="22" t="s">
        <v>101</v>
      </c>
      <c r="B102" s="7"/>
      <c r="C102" s="7"/>
      <c r="D102" s="7">
        <f t="shared" si="1"/>
        <v>0</v>
      </c>
    </row>
    <row r="103" spans="1:4" ht="18.75" hidden="1" x14ac:dyDescent="0.25">
      <c r="A103" s="23" t="s">
        <v>102</v>
      </c>
      <c r="B103" s="7"/>
      <c r="C103" s="7"/>
      <c r="D103" s="7">
        <f t="shared" si="1"/>
        <v>0</v>
      </c>
    </row>
    <row r="104" spans="1:4" ht="18.75" x14ac:dyDescent="0.25">
      <c r="A104" s="24" t="s">
        <v>103</v>
      </c>
      <c r="B104" s="7">
        <v>20</v>
      </c>
      <c r="C104" s="7">
        <v>9000</v>
      </c>
      <c r="D104" s="7">
        <f t="shared" si="1"/>
        <v>180000</v>
      </c>
    </row>
    <row r="105" spans="1:4" ht="18.75" hidden="1" x14ac:dyDescent="0.25">
      <c r="A105" s="17" t="s">
        <v>104</v>
      </c>
      <c r="B105" s="7"/>
      <c r="C105" s="7"/>
      <c r="D105" s="7">
        <f t="shared" si="1"/>
        <v>0</v>
      </c>
    </row>
    <row r="106" spans="1:4" ht="18.75" hidden="1" x14ac:dyDescent="0.25">
      <c r="A106" s="9" t="s">
        <v>105</v>
      </c>
      <c r="B106" s="7"/>
      <c r="C106" s="7"/>
      <c r="D106" s="7">
        <f t="shared" si="1"/>
        <v>0</v>
      </c>
    </row>
    <row r="107" spans="1:4" ht="18.75" hidden="1" x14ac:dyDescent="0.25">
      <c r="A107" s="9" t="s">
        <v>106</v>
      </c>
      <c r="B107" s="7"/>
      <c r="C107" s="7"/>
      <c r="D107" s="7">
        <f t="shared" si="1"/>
        <v>0</v>
      </c>
    </row>
    <row r="108" spans="1:4" ht="18.75" hidden="1" x14ac:dyDescent="0.25">
      <c r="A108" s="11" t="s">
        <v>107</v>
      </c>
      <c r="B108" s="7"/>
      <c r="C108" s="7"/>
      <c r="D108" s="7">
        <f t="shared" si="1"/>
        <v>0</v>
      </c>
    </row>
    <row r="109" spans="1:4" ht="18.75" hidden="1" x14ac:dyDescent="0.25">
      <c r="A109" s="25" t="s">
        <v>108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109</v>
      </c>
      <c r="B110" s="7"/>
      <c r="C110" s="7"/>
      <c r="D110" s="7">
        <f t="shared" si="1"/>
        <v>0</v>
      </c>
    </row>
    <row r="111" spans="1:4" ht="18.75" hidden="1" x14ac:dyDescent="0.25">
      <c r="A111" s="9" t="s">
        <v>110</v>
      </c>
      <c r="B111" s="7"/>
      <c r="C111" s="7"/>
      <c r="D111" s="7">
        <f t="shared" si="1"/>
        <v>0</v>
      </c>
    </row>
    <row r="112" spans="1:4" ht="18.75" hidden="1" x14ac:dyDescent="0.25">
      <c r="A112" s="9" t="s">
        <v>111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112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113</v>
      </c>
      <c r="B114" s="7"/>
      <c r="C114" s="7"/>
      <c r="D114" s="7">
        <f t="shared" si="1"/>
        <v>0</v>
      </c>
    </row>
    <row r="115" spans="1:4" ht="18.75" hidden="1" x14ac:dyDescent="0.25">
      <c r="A115" s="9" t="s">
        <v>114</v>
      </c>
      <c r="B115" s="7"/>
      <c r="C115" s="7"/>
      <c r="D115" s="7">
        <f t="shared" si="1"/>
        <v>0</v>
      </c>
    </row>
    <row r="116" spans="1:4" ht="18.75" hidden="1" x14ac:dyDescent="0.25">
      <c r="A116" s="9" t="s">
        <v>115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116</v>
      </c>
      <c r="B117" s="7"/>
      <c r="C117" s="7"/>
      <c r="D117" s="7">
        <f t="shared" si="1"/>
        <v>0</v>
      </c>
    </row>
    <row r="118" spans="1:4" ht="18.75" hidden="1" x14ac:dyDescent="0.25">
      <c r="A118" s="11" t="s">
        <v>117</v>
      </c>
      <c r="B118" s="7"/>
      <c r="C118" s="7"/>
      <c r="D118" s="7">
        <f t="shared" si="1"/>
        <v>0</v>
      </c>
    </row>
    <row r="119" spans="1:4" ht="18.75" hidden="1" x14ac:dyDescent="0.25">
      <c r="A119" s="21" t="s">
        <v>118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119</v>
      </c>
      <c r="B120" s="7"/>
      <c r="C120" s="7"/>
      <c r="D120" s="7">
        <f t="shared" si="1"/>
        <v>0</v>
      </c>
    </row>
    <row r="121" spans="1:4" ht="18.75" hidden="1" x14ac:dyDescent="0.25">
      <c r="A121" s="11" t="s">
        <v>120</v>
      </c>
      <c r="B121" s="7"/>
      <c r="C121" s="7"/>
      <c r="D121" s="7">
        <f t="shared" si="1"/>
        <v>0</v>
      </c>
    </row>
    <row r="122" spans="1:4" ht="18.75" hidden="1" x14ac:dyDescent="0.25">
      <c r="A122" s="11" t="s">
        <v>121</v>
      </c>
      <c r="B122" s="7"/>
      <c r="C122" s="7"/>
      <c r="D122" s="7">
        <f t="shared" si="1"/>
        <v>0</v>
      </c>
    </row>
    <row r="123" spans="1:4" ht="18.75" hidden="1" x14ac:dyDescent="0.25">
      <c r="A123" s="9" t="s">
        <v>122</v>
      </c>
      <c r="B123" s="7"/>
      <c r="C123" s="7"/>
      <c r="D123" s="7">
        <f t="shared" si="1"/>
        <v>0</v>
      </c>
    </row>
    <row r="124" spans="1:4" ht="18.75" hidden="1" x14ac:dyDescent="0.25">
      <c r="A124" s="9" t="s">
        <v>123</v>
      </c>
      <c r="B124" s="7"/>
      <c r="C124" s="7"/>
      <c r="D124" s="7">
        <f t="shared" si="1"/>
        <v>0</v>
      </c>
    </row>
    <row r="125" spans="1:4" ht="18.75" hidden="1" x14ac:dyDescent="0.25">
      <c r="A125" s="10" t="s">
        <v>124</v>
      </c>
      <c r="B125" s="7"/>
      <c r="C125" s="7"/>
      <c r="D125" s="7">
        <f t="shared" si="1"/>
        <v>0</v>
      </c>
    </row>
    <row r="126" spans="1:4" ht="18.75" hidden="1" x14ac:dyDescent="0.25">
      <c r="A126" s="13" t="s">
        <v>125</v>
      </c>
      <c r="B126" s="7"/>
      <c r="C126" s="7"/>
      <c r="D126" s="7">
        <f t="shared" si="1"/>
        <v>0</v>
      </c>
    </row>
    <row r="127" spans="1:4" ht="18.75" hidden="1" x14ac:dyDescent="0.25">
      <c r="A127" s="12" t="s">
        <v>126</v>
      </c>
      <c r="B127" s="16"/>
      <c r="C127" s="16"/>
      <c r="D127" s="7">
        <f t="shared" si="1"/>
        <v>0</v>
      </c>
    </row>
    <row r="128" spans="1:4" ht="18.75" hidden="1" x14ac:dyDescent="0.25">
      <c r="A128" s="12" t="s">
        <v>127</v>
      </c>
      <c r="B128" s="16"/>
      <c r="C128" s="16"/>
      <c r="D128" s="7">
        <f t="shared" si="1"/>
        <v>0</v>
      </c>
    </row>
    <row r="129" spans="1:4" ht="18.75" hidden="1" x14ac:dyDescent="0.25">
      <c r="A129" s="12" t="s">
        <v>128</v>
      </c>
      <c r="B129" s="16"/>
      <c r="C129" s="16"/>
      <c r="D129" s="7">
        <f t="shared" si="1"/>
        <v>0</v>
      </c>
    </row>
    <row r="130" spans="1:4" ht="18.75" hidden="1" x14ac:dyDescent="0.25">
      <c r="A130" s="12" t="s">
        <v>129</v>
      </c>
      <c r="B130" s="27"/>
      <c r="C130" s="27"/>
      <c r="D130" s="7">
        <f t="shared" si="1"/>
        <v>0</v>
      </c>
    </row>
    <row r="131" spans="1:4" ht="18.75" hidden="1" x14ac:dyDescent="0.25">
      <c r="A131" s="28" t="s">
        <v>130</v>
      </c>
      <c r="B131" s="7"/>
      <c r="C131" s="7"/>
      <c r="D131" s="7">
        <f t="shared" si="1"/>
        <v>0</v>
      </c>
    </row>
    <row r="132" spans="1:4" ht="18.75" hidden="1" x14ac:dyDescent="0.25">
      <c r="A132" s="12" t="s">
        <v>131</v>
      </c>
      <c r="B132" s="16"/>
      <c r="C132" s="16"/>
      <c r="D132" s="7">
        <f t="shared" ref="D132:D195" si="2">B132*C132</f>
        <v>0</v>
      </c>
    </row>
    <row r="133" spans="1:4" ht="18.75" x14ac:dyDescent="0.25">
      <c r="A133" s="9" t="s">
        <v>132</v>
      </c>
      <c r="B133" s="7">
        <v>13</v>
      </c>
      <c r="C133" s="7">
        <v>8500</v>
      </c>
      <c r="D133" s="7">
        <f t="shared" si="2"/>
        <v>110500</v>
      </c>
    </row>
    <row r="134" spans="1:4" ht="18.75" hidden="1" x14ac:dyDescent="0.25">
      <c r="A134" s="9" t="s">
        <v>133</v>
      </c>
      <c r="B134" s="7"/>
      <c r="C134" s="7"/>
      <c r="D134" s="7">
        <f t="shared" si="2"/>
        <v>0</v>
      </c>
    </row>
    <row r="135" spans="1:4" ht="18.75" hidden="1" x14ac:dyDescent="0.25">
      <c r="A135" s="9" t="s">
        <v>134</v>
      </c>
      <c r="B135" s="7"/>
      <c r="C135" s="7"/>
      <c r="D135" s="7">
        <f t="shared" si="2"/>
        <v>0</v>
      </c>
    </row>
    <row r="136" spans="1:4" ht="18.75" hidden="1" x14ac:dyDescent="0.25">
      <c r="A136" s="9" t="s">
        <v>135</v>
      </c>
      <c r="B136" s="7"/>
      <c r="C136" s="7"/>
      <c r="D136" s="7">
        <f t="shared" si="2"/>
        <v>0</v>
      </c>
    </row>
    <row r="137" spans="1:4" ht="18.75" hidden="1" x14ac:dyDescent="0.25">
      <c r="A137" s="17" t="s">
        <v>136</v>
      </c>
      <c r="B137" s="7"/>
      <c r="C137" s="7"/>
      <c r="D137" s="7">
        <f t="shared" si="2"/>
        <v>0</v>
      </c>
    </row>
    <row r="138" spans="1:4" ht="18.75" hidden="1" x14ac:dyDescent="0.25">
      <c r="A138" s="12" t="s">
        <v>137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138</v>
      </c>
      <c r="B139" s="7"/>
      <c r="C139" s="7"/>
      <c r="D139" s="7">
        <f t="shared" si="2"/>
        <v>0</v>
      </c>
    </row>
    <row r="140" spans="1:4" ht="18.75" hidden="1" x14ac:dyDescent="0.25">
      <c r="A140" s="9" t="s">
        <v>139</v>
      </c>
      <c r="B140" s="7"/>
      <c r="C140" s="7"/>
      <c r="D140" s="7">
        <f t="shared" si="2"/>
        <v>0</v>
      </c>
    </row>
    <row r="141" spans="1:4" ht="18.75" hidden="1" x14ac:dyDescent="0.25">
      <c r="A141" s="9" t="s">
        <v>140</v>
      </c>
      <c r="B141" s="7"/>
      <c r="C141" s="7"/>
      <c r="D141" s="7">
        <f t="shared" si="2"/>
        <v>0</v>
      </c>
    </row>
    <row r="142" spans="1:4" ht="18.75" hidden="1" x14ac:dyDescent="0.25">
      <c r="A142" s="9" t="s">
        <v>141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142</v>
      </c>
      <c r="B143" s="16"/>
      <c r="C143" s="16"/>
      <c r="D143" s="7">
        <f t="shared" si="2"/>
        <v>0</v>
      </c>
    </row>
    <row r="144" spans="1:4" ht="18.75" hidden="1" x14ac:dyDescent="0.25">
      <c r="A144" s="9" t="s">
        <v>143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144</v>
      </c>
      <c r="B145" s="16"/>
      <c r="C145" s="16"/>
      <c r="D145" s="7">
        <f t="shared" si="2"/>
        <v>0</v>
      </c>
    </row>
    <row r="146" spans="1:4" ht="18.75" hidden="1" x14ac:dyDescent="0.25">
      <c r="A146" s="9" t="s">
        <v>145</v>
      </c>
      <c r="B146" s="16"/>
      <c r="C146" s="16"/>
      <c r="D146" s="7">
        <f t="shared" si="2"/>
        <v>0</v>
      </c>
    </row>
    <row r="147" spans="1:4" ht="18.75" hidden="1" x14ac:dyDescent="0.25">
      <c r="A147" s="9" t="s">
        <v>146</v>
      </c>
      <c r="B147" s="16"/>
      <c r="C147" s="16"/>
      <c r="D147" s="7">
        <f t="shared" si="2"/>
        <v>0</v>
      </c>
    </row>
    <row r="148" spans="1:4" ht="18.75" hidden="1" x14ac:dyDescent="0.25">
      <c r="A148" s="9" t="s">
        <v>147</v>
      </c>
      <c r="B148" s="16"/>
      <c r="C148" s="16"/>
      <c r="D148" s="7">
        <f t="shared" si="2"/>
        <v>0</v>
      </c>
    </row>
    <row r="149" spans="1:4" ht="18.75" hidden="1" x14ac:dyDescent="0.25">
      <c r="A149" s="9" t="s">
        <v>148</v>
      </c>
      <c r="B149" s="16"/>
      <c r="C149" s="16"/>
      <c r="D149" s="7">
        <f t="shared" si="2"/>
        <v>0</v>
      </c>
    </row>
    <row r="150" spans="1:4" ht="18.75" hidden="1" x14ac:dyDescent="0.25">
      <c r="A150" s="9" t="s">
        <v>149</v>
      </c>
      <c r="B150" s="16"/>
      <c r="C150" s="16"/>
      <c r="D150" s="7">
        <f t="shared" si="2"/>
        <v>0</v>
      </c>
    </row>
    <row r="151" spans="1:4" ht="18.75" x14ac:dyDescent="0.25">
      <c r="A151" s="9" t="s">
        <v>150</v>
      </c>
      <c r="B151" s="16">
        <v>1</v>
      </c>
      <c r="C151" s="16">
        <v>70000</v>
      </c>
      <c r="D151" s="7">
        <f t="shared" si="2"/>
        <v>70000</v>
      </c>
    </row>
    <row r="152" spans="1:4" ht="18.75" hidden="1" x14ac:dyDescent="0.25">
      <c r="A152" s="9" t="s">
        <v>151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152</v>
      </c>
      <c r="B153" s="7"/>
      <c r="C153" s="7"/>
      <c r="D153" s="7">
        <f t="shared" si="2"/>
        <v>0</v>
      </c>
    </row>
    <row r="154" spans="1:4" ht="18.75" hidden="1" x14ac:dyDescent="0.25">
      <c r="A154" s="9" t="s">
        <v>153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154</v>
      </c>
      <c r="B155" s="7"/>
      <c r="C155" s="7"/>
      <c r="D155" s="7">
        <f t="shared" si="2"/>
        <v>0</v>
      </c>
    </row>
    <row r="156" spans="1:4" ht="18.75" hidden="1" x14ac:dyDescent="0.25">
      <c r="A156" s="9" t="s">
        <v>155</v>
      </c>
      <c r="B156" s="7"/>
      <c r="C156" s="7"/>
      <c r="D156" s="7">
        <f t="shared" si="2"/>
        <v>0</v>
      </c>
    </row>
    <row r="157" spans="1:4" ht="18.75" hidden="1" x14ac:dyDescent="0.25">
      <c r="A157" s="17" t="s">
        <v>156</v>
      </c>
      <c r="B157" s="7"/>
      <c r="C157" s="7"/>
      <c r="D157" s="7">
        <f t="shared" si="2"/>
        <v>0</v>
      </c>
    </row>
    <row r="158" spans="1:4" ht="18.75" hidden="1" x14ac:dyDescent="0.25">
      <c r="A158" s="18" t="s">
        <v>157</v>
      </c>
      <c r="B158" s="7"/>
      <c r="C158" s="7"/>
      <c r="D158" s="7">
        <f t="shared" si="2"/>
        <v>0</v>
      </c>
    </row>
    <row r="159" spans="1:4" ht="18.75" hidden="1" x14ac:dyDescent="0.25">
      <c r="A159" s="9" t="s">
        <v>158</v>
      </c>
      <c r="B159" s="7"/>
      <c r="C159" s="7"/>
      <c r="D159" s="7">
        <f t="shared" si="2"/>
        <v>0</v>
      </c>
    </row>
    <row r="160" spans="1:4" ht="18.75" hidden="1" x14ac:dyDescent="0.25">
      <c r="A160" s="9" t="s">
        <v>159</v>
      </c>
      <c r="B160" s="7"/>
      <c r="C160" s="7"/>
      <c r="D160" s="7">
        <f t="shared" si="2"/>
        <v>0</v>
      </c>
    </row>
    <row r="161" spans="1:4" ht="18.75" hidden="1" x14ac:dyDescent="0.25">
      <c r="A161" s="9" t="s">
        <v>160</v>
      </c>
      <c r="B161" s="7"/>
      <c r="C161" s="7"/>
      <c r="D161" s="7">
        <f t="shared" si="2"/>
        <v>0</v>
      </c>
    </row>
    <row r="162" spans="1:4" ht="18.75" hidden="1" x14ac:dyDescent="0.25">
      <c r="A162" s="9" t="s">
        <v>161</v>
      </c>
      <c r="B162" s="16"/>
      <c r="C162" s="16"/>
      <c r="D162" s="7">
        <f t="shared" si="2"/>
        <v>0</v>
      </c>
    </row>
    <row r="163" spans="1:4" ht="18.75" x14ac:dyDescent="0.25">
      <c r="A163" s="9" t="s">
        <v>162</v>
      </c>
      <c r="B163" s="16">
        <v>1</v>
      </c>
      <c r="C163" s="16">
        <v>70000</v>
      </c>
      <c r="D163" s="7">
        <f t="shared" si="2"/>
        <v>70000</v>
      </c>
    </row>
    <row r="164" spans="1:4" ht="18.75" hidden="1" x14ac:dyDescent="0.25">
      <c r="A164" s="9" t="s">
        <v>163</v>
      </c>
      <c r="B164" s="16"/>
      <c r="C164" s="16"/>
      <c r="D164" s="7">
        <f t="shared" si="2"/>
        <v>0</v>
      </c>
    </row>
    <row r="165" spans="1:4" ht="18.75" hidden="1" x14ac:dyDescent="0.25">
      <c r="A165" s="9" t="s">
        <v>164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165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166</v>
      </c>
      <c r="B167" s="7"/>
      <c r="C167" s="7"/>
      <c r="D167" s="7">
        <f t="shared" si="2"/>
        <v>0</v>
      </c>
    </row>
    <row r="168" spans="1:4" ht="18.75" hidden="1" x14ac:dyDescent="0.25">
      <c r="A168" s="12" t="s">
        <v>167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168</v>
      </c>
      <c r="B169" s="7"/>
      <c r="C169" s="46"/>
      <c r="D169" s="7">
        <f t="shared" si="2"/>
        <v>0</v>
      </c>
    </row>
    <row r="170" spans="1:4" ht="18.75" hidden="1" x14ac:dyDescent="0.25">
      <c r="A170" s="30" t="s">
        <v>169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170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171</v>
      </c>
      <c r="B172" s="7"/>
      <c r="C172" s="7"/>
      <c r="D172" s="7">
        <f t="shared" si="2"/>
        <v>0</v>
      </c>
    </row>
    <row r="173" spans="1:4" ht="18.75" hidden="1" x14ac:dyDescent="0.25">
      <c r="A173" s="20" t="s">
        <v>172</v>
      </c>
      <c r="B173" s="7"/>
      <c r="C173" s="7"/>
      <c r="D173" s="7">
        <f t="shared" si="2"/>
        <v>0</v>
      </c>
    </row>
    <row r="174" spans="1:4" ht="18.75" hidden="1" x14ac:dyDescent="0.25">
      <c r="A174" s="9" t="s">
        <v>173</v>
      </c>
      <c r="B174" s="7"/>
      <c r="C174" s="7"/>
      <c r="D174" s="7">
        <f t="shared" si="2"/>
        <v>0</v>
      </c>
    </row>
    <row r="175" spans="1:4" ht="18.75" hidden="1" x14ac:dyDescent="0.25">
      <c r="A175" s="31" t="s">
        <v>174</v>
      </c>
      <c r="B175" s="33"/>
      <c r="C175" s="33"/>
      <c r="D175" s="7">
        <f t="shared" si="2"/>
        <v>0</v>
      </c>
    </row>
    <row r="176" spans="1:4" ht="18.75" hidden="1" x14ac:dyDescent="0.25">
      <c r="A176" s="11" t="s">
        <v>175</v>
      </c>
      <c r="B176" s="7"/>
      <c r="C176" s="7"/>
      <c r="D176" s="7">
        <f t="shared" si="2"/>
        <v>0</v>
      </c>
    </row>
    <row r="177" spans="1:4" ht="18.75" hidden="1" x14ac:dyDescent="0.25">
      <c r="A177" s="9" t="s">
        <v>176</v>
      </c>
      <c r="B177" s="7"/>
      <c r="C177" s="7"/>
      <c r="D177" s="7">
        <f t="shared" si="2"/>
        <v>0</v>
      </c>
    </row>
    <row r="178" spans="1:4" ht="18.75" hidden="1" x14ac:dyDescent="0.25">
      <c r="A178" s="9" t="s">
        <v>177</v>
      </c>
      <c r="B178" s="7"/>
      <c r="C178" s="7"/>
      <c r="D178" s="7">
        <f t="shared" si="2"/>
        <v>0</v>
      </c>
    </row>
    <row r="179" spans="1:4" ht="18.75" hidden="1" x14ac:dyDescent="0.25">
      <c r="A179" s="12" t="s">
        <v>178</v>
      </c>
      <c r="B179" s="7"/>
      <c r="C179" s="7"/>
      <c r="D179" s="7">
        <f t="shared" si="2"/>
        <v>0</v>
      </c>
    </row>
    <row r="180" spans="1:4" ht="18.75" hidden="1" x14ac:dyDescent="0.25">
      <c r="A180" s="9" t="s">
        <v>179</v>
      </c>
      <c r="B180" s="7"/>
      <c r="C180" s="7"/>
      <c r="D180" s="7">
        <f t="shared" si="2"/>
        <v>0</v>
      </c>
    </row>
    <row r="181" spans="1:4" ht="18.75" hidden="1" x14ac:dyDescent="0.25">
      <c r="A181" s="9" t="s">
        <v>180</v>
      </c>
      <c r="B181" s="7"/>
      <c r="C181" s="7"/>
      <c r="D181" s="7">
        <f t="shared" si="2"/>
        <v>0</v>
      </c>
    </row>
    <row r="182" spans="1:4" ht="18.75" hidden="1" x14ac:dyDescent="0.25">
      <c r="A182" s="12" t="s">
        <v>181</v>
      </c>
      <c r="B182" s="7"/>
      <c r="C182" s="7"/>
      <c r="D182" s="7">
        <f t="shared" si="2"/>
        <v>0</v>
      </c>
    </row>
    <row r="183" spans="1:4" ht="18.75" hidden="1" x14ac:dyDescent="0.25">
      <c r="A183" s="12" t="s">
        <v>182</v>
      </c>
      <c r="B183" s="7"/>
      <c r="C183" s="7"/>
      <c r="D183" s="7">
        <f t="shared" si="2"/>
        <v>0</v>
      </c>
    </row>
    <row r="184" spans="1:4" ht="18.75" hidden="1" x14ac:dyDescent="0.25">
      <c r="A184" s="12" t="s">
        <v>183</v>
      </c>
      <c r="B184" s="7"/>
      <c r="C184" s="7"/>
      <c r="D184" s="7">
        <f t="shared" si="2"/>
        <v>0</v>
      </c>
    </row>
    <row r="185" spans="1:4" ht="18.75" x14ac:dyDescent="0.25">
      <c r="A185" s="9" t="s">
        <v>184</v>
      </c>
      <c r="B185" s="7">
        <f>95/0.3</f>
        <v>316.66666666666669</v>
      </c>
      <c r="C185" s="7">
        <v>1500</v>
      </c>
      <c r="D185" s="7">
        <f t="shared" si="2"/>
        <v>475000</v>
      </c>
    </row>
    <row r="186" spans="1:4" ht="18.75" hidden="1" x14ac:dyDescent="0.25">
      <c r="A186" s="9" t="s">
        <v>185</v>
      </c>
      <c r="B186" s="7"/>
      <c r="C186" s="7"/>
      <c r="D186" s="7">
        <f t="shared" si="2"/>
        <v>0</v>
      </c>
    </row>
    <row r="187" spans="1:4" ht="18.75" hidden="1" x14ac:dyDescent="0.25">
      <c r="A187" s="12" t="s">
        <v>186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187</v>
      </c>
      <c r="B188" s="7"/>
      <c r="C188" s="7"/>
      <c r="D188" s="7">
        <f t="shared" si="2"/>
        <v>0</v>
      </c>
    </row>
    <row r="189" spans="1:4" ht="18.75" hidden="1" x14ac:dyDescent="0.25">
      <c r="A189" s="12" t="s">
        <v>188</v>
      </c>
      <c r="B189" s="7"/>
      <c r="C189" s="7"/>
      <c r="D189" s="7">
        <f t="shared" si="2"/>
        <v>0</v>
      </c>
    </row>
    <row r="190" spans="1:4" ht="18.75" hidden="1" x14ac:dyDescent="0.25">
      <c r="A190" s="17" t="s">
        <v>189</v>
      </c>
      <c r="B190" s="7"/>
      <c r="C190" s="7"/>
      <c r="D190" s="7">
        <f t="shared" si="2"/>
        <v>0</v>
      </c>
    </row>
    <row r="191" spans="1:4" ht="18.75" hidden="1" x14ac:dyDescent="0.25">
      <c r="A191" s="17" t="s">
        <v>190</v>
      </c>
      <c r="B191" s="7"/>
      <c r="C191" s="7"/>
      <c r="D191" s="7">
        <f t="shared" si="2"/>
        <v>0</v>
      </c>
    </row>
    <row r="192" spans="1:4" ht="18.75" hidden="1" x14ac:dyDescent="0.25">
      <c r="A192" s="17" t="s">
        <v>191</v>
      </c>
      <c r="B192" s="7"/>
      <c r="C192" s="7"/>
      <c r="D192" s="7">
        <f t="shared" si="2"/>
        <v>0</v>
      </c>
    </row>
    <row r="193" spans="1:4" ht="18.75" hidden="1" x14ac:dyDescent="0.25">
      <c r="A193" s="17" t="s">
        <v>192</v>
      </c>
      <c r="B193" s="7"/>
      <c r="C193" s="7"/>
      <c r="D193" s="7">
        <f t="shared" si="2"/>
        <v>0</v>
      </c>
    </row>
    <row r="194" spans="1:4" ht="18.75" hidden="1" x14ac:dyDescent="0.25">
      <c r="A194" s="12" t="s">
        <v>193</v>
      </c>
      <c r="B194" s="7"/>
      <c r="C194" s="7"/>
      <c r="D194" s="7">
        <f t="shared" si="2"/>
        <v>0</v>
      </c>
    </row>
    <row r="195" spans="1:4" ht="18.75" hidden="1" x14ac:dyDescent="0.25">
      <c r="A195" s="9" t="s">
        <v>194</v>
      </c>
      <c r="B195" s="7"/>
      <c r="C195" s="7"/>
      <c r="D195" s="7">
        <f t="shared" si="2"/>
        <v>0</v>
      </c>
    </row>
    <row r="196" spans="1:4" ht="18.75" hidden="1" x14ac:dyDescent="0.25">
      <c r="A196" s="34" t="s">
        <v>195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34" t="s">
        <v>196</v>
      </c>
      <c r="B197" s="7"/>
      <c r="C197" s="7"/>
      <c r="D197" s="7">
        <f t="shared" si="3"/>
        <v>0</v>
      </c>
    </row>
    <row r="198" spans="1:4" ht="18.75" hidden="1" x14ac:dyDescent="0.25">
      <c r="A198" s="34" t="s">
        <v>197</v>
      </c>
      <c r="B198" s="7"/>
      <c r="C198" s="7"/>
      <c r="D198" s="7">
        <f t="shared" si="3"/>
        <v>0</v>
      </c>
    </row>
    <row r="199" spans="1:4" ht="18.75" hidden="1" x14ac:dyDescent="0.25">
      <c r="A199" s="34" t="s">
        <v>198</v>
      </c>
      <c r="B199" s="7"/>
      <c r="C199" s="7"/>
      <c r="D199" s="7">
        <f t="shared" si="3"/>
        <v>0</v>
      </c>
    </row>
    <row r="200" spans="1:4" ht="18.75" hidden="1" x14ac:dyDescent="0.25">
      <c r="A200" s="9" t="s">
        <v>199</v>
      </c>
      <c r="B200" s="7"/>
      <c r="C200" s="7"/>
      <c r="D200" s="7">
        <f t="shared" si="3"/>
        <v>0</v>
      </c>
    </row>
    <row r="201" spans="1:4" ht="18.75" hidden="1" x14ac:dyDescent="0.25">
      <c r="A201" s="35" t="s">
        <v>200</v>
      </c>
      <c r="B201" s="7"/>
      <c r="C201" s="7"/>
      <c r="D201" s="7">
        <f t="shared" si="3"/>
        <v>0</v>
      </c>
    </row>
    <row r="202" spans="1:4" ht="18.75" x14ac:dyDescent="0.25">
      <c r="A202" s="9" t="s">
        <v>201</v>
      </c>
      <c r="B202" s="7">
        <v>250</v>
      </c>
      <c r="C202" s="7">
        <v>22000</v>
      </c>
      <c r="D202" s="7">
        <f t="shared" si="3"/>
        <v>5500000</v>
      </c>
    </row>
    <row r="203" spans="1:4" ht="18.75" x14ac:dyDescent="0.25">
      <c r="A203" s="12" t="s">
        <v>202</v>
      </c>
      <c r="B203" s="7">
        <f>110+100+50</f>
        <v>260</v>
      </c>
      <c r="C203" s="7">
        <v>22000</v>
      </c>
      <c r="D203" s="7">
        <f t="shared" si="3"/>
        <v>5720000</v>
      </c>
    </row>
    <row r="204" spans="1:4" ht="18.75" hidden="1" x14ac:dyDescent="0.25">
      <c r="A204" s="9" t="s">
        <v>203</v>
      </c>
      <c r="B204" s="7"/>
      <c r="C204" s="7"/>
      <c r="D204" s="7">
        <f t="shared" si="3"/>
        <v>0</v>
      </c>
    </row>
    <row r="205" spans="1:4" ht="18.75" x14ac:dyDescent="0.25">
      <c r="A205" s="9" t="s">
        <v>204</v>
      </c>
      <c r="B205" s="7">
        <f>-400+580+20-100+280</f>
        <v>380</v>
      </c>
      <c r="C205" s="7">
        <v>20000</v>
      </c>
      <c r="D205" s="7">
        <f t="shared" si="3"/>
        <v>7600000</v>
      </c>
    </row>
    <row r="206" spans="1:4" ht="18.75" hidden="1" x14ac:dyDescent="0.25">
      <c r="A206" s="36" t="s">
        <v>205</v>
      </c>
      <c r="B206" s="7"/>
      <c r="C206" s="7"/>
      <c r="D206" s="7">
        <f t="shared" si="3"/>
        <v>0</v>
      </c>
    </row>
    <row r="207" spans="1:4" ht="18.75" hidden="1" x14ac:dyDescent="0.25">
      <c r="A207" s="36" t="s">
        <v>206</v>
      </c>
      <c r="B207" s="7"/>
      <c r="C207" s="7"/>
      <c r="D207" s="7">
        <f t="shared" si="3"/>
        <v>0</v>
      </c>
    </row>
    <row r="208" spans="1:4" ht="18.75" hidden="1" x14ac:dyDescent="0.25">
      <c r="A208" s="9" t="s">
        <v>207</v>
      </c>
      <c r="B208" s="7"/>
      <c r="C208" s="7"/>
      <c r="D208" s="7">
        <f t="shared" si="3"/>
        <v>0</v>
      </c>
    </row>
    <row r="209" spans="1:4" ht="18.75" hidden="1" x14ac:dyDescent="0.25">
      <c r="A209" s="11" t="s">
        <v>208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209</v>
      </c>
      <c r="B210" s="7"/>
      <c r="C210" s="7"/>
      <c r="D210" s="7">
        <f t="shared" si="3"/>
        <v>0</v>
      </c>
    </row>
    <row r="211" spans="1:4" ht="18.75" x14ac:dyDescent="0.25">
      <c r="A211" s="9" t="s">
        <v>210</v>
      </c>
      <c r="B211" s="7">
        <v>25</v>
      </c>
      <c r="C211" s="7">
        <v>12000</v>
      </c>
      <c r="D211" s="7">
        <f t="shared" si="3"/>
        <v>300000</v>
      </c>
    </row>
    <row r="212" spans="1:4" ht="18.75" hidden="1" x14ac:dyDescent="0.25">
      <c r="A212" s="9" t="s">
        <v>211</v>
      </c>
      <c r="B212" s="7"/>
      <c r="C212" s="7"/>
      <c r="D212" s="7">
        <f t="shared" si="3"/>
        <v>0</v>
      </c>
    </row>
    <row r="213" spans="1:4" ht="18.75" hidden="1" x14ac:dyDescent="0.25">
      <c r="A213" s="9" t="s">
        <v>212</v>
      </c>
      <c r="B213" s="7"/>
      <c r="C213" s="7"/>
      <c r="D213" s="7">
        <f t="shared" si="3"/>
        <v>0</v>
      </c>
    </row>
    <row r="214" spans="1:4" ht="18.75" hidden="1" x14ac:dyDescent="0.25">
      <c r="A214" s="37" t="s">
        <v>213</v>
      </c>
      <c r="B214" s="7"/>
      <c r="C214" s="7"/>
      <c r="D214" s="7">
        <f t="shared" si="3"/>
        <v>0</v>
      </c>
    </row>
    <row r="215" spans="1:4" ht="18.75" hidden="1" x14ac:dyDescent="0.25">
      <c r="A215" s="9" t="s">
        <v>214</v>
      </c>
      <c r="B215" s="7"/>
      <c r="C215" s="7"/>
      <c r="D215" s="7">
        <f t="shared" si="3"/>
        <v>0</v>
      </c>
    </row>
    <row r="216" spans="1:4" ht="18.75" x14ac:dyDescent="0.25">
      <c r="A216" s="9" t="s">
        <v>215</v>
      </c>
      <c r="B216" s="7">
        <f>-300+170+15+220+70</f>
        <v>175</v>
      </c>
      <c r="C216" s="7">
        <v>15000</v>
      </c>
      <c r="D216" s="7">
        <f t="shared" si="3"/>
        <v>2625000</v>
      </c>
    </row>
    <row r="217" spans="1:4" ht="18.75" hidden="1" x14ac:dyDescent="0.25">
      <c r="A217" s="9" t="s">
        <v>216</v>
      </c>
      <c r="B217" s="7"/>
      <c r="C217" s="7"/>
      <c r="D217" s="7">
        <f t="shared" si="3"/>
        <v>0</v>
      </c>
    </row>
    <row r="218" spans="1:4" ht="18.75" x14ac:dyDescent="0.25">
      <c r="A218" s="9" t="s">
        <v>217</v>
      </c>
      <c r="B218" s="7">
        <v>180</v>
      </c>
      <c r="C218" s="7">
        <v>7000</v>
      </c>
      <c r="D218" s="7">
        <f t="shared" si="3"/>
        <v>1260000</v>
      </c>
    </row>
    <row r="219" spans="1:4" ht="18.75" hidden="1" x14ac:dyDescent="0.25">
      <c r="A219" s="17" t="s">
        <v>218</v>
      </c>
      <c r="B219" s="7"/>
      <c r="C219" s="7"/>
      <c r="D219" s="7">
        <f t="shared" si="3"/>
        <v>0</v>
      </c>
    </row>
    <row r="220" spans="1:4" ht="18.75" hidden="1" x14ac:dyDescent="0.25">
      <c r="A220" s="17" t="s">
        <v>219</v>
      </c>
      <c r="B220" s="7"/>
      <c r="C220" s="7"/>
      <c r="D220" s="7">
        <f t="shared" si="3"/>
        <v>0</v>
      </c>
    </row>
    <row r="221" spans="1:4" ht="18.75" hidden="1" x14ac:dyDescent="0.25">
      <c r="A221" s="17" t="s">
        <v>220</v>
      </c>
      <c r="B221" s="7"/>
      <c r="C221" s="7"/>
      <c r="D221" s="7">
        <f t="shared" si="3"/>
        <v>0</v>
      </c>
    </row>
    <row r="222" spans="1:4" ht="18.75" hidden="1" x14ac:dyDescent="0.25">
      <c r="A222" s="17" t="s">
        <v>221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222</v>
      </c>
      <c r="B223" s="7"/>
      <c r="C223" s="7"/>
      <c r="D223" s="7">
        <f t="shared" si="3"/>
        <v>0</v>
      </c>
    </row>
    <row r="224" spans="1:4" ht="18.75" hidden="1" x14ac:dyDescent="0.25">
      <c r="A224" s="9" t="s">
        <v>223</v>
      </c>
      <c r="B224" s="7"/>
      <c r="C224" s="7"/>
      <c r="D224" s="7">
        <f t="shared" si="3"/>
        <v>0</v>
      </c>
    </row>
    <row r="225" spans="1:4" ht="18.75" hidden="1" x14ac:dyDescent="0.25">
      <c r="A225" s="17" t="s">
        <v>224</v>
      </c>
      <c r="B225" s="7"/>
      <c r="C225" s="7"/>
      <c r="D225" s="7">
        <f t="shared" si="3"/>
        <v>0</v>
      </c>
    </row>
    <row r="226" spans="1:4" ht="18.75" hidden="1" x14ac:dyDescent="0.25">
      <c r="A226" s="17" t="s">
        <v>225</v>
      </c>
      <c r="B226" s="7"/>
      <c r="C226" s="7"/>
      <c r="D226" s="7">
        <f t="shared" si="3"/>
        <v>0</v>
      </c>
    </row>
    <row r="227" spans="1:4" ht="18.75" hidden="1" x14ac:dyDescent="0.25">
      <c r="A227" s="11" t="s">
        <v>226</v>
      </c>
      <c r="B227" s="7"/>
      <c r="C227" s="7"/>
      <c r="D227" s="7">
        <f t="shared" si="3"/>
        <v>0</v>
      </c>
    </row>
    <row r="228" spans="1:4" ht="18.75" hidden="1" x14ac:dyDescent="0.25">
      <c r="A228" s="12" t="s">
        <v>227</v>
      </c>
      <c r="B228" s="7"/>
      <c r="C228" s="7"/>
      <c r="D228" s="7">
        <f t="shared" si="3"/>
        <v>0</v>
      </c>
    </row>
    <row r="229" spans="1:4" ht="18.75" hidden="1" x14ac:dyDescent="0.25">
      <c r="A229" s="11" t="s">
        <v>228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229</v>
      </c>
      <c r="B230" s="7"/>
      <c r="C230" s="7"/>
      <c r="D230" s="7">
        <f t="shared" si="3"/>
        <v>0</v>
      </c>
    </row>
    <row r="231" spans="1:4" ht="18.75" hidden="1" x14ac:dyDescent="0.25">
      <c r="A231" s="11" t="s">
        <v>230</v>
      </c>
      <c r="B231" s="7"/>
      <c r="C231" s="7"/>
      <c r="D231" s="7">
        <f t="shared" si="3"/>
        <v>0</v>
      </c>
    </row>
    <row r="232" spans="1:4" ht="18.75" hidden="1" x14ac:dyDescent="0.25">
      <c r="A232" s="11" t="s">
        <v>231</v>
      </c>
      <c r="B232" s="7"/>
      <c r="C232" s="7"/>
      <c r="D232" s="7">
        <f t="shared" si="3"/>
        <v>0</v>
      </c>
    </row>
    <row r="233" spans="1:4" ht="18.75" hidden="1" x14ac:dyDescent="0.25">
      <c r="A233" s="11" t="s">
        <v>232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233</v>
      </c>
      <c r="B234" s="7"/>
      <c r="C234" s="7"/>
      <c r="D234" s="7">
        <f t="shared" si="3"/>
        <v>0</v>
      </c>
    </row>
    <row r="235" spans="1:4" ht="18.75" hidden="1" x14ac:dyDescent="0.25">
      <c r="A235" s="9" t="s">
        <v>234</v>
      </c>
      <c r="B235" s="7"/>
      <c r="C235" s="7"/>
      <c r="D235" s="7">
        <f t="shared" si="3"/>
        <v>0</v>
      </c>
    </row>
    <row r="236" spans="1:4" ht="18.75" hidden="1" x14ac:dyDescent="0.25">
      <c r="A236" s="11" t="s">
        <v>235</v>
      </c>
      <c r="B236" s="7"/>
      <c r="C236" s="7"/>
      <c r="D236" s="7">
        <f t="shared" si="3"/>
        <v>0</v>
      </c>
    </row>
    <row r="237" spans="1:4" ht="18.75" hidden="1" x14ac:dyDescent="0.25">
      <c r="A237" s="36" t="s">
        <v>236</v>
      </c>
      <c r="B237" s="7"/>
      <c r="C237" s="7"/>
      <c r="D237" s="7">
        <f t="shared" si="3"/>
        <v>0</v>
      </c>
    </row>
    <row r="238" spans="1:4" ht="18.75" hidden="1" x14ac:dyDescent="0.25">
      <c r="A238" s="9" t="s">
        <v>237</v>
      </c>
      <c r="B238" s="7"/>
      <c r="C238" s="7"/>
      <c r="D238" s="7">
        <f t="shared" si="3"/>
        <v>0</v>
      </c>
    </row>
    <row r="239" spans="1:4" ht="18.75" hidden="1" x14ac:dyDescent="0.25">
      <c r="A239" s="9" t="s">
        <v>238</v>
      </c>
      <c r="B239" s="7"/>
      <c r="C239" s="7"/>
      <c r="D239" s="7">
        <f t="shared" si="3"/>
        <v>0</v>
      </c>
    </row>
    <row r="240" spans="1:4" ht="18.75" hidden="1" x14ac:dyDescent="0.25">
      <c r="A240" s="13" t="s">
        <v>239</v>
      </c>
      <c r="B240" s="7"/>
      <c r="C240" s="7"/>
      <c r="D240" s="7">
        <f t="shared" si="3"/>
        <v>0</v>
      </c>
    </row>
    <row r="241" spans="1:4" ht="18.75" hidden="1" x14ac:dyDescent="0.25">
      <c r="A241" s="13" t="s">
        <v>240</v>
      </c>
      <c r="B241" s="7"/>
      <c r="C241" s="7"/>
      <c r="D241" s="7">
        <f t="shared" si="3"/>
        <v>0</v>
      </c>
    </row>
    <row r="242" spans="1:4" ht="18.75" hidden="1" x14ac:dyDescent="0.25">
      <c r="A242" s="34" t="s">
        <v>241</v>
      </c>
      <c r="B242" s="7"/>
      <c r="C242" s="7"/>
      <c r="D242" s="7">
        <f t="shared" si="3"/>
        <v>0</v>
      </c>
    </row>
    <row r="243" spans="1:4" ht="18.75" hidden="1" x14ac:dyDescent="0.25">
      <c r="A243" s="9" t="s">
        <v>242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243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244</v>
      </c>
      <c r="B245" s="16"/>
      <c r="C245" s="16"/>
      <c r="D245" s="7">
        <f t="shared" si="3"/>
        <v>0</v>
      </c>
    </row>
    <row r="246" spans="1:4" ht="18.75" hidden="1" x14ac:dyDescent="0.25">
      <c r="A246" s="34" t="s">
        <v>245</v>
      </c>
      <c r="B246" s="7"/>
      <c r="C246" s="7"/>
      <c r="D246" s="7">
        <f t="shared" si="3"/>
        <v>0</v>
      </c>
    </row>
    <row r="247" spans="1:4" ht="18.75" hidden="1" x14ac:dyDescent="0.25">
      <c r="A247" s="9" t="s">
        <v>246</v>
      </c>
      <c r="B247" s="16"/>
      <c r="C247" s="16"/>
      <c r="D247" s="7">
        <f t="shared" si="3"/>
        <v>0</v>
      </c>
    </row>
    <row r="248" spans="1:4" ht="18.75" x14ac:dyDescent="0.25">
      <c r="A248" s="9" t="s">
        <v>247</v>
      </c>
      <c r="B248" s="7">
        <v>6</v>
      </c>
      <c r="C248" s="7">
        <v>14000</v>
      </c>
      <c r="D248" s="7">
        <f t="shared" si="3"/>
        <v>84000</v>
      </c>
    </row>
    <row r="249" spans="1:4" ht="18.75" hidden="1" x14ac:dyDescent="0.25">
      <c r="A249" s="11" t="s">
        <v>248</v>
      </c>
      <c r="B249" s="7"/>
      <c r="C249" s="7"/>
      <c r="D249" s="7">
        <f t="shared" si="3"/>
        <v>0</v>
      </c>
    </row>
    <row r="250" spans="1:4" ht="18.75" hidden="1" x14ac:dyDescent="0.25">
      <c r="A250" s="11" t="s">
        <v>249</v>
      </c>
      <c r="B250" s="7"/>
      <c r="C250" s="7"/>
      <c r="D250" s="7">
        <f t="shared" si="3"/>
        <v>0</v>
      </c>
    </row>
    <row r="251" spans="1:4" ht="18.75" x14ac:dyDescent="0.25">
      <c r="A251" s="9" t="s">
        <v>250</v>
      </c>
      <c r="B251" s="7">
        <f>-20+25+5+20</f>
        <v>30</v>
      </c>
      <c r="C251" s="7">
        <v>20000</v>
      </c>
      <c r="D251" s="7">
        <f t="shared" si="3"/>
        <v>600000</v>
      </c>
    </row>
    <row r="252" spans="1:4" ht="18.75" x14ac:dyDescent="0.25">
      <c r="A252" s="9" t="s">
        <v>251</v>
      </c>
      <c r="B252" s="7">
        <v>33</v>
      </c>
      <c r="C252" s="7">
        <v>17000</v>
      </c>
      <c r="D252" s="7">
        <f t="shared" si="3"/>
        <v>561000</v>
      </c>
    </row>
    <row r="253" spans="1:4" ht="18.75" hidden="1" x14ac:dyDescent="0.25">
      <c r="A253" s="9" t="s">
        <v>252</v>
      </c>
      <c r="B253" s="7"/>
      <c r="C253" s="7"/>
      <c r="D253" s="7">
        <f t="shared" si="3"/>
        <v>0</v>
      </c>
    </row>
    <row r="254" spans="1:4" ht="18.75" x14ac:dyDescent="0.25">
      <c r="A254" s="9" t="s">
        <v>253</v>
      </c>
      <c r="B254" s="7">
        <v>8</v>
      </c>
      <c r="C254" s="7">
        <v>8000</v>
      </c>
      <c r="D254" s="7">
        <f t="shared" si="3"/>
        <v>64000</v>
      </c>
    </row>
    <row r="255" spans="1:4" ht="18.75" hidden="1" x14ac:dyDescent="0.25">
      <c r="A255" s="9" t="s">
        <v>254</v>
      </c>
      <c r="B255" s="7"/>
      <c r="C255" s="7"/>
      <c r="D255" s="7">
        <f t="shared" si="3"/>
        <v>0</v>
      </c>
    </row>
    <row r="256" spans="1:4" ht="18.75" hidden="1" x14ac:dyDescent="0.25">
      <c r="A256" s="17" t="s">
        <v>255</v>
      </c>
      <c r="B256" s="7"/>
      <c r="C256" s="7"/>
      <c r="D256" s="7">
        <f t="shared" si="3"/>
        <v>0</v>
      </c>
    </row>
    <row r="257" spans="1:4" ht="18.75" hidden="1" x14ac:dyDescent="0.25">
      <c r="A257" s="21" t="s">
        <v>256</v>
      </c>
      <c r="B257" s="7"/>
      <c r="C257" s="7"/>
      <c r="D257" s="7">
        <f t="shared" si="3"/>
        <v>0</v>
      </c>
    </row>
    <row r="258" spans="1:4" ht="18.75" hidden="1" x14ac:dyDescent="0.25">
      <c r="A258" s="21" t="s">
        <v>257</v>
      </c>
      <c r="B258" s="7"/>
      <c r="C258" s="7"/>
      <c r="D258" s="7">
        <f t="shared" si="3"/>
        <v>0</v>
      </c>
    </row>
    <row r="259" spans="1:4" ht="18.75" x14ac:dyDescent="0.25">
      <c r="A259" s="9" t="s">
        <v>258</v>
      </c>
      <c r="B259" s="7">
        <f>-20+40+60</f>
        <v>80</v>
      </c>
      <c r="C259" s="7">
        <v>21000</v>
      </c>
      <c r="D259" s="7">
        <f t="shared" si="3"/>
        <v>1680000</v>
      </c>
    </row>
    <row r="260" spans="1:4" ht="18.75" hidden="1" x14ac:dyDescent="0.25">
      <c r="A260" s="9" t="s">
        <v>259</v>
      </c>
      <c r="B260" s="7"/>
      <c r="C260" s="7"/>
      <c r="D260" s="7">
        <f t="shared" ref="D260:D323" si="4">B260*C260</f>
        <v>0</v>
      </c>
    </row>
    <row r="261" spans="1:4" ht="18.75" hidden="1" x14ac:dyDescent="0.25">
      <c r="A261" s="9" t="s">
        <v>260</v>
      </c>
      <c r="B261" s="7"/>
      <c r="C261" s="7"/>
      <c r="D261" s="7">
        <f t="shared" si="4"/>
        <v>0</v>
      </c>
    </row>
    <row r="262" spans="1:4" ht="18.75" hidden="1" x14ac:dyDescent="0.25">
      <c r="A262" s="9" t="s">
        <v>261</v>
      </c>
      <c r="B262" s="7"/>
      <c r="C262" s="7"/>
      <c r="D262" s="7">
        <f t="shared" si="4"/>
        <v>0</v>
      </c>
    </row>
    <row r="263" spans="1:4" ht="18.75" x14ac:dyDescent="0.25">
      <c r="A263" s="9" t="s">
        <v>262</v>
      </c>
      <c r="B263" s="7">
        <v>13</v>
      </c>
      <c r="C263" s="7">
        <v>21000</v>
      </c>
      <c r="D263" s="7">
        <f t="shared" si="4"/>
        <v>273000</v>
      </c>
    </row>
    <row r="264" spans="1:4" ht="18.75" x14ac:dyDescent="0.25">
      <c r="A264" s="9" t="s">
        <v>263</v>
      </c>
      <c r="B264" s="7">
        <v>8</v>
      </c>
      <c r="C264" s="7">
        <v>19000</v>
      </c>
      <c r="D264" s="7">
        <f t="shared" si="4"/>
        <v>152000</v>
      </c>
    </row>
    <row r="265" spans="1:4" ht="18.75" hidden="1" x14ac:dyDescent="0.25">
      <c r="A265" s="9" t="s">
        <v>264</v>
      </c>
      <c r="B265" s="7"/>
      <c r="C265" s="7"/>
      <c r="D265" s="7">
        <f t="shared" si="4"/>
        <v>0</v>
      </c>
    </row>
    <row r="266" spans="1:4" ht="18.75" hidden="1" x14ac:dyDescent="0.25">
      <c r="A266" s="9" t="s">
        <v>265</v>
      </c>
      <c r="B266" s="16"/>
      <c r="C266" s="16"/>
      <c r="D266" s="7">
        <f t="shared" si="4"/>
        <v>0</v>
      </c>
    </row>
    <row r="267" spans="1:4" ht="18.75" hidden="1" x14ac:dyDescent="0.25">
      <c r="A267" s="13" t="s">
        <v>266</v>
      </c>
      <c r="B267" s="7"/>
      <c r="C267" s="7"/>
      <c r="D267" s="7">
        <f t="shared" si="4"/>
        <v>0</v>
      </c>
    </row>
    <row r="268" spans="1:4" ht="18.75" hidden="1" x14ac:dyDescent="0.25">
      <c r="A268" s="9" t="s">
        <v>267</v>
      </c>
      <c r="B268" s="7"/>
      <c r="C268" s="7"/>
      <c r="D268" s="7">
        <f t="shared" si="4"/>
        <v>0</v>
      </c>
    </row>
    <row r="269" spans="1:4" ht="18.75" hidden="1" x14ac:dyDescent="0.25">
      <c r="A269" s="11" t="s">
        <v>268</v>
      </c>
      <c r="B269" s="7"/>
      <c r="C269" s="7"/>
      <c r="D269" s="7">
        <f t="shared" si="4"/>
        <v>0</v>
      </c>
    </row>
    <row r="270" spans="1:4" ht="18.75" x14ac:dyDescent="0.25">
      <c r="A270" s="9" t="s">
        <v>269</v>
      </c>
      <c r="B270" s="7">
        <v>17</v>
      </c>
      <c r="C270" s="7">
        <v>13000</v>
      </c>
      <c r="D270" s="7">
        <f t="shared" si="4"/>
        <v>221000</v>
      </c>
    </row>
    <row r="271" spans="1:4" ht="18.75" hidden="1" x14ac:dyDescent="0.25">
      <c r="A271" s="9" t="s">
        <v>270</v>
      </c>
      <c r="B271" s="7"/>
      <c r="C271" s="7"/>
      <c r="D271" s="7">
        <f t="shared" si="4"/>
        <v>0</v>
      </c>
    </row>
    <row r="272" spans="1:4" ht="18.75" hidden="1" x14ac:dyDescent="0.25">
      <c r="A272" s="9" t="s">
        <v>271</v>
      </c>
      <c r="B272" s="7"/>
      <c r="C272" s="7"/>
      <c r="D272" s="7">
        <f t="shared" si="4"/>
        <v>0</v>
      </c>
    </row>
    <row r="273" spans="1:4" ht="18.75" hidden="1" x14ac:dyDescent="0.25">
      <c r="A273" s="9" t="s">
        <v>272</v>
      </c>
      <c r="B273" s="7"/>
      <c r="C273" s="7"/>
      <c r="D273" s="7">
        <f t="shared" si="4"/>
        <v>0</v>
      </c>
    </row>
    <row r="274" spans="1:4" ht="18.75" hidden="1" x14ac:dyDescent="0.25">
      <c r="A274" s="9" t="s">
        <v>273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274</v>
      </c>
      <c r="B275" s="7"/>
      <c r="C275" s="7"/>
      <c r="D275" s="7">
        <f t="shared" si="4"/>
        <v>0</v>
      </c>
    </row>
    <row r="276" spans="1:4" ht="18.75" hidden="1" x14ac:dyDescent="0.25">
      <c r="A276" s="9" t="s">
        <v>275</v>
      </c>
      <c r="B276" s="7"/>
      <c r="C276" s="7"/>
      <c r="D276" s="7">
        <f t="shared" si="4"/>
        <v>0</v>
      </c>
    </row>
    <row r="277" spans="1:4" ht="18.75" hidden="1" x14ac:dyDescent="0.25">
      <c r="A277" s="34" t="s">
        <v>276</v>
      </c>
      <c r="B277" s="7"/>
      <c r="C277" s="7"/>
      <c r="D277" s="7">
        <f t="shared" si="4"/>
        <v>0</v>
      </c>
    </row>
    <row r="278" spans="1:4" ht="18.75" hidden="1" x14ac:dyDescent="0.25">
      <c r="A278" s="9" t="s">
        <v>277</v>
      </c>
      <c r="B278" s="7"/>
      <c r="C278" s="7"/>
      <c r="D278" s="7">
        <f t="shared" si="4"/>
        <v>0</v>
      </c>
    </row>
    <row r="279" spans="1:4" ht="18.75" hidden="1" x14ac:dyDescent="0.25">
      <c r="A279" s="34" t="s">
        <v>278</v>
      </c>
      <c r="B279" s="7"/>
      <c r="C279" s="7"/>
      <c r="D279" s="7">
        <f t="shared" si="4"/>
        <v>0</v>
      </c>
    </row>
    <row r="280" spans="1:4" ht="18.75" hidden="1" x14ac:dyDescent="0.25">
      <c r="A280" s="34" t="s">
        <v>279</v>
      </c>
      <c r="B280" s="7"/>
      <c r="C280" s="7"/>
      <c r="D280" s="7">
        <f t="shared" si="4"/>
        <v>0</v>
      </c>
    </row>
    <row r="281" spans="1:4" ht="18.75" hidden="1" x14ac:dyDescent="0.25">
      <c r="A281" s="12" t="s">
        <v>280</v>
      </c>
      <c r="B281" s="16"/>
      <c r="C281" s="16"/>
      <c r="D281" s="7">
        <f t="shared" si="4"/>
        <v>0</v>
      </c>
    </row>
    <row r="282" spans="1:4" ht="18.75" hidden="1" x14ac:dyDescent="0.25">
      <c r="A282" s="12" t="s">
        <v>281</v>
      </c>
      <c r="B282" s="7"/>
      <c r="C282" s="7"/>
      <c r="D282" s="7">
        <f t="shared" si="4"/>
        <v>0</v>
      </c>
    </row>
    <row r="283" spans="1:4" ht="18.75" hidden="1" x14ac:dyDescent="0.25">
      <c r="A283" s="11" t="s">
        <v>282</v>
      </c>
      <c r="B283" s="7"/>
      <c r="C283" s="7"/>
      <c r="D283" s="7">
        <f t="shared" si="4"/>
        <v>0</v>
      </c>
    </row>
    <row r="284" spans="1:4" ht="18.75" hidden="1" x14ac:dyDescent="0.25">
      <c r="A284" s="11" t="s">
        <v>283</v>
      </c>
      <c r="B284" s="7"/>
      <c r="C284" s="7"/>
      <c r="D284" s="7">
        <f t="shared" si="4"/>
        <v>0</v>
      </c>
    </row>
    <row r="285" spans="1:4" ht="18.75" hidden="1" x14ac:dyDescent="0.25">
      <c r="A285" s="17" t="s">
        <v>284</v>
      </c>
      <c r="B285" s="7"/>
      <c r="C285" s="7"/>
      <c r="D285" s="7">
        <f t="shared" si="4"/>
        <v>0</v>
      </c>
    </row>
    <row r="286" spans="1:4" ht="18.75" hidden="1" x14ac:dyDescent="0.25">
      <c r="A286" s="17" t="s">
        <v>285</v>
      </c>
      <c r="B286" s="7"/>
      <c r="C286" s="7"/>
      <c r="D286" s="7">
        <f t="shared" si="4"/>
        <v>0</v>
      </c>
    </row>
    <row r="287" spans="1:4" ht="18.75" hidden="1" x14ac:dyDescent="0.25">
      <c r="A287" s="17" t="s">
        <v>286</v>
      </c>
      <c r="B287" s="7"/>
      <c r="C287" s="7"/>
      <c r="D287" s="7">
        <f t="shared" si="4"/>
        <v>0</v>
      </c>
    </row>
    <row r="288" spans="1:4" ht="18.75" x14ac:dyDescent="0.25">
      <c r="A288" s="9" t="s">
        <v>287</v>
      </c>
      <c r="B288" s="7">
        <v>8</v>
      </c>
      <c r="C288" s="7">
        <v>11000</v>
      </c>
      <c r="D288" s="7">
        <f t="shared" si="4"/>
        <v>88000</v>
      </c>
    </row>
    <row r="289" spans="1:4" ht="18.75" hidden="1" x14ac:dyDescent="0.25">
      <c r="A289" s="17" t="s">
        <v>288</v>
      </c>
      <c r="B289" s="7"/>
      <c r="C289" s="7"/>
      <c r="D289" s="7">
        <f t="shared" si="4"/>
        <v>0</v>
      </c>
    </row>
    <row r="290" spans="1:4" ht="18.75" hidden="1" x14ac:dyDescent="0.25">
      <c r="A290" s="9" t="s">
        <v>289</v>
      </c>
      <c r="B290" s="7"/>
      <c r="C290" s="7"/>
      <c r="D290" s="7">
        <f t="shared" si="4"/>
        <v>0</v>
      </c>
    </row>
    <row r="291" spans="1:4" ht="18.75" hidden="1" x14ac:dyDescent="0.25">
      <c r="A291" s="9" t="s">
        <v>290</v>
      </c>
      <c r="B291" s="7"/>
      <c r="C291" s="7"/>
      <c r="D291" s="7">
        <f t="shared" si="4"/>
        <v>0</v>
      </c>
    </row>
    <row r="292" spans="1:4" ht="18.75" hidden="1" x14ac:dyDescent="0.25">
      <c r="A292" s="17" t="s">
        <v>291</v>
      </c>
      <c r="B292" s="7"/>
      <c r="C292" s="7"/>
      <c r="D292" s="7">
        <f t="shared" si="4"/>
        <v>0</v>
      </c>
    </row>
    <row r="293" spans="1:4" ht="18.75" hidden="1" x14ac:dyDescent="0.25">
      <c r="A293" s="25" t="s">
        <v>292</v>
      </c>
      <c r="B293" s="7"/>
      <c r="C293" s="7"/>
      <c r="D293" s="7">
        <f t="shared" si="4"/>
        <v>0</v>
      </c>
    </row>
    <row r="294" spans="1:4" ht="18.75" hidden="1" x14ac:dyDescent="0.25">
      <c r="A294" s="9" t="s">
        <v>293</v>
      </c>
      <c r="B294" s="7"/>
      <c r="C294" s="7"/>
      <c r="D294" s="7">
        <f t="shared" si="4"/>
        <v>0</v>
      </c>
    </row>
    <row r="295" spans="1:4" ht="18.75" hidden="1" x14ac:dyDescent="0.25">
      <c r="A295" s="13" t="s">
        <v>294</v>
      </c>
      <c r="B295" s="7"/>
      <c r="C295" s="7"/>
      <c r="D295" s="7">
        <f t="shared" si="4"/>
        <v>0</v>
      </c>
    </row>
    <row r="296" spans="1:4" ht="18.75" hidden="1" x14ac:dyDescent="0.25">
      <c r="A296" s="13" t="s">
        <v>295</v>
      </c>
      <c r="B296" s="7"/>
      <c r="C296" s="7"/>
      <c r="D296" s="7">
        <f t="shared" si="4"/>
        <v>0</v>
      </c>
    </row>
    <row r="297" spans="1:4" ht="18.75" hidden="1" x14ac:dyDescent="0.25">
      <c r="A297" s="12" t="s">
        <v>296</v>
      </c>
      <c r="B297" s="7"/>
      <c r="C297" s="7"/>
      <c r="D297" s="7">
        <f t="shared" si="4"/>
        <v>0</v>
      </c>
    </row>
    <row r="298" spans="1:4" ht="18.75" hidden="1" x14ac:dyDescent="0.25">
      <c r="A298" s="17" t="s">
        <v>297</v>
      </c>
      <c r="B298" s="7"/>
      <c r="C298" s="7"/>
      <c r="D298" s="7">
        <f t="shared" si="4"/>
        <v>0</v>
      </c>
    </row>
    <row r="299" spans="1:4" ht="18.75" hidden="1" x14ac:dyDescent="0.25">
      <c r="A299" s="13" t="s">
        <v>298</v>
      </c>
      <c r="B299" s="7"/>
      <c r="C299" s="7"/>
      <c r="D299" s="7">
        <f t="shared" si="4"/>
        <v>0</v>
      </c>
    </row>
    <row r="300" spans="1:4" ht="18.75" hidden="1" x14ac:dyDescent="0.25">
      <c r="A300" s="9" t="s">
        <v>299</v>
      </c>
      <c r="B300" s="7"/>
      <c r="C300" s="7"/>
      <c r="D300" s="7">
        <f t="shared" si="4"/>
        <v>0</v>
      </c>
    </row>
    <row r="301" spans="1:4" ht="18.75" hidden="1" x14ac:dyDescent="0.25">
      <c r="A301" s="17" t="s">
        <v>300</v>
      </c>
      <c r="B301" s="7"/>
      <c r="C301" s="7"/>
      <c r="D301" s="7">
        <f t="shared" si="4"/>
        <v>0</v>
      </c>
    </row>
    <row r="302" spans="1:4" ht="18.75" hidden="1" x14ac:dyDescent="0.25">
      <c r="A302" s="9" t="s">
        <v>301</v>
      </c>
      <c r="B302" s="7"/>
      <c r="C302" s="7"/>
      <c r="D302" s="7">
        <f t="shared" si="4"/>
        <v>0</v>
      </c>
    </row>
    <row r="303" spans="1:4" ht="18.75" hidden="1" x14ac:dyDescent="0.25">
      <c r="A303" s="9" t="s">
        <v>302</v>
      </c>
      <c r="B303" s="7"/>
      <c r="C303" s="7"/>
      <c r="D303" s="7">
        <f t="shared" si="4"/>
        <v>0</v>
      </c>
    </row>
    <row r="304" spans="1:4" ht="18.75" hidden="1" x14ac:dyDescent="0.25">
      <c r="A304" s="11" t="s">
        <v>303</v>
      </c>
      <c r="B304" s="7"/>
      <c r="C304" s="7"/>
      <c r="D304" s="7">
        <f t="shared" si="4"/>
        <v>0</v>
      </c>
    </row>
    <row r="305" spans="1:4" ht="18.75" hidden="1" x14ac:dyDescent="0.25">
      <c r="A305" s="12" t="s">
        <v>304</v>
      </c>
      <c r="B305" s="7"/>
      <c r="C305" s="7"/>
      <c r="D305" s="7">
        <f t="shared" si="4"/>
        <v>0</v>
      </c>
    </row>
    <row r="306" spans="1:4" ht="18.75" hidden="1" x14ac:dyDescent="0.25">
      <c r="A306" s="12" t="s">
        <v>305</v>
      </c>
      <c r="B306" s="7"/>
      <c r="C306" s="7"/>
      <c r="D306" s="7">
        <f t="shared" si="4"/>
        <v>0</v>
      </c>
    </row>
    <row r="307" spans="1:4" ht="18.75" hidden="1" x14ac:dyDescent="0.25">
      <c r="A307" s="9" t="s">
        <v>306</v>
      </c>
      <c r="B307" s="7"/>
      <c r="C307" s="7"/>
      <c r="D307" s="7">
        <f t="shared" si="4"/>
        <v>0</v>
      </c>
    </row>
    <row r="308" spans="1:4" ht="18.75" hidden="1" x14ac:dyDescent="0.25">
      <c r="A308" s="9" t="s">
        <v>307</v>
      </c>
      <c r="B308" s="7"/>
      <c r="C308" s="7"/>
      <c r="D308" s="7">
        <f t="shared" si="4"/>
        <v>0</v>
      </c>
    </row>
    <row r="309" spans="1:4" ht="18.75" hidden="1" x14ac:dyDescent="0.25">
      <c r="A309" s="9" t="s">
        <v>308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309</v>
      </c>
      <c r="B310" s="7"/>
      <c r="C310" s="7"/>
      <c r="D310" s="7">
        <f t="shared" si="4"/>
        <v>0</v>
      </c>
    </row>
    <row r="311" spans="1:4" ht="18.75" hidden="1" x14ac:dyDescent="0.25">
      <c r="A311" s="13" t="s">
        <v>310</v>
      </c>
      <c r="B311" s="7"/>
      <c r="C311" s="7"/>
      <c r="D311" s="7">
        <f t="shared" si="4"/>
        <v>0</v>
      </c>
    </row>
    <row r="312" spans="1:4" ht="18.75" hidden="1" x14ac:dyDescent="0.25">
      <c r="A312" s="21" t="s">
        <v>311</v>
      </c>
      <c r="B312" s="7"/>
      <c r="C312" s="7"/>
      <c r="D312" s="7">
        <f t="shared" si="4"/>
        <v>0</v>
      </c>
    </row>
    <row r="313" spans="1:4" ht="18.75" hidden="1" x14ac:dyDescent="0.25">
      <c r="A313" s="13" t="s">
        <v>312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313</v>
      </c>
      <c r="B314" s="7"/>
      <c r="C314" s="7"/>
      <c r="D314" s="7">
        <f t="shared" si="4"/>
        <v>0</v>
      </c>
    </row>
    <row r="315" spans="1:4" ht="18.75" hidden="1" x14ac:dyDescent="0.25">
      <c r="A315" s="9" t="s">
        <v>314</v>
      </c>
      <c r="B315" s="7"/>
      <c r="C315" s="7"/>
      <c r="D315" s="7">
        <f t="shared" si="4"/>
        <v>0</v>
      </c>
    </row>
    <row r="316" spans="1:4" ht="18.75" hidden="1" x14ac:dyDescent="0.25">
      <c r="A316" s="9" t="s">
        <v>315</v>
      </c>
      <c r="B316" s="7"/>
      <c r="C316" s="7"/>
      <c r="D316" s="7">
        <f t="shared" si="4"/>
        <v>0</v>
      </c>
    </row>
    <row r="317" spans="1:4" ht="18.75" hidden="1" x14ac:dyDescent="0.25">
      <c r="A317" s="9" t="s">
        <v>316</v>
      </c>
      <c r="B317" s="7"/>
      <c r="C317" s="7"/>
      <c r="D317" s="7">
        <f t="shared" si="4"/>
        <v>0</v>
      </c>
    </row>
    <row r="318" spans="1:4" ht="18.75" hidden="1" x14ac:dyDescent="0.25">
      <c r="A318" s="21" t="s">
        <v>317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318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319</v>
      </c>
      <c r="B320" s="7"/>
      <c r="C320" s="7"/>
      <c r="D320" s="7">
        <f t="shared" si="4"/>
        <v>0</v>
      </c>
    </row>
    <row r="321" spans="1:4" ht="18.75" hidden="1" x14ac:dyDescent="0.25">
      <c r="A321" s="12" t="s">
        <v>320</v>
      </c>
      <c r="B321" s="7"/>
      <c r="C321" s="7"/>
      <c r="D321" s="7">
        <f t="shared" si="4"/>
        <v>0</v>
      </c>
    </row>
    <row r="322" spans="1:4" ht="18.75" hidden="1" x14ac:dyDescent="0.25">
      <c r="A322" s="9" t="s">
        <v>321</v>
      </c>
      <c r="B322" s="39"/>
      <c r="C322" s="39"/>
      <c r="D322" s="7">
        <f t="shared" si="4"/>
        <v>0</v>
      </c>
    </row>
    <row r="323" spans="1:4" ht="18.75" hidden="1" x14ac:dyDescent="0.25">
      <c r="A323" s="9" t="s">
        <v>322</v>
      </c>
      <c r="B323" s="7"/>
      <c r="C323" s="7"/>
      <c r="D323" s="7">
        <f t="shared" si="4"/>
        <v>0</v>
      </c>
    </row>
    <row r="324" spans="1:4" ht="18.75" hidden="1" x14ac:dyDescent="0.25">
      <c r="A324" s="9" t="s">
        <v>323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21" t="s">
        <v>324</v>
      </c>
      <c r="B325" s="7"/>
      <c r="C325" s="7"/>
      <c r="D325" s="7">
        <f t="shared" si="5"/>
        <v>0</v>
      </c>
    </row>
    <row r="326" spans="1:4" ht="18.75" hidden="1" x14ac:dyDescent="0.25">
      <c r="A326" s="21" t="s">
        <v>325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326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327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328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329</v>
      </c>
      <c r="B330" s="7"/>
      <c r="C330" s="7"/>
      <c r="D330" s="7">
        <f t="shared" si="5"/>
        <v>0</v>
      </c>
    </row>
    <row r="331" spans="1:4" ht="18.75" x14ac:dyDescent="0.25">
      <c r="A331" s="9" t="s">
        <v>330</v>
      </c>
      <c r="B331" s="7">
        <v>25</v>
      </c>
      <c r="C331" s="7">
        <v>7000</v>
      </c>
      <c r="D331" s="7">
        <f t="shared" si="5"/>
        <v>175000</v>
      </c>
    </row>
    <row r="332" spans="1:4" ht="18.75" hidden="1" x14ac:dyDescent="0.25">
      <c r="A332" s="9" t="s">
        <v>331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332</v>
      </c>
      <c r="B333" s="7"/>
      <c r="C333" s="7"/>
      <c r="D333" s="7">
        <f t="shared" si="5"/>
        <v>0</v>
      </c>
    </row>
    <row r="334" spans="1:4" ht="18.75" hidden="1" x14ac:dyDescent="0.25">
      <c r="A334" s="9" t="s">
        <v>333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334</v>
      </c>
      <c r="B335" s="7"/>
      <c r="C335" s="7"/>
      <c r="D335" s="7">
        <f t="shared" si="5"/>
        <v>0</v>
      </c>
    </row>
    <row r="336" spans="1:4" ht="18.75" hidden="1" x14ac:dyDescent="0.25">
      <c r="A336" s="9" t="s">
        <v>335</v>
      </c>
      <c r="B336" s="7"/>
      <c r="C336" s="7"/>
      <c r="D336" s="7">
        <f t="shared" si="5"/>
        <v>0</v>
      </c>
    </row>
    <row r="337" spans="1:4" ht="18.75" hidden="1" x14ac:dyDescent="0.25">
      <c r="A337" s="9" t="s">
        <v>336</v>
      </c>
      <c r="B337" s="7"/>
      <c r="C337" s="7"/>
      <c r="D337" s="7">
        <f t="shared" si="5"/>
        <v>0</v>
      </c>
    </row>
    <row r="338" spans="1:4" ht="18.75" hidden="1" x14ac:dyDescent="0.25">
      <c r="A338" s="11" t="s">
        <v>337</v>
      </c>
      <c r="B338" s="7"/>
      <c r="C338" s="7"/>
      <c r="D338" s="7">
        <f t="shared" si="5"/>
        <v>0</v>
      </c>
    </row>
    <row r="339" spans="1:4" ht="18.75" hidden="1" x14ac:dyDescent="0.25">
      <c r="A339" s="11" t="s">
        <v>338</v>
      </c>
      <c r="B339" s="7"/>
      <c r="C339" s="7"/>
      <c r="D339" s="7">
        <f t="shared" si="5"/>
        <v>0</v>
      </c>
    </row>
    <row r="340" spans="1:4" ht="18.75" x14ac:dyDescent="0.25">
      <c r="A340" s="40"/>
      <c r="B340" s="43">
        <f>SUM(B3:B339)</f>
        <v>2731.166666666667</v>
      </c>
      <c r="C340" s="43"/>
      <c r="D340" s="7">
        <f>SUM(D15:D331)</f>
        <v>39310000</v>
      </c>
    </row>
    <row r="341" spans="1:4" ht="18.75" hidden="1" x14ac:dyDescent="0.25">
      <c r="D341" s="7">
        <f t="shared" si="5"/>
        <v>0</v>
      </c>
    </row>
    <row r="342" spans="1:4" ht="18.75" x14ac:dyDescent="0.25">
      <c r="A342" s="1" t="s">
        <v>372</v>
      </c>
      <c r="B342" s="2"/>
      <c r="C342" s="2"/>
      <c r="D342" s="7"/>
    </row>
    <row r="343" spans="1:4" ht="25.5" x14ac:dyDescent="0.25">
      <c r="A343" s="88" t="s">
        <v>0</v>
      </c>
      <c r="B343" s="3" t="s">
        <v>1</v>
      </c>
      <c r="C343" s="3" t="s">
        <v>368</v>
      </c>
      <c r="D343" s="7" t="s">
        <v>369</v>
      </c>
    </row>
    <row r="344" spans="1:4" ht="18.75" hidden="1" x14ac:dyDescent="0.25">
      <c r="A344" s="89"/>
      <c r="B344" s="4"/>
      <c r="C344" s="4"/>
      <c r="D344" s="7">
        <f t="shared" si="5"/>
        <v>0</v>
      </c>
    </row>
    <row r="345" spans="1:4" ht="18.75" hidden="1" x14ac:dyDescent="0.25">
      <c r="A345" s="5" t="s">
        <v>2</v>
      </c>
      <c r="B345" s="7"/>
      <c r="C345" s="7"/>
      <c r="D345" s="7">
        <f t="shared" si="5"/>
        <v>0</v>
      </c>
    </row>
    <row r="346" spans="1:4" ht="18.75" hidden="1" x14ac:dyDescent="0.25">
      <c r="A346" s="8" t="s">
        <v>3</v>
      </c>
      <c r="B346" s="7"/>
      <c r="C346" s="7"/>
      <c r="D346" s="7">
        <f t="shared" si="5"/>
        <v>0</v>
      </c>
    </row>
    <row r="347" spans="1:4" ht="18.75" hidden="1" x14ac:dyDescent="0.25">
      <c r="A347" s="5" t="s">
        <v>4</v>
      </c>
      <c r="B347" s="7"/>
      <c r="C347" s="7"/>
      <c r="D347" s="7">
        <f t="shared" si="5"/>
        <v>0</v>
      </c>
    </row>
    <row r="348" spans="1:4" ht="18.75" x14ac:dyDescent="0.25">
      <c r="A348" s="5" t="s">
        <v>5</v>
      </c>
      <c r="B348" s="7">
        <v>480</v>
      </c>
      <c r="C348" s="7">
        <v>7300</v>
      </c>
      <c r="D348" s="7">
        <f t="shared" si="5"/>
        <v>3504000</v>
      </c>
    </row>
    <row r="349" spans="1:4" ht="18.75" hidden="1" x14ac:dyDescent="0.25">
      <c r="A349" s="9" t="s">
        <v>6</v>
      </c>
      <c r="B349" s="7"/>
      <c r="C349" s="7"/>
      <c r="D349" s="7">
        <f t="shared" si="5"/>
        <v>0</v>
      </c>
    </row>
    <row r="350" spans="1:4" ht="18.75" hidden="1" x14ac:dyDescent="0.25">
      <c r="A350" s="10" t="s">
        <v>7</v>
      </c>
      <c r="B350" s="7"/>
      <c r="C350" s="7"/>
      <c r="D350" s="7">
        <f t="shared" si="5"/>
        <v>0</v>
      </c>
    </row>
    <row r="351" spans="1:4" ht="18.75" hidden="1" x14ac:dyDescent="0.25">
      <c r="A351" s="5" t="s">
        <v>8</v>
      </c>
      <c r="B351" s="7"/>
      <c r="C351" s="7"/>
      <c r="D351" s="7">
        <f t="shared" si="5"/>
        <v>0</v>
      </c>
    </row>
    <row r="352" spans="1:4" ht="18.75" hidden="1" x14ac:dyDescent="0.25">
      <c r="A352" s="5" t="s">
        <v>9</v>
      </c>
      <c r="B352" s="7"/>
      <c r="C352" s="7"/>
      <c r="D352" s="7">
        <f t="shared" si="5"/>
        <v>0</v>
      </c>
    </row>
    <row r="353" spans="1:4" ht="18.75" hidden="1" x14ac:dyDescent="0.25">
      <c r="A353" s="11" t="s">
        <v>339</v>
      </c>
      <c r="B353" s="7"/>
      <c r="C353" s="7"/>
      <c r="D353" s="7">
        <f t="shared" si="5"/>
        <v>0</v>
      </c>
    </row>
    <row r="354" spans="1:4" ht="18.75" hidden="1" x14ac:dyDescent="0.25">
      <c r="A354" s="9" t="s">
        <v>11</v>
      </c>
      <c r="B354" s="7"/>
      <c r="C354" s="7"/>
      <c r="D354" s="7">
        <f t="shared" si="5"/>
        <v>0</v>
      </c>
    </row>
    <row r="355" spans="1:4" ht="18.75" hidden="1" x14ac:dyDescent="0.25">
      <c r="A355" s="9" t="s">
        <v>12</v>
      </c>
      <c r="B355" s="7"/>
      <c r="C355" s="7"/>
      <c r="D355" s="7">
        <f t="shared" si="5"/>
        <v>0</v>
      </c>
    </row>
    <row r="356" spans="1:4" ht="18.75" hidden="1" x14ac:dyDescent="0.25">
      <c r="A356" s="12" t="s">
        <v>13</v>
      </c>
      <c r="B356" s="7"/>
      <c r="C356" s="7"/>
      <c r="D356" s="7">
        <f t="shared" si="5"/>
        <v>0</v>
      </c>
    </row>
    <row r="357" spans="1:4" ht="18.75" hidden="1" x14ac:dyDescent="0.25">
      <c r="A357" s="12" t="s">
        <v>14</v>
      </c>
      <c r="B357" s="7"/>
      <c r="C357" s="7"/>
      <c r="D357" s="7">
        <f t="shared" si="5"/>
        <v>0</v>
      </c>
    </row>
    <row r="358" spans="1:4" ht="18.75" hidden="1" x14ac:dyDescent="0.25">
      <c r="A358" s="9" t="s">
        <v>15</v>
      </c>
      <c r="B358" s="7"/>
      <c r="C358" s="7"/>
      <c r="D358" s="7">
        <f t="shared" si="5"/>
        <v>0</v>
      </c>
    </row>
    <row r="359" spans="1:4" ht="18.75" hidden="1" x14ac:dyDescent="0.25">
      <c r="A359" s="9" t="s">
        <v>16</v>
      </c>
      <c r="B359" s="7"/>
      <c r="C359" s="7"/>
      <c r="D359" s="7">
        <f t="shared" si="5"/>
        <v>0</v>
      </c>
    </row>
    <row r="360" spans="1:4" ht="18.75" hidden="1" x14ac:dyDescent="0.25">
      <c r="A360" s="13" t="s">
        <v>17</v>
      </c>
      <c r="B360" s="7"/>
      <c r="C360" s="7"/>
      <c r="D360" s="7">
        <f t="shared" si="5"/>
        <v>0</v>
      </c>
    </row>
    <row r="361" spans="1:4" ht="18.75" hidden="1" x14ac:dyDescent="0.25">
      <c r="A361" s="11" t="s">
        <v>18</v>
      </c>
      <c r="B361" s="7"/>
      <c r="C361" s="7"/>
      <c r="D361" s="7">
        <f t="shared" si="5"/>
        <v>0</v>
      </c>
    </row>
    <row r="362" spans="1:4" ht="18.75" x14ac:dyDescent="0.25">
      <c r="A362" s="9" t="s">
        <v>19</v>
      </c>
      <c r="B362" s="7">
        <f>-700+1720</f>
        <v>1020</v>
      </c>
      <c r="C362" s="7">
        <v>12000</v>
      </c>
      <c r="D362" s="7">
        <f t="shared" si="5"/>
        <v>12240000</v>
      </c>
    </row>
    <row r="363" spans="1:4" ht="18.75" hidden="1" x14ac:dyDescent="0.25">
      <c r="A363" s="12" t="s">
        <v>20</v>
      </c>
      <c r="B363" s="7"/>
      <c r="C363" s="7"/>
      <c r="D363" s="7">
        <f t="shared" si="5"/>
        <v>0</v>
      </c>
    </row>
    <row r="364" spans="1:4" ht="18.75" hidden="1" x14ac:dyDescent="0.25">
      <c r="A364" s="12" t="s">
        <v>21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22</v>
      </c>
      <c r="B365" s="7"/>
      <c r="C365" s="7"/>
      <c r="D365" s="7">
        <f t="shared" si="5"/>
        <v>0</v>
      </c>
    </row>
    <row r="366" spans="1:4" ht="18.75" hidden="1" x14ac:dyDescent="0.25">
      <c r="A366" s="9" t="s">
        <v>23</v>
      </c>
      <c r="B366" s="7"/>
      <c r="C366" s="7"/>
      <c r="D366" s="7">
        <f t="shared" si="5"/>
        <v>0</v>
      </c>
    </row>
    <row r="367" spans="1:4" ht="18.75" x14ac:dyDescent="0.25">
      <c r="A367" s="9" t="s">
        <v>24</v>
      </c>
      <c r="B367" s="7">
        <v>10</v>
      </c>
      <c r="C367" s="7">
        <v>15000</v>
      </c>
      <c r="D367" s="7">
        <f t="shared" si="5"/>
        <v>150000</v>
      </c>
    </row>
    <row r="368" spans="1:4" ht="18.75" hidden="1" x14ac:dyDescent="0.25">
      <c r="A368" s="9" t="s">
        <v>25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26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27</v>
      </c>
      <c r="B370" s="7"/>
      <c r="C370" s="7"/>
      <c r="D370" s="7">
        <f t="shared" si="5"/>
        <v>0</v>
      </c>
    </row>
    <row r="371" spans="1:4" ht="18.75" hidden="1" x14ac:dyDescent="0.25">
      <c r="A371" s="12" t="s">
        <v>29</v>
      </c>
      <c r="B371" s="7"/>
      <c r="C371" s="7"/>
      <c r="D371" s="7">
        <f t="shared" si="5"/>
        <v>0</v>
      </c>
    </row>
    <row r="372" spans="1:4" ht="18.75" hidden="1" x14ac:dyDescent="0.25">
      <c r="A372" s="12" t="s">
        <v>37</v>
      </c>
      <c r="B372" s="7"/>
      <c r="C372" s="7"/>
      <c r="D372" s="7">
        <f t="shared" si="5"/>
        <v>0</v>
      </c>
    </row>
    <row r="373" spans="1:4" ht="18.75" hidden="1" x14ac:dyDescent="0.25">
      <c r="A373" s="9" t="s">
        <v>38</v>
      </c>
      <c r="B373" s="7"/>
      <c r="C373" s="7"/>
      <c r="D373" s="7">
        <f t="shared" si="5"/>
        <v>0</v>
      </c>
    </row>
    <row r="374" spans="1:4" ht="18.75" hidden="1" x14ac:dyDescent="0.25">
      <c r="A374" s="9" t="s">
        <v>39</v>
      </c>
      <c r="B374" s="7"/>
      <c r="C374" s="7"/>
      <c r="D374" s="7">
        <f t="shared" si="5"/>
        <v>0</v>
      </c>
    </row>
    <row r="375" spans="1:4" ht="18.75" hidden="1" x14ac:dyDescent="0.25">
      <c r="A375" s="11" t="s">
        <v>340</v>
      </c>
      <c r="B375" s="16"/>
      <c r="C375" s="16"/>
      <c r="D375" s="7">
        <f t="shared" si="5"/>
        <v>0</v>
      </c>
    </row>
    <row r="376" spans="1:4" ht="18.75" hidden="1" x14ac:dyDescent="0.25">
      <c r="A376" s="11" t="s">
        <v>40</v>
      </c>
      <c r="B376" s="16"/>
      <c r="C376" s="16"/>
      <c r="D376" s="7">
        <f t="shared" si="5"/>
        <v>0</v>
      </c>
    </row>
    <row r="377" spans="1:4" ht="18.75" hidden="1" x14ac:dyDescent="0.25">
      <c r="A377" s="9" t="s">
        <v>41</v>
      </c>
      <c r="B377" s="7"/>
      <c r="C377" s="7"/>
      <c r="D377" s="7">
        <f t="shared" si="5"/>
        <v>0</v>
      </c>
    </row>
    <row r="378" spans="1:4" ht="18.75" hidden="1" x14ac:dyDescent="0.25">
      <c r="A378" s="9" t="s">
        <v>42</v>
      </c>
      <c r="B378" s="7"/>
      <c r="C378" s="7"/>
      <c r="D378" s="7">
        <f t="shared" si="5"/>
        <v>0</v>
      </c>
    </row>
    <row r="379" spans="1:4" ht="18.75" hidden="1" x14ac:dyDescent="0.25">
      <c r="A379" s="17" t="s">
        <v>43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44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45</v>
      </c>
      <c r="B381" s="7"/>
      <c r="C381" s="7"/>
      <c r="D381" s="7">
        <f t="shared" si="5"/>
        <v>0</v>
      </c>
    </row>
    <row r="382" spans="1:4" ht="18.75" hidden="1" x14ac:dyDescent="0.25">
      <c r="A382" s="9" t="s">
        <v>46</v>
      </c>
      <c r="B382" s="7"/>
      <c r="C382" s="7"/>
      <c r="D382" s="7">
        <f t="shared" si="5"/>
        <v>0</v>
      </c>
    </row>
    <row r="383" spans="1:4" ht="18.75" hidden="1" x14ac:dyDescent="0.25">
      <c r="A383" s="9" t="s">
        <v>47</v>
      </c>
      <c r="B383" s="7"/>
      <c r="C383" s="7"/>
      <c r="D383" s="7">
        <f t="shared" si="5"/>
        <v>0</v>
      </c>
    </row>
    <row r="384" spans="1:4" ht="18.75" hidden="1" x14ac:dyDescent="0.25">
      <c r="A384" s="13" t="s">
        <v>48</v>
      </c>
      <c r="B384" s="7"/>
      <c r="C384" s="7"/>
      <c r="D384" s="7">
        <f t="shared" si="5"/>
        <v>0</v>
      </c>
    </row>
    <row r="385" spans="1:4" ht="18.75" hidden="1" x14ac:dyDescent="0.25">
      <c r="A385" s="11" t="s">
        <v>49</v>
      </c>
      <c r="B385" s="7"/>
      <c r="C385" s="7"/>
      <c r="D385" s="7">
        <f t="shared" si="5"/>
        <v>0</v>
      </c>
    </row>
    <row r="386" spans="1:4" ht="18.75" hidden="1" x14ac:dyDescent="0.25">
      <c r="A386" s="13" t="s">
        <v>50</v>
      </c>
      <c r="B386" s="7"/>
      <c r="C386" s="7"/>
      <c r="D386" s="7">
        <f t="shared" si="5"/>
        <v>0</v>
      </c>
    </row>
    <row r="387" spans="1:4" ht="18.75" hidden="1" x14ac:dyDescent="0.25">
      <c r="A387" s="9" t="s">
        <v>51</v>
      </c>
      <c r="B387" s="7"/>
      <c r="C387" s="7"/>
      <c r="D387" s="7">
        <f t="shared" si="5"/>
        <v>0</v>
      </c>
    </row>
    <row r="388" spans="1:4" ht="18.75" hidden="1" x14ac:dyDescent="0.25">
      <c r="A388" s="9" t="s">
        <v>52</v>
      </c>
      <c r="B388" s="7"/>
      <c r="C388" s="7"/>
      <c r="D388" s="7">
        <f t="shared" ref="D388:D451" si="6">B388*C388</f>
        <v>0</v>
      </c>
    </row>
    <row r="389" spans="1:4" ht="18.75" x14ac:dyDescent="0.25">
      <c r="A389" s="12" t="s">
        <v>53</v>
      </c>
      <c r="B389" s="7">
        <v>300</v>
      </c>
      <c r="C389" s="7">
        <v>19000</v>
      </c>
      <c r="D389" s="7">
        <f t="shared" si="6"/>
        <v>5700000</v>
      </c>
    </row>
    <row r="390" spans="1:4" ht="18.75" hidden="1" x14ac:dyDescent="0.25">
      <c r="A390" s="18" t="s">
        <v>54</v>
      </c>
      <c r="B390" s="7"/>
      <c r="C390" s="7"/>
      <c r="D390" s="7">
        <f t="shared" si="6"/>
        <v>0</v>
      </c>
    </row>
    <row r="391" spans="1:4" ht="18.75" hidden="1" x14ac:dyDescent="0.25">
      <c r="A391" s="17" t="s">
        <v>55</v>
      </c>
      <c r="B391" s="7"/>
      <c r="C391" s="7"/>
      <c r="D391" s="7">
        <f t="shared" si="6"/>
        <v>0</v>
      </c>
    </row>
    <row r="392" spans="1:4" ht="18.75" hidden="1" x14ac:dyDescent="0.25">
      <c r="A392" s="17" t="s">
        <v>56</v>
      </c>
      <c r="B392" s="7"/>
      <c r="C392" s="7"/>
      <c r="D392" s="7">
        <f t="shared" si="6"/>
        <v>0</v>
      </c>
    </row>
    <row r="393" spans="1:4" ht="18.75" hidden="1" x14ac:dyDescent="0.25">
      <c r="A393" s="17" t="s">
        <v>57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58</v>
      </c>
      <c r="B394" s="7"/>
      <c r="C394" s="7"/>
      <c r="D394" s="7">
        <f t="shared" si="6"/>
        <v>0</v>
      </c>
    </row>
    <row r="395" spans="1:4" ht="18.75" hidden="1" x14ac:dyDescent="0.25">
      <c r="A395" s="11" t="s">
        <v>59</v>
      </c>
      <c r="B395" s="7"/>
      <c r="C395" s="7"/>
      <c r="D395" s="7">
        <f t="shared" si="6"/>
        <v>0</v>
      </c>
    </row>
    <row r="396" spans="1:4" ht="18.75" hidden="1" x14ac:dyDescent="0.25">
      <c r="A396" s="9" t="s">
        <v>60</v>
      </c>
      <c r="B396" s="7"/>
      <c r="C396" s="7"/>
      <c r="D396" s="7">
        <f t="shared" si="6"/>
        <v>0</v>
      </c>
    </row>
    <row r="397" spans="1:4" ht="18.75" hidden="1" x14ac:dyDescent="0.25">
      <c r="A397" s="9" t="s">
        <v>61</v>
      </c>
      <c r="B397" s="7"/>
      <c r="C397" s="7"/>
      <c r="D397" s="7">
        <f t="shared" si="6"/>
        <v>0</v>
      </c>
    </row>
    <row r="398" spans="1:4" ht="18.75" hidden="1" x14ac:dyDescent="0.25">
      <c r="A398" s="17" t="s">
        <v>62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63</v>
      </c>
      <c r="B399" s="7"/>
      <c r="C399" s="7"/>
      <c r="D399" s="7">
        <f t="shared" si="6"/>
        <v>0</v>
      </c>
    </row>
    <row r="400" spans="1:4" ht="18.75" hidden="1" x14ac:dyDescent="0.25">
      <c r="A400" s="19" t="s">
        <v>64</v>
      </c>
      <c r="B400" s="7"/>
      <c r="C400" s="7"/>
      <c r="D400" s="7">
        <f t="shared" si="6"/>
        <v>0</v>
      </c>
    </row>
    <row r="401" spans="1:4" ht="18.75" hidden="1" x14ac:dyDescent="0.25">
      <c r="A401" s="9" t="s">
        <v>65</v>
      </c>
      <c r="B401" s="7"/>
      <c r="C401" s="7"/>
      <c r="D401" s="7">
        <f t="shared" si="6"/>
        <v>0</v>
      </c>
    </row>
    <row r="402" spans="1:4" ht="18.75" hidden="1" x14ac:dyDescent="0.25">
      <c r="A402" s="9" t="s">
        <v>66</v>
      </c>
      <c r="B402" s="7"/>
      <c r="C402" s="7"/>
      <c r="D402" s="7">
        <f t="shared" si="6"/>
        <v>0</v>
      </c>
    </row>
    <row r="403" spans="1:4" ht="18.75" hidden="1" x14ac:dyDescent="0.25">
      <c r="A403" s="20" t="s">
        <v>67</v>
      </c>
      <c r="B403" s="7"/>
      <c r="C403" s="7"/>
      <c r="D403" s="7">
        <f t="shared" si="6"/>
        <v>0</v>
      </c>
    </row>
    <row r="404" spans="1:4" ht="18.75" hidden="1" x14ac:dyDescent="0.25">
      <c r="A404" s="42" t="s">
        <v>68</v>
      </c>
      <c r="B404" s="7"/>
      <c r="C404" s="7"/>
      <c r="D404" s="7">
        <f t="shared" si="6"/>
        <v>0</v>
      </c>
    </row>
    <row r="405" spans="1:4" ht="18.75" hidden="1" x14ac:dyDescent="0.25">
      <c r="A405" s="12" t="s">
        <v>69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70</v>
      </c>
      <c r="B406" s="7"/>
      <c r="C406" s="7"/>
      <c r="D406" s="7">
        <f t="shared" si="6"/>
        <v>0</v>
      </c>
    </row>
    <row r="407" spans="1:4" ht="18.75" hidden="1" x14ac:dyDescent="0.25">
      <c r="A407" s="12" t="s">
        <v>71</v>
      </c>
      <c r="B407" s="7"/>
      <c r="C407" s="7"/>
      <c r="D407" s="7">
        <f t="shared" si="6"/>
        <v>0</v>
      </c>
    </row>
    <row r="408" spans="1:4" ht="18.75" hidden="1" x14ac:dyDescent="0.25">
      <c r="A408" s="12" t="s">
        <v>72</v>
      </c>
      <c r="B408" s="7"/>
      <c r="C408" s="7"/>
      <c r="D408" s="7">
        <f t="shared" si="6"/>
        <v>0</v>
      </c>
    </row>
    <row r="409" spans="1:4" ht="18.75" hidden="1" x14ac:dyDescent="0.25">
      <c r="A409" s="12" t="s">
        <v>73</v>
      </c>
      <c r="B409" s="7"/>
      <c r="C409" s="7"/>
      <c r="D409" s="7">
        <f t="shared" si="6"/>
        <v>0</v>
      </c>
    </row>
    <row r="410" spans="1:4" ht="18.75" hidden="1" x14ac:dyDescent="0.25">
      <c r="A410" s="20" t="s">
        <v>74</v>
      </c>
      <c r="B410" s="7"/>
      <c r="C410" s="7"/>
      <c r="D410" s="7">
        <f t="shared" si="6"/>
        <v>0</v>
      </c>
    </row>
    <row r="411" spans="1:4" ht="18.75" hidden="1" x14ac:dyDescent="0.25">
      <c r="A411" s="9" t="s">
        <v>75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76</v>
      </c>
      <c r="B412" s="7"/>
      <c r="C412" s="7"/>
      <c r="D412" s="7">
        <f t="shared" si="6"/>
        <v>0</v>
      </c>
    </row>
    <row r="413" spans="1:4" ht="18.75" hidden="1" x14ac:dyDescent="0.25">
      <c r="A413" s="12" t="s">
        <v>341</v>
      </c>
      <c r="B413" s="7"/>
      <c r="C413" s="7"/>
      <c r="D413" s="7">
        <f t="shared" si="6"/>
        <v>0</v>
      </c>
    </row>
    <row r="414" spans="1:4" ht="18.75" x14ac:dyDescent="0.25">
      <c r="A414" s="9" t="s">
        <v>77</v>
      </c>
      <c r="B414" s="7">
        <v>100</v>
      </c>
      <c r="C414" s="7">
        <v>26000</v>
      </c>
      <c r="D414" s="7">
        <f t="shared" si="6"/>
        <v>2600000</v>
      </c>
    </row>
    <row r="415" spans="1:4" ht="18.75" hidden="1" x14ac:dyDescent="0.25">
      <c r="A415" s="13" t="s">
        <v>78</v>
      </c>
      <c r="B415" s="7"/>
      <c r="C415" s="7"/>
      <c r="D415" s="7">
        <f t="shared" si="6"/>
        <v>0</v>
      </c>
    </row>
    <row r="416" spans="1:4" ht="18.75" hidden="1" x14ac:dyDescent="0.25">
      <c r="A416" s="9" t="s">
        <v>79</v>
      </c>
      <c r="B416" s="7"/>
      <c r="C416" s="7"/>
      <c r="D416" s="7">
        <f t="shared" si="6"/>
        <v>0</v>
      </c>
    </row>
    <row r="417" spans="1:4" ht="18.75" hidden="1" x14ac:dyDescent="0.25">
      <c r="A417" s="9" t="s">
        <v>80</v>
      </c>
      <c r="B417" s="7"/>
      <c r="C417" s="7"/>
      <c r="D417" s="7">
        <f t="shared" si="6"/>
        <v>0</v>
      </c>
    </row>
    <row r="418" spans="1:4" ht="18.75" hidden="1" x14ac:dyDescent="0.25">
      <c r="A418" s="9" t="s">
        <v>81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82</v>
      </c>
      <c r="B419" s="16"/>
      <c r="C419" s="16"/>
      <c r="D419" s="7">
        <f t="shared" si="6"/>
        <v>0</v>
      </c>
    </row>
    <row r="420" spans="1:4" ht="18.75" hidden="1" x14ac:dyDescent="0.25">
      <c r="A420" s="12" t="s">
        <v>83</v>
      </c>
      <c r="B420" s="16"/>
      <c r="C420" s="16"/>
      <c r="D420" s="7">
        <f t="shared" si="6"/>
        <v>0</v>
      </c>
    </row>
    <row r="421" spans="1:4" ht="18.75" hidden="1" x14ac:dyDescent="0.25">
      <c r="A421" s="12" t="s">
        <v>84</v>
      </c>
      <c r="B421" s="16"/>
      <c r="C421" s="16"/>
      <c r="D421" s="7">
        <f t="shared" si="6"/>
        <v>0</v>
      </c>
    </row>
    <row r="422" spans="1:4" ht="18.75" hidden="1" x14ac:dyDescent="0.25">
      <c r="A422" s="9" t="s">
        <v>85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86</v>
      </c>
      <c r="B423" s="7"/>
      <c r="C423" s="7"/>
      <c r="D423" s="7">
        <f t="shared" si="6"/>
        <v>0</v>
      </c>
    </row>
    <row r="424" spans="1:4" ht="18.75" hidden="1" x14ac:dyDescent="0.25">
      <c r="A424" s="9" t="s">
        <v>87</v>
      </c>
      <c r="B424" s="7"/>
      <c r="C424" s="7"/>
      <c r="D424" s="7">
        <f t="shared" si="6"/>
        <v>0</v>
      </c>
    </row>
    <row r="425" spans="1:4" ht="18.75" hidden="1" x14ac:dyDescent="0.25">
      <c r="A425" s="9" t="s">
        <v>88</v>
      </c>
      <c r="B425" s="7"/>
      <c r="C425" s="7"/>
      <c r="D425" s="7">
        <f t="shared" si="6"/>
        <v>0</v>
      </c>
    </row>
    <row r="426" spans="1:4" ht="18.75" hidden="1" x14ac:dyDescent="0.25">
      <c r="A426" s="9" t="s">
        <v>89</v>
      </c>
      <c r="B426" s="7"/>
      <c r="C426" s="7"/>
      <c r="D426" s="7">
        <f t="shared" si="6"/>
        <v>0</v>
      </c>
    </row>
    <row r="427" spans="1:4" ht="18.75" x14ac:dyDescent="0.25">
      <c r="A427" s="9" t="s">
        <v>90</v>
      </c>
      <c r="B427" s="7">
        <v>15</v>
      </c>
      <c r="C427" s="7">
        <v>9000</v>
      </c>
      <c r="D427" s="7">
        <f t="shared" si="6"/>
        <v>135000</v>
      </c>
    </row>
    <row r="428" spans="1:4" ht="18.75" hidden="1" x14ac:dyDescent="0.25">
      <c r="A428" s="21" t="s">
        <v>91</v>
      </c>
      <c r="B428" s="7"/>
      <c r="C428" s="7"/>
      <c r="D428" s="7">
        <f t="shared" si="6"/>
        <v>0</v>
      </c>
    </row>
    <row r="429" spans="1:4" ht="18.75" hidden="1" x14ac:dyDescent="0.25">
      <c r="A429" s="21" t="s">
        <v>92</v>
      </c>
      <c r="B429" s="7"/>
      <c r="C429" s="7"/>
      <c r="D429" s="7">
        <f t="shared" si="6"/>
        <v>0</v>
      </c>
    </row>
    <row r="430" spans="1:4" ht="18.75" hidden="1" x14ac:dyDescent="0.25">
      <c r="A430" s="21" t="s">
        <v>93</v>
      </c>
      <c r="B430" s="7"/>
      <c r="C430" s="7"/>
      <c r="D430" s="7">
        <f t="shared" si="6"/>
        <v>0</v>
      </c>
    </row>
    <row r="431" spans="1:4" ht="18.75" hidden="1" x14ac:dyDescent="0.25">
      <c r="A431" s="11" t="s">
        <v>94</v>
      </c>
      <c r="B431" s="7"/>
      <c r="C431" s="7"/>
      <c r="D431" s="7">
        <f t="shared" si="6"/>
        <v>0</v>
      </c>
    </row>
    <row r="432" spans="1:4" ht="18.75" hidden="1" x14ac:dyDescent="0.25">
      <c r="A432" s="13" t="s">
        <v>95</v>
      </c>
      <c r="B432" s="7"/>
      <c r="C432" s="7"/>
      <c r="D432" s="7">
        <f t="shared" si="6"/>
        <v>0</v>
      </c>
    </row>
    <row r="433" spans="1:4" ht="18.75" hidden="1" x14ac:dyDescent="0.25">
      <c r="A433" s="11" t="s">
        <v>342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96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97</v>
      </c>
      <c r="B435" s="7"/>
      <c r="C435" s="7"/>
      <c r="D435" s="7">
        <f t="shared" si="6"/>
        <v>0</v>
      </c>
    </row>
    <row r="436" spans="1:4" ht="18.75" hidden="1" x14ac:dyDescent="0.25">
      <c r="A436" s="11" t="s">
        <v>343</v>
      </c>
      <c r="B436" s="7"/>
      <c r="C436" s="7"/>
      <c r="D436" s="7">
        <f t="shared" si="6"/>
        <v>0</v>
      </c>
    </row>
    <row r="437" spans="1:4" ht="18.75" hidden="1" x14ac:dyDescent="0.25">
      <c r="A437" s="11" t="s">
        <v>344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99</v>
      </c>
      <c r="B438" s="16"/>
      <c r="C438" s="16"/>
      <c r="D438" s="7">
        <f t="shared" si="6"/>
        <v>0</v>
      </c>
    </row>
    <row r="439" spans="1:4" ht="18.75" hidden="1" x14ac:dyDescent="0.25">
      <c r="A439" s="21" t="s">
        <v>101</v>
      </c>
      <c r="B439" s="7"/>
      <c r="C439" s="7"/>
      <c r="D439" s="7">
        <f t="shared" si="6"/>
        <v>0</v>
      </c>
    </row>
    <row r="440" spans="1:4" ht="18.75" hidden="1" x14ac:dyDescent="0.25">
      <c r="A440" s="11" t="s">
        <v>102</v>
      </c>
      <c r="B440" s="7"/>
      <c r="C440" s="7"/>
      <c r="D440" s="7">
        <f t="shared" si="6"/>
        <v>0</v>
      </c>
    </row>
    <row r="441" spans="1:4" ht="18.75" hidden="1" x14ac:dyDescent="0.25">
      <c r="A441" s="11" t="s">
        <v>345</v>
      </c>
      <c r="B441" s="7"/>
      <c r="C441" s="7"/>
      <c r="D441" s="7">
        <f t="shared" si="6"/>
        <v>0</v>
      </c>
    </row>
    <row r="442" spans="1:4" ht="18.75" hidden="1" x14ac:dyDescent="0.25">
      <c r="A442" s="9" t="s">
        <v>103</v>
      </c>
      <c r="B442" s="7"/>
      <c r="C442" s="7"/>
      <c r="D442" s="7">
        <f t="shared" si="6"/>
        <v>0</v>
      </c>
    </row>
    <row r="443" spans="1:4" ht="18.75" hidden="1" x14ac:dyDescent="0.25">
      <c r="A443" s="17" t="s">
        <v>104</v>
      </c>
      <c r="B443" s="7"/>
      <c r="C443" s="7"/>
      <c r="D443" s="7">
        <f t="shared" si="6"/>
        <v>0</v>
      </c>
    </row>
    <row r="444" spans="1:4" ht="18.75" hidden="1" x14ac:dyDescent="0.25">
      <c r="A444" s="24" t="s">
        <v>105</v>
      </c>
      <c r="B444" s="7"/>
      <c r="C444" s="7"/>
      <c r="D444" s="7">
        <f t="shared" si="6"/>
        <v>0</v>
      </c>
    </row>
    <row r="445" spans="1:4" ht="18.75" hidden="1" x14ac:dyDescent="0.25">
      <c r="A445" s="24" t="s">
        <v>106</v>
      </c>
      <c r="B445" s="7"/>
      <c r="C445" s="7"/>
      <c r="D445" s="7">
        <f t="shared" si="6"/>
        <v>0</v>
      </c>
    </row>
    <row r="446" spans="1:4" ht="18.75" hidden="1" x14ac:dyDescent="0.25">
      <c r="A446" s="23" t="s">
        <v>107</v>
      </c>
      <c r="B446" s="7"/>
      <c r="C446" s="7"/>
      <c r="D446" s="7">
        <f t="shared" si="6"/>
        <v>0</v>
      </c>
    </row>
    <row r="447" spans="1:4" ht="18.75" hidden="1" x14ac:dyDescent="0.25">
      <c r="A447" s="25" t="s">
        <v>108</v>
      </c>
      <c r="B447" s="7"/>
      <c r="C447" s="7"/>
      <c r="D447" s="7">
        <f t="shared" si="6"/>
        <v>0</v>
      </c>
    </row>
    <row r="448" spans="1:4" ht="18.75" hidden="1" x14ac:dyDescent="0.25">
      <c r="A448" s="9" t="s">
        <v>109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110</v>
      </c>
      <c r="B449" s="7"/>
      <c r="C449" s="7"/>
      <c r="D449" s="7">
        <f t="shared" si="6"/>
        <v>0</v>
      </c>
    </row>
    <row r="450" spans="1:4" ht="18.75" hidden="1" x14ac:dyDescent="0.25">
      <c r="A450" s="9" t="s">
        <v>111</v>
      </c>
      <c r="B450" s="7"/>
      <c r="C450" s="7"/>
      <c r="D450" s="7">
        <f t="shared" si="6"/>
        <v>0</v>
      </c>
    </row>
    <row r="451" spans="1:4" ht="18.75" hidden="1" x14ac:dyDescent="0.25">
      <c r="A451" s="9" t="s">
        <v>112</v>
      </c>
      <c r="B451" s="7"/>
      <c r="C451" s="7"/>
      <c r="D451" s="7">
        <f t="shared" si="6"/>
        <v>0</v>
      </c>
    </row>
    <row r="452" spans="1:4" ht="18.75" hidden="1" x14ac:dyDescent="0.25">
      <c r="A452" s="9" t="s">
        <v>114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115</v>
      </c>
      <c r="B453" s="7"/>
      <c r="C453" s="7"/>
      <c r="D453" s="7">
        <f t="shared" si="7"/>
        <v>0</v>
      </c>
    </row>
    <row r="454" spans="1:4" ht="18.75" hidden="1" x14ac:dyDescent="0.25">
      <c r="A454" s="9" t="s">
        <v>346</v>
      </c>
      <c r="B454" s="7"/>
      <c r="C454" s="7"/>
      <c r="D454" s="7">
        <f t="shared" si="7"/>
        <v>0</v>
      </c>
    </row>
    <row r="455" spans="1:4" ht="18.75" hidden="1" x14ac:dyDescent="0.25">
      <c r="A455" s="9" t="s">
        <v>116</v>
      </c>
      <c r="B455" s="7"/>
      <c r="C455" s="7"/>
      <c r="D455" s="7">
        <f t="shared" si="7"/>
        <v>0</v>
      </c>
    </row>
    <row r="456" spans="1:4" ht="18.75" hidden="1" x14ac:dyDescent="0.25">
      <c r="A456" s="11" t="s">
        <v>117</v>
      </c>
      <c r="B456" s="7"/>
      <c r="C456" s="7"/>
      <c r="D456" s="7">
        <f t="shared" si="7"/>
        <v>0</v>
      </c>
    </row>
    <row r="457" spans="1:4" ht="18.75" hidden="1" x14ac:dyDescent="0.25">
      <c r="A457" s="21" t="s">
        <v>118</v>
      </c>
      <c r="B457" s="7"/>
      <c r="C457" s="7"/>
      <c r="D457" s="7">
        <f t="shared" si="7"/>
        <v>0</v>
      </c>
    </row>
    <row r="458" spans="1:4" ht="18.75" hidden="1" x14ac:dyDescent="0.25">
      <c r="A458" s="9" t="s">
        <v>119</v>
      </c>
      <c r="B458" s="7"/>
      <c r="C458" s="7"/>
      <c r="D458" s="7">
        <f t="shared" si="7"/>
        <v>0</v>
      </c>
    </row>
    <row r="459" spans="1:4" ht="18.75" hidden="1" x14ac:dyDescent="0.25">
      <c r="A459" s="11" t="s">
        <v>120</v>
      </c>
      <c r="B459" s="7"/>
      <c r="C459" s="7"/>
      <c r="D459" s="7">
        <f t="shared" si="7"/>
        <v>0</v>
      </c>
    </row>
    <row r="460" spans="1:4" ht="18.75" hidden="1" x14ac:dyDescent="0.25">
      <c r="A460" s="11" t="s">
        <v>121</v>
      </c>
      <c r="B460" s="7"/>
      <c r="C460" s="7"/>
      <c r="D460" s="7">
        <f t="shared" si="7"/>
        <v>0</v>
      </c>
    </row>
    <row r="461" spans="1:4" ht="18.75" hidden="1" x14ac:dyDescent="0.25">
      <c r="A461" s="9" t="s">
        <v>122</v>
      </c>
      <c r="B461" s="7"/>
      <c r="C461" s="7"/>
      <c r="D461" s="7">
        <f t="shared" si="7"/>
        <v>0</v>
      </c>
    </row>
    <row r="462" spans="1:4" ht="18.75" hidden="1" x14ac:dyDescent="0.25">
      <c r="A462" s="10" t="s">
        <v>124</v>
      </c>
      <c r="B462" s="7"/>
      <c r="C462" s="7"/>
      <c r="D462" s="7">
        <f t="shared" si="7"/>
        <v>0</v>
      </c>
    </row>
    <row r="463" spans="1:4" ht="18.75" hidden="1" x14ac:dyDescent="0.25">
      <c r="A463" s="13" t="s">
        <v>125</v>
      </c>
      <c r="B463" s="7"/>
      <c r="C463" s="7"/>
      <c r="D463" s="7">
        <f t="shared" si="7"/>
        <v>0</v>
      </c>
    </row>
    <row r="464" spans="1:4" ht="18.75" hidden="1" x14ac:dyDescent="0.25">
      <c r="A464" s="12" t="s">
        <v>126</v>
      </c>
      <c r="B464" s="16"/>
      <c r="C464" s="16"/>
      <c r="D464" s="7">
        <f t="shared" si="7"/>
        <v>0</v>
      </c>
    </row>
    <row r="465" spans="1:4" ht="18.75" hidden="1" x14ac:dyDescent="0.25">
      <c r="A465" s="12" t="s">
        <v>127</v>
      </c>
      <c r="B465" s="16"/>
      <c r="C465" s="16"/>
      <c r="D465" s="7">
        <f t="shared" si="7"/>
        <v>0</v>
      </c>
    </row>
    <row r="466" spans="1:4" ht="18.75" hidden="1" x14ac:dyDescent="0.25">
      <c r="A466" s="12" t="s">
        <v>128</v>
      </c>
      <c r="B466" s="16"/>
      <c r="C466" s="16"/>
      <c r="D466" s="7">
        <f t="shared" si="7"/>
        <v>0</v>
      </c>
    </row>
    <row r="467" spans="1:4" ht="18.75" hidden="1" x14ac:dyDescent="0.25">
      <c r="A467" s="12" t="s">
        <v>129</v>
      </c>
      <c r="B467" s="27"/>
      <c r="C467" s="27"/>
      <c r="D467" s="7">
        <f t="shared" si="7"/>
        <v>0</v>
      </c>
    </row>
    <row r="468" spans="1:4" ht="18.75" hidden="1" x14ac:dyDescent="0.25">
      <c r="A468" s="28" t="s">
        <v>130</v>
      </c>
      <c r="B468" s="7"/>
      <c r="C468" s="7"/>
      <c r="D468" s="7">
        <f t="shared" si="7"/>
        <v>0</v>
      </c>
    </row>
    <row r="469" spans="1:4" ht="18.75" hidden="1" x14ac:dyDescent="0.25">
      <c r="A469" s="12" t="s">
        <v>131</v>
      </c>
      <c r="B469" s="16"/>
      <c r="C469" s="16"/>
      <c r="D469" s="7">
        <f t="shared" si="7"/>
        <v>0</v>
      </c>
    </row>
    <row r="470" spans="1:4" ht="18.75" hidden="1" x14ac:dyDescent="0.25">
      <c r="A470" s="9" t="s">
        <v>132</v>
      </c>
      <c r="B470" s="7"/>
      <c r="C470" s="7"/>
      <c r="D470" s="7">
        <f t="shared" si="7"/>
        <v>0</v>
      </c>
    </row>
    <row r="471" spans="1:4" ht="18.75" hidden="1" x14ac:dyDescent="0.25">
      <c r="A471" s="9" t="s">
        <v>133</v>
      </c>
      <c r="B471" s="7"/>
      <c r="C471" s="7"/>
      <c r="D471" s="7">
        <f t="shared" si="7"/>
        <v>0</v>
      </c>
    </row>
    <row r="472" spans="1:4" ht="18.75" hidden="1" x14ac:dyDescent="0.25">
      <c r="A472" s="9" t="s">
        <v>135</v>
      </c>
      <c r="B472" s="7"/>
      <c r="C472" s="7"/>
      <c r="D472" s="7">
        <f t="shared" si="7"/>
        <v>0</v>
      </c>
    </row>
    <row r="473" spans="1:4" ht="18.75" hidden="1" x14ac:dyDescent="0.25">
      <c r="A473" s="17" t="s">
        <v>136</v>
      </c>
      <c r="B473" s="7"/>
      <c r="C473" s="7"/>
      <c r="D473" s="7">
        <f t="shared" si="7"/>
        <v>0</v>
      </c>
    </row>
    <row r="474" spans="1:4" ht="18.75" hidden="1" x14ac:dyDescent="0.25">
      <c r="A474" s="12" t="s">
        <v>137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138</v>
      </c>
      <c r="B475" s="7"/>
      <c r="C475" s="7"/>
      <c r="D475" s="7">
        <f t="shared" si="7"/>
        <v>0</v>
      </c>
    </row>
    <row r="476" spans="1:4" ht="18.75" hidden="1" x14ac:dyDescent="0.25">
      <c r="A476" s="9" t="s">
        <v>139</v>
      </c>
      <c r="B476" s="7"/>
      <c r="C476" s="7"/>
      <c r="D476" s="7">
        <f t="shared" si="7"/>
        <v>0</v>
      </c>
    </row>
    <row r="477" spans="1:4" ht="18.75" hidden="1" x14ac:dyDescent="0.25">
      <c r="A477" s="9" t="s">
        <v>347</v>
      </c>
      <c r="B477" s="7"/>
      <c r="C477" s="7"/>
      <c r="D477" s="7">
        <f t="shared" si="7"/>
        <v>0</v>
      </c>
    </row>
    <row r="478" spans="1:4" ht="18.75" hidden="1" x14ac:dyDescent="0.25">
      <c r="A478" s="9" t="s">
        <v>141</v>
      </c>
      <c r="B478" s="16"/>
      <c r="C478" s="16"/>
      <c r="D478" s="7">
        <f t="shared" si="7"/>
        <v>0</v>
      </c>
    </row>
    <row r="479" spans="1:4" ht="18.75" hidden="1" x14ac:dyDescent="0.25">
      <c r="A479" s="9" t="s">
        <v>142</v>
      </c>
      <c r="B479" s="16"/>
      <c r="C479" s="16"/>
      <c r="D479" s="7">
        <f t="shared" si="7"/>
        <v>0</v>
      </c>
    </row>
    <row r="480" spans="1:4" ht="18.75" hidden="1" x14ac:dyDescent="0.25">
      <c r="A480" s="9" t="s">
        <v>143</v>
      </c>
      <c r="B480" s="7"/>
      <c r="C480" s="7"/>
      <c r="D480" s="7">
        <f t="shared" si="7"/>
        <v>0</v>
      </c>
    </row>
    <row r="481" spans="1:4" ht="18.75" hidden="1" x14ac:dyDescent="0.25">
      <c r="A481" s="9" t="s">
        <v>144</v>
      </c>
      <c r="B481" s="16"/>
      <c r="C481" s="16"/>
      <c r="D481" s="7">
        <f t="shared" si="7"/>
        <v>0</v>
      </c>
    </row>
    <row r="482" spans="1:4" ht="18.75" hidden="1" x14ac:dyDescent="0.25">
      <c r="A482" s="9" t="s">
        <v>145</v>
      </c>
      <c r="B482" s="16"/>
      <c r="C482" s="16"/>
      <c r="D482" s="7">
        <f t="shared" si="7"/>
        <v>0</v>
      </c>
    </row>
    <row r="483" spans="1:4" ht="18.75" hidden="1" x14ac:dyDescent="0.25">
      <c r="A483" s="9" t="s">
        <v>146</v>
      </c>
      <c r="B483" s="16"/>
      <c r="C483" s="16"/>
      <c r="D483" s="7">
        <f t="shared" si="7"/>
        <v>0</v>
      </c>
    </row>
    <row r="484" spans="1:4" ht="18.75" hidden="1" x14ac:dyDescent="0.25">
      <c r="A484" s="9" t="s">
        <v>147</v>
      </c>
      <c r="B484" s="16"/>
      <c r="C484" s="16"/>
      <c r="D484" s="7">
        <f t="shared" si="7"/>
        <v>0</v>
      </c>
    </row>
    <row r="485" spans="1:4" ht="18.75" hidden="1" x14ac:dyDescent="0.25">
      <c r="A485" s="9" t="s">
        <v>148</v>
      </c>
      <c r="B485" s="16"/>
      <c r="C485" s="16"/>
      <c r="D485" s="7">
        <f t="shared" si="7"/>
        <v>0</v>
      </c>
    </row>
    <row r="486" spans="1:4" ht="18.75" hidden="1" x14ac:dyDescent="0.25">
      <c r="A486" s="9" t="s">
        <v>149</v>
      </c>
      <c r="B486" s="16"/>
      <c r="C486" s="16"/>
      <c r="D486" s="7">
        <f t="shared" si="7"/>
        <v>0</v>
      </c>
    </row>
    <row r="487" spans="1:4" ht="18.75" hidden="1" x14ac:dyDescent="0.25">
      <c r="A487" s="9" t="s">
        <v>150</v>
      </c>
      <c r="B487" s="16"/>
      <c r="C487" s="16"/>
      <c r="D487" s="7">
        <f t="shared" si="7"/>
        <v>0</v>
      </c>
    </row>
    <row r="488" spans="1:4" ht="18.75" hidden="1" x14ac:dyDescent="0.25">
      <c r="A488" s="9" t="s">
        <v>151</v>
      </c>
      <c r="B488" s="16"/>
      <c r="C488" s="16"/>
      <c r="D488" s="7">
        <f t="shared" si="7"/>
        <v>0</v>
      </c>
    </row>
    <row r="489" spans="1:4" ht="18.75" hidden="1" x14ac:dyDescent="0.25">
      <c r="A489" s="9" t="s">
        <v>152</v>
      </c>
      <c r="B489" s="7"/>
      <c r="C489" s="7"/>
      <c r="D489" s="7">
        <f t="shared" si="7"/>
        <v>0</v>
      </c>
    </row>
    <row r="490" spans="1:4" ht="18.75" hidden="1" x14ac:dyDescent="0.25">
      <c r="A490" s="9" t="s">
        <v>348</v>
      </c>
      <c r="B490" s="7"/>
      <c r="C490" s="7"/>
      <c r="D490" s="7">
        <f t="shared" si="7"/>
        <v>0</v>
      </c>
    </row>
    <row r="491" spans="1:4" ht="18.75" hidden="1" x14ac:dyDescent="0.25">
      <c r="A491" s="9" t="s">
        <v>153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154</v>
      </c>
      <c r="B492" s="7"/>
      <c r="C492" s="7"/>
      <c r="D492" s="7">
        <f t="shared" si="7"/>
        <v>0</v>
      </c>
    </row>
    <row r="493" spans="1:4" ht="18.75" hidden="1" x14ac:dyDescent="0.25">
      <c r="A493" s="9" t="s">
        <v>155</v>
      </c>
      <c r="B493" s="7"/>
      <c r="C493" s="7"/>
      <c r="D493" s="7">
        <f t="shared" si="7"/>
        <v>0</v>
      </c>
    </row>
    <row r="494" spans="1:4" ht="18.75" hidden="1" x14ac:dyDescent="0.25">
      <c r="A494" s="17" t="s">
        <v>156</v>
      </c>
      <c r="B494" s="7"/>
      <c r="C494" s="7"/>
      <c r="D494" s="7">
        <f t="shared" si="7"/>
        <v>0</v>
      </c>
    </row>
    <row r="495" spans="1:4" ht="18.75" hidden="1" x14ac:dyDescent="0.25">
      <c r="A495" s="9" t="s">
        <v>157</v>
      </c>
      <c r="B495" s="7"/>
      <c r="C495" s="7"/>
      <c r="D495" s="7">
        <f t="shared" si="7"/>
        <v>0</v>
      </c>
    </row>
    <row r="496" spans="1:4" ht="18.75" hidden="1" x14ac:dyDescent="0.25">
      <c r="A496" s="9" t="s">
        <v>158</v>
      </c>
      <c r="B496" s="7"/>
      <c r="C496" s="7"/>
      <c r="D496" s="7">
        <f t="shared" si="7"/>
        <v>0</v>
      </c>
    </row>
    <row r="497" spans="1:4" ht="18.75" x14ac:dyDescent="0.25">
      <c r="A497" s="9" t="s">
        <v>159</v>
      </c>
      <c r="B497" s="7">
        <v>7</v>
      </c>
      <c r="C497" s="7">
        <v>8000</v>
      </c>
      <c r="D497" s="7">
        <f t="shared" si="7"/>
        <v>56000</v>
      </c>
    </row>
    <row r="498" spans="1:4" ht="18.75" hidden="1" x14ac:dyDescent="0.25">
      <c r="A498" s="9" t="s">
        <v>160</v>
      </c>
      <c r="B498" s="7"/>
      <c r="C498" s="7"/>
      <c r="D498" s="7">
        <f t="shared" si="7"/>
        <v>0</v>
      </c>
    </row>
    <row r="499" spans="1:4" ht="18.75" hidden="1" x14ac:dyDescent="0.25">
      <c r="A499" s="9" t="s">
        <v>161</v>
      </c>
      <c r="B499" s="16"/>
      <c r="C499" s="16"/>
      <c r="D499" s="7">
        <f t="shared" si="7"/>
        <v>0</v>
      </c>
    </row>
    <row r="500" spans="1:4" ht="18.75" hidden="1" x14ac:dyDescent="0.25">
      <c r="A500" s="18" t="s">
        <v>162</v>
      </c>
      <c r="B500" s="16"/>
      <c r="C500" s="16"/>
      <c r="D500" s="7">
        <f t="shared" si="7"/>
        <v>0</v>
      </c>
    </row>
    <row r="501" spans="1:4" ht="18.75" hidden="1" x14ac:dyDescent="0.25">
      <c r="A501" s="9" t="s">
        <v>163</v>
      </c>
      <c r="B501" s="16"/>
      <c r="C501" s="16"/>
      <c r="D501" s="7">
        <f t="shared" si="7"/>
        <v>0</v>
      </c>
    </row>
    <row r="502" spans="1:4" ht="18.75" hidden="1" x14ac:dyDescent="0.25">
      <c r="A502" s="9" t="s">
        <v>165</v>
      </c>
      <c r="B502" s="7"/>
      <c r="C502" s="7"/>
      <c r="D502" s="7">
        <f t="shared" si="7"/>
        <v>0</v>
      </c>
    </row>
    <row r="503" spans="1:4" ht="18.75" hidden="1" x14ac:dyDescent="0.25">
      <c r="A503" s="17" t="s">
        <v>166</v>
      </c>
      <c r="B503" s="7"/>
      <c r="C503" s="7"/>
      <c r="D503" s="7">
        <f t="shared" si="7"/>
        <v>0</v>
      </c>
    </row>
    <row r="504" spans="1:4" ht="18.75" hidden="1" x14ac:dyDescent="0.25">
      <c r="A504" s="9" t="s">
        <v>349</v>
      </c>
      <c r="B504" s="7"/>
      <c r="C504" s="7"/>
      <c r="D504" s="7">
        <f t="shared" si="7"/>
        <v>0</v>
      </c>
    </row>
    <row r="505" spans="1:4" ht="18.75" hidden="1" x14ac:dyDescent="0.25">
      <c r="A505" s="12" t="s">
        <v>167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168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170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171</v>
      </c>
      <c r="B508" s="7"/>
      <c r="C508" s="7"/>
      <c r="D508" s="7">
        <f t="shared" si="7"/>
        <v>0</v>
      </c>
    </row>
    <row r="509" spans="1:4" ht="18.75" hidden="1" x14ac:dyDescent="0.25">
      <c r="A509" s="20" t="s">
        <v>172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173</v>
      </c>
      <c r="B510" s="7"/>
      <c r="C510" s="7"/>
      <c r="D510" s="7">
        <f t="shared" si="7"/>
        <v>0</v>
      </c>
    </row>
    <row r="511" spans="1:4" ht="18.75" hidden="1" x14ac:dyDescent="0.25">
      <c r="A511" s="31" t="s">
        <v>174</v>
      </c>
      <c r="B511" s="33"/>
      <c r="C511" s="33"/>
      <c r="D511" s="7">
        <f t="shared" si="7"/>
        <v>0</v>
      </c>
    </row>
    <row r="512" spans="1:4" ht="18.75" hidden="1" x14ac:dyDescent="0.25">
      <c r="A512" s="11" t="s">
        <v>175</v>
      </c>
      <c r="B512" s="7"/>
      <c r="C512" s="7"/>
      <c r="D512" s="7">
        <f t="shared" si="7"/>
        <v>0</v>
      </c>
    </row>
    <row r="513" spans="1:4" ht="18.75" hidden="1" x14ac:dyDescent="0.25">
      <c r="A513" s="9" t="s">
        <v>176</v>
      </c>
      <c r="B513" s="7"/>
      <c r="C513" s="7"/>
      <c r="D513" s="7">
        <f t="shared" si="7"/>
        <v>0</v>
      </c>
    </row>
    <row r="514" spans="1:4" ht="18.75" hidden="1" x14ac:dyDescent="0.25">
      <c r="A514" s="9" t="s">
        <v>350</v>
      </c>
      <c r="B514" s="7"/>
      <c r="C514" s="7"/>
      <c r="D514" s="7">
        <f t="shared" si="7"/>
        <v>0</v>
      </c>
    </row>
    <row r="515" spans="1:4" ht="18.75" hidden="1" x14ac:dyDescent="0.25">
      <c r="A515" s="12" t="s">
        <v>178</v>
      </c>
      <c r="B515" s="7"/>
      <c r="C515" s="7"/>
      <c r="D515" s="7">
        <f t="shared" si="7"/>
        <v>0</v>
      </c>
    </row>
    <row r="516" spans="1:4" ht="18.75" hidden="1" x14ac:dyDescent="0.25">
      <c r="A516" s="9" t="s">
        <v>179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180</v>
      </c>
      <c r="B517" s="7"/>
      <c r="C517" s="7"/>
      <c r="D517" s="7">
        <f t="shared" si="8"/>
        <v>0</v>
      </c>
    </row>
    <row r="518" spans="1:4" ht="18.75" hidden="1" x14ac:dyDescent="0.25">
      <c r="A518" s="12" t="s">
        <v>181</v>
      </c>
      <c r="B518" s="7"/>
      <c r="C518" s="7"/>
      <c r="D518" s="7">
        <f t="shared" si="8"/>
        <v>0</v>
      </c>
    </row>
    <row r="519" spans="1:4" ht="18.75" hidden="1" x14ac:dyDescent="0.25">
      <c r="A519" s="12" t="s">
        <v>182</v>
      </c>
      <c r="B519" s="7"/>
      <c r="C519" s="7"/>
      <c r="D519" s="7">
        <f t="shared" si="8"/>
        <v>0</v>
      </c>
    </row>
    <row r="520" spans="1:4" ht="18.75" x14ac:dyDescent="0.25">
      <c r="A520" s="12" t="s">
        <v>183</v>
      </c>
      <c r="B520" s="7">
        <f>190+25</f>
        <v>215</v>
      </c>
      <c r="C520" s="7">
        <v>9000</v>
      </c>
      <c r="D520" s="7">
        <f t="shared" si="8"/>
        <v>1935000</v>
      </c>
    </row>
    <row r="521" spans="1:4" ht="18.75" hidden="1" x14ac:dyDescent="0.25">
      <c r="A521" s="9" t="s">
        <v>184</v>
      </c>
      <c r="B521" s="7"/>
      <c r="C521" s="7"/>
      <c r="D521" s="7">
        <f t="shared" si="8"/>
        <v>0</v>
      </c>
    </row>
    <row r="522" spans="1:4" ht="18.75" hidden="1" x14ac:dyDescent="0.25">
      <c r="A522" s="12" t="s">
        <v>186</v>
      </c>
      <c r="B522" s="7"/>
      <c r="C522" s="7"/>
      <c r="D522" s="7">
        <f t="shared" si="8"/>
        <v>0</v>
      </c>
    </row>
    <row r="523" spans="1:4" ht="18.75" hidden="1" x14ac:dyDescent="0.25">
      <c r="A523" s="12" t="s">
        <v>187</v>
      </c>
      <c r="B523" s="7"/>
      <c r="C523" s="7"/>
      <c r="D523" s="7">
        <f t="shared" si="8"/>
        <v>0</v>
      </c>
    </row>
    <row r="524" spans="1:4" ht="18.75" hidden="1" x14ac:dyDescent="0.25">
      <c r="A524" s="12" t="s">
        <v>188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351</v>
      </c>
      <c r="B525" s="7"/>
      <c r="C525" s="7"/>
      <c r="D525" s="7">
        <f t="shared" si="8"/>
        <v>0</v>
      </c>
    </row>
    <row r="526" spans="1:4" ht="18.75" hidden="1" x14ac:dyDescent="0.25">
      <c r="A526" s="17" t="s">
        <v>189</v>
      </c>
      <c r="B526" s="7"/>
      <c r="C526" s="7"/>
      <c r="D526" s="7">
        <f t="shared" si="8"/>
        <v>0</v>
      </c>
    </row>
    <row r="527" spans="1:4" ht="18.75" hidden="1" x14ac:dyDescent="0.25">
      <c r="A527" s="17" t="s">
        <v>190</v>
      </c>
      <c r="B527" s="7"/>
      <c r="C527" s="7"/>
      <c r="D527" s="7">
        <f t="shared" si="8"/>
        <v>0</v>
      </c>
    </row>
    <row r="528" spans="1:4" ht="18.75" hidden="1" x14ac:dyDescent="0.25">
      <c r="A528" s="17" t="s">
        <v>191</v>
      </c>
      <c r="B528" s="7"/>
      <c r="C528" s="7"/>
      <c r="D528" s="7">
        <f t="shared" si="8"/>
        <v>0</v>
      </c>
    </row>
    <row r="529" spans="1:4" ht="18.75" hidden="1" x14ac:dyDescent="0.25">
      <c r="A529" s="17" t="s">
        <v>192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193</v>
      </c>
      <c r="B530" s="7"/>
      <c r="C530" s="7"/>
      <c r="D530" s="7">
        <f t="shared" si="8"/>
        <v>0</v>
      </c>
    </row>
    <row r="531" spans="1:4" ht="18.75" hidden="1" x14ac:dyDescent="0.25">
      <c r="A531" s="9" t="s">
        <v>194</v>
      </c>
      <c r="B531" s="7"/>
      <c r="C531" s="7"/>
      <c r="D531" s="7">
        <f t="shared" si="8"/>
        <v>0</v>
      </c>
    </row>
    <row r="532" spans="1:4" ht="18.75" hidden="1" x14ac:dyDescent="0.25">
      <c r="A532" s="34" t="s">
        <v>195</v>
      </c>
      <c r="B532" s="7"/>
      <c r="C532" s="7"/>
      <c r="D532" s="7">
        <f t="shared" si="8"/>
        <v>0</v>
      </c>
    </row>
    <row r="533" spans="1:4" ht="18.75" hidden="1" x14ac:dyDescent="0.25">
      <c r="A533" s="34" t="s">
        <v>196</v>
      </c>
      <c r="B533" s="7"/>
      <c r="C533" s="7"/>
      <c r="D533" s="7">
        <f t="shared" si="8"/>
        <v>0</v>
      </c>
    </row>
    <row r="534" spans="1:4" ht="18.75" hidden="1" x14ac:dyDescent="0.25">
      <c r="A534" s="34" t="s">
        <v>197</v>
      </c>
      <c r="B534" s="7"/>
      <c r="C534" s="7"/>
      <c r="D534" s="7">
        <f t="shared" si="8"/>
        <v>0</v>
      </c>
    </row>
    <row r="535" spans="1:4" ht="18.75" hidden="1" x14ac:dyDescent="0.25">
      <c r="A535" s="34" t="s">
        <v>198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199</v>
      </c>
      <c r="B536" s="7"/>
      <c r="C536" s="7"/>
      <c r="D536" s="7">
        <f t="shared" si="8"/>
        <v>0</v>
      </c>
    </row>
    <row r="537" spans="1:4" ht="18.75" hidden="1" x14ac:dyDescent="0.25">
      <c r="A537" s="35" t="s">
        <v>352</v>
      </c>
      <c r="B537" s="7"/>
      <c r="C537" s="7"/>
      <c r="D537" s="7">
        <f t="shared" si="8"/>
        <v>0</v>
      </c>
    </row>
    <row r="538" spans="1:4" ht="18.75" hidden="1" x14ac:dyDescent="0.25">
      <c r="A538" s="9" t="s">
        <v>201</v>
      </c>
      <c r="B538" s="7"/>
      <c r="C538" s="7"/>
      <c r="D538" s="7">
        <f t="shared" si="8"/>
        <v>0</v>
      </c>
    </row>
    <row r="539" spans="1:4" ht="18.75" hidden="1" x14ac:dyDescent="0.25">
      <c r="A539" s="12" t="s">
        <v>202</v>
      </c>
      <c r="B539" s="7"/>
      <c r="C539" s="7"/>
      <c r="D539" s="7">
        <f t="shared" si="8"/>
        <v>0</v>
      </c>
    </row>
    <row r="540" spans="1:4" ht="18.75" hidden="1" x14ac:dyDescent="0.25">
      <c r="A540" s="9" t="s">
        <v>353</v>
      </c>
      <c r="B540" s="7"/>
      <c r="C540" s="7"/>
      <c r="D540" s="7">
        <f t="shared" si="8"/>
        <v>0</v>
      </c>
    </row>
    <row r="541" spans="1:4" ht="18.75" hidden="1" x14ac:dyDescent="0.25">
      <c r="A541" s="9" t="s">
        <v>203</v>
      </c>
      <c r="B541" s="7"/>
      <c r="C541" s="7"/>
      <c r="D541" s="7">
        <f t="shared" si="8"/>
        <v>0</v>
      </c>
    </row>
    <row r="542" spans="1:4" ht="18.75" x14ac:dyDescent="0.25">
      <c r="A542" s="9" t="s">
        <v>204</v>
      </c>
      <c r="B542" s="7">
        <v>400</v>
      </c>
      <c r="C542" s="7">
        <v>20000</v>
      </c>
      <c r="D542" s="7">
        <f t="shared" si="8"/>
        <v>8000000</v>
      </c>
    </row>
    <row r="543" spans="1:4" ht="18.75" hidden="1" x14ac:dyDescent="0.25">
      <c r="A543" s="36" t="s">
        <v>205</v>
      </c>
      <c r="B543" s="7"/>
      <c r="C543" s="7"/>
      <c r="D543" s="7">
        <f t="shared" si="8"/>
        <v>0</v>
      </c>
    </row>
    <row r="544" spans="1:4" ht="18.75" hidden="1" x14ac:dyDescent="0.25">
      <c r="A544" s="36" t="s">
        <v>206</v>
      </c>
      <c r="B544" s="7"/>
      <c r="C544" s="7"/>
      <c r="D544" s="7">
        <f t="shared" si="8"/>
        <v>0</v>
      </c>
    </row>
    <row r="545" spans="1:4" ht="18.75" hidden="1" x14ac:dyDescent="0.25">
      <c r="A545" s="9" t="s">
        <v>207</v>
      </c>
      <c r="B545" s="7"/>
      <c r="C545" s="7"/>
      <c r="D545" s="7">
        <f t="shared" si="8"/>
        <v>0</v>
      </c>
    </row>
    <row r="546" spans="1:4" ht="18.75" hidden="1" x14ac:dyDescent="0.25">
      <c r="A546" s="11" t="s">
        <v>208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209</v>
      </c>
      <c r="B547" s="7"/>
      <c r="C547" s="7"/>
      <c r="D547" s="7">
        <f t="shared" si="8"/>
        <v>0</v>
      </c>
    </row>
    <row r="548" spans="1:4" ht="18.75" hidden="1" x14ac:dyDescent="0.25">
      <c r="A548" s="11" t="s">
        <v>354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210</v>
      </c>
      <c r="B549" s="7"/>
      <c r="C549" s="7"/>
      <c r="D549" s="7">
        <f t="shared" si="8"/>
        <v>0</v>
      </c>
    </row>
    <row r="550" spans="1:4" ht="18.75" hidden="1" x14ac:dyDescent="0.25">
      <c r="A550" s="9" t="s">
        <v>211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355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356</v>
      </c>
      <c r="B552" s="7"/>
      <c r="C552" s="7"/>
      <c r="D552" s="7">
        <f t="shared" si="8"/>
        <v>0</v>
      </c>
    </row>
    <row r="553" spans="1:4" ht="18.75" hidden="1" x14ac:dyDescent="0.25">
      <c r="A553" s="9" t="s">
        <v>212</v>
      </c>
      <c r="B553" s="7"/>
      <c r="C553" s="7"/>
      <c r="D553" s="7">
        <f t="shared" si="8"/>
        <v>0</v>
      </c>
    </row>
    <row r="554" spans="1:4" ht="18.75" hidden="1" x14ac:dyDescent="0.25">
      <c r="A554" s="37" t="s">
        <v>213</v>
      </c>
      <c r="B554" s="7"/>
      <c r="C554" s="7"/>
      <c r="D554" s="7">
        <f t="shared" si="8"/>
        <v>0</v>
      </c>
    </row>
    <row r="555" spans="1:4" ht="18.75" hidden="1" x14ac:dyDescent="0.25">
      <c r="A555" s="9" t="s">
        <v>214</v>
      </c>
      <c r="B555" s="7"/>
      <c r="C555" s="7"/>
      <c r="D555" s="7">
        <f t="shared" si="8"/>
        <v>0</v>
      </c>
    </row>
    <row r="556" spans="1:4" ht="18.75" x14ac:dyDescent="0.25">
      <c r="A556" s="9" t="s">
        <v>215</v>
      </c>
      <c r="B556" s="7">
        <v>300</v>
      </c>
      <c r="C556" s="7">
        <v>15500</v>
      </c>
      <c r="D556" s="7">
        <f t="shared" si="8"/>
        <v>4650000</v>
      </c>
    </row>
    <row r="557" spans="1:4" ht="18.75" hidden="1" x14ac:dyDescent="0.25">
      <c r="A557" s="9" t="s">
        <v>216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357</v>
      </c>
      <c r="B558" s="7"/>
      <c r="C558" s="7"/>
      <c r="D558" s="7">
        <f t="shared" si="8"/>
        <v>0</v>
      </c>
    </row>
    <row r="559" spans="1:4" ht="18.75" hidden="1" x14ac:dyDescent="0.25">
      <c r="A559" s="9" t="s">
        <v>217</v>
      </c>
      <c r="B559" s="7"/>
      <c r="C559" s="7"/>
      <c r="D559" s="7">
        <f t="shared" si="8"/>
        <v>0</v>
      </c>
    </row>
    <row r="560" spans="1:4" ht="18.75" hidden="1" x14ac:dyDescent="0.25">
      <c r="A560" s="17" t="s">
        <v>218</v>
      </c>
      <c r="B560" s="7"/>
      <c r="C560" s="7"/>
      <c r="D560" s="7">
        <f t="shared" si="8"/>
        <v>0</v>
      </c>
    </row>
    <row r="561" spans="1:4" ht="18.75" hidden="1" x14ac:dyDescent="0.25">
      <c r="A561" s="17" t="s">
        <v>219</v>
      </c>
      <c r="B561" s="7"/>
      <c r="C561" s="7"/>
      <c r="D561" s="7">
        <f t="shared" si="8"/>
        <v>0</v>
      </c>
    </row>
    <row r="562" spans="1:4" ht="18.75" hidden="1" x14ac:dyDescent="0.25">
      <c r="A562" s="17" t="s">
        <v>220</v>
      </c>
      <c r="B562" s="7"/>
      <c r="C562" s="7"/>
      <c r="D562" s="7">
        <f t="shared" si="8"/>
        <v>0</v>
      </c>
    </row>
    <row r="563" spans="1:4" ht="18.75" hidden="1" x14ac:dyDescent="0.25">
      <c r="A563" s="17" t="s">
        <v>221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222</v>
      </c>
      <c r="B564" s="7"/>
      <c r="C564" s="7"/>
      <c r="D564" s="7">
        <f t="shared" si="8"/>
        <v>0</v>
      </c>
    </row>
    <row r="565" spans="1:4" ht="18.75" hidden="1" x14ac:dyDescent="0.25">
      <c r="A565" s="9" t="s">
        <v>223</v>
      </c>
      <c r="B565" s="7"/>
      <c r="C565" s="7"/>
      <c r="D565" s="7">
        <f t="shared" si="8"/>
        <v>0</v>
      </c>
    </row>
    <row r="566" spans="1:4" ht="18.75" hidden="1" x14ac:dyDescent="0.25">
      <c r="A566" s="17" t="s">
        <v>224</v>
      </c>
      <c r="B566" s="7"/>
      <c r="C566" s="7"/>
      <c r="D566" s="7">
        <f t="shared" si="8"/>
        <v>0</v>
      </c>
    </row>
    <row r="567" spans="1:4" ht="18.75" hidden="1" x14ac:dyDescent="0.25">
      <c r="A567" s="17" t="s">
        <v>225</v>
      </c>
      <c r="B567" s="7"/>
      <c r="C567" s="7"/>
      <c r="D567" s="7">
        <f t="shared" si="8"/>
        <v>0</v>
      </c>
    </row>
    <row r="568" spans="1:4" ht="18.75" hidden="1" x14ac:dyDescent="0.25">
      <c r="A568" s="11" t="s">
        <v>226</v>
      </c>
      <c r="B568" s="7"/>
      <c r="C568" s="7"/>
      <c r="D568" s="7">
        <f t="shared" si="8"/>
        <v>0</v>
      </c>
    </row>
    <row r="569" spans="1:4" ht="18.75" hidden="1" x14ac:dyDescent="0.25">
      <c r="A569" s="12" t="s">
        <v>227</v>
      </c>
      <c r="B569" s="7"/>
      <c r="C569" s="7"/>
      <c r="D569" s="7">
        <f t="shared" si="8"/>
        <v>0</v>
      </c>
    </row>
    <row r="570" spans="1:4" ht="18.75" hidden="1" x14ac:dyDescent="0.25">
      <c r="A570" s="21" t="s">
        <v>358</v>
      </c>
      <c r="B570" s="7"/>
      <c r="C570" s="7"/>
      <c r="D570" s="7">
        <f t="shared" si="8"/>
        <v>0</v>
      </c>
    </row>
    <row r="571" spans="1:4" ht="18.75" hidden="1" x14ac:dyDescent="0.25">
      <c r="A571" s="21" t="s">
        <v>359</v>
      </c>
      <c r="B571" s="7"/>
      <c r="C571" s="7"/>
      <c r="D571" s="7">
        <f t="shared" si="8"/>
        <v>0</v>
      </c>
    </row>
    <row r="572" spans="1:4" ht="18.75" hidden="1" x14ac:dyDescent="0.25">
      <c r="A572" s="11" t="s">
        <v>232</v>
      </c>
      <c r="B572" s="7"/>
      <c r="C572" s="7"/>
      <c r="D572" s="7">
        <f t="shared" si="8"/>
        <v>0</v>
      </c>
    </row>
    <row r="573" spans="1:4" ht="18.75" hidden="1" x14ac:dyDescent="0.25">
      <c r="A573" s="9" t="s">
        <v>237</v>
      </c>
      <c r="B573" s="7"/>
      <c r="C573" s="7"/>
      <c r="D573" s="7">
        <f t="shared" si="8"/>
        <v>0</v>
      </c>
    </row>
    <row r="574" spans="1:4" ht="18.75" hidden="1" x14ac:dyDescent="0.25">
      <c r="A574" s="9" t="s">
        <v>238</v>
      </c>
      <c r="B574" s="7"/>
      <c r="C574" s="7"/>
      <c r="D574" s="7">
        <f t="shared" si="8"/>
        <v>0</v>
      </c>
    </row>
    <row r="575" spans="1:4" ht="18.75" hidden="1" x14ac:dyDescent="0.25">
      <c r="A575" s="13" t="s">
        <v>239</v>
      </c>
      <c r="B575" s="7"/>
      <c r="C575" s="7"/>
      <c r="D575" s="7">
        <f t="shared" si="8"/>
        <v>0</v>
      </c>
    </row>
    <row r="576" spans="1:4" ht="18.75" hidden="1" x14ac:dyDescent="0.25">
      <c r="A576" s="13" t="s">
        <v>240</v>
      </c>
      <c r="B576" s="7"/>
      <c r="C576" s="7"/>
      <c r="D576" s="7">
        <f t="shared" si="8"/>
        <v>0</v>
      </c>
    </row>
    <row r="577" spans="1:4" ht="18.75" hidden="1" x14ac:dyDescent="0.25">
      <c r="A577" s="34" t="s">
        <v>241</v>
      </c>
      <c r="B577" s="7"/>
      <c r="C577" s="7"/>
      <c r="D577" s="7">
        <f t="shared" si="8"/>
        <v>0</v>
      </c>
    </row>
    <row r="578" spans="1:4" ht="18.75" hidden="1" x14ac:dyDescent="0.25">
      <c r="A578" s="9" t="s">
        <v>242</v>
      </c>
      <c r="B578" s="7"/>
      <c r="C578" s="7"/>
      <c r="D578" s="7">
        <f t="shared" si="8"/>
        <v>0</v>
      </c>
    </row>
    <row r="579" spans="1:4" ht="18.75" hidden="1" x14ac:dyDescent="0.25">
      <c r="A579" s="9" t="s">
        <v>243</v>
      </c>
      <c r="B579" s="7"/>
      <c r="C579" s="7"/>
      <c r="D579" s="7">
        <f t="shared" si="8"/>
        <v>0</v>
      </c>
    </row>
    <row r="580" spans="1:4" ht="18.75" hidden="1" x14ac:dyDescent="0.25">
      <c r="A580" s="9" t="s">
        <v>244</v>
      </c>
      <c r="B580" s="16"/>
      <c r="C580" s="16"/>
      <c r="D580" s="7">
        <f t="shared" ref="D580:D643" si="9">B580*C580</f>
        <v>0</v>
      </c>
    </row>
    <row r="581" spans="1:4" ht="18.75" hidden="1" x14ac:dyDescent="0.25">
      <c r="A581" s="34" t="s">
        <v>245</v>
      </c>
      <c r="B581" s="7"/>
      <c r="C581" s="7"/>
      <c r="D581" s="7">
        <f t="shared" si="9"/>
        <v>0</v>
      </c>
    </row>
    <row r="582" spans="1:4" ht="18.75" hidden="1" x14ac:dyDescent="0.25">
      <c r="A582" s="9" t="s">
        <v>246</v>
      </c>
      <c r="B582" s="16"/>
      <c r="C582" s="16"/>
      <c r="D582" s="7">
        <f t="shared" si="9"/>
        <v>0</v>
      </c>
    </row>
    <row r="583" spans="1:4" ht="18.75" hidden="1" x14ac:dyDescent="0.25">
      <c r="A583" s="9" t="s">
        <v>247</v>
      </c>
      <c r="B583" s="7"/>
      <c r="C583" s="7"/>
      <c r="D583" s="7">
        <f t="shared" si="9"/>
        <v>0</v>
      </c>
    </row>
    <row r="584" spans="1:4" ht="18.75" hidden="1" x14ac:dyDescent="0.25">
      <c r="A584" s="11" t="s">
        <v>249</v>
      </c>
      <c r="B584" s="7"/>
      <c r="C584" s="7"/>
      <c r="D584" s="7">
        <f t="shared" si="9"/>
        <v>0</v>
      </c>
    </row>
    <row r="585" spans="1:4" ht="18.75" x14ac:dyDescent="0.25">
      <c r="A585" s="9" t="s">
        <v>250</v>
      </c>
      <c r="B585" s="7">
        <v>20</v>
      </c>
      <c r="C585" s="7">
        <v>23000</v>
      </c>
      <c r="D585" s="7">
        <f t="shared" si="9"/>
        <v>460000</v>
      </c>
    </row>
    <row r="586" spans="1:4" ht="18.75" hidden="1" x14ac:dyDescent="0.25">
      <c r="A586" s="9" t="s">
        <v>251</v>
      </c>
      <c r="B586" s="7"/>
      <c r="C586" s="7"/>
      <c r="D586" s="7">
        <f t="shared" si="9"/>
        <v>0</v>
      </c>
    </row>
    <row r="587" spans="1:4" ht="18.75" hidden="1" x14ac:dyDescent="0.25">
      <c r="A587" s="9" t="s">
        <v>252</v>
      </c>
      <c r="B587" s="7"/>
      <c r="C587" s="7"/>
      <c r="D587" s="7">
        <f t="shared" si="9"/>
        <v>0</v>
      </c>
    </row>
    <row r="588" spans="1:4" ht="18.75" hidden="1" x14ac:dyDescent="0.25">
      <c r="A588" s="9" t="s">
        <v>253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254</v>
      </c>
      <c r="B589" s="7"/>
      <c r="C589" s="7"/>
      <c r="D589" s="7">
        <f t="shared" si="9"/>
        <v>0</v>
      </c>
    </row>
    <row r="590" spans="1:4" ht="18.75" hidden="1" x14ac:dyDescent="0.25">
      <c r="A590" s="17" t="s">
        <v>255</v>
      </c>
      <c r="B590" s="7"/>
      <c r="C590" s="7"/>
      <c r="D590" s="7">
        <f t="shared" si="9"/>
        <v>0</v>
      </c>
    </row>
    <row r="591" spans="1:4" ht="18.75" hidden="1" x14ac:dyDescent="0.25">
      <c r="A591" s="21" t="s">
        <v>256</v>
      </c>
      <c r="B591" s="7"/>
      <c r="C591" s="7"/>
      <c r="D591" s="7">
        <f t="shared" si="9"/>
        <v>0</v>
      </c>
    </row>
    <row r="592" spans="1:4" ht="18.75" hidden="1" x14ac:dyDescent="0.25">
      <c r="A592" s="21" t="s">
        <v>257</v>
      </c>
      <c r="B592" s="7"/>
      <c r="C592" s="7"/>
      <c r="D592" s="7">
        <f t="shared" si="9"/>
        <v>0</v>
      </c>
    </row>
    <row r="593" spans="1:4" ht="18.75" x14ac:dyDescent="0.25">
      <c r="A593" s="9" t="s">
        <v>258</v>
      </c>
      <c r="B593" s="7">
        <v>20</v>
      </c>
      <c r="C593" s="7">
        <v>21000</v>
      </c>
      <c r="D593" s="7">
        <f t="shared" si="9"/>
        <v>420000</v>
      </c>
    </row>
    <row r="594" spans="1:4" ht="18.75" hidden="1" x14ac:dyDescent="0.25">
      <c r="A594" s="9" t="s">
        <v>259</v>
      </c>
      <c r="B594" s="7"/>
      <c r="C594" s="7"/>
      <c r="D594" s="7">
        <f t="shared" si="9"/>
        <v>0</v>
      </c>
    </row>
    <row r="595" spans="1:4" ht="18.75" hidden="1" x14ac:dyDescent="0.25">
      <c r="A595" s="9" t="s">
        <v>260</v>
      </c>
      <c r="B595" s="7"/>
      <c r="C595" s="7"/>
      <c r="D595" s="7">
        <f t="shared" si="9"/>
        <v>0</v>
      </c>
    </row>
    <row r="596" spans="1:4" ht="18.75" hidden="1" x14ac:dyDescent="0.25">
      <c r="A596" s="9" t="s">
        <v>261</v>
      </c>
      <c r="B596" s="7"/>
      <c r="C596" s="7"/>
      <c r="D596" s="7">
        <f t="shared" si="9"/>
        <v>0</v>
      </c>
    </row>
    <row r="597" spans="1:4" ht="18.75" x14ac:dyDescent="0.25">
      <c r="A597" s="9" t="s">
        <v>262</v>
      </c>
      <c r="B597" s="7">
        <v>0</v>
      </c>
      <c r="C597" s="7"/>
      <c r="D597" s="7">
        <f t="shared" si="9"/>
        <v>0</v>
      </c>
    </row>
    <row r="598" spans="1:4" ht="18.75" hidden="1" x14ac:dyDescent="0.25">
      <c r="A598" s="9" t="s">
        <v>263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264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265</v>
      </c>
      <c r="B600" s="16"/>
      <c r="C600" s="16"/>
      <c r="D600" s="7">
        <f t="shared" si="9"/>
        <v>0</v>
      </c>
    </row>
    <row r="601" spans="1:4" ht="18.75" hidden="1" x14ac:dyDescent="0.25">
      <c r="A601" s="13" t="s">
        <v>266</v>
      </c>
      <c r="B601" s="7"/>
      <c r="C601" s="7"/>
      <c r="D601" s="7">
        <f t="shared" si="9"/>
        <v>0</v>
      </c>
    </row>
    <row r="602" spans="1:4" ht="18.75" hidden="1" x14ac:dyDescent="0.25">
      <c r="A602" s="9" t="s">
        <v>267</v>
      </c>
      <c r="B602" s="7"/>
      <c r="C602" s="7"/>
      <c r="D602" s="7">
        <f t="shared" si="9"/>
        <v>0</v>
      </c>
    </row>
    <row r="603" spans="1:4" ht="18.75" hidden="1" x14ac:dyDescent="0.25">
      <c r="A603" s="11" t="s">
        <v>360</v>
      </c>
      <c r="B603" s="7"/>
      <c r="C603" s="7"/>
      <c r="D603" s="7">
        <f t="shared" si="9"/>
        <v>0</v>
      </c>
    </row>
    <row r="604" spans="1:4" ht="18.75" hidden="1" x14ac:dyDescent="0.25">
      <c r="A604" s="11" t="s">
        <v>268</v>
      </c>
      <c r="B604" s="7"/>
      <c r="C604" s="7"/>
      <c r="D604" s="7">
        <f t="shared" si="9"/>
        <v>0</v>
      </c>
    </row>
    <row r="605" spans="1:4" ht="18.75" hidden="1" x14ac:dyDescent="0.25">
      <c r="A605" s="9" t="s">
        <v>269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361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270</v>
      </c>
      <c r="B607" s="7"/>
      <c r="C607" s="7"/>
      <c r="D607" s="7">
        <f t="shared" si="9"/>
        <v>0</v>
      </c>
    </row>
    <row r="608" spans="1:4" ht="18.75" hidden="1" x14ac:dyDescent="0.25">
      <c r="A608" s="9" t="s">
        <v>362</v>
      </c>
      <c r="B608" s="7"/>
      <c r="C608" s="7"/>
      <c r="D608" s="7">
        <f t="shared" si="9"/>
        <v>0</v>
      </c>
    </row>
    <row r="609" spans="1:4" ht="18.75" hidden="1" x14ac:dyDescent="0.25">
      <c r="A609" s="9" t="s">
        <v>272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273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274</v>
      </c>
      <c r="B611" s="7"/>
      <c r="C611" s="7"/>
      <c r="D611" s="7">
        <f t="shared" si="9"/>
        <v>0</v>
      </c>
    </row>
    <row r="612" spans="1:4" ht="18.75" hidden="1" x14ac:dyDescent="0.25">
      <c r="A612" s="34" t="s">
        <v>276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277</v>
      </c>
      <c r="B613" s="7"/>
      <c r="C613" s="7"/>
      <c r="D613" s="7">
        <f t="shared" si="9"/>
        <v>0</v>
      </c>
    </row>
    <row r="614" spans="1:4" ht="18.75" hidden="1" x14ac:dyDescent="0.25">
      <c r="A614" s="34" t="s">
        <v>278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363</v>
      </c>
      <c r="B615" s="7"/>
      <c r="C615" s="7"/>
      <c r="D615" s="7">
        <f t="shared" si="9"/>
        <v>0</v>
      </c>
    </row>
    <row r="616" spans="1:4" ht="18.75" hidden="1" x14ac:dyDescent="0.25">
      <c r="A616" s="34" t="s">
        <v>279</v>
      </c>
      <c r="B616" s="7"/>
      <c r="C616" s="7"/>
      <c r="D616" s="7">
        <f t="shared" si="9"/>
        <v>0</v>
      </c>
    </row>
    <row r="617" spans="1:4" ht="18.75" hidden="1" x14ac:dyDescent="0.25">
      <c r="A617" s="12" t="s">
        <v>280</v>
      </c>
      <c r="B617" s="16"/>
      <c r="C617" s="16"/>
      <c r="D617" s="7">
        <f t="shared" si="9"/>
        <v>0</v>
      </c>
    </row>
    <row r="618" spans="1:4" ht="18.75" hidden="1" x14ac:dyDescent="0.25">
      <c r="A618" s="17" t="s">
        <v>284</v>
      </c>
      <c r="B618" s="7"/>
      <c r="C618" s="7"/>
      <c r="D618" s="7">
        <f t="shared" si="9"/>
        <v>0</v>
      </c>
    </row>
    <row r="619" spans="1:4" ht="18.75" hidden="1" x14ac:dyDescent="0.25">
      <c r="A619" s="17" t="s">
        <v>285</v>
      </c>
      <c r="B619" s="7"/>
      <c r="C619" s="7"/>
      <c r="D619" s="7">
        <f t="shared" si="9"/>
        <v>0</v>
      </c>
    </row>
    <row r="620" spans="1:4" ht="18.75" hidden="1" x14ac:dyDescent="0.25">
      <c r="A620" s="17" t="s">
        <v>286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287</v>
      </c>
      <c r="B621" s="7"/>
      <c r="C621" s="7"/>
      <c r="D621" s="7">
        <f t="shared" si="9"/>
        <v>0</v>
      </c>
    </row>
    <row r="622" spans="1:4" ht="18.75" hidden="1" x14ac:dyDescent="0.25">
      <c r="A622" s="17" t="s">
        <v>288</v>
      </c>
      <c r="B622" s="7"/>
      <c r="C622" s="7"/>
      <c r="D622" s="7">
        <f t="shared" si="9"/>
        <v>0</v>
      </c>
    </row>
    <row r="623" spans="1:4" ht="18.75" hidden="1" x14ac:dyDescent="0.25">
      <c r="A623" s="9" t="s">
        <v>289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290</v>
      </c>
      <c r="B624" s="7"/>
      <c r="C624" s="7"/>
      <c r="D624" s="7">
        <f t="shared" si="9"/>
        <v>0</v>
      </c>
    </row>
    <row r="625" spans="1:4" ht="18.75" hidden="1" x14ac:dyDescent="0.25">
      <c r="A625" s="17" t="s">
        <v>291</v>
      </c>
      <c r="B625" s="7"/>
      <c r="C625" s="7"/>
      <c r="D625" s="7">
        <f t="shared" si="9"/>
        <v>0</v>
      </c>
    </row>
    <row r="626" spans="1:4" ht="18.75" hidden="1" x14ac:dyDescent="0.25">
      <c r="A626" s="25" t="s">
        <v>292</v>
      </c>
      <c r="B626" s="7"/>
      <c r="C626" s="7"/>
      <c r="D626" s="7">
        <f t="shared" si="9"/>
        <v>0</v>
      </c>
    </row>
    <row r="627" spans="1:4" ht="18.75" hidden="1" x14ac:dyDescent="0.25">
      <c r="A627" s="9" t="s">
        <v>293</v>
      </c>
      <c r="B627" s="7"/>
      <c r="C627" s="7"/>
      <c r="D627" s="7">
        <f t="shared" si="9"/>
        <v>0</v>
      </c>
    </row>
    <row r="628" spans="1:4" ht="18.75" hidden="1" x14ac:dyDescent="0.25">
      <c r="A628" s="13" t="s">
        <v>294</v>
      </c>
      <c r="B628" s="7"/>
      <c r="C628" s="7"/>
      <c r="D628" s="7">
        <f t="shared" si="9"/>
        <v>0</v>
      </c>
    </row>
    <row r="629" spans="1:4" ht="18.75" hidden="1" x14ac:dyDescent="0.25">
      <c r="A629" s="12" t="s">
        <v>296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297</v>
      </c>
      <c r="B630" s="7"/>
      <c r="C630" s="7"/>
      <c r="D630" s="7">
        <f t="shared" si="9"/>
        <v>0</v>
      </c>
    </row>
    <row r="631" spans="1:4" ht="18.75" hidden="1" x14ac:dyDescent="0.25">
      <c r="A631" s="13" t="s">
        <v>298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299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300</v>
      </c>
      <c r="B633" s="7"/>
      <c r="C633" s="7"/>
      <c r="D633" s="7">
        <f t="shared" si="9"/>
        <v>0</v>
      </c>
    </row>
    <row r="634" spans="1:4" ht="18.75" hidden="1" x14ac:dyDescent="0.25">
      <c r="A634" s="12" t="s">
        <v>364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365</v>
      </c>
      <c r="B635" s="7"/>
      <c r="C635" s="7"/>
      <c r="D635" s="7">
        <f t="shared" si="9"/>
        <v>0</v>
      </c>
    </row>
    <row r="636" spans="1:4" ht="18.75" hidden="1" x14ac:dyDescent="0.25">
      <c r="A636" s="11" t="s">
        <v>303</v>
      </c>
      <c r="B636" s="7"/>
      <c r="C636" s="7"/>
      <c r="D636" s="7">
        <f t="shared" si="9"/>
        <v>0</v>
      </c>
    </row>
    <row r="637" spans="1:4" ht="18.75" hidden="1" x14ac:dyDescent="0.25">
      <c r="A637" s="9" t="s">
        <v>366</v>
      </c>
      <c r="B637" s="7"/>
      <c r="C637" s="7"/>
      <c r="D637" s="7">
        <f t="shared" si="9"/>
        <v>0</v>
      </c>
    </row>
    <row r="638" spans="1:4" ht="18.75" hidden="1" x14ac:dyDescent="0.25">
      <c r="A638" s="12" t="s">
        <v>304</v>
      </c>
      <c r="B638" s="7"/>
      <c r="C638" s="7"/>
      <c r="D638" s="7">
        <f t="shared" si="9"/>
        <v>0</v>
      </c>
    </row>
    <row r="639" spans="1:4" ht="18.75" hidden="1" x14ac:dyDescent="0.25">
      <c r="A639" s="12" t="s">
        <v>305</v>
      </c>
      <c r="B639" s="7"/>
      <c r="C639" s="7"/>
      <c r="D639" s="7">
        <f t="shared" si="9"/>
        <v>0</v>
      </c>
    </row>
    <row r="640" spans="1:4" ht="18.75" hidden="1" x14ac:dyDescent="0.25">
      <c r="A640" s="9" t="s">
        <v>306</v>
      </c>
      <c r="B640" s="7"/>
      <c r="C640" s="7"/>
      <c r="D640" s="7">
        <f t="shared" si="9"/>
        <v>0</v>
      </c>
    </row>
    <row r="641" spans="1:4" ht="18.75" hidden="1" x14ac:dyDescent="0.25">
      <c r="A641" s="9" t="s">
        <v>307</v>
      </c>
      <c r="B641" s="7"/>
      <c r="C641" s="7"/>
      <c r="D641" s="7">
        <f t="shared" si="9"/>
        <v>0</v>
      </c>
    </row>
    <row r="642" spans="1:4" ht="18.75" hidden="1" x14ac:dyDescent="0.25">
      <c r="A642" s="9" t="s">
        <v>308</v>
      </c>
      <c r="B642" s="7"/>
      <c r="C642" s="7"/>
      <c r="D642" s="7">
        <f t="shared" si="9"/>
        <v>0</v>
      </c>
    </row>
    <row r="643" spans="1:4" ht="18.75" hidden="1" x14ac:dyDescent="0.25">
      <c r="A643" s="13" t="s">
        <v>309</v>
      </c>
      <c r="B643" s="7"/>
      <c r="C643" s="7"/>
      <c r="D643" s="7">
        <f t="shared" si="9"/>
        <v>0</v>
      </c>
    </row>
    <row r="644" spans="1:4" ht="18.75" hidden="1" x14ac:dyDescent="0.25">
      <c r="A644" s="13" t="s">
        <v>310</v>
      </c>
      <c r="B644" s="7"/>
      <c r="C644" s="7"/>
      <c r="D644" s="7">
        <f t="shared" ref="D644:D671" si="10">B644*C644</f>
        <v>0</v>
      </c>
    </row>
    <row r="645" spans="1:4" ht="18.75" hidden="1" x14ac:dyDescent="0.25">
      <c r="A645" s="21" t="s">
        <v>311</v>
      </c>
      <c r="B645" s="7"/>
      <c r="C645" s="7"/>
      <c r="D645" s="7">
        <f t="shared" si="10"/>
        <v>0</v>
      </c>
    </row>
    <row r="646" spans="1:4" ht="18.75" hidden="1" x14ac:dyDescent="0.25">
      <c r="A646" s="13" t="s">
        <v>312</v>
      </c>
      <c r="B646" s="7"/>
      <c r="C646" s="7"/>
      <c r="D646" s="7">
        <f t="shared" si="10"/>
        <v>0</v>
      </c>
    </row>
    <row r="647" spans="1:4" ht="18.75" hidden="1" x14ac:dyDescent="0.25">
      <c r="A647" s="9" t="s">
        <v>313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314</v>
      </c>
      <c r="B648" s="7"/>
      <c r="C648" s="7"/>
      <c r="D648" s="7">
        <f t="shared" si="10"/>
        <v>0</v>
      </c>
    </row>
    <row r="649" spans="1:4" ht="18.75" hidden="1" x14ac:dyDescent="0.25">
      <c r="A649" s="9" t="s">
        <v>315</v>
      </c>
      <c r="B649" s="7"/>
      <c r="C649" s="7"/>
      <c r="D649" s="7">
        <f t="shared" si="10"/>
        <v>0</v>
      </c>
    </row>
    <row r="650" spans="1:4" ht="18.75" hidden="1" x14ac:dyDescent="0.25">
      <c r="A650" s="9" t="s">
        <v>316</v>
      </c>
      <c r="B650" s="7"/>
      <c r="C650" s="7"/>
      <c r="D650" s="7">
        <f t="shared" si="10"/>
        <v>0</v>
      </c>
    </row>
    <row r="651" spans="1:4" ht="18.75" hidden="1" x14ac:dyDescent="0.25">
      <c r="A651" s="21" t="s">
        <v>317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318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319</v>
      </c>
      <c r="B653" s="7"/>
      <c r="C653" s="7"/>
      <c r="D653" s="7">
        <f t="shared" si="10"/>
        <v>0</v>
      </c>
    </row>
    <row r="654" spans="1:4" ht="18.75" hidden="1" x14ac:dyDescent="0.25">
      <c r="A654" s="12" t="s">
        <v>320</v>
      </c>
      <c r="B654" s="7"/>
      <c r="C654" s="7"/>
      <c r="D654" s="7">
        <f t="shared" si="10"/>
        <v>0</v>
      </c>
    </row>
    <row r="655" spans="1:4" ht="18.75" hidden="1" x14ac:dyDescent="0.25">
      <c r="A655" s="9" t="s">
        <v>321</v>
      </c>
      <c r="B655" s="39"/>
      <c r="C655" s="39"/>
      <c r="D655" s="7">
        <f t="shared" si="10"/>
        <v>0</v>
      </c>
    </row>
    <row r="656" spans="1:4" ht="18.75" hidden="1" x14ac:dyDescent="0.25">
      <c r="A656" s="9" t="s">
        <v>322</v>
      </c>
      <c r="B656" s="7"/>
      <c r="C656" s="7"/>
      <c r="D656" s="7">
        <f t="shared" si="10"/>
        <v>0</v>
      </c>
    </row>
    <row r="657" spans="1:4" ht="18.75" hidden="1" x14ac:dyDescent="0.25">
      <c r="A657" s="9" t="s">
        <v>323</v>
      </c>
      <c r="B657" s="7"/>
      <c r="C657" s="7"/>
      <c r="D657" s="7">
        <f t="shared" si="10"/>
        <v>0</v>
      </c>
    </row>
    <row r="658" spans="1:4" ht="18.75" hidden="1" x14ac:dyDescent="0.25">
      <c r="A658" s="21" t="s">
        <v>324</v>
      </c>
      <c r="B658" s="7"/>
      <c r="C658" s="7"/>
      <c r="D658" s="7">
        <f t="shared" si="10"/>
        <v>0</v>
      </c>
    </row>
    <row r="659" spans="1:4" ht="18.75" hidden="1" x14ac:dyDescent="0.25">
      <c r="A659" s="21" t="s">
        <v>325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326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327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328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329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330</v>
      </c>
      <c r="B664" s="7"/>
      <c r="C664" s="7"/>
      <c r="D664" s="7">
        <f t="shared" si="10"/>
        <v>0</v>
      </c>
    </row>
    <row r="665" spans="1:4" ht="18.75" hidden="1" x14ac:dyDescent="0.25">
      <c r="A665" s="9" t="s">
        <v>331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332</v>
      </c>
      <c r="B666" s="7"/>
      <c r="C666" s="7"/>
      <c r="D666" s="7">
        <f t="shared" si="10"/>
        <v>0</v>
      </c>
    </row>
    <row r="667" spans="1:4" ht="18.75" hidden="1" x14ac:dyDescent="0.25">
      <c r="A667" s="9" t="s">
        <v>333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334</v>
      </c>
      <c r="B668" s="7"/>
      <c r="C668" s="7"/>
      <c r="D668" s="7">
        <f t="shared" si="10"/>
        <v>0</v>
      </c>
    </row>
    <row r="669" spans="1:4" ht="18.75" hidden="1" x14ac:dyDescent="0.25">
      <c r="A669" s="9" t="s">
        <v>335</v>
      </c>
      <c r="B669" s="7"/>
      <c r="C669" s="7"/>
      <c r="D669" s="7">
        <f t="shared" si="10"/>
        <v>0</v>
      </c>
    </row>
    <row r="670" spans="1:4" ht="18.75" hidden="1" x14ac:dyDescent="0.25">
      <c r="A670" s="9" t="s">
        <v>336</v>
      </c>
      <c r="B670" s="7"/>
      <c r="C670" s="7"/>
      <c r="D670" s="7">
        <f t="shared" si="10"/>
        <v>0</v>
      </c>
    </row>
    <row r="671" spans="1:4" ht="18.75" hidden="1" x14ac:dyDescent="0.25">
      <c r="A671" s="11" t="s">
        <v>338</v>
      </c>
      <c r="B671" s="7"/>
      <c r="C671" s="7"/>
      <c r="D671" s="7">
        <f t="shared" si="10"/>
        <v>0</v>
      </c>
    </row>
    <row r="672" spans="1:4" ht="18.75" x14ac:dyDescent="0.25">
      <c r="A672" s="40"/>
      <c r="B672" s="43">
        <f>SUM(B345:B671)</f>
        <v>2887</v>
      </c>
      <c r="C672" s="43"/>
      <c r="D672" s="43">
        <f t="shared" ref="D672" si="11">SUM(D345:D671)</f>
        <v>39850000</v>
      </c>
    </row>
    <row r="674" spans="4:4" x14ac:dyDescent="0.25">
      <c r="D674" s="53">
        <f>D672+D340</f>
        <v>79160000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01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675"/>
  <sheetViews>
    <sheetView topLeftCell="A343" workbookViewId="0">
      <selection activeCell="D675" sqref="D675"/>
    </sheetView>
  </sheetViews>
  <sheetFormatPr defaultRowHeight="15" x14ac:dyDescent="0.25"/>
  <cols>
    <col min="1" max="1" width="34.42578125" customWidth="1"/>
    <col min="2" max="2" width="10.42578125" customWidth="1"/>
    <col min="3" max="3" width="14.42578125" customWidth="1"/>
    <col min="4" max="4" width="25.140625" customWidth="1"/>
  </cols>
  <sheetData>
    <row r="1" spans="1:4" x14ac:dyDescent="0.25">
      <c r="A1" s="1" t="s">
        <v>373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5" t="s">
        <v>5</v>
      </c>
      <c r="B6" s="7"/>
      <c r="C6" s="7"/>
      <c r="D6" s="7">
        <f t="shared" si="0"/>
        <v>0</v>
      </c>
    </row>
    <row r="7" spans="1:4" ht="18.75" hidden="1" x14ac:dyDescent="0.25">
      <c r="A7" s="9" t="s">
        <v>6</v>
      </c>
      <c r="B7" s="7"/>
      <c r="C7" s="7"/>
      <c r="D7" s="7">
        <f t="shared" si="0"/>
        <v>0</v>
      </c>
    </row>
    <row r="8" spans="1:4" ht="18.75" hidden="1" x14ac:dyDescent="0.25">
      <c r="A8" s="10" t="s">
        <v>7</v>
      </c>
      <c r="B8" s="7"/>
      <c r="C8" s="7"/>
      <c r="D8" s="7">
        <f t="shared" si="0"/>
        <v>0</v>
      </c>
    </row>
    <row r="9" spans="1:4" ht="18.75" hidden="1" x14ac:dyDescent="0.25">
      <c r="A9" s="5" t="s">
        <v>8</v>
      </c>
      <c r="B9" s="7"/>
      <c r="C9" s="7"/>
      <c r="D9" s="7">
        <f t="shared" si="0"/>
        <v>0</v>
      </c>
    </row>
    <row r="10" spans="1:4" ht="18.75" hidden="1" x14ac:dyDescent="0.25">
      <c r="A10" s="5" t="s">
        <v>9</v>
      </c>
      <c r="B10" s="7"/>
      <c r="C10" s="7"/>
      <c r="D10" s="7">
        <f t="shared" si="0"/>
        <v>0</v>
      </c>
    </row>
    <row r="11" spans="1:4" ht="18.75" hidden="1" x14ac:dyDescent="0.25">
      <c r="A11" s="11" t="s">
        <v>10</v>
      </c>
      <c r="B11" s="7"/>
      <c r="C11" s="7"/>
      <c r="D11" s="7">
        <f t="shared" si="0"/>
        <v>0</v>
      </c>
    </row>
    <row r="12" spans="1:4" ht="18.75" hidden="1" x14ac:dyDescent="0.25">
      <c r="A12" s="9" t="s">
        <v>11</v>
      </c>
      <c r="B12" s="7"/>
      <c r="C12" s="7"/>
      <c r="D12" s="7">
        <f t="shared" si="0"/>
        <v>0</v>
      </c>
    </row>
    <row r="13" spans="1:4" ht="18.75" hidden="1" x14ac:dyDescent="0.25">
      <c r="A13" s="9" t="s">
        <v>12</v>
      </c>
      <c r="B13" s="7"/>
      <c r="C13" s="7"/>
      <c r="D13" s="7">
        <f t="shared" si="0"/>
        <v>0</v>
      </c>
    </row>
    <row r="14" spans="1:4" ht="18.75" hidden="1" x14ac:dyDescent="0.25">
      <c r="A14" s="12" t="s">
        <v>13</v>
      </c>
      <c r="B14" s="7"/>
      <c r="C14" s="7"/>
      <c r="D14" s="7">
        <f t="shared" si="0"/>
        <v>0</v>
      </c>
    </row>
    <row r="15" spans="1:4" ht="18.75" x14ac:dyDescent="0.25">
      <c r="A15" s="12" t="s">
        <v>14</v>
      </c>
      <c r="B15" s="7">
        <v>30</v>
      </c>
      <c r="C15" s="7">
        <v>12000</v>
      </c>
      <c r="D15" s="7">
        <f t="shared" si="0"/>
        <v>360000</v>
      </c>
    </row>
    <row r="16" spans="1:4" ht="18.75" hidden="1" x14ac:dyDescent="0.25">
      <c r="A16" s="9" t="s">
        <v>15</v>
      </c>
      <c r="B16" s="7"/>
      <c r="C16" s="7"/>
      <c r="D16" s="7">
        <f t="shared" si="0"/>
        <v>0</v>
      </c>
    </row>
    <row r="17" spans="1:4" ht="18.75" hidden="1" x14ac:dyDescent="0.25">
      <c r="A17" s="9" t="s">
        <v>16</v>
      </c>
      <c r="B17" s="7"/>
      <c r="C17" s="7"/>
      <c r="D17" s="7">
        <f t="shared" si="0"/>
        <v>0</v>
      </c>
    </row>
    <row r="18" spans="1:4" ht="18.75" x14ac:dyDescent="0.25">
      <c r="A18" s="13" t="s">
        <v>17</v>
      </c>
      <c r="B18" s="7">
        <v>76</v>
      </c>
      <c r="C18" s="7">
        <v>12000</v>
      </c>
      <c r="D18" s="7">
        <f t="shared" si="0"/>
        <v>912000</v>
      </c>
    </row>
    <row r="19" spans="1:4" ht="18.75" hidden="1" x14ac:dyDescent="0.25">
      <c r="A19" s="11" t="s">
        <v>18</v>
      </c>
      <c r="B19" s="7"/>
      <c r="C19" s="45"/>
      <c r="D19" s="7">
        <f t="shared" si="0"/>
        <v>0</v>
      </c>
    </row>
    <row r="20" spans="1:4" ht="18.75" x14ac:dyDescent="0.25">
      <c r="A20" s="9" t="s">
        <v>19</v>
      </c>
      <c r="B20" s="7">
        <v>200</v>
      </c>
      <c r="C20" s="7">
        <v>12000</v>
      </c>
      <c r="D20" s="7">
        <f t="shared" si="0"/>
        <v>2400000</v>
      </c>
    </row>
    <row r="21" spans="1:4" ht="18.75" hidden="1" x14ac:dyDescent="0.25">
      <c r="A21" s="12" t="s">
        <v>20</v>
      </c>
      <c r="B21" s="7"/>
      <c r="C21" s="7"/>
      <c r="D21" s="7">
        <f t="shared" si="0"/>
        <v>0</v>
      </c>
    </row>
    <row r="22" spans="1:4" ht="18.75" hidden="1" x14ac:dyDescent="0.25">
      <c r="A22" s="12" t="s">
        <v>21</v>
      </c>
      <c r="B22" s="7"/>
      <c r="C22" s="7"/>
      <c r="D22" s="7">
        <f t="shared" si="0"/>
        <v>0</v>
      </c>
    </row>
    <row r="23" spans="1:4" ht="18.75" hidden="1" x14ac:dyDescent="0.25">
      <c r="A23" s="9" t="s">
        <v>22</v>
      </c>
      <c r="B23" s="7"/>
      <c r="C23" s="7"/>
      <c r="D23" s="7">
        <f t="shared" si="0"/>
        <v>0</v>
      </c>
    </row>
    <row r="24" spans="1:4" ht="18.75" hidden="1" x14ac:dyDescent="0.25">
      <c r="A24" s="9" t="s">
        <v>23</v>
      </c>
      <c r="B24" s="7"/>
      <c r="C24" s="7"/>
      <c r="D24" s="7">
        <f t="shared" si="0"/>
        <v>0</v>
      </c>
    </row>
    <row r="25" spans="1:4" ht="18.75" hidden="1" x14ac:dyDescent="0.25">
      <c r="A25" s="9" t="s">
        <v>24</v>
      </c>
      <c r="B25" s="7"/>
      <c r="C25" s="7"/>
      <c r="D25" s="7">
        <f t="shared" si="0"/>
        <v>0</v>
      </c>
    </row>
    <row r="26" spans="1:4" ht="18.75" hidden="1" x14ac:dyDescent="0.25">
      <c r="A26" s="9" t="s">
        <v>25</v>
      </c>
      <c r="B26" s="7"/>
      <c r="C26" s="7"/>
      <c r="D26" s="7">
        <f t="shared" si="0"/>
        <v>0</v>
      </c>
    </row>
    <row r="27" spans="1:4" ht="18.75" hidden="1" x14ac:dyDescent="0.25">
      <c r="A27" s="9" t="s">
        <v>26</v>
      </c>
      <c r="B27" s="7"/>
      <c r="C27" s="7"/>
      <c r="D27" s="7">
        <f t="shared" si="0"/>
        <v>0</v>
      </c>
    </row>
    <row r="28" spans="1:4" ht="18.75" x14ac:dyDescent="0.25">
      <c r="A28" s="9" t="s">
        <v>27</v>
      </c>
      <c r="B28" s="7">
        <v>4</v>
      </c>
      <c r="C28" s="7">
        <v>19000</v>
      </c>
      <c r="D28" s="7">
        <f t="shared" si="0"/>
        <v>76000</v>
      </c>
    </row>
    <row r="29" spans="1:4" ht="18.75" hidden="1" x14ac:dyDescent="0.25">
      <c r="A29" s="11" t="s">
        <v>28</v>
      </c>
      <c r="B29" s="16"/>
      <c r="C29" s="16"/>
      <c r="D29" s="7">
        <f t="shared" si="0"/>
        <v>0</v>
      </c>
    </row>
    <row r="30" spans="1:4" ht="18.75" hidden="1" x14ac:dyDescent="0.25">
      <c r="A30" s="12" t="s">
        <v>29</v>
      </c>
      <c r="B30" s="7"/>
      <c r="C30" s="7"/>
      <c r="D30" s="7">
        <f t="shared" si="0"/>
        <v>0</v>
      </c>
    </row>
    <row r="31" spans="1:4" ht="18.75" hidden="1" x14ac:dyDescent="0.25">
      <c r="A31" s="11" t="s">
        <v>30</v>
      </c>
      <c r="B31" s="7"/>
      <c r="C31" s="7"/>
      <c r="D31" s="7">
        <f t="shared" si="0"/>
        <v>0</v>
      </c>
    </row>
    <row r="32" spans="1:4" ht="18.75" hidden="1" x14ac:dyDescent="0.25">
      <c r="A32" s="11" t="s">
        <v>31</v>
      </c>
      <c r="B32" s="7"/>
      <c r="C32" s="7"/>
      <c r="D32" s="7">
        <f t="shared" si="0"/>
        <v>0</v>
      </c>
    </row>
    <row r="33" spans="1:4" ht="18.75" hidden="1" x14ac:dyDescent="0.25">
      <c r="A33" s="11" t="s">
        <v>32</v>
      </c>
      <c r="B33" s="7"/>
      <c r="C33" s="7"/>
      <c r="D33" s="7">
        <f t="shared" si="0"/>
        <v>0</v>
      </c>
    </row>
    <row r="34" spans="1:4" ht="18.75" hidden="1" x14ac:dyDescent="0.25">
      <c r="A34" s="12" t="s">
        <v>33</v>
      </c>
      <c r="B34" s="7"/>
      <c r="C34" s="7"/>
      <c r="D34" s="7">
        <f t="shared" si="0"/>
        <v>0</v>
      </c>
    </row>
    <row r="35" spans="1:4" ht="18.75" hidden="1" x14ac:dyDescent="0.25">
      <c r="A35" s="11" t="s">
        <v>34</v>
      </c>
      <c r="B35" s="7"/>
      <c r="C35" s="7"/>
      <c r="D35" s="7">
        <f t="shared" si="0"/>
        <v>0</v>
      </c>
    </row>
    <row r="36" spans="1:4" ht="18.75" hidden="1" x14ac:dyDescent="0.25">
      <c r="A36" s="11" t="s">
        <v>35</v>
      </c>
      <c r="B36" s="7"/>
      <c r="C36" s="7"/>
      <c r="D36" s="7">
        <f t="shared" si="0"/>
        <v>0</v>
      </c>
    </row>
    <row r="37" spans="1:4" ht="18.75" hidden="1" x14ac:dyDescent="0.25">
      <c r="A37" s="11" t="s">
        <v>36</v>
      </c>
      <c r="B37" s="7"/>
      <c r="C37" s="7"/>
      <c r="D37" s="7">
        <f t="shared" si="0"/>
        <v>0</v>
      </c>
    </row>
    <row r="38" spans="1:4" ht="18.75" hidden="1" x14ac:dyDescent="0.25">
      <c r="A38" s="12" t="s">
        <v>37</v>
      </c>
      <c r="B38" s="7"/>
      <c r="C38" s="7"/>
      <c r="D38" s="7">
        <f t="shared" si="0"/>
        <v>0</v>
      </c>
    </row>
    <row r="39" spans="1:4" ht="18.75" hidden="1" x14ac:dyDescent="0.25">
      <c r="A39" s="9" t="s">
        <v>38</v>
      </c>
      <c r="B39" s="7"/>
      <c r="C39" s="7"/>
      <c r="D39" s="7">
        <f t="shared" si="0"/>
        <v>0</v>
      </c>
    </row>
    <row r="40" spans="1:4" ht="18.75" hidden="1" x14ac:dyDescent="0.25">
      <c r="A40" s="9" t="s">
        <v>39</v>
      </c>
      <c r="B40" s="7"/>
      <c r="C40" s="7"/>
      <c r="D40" s="7">
        <f t="shared" si="0"/>
        <v>0</v>
      </c>
    </row>
    <row r="41" spans="1:4" ht="18.75" hidden="1" x14ac:dyDescent="0.25">
      <c r="A41" s="11" t="s">
        <v>40</v>
      </c>
      <c r="B41" s="16"/>
      <c r="C41" s="16"/>
      <c r="D41" s="7">
        <f t="shared" si="0"/>
        <v>0</v>
      </c>
    </row>
    <row r="42" spans="1:4" ht="18.75" hidden="1" x14ac:dyDescent="0.25">
      <c r="A42" s="9" t="s">
        <v>41</v>
      </c>
      <c r="B42" s="7"/>
      <c r="C42" s="7"/>
      <c r="D42" s="7">
        <f t="shared" si="0"/>
        <v>0</v>
      </c>
    </row>
    <row r="43" spans="1:4" ht="18.75" hidden="1" x14ac:dyDescent="0.25">
      <c r="A43" s="9" t="s">
        <v>42</v>
      </c>
      <c r="B43" s="7"/>
      <c r="C43" s="7"/>
      <c r="D43" s="7">
        <f t="shared" si="0"/>
        <v>0</v>
      </c>
    </row>
    <row r="44" spans="1:4" ht="18.75" hidden="1" x14ac:dyDescent="0.25">
      <c r="A44" s="17" t="s">
        <v>43</v>
      </c>
      <c r="B44" s="7"/>
      <c r="C44" s="7"/>
      <c r="D44" s="7">
        <f t="shared" si="0"/>
        <v>0</v>
      </c>
    </row>
    <row r="45" spans="1:4" ht="18.75" hidden="1" x14ac:dyDescent="0.25">
      <c r="A45" s="9" t="s">
        <v>44</v>
      </c>
      <c r="B45" s="7"/>
      <c r="C45" s="7"/>
      <c r="D45" s="7">
        <f t="shared" si="0"/>
        <v>0</v>
      </c>
    </row>
    <row r="46" spans="1:4" ht="18.75" hidden="1" x14ac:dyDescent="0.25">
      <c r="A46" s="9" t="s">
        <v>45</v>
      </c>
      <c r="B46" s="7"/>
      <c r="C46" s="7"/>
      <c r="D46" s="7">
        <f t="shared" si="0"/>
        <v>0</v>
      </c>
    </row>
    <row r="47" spans="1:4" ht="18.75" x14ac:dyDescent="0.25">
      <c r="A47" s="9" t="s">
        <v>46</v>
      </c>
      <c r="B47" s="7">
        <v>2</v>
      </c>
      <c r="C47" s="7">
        <v>29000</v>
      </c>
      <c r="D47" s="7">
        <f t="shared" si="0"/>
        <v>58000</v>
      </c>
    </row>
    <row r="48" spans="1:4" ht="18.75" hidden="1" x14ac:dyDescent="0.25">
      <c r="A48" s="18" t="s">
        <v>47</v>
      </c>
      <c r="B48" s="7"/>
      <c r="C48" s="7"/>
      <c r="D48" s="7">
        <f t="shared" si="0"/>
        <v>0</v>
      </c>
    </row>
    <row r="49" spans="1:4" ht="18.75" hidden="1" x14ac:dyDescent="0.25">
      <c r="A49" s="13" t="s">
        <v>48</v>
      </c>
      <c r="B49" s="7"/>
      <c r="C49" s="7"/>
      <c r="D49" s="7">
        <f t="shared" si="0"/>
        <v>0</v>
      </c>
    </row>
    <row r="50" spans="1:4" ht="18.75" hidden="1" x14ac:dyDescent="0.25">
      <c r="A50" s="11" t="s">
        <v>49</v>
      </c>
      <c r="B50" s="7"/>
      <c r="C50" s="7"/>
      <c r="D50" s="7">
        <f t="shared" si="0"/>
        <v>0</v>
      </c>
    </row>
    <row r="51" spans="1:4" ht="18.75" hidden="1" x14ac:dyDescent="0.25">
      <c r="A51" s="13" t="s">
        <v>50</v>
      </c>
      <c r="B51" s="7"/>
      <c r="C51" s="7"/>
      <c r="D51" s="7">
        <f t="shared" si="0"/>
        <v>0</v>
      </c>
    </row>
    <row r="52" spans="1:4" ht="18.75" hidden="1" x14ac:dyDescent="0.25">
      <c r="A52" s="9" t="s">
        <v>51</v>
      </c>
      <c r="B52" s="7"/>
      <c r="C52" s="7"/>
      <c r="D52" s="7">
        <f t="shared" si="0"/>
        <v>0</v>
      </c>
    </row>
    <row r="53" spans="1:4" ht="18.75" hidden="1" x14ac:dyDescent="0.25">
      <c r="A53" s="9" t="s">
        <v>52</v>
      </c>
      <c r="B53" s="7"/>
      <c r="C53" s="7"/>
      <c r="D53" s="7">
        <f t="shared" si="0"/>
        <v>0</v>
      </c>
    </row>
    <row r="54" spans="1:4" ht="18.75" hidden="1" x14ac:dyDescent="0.25">
      <c r="A54" s="12" t="s">
        <v>53</v>
      </c>
      <c r="B54" s="7"/>
      <c r="C54" s="7"/>
      <c r="D54" s="7">
        <f t="shared" si="0"/>
        <v>0</v>
      </c>
    </row>
    <row r="55" spans="1:4" ht="18.75" hidden="1" x14ac:dyDescent="0.25">
      <c r="A55" s="9" t="s">
        <v>54</v>
      </c>
      <c r="B55" s="7"/>
      <c r="C55" s="7"/>
      <c r="D55" s="7">
        <f t="shared" si="0"/>
        <v>0</v>
      </c>
    </row>
    <row r="56" spans="1:4" ht="18.75" hidden="1" x14ac:dyDescent="0.25">
      <c r="A56" s="17" t="s">
        <v>55</v>
      </c>
      <c r="B56" s="7"/>
      <c r="C56" s="7"/>
      <c r="D56" s="7">
        <f t="shared" si="0"/>
        <v>0</v>
      </c>
    </row>
    <row r="57" spans="1:4" ht="18.75" x14ac:dyDescent="0.25">
      <c r="A57" s="17" t="s">
        <v>56</v>
      </c>
      <c r="B57" s="7">
        <v>29</v>
      </c>
      <c r="C57" s="7">
        <v>7500</v>
      </c>
      <c r="D57" s="7">
        <f t="shared" si="0"/>
        <v>217500</v>
      </c>
    </row>
    <row r="58" spans="1:4" ht="18.75" hidden="1" x14ac:dyDescent="0.25">
      <c r="A58" s="17" t="s">
        <v>57</v>
      </c>
      <c r="B58" s="7"/>
      <c r="C58" s="7"/>
      <c r="D58" s="7">
        <f t="shared" si="0"/>
        <v>0</v>
      </c>
    </row>
    <row r="59" spans="1:4" ht="18.75" hidden="1" x14ac:dyDescent="0.25">
      <c r="A59" s="9" t="s">
        <v>58</v>
      </c>
      <c r="B59" s="7"/>
      <c r="C59" s="7"/>
      <c r="D59" s="7">
        <f t="shared" si="0"/>
        <v>0</v>
      </c>
    </row>
    <row r="60" spans="1:4" ht="18.75" hidden="1" x14ac:dyDescent="0.25">
      <c r="A60" s="11" t="s">
        <v>59</v>
      </c>
      <c r="B60" s="7"/>
      <c r="C60" s="7"/>
      <c r="D60" s="7">
        <f t="shared" si="0"/>
        <v>0</v>
      </c>
    </row>
    <row r="61" spans="1:4" ht="18.75" x14ac:dyDescent="0.25">
      <c r="A61" s="9" t="s">
        <v>60</v>
      </c>
      <c r="B61" s="7">
        <v>5</v>
      </c>
      <c r="C61" s="7">
        <v>12500</v>
      </c>
      <c r="D61" s="7">
        <f t="shared" si="0"/>
        <v>62500</v>
      </c>
    </row>
    <row r="62" spans="1:4" ht="18.75" hidden="1" x14ac:dyDescent="0.25">
      <c r="A62" s="18" t="s">
        <v>61</v>
      </c>
      <c r="B62" s="7"/>
      <c r="C62" s="7"/>
      <c r="D62" s="7">
        <f t="shared" si="0"/>
        <v>0</v>
      </c>
    </row>
    <row r="63" spans="1:4" ht="18.75" hidden="1" x14ac:dyDescent="0.25">
      <c r="A63" s="17" t="s">
        <v>62</v>
      </c>
      <c r="B63" s="7"/>
      <c r="C63" s="7"/>
      <c r="D63" s="7">
        <f t="shared" si="0"/>
        <v>0</v>
      </c>
    </row>
    <row r="64" spans="1:4" ht="18.75" x14ac:dyDescent="0.25">
      <c r="A64" s="9" t="s">
        <v>63</v>
      </c>
      <c r="B64" s="7">
        <v>30</v>
      </c>
      <c r="C64" s="7">
        <v>23000</v>
      </c>
      <c r="D64" s="7">
        <f t="shared" si="0"/>
        <v>690000</v>
      </c>
    </row>
    <row r="65" spans="1:4" ht="18.75" hidden="1" x14ac:dyDescent="0.25">
      <c r="A65" s="19" t="s">
        <v>64</v>
      </c>
      <c r="B65" s="7"/>
      <c r="C65" s="7"/>
      <c r="D65" s="7">
        <f t="shared" si="0"/>
        <v>0</v>
      </c>
    </row>
    <row r="66" spans="1:4" ht="18.75" hidden="1" x14ac:dyDescent="0.25">
      <c r="A66" s="9" t="s">
        <v>65</v>
      </c>
      <c r="B66" s="7"/>
      <c r="C66" s="7"/>
      <c r="D66" s="7">
        <f t="shared" si="0"/>
        <v>0</v>
      </c>
    </row>
    <row r="67" spans="1:4" ht="18.75" hidden="1" x14ac:dyDescent="0.25">
      <c r="A67" s="9" t="s">
        <v>66</v>
      </c>
      <c r="B67" s="7"/>
      <c r="C67" s="7"/>
      <c r="D67" s="7">
        <f t="shared" si="0"/>
        <v>0</v>
      </c>
    </row>
    <row r="68" spans="1:4" ht="18.75" hidden="1" x14ac:dyDescent="0.25">
      <c r="A68" s="20" t="s">
        <v>67</v>
      </c>
      <c r="B68" s="7"/>
      <c r="C68" s="7"/>
      <c r="D68" s="7">
        <f t="shared" ref="D68:D131" si="1">B68*C68</f>
        <v>0</v>
      </c>
    </row>
    <row r="69" spans="1:4" ht="18.75" hidden="1" x14ac:dyDescent="0.25">
      <c r="A69" s="12" t="s">
        <v>68</v>
      </c>
      <c r="B69" s="7"/>
      <c r="C69" s="7"/>
      <c r="D69" s="7">
        <f t="shared" si="1"/>
        <v>0</v>
      </c>
    </row>
    <row r="70" spans="1:4" ht="18.75" hidden="1" x14ac:dyDescent="0.25">
      <c r="A70" s="12" t="s">
        <v>69</v>
      </c>
      <c r="B70" s="7"/>
      <c r="C70" s="7"/>
      <c r="D70" s="7">
        <f t="shared" si="1"/>
        <v>0</v>
      </c>
    </row>
    <row r="71" spans="1:4" ht="18.75" hidden="1" x14ac:dyDescent="0.25">
      <c r="A71" s="11" t="s">
        <v>70</v>
      </c>
      <c r="B71" s="7"/>
      <c r="C71" s="7"/>
      <c r="D71" s="7">
        <f t="shared" si="1"/>
        <v>0</v>
      </c>
    </row>
    <row r="72" spans="1:4" ht="18.75" x14ac:dyDescent="0.25">
      <c r="A72" s="12" t="s">
        <v>71</v>
      </c>
      <c r="B72" s="7">
        <v>2</v>
      </c>
      <c r="C72" s="7">
        <v>8000</v>
      </c>
      <c r="D72" s="7">
        <f t="shared" si="1"/>
        <v>16000</v>
      </c>
    </row>
    <row r="73" spans="1:4" ht="18.75" hidden="1" x14ac:dyDescent="0.25">
      <c r="A73" s="12" t="s">
        <v>72</v>
      </c>
      <c r="B73" s="7"/>
      <c r="C73" s="7"/>
      <c r="D73" s="7">
        <f t="shared" si="1"/>
        <v>0</v>
      </c>
    </row>
    <row r="74" spans="1:4" ht="18.75" hidden="1" x14ac:dyDescent="0.25">
      <c r="A74" s="12" t="s">
        <v>73</v>
      </c>
      <c r="B74" s="7"/>
      <c r="C74" s="7"/>
      <c r="D74" s="7">
        <f t="shared" si="1"/>
        <v>0</v>
      </c>
    </row>
    <row r="75" spans="1:4" ht="18.75" hidden="1" x14ac:dyDescent="0.25">
      <c r="A75" s="20" t="s">
        <v>74</v>
      </c>
      <c r="B75" s="7"/>
      <c r="C75" s="7"/>
      <c r="D75" s="7">
        <f t="shared" si="1"/>
        <v>0</v>
      </c>
    </row>
    <row r="76" spans="1:4" ht="18.75" hidden="1" x14ac:dyDescent="0.25">
      <c r="A76" s="9" t="s">
        <v>75</v>
      </c>
      <c r="B76" s="7"/>
      <c r="C76" s="7"/>
      <c r="D76" s="7">
        <f t="shared" si="1"/>
        <v>0</v>
      </c>
    </row>
    <row r="77" spans="1:4" ht="18.75" hidden="1" x14ac:dyDescent="0.25">
      <c r="A77" s="9" t="s">
        <v>76</v>
      </c>
      <c r="B77" s="7"/>
      <c r="C77" s="7"/>
      <c r="D77" s="7">
        <f t="shared" si="1"/>
        <v>0</v>
      </c>
    </row>
    <row r="78" spans="1:4" ht="18.75" x14ac:dyDescent="0.25">
      <c r="A78" s="9" t="s">
        <v>77</v>
      </c>
      <c r="B78" s="7">
        <f>-100+30+30+145</f>
        <v>105</v>
      </c>
      <c r="C78" s="7">
        <v>26000</v>
      </c>
      <c r="D78" s="7">
        <f t="shared" si="1"/>
        <v>2730000</v>
      </c>
    </row>
    <row r="79" spans="1:4" ht="18.75" hidden="1" x14ac:dyDescent="0.25">
      <c r="A79" s="13" t="s">
        <v>78</v>
      </c>
      <c r="B79" s="7"/>
      <c r="C79" s="7"/>
      <c r="D79" s="7">
        <f t="shared" si="1"/>
        <v>0</v>
      </c>
    </row>
    <row r="80" spans="1:4" ht="18.75" hidden="1" x14ac:dyDescent="0.25">
      <c r="A80" s="9" t="s">
        <v>79</v>
      </c>
      <c r="B80" s="7"/>
      <c r="C80" s="7"/>
      <c r="D80" s="7">
        <f t="shared" si="1"/>
        <v>0</v>
      </c>
    </row>
    <row r="81" spans="1:4" ht="18.75" x14ac:dyDescent="0.25">
      <c r="A81" s="9" t="s">
        <v>80</v>
      </c>
      <c r="B81" s="7">
        <v>34</v>
      </c>
      <c r="C81" s="7">
        <v>24000</v>
      </c>
      <c r="D81" s="7">
        <f t="shared" si="1"/>
        <v>816000</v>
      </c>
    </row>
    <row r="82" spans="1:4" ht="18.75" hidden="1" x14ac:dyDescent="0.25">
      <c r="A82" s="9" t="s">
        <v>81</v>
      </c>
      <c r="B82" s="7"/>
      <c r="C82" s="7"/>
      <c r="D82" s="7">
        <f t="shared" si="1"/>
        <v>0</v>
      </c>
    </row>
    <row r="83" spans="1:4" ht="18.75" hidden="1" x14ac:dyDescent="0.25">
      <c r="A83" s="12" t="s">
        <v>82</v>
      </c>
      <c r="B83" s="16"/>
      <c r="C83" s="16"/>
      <c r="D83" s="7">
        <f t="shared" si="1"/>
        <v>0</v>
      </c>
    </row>
    <row r="84" spans="1:4" ht="18.75" hidden="1" x14ac:dyDescent="0.25">
      <c r="A84" s="12" t="s">
        <v>83</v>
      </c>
      <c r="B84" s="16"/>
      <c r="C84" s="16"/>
      <c r="D84" s="7">
        <f t="shared" si="1"/>
        <v>0</v>
      </c>
    </row>
    <row r="85" spans="1:4" ht="18.75" hidden="1" x14ac:dyDescent="0.25">
      <c r="A85" s="12" t="s">
        <v>84</v>
      </c>
      <c r="B85" s="16"/>
      <c r="C85" s="16"/>
      <c r="D85" s="7">
        <f t="shared" si="1"/>
        <v>0</v>
      </c>
    </row>
    <row r="86" spans="1:4" ht="18.75" hidden="1" x14ac:dyDescent="0.25">
      <c r="A86" s="9" t="s">
        <v>85</v>
      </c>
      <c r="B86" s="7"/>
      <c r="C86" s="7"/>
      <c r="D86" s="7">
        <f t="shared" si="1"/>
        <v>0</v>
      </c>
    </row>
    <row r="87" spans="1:4" ht="18.75" x14ac:dyDescent="0.25">
      <c r="A87" s="9" t="s">
        <v>86</v>
      </c>
      <c r="B87" s="7">
        <v>135</v>
      </c>
      <c r="C87" s="7">
        <v>26000</v>
      </c>
      <c r="D87" s="7">
        <f t="shared" si="1"/>
        <v>3510000</v>
      </c>
    </row>
    <row r="88" spans="1:4" ht="18.75" hidden="1" x14ac:dyDescent="0.25">
      <c r="A88" s="9" t="s">
        <v>87</v>
      </c>
      <c r="B88" s="7"/>
      <c r="C88" s="7"/>
      <c r="D88" s="7">
        <f t="shared" si="1"/>
        <v>0</v>
      </c>
    </row>
    <row r="89" spans="1:4" ht="18.75" hidden="1" x14ac:dyDescent="0.25">
      <c r="A89" s="9" t="s">
        <v>88</v>
      </c>
      <c r="B89" s="7"/>
      <c r="C89" s="7"/>
      <c r="D89" s="7">
        <f t="shared" si="1"/>
        <v>0</v>
      </c>
    </row>
    <row r="90" spans="1:4" ht="18.75" hidden="1" x14ac:dyDescent="0.25">
      <c r="A90" s="9" t="s">
        <v>89</v>
      </c>
      <c r="B90" s="7"/>
      <c r="C90" s="7"/>
      <c r="D90" s="7">
        <f t="shared" si="1"/>
        <v>0</v>
      </c>
    </row>
    <row r="91" spans="1:4" ht="18.75" hidden="1" x14ac:dyDescent="0.25">
      <c r="A91" s="9" t="s">
        <v>90</v>
      </c>
      <c r="B91" s="7"/>
      <c r="C91" s="7"/>
      <c r="D91" s="7">
        <f t="shared" si="1"/>
        <v>0</v>
      </c>
    </row>
    <row r="92" spans="1:4" ht="18.75" hidden="1" x14ac:dyDescent="0.25">
      <c r="A92" s="21" t="s">
        <v>91</v>
      </c>
      <c r="B92" s="7"/>
      <c r="C92" s="7"/>
      <c r="D92" s="7">
        <f t="shared" si="1"/>
        <v>0</v>
      </c>
    </row>
    <row r="93" spans="1:4" ht="18.75" hidden="1" x14ac:dyDescent="0.25">
      <c r="A93" s="21" t="s">
        <v>92</v>
      </c>
      <c r="B93" s="7"/>
      <c r="C93" s="7"/>
      <c r="D93" s="7">
        <f t="shared" si="1"/>
        <v>0</v>
      </c>
    </row>
    <row r="94" spans="1:4" ht="18.75" hidden="1" x14ac:dyDescent="0.25">
      <c r="A94" s="21" t="s">
        <v>93</v>
      </c>
      <c r="B94" s="7"/>
      <c r="C94" s="7"/>
      <c r="D94" s="7">
        <f t="shared" si="1"/>
        <v>0</v>
      </c>
    </row>
    <row r="95" spans="1:4" ht="18.75" hidden="1" x14ac:dyDescent="0.25">
      <c r="A95" s="11" t="s">
        <v>94</v>
      </c>
      <c r="B95" s="7"/>
      <c r="C95" s="7"/>
      <c r="D95" s="7">
        <f t="shared" si="1"/>
        <v>0</v>
      </c>
    </row>
    <row r="96" spans="1:4" ht="18.75" hidden="1" x14ac:dyDescent="0.25">
      <c r="A96" s="13" t="s">
        <v>95</v>
      </c>
      <c r="B96" s="7"/>
      <c r="C96" s="7"/>
      <c r="D96" s="7">
        <f t="shared" si="1"/>
        <v>0</v>
      </c>
    </row>
    <row r="97" spans="1:4" ht="18.75" hidden="1" x14ac:dyDescent="0.25">
      <c r="A97" s="9" t="s">
        <v>96</v>
      </c>
      <c r="B97" s="7"/>
      <c r="C97" s="7"/>
      <c r="D97" s="7">
        <f t="shared" si="1"/>
        <v>0</v>
      </c>
    </row>
    <row r="98" spans="1:4" ht="18.75" hidden="1" x14ac:dyDescent="0.25">
      <c r="A98" s="9" t="s">
        <v>97</v>
      </c>
      <c r="B98" s="7"/>
      <c r="C98" s="7"/>
      <c r="D98" s="7">
        <f t="shared" si="1"/>
        <v>0</v>
      </c>
    </row>
    <row r="99" spans="1:4" ht="18.75" hidden="1" x14ac:dyDescent="0.25">
      <c r="A99" s="11" t="s">
        <v>98</v>
      </c>
      <c r="B99" s="7"/>
      <c r="C99" s="7"/>
      <c r="D99" s="7">
        <f t="shared" si="1"/>
        <v>0</v>
      </c>
    </row>
    <row r="100" spans="1:4" ht="18.75" hidden="1" x14ac:dyDescent="0.25">
      <c r="A100" s="9" t="s">
        <v>99</v>
      </c>
      <c r="B100" s="16"/>
      <c r="C100" s="16"/>
      <c r="D100" s="7">
        <f t="shared" si="1"/>
        <v>0</v>
      </c>
    </row>
    <row r="101" spans="1:4" ht="18.75" hidden="1" x14ac:dyDescent="0.25">
      <c r="A101" s="11" t="s">
        <v>100</v>
      </c>
      <c r="B101" s="7"/>
      <c r="C101" s="7"/>
      <c r="D101" s="7">
        <f t="shared" si="1"/>
        <v>0</v>
      </c>
    </row>
    <row r="102" spans="1:4" ht="18.75" hidden="1" x14ac:dyDescent="0.25">
      <c r="A102" s="22" t="s">
        <v>101</v>
      </c>
      <c r="B102" s="7"/>
      <c r="C102" s="7"/>
      <c r="D102" s="7">
        <f t="shared" si="1"/>
        <v>0</v>
      </c>
    </row>
    <row r="103" spans="1:4" ht="18.75" hidden="1" x14ac:dyDescent="0.25">
      <c r="A103" s="23" t="s">
        <v>102</v>
      </c>
      <c r="B103" s="7"/>
      <c r="C103" s="7"/>
      <c r="D103" s="7">
        <f t="shared" si="1"/>
        <v>0</v>
      </c>
    </row>
    <row r="104" spans="1:4" ht="18.75" x14ac:dyDescent="0.25">
      <c r="A104" s="24" t="s">
        <v>103</v>
      </c>
      <c r="B104" s="7">
        <v>60</v>
      </c>
      <c r="C104" s="7">
        <v>9000</v>
      </c>
      <c r="D104" s="7">
        <f t="shared" si="1"/>
        <v>540000</v>
      </c>
    </row>
    <row r="105" spans="1:4" ht="18.75" hidden="1" x14ac:dyDescent="0.25">
      <c r="A105" s="17" t="s">
        <v>104</v>
      </c>
      <c r="B105" s="7"/>
      <c r="C105" s="7"/>
      <c r="D105" s="7">
        <f t="shared" si="1"/>
        <v>0</v>
      </c>
    </row>
    <row r="106" spans="1:4" ht="18.75" hidden="1" x14ac:dyDescent="0.25">
      <c r="A106" s="9" t="s">
        <v>105</v>
      </c>
      <c r="B106" s="7"/>
      <c r="C106" s="7"/>
      <c r="D106" s="7">
        <f t="shared" si="1"/>
        <v>0</v>
      </c>
    </row>
    <row r="107" spans="1:4" ht="18.75" hidden="1" x14ac:dyDescent="0.25">
      <c r="A107" s="9" t="s">
        <v>106</v>
      </c>
      <c r="B107" s="7"/>
      <c r="C107" s="7"/>
      <c r="D107" s="7">
        <f t="shared" si="1"/>
        <v>0</v>
      </c>
    </row>
    <row r="108" spans="1:4" ht="18.75" hidden="1" x14ac:dyDescent="0.25">
      <c r="A108" s="11" t="s">
        <v>107</v>
      </c>
      <c r="B108" s="7"/>
      <c r="C108" s="7"/>
      <c r="D108" s="7">
        <f t="shared" si="1"/>
        <v>0</v>
      </c>
    </row>
    <row r="109" spans="1:4" ht="18.75" hidden="1" x14ac:dyDescent="0.25">
      <c r="A109" s="25" t="s">
        <v>108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109</v>
      </c>
      <c r="B110" s="7"/>
      <c r="C110" s="7"/>
      <c r="D110" s="7">
        <f t="shared" si="1"/>
        <v>0</v>
      </c>
    </row>
    <row r="111" spans="1:4" ht="18.75" hidden="1" x14ac:dyDescent="0.25">
      <c r="A111" s="9" t="s">
        <v>110</v>
      </c>
      <c r="B111" s="7"/>
      <c r="C111" s="7"/>
      <c r="D111" s="7">
        <f t="shared" si="1"/>
        <v>0</v>
      </c>
    </row>
    <row r="112" spans="1:4" ht="18.75" hidden="1" x14ac:dyDescent="0.25">
      <c r="A112" s="9" t="s">
        <v>111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112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113</v>
      </c>
      <c r="B114" s="7"/>
      <c r="C114" s="7"/>
      <c r="D114" s="7">
        <f t="shared" si="1"/>
        <v>0</v>
      </c>
    </row>
    <row r="115" spans="1:4" ht="18.75" hidden="1" x14ac:dyDescent="0.25">
      <c r="A115" s="9" t="s">
        <v>114</v>
      </c>
      <c r="B115" s="7"/>
      <c r="C115" s="7"/>
      <c r="D115" s="7">
        <f t="shared" si="1"/>
        <v>0</v>
      </c>
    </row>
    <row r="116" spans="1:4" ht="18.75" hidden="1" x14ac:dyDescent="0.25">
      <c r="A116" s="9" t="s">
        <v>115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116</v>
      </c>
      <c r="B117" s="7"/>
      <c r="C117" s="7"/>
      <c r="D117" s="7">
        <f t="shared" si="1"/>
        <v>0</v>
      </c>
    </row>
    <row r="118" spans="1:4" ht="18.75" hidden="1" x14ac:dyDescent="0.25">
      <c r="A118" s="11" t="s">
        <v>117</v>
      </c>
      <c r="B118" s="7"/>
      <c r="C118" s="7"/>
      <c r="D118" s="7">
        <f t="shared" si="1"/>
        <v>0</v>
      </c>
    </row>
    <row r="119" spans="1:4" ht="18.75" hidden="1" x14ac:dyDescent="0.25">
      <c r="A119" s="21" t="s">
        <v>118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119</v>
      </c>
      <c r="B120" s="7"/>
      <c r="C120" s="7"/>
      <c r="D120" s="7">
        <f t="shared" si="1"/>
        <v>0</v>
      </c>
    </row>
    <row r="121" spans="1:4" ht="18.75" hidden="1" x14ac:dyDescent="0.25">
      <c r="A121" s="11" t="s">
        <v>120</v>
      </c>
      <c r="B121" s="7"/>
      <c r="C121" s="7"/>
      <c r="D121" s="7">
        <f t="shared" si="1"/>
        <v>0</v>
      </c>
    </row>
    <row r="122" spans="1:4" ht="18.75" hidden="1" x14ac:dyDescent="0.25">
      <c r="A122" s="11" t="s">
        <v>121</v>
      </c>
      <c r="B122" s="7"/>
      <c r="C122" s="7"/>
      <c r="D122" s="7">
        <f t="shared" si="1"/>
        <v>0</v>
      </c>
    </row>
    <row r="123" spans="1:4" ht="18.75" hidden="1" x14ac:dyDescent="0.25">
      <c r="A123" s="9" t="s">
        <v>122</v>
      </c>
      <c r="B123" s="7"/>
      <c r="C123" s="7"/>
      <c r="D123" s="7">
        <f t="shared" si="1"/>
        <v>0</v>
      </c>
    </row>
    <row r="124" spans="1:4" ht="18.75" hidden="1" x14ac:dyDescent="0.25">
      <c r="A124" s="9" t="s">
        <v>123</v>
      </c>
      <c r="B124" s="7"/>
      <c r="C124" s="7"/>
      <c r="D124" s="7">
        <f t="shared" si="1"/>
        <v>0</v>
      </c>
    </row>
    <row r="125" spans="1:4" ht="18.75" hidden="1" x14ac:dyDescent="0.25">
      <c r="A125" s="10" t="s">
        <v>124</v>
      </c>
      <c r="B125" s="7"/>
      <c r="C125" s="7"/>
      <c r="D125" s="7">
        <f t="shared" si="1"/>
        <v>0</v>
      </c>
    </row>
    <row r="126" spans="1:4" ht="18.75" hidden="1" x14ac:dyDescent="0.25">
      <c r="A126" s="13" t="s">
        <v>125</v>
      </c>
      <c r="B126" s="7"/>
      <c r="C126" s="7"/>
      <c r="D126" s="7">
        <f t="shared" si="1"/>
        <v>0</v>
      </c>
    </row>
    <row r="127" spans="1:4" ht="18.75" hidden="1" x14ac:dyDescent="0.25">
      <c r="A127" s="12" t="s">
        <v>126</v>
      </c>
      <c r="B127" s="16"/>
      <c r="C127" s="16"/>
      <c r="D127" s="7">
        <f t="shared" si="1"/>
        <v>0</v>
      </c>
    </row>
    <row r="128" spans="1:4" ht="18.75" hidden="1" x14ac:dyDescent="0.25">
      <c r="A128" s="12" t="s">
        <v>127</v>
      </c>
      <c r="B128" s="16"/>
      <c r="C128" s="16"/>
      <c r="D128" s="7">
        <f t="shared" si="1"/>
        <v>0</v>
      </c>
    </row>
    <row r="129" spans="1:4" ht="18.75" hidden="1" x14ac:dyDescent="0.25">
      <c r="A129" s="12" t="s">
        <v>128</v>
      </c>
      <c r="B129" s="16"/>
      <c r="C129" s="16"/>
      <c r="D129" s="7">
        <f t="shared" si="1"/>
        <v>0</v>
      </c>
    </row>
    <row r="130" spans="1:4" ht="18.75" hidden="1" x14ac:dyDescent="0.25">
      <c r="A130" s="12" t="s">
        <v>129</v>
      </c>
      <c r="B130" s="27"/>
      <c r="C130" s="27"/>
      <c r="D130" s="7">
        <f t="shared" si="1"/>
        <v>0</v>
      </c>
    </row>
    <row r="131" spans="1:4" ht="18.75" hidden="1" x14ac:dyDescent="0.25">
      <c r="A131" s="28" t="s">
        <v>130</v>
      </c>
      <c r="B131" s="7"/>
      <c r="C131" s="7"/>
      <c r="D131" s="7">
        <f t="shared" si="1"/>
        <v>0</v>
      </c>
    </row>
    <row r="132" spans="1:4" ht="18.75" hidden="1" x14ac:dyDescent="0.25">
      <c r="A132" s="12" t="s">
        <v>131</v>
      </c>
      <c r="B132" s="16"/>
      <c r="C132" s="16"/>
      <c r="D132" s="7">
        <f t="shared" ref="D132:D195" si="2">B132*C132</f>
        <v>0</v>
      </c>
    </row>
    <row r="133" spans="1:4" ht="18.75" x14ac:dyDescent="0.25">
      <c r="A133" s="9" t="s">
        <v>132</v>
      </c>
      <c r="B133" s="7">
        <v>29</v>
      </c>
      <c r="C133" s="7">
        <v>8500</v>
      </c>
      <c r="D133" s="7">
        <f t="shared" si="2"/>
        <v>246500</v>
      </c>
    </row>
    <row r="134" spans="1:4" ht="18.75" hidden="1" x14ac:dyDescent="0.25">
      <c r="A134" s="9" t="s">
        <v>133</v>
      </c>
      <c r="B134" s="7"/>
      <c r="C134" s="7"/>
      <c r="D134" s="7">
        <f t="shared" si="2"/>
        <v>0</v>
      </c>
    </row>
    <row r="135" spans="1:4" ht="18.75" hidden="1" x14ac:dyDescent="0.25">
      <c r="A135" s="9" t="s">
        <v>134</v>
      </c>
      <c r="B135" s="7"/>
      <c r="C135" s="7"/>
      <c r="D135" s="7">
        <f t="shared" si="2"/>
        <v>0</v>
      </c>
    </row>
    <row r="136" spans="1:4" ht="18.75" hidden="1" x14ac:dyDescent="0.25">
      <c r="A136" s="9" t="s">
        <v>135</v>
      </c>
      <c r="B136" s="7"/>
      <c r="C136" s="7"/>
      <c r="D136" s="7">
        <f t="shared" si="2"/>
        <v>0</v>
      </c>
    </row>
    <row r="137" spans="1:4" ht="18.75" hidden="1" x14ac:dyDescent="0.25">
      <c r="A137" s="17" t="s">
        <v>136</v>
      </c>
      <c r="B137" s="7"/>
      <c r="C137" s="7"/>
      <c r="D137" s="7">
        <f t="shared" si="2"/>
        <v>0</v>
      </c>
    </row>
    <row r="138" spans="1:4" ht="18.75" hidden="1" x14ac:dyDescent="0.25">
      <c r="A138" s="12" t="s">
        <v>137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138</v>
      </c>
      <c r="B139" s="7"/>
      <c r="C139" s="7"/>
      <c r="D139" s="7">
        <f t="shared" si="2"/>
        <v>0</v>
      </c>
    </row>
    <row r="140" spans="1:4" ht="18.75" hidden="1" x14ac:dyDescent="0.25">
      <c r="A140" s="9" t="s">
        <v>139</v>
      </c>
      <c r="B140" s="7"/>
      <c r="C140" s="7"/>
      <c r="D140" s="7">
        <f t="shared" si="2"/>
        <v>0</v>
      </c>
    </row>
    <row r="141" spans="1:4" ht="18.75" hidden="1" x14ac:dyDescent="0.25">
      <c r="A141" s="9" t="s">
        <v>140</v>
      </c>
      <c r="B141" s="7"/>
      <c r="C141" s="7"/>
      <c r="D141" s="7">
        <f t="shared" si="2"/>
        <v>0</v>
      </c>
    </row>
    <row r="142" spans="1:4" ht="18.75" hidden="1" x14ac:dyDescent="0.25">
      <c r="A142" s="9" t="s">
        <v>141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142</v>
      </c>
      <c r="B143" s="16"/>
      <c r="C143" s="16"/>
      <c r="D143" s="7">
        <f t="shared" si="2"/>
        <v>0</v>
      </c>
    </row>
    <row r="144" spans="1:4" ht="18.75" hidden="1" x14ac:dyDescent="0.25">
      <c r="A144" s="9" t="s">
        <v>143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144</v>
      </c>
      <c r="B145" s="16"/>
      <c r="C145" s="16"/>
      <c r="D145" s="7">
        <f t="shared" si="2"/>
        <v>0</v>
      </c>
    </row>
    <row r="146" spans="1:4" ht="18.75" hidden="1" x14ac:dyDescent="0.25">
      <c r="A146" s="9" t="s">
        <v>145</v>
      </c>
      <c r="B146" s="16"/>
      <c r="C146" s="16"/>
      <c r="D146" s="7">
        <f t="shared" si="2"/>
        <v>0</v>
      </c>
    </row>
    <row r="147" spans="1:4" ht="18.75" hidden="1" x14ac:dyDescent="0.25">
      <c r="A147" s="9" t="s">
        <v>146</v>
      </c>
      <c r="B147" s="16"/>
      <c r="C147" s="16"/>
      <c r="D147" s="7">
        <f t="shared" si="2"/>
        <v>0</v>
      </c>
    </row>
    <row r="148" spans="1:4" ht="18.75" hidden="1" x14ac:dyDescent="0.25">
      <c r="A148" s="9" t="s">
        <v>147</v>
      </c>
      <c r="B148" s="16"/>
      <c r="C148" s="16"/>
      <c r="D148" s="7">
        <f t="shared" si="2"/>
        <v>0</v>
      </c>
    </row>
    <row r="149" spans="1:4" ht="18.75" hidden="1" x14ac:dyDescent="0.25">
      <c r="A149" s="9" t="s">
        <v>148</v>
      </c>
      <c r="B149" s="16"/>
      <c r="C149" s="16"/>
      <c r="D149" s="7">
        <f t="shared" si="2"/>
        <v>0</v>
      </c>
    </row>
    <row r="150" spans="1:4" ht="18.75" hidden="1" x14ac:dyDescent="0.25">
      <c r="A150" s="9" t="s">
        <v>149</v>
      </c>
      <c r="B150" s="16"/>
      <c r="C150" s="16"/>
      <c r="D150" s="7">
        <f t="shared" si="2"/>
        <v>0</v>
      </c>
    </row>
    <row r="151" spans="1:4" ht="18.75" hidden="1" x14ac:dyDescent="0.25">
      <c r="A151" s="9" t="s">
        <v>150</v>
      </c>
      <c r="B151" s="16"/>
      <c r="C151" s="16"/>
      <c r="D151" s="7">
        <f t="shared" si="2"/>
        <v>0</v>
      </c>
    </row>
    <row r="152" spans="1:4" ht="18.75" hidden="1" x14ac:dyDescent="0.25">
      <c r="A152" s="9" t="s">
        <v>151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152</v>
      </c>
      <c r="B153" s="7"/>
      <c r="C153" s="7"/>
      <c r="D153" s="7">
        <f t="shared" si="2"/>
        <v>0</v>
      </c>
    </row>
    <row r="154" spans="1:4" ht="18.75" hidden="1" x14ac:dyDescent="0.25">
      <c r="A154" s="9" t="s">
        <v>153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154</v>
      </c>
      <c r="B155" s="7"/>
      <c r="C155" s="7"/>
      <c r="D155" s="7">
        <f t="shared" si="2"/>
        <v>0</v>
      </c>
    </row>
    <row r="156" spans="1:4" ht="18.75" hidden="1" x14ac:dyDescent="0.25">
      <c r="A156" s="9" t="s">
        <v>155</v>
      </c>
      <c r="B156" s="7"/>
      <c r="C156" s="7"/>
      <c r="D156" s="7">
        <f t="shared" si="2"/>
        <v>0</v>
      </c>
    </row>
    <row r="157" spans="1:4" ht="18.75" hidden="1" x14ac:dyDescent="0.25">
      <c r="A157" s="17" t="s">
        <v>156</v>
      </c>
      <c r="B157" s="7"/>
      <c r="C157" s="7"/>
      <c r="D157" s="7">
        <f t="shared" si="2"/>
        <v>0</v>
      </c>
    </row>
    <row r="158" spans="1:4" ht="18.75" hidden="1" x14ac:dyDescent="0.25">
      <c r="A158" s="18" t="s">
        <v>157</v>
      </c>
      <c r="B158" s="7"/>
      <c r="C158" s="7"/>
      <c r="D158" s="7">
        <f t="shared" si="2"/>
        <v>0</v>
      </c>
    </row>
    <row r="159" spans="1:4" ht="18.75" hidden="1" x14ac:dyDescent="0.25">
      <c r="A159" s="9" t="s">
        <v>158</v>
      </c>
      <c r="B159" s="7"/>
      <c r="C159" s="7"/>
      <c r="D159" s="7">
        <f t="shared" si="2"/>
        <v>0</v>
      </c>
    </row>
    <row r="160" spans="1:4" ht="18.75" hidden="1" x14ac:dyDescent="0.25">
      <c r="A160" s="9" t="s">
        <v>159</v>
      </c>
      <c r="B160" s="7"/>
      <c r="C160" s="7"/>
      <c r="D160" s="7">
        <f t="shared" si="2"/>
        <v>0</v>
      </c>
    </row>
    <row r="161" spans="1:4" ht="18.75" hidden="1" x14ac:dyDescent="0.25">
      <c r="A161" s="9" t="s">
        <v>160</v>
      </c>
      <c r="B161" s="7"/>
      <c r="C161" s="7"/>
      <c r="D161" s="7">
        <f t="shared" si="2"/>
        <v>0</v>
      </c>
    </row>
    <row r="162" spans="1:4" ht="18.75" hidden="1" x14ac:dyDescent="0.25">
      <c r="A162" s="9" t="s">
        <v>161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162</v>
      </c>
      <c r="B163" s="16"/>
      <c r="C163" s="16"/>
      <c r="D163" s="7">
        <f t="shared" si="2"/>
        <v>0</v>
      </c>
    </row>
    <row r="164" spans="1:4" ht="18.75" hidden="1" x14ac:dyDescent="0.25">
      <c r="A164" s="9" t="s">
        <v>163</v>
      </c>
      <c r="B164" s="16"/>
      <c r="C164" s="16"/>
      <c r="D164" s="7">
        <f t="shared" si="2"/>
        <v>0</v>
      </c>
    </row>
    <row r="165" spans="1:4" ht="18.75" hidden="1" x14ac:dyDescent="0.25">
      <c r="A165" s="9" t="s">
        <v>164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165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166</v>
      </c>
      <c r="B167" s="7"/>
      <c r="C167" s="7"/>
      <c r="D167" s="7">
        <f t="shared" si="2"/>
        <v>0</v>
      </c>
    </row>
    <row r="168" spans="1:4" ht="18.75" hidden="1" x14ac:dyDescent="0.25">
      <c r="A168" s="12" t="s">
        <v>167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168</v>
      </c>
      <c r="B169" s="7"/>
      <c r="C169" s="46"/>
      <c r="D169" s="7">
        <f t="shared" si="2"/>
        <v>0</v>
      </c>
    </row>
    <row r="170" spans="1:4" ht="18.75" hidden="1" x14ac:dyDescent="0.25">
      <c r="A170" s="30" t="s">
        <v>169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170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171</v>
      </c>
      <c r="B172" s="7"/>
      <c r="C172" s="7"/>
      <c r="D172" s="7">
        <f t="shared" si="2"/>
        <v>0</v>
      </c>
    </row>
    <row r="173" spans="1:4" ht="18.75" hidden="1" x14ac:dyDescent="0.25">
      <c r="A173" s="20" t="s">
        <v>172</v>
      </c>
      <c r="B173" s="7"/>
      <c r="C173" s="7"/>
      <c r="D173" s="7">
        <f t="shared" si="2"/>
        <v>0</v>
      </c>
    </row>
    <row r="174" spans="1:4" ht="18.75" hidden="1" x14ac:dyDescent="0.25">
      <c r="A174" s="9" t="s">
        <v>173</v>
      </c>
      <c r="B174" s="7"/>
      <c r="C174" s="7"/>
      <c r="D174" s="7">
        <f t="shared" si="2"/>
        <v>0</v>
      </c>
    </row>
    <row r="175" spans="1:4" ht="18.75" hidden="1" x14ac:dyDescent="0.25">
      <c r="A175" s="31" t="s">
        <v>174</v>
      </c>
      <c r="B175" s="33"/>
      <c r="C175" s="33"/>
      <c r="D175" s="7">
        <f t="shared" si="2"/>
        <v>0</v>
      </c>
    </row>
    <row r="176" spans="1:4" ht="18.75" hidden="1" x14ac:dyDescent="0.25">
      <c r="A176" s="11" t="s">
        <v>175</v>
      </c>
      <c r="B176" s="7"/>
      <c r="C176" s="7"/>
      <c r="D176" s="7">
        <f t="shared" si="2"/>
        <v>0</v>
      </c>
    </row>
    <row r="177" spans="1:4" ht="18.75" x14ac:dyDescent="0.25">
      <c r="A177" s="9" t="s">
        <v>176</v>
      </c>
      <c r="B177" s="7">
        <v>6</v>
      </c>
      <c r="C177" s="7">
        <v>43000</v>
      </c>
      <c r="D177" s="7">
        <f t="shared" si="2"/>
        <v>258000</v>
      </c>
    </row>
    <row r="178" spans="1:4" ht="18.75" hidden="1" x14ac:dyDescent="0.25">
      <c r="A178" s="9" t="s">
        <v>177</v>
      </c>
      <c r="B178" s="7"/>
      <c r="C178" s="7"/>
      <c r="D178" s="7">
        <f t="shared" si="2"/>
        <v>0</v>
      </c>
    </row>
    <row r="179" spans="1:4" ht="18.75" hidden="1" x14ac:dyDescent="0.25">
      <c r="A179" s="12" t="s">
        <v>178</v>
      </c>
      <c r="B179" s="7"/>
      <c r="C179" s="7"/>
      <c r="D179" s="7">
        <f t="shared" si="2"/>
        <v>0</v>
      </c>
    </row>
    <row r="180" spans="1:4" ht="18.75" hidden="1" x14ac:dyDescent="0.25">
      <c r="A180" s="9" t="s">
        <v>179</v>
      </c>
      <c r="B180" s="7"/>
      <c r="C180" s="7"/>
      <c r="D180" s="7">
        <f t="shared" si="2"/>
        <v>0</v>
      </c>
    </row>
    <row r="181" spans="1:4" ht="18.75" hidden="1" x14ac:dyDescent="0.25">
      <c r="A181" s="9" t="s">
        <v>180</v>
      </c>
      <c r="B181" s="7"/>
      <c r="C181" s="7"/>
      <c r="D181" s="7">
        <f t="shared" si="2"/>
        <v>0</v>
      </c>
    </row>
    <row r="182" spans="1:4" ht="18.75" hidden="1" x14ac:dyDescent="0.25">
      <c r="A182" s="12" t="s">
        <v>181</v>
      </c>
      <c r="B182" s="7"/>
      <c r="C182" s="7"/>
      <c r="D182" s="7">
        <f t="shared" si="2"/>
        <v>0</v>
      </c>
    </row>
    <row r="183" spans="1:4" ht="18.75" hidden="1" x14ac:dyDescent="0.25">
      <c r="A183" s="12" t="s">
        <v>182</v>
      </c>
      <c r="B183" s="7"/>
      <c r="C183" s="7"/>
      <c r="D183" s="7">
        <f t="shared" si="2"/>
        <v>0</v>
      </c>
    </row>
    <row r="184" spans="1:4" ht="18.75" hidden="1" x14ac:dyDescent="0.25">
      <c r="A184" s="12" t="s">
        <v>183</v>
      </c>
      <c r="B184" s="7"/>
      <c r="C184" s="7"/>
      <c r="D184" s="7">
        <f t="shared" si="2"/>
        <v>0</v>
      </c>
    </row>
    <row r="185" spans="1:4" ht="18.75" x14ac:dyDescent="0.25">
      <c r="A185" s="9" t="s">
        <v>184</v>
      </c>
      <c r="B185" s="7">
        <f>43*3</f>
        <v>129</v>
      </c>
      <c r="C185" s="7">
        <v>1500</v>
      </c>
      <c r="D185" s="7">
        <f t="shared" si="2"/>
        <v>193500</v>
      </c>
    </row>
    <row r="186" spans="1:4" ht="18.75" hidden="1" x14ac:dyDescent="0.25">
      <c r="A186" s="9" t="s">
        <v>185</v>
      </c>
      <c r="B186" s="7"/>
      <c r="C186" s="7"/>
      <c r="D186" s="7">
        <f t="shared" si="2"/>
        <v>0</v>
      </c>
    </row>
    <row r="187" spans="1:4" ht="18.75" hidden="1" x14ac:dyDescent="0.25">
      <c r="A187" s="12" t="s">
        <v>186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187</v>
      </c>
      <c r="B188" s="7"/>
      <c r="C188" s="7"/>
      <c r="D188" s="7">
        <f t="shared" si="2"/>
        <v>0</v>
      </c>
    </row>
    <row r="189" spans="1:4" ht="18.75" hidden="1" x14ac:dyDescent="0.25">
      <c r="A189" s="12" t="s">
        <v>188</v>
      </c>
      <c r="B189" s="7"/>
      <c r="C189" s="7"/>
      <c r="D189" s="7">
        <f t="shared" si="2"/>
        <v>0</v>
      </c>
    </row>
    <row r="190" spans="1:4" ht="18.75" hidden="1" x14ac:dyDescent="0.25">
      <c r="A190" s="17" t="s">
        <v>189</v>
      </c>
      <c r="B190" s="7"/>
      <c r="C190" s="7"/>
      <c r="D190" s="7">
        <f t="shared" si="2"/>
        <v>0</v>
      </c>
    </row>
    <row r="191" spans="1:4" ht="18.75" hidden="1" x14ac:dyDescent="0.25">
      <c r="A191" s="17" t="s">
        <v>190</v>
      </c>
      <c r="B191" s="7"/>
      <c r="C191" s="7"/>
      <c r="D191" s="7">
        <f t="shared" si="2"/>
        <v>0</v>
      </c>
    </row>
    <row r="192" spans="1:4" ht="18.75" hidden="1" x14ac:dyDescent="0.25">
      <c r="A192" s="17" t="s">
        <v>191</v>
      </c>
      <c r="B192" s="7"/>
      <c r="C192" s="7"/>
      <c r="D192" s="7">
        <f t="shared" si="2"/>
        <v>0</v>
      </c>
    </row>
    <row r="193" spans="1:4" ht="18.75" hidden="1" x14ac:dyDescent="0.25">
      <c r="A193" s="17" t="s">
        <v>192</v>
      </c>
      <c r="B193" s="7"/>
      <c r="C193" s="7"/>
      <c r="D193" s="7">
        <f t="shared" si="2"/>
        <v>0</v>
      </c>
    </row>
    <row r="194" spans="1:4" ht="18.75" hidden="1" x14ac:dyDescent="0.25">
      <c r="A194" s="12" t="s">
        <v>193</v>
      </c>
      <c r="B194" s="7"/>
      <c r="C194" s="7"/>
      <c r="D194" s="7">
        <f t="shared" si="2"/>
        <v>0</v>
      </c>
    </row>
    <row r="195" spans="1:4" ht="18.75" hidden="1" x14ac:dyDescent="0.25">
      <c r="A195" s="9" t="s">
        <v>194</v>
      </c>
      <c r="B195" s="7"/>
      <c r="C195" s="7"/>
      <c r="D195" s="7">
        <f t="shared" si="2"/>
        <v>0</v>
      </c>
    </row>
    <row r="196" spans="1:4" ht="18.75" hidden="1" x14ac:dyDescent="0.25">
      <c r="A196" s="34" t="s">
        <v>195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34" t="s">
        <v>196</v>
      </c>
      <c r="B197" s="7"/>
      <c r="C197" s="7"/>
      <c r="D197" s="7">
        <f t="shared" si="3"/>
        <v>0</v>
      </c>
    </row>
    <row r="198" spans="1:4" ht="18.75" hidden="1" x14ac:dyDescent="0.25">
      <c r="A198" s="34" t="s">
        <v>197</v>
      </c>
      <c r="B198" s="7"/>
      <c r="C198" s="7"/>
      <c r="D198" s="7">
        <f t="shared" si="3"/>
        <v>0</v>
      </c>
    </row>
    <row r="199" spans="1:4" ht="18.75" hidden="1" x14ac:dyDescent="0.25">
      <c r="A199" s="34" t="s">
        <v>198</v>
      </c>
      <c r="B199" s="7"/>
      <c r="C199" s="7"/>
      <c r="D199" s="7">
        <f t="shared" si="3"/>
        <v>0</v>
      </c>
    </row>
    <row r="200" spans="1:4" ht="18.75" hidden="1" x14ac:dyDescent="0.25">
      <c r="A200" s="9" t="s">
        <v>199</v>
      </c>
      <c r="B200" s="7"/>
      <c r="C200" s="7"/>
      <c r="D200" s="7">
        <f t="shared" si="3"/>
        <v>0</v>
      </c>
    </row>
    <row r="201" spans="1:4" ht="18.75" hidden="1" x14ac:dyDescent="0.25">
      <c r="A201" s="35" t="s">
        <v>200</v>
      </c>
      <c r="B201" s="7"/>
      <c r="C201" s="7"/>
      <c r="D201" s="7">
        <f t="shared" si="3"/>
        <v>0</v>
      </c>
    </row>
    <row r="202" spans="1:4" ht="18.75" x14ac:dyDescent="0.25">
      <c r="A202" s="9" t="s">
        <v>201</v>
      </c>
      <c r="B202" s="7">
        <f>25+100+210</f>
        <v>335</v>
      </c>
      <c r="C202" s="7">
        <v>22000</v>
      </c>
      <c r="D202" s="7">
        <f t="shared" si="3"/>
        <v>7370000</v>
      </c>
    </row>
    <row r="203" spans="1:4" ht="18.75" x14ac:dyDescent="0.25">
      <c r="A203" s="12" t="s">
        <v>202</v>
      </c>
      <c r="B203" s="7">
        <f>35+290+18</f>
        <v>343</v>
      </c>
      <c r="C203" s="7">
        <v>20000</v>
      </c>
      <c r="D203" s="7">
        <f t="shared" si="3"/>
        <v>6860000</v>
      </c>
    </row>
    <row r="204" spans="1:4" ht="18.75" hidden="1" x14ac:dyDescent="0.25">
      <c r="A204" s="9" t="s">
        <v>203</v>
      </c>
      <c r="B204" s="7"/>
      <c r="C204" s="7"/>
      <c r="D204" s="7">
        <f t="shared" si="3"/>
        <v>0</v>
      </c>
    </row>
    <row r="205" spans="1:4" ht="18.75" x14ac:dyDescent="0.25">
      <c r="A205" s="9" t="s">
        <v>204</v>
      </c>
      <c r="B205" s="7">
        <f>-400+15+260+155+200+20</f>
        <v>250</v>
      </c>
      <c r="C205" s="7">
        <v>20000</v>
      </c>
      <c r="D205" s="7">
        <f t="shared" si="3"/>
        <v>5000000</v>
      </c>
    </row>
    <row r="206" spans="1:4" ht="18.75" hidden="1" x14ac:dyDescent="0.25">
      <c r="A206" s="36" t="s">
        <v>205</v>
      </c>
      <c r="B206" s="7"/>
      <c r="C206" s="7"/>
      <c r="D206" s="7">
        <f t="shared" si="3"/>
        <v>0</v>
      </c>
    </row>
    <row r="207" spans="1:4" ht="18.75" hidden="1" x14ac:dyDescent="0.25">
      <c r="A207" s="36" t="s">
        <v>206</v>
      </c>
      <c r="B207" s="7"/>
      <c r="C207" s="7"/>
      <c r="D207" s="7">
        <f t="shared" si="3"/>
        <v>0</v>
      </c>
    </row>
    <row r="208" spans="1:4" ht="18.75" hidden="1" x14ac:dyDescent="0.25">
      <c r="A208" s="9" t="s">
        <v>207</v>
      </c>
      <c r="B208" s="7"/>
      <c r="C208" s="7"/>
      <c r="D208" s="7">
        <f t="shared" si="3"/>
        <v>0</v>
      </c>
    </row>
    <row r="209" spans="1:4" ht="18.75" hidden="1" x14ac:dyDescent="0.25">
      <c r="A209" s="11" t="s">
        <v>208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209</v>
      </c>
      <c r="B210" s="7"/>
      <c r="C210" s="7"/>
      <c r="D210" s="7">
        <f t="shared" si="3"/>
        <v>0</v>
      </c>
    </row>
    <row r="211" spans="1:4" ht="18.75" x14ac:dyDescent="0.25">
      <c r="A211" s="9" t="s">
        <v>210</v>
      </c>
      <c r="B211" s="7">
        <v>13</v>
      </c>
      <c r="C211" s="7">
        <v>12000</v>
      </c>
      <c r="D211" s="7">
        <f t="shared" si="3"/>
        <v>156000</v>
      </c>
    </row>
    <row r="212" spans="1:4" ht="18.75" hidden="1" x14ac:dyDescent="0.25">
      <c r="A212" s="9" t="s">
        <v>211</v>
      </c>
      <c r="B212" s="7"/>
      <c r="C212" s="7"/>
      <c r="D212" s="7">
        <f t="shared" si="3"/>
        <v>0</v>
      </c>
    </row>
    <row r="213" spans="1:4" ht="18.75" hidden="1" x14ac:dyDescent="0.25">
      <c r="A213" s="9" t="s">
        <v>212</v>
      </c>
      <c r="B213" s="7"/>
      <c r="C213" s="7"/>
      <c r="D213" s="7">
        <f t="shared" si="3"/>
        <v>0</v>
      </c>
    </row>
    <row r="214" spans="1:4" ht="18.75" hidden="1" x14ac:dyDescent="0.25">
      <c r="A214" s="37" t="s">
        <v>213</v>
      </c>
      <c r="B214" s="7"/>
      <c r="C214" s="7"/>
      <c r="D214" s="7">
        <f t="shared" si="3"/>
        <v>0</v>
      </c>
    </row>
    <row r="215" spans="1:4" ht="18.75" hidden="1" x14ac:dyDescent="0.25">
      <c r="A215" s="9" t="s">
        <v>214</v>
      </c>
      <c r="B215" s="7"/>
      <c r="C215" s="7"/>
      <c r="D215" s="7">
        <f t="shared" si="3"/>
        <v>0</v>
      </c>
    </row>
    <row r="216" spans="1:4" ht="18.75" x14ac:dyDescent="0.25">
      <c r="A216" s="9" t="s">
        <v>215</v>
      </c>
      <c r="B216" s="7">
        <f>-300+40+25+45+40+220+230</f>
        <v>300</v>
      </c>
      <c r="C216" s="7">
        <v>15000</v>
      </c>
      <c r="D216" s="7">
        <f t="shared" si="3"/>
        <v>4500000</v>
      </c>
    </row>
    <row r="217" spans="1:4" ht="18.75" hidden="1" x14ac:dyDescent="0.25">
      <c r="A217" s="9" t="s">
        <v>216</v>
      </c>
      <c r="B217" s="7"/>
      <c r="C217" s="7"/>
      <c r="D217" s="7">
        <f t="shared" si="3"/>
        <v>0</v>
      </c>
    </row>
    <row r="218" spans="1:4" ht="18.75" x14ac:dyDescent="0.25">
      <c r="A218" s="9" t="s">
        <v>217</v>
      </c>
      <c r="B218" s="7">
        <f>23*2</f>
        <v>46</v>
      </c>
      <c r="C218" s="7">
        <v>7000</v>
      </c>
      <c r="D218" s="7">
        <f t="shared" si="3"/>
        <v>322000</v>
      </c>
    </row>
    <row r="219" spans="1:4" ht="18.75" hidden="1" x14ac:dyDescent="0.25">
      <c r="A219" s="17" t="s">
        <v>218</v>
      </c>
      <c r="B219" s="7"/>
      <c r="C219" s="7"/>
      <c r="D219" s="7">
        <f t="shared" si="3"/>
        <v>0</v>
      </c>
    </row>
    <row r="220" spans="1:4" ht="18.75" hidden="1" x14ac:dyDescent="0.25">
      <c r="A220" s="17" t="s">
        <v>219</v>
      </c>
      <c r="B220" s="7"/>
      <c r="C220" s="7"/>
      <c r="D220" s="7">
        <f t="shared" si="3"/>
        <v>0</v>
      </c>
    </row>
    <row r="221" spans="1:4" ht="18.75" hidden="1" x14ac:dyDescent="0.25">
      <c r="A221" s="17" t="s">
        <v>220</v>
      </c>
      <c r="B221" s="7"/>
      <c r="C221" s="7"/>
      <c r="D221" s="7">
        <f t="shared" si="3"/>
        <v>0</v>
      </c>
    </row>
    <row r="222" spans="1:4" ht="18.75" hidden="1" x14ac:dyDescent="0.25">
      <c r="A222" s="17" t="s">
        <v>221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222</v>
      </c>
      <c r="B223" s="7"/>
      <c r="C223" s="7"/>
      <c r="D223" s="7">
        <f t="shared" si="3"/>
        <v>0</v>
      </c>
    </row>
    <row r="224" spans="1:4" ht="18.75" hidden="1" x14ac:dyDescent="0.25">
      <c r="A224" s="9" t="s">
        <v>223</v>
      </c>
      <c r="B224" s="7"/>
      <c r="C224" s="7"/>
      <c r="D224" s="7">
        <f t="shared" si="3"/>
        <v>0</v>
      </c>
    </row>
    <row r="225" spans="1:4" ht="18.75" hidden="1" x14ac:dyDescent="0.25">
      <c r="A225" s="17" t="s">
        <v>224</v>
      </c>
      <c r="B225" s="7"/>
      <c r="C225" s="7"/>
      <c r="D225" s="7">
        <f t="shared" si="3"/>
        <v>0</v>
      </c>
    </row>
    <row r="226" spans="1:4" ht="18.75" hidden="1" x14ac:dyDescent="0.25">
      <c r="A226" s="17" t="s">
        <v>225</v>
      </c>
      <c r="B226" s="7"/>
      <c r="C226" s="7"/>
      <c r="D226" s="7">
        <f t="shared" si="3"/>
        <v>0</v>
      </c>
    </row>
    <row r="227" spans="1:4" ht="18.75" hidden="1" x14ac:dyDescent="0.25">
      <c r="A227" s="11" t="s">
        <v>226</v>
      </c>
      <c r="B227" s="7"/>
      <c r="C227" s="7"/>
      <c r="D227" s="7">
        <f t="shared" si="3"/>
        <v>0</v>
      </c>
    </row>
    <row r="228" spans="1:4" ht="18.75" hidden="1" x14ac:dyDescent="0.25">
      <c r="A228" s="12" t="s">
        <v>227</v>
      </c>
      <c r="B228" s="7"/>
      <c r="C228" s="7"/>
      <c r="D228" s="7">
        <f t="shared" si="3"/>
        <v>0</v>
      </c>
    </row>
    <row r="229" spans="1:4" ht="18.75" hidden="1" x14ac:dyDescent="0.25">
      <c r="A229" s="11" t="s">
        <v>228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229</v>
      </c>
      <c r="B230" s="7"/>
      <c r="C230" s="7"/>
      <c r="D230" s="7">
        <f t="shared" si="3"/>
        <v>0</v>
      </c>
    </row>
    <row r="231" spans="1:4" ht="18.75" hidden="1" x14ac:dyDescent="0.25">
      <c r="A231" s="11" t="s">
        <v>230</v>
      </c>
      <c r="B231" s="7"/>
      <c r="C231" s="7"/>
      <c r="D231" s="7">
        <f t="shared" si="3"/>
        <v>0</v>
      </c>
    </row>
    <row r="232" spans="1:4" ht="18.75" hidden="1" x14ac:dyDescent="0.25">
      <c r="A232" s="11" t="s">
        <v>231</v>
      </c>
      <c r="B232" s="7"/>
      <c r="C232" s="7"/>
      <c r="D232" s="7">
        <f t="shared" si="3"/>
        <v>0</v>
      </c>
    </row>
    <row r="233" spans="1:4" ht="18.75" hidden="1" x14ac:dyDescent="0.25">
      <c r="A233" s="11" t="s">
        <v>232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233</v>
      </c>
      <c r="B234" s="7"/>
      <c r="C234" s="7"/>
      <c r="D234" s="7">
        <f t="shared" si="3"/>
        <v>0</v>
      </c>
    </row>
    <row r="235" spans="1:4" ht="18.75" hidden="1" x14ac:dyDescent="0.25">
      <c r="A235" s="9" t="s">
        <v>234</v>
      </c>
      <c r="B235" s="7"/>
      <c r="C235" s="7"/>
      <c r="D235" s="7">
        <f t="shared" si="3"/>
        <v>0</v>
      </c>
    </row>
    <row r="236" spans="1:4" ht="18.75" hidden="1" x14ac:dyDescent="0.25">
      <c r="A236" s="11" t="s">
        <v>235</v>
      </c>
      <c r="B236" s="7"/>
      <c r="C236" s="7"/>
      <c r="D236" s="7">
        <f t="shared" si="3"/>
        <v>0</v>
      </c>
    </row>
    <row r="237" spans="1:4" ht="18.75" hidden="1" x14ac:dyDescent="0.25">
      <c r="A237" s="36" t="s">
        <v>236</v>
      </c>
      <c r="B237" s="7"/>
      <c r="C237" s="7"/>
      <c r="D237" s="7">
        <f t="shared" si="3"/>
        <v>0</v>
      </c>
    </row>
    <row r="238" spans="1:4" ht="18.75" hidden="1" x14ac:dyDescent="0.25">
      <c r="A238" s="9" t="s">
        <v>237</v>
      </c>
      <c r="B238" s="7"/>
      <c r="C238" s="7"/>
      <c r="D238" s="7">
        <f t="shared" si="3"/>
        <v>0</v>
      </c>
    </row>
    <row r="239" spans="1:4" ht="18.75" hidden="1" x14ac:dyDescent="0.25">
      <c r="A239" s="9" t="s">
        <v>238</v>
      </c>
      <c r="B239" s="7"/>
      <c r="C239" s="7"/>
      <c r="D239" s="7">
        <f t="shared" si="3"/>
        <v>0</v>
      </c>
    </row>
    <row r="240" spans="1:4" ht="18.75" hidden="1" x14ac:dyDescent="0.25">
      <c r="A240" s="13" t="s">
        <v>239</v>
      </c>
      <c r="B240" s="7"/>
      <c r="C240" s="7"/>
      <c r="D240" s="7">
        <f t="shared" si="3"/>
        <v>0</v>
      </c>
    </row>
    <row r="241" spans="1:4" ht="18.75" hidden="1" x14ac:dyDescent="0.25">
      <c r="A241" s="13" t="s">
        <v>240</v>
      </c>
      <c r="B241" s="7"/>
      <c r="C241" s="7"/>
      <c r="D241" s="7">
        <f t="shared" si="3"/>
        <v>0</v>
      </c>
    </row>
    <row r="242" spans="1:4" ht="18.75" hidden="1" x14ac:dyDescent="0.25">
      <c r="A242" s="34" t="s">
        <v>241</v>
      </c>
      <c r="B242" s="7"/>
      <c r="C242" s="7"/>
      <c r="D242" s="7">
        <f t="shared" si="3"/>
        <v>0</v>
      </c>
    </row>
    <row r="243" spans="1:4" ht="18.75" hidden="1" x14ac:dyDescent="0.25">
      <c r="A243" s="9" t="s">
        <v>242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243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244</v>
      </c>
      <c r="B245" s="16"/>
      <c r="C245" s="16"/>
      <c r="D245" s="7">
        <f t="shared" si="3"/>
        <v>0</v>
      </c>
    </row>
    <row r="246" spans="1:4" ht="18.75" hidden="1" x14ac:dyDescent="0.25">
      <c r="A246" s="34" t="s">
        <v>245</v>
      </c>
      <c r="B246" s="7"/>
      <c r="C246" s="7"/>
      <c r="D246" s="7">
        <f t="shared" si="3"/>
        <v>0</v>
      </c>
    </row>
    <row r="247" spans="1:4" ht="18.75" hidden="1" x14ac:dyDescent="0.25">
      <c r="A247" s="9" t="s">
        <v>246</v>
      </c>
      <c r="B247" s="16"/>
      <c r="C247" s="16"/>
      <c r="D247" s="7">
        <f t="shared" si="3"/>
        <v>0</v>
      </c>
    </row>
    <row r="248" spans="1:4" ht="18.75" x14ac:dyDescent="0.25">
      <c r="A248" s="9" t="s">
        <v>247</v>
      </c>
      <c r="B248" s="7">
        <v>5</v>
      </c>
      <c r="C248" s="7">
        <v>14000</v>
      </c>
      <c r="D248" s="7">
        <f t="shared" si="3"/>
        <v>70000</v>
      </c>
    </row>
    <row r="249" spans="1:4" ht="18.75" hidden="1" x14ac:dyDescent="0.25">
      <c r="A249" s="11" t="s">
        <v>248</v>
      </c>
      <c r="B249" s="7"/>
      <c r="C249" s="7"/>
      <c r="D249" s="7">
        <f t="shared" si="3"/>
        <v>0</v>
      </c>
    </row>
    <row r="250" spans="1:4" ht="18.75" hidden="1" x14ac:dyDescent="0.25">
      <c r="A250" s="11" t="s">
        <v>249</v>
      </c>
      <c r="B250" s="7"/>
      <c r="C250" s="7"/>
      <c r="D250" s="7">
        <f t="shared" si="3"/>
        <v>0</v>
      </c>
    </row>
    <row r="251" spans="1:4" ht="18.75" x14ac:dyDescent="0.25">
      <c r="A251" s="9" t="s">
        <v>250</v>
      </c>
      <c r="B251" s="7">
        <f>-20+78</f>
        <v>58</v>
      </c>
      <c r="C251" s="7">
        <v>23000</v>
      </c>
      <c r="D251" s="7">
        <f t="shared" si="3"/>
        <v>1334000</v>
      </c>
    </row>
    <row r="252" spans="1:4" ht="18.75" hidden="1" x14ac:dyDescent="0.25">
      <c r="A252" s="9" t="s">
        <v>251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252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253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254</v>
      </c>
      <c r="B255" s="7"/>
      <c r="C255" s="7"/>
      <c r="D255" s="7">
        <f t="shared" si="3"/>
        <v>0</v>
      </c>
    </row>
    <row r="256" spans="1:4" ht="18.75" hidden="1" x14ac:dyDescent="0.25">
      <c r="A256" s="17" t="s">
        <v>255</v>
      </c>
      <c r="B256" s="7"/>
      <c r="C256" s="7"/>
      <c r="D256" s="7">
        <f t="shared" si="3"/>
        <v>0</v>
      </c>
    </row>
    <row r="257" spans="1:4" ht="18.75" hidden="1" x14ac:dyDescent="0.25">
      <c r="A257" s="21" t="s">
        <v>256</v>
      </c>
      <c r="B257" s="7"/>
      <c r="C257" s="7"/>
      <c r="D257" s="7">
        <f t="shared" si="3"/>
        <v>0</v>
      </c>
    </row>
    <row r="258" spans="1:4" ht="18.75" hidden="1" x14ac:dyDescent="0.25">
      <c r="A258" s="21" t="s">
        <v>257</v>
      </c>
      <c r="B258" s="7"/>
      <c r="C258" s="7"/>
      <c r="D258" s="7">
        <f t="shared" si="3"/>
        <v>0</v>
      </c>
    </row>
    <row r="259" spans="1:4" ht="18.75" x14ac:dyDescent="0.25">
      <c r="A259" s="9" t="s">
        <v>258</v>
      </c>
      <c r="B259" s="7">
        <f>-20+35</f>
        <v>15</v>
      </c>
      <c r="C259" s="7">
        <v>21000</v>
      </c>
      <c r="D259" s="7">
        <f t="shared" si="3"/>
        <v>315000</v>
      </c>
    </row>
    <row r="260" spans="1:4" ht="18.75" x14ac:dyDescent="0.25">
      <c r="A260" s="9" t="s">
        <v>259</v>
      </c>
      <c r="B260" s="7">
        <v>3</v>
      </c>
      <c r="C260" s="7">
        <v>15000</v>
      </c>
      <c r="D260" s="7">
        <f t="shared" ref="D260:D323" si="4">B260*C260</f>
        <v>45000</v>
      </c>
    </row>
    <row r="261" spans="1:4" ht="18.75" hidden="1" x14ac:dyDescent="0.25">
      <c r="A261" s="9" t="s">
        <v>260</v>
      </c>
      <c r="B261" s="7"/>
      <c r="C261" s="7"/>
      <c r="D261" s="7">
        <f t="shared" si="4"/>
        <v>0</v>
      </c>
    </row>
    <row r="262" spans="1:4" ht="18.75" hidden="1" x14ac:dyDescent="0.25">
      <c r="A262" s="9" t="s">
        <v>261</v>
      </c>
      <c r="B262" s="7"/>
      <c r="C262" s="7"/>
      <c r="D262" s="7">
        <f t="shared" si="4"/>
        <v>0</v>
      </c>
    </row>
    <row r="263" spans="1:4" ht="18.75" x14ac:dyDescent="0.25">
      <c r="A263" s="9" t="s">
        <v>262</v>
      </c>
      <c r="B263" s="7">
        <f>-20+90</f>
        <v>70</v>
      </c>
      <c r="C263" s="7">
        <v>20000</v>
      </c>
      <c r="D263" s="7">
        <f t="shared" si="4"/>
        <v>1400000</v>
      </c>
    </row>
    <row r="264" spans="1:4" ht="18.75" hidden="1" x14ac:dyDescent="0.25">
      <c r="A264" s="9" t="s">
        <v>263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264</v>
      </c>
      <c r="B265" s="7"/>
      <c r="C265" s="7"/>
      <c r="D265" s="7">
        <f t="shared" si="4"/>
        <v>0</v>
      </c>
    </row>
    <row r="266" spans="1:4" ht="18.75" hidden="1" x14ac:dyDescent="0.25">
      <c r="A266" s="9" t="s">
        <v>265</v>
      </c>
      <c r="B266" s="16"/>
      <c r="C266" s="16"/>
      <c r="D266" s="7">
        <f t="shared" si="4"/>
        <v>0</v>
      </c>
    </row>
    <row r="267" spans="1:4" ht="18.75" hidden="1" x14ac:dyDescent="0.25">
      <c r="A267" s="13" t="s">
        <v>266</v>
      </c>
      <c r="B267" s="7"/>
      <c r="C267" s="7"/>
      <c r="D267" s="7">
        <f t="shared" si="4"/>
        <v>0</v>
      </c>
    </row>
    <row r="268" spans="1:4" ht="18.75" hidden="1" x14ac:dyDescent="0.25">
      <c r="A268" s="9" t="s">
        <v>267</v>
      </c>
      <c r="B268" s="7"/>
      <c r="C268" s="7"/>
      <c r="D268" s="7">
        <f t="shared" si="4"/>
        <v>0</v>
      </c>
    </row>
    <row r="269" spans="1:4" ht="18.75" hidden="1" x14ac:dyDescent="0.25">
      <c r="A269" s="11" t="s">
        <v>268</v>
      </c>
      <c r="B269" s="7"/>
      <c r="C269" s="7"/>
      <c r="D269" s="7">
        <f t="shared" si="4"/>
        <v>0</v>
      </c>
    </row>
    <row r="270" spans="1:4" ht="18.75" hidden="1" x14ac:dyDescent="0.25">
      <c r="A270" s="9" t="s">
        <v>269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270</v>
      </c>
      <c r="B271" s="7"/>
      <c r="C271" s="7"/>
      <c r="D271" s="7">
        <f t="shared" si="4"/>
        <v>0</v>
      </c>
    </row>
    <row r="272" spans="1:4" ht="18.75" hidden="1" x14ac:dyDescent="0.25">
      <c r="A272" s="9" t="s">
        <v>271</v>
      </c>
      <c r="B272" s="7"/>
      <c r="C272" s="7"/>
      <c r="D272" s="7">
        <f t="shared" si="4"/>
        <v>0</v>
      </c>
    </row>
    <row r="273" spans="1:4" ht="18.75" hidden="1" x14ac:dyDescent="0.25">
      <c r="A273" s="9" t="s">
        <v>272</v>
      </c>
      <c r="B273" s="7"/>
      <c r="C273" s="7"/>
      <c r="D273" s="7">
        <f t="shared" si="4"/>
        <v>0</v>
      </c>
    </row>
    <row r="274" spans="1:4" ht="18.75" x14ac:dyDescent="0.25">
      <c r="A274" s="9" t="s">
        <v>273</v>
      </c>
      <c r="B274" s="7">
        <v>40</v>
      </c>
      <c r="C274" s="7">
        <v>17000</v>
      </c>
      <c r="D274" s="7">
        <f t="shared" si="4"/>
        <v>680000</v>
      </c>
    </row>
    <row r="275" spans="1:4" ht="18.75" hidden="1" x14ac:dyDescent="0.25">
      <c r="A275" s="9" t="s">
        <v>274</v>
      </c>
      <c r="B275" s="7"/>
      <c r="C275" s="7"/>
      <c r="D275" s="7">
        <f t="shared" si="4"/>
        <v>0</v>
      </c>
    </row>
    <row r="276" spans="1:4" ht="18.75" hidden="1" x14ac:dyDescent="0.25">
      <c r="A276" s="9" t="s">
        <v>275</v>
      </c>
      <c r="B276" s="7"/>
      <c r="C276" s="7"/>
      <c r="D276" s="7">
        <f t="shared" si="4"/>
        <v>0</v>
      </c>
    </row>
    <row r="277" spans="1:4" ht="18.75" hidden="1" x14ac:dyDescent="0.25">
      <c r="A277" s="34" t="s">
        <v>276</v>
      </c>
      <c r="B277" s="7"/>
      <c r="C277" s="7"/>
      <c r="D277" s="7">
        <f t="shared" si="4"/>
        <v>0</v>
      </c>
    </row>
    <row r="278" spans="1:4" ht="18.75" hidden="1" x14ac:dyDescent="0.25">
      <c r="A278" s="9" t="s">
        <v>277</v>
      </c>
      <c r="B278" s="7"/>
      <c r="C278" s="7"/>
      <c r="D278" s="7">
        <f t="shared" si="4"/>
        <v>0</v>
      </c>
    </row>
    <row r="279" spans="1:4" ht="18.75" hidden="1" x14ac:dyDescent="0.25">
      <c r="A279" s="34" t="s">
        <v>278</v>
      </c>
      <c r="B279" s="7"/>
      <c r="C279" s="7"/>
      <c r="D279" s="7">
        <f t="shared" si="4"/>
        <v>0</v>
      </c>
    </row>
    <row r="280" spans="1:4" ht="18.75" hidden="1" x14ac:dyDescent="0.25">
      <c r="A280" s="34" t="s">
        <v>279</v>
      </c>
      <c r="B280" s="7"/>
      <c r="C280" s="7"/>
      <c r="D280" s="7">
        <f t="shared" si="4"/>
        <v>0</v>
      </c>
    </row>
    <row r="281" spans="1:4" ht="18.75" hidden="1" x14ac:dyDescent="0.25">
      <c r="A281" s="12" t="s">
        <v>280</v>
      </c>
      <c r="B281" s="16"/>
      <c r="C281" s="16"/>
      <c r="D281" s="7">
        <f t="shared" si="4"/>
        <v>0</v>
      </c>
    </row>
    <row r="282" spans="1:4" ht="18.75" hidden="1" x14ac:dyDescent="0.25">
      <c r="A282" s="12" t="s">
        <v>281</v>
      </c>
      <c r="B282" s="7"/>
      <c r="C282" s="7"/>
      <c r="D282" s="7">
        <f t="shared" si="4"/>
        <v>0</v>
      </c>
    </row>
    <row r="283" spans="1:4" ht="18.75" hidden="1" x14ac:dyDescent="0.25">
      <c r="A283" s="11" t="s">
        <v>282</v>
      </c>
      <c r="B283" s="7"/>
      <c r="C283" s="7"/>
      <c r="D283" s="7">
        <f t="shared" si="4"/>
        <v>0</v>
      </c>
    </row>
    <row r="284" spans="1:4" ht="18.75" hidden="1" x14ac:dyDescent="0.25">
      <c r="A284" s="11" t="s">
        <v>283</v>
      </c>
      <c r="B284" s="7"/>
      <c r="C284" s="7"/>
      <c r="D284" s="7">
        <f t="shared" si="4"/>
        <v>0</v>
      </c>
    </row>
    <row r="285" spans="1:4" ht="18.75" hidden="1" x14ac:dyDescent="0.25">
      <c r="A285" s="17" t="s">
        <v>284</v>
      </c>
      <c r="B285" s="7"/>
      <c r="C285" s="7"/>
      <c r="D285" s="7">
        <f t="shared" si="4"/>
        <v>0</v>
      </c>
    </row>
    <row r="286" spans="1:4" ht="18.75" hidden="1" x14ac:dyDescent="0.25">
      <c r="A286" s="17" t="s">
        <v>285</v>
      </c>
      <c r="B286" s="7"/>
      <c r="C286" s="7"/>
      <c r="D286" s="7">
        <f t="shared" si="4"/>
        <v>0</v>
      </c>
    </row>
    <row r="287" spans="1:4" ht="18.75" hidden="1" x14ac:dyDescent="0.25">
      <c r="A287" s="17" t="s">
        <v>286</v>
      </c>
      <c r="B287" s="7"/>
      <c r="C287" s="7"/>
      <c r="D287" s="7">
        <f t="shared" si="4"/>
        <v>0</v>
      </c>
    </row>
    <row r="288" spans="1:4" ht="18.75" x14ac:dyDescent="0.25">
      <c r="A288" s="9" t="s">
        <v>287</v>
      </c>
      <c r="B288" s="7">
        <v>2</v>
      </c>
      <c r="C288" s="7">
        <v>11000</v>
      </c>
      <c r="D288" s="7">
        <f t="shared" si="4"/>
        <v>22000</v>
      </c>
    </row>
    <row r="289" spans="1:4" ht="18.75" hidden="1" x14ac:dyDescent="0.25">
      <c r="A289" s="17" t="s">
        <v>288</v>
      </c>
      <c r="B289" s="7"/>
      <c r="C289" s="7"/>
      <c r="D289" s="7">
        <f t="shared" si="4"/>
        <v>0</v>
      </c>
    </row>
    <row r="290" spans="1:4" ht="18.75" hidden="1" x14ac:dyDescent="0.25">
      <c r="A290" s="9" t="s">
        <v>289</v>
      </c>
      <c r="B290" s="7"/>
      <c r="C290" s="7"/>
      <c r="D290" s="7">
        <f t="shared" si="4"/>
        <v>0</v>
      </c>
    </row>
    <row r="291" spans="1:4" ht="18.75" hidden="1" x14ac:dyDescent="0.25">
      <c r="A291" s="9" t="s">
        <v>290</v>
      </c>
      <c r="B291" s="7"/>
      <c r="C291" s="7"/>
      <c r="D291" s="7">
        <f t="shared" si="4"/>
        <v>0</v>
      </c>
    </row>
    <row r="292" spans="1:4" ht="18.75" hidden="1" x14ac:dyDescent="0.25">
      <c r="A292" s="17" t="s">
        <v>291</v>
      </c>
      <c r="B292" s="7"/>
      <c r="C292" s="7"/>
      <c r="D292" s="7">
        <f t="shared" si="4"/>
        <v>0</v>
      </c>
    </row>
    <row r="293" spans="1:4" ht="18.75" hidden="1" x14ac:dyDescent="0.25">
      <c r="A293" s="25" t="s">
        <v>292</v>
      </c>
      <c r="B293" s="7"/>
      <c r="C293" s="7"/>
      <c r="D293" s="7">
        <f t="shared" si="4"/>
        <v>0</v>
      </c>
    </row>
    <row r="294" spans="1:4" ht="18.75" x14ac:dyDescent="0.25">
      <c r="A294" s="9" t="s">
        <v>293</v>
      </c>
      <c r="B294" s="7">
        <v>21</v>
      </c>
      <c r="C294" s="7">
        <v>11000</v>
      </c>
      <c r="D294" s="7">
        <f t="shared" si="4"/>
        <v>231000</v>
      </c>
    </row>
    <row r="295" spans="1:4" ht="18.75" hidden="1" x14ac:dyDescent="0.25">
      <c r="A295" s="13" t="s">
        <v>294</v>
      </c>
      <c r="B295" s="7"/>
      <c r="C295" s="7"/>
      <c r="D295" s="7">
        <f t="shared" si="4"/>
        <v>0</v>
      </c>
    </row>
    <row r="296" spans="1:4" ht="18.75" hidden="1" x14ac:dyDescent="0.25">
      <c r="A296" s="13" t="s">
        <v>295</v>
      </c>
      <c r="B296" s="7"/>
      <c r="C296" s="7"/>
      <c r="D296" s="7">
        <f t="shared" si="4"/>
        <v>0</v>
      </c>
    </row>
    <row r="297" spans="1:4" ht="18.75" hidden="1" x14ac:dyDescent="0.25">
      <c r="A297" s="12" t="s">
        <v>296</v>
      </c>
      <c r="B297" s="7"/>
      <c r="C297" s="7"/>
      <c r="D297" s="7">
        <f t="shared" si="4"/>
        <v>0</v>
      </c>
    </row>
    <row r="298" spans="1:4" ht="18.75" hidden="1" x14ac:dyDescent="0.25">
      <c r="A298" s="17" t="s">
        <v>297</v>
      </c>
      <c r="B298" s="7"/>
      <c r="C298" s="7"/>
      <c r="D298" s="7">
        <f t="shared" si="4"/>
        <v>0</v>
      </c>
    </row>
    <row r="299" spans="1:4" ht="18.75" hidden="1" x14ac:dyDescent="0.25">
      <c r="A299" s="13" t="s">
        <v>298</v>
      </c>
      <c r="B299" s="7"/>
      <c r="C299" s="7"/>
      <c r="D299" s="7">
        <f t="shared" si="4"/>
        <v>0</v>
      </c>
    </row>
    <row r="300" spans="1:4" ht="18.75" hidden="1" x14ac:dyDescent="0.25">
      <c r="A300" s="9" t="s">
        <v>299</v>
      </c>
      <c r="B300" s="7"/>
      <c r="C300" s="7"/>
      <c r="D300" s="7">
        <f t="shared" si="4"/>
        <v>0</v>
      </c>
    </row>
    <row r="301" spans="1:4" ht="18.75" hidden="1" x14ac:dyDescent="0.25">
      <c r="A301" s="17" t="s">
        <v>300</v>
      </c>
      <c r="B301" s="7"/>
      <c r="C301" s="7"/>
      <c r="D301" s="7">
        <f t="shared" si="4"/>
        <v>0</v>
      </c>
    </row>
    <row r="302" spans="1:4" ht="18.75" hidden="1" x14ac:dyDescent="0.25">
      <c r="A302" s="9" t="s">
        <v>301</v>
      </c>
      <c r="B302" s="7"/>
      <c r="C302" s="7"/>
      <c r="D302" s="7">
        <f t="shared" si="4"/>
        <v>0</v>
      </c>
    </row>
    <row r="303" spans="1:4" ht="18.75" hidden="1" x14ac:dyDescent="0.25">
      <c r="A303" s="9" t="s">
        <v>302</v>
      </c>
      <c r="B303" s="7"/>
      <c r="C303" s="7"/>
      <c r="D303" s="7">
        <f t="shared" si="4"/>
        <v>0</v>
      </c>
    </row>
    <row r="304" spans="1:4" ht="18.75" hidden="1" x14ac:dyDescent="0.25">
      <c r="A304" s="11" t="s">
        <v>303</v>
      </c>
      <c r="B304" s="7"/>
      <c r="C304" s="7"/>
      <c r="D304" s="7">
        <f t="shared" si="4"/>
        <v>0</v>
      </c>
    </row>
    <row r="305" spans="1:4" ht="18.75" hidden="1" x14ac:dyDescent="0.25">
      <c r="A305" s="12" t="s">
        <v>304</v>
      </c>
      <c r="B305" s="7"/>
      <c r="C305" s="7"/>
      <c r="D305" s="7">
        <f t="shared" si="4"/>
        <v>0</v>
      </c>
    </row>
    <row r="306" spans="1:4" ht="18.75" hidden="1" x14ac:dyDescent="0.25">
      <c r="A306" s="12" t="s">
        <v>305</v>
      </c>
      <c r="B306" s="7"/>
      <c r="C306" s="7"/>
      <c r="D306" s="7">
        <f t="shared" si="4"/>
        <v>0</v>
      </c>
    </row>
    <row r="307" spans="1:4" ht="18.75" hidden="1" x14ac:dyDescent="0.25">
      <c r="A307" s="9" t="s">
        <v>306</v>
      </c>
      <c r="B307" s="7"/>
      <c r="C307" s="7"/>
      <c r="D307" s="7">
        <f t="shared" si="4"/>
        <v>0</v>
      </c>
    </row>
    <row r="308" spans="1:4" ht="18.75" hidden="1" x14ac:dyDescent="0.25">
      <c r="A308" s="9" t="s">
        <v>307</v>
      </c>
      <c r="B308" s="7"/>
      <c r="C308" s="7"/>
      <c r="D308" s="7">
        <f t="shared" si="4"/>
        <v>0</v>
      </c>
    </row>
    <row r="309" spans="1:4" ht="18.75" hidden="1" x14ac:dyDescent="0.25">
      <c r="A309" s="9" t="s">
        <v>308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309</v>
      </c>
      <c r="B310" s="7"/>
      <c r="C310" s="7"/>
      <c r="D310" s="7">
        <f t="shared" si="4"/>
        <v>0</v>
      </c>
    </row>
    <row r="311" spans="1:4" ht="18.75" hidden="1" x14ac:dyDescent="0.25">
      <c r="A311" s="13" t="s">
        <v>310</v>
      </c>
      <c r="B311" s="7"/>
      <c r="C311" s="7"/>
      <c r="D311" s="7">
        <f t="shared" si="4"/>
        <v>0</v>
      </c>
    </row>
    <row r="312" spans="1:4" ht="18.75" hidden="1" x14ac:dyDescent="0.25">
      <c r="A312" s="21" t="s">
        <v>311</v>
      </c>
      <c r="B312" s="7"/>
      <c r="C312" s="7"/>
      <c r="D312" s="7">
        <f t="shared" si="4"/>
        <v>0</v>
      </c>
    </row>
    <row r="313" spans="1:4" ht="18.75" hidden="1" x14ac:dyDescent="0.25">
      <c r="A313" s="13" t="s">
        <v>312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313</v>
      </c>
      <c r="B314" s="7"/>
      <c r="C314" s="7"/>
      <c r="D314" s="7">
        <f t="shared" si="4"/>
        <v>0</v>
      </c>
    </row>
    <row r="315" spans="1:4" ht="18.75" hidden="1" x14ac:dyDescent="0.25">
      <c r="A315" s="9" t="s">
        <v>314</v>
      </c>
      <c r="B315" s="7"/>
      <c r="C315" s="7"/>
      <c r="D315" s="7">
        <f t="shared" si="4"/>
        <v>0</v>
      </c>
    </row>
    <row r="316" spans="1:4" ht="18.75" hidden="1" x14ac:dyDescent="0.25">
      <c r="A316" s="9" t="s">
        <v>315</v>
      </c>
      <c r="B316" s="7"/>
      <c r="C316" s="7"/>
      <c r="D316" s="7">
        <f t="shared" si="4"/>
        <v>0</v>
      </c>
    </row>
    <row r="317" spans="1:4" ht="18.75" hidden="1" x14ac:dyDescent="0.25">
      <c r="A317" s="9" t="s">
        <v>316</v>
      </c>
      <c r="B317" s="7"/>
      <c r="C317" s="7"/>
      <c r="D317" s="7">
        <f t="shared" si="4"/>
        <v>0</v>
      </c>
    </row>
    <row r="318" spans="1:4" ht="18.75" hidden="1" x14ac:dyDescent="0.25">
      <c r="A318" s="21" t="s">
        <v>317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318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319</v>
      </c>
      <c r="B320" s="7"/>
      <c r="C320" s="7"/>
      <c r="D320" s="7">
        <f t="shared" si="4"/>
        <v>0</v>
      </c>
    </row>
    <row r="321" spans="1:4" ht="18.75" hidden="1" x14ac:dyDescent="0.25">
      <c r="A321" s="12" t="s">
        <v>320</v>
      </c>
      <c r="B321" s="7"/>
      <c r="C321" s="7"/>
      <c r="D321" s="7">
        <f t="shared" si="4"/>
        <v>0</v>
      </c>
    </row>
    <row r="322" spans="1:4" ht="18.75" hidden="1" x14ac:dyDescent="0.25">
      <c r="A322" s="9" t="s">
        <v>321</v>
      </c>
      <c r="B322" s="39"/>
      <c r="C322" s="39"/>
      <c r="D322" s="7">
        <f t="shared" si="4"/>
        <v>0</v>
      </c>
    </row>
    <row r="323" spans="1:4" ht="18.75" hidden="1" x14ac:dyDescent="0.25">
      <c r="A323" s="9" t="s">
        <v>322</v>
      </c>
      <c r="B323" s="7"/>
      <c r="C323" s="7"/>
      <c r="D323" s="7">
        <f t="shared" si="4"/>
        <v>0</v>
      </c>
    </row>
    <row r="324" spans="1:4" ht="18.75" hidden="1" x14ac:dyDescent="0.25">
      <c r="A324" s="9" t="s">
        <v>323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21" t="s">
        <v>324</v>
      </c>
      <c r="B325" s="7"/>
      <c r="C325" s="7"/>
      <c r="D325" s="7">
        <f t="shared" si="5"/>
        <v>0</v>
      </c>
    </row>
    <row r="326" spans="1:4" ht="18.75" hidden="1" x14ac:dyDescent="0.25">
      <c r="A326" s="21" t="s">
        <v>325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326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327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328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329</v>
      </c>
      <c r="B330" s="7"/>
      <c r="C330" s="7"/>
      <c r="D330" s="7">
        <f t="shared" si="5"/>
        <v>0</v>
      </c>
    </row>
    <row r="331" spans="1:4" ht="18.75" x14ac:dyDescent="0.25">
      <c r="A331" s="9" t="s">
        <v>330</v>
      </c>
      <c r="B331" s="7">
        <v>30</v>
      </c>
      <c r="C331" s="7">
        <v>8000</v>
      </c>
      <c r="D331" s="7">
        <f t="shared" si="5"/>
        <v>240000</v>
      </c>
    </row>
    <row r="332" spans="1:4" ht="18.75" hidden="1" x14ac:dyDescent="0.25">
      <c r="A332" s="9" t="s">
        <v>331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332</v>
      </c>
      <c r="B333" s="7"/>
      <c r="C333" s="7"/>
      <c r="D333" s="7">
        <f t="shared" si="5"/>
        <v>0</v>
      </c>
    </row>
    <row r="334" spans="1:4" ht="18.75" hidden="1" x14ac:dyDescent="0.25">
      <c r="A334" s="9" t="s">
        <v>333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334</v>
      </c>
      <c r="B335" s="7"/>
      <c r="C335" s="7"/>
      <c r="D335" s="7">
        <f t="shared" si="5"/>
        <v>0</v>
      </c>
    </row>
    <row r="336" spans="1:4" ht="18.75" hidden="1" x14ac:dyDescent="0.25">
      <c r="A336" s="9" t="s">
        <v>335</v>
      </c>
      <c r="B336" s="7"/>
      <c r="C336" s="7"/>
      <c r="D336" s="7">
        <f t="shared" si="5"/>
        <v>0</v>
      </c>
    </row>
    <row r="337" spans="1:4" ht="18.75" hidden="1" x14ac:dyDescent="0.25">
      <c r="A337" s="9" t="s">
        <v>336</v>
      </c>
      <c r="B337" s="7"/>
      <c r="C337" s="7"/>
      <c r="D337" s="7">
        <f t="shared" si="5"/>
        <v>0</v>
      </c>
    </row>
    <row r="338" spans="1:4" ht="18.75" hidden="1" x14ac:dyDescent="0.25">
      <c r="A338" s="11" t="s">
        <v>337</v>
      </c>
      <c r="B338" s="7"/>
      <c r="C338" s="7"/>
      <c r="D338" s="7">
        <f t="shared" si="5"/>
        <v>0</v>
      </c>
    </row>
    <row r="339" spans="1:4" ht="18.75" hidden="1" x14ac:dyDescent="0.25">
      <c r="A339" s="11" t="s">
        <v>338</v>
      </c>
      <c r="B339" s="7"/>
      <c r="C339" s="7"/>
      <c r="D339" s="7">
        <f t="shared" si="5"/>
        <v>0</v>
      </c>
    </row>
    <row r="340" spans="1:4" ht="18.75" x14ac:dyDescent="0.25">
      <c r="A340" s="40"/>
      <c r="B340" s="43">
        <f>SUM(B3:B339)</f>
        <v>2407</v>
      </c>
      <c r="C340" s="43"/>
      <c r="D340" s="7">
        <f>SUM(D15:D331)</f>
        <v>41631000</v>
      </c>
    </row>
    <row r="341" spans="1:4" ht="18.75" hidden="1" x14ac:dyDescent="0.25">
      <c r="D341" s="7">
        <f t="shared" si="5"/>
        <v>0</v>
      </c>
    </row>
    <row r="342" spans="1:4" ht="18.75" x14ac:dyDescent="0.25">
      <c r="A342" s="1" t="s">
        <v>374</v>
      </c>
      <c r="B342" s="2"/>
      <c r="C342" s="2"/>
      <c r="D342" s="7"/>
    </row>
    <row r="343" spans="1:4" ht="25.5" x14ac:dyDescent="0.25">
      <c r="A343" s="88" t="s">
        <v>0</v>
      </c>
      <c r="B343" s="3" t="s">
        <v>1</v>
      </c>
      <c r="C343" s="3" t="s">
        <v>368</v>
      </c>
      <c r="D343" s="7" t="s">
        <v>369</v>
      </c>
    </row>
    <row r="344" spans="1:4" ht="18.75" hidden="1" x14ac:dyDescent="0.25">
      <c r="A344" s="89"/>
      <c r="B344" s="4"/>
      <c r="C344" s="4"/>
      <c r="D344" s="7">
        <f t="shared" si="5"/>
        <v>0</v>
      </c>
    </row>
    <row r="345" spans="1:4" ht="18.75" hidden="1" x14ac:dyDescent="0.25">
      <c r="A345" s="5" t="s">
        <v>2</v>
      </c>
      <c r="B345" s="7"/>
      <c r="C345" s="7"/>
      <c r="D345" s="7">
        <f t="shared" si="5"/>
        <v>0</v>
      </c>
    </row>
    <row r="346" spans="1:4" ht="18.75" hidden="1" x14ac:dyDescent="0.25">
      <c r="A346" s="8" t="s">
        <v>3</v>
      </c>
      <c r="B346" s="7"/>
      <c r="C346" s="7"/>
      <c r="D346" s="7">
        <f t="shared" si="5"/>
        <v>0</v>
      </c>
    </row>
    <row r="347" spans="1:4" ht="18.75" hidden="1" x14ac:dyDescent="0.25">
      <c r="A347" s="5" t="s">
        <v>4</v>
      </c>
      <c r="B347" s="7"/>
      <c r="C347" s="7"/>
      <c r="D347" s="7">
        <f t="shared" si="5"/>
        <v>0</v>
      </c>
    </row>
    <row r="348" spans="1:4" ht="18.75" x14ac:dyDescent="0.25">
      <c r="A348" s="5" t="s">
        <v>5</v>
      </c>
      <c r="B348" s="7">
        <v>135</v>
      </c>
      <c r="C348" s="7">
        <v>7300</v>
      </c>
      <c r="D348" s="7">
        <f t="shared" si="5"/>
        <v>985500</v>
      </c>
    </row>
    <row r="349" spans="1:4" ht="18.75" hidden="1" x14ac:dyDescent="0.25">
      <c r="A349" s="9" t="s">
        <v>6</v>
      </c>
      <c r="B349" s="7"/>
      <c r="C349" s="7"/>
      <c r="D349" s="7">
        <f t="shared" si="5"/>
        <v>0</v>
      </c>
    </row>
    <row r="350" spans="1:4" ht="18.75" hidden="1" x14ac:dyDescent="0.25">
      <c r="A350" s="10" t="s">
        <v>7</v>
      </c>
      <c r="B350" s="7"/>
      <c r="C350" s="7"/>
      <c r="D350" s="7">
        <f t="shared" si="5"/>
        <v>0</v>
      </c>
    </row>
    <row r="351" spans="1:4" ht="18.75" hidden="1" x14ac:dyDescent="0.25">
      <c r="A351" s="5" t="s">
        <v>8</v>
      </c>
      <c r="B351" s="7"/>
      <c r="C351" s="7"/>
      <c r="D351" s="7">
        <f t="shared" si="5"/>
        <v>0</v>
      </c>
    </row>
    <row r="352" spans="1:4" ht="18.75" hidden="1" x14ac:dyDescent="0.25">
      <c r="A352" s="5" t="s">
        <v>9</v>
      </c>
      <c r="B352" s="7"/>
      <c r="C352" s="7"/>
      <c r="D352" s="7">
        <f t="shared" si="5"/>
        <v>0</v>
      </c>
    </row>
    <row r="353" spans="1:4" ht="18.75" hidden="1" x14ac:dyDescent="0.25">
      <c r="A353" s="11" t="s">
        <v>339</v>
      </c>
      <c r="B353" s="7"/>
      <c r="C353" s="7"/>
      <c r="D353" s="7">
        <f t="shared" si="5"/>
        <v>0</v>
      </c>
    </row>
    <row r="354" spans="1:4" ht="18.75" hidden="1" x14ac:dyDescent="0.25">
      <c r="A354" s="9" t="s">
        <v>11</v>
      </c>
      <c r="B354" s="7"/>
      <c r="C354" s="7"/>
      <c r="D354" s="7">
        <f t="shared" si="5"/>
        <v>0</v>
      </c>
    </row>
    <row r="355" spans="1:4" ht="18.75" hidden="1" x14ac:dyDescent="0.25">
      <c r="A355" s="9" t="s">
        <v>12</v>
      </c>
      <c r="B355" s="7"/>
      <c r="C355" s="7"/>
      <c r="D355" s="7">
        <f t="shared" si="5"/>
        <v>0</v>
      </c>
    </row>
    <row r="356" spans="1:4" ht="18.75" hidden="1" x14ac:dyDescent="0.25">
      <c r="A356" s="12" t="s">
        <v>13</v>
      </c>
      <c r="B356" s="7"/>
      <c r="C356" s="7"/>
      <c r="D356" s="7">
        <f t="shared" si="5"/>
        <v>0</v>
      </c>
    </row>
    <row r="357" spans="1:4" ht="18.75" hidden="1" x14ac:dyDescent="0.25">
      <c r="A357" s="12" t="s">
        <v>14</v>
      </c>
      <c r="B357" s="7"/>
      <c r="C357" s="7"/>
      <c r="D357" s="7">
        <f t="shared" si="5"/>
        <v>0</v>
      </c>
    </row>
    <row r="358" spans="1:4" ht="18.75" hidden="1" x14ac:dyDescent="0.25">
      <c r="A358" s="9" t="s">
        <v>15</v>
      </c>
      <c r="B358" s="7"/>
      <c r="C358" s="7"/>
      <c r="D358" s="7">
        <f t="shared" si="5"/>
        <v>0</v>
      </c>
    </row>
    <row r="359" spans="1:4" ht="18.75" hidden="1" x14ac:dyDescent="0.25">
      <c r="A359" s="9" t="s">
        <v>16</v>
      </c>
      <c r="B359" s="7"/>
      <c r="C359" s="7"/>
      <c r="D359" s="7">
        <f t="shared" si="5"/>
        <v>0</v>
      </c>
    </row>
    <row r="360" spans="1:4" ht="18.75" hidden="1" x14ac:dyDescent="0.25">
      <c r="A360" s="13" t="s">
        <v>17</v>
      </c>
      <c r="B360" s="7"/>
      <c r="C360" s="7"/>
      <c r="D360" s="7">
        <f t="shared" si="5"/>
        <v>0</v>
      </c>
    </row>
    <row r="361" spans="1:4" ht="18.75" hidden="1" x14ac:dyDescent="0.25">
      <c r="A361" s="11" t="s">
        <v>18</v>
      </c>
      <c r="B361" s="7"/>
      <c r="C361" s="7"/>
      <c r="D361" s="7">
        <f t="shared" si="5"/>
        <v>0</v>
      </c>
    </row>
    <row r="362" spans="1:4" ht="18.75" x14ac:dyDescent="0.25">
      <c r="A362" s="9" t="s">
        <v>19</v>
      </c>
      <c r="B362" s="7">
        <f>80+180+280+300-200</f>
        <v>640</v>
      </c>
      <c r="C362" s="7">
        <v>12000</v>
      </c>
      <c r="D362" s="7">
        <f t="shared" si="5"/>
        <v>7680000</v>
      </c>
    </row>
    <row r="363" spans="1:4" ht="18.75" hidden="1" x14ac:dyDescent="0.25">
      <c r="A363" s="12" t="s">
        <v>20</v>
      </c>
      <c r="B363" s="7"/>
      <c r="C363" s="7"/>
      <c r="D363" s="7">
        <f t="shared" si="5"/>
        <v>0</v>
      </c>
    </row>
    <row r="364" spans="1:4" ht="18.75" hidden="1" x14ac:dyDescent="0.25">
      <c r="A364" s="12" t="s">
        <v>21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22</v>
      </c>
      <c r="B365" s="7"/>
      <c r="C365" s="7"/>
      <c r="D365" s="7">
        <f t="shared" si="5"/>
        <v>0</v>
      </c>
    </row>
    <row r="366" spans="1:4" ht="18.75" hidden="1" x14ac:dyDescent="0.25">
      <c r="A366" s="9" t="s">
        <v>23</v>
      </c>
      <c r="B366" s="7"/>
      <c r="C366" s="7"/>
      <c r="D366" s="7">
        <f t="shared" si="5"/>
        <v>0</v>
      </c>
    </row>
    <row r="367" spans="1:4" ht="18.75" hidden="1" x14ac:dyDescent="0.25">
      <c r="A367" s="9" t="s">
        <v>24</v>
      </c>
      <c r="B367" s="7"/>
      <c r="C367" s="7"/>
      <c r="D367" s="7">
        <f t="shared" si="5"/>
        <v>0</v>
      </c>
    </row>
    <row r="368" spans="1:4" ht="18.75" hidden="1" x14ac:dyDescent="0.25">
      <c r="A368" s="9" t="s">
        <v>25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26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27</v>
      </c>
      <c r="B370" s="7"/>
      <c r="C370" s="7"/>
      <c r="D370" s="7">
        <f t="shared" si="5"/>
        <v>0</v>
      </c>
    </row>
    <row r="371" spans="1:4" ht="18.75" hidden="1" x14ac:dyDescent="0.25">
      <c r="A371" s="12" t="s">
        <v>29</v>
      </c>
      <c r="B371" s="7"/>
      <c r="C371" s="7"/>
      <c r="D371" s="7">
        <f t="shared" si="5"/>
        <v>0</v>
      </c>
    </row>
    <row r="372" spans="1:4" ht="18.75" hidden="1" x14ac:dyDescent="0.25">
      <c r="A372" s="12" t="s">
        <v>37</v>
      </c>
      <c r="B372" s="7"/>
      <c r="C372" s="7"/>
      <c r="D372" s="7">
        <f t="shared" si="5"/>
        <v>0</v>
      </c>
    </row>
    <row r="373" spans="1:4" ht="18.75" hidden="1" x14ac:dyDescent="0.25">
      <c r="A373" s="9" t="s">
        <v>38</v>
      </c>
      <c r="B373" s="7"/>
      <c r="C373" s="7"/>
      <c r="D373" s="7">
        <f t="shared" si="5"/>
        <v>0</v>
      </c>
    </row>
    <row r="374" spans="1:4" ht="18.75" hidden="1" x14ac:dyDescent="0.25">
      <c r="A374" s="9" t="s">
        <v>39</v>
      </c>
      <c r="B374" s="7"/>
      <c r="C374" s="7"/>
      <c r="D374" s="7">
        <f t="shared" si="5"/>
        <v>0</v>
      </c>
    </row>
    <row r="375" spans="1:4" ht="18.75" hidden="1" x14ac:dyDescent="0.25">
      <c r="A375" s="11" t="s">
        <v>340</v>
      </c>
      <c r="B375" s="16"/>
      <c r="C375" s="16"/>
      <c r="D375" s="7">
        <f t="shared" si="5"/>
        <v>0</v>
      </c>
    </row>
    <row r="376" spans="1:4" ht="18.75" hidden="1" x14ac:dyDescent="0.25">
      <c r="A376" s="11" t="s">
        <v>40</v>
      </c>
      <c r="B376" s="16"/>
      <c r="C376" s="16"/>
      <c r="D376" s="7">
        <f t="shared" si="5"/>
        <v>0</v>
      </c>
    </row>
    <row r="377" spans="1:4" ht="18.75" hidden="1" x14ac:dyDescent="0.25">
      <c r="A377" s="9" t="s">
        <v>41</v>
      </c>
      <c r="B377" s="7"/>
      <c r="C377" s="7"/>
      <c r="D377" s="7">
        <f t="shared" si="5"/>
        <v>0</v>
      </c>
    </row>
    <row r="378" spans="1:4" ht="18.75" hidden="1" x14ac:dyDescent="0.25">
      <c r="A378" s="9" t="s">
        <v>42</v>
      </c>
      <c r="B378" s="7"/>
      <c r="C378" s="7"/>
      <c r="D378" s="7">
        <f t="shared" si="5"/>
        <v>0</v>
      </c>
    </row>
    <row r="379" spans="1:4" ht="18.75" hidden="1" x14ac:dyDescent="0.25">
      <c r="A379" s="17" t="s">
        <v>43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44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45</v>
      </c>
      <c r="B381" s="7"/>
      <c r="C381" s="7"/>
      <c r="D381" s="7">
        <f t="shared" si="5"/>
        <v>0</v>
      </c>
    </row>
    <row r="382" spans="1:4" ht="18.75" hidden="1" x14ac:dyDescent="0.25">
      <c r="A382" s="9" t="s">
        <v>46</v>
      </c>
      <c r="B382" s="7"/>
      <c r="C382" s="7"/>
      <c r="D382" s="7">
        <f t="shared" si="5"/>
        <v>0</v>
      </c>
    </row>
    <row r="383" spans="1:4" ht="18.75" hidden="1" x14ac:dyDescent="0.25">
      <c r="A383" s="9" t="s">
        <v>47</v>
      </c>
      <c r="B383" s="7"/>
      <c r="C383" s="7"/>
      <c r="D383" s="7">
        <f t="shared" si="5"/>
        <v>0</v>
      </c>
    </row>
    <row r="384" spans="1:4" ht="18.75" hidden="1" x14ac:dyDescent="0.25">
      <c r="A384" s="13" t="s">
        <v>48</v>
      </c>
      <c r="B384" s="7"/>
      <c r="C384" s="7"/>
      <c r="D384" s="7">
        <f t="shared" si="5"/>
        <v>0</v>
      </c>
    </row>
    <row r="385" spans="1:4" ht="18.75" hidden="1" x14ac:dyDescent="0.25">
      <c r="A385" s="11" t="s">
        <v>49</v>
      </c>
      <c r="B385" s="7"/>
      <c r="C385" s="7"/>
      <c r="D385" s="7">
        <f t="shared" si="5"/>
        <v>0</v>
      </c>
    </row>
    <row r="386" spans="1:4" ht="18.75" hidden="1" x14ac:dyDescent="0.25">
      <c r="A386" s="13" t="s">
        <v>50</v>
      </c>
      <c r="B386" s="7"/>
      <c r="C386" s="7"/>
      <c r="D386" s="7">
        <f t="shared" si="5"/>
        <v>0</v>
      </c>
    </row>
    <row r="387" spans="1:4" ht="18.75" hidden="1" x14ac:dyDescent="0.25">
      <c r="A387" s="9" t="s">
        <v>51</v>
      </c>
      <c r="B387" s="7"/>
      <c r="C387" s="7"/>
      <c r="D387" s="7">
        <f t="shared" si="5"/>
        <v>0</v>
      </c>
    </row>
    <row r="388" spans="1:4" ht="18.75" hidden="1" x14ac:dyDescent="0.25">
      <c r="A388" s="9" t="s">
        <v>52</v>
      </c>
      <c r="B388" s="7"/>
      <c r="C388" s="7"/>
      <c r="D388" s="7">
        <f t="shared" ref="D388:D451" si="6">B388*C388</f>
        <v>0</v>
      </c>
    </row>
    <row r="389" spans="1:4" ht="18.75" x14ac:dyDescent="0.25">
      <c r="A389" s="12" t="s">
        <v>53</v>
      </c>
      <c r="B389" s="7">
        <v>105</v>
      </c>
      <c r="C389" s="7">
        <v>23000</v>
      </c>
      <c r="D389" s="7">
        <f t="shared" si="6"/>
        <v>2415000</v>
      </c>
    </row>
    <row r="390" spans="1:4" ht="18.75" hidden="1" x14ac:dyDescent="0.25">
      <c r="A390" s="18" t="s">
        <v>54</v>
      </c>
      <c r="B390" s="7"/>
      <c r="C390" s="7"/>
      <c r="D390" s="7">
        <f t="shared" si="6"/>
        <v>0</v>
      </c>
    </row>
    <row r="391" spans="1:4" ht="18.75" hidden="1" x14ac:dyDescent="0.25">
      <c r="A391" s="17" t="s">
        <v>55</v>
      </c>
      <c r="B391" s="7"/>
      <c r="C391" s="7"/>
      <c r="D391" s="7">
        <f t="shared" si="6"/>
        <v>0</v>
      </c>
    </row>
    <row r="392" spans="1:4" ht="18.75" hidden="1" x14ac:dyDescent="0.25">
      <c r="A392" s="17" t="s">
        <v>56</v>
      </c>
      <c r="B392" s="7"/>
      <c r="C392" s="7"/>
      <c r="D392" s="7">
        <f t="shared" si="6"/>
        <v>0</v>
      </c>
    </row>
    <row r="393" spans="1:4" ht="18.75" hidden="1" x14ac:dyDescent="0.25">
      <c r="A393" s="17" t="s">
        <v>57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58</v>
      </c>
      <c r="B394" s="7"/>
      <c r="C394" s="7"/>
      <c r="D394" s="7">
        <f t="shared" si="6"/>
        <v>0</v>
      </c>
    </row>
    <row r="395" spans="1:4" ht="18.75" hidden="1" x14ac:dyDescent="0.25">
      <c r="A395" s="11" t="s">
        <v>59</v>
      </c>
      <c r="B395" s="7"/>
      <c r="C395" s="7"/>
      <c r="D395" s="7">
        <f t="shared" si="6"/>
        <v>0</v>
      </c>
    </row>
    <row r="396" spans="1:4" ht="18.75" hidden="1" x14ac:dyDescent="0.25">
      <c r="A396" s="9" t="s">
        <v>60</v>
      </c>
      <c r="B396" s="7"/>
      <c r="C396" s="7"/>
      <c r="D396" s="7">
        <f t="shared" si="6"/>
        <v>0</v>
      </c>
    </row>
    <row r="397" spans="1:4" ht="18.75" hidden="1" x14ac:dyDescent="0.25">
      <c r="A397" s="9" t="s">
        <v>61</v>
      </c>
      <c r="B397" s="7"/>
      <c r="C397" s="7"/>
      <c r="D397" s="7">
        <f t="shared" si="6"/>
        <v>0</v>
      </c>
    </row>
    <row r="398" spans="1:4" ht="18.75" hidden="1" x14ac:dyDescent="0.25">
      <c r="A398" s="17" t="s">
        <v>62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63</v>
      </c>
      <c r="B399" s="7"/>
      <c r="C399" s="7"/>
      <c r="D399" s="7">
        <f t="shared" si="6"/>
        <v>0</v>
      </c>
    </row>
    <row r="400" spans="1:4" ht="18.75" hidden="1" x14ac:dyDescent="0.25">
      <c r="A400" s="19" t="s">
        <v>64</v>
      </c>
      <c r="B400" s="7"/>
      <c r="C400" s="7"/>
      <c r="D400" s="7">
        <f t="shared" si="6"/>
        <v>0</v>
      </c>
    </row>
    <row r="401" spans="1:4" ht="18.75" hidden="1" x14ac:dyDescent="0.25">
      <c r="A401" s="9" t="s">
        <v>65</v>
      </c>
      <c r="B401" s="7"/>
      <c r="C401" s="7"/>
      <c r="D401" s="7">
        <f t="shared" si="6"/>
        <v>0</v>
      </c>
    </row>
    <row r="402" spans="1:4" ht="18.75" hidden="1" x14ac:dyDescent="0.25">
      <c r="A402" s="9" t="s">
        <v>66</v>
      </c>
      <c r="B402" s="7"/>
      <c r="C402" s="7"/>
      <c r="D402" s="7">
        <f t="shared" si="6"/>
        <v>0</v>
      </c>
    </row>
    <row r="403" spans="1:4" ht="18.75" hidden="1" x14ac:dyDescent="0.25">
      <c r="A403" s="20" t="s">
        <v>67</v>
      </c>
      <c r="B403" s="7"/>
      <c r="C403" s="7"/>
      <c r="D403" s="7">
        <f t="shared" si="6"/>
        <v>0</v>
      </c>
    </row>
    <row r="404" spans="1:4" ht="18.75" hidden="1" x14ac:dyDescent="0.25">
      <c r="A404" s="42" t="s">
        <v>68</v>
      </c>
      <c r="B404" s="7"/>
      <c r="C404" s="7"/>
      <c r="D404" s="7">
        <f t="shared" si="6"/>
        <v>0</v>
      </c>
    </row>
    <row r="405" spans="1:4" ht="18.75" hidden="1" x14ac:dyDescent="0.25">
      <c r="A405" s="12" t="s">
        <v>69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70</v>
      </c>
      <c r="B406" s="7"/>
      <c r="C406" s="7"/>
      <c r="D406" s="7">
        <f t="shared" si="6"/>
        <v>0</v>
      </c>
    </row>
    <row r="407" spans="1:4" ht="18.75" hidden="1" x14ac:dyDescent="0.25">
      <c r="A407" s="12" t="s">
        <v>71</v>
      </c>
      <c r="B407" s="7"/>
      <c r="C407" s="7"/>
      <c r="D407" s="7">
        <f t="shared" si="6"/>
        <v>0</v>
      </c>
    </row>
    <row r="408" spans="1:4" ht="18.75" hidden="1" x14ac:dyDescent="0.25">
      <c r="A408" s="12" t="s">
        <v>72</v>
      </c>
      <c r="B408" s="7"/>
      <c r="C408" s="7"/>
      <c r="D408" s="7">
        <f t="shared" si="6"/>
        <v>0</v>
      </c>
    </row>
    <row r="409" spans="1:4" ht="18.75" hidden="1" x14ac:dyDescent="0.25">
      <c r="A409" s="12" t="s">
        <v>73</v>
      </c>
      <c r="B409" s="7"/>
      <c r="C409" s="7"/>
      <c r="D409" s="7">
        <f t="shared" si="6"/>
        <v>0</v>
      </c>
    </row>
    <row r="410" spans="1:4" ht="18.75" hidden="1" x14ac:dyDescent="0.25">
      <c r="A410" s="20" t="s">
        <v>74</v>
      </c>
      <c r="B410" s="7"/>
      <c r="C410" s="7"/>
      <c r="D410" s="7">
        <f t="shared" si="6"/>
        <v>0</v>
      </c>
    </row>
    <row r="411" spans="1:4" ht="18.75" hidden="1" x14ac:dyDescent="0.25">
      <c r="A411" s="9" t="s">
        <v>75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76</v>
      </c>
      <c r="B412" s="7"/>
      <c r="C412" s="7"/>
      <c r="D412" s="7">
        <f t="shared" si="6"/>
        <v>0</v>
      </c>
    </row>
    <row r="413" spans="1:4" ht="18.75" hidden="1" x14ac:dyDescent="0.25">
      <c r="A413" s="12" t="s">
        <v>341</v>
      </c>
      <c r="B413" s="7"/>
      <c r="C413" s="7"/>
      <c r="D413" s="7">
        <f t="shared" si="6"/>
        <v>0</v>
      </c>
    </row>
    <row r="414" spans="1:4" ht="18.75" x14ac:dyDescent="0.25">
      <c r="A414" s="9" t="s">
        <v>77</v>
      </c>
      <c r="B414" s="7">
        <v>100</v>
      </c>
      <c r="C414" s="7">
        <v>26000</v>
      </c>
      <c r="D414" s="7">
        <f t="shared" si="6"/>
        <v>2600000</v>
      </c>
    </row>
    <row r="415" spans="1:4" ht="18.75" hidden="1" x14ac:dyDescent="0.25">
      <c r="A415" s="13" t="s">
        <v>78</v>
      </c>
      <c r="B415" s="7"/>
      <c r="C415" s="7"/>
      <c r="D415" s="7">
        <f t="shared" si="6"/>
        <v>0</v>
      </c>
    </row>
    <row r="416" spans="1:4" ht="18.75" hidden="1" x14ac:dyDescent="0.25">
      <c r="A416" s="9" t="s">
        <v>79</v>
      </c>
      <c r="B416" s="7"/>
      <c r="C416" s="7"/>
      <c r="D416" s="7">
        <f t="shared" si="6"/>
        <v>0</v>
      </c>
    </row>
    <row r="417" spans="1:4" ht="18.75" hidden="1" x14ac:dyDescent="0.25">
      <c r="A417" s="9" t="s">
        <v>80</v>
      </c>
      <c r="B417" s="7"/>
      <c r="C417" s="7"/>
      <c r="D417" s="7">
        <f t="shared" si="6"/>
        <v>0</v>
      </c>
    </row>
    <row r="418" spans="1:4" ht="18.75" hidden="1" x14ac:dyDescent="0.25">
      <c r="A418" s="9" t="s">
        <v>81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82</v>
      </c>
      <c r="B419" s="16"/>
      <c r="C419" s="16"/>
      <c r="D419" s="7">
        <f t="shared" si="6"/>
        <v>0</v>
      </c>
    </row>
    <row r="420" spans="1:4" ht="18.75" hidden="1" x14ac:dyDescent="0.25">
      <c r="A420" s="12" t="s">
        <v>83</v>
      </c>
      <c r="B420" s="16"/>
      <c r="C420" s="16"/>
      <c r="D420" s="7">
        <f t="shared" si="6"/>
        <v>0</v>
      </c>
    </row>
    <row r="421" spans="1:4" ht="18.75" hidden="1" x14ac:dyDescent="0.25">
      <c r="A421" s="12" t="s">
        <v>84</v>
      </c>
      <c r="B421" s="16"/>
      <c r="C421" s="16"/>
      <c r="D421" s="7">
        <f t="shared" si="6"/>
        <v>0</v>
      </c>
    </row>
    <row r="422" spans="1:4" ht="18.75" hidden="1" x14ac:dyDescent="0.25">
      <c r="A422" s="9" t="s">
        <v>85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86</v>
      </c>
      <c r="B423" s="7"/>
      <c r="C423" s="7"/>
      <c r="D423" s="7">
        <f t="shared" si="6"/>
        <v>0</v>
      </c>
    </row>
    <row r="424" spans="1:4" ht="18.75" hidden="1" x14ac:dyDescent="0.25">
      <c r="A424" s="9" t="s">
        <v>87</v>
      </c>
      <c r="B424" s="7"/>
      <c r="C424" s="7"/>
      <c r="D424" s="7">
        <f t="shared" si="6"/>
        <v>0</v>
      </c>
    </row>
    <row r="425" spans="1:4" ht="18.75" hidden="1" x14ac:dyDescent="0.25">
      <c r="A425" s="9" t="s">
        <v>88</v>
      </c>
      <c r="B425" s="7"/>
      <c r="C425" s="7"/>
      <c r="D425" s="7">
        <f t="shared" si="6"/>
        <v>0</v>
      </c>
    </row>
    <row r="426" spans="1:4" ht="18.75" hidden="1" x14ac:dyDescent="0.25">
      <c r="A426" s="9" t="s">
        <v>89</v>
      </c>
      <c r="B426" s="7"/>
      <c r="C426" s="7"/>
      <c r="D426" s="7">
        <f t="shared" si="6"/>
        <v>0</v>
      </c>
    </row>
    <row r="427" spans="1:4" ht="18.75" x14ac:dyDescent="0.25">
      <c r="A427" s="9" t="s">
        <v>90</v>
      </c>
      <c r="B427" s="7">
        <f>27+90</f>
        <v>117</v>
      </c>
      <c r="C427" s="7">
        <v>9000</v>
      </c>
      <c r="D427" s="7">
        <f t="shared" si="6"/>
        <v>1053000</v>
      </c>
    </row>
    <row r="428" spans="1:4" ht="18.75" hidden="1" x14ac:dyDescent="0.25">
      <c r="A428" s="21" t="s">
        <v>91</v>
      </c>
      <c r="B428" s="7"/>
      <c r="C428" s="7"/>
      <c r="D428" s="7">
        <f t="shared" si="6"/>
        <v>0</v>
      </c>
    </row>
    <row r="429" spans="1:4" ht="18.75" hidden="1" x14ac:dyDescent="0.25">
      <c r="A429" s="21" t="s">
        <v>92</v>
      </c>
      <c r="B429" s="7"/>
      <c r="C429" s="7"/>
      <c r="D429" s="7">
        <f t="shared" si="6"/>
        <v>0</v>
      </c>
    </row>
    <row r="430" spans="1:4" ht="18.75" hidden="1" x14ac:dyDescent="0.25">
      <c r="A430" s="21" t="s">
        <v>93</v>
      </c>
      <c r="B430" s="7"/>
      <c r="C430" s="7"/>
      <c r="D430" s="7">
        <f t="shared" si="6"/>
        <v>0</v>
      </c>
    </row>
    <row r="431" spans="1:4" ht="18.75" hidden="1" x14ac:dyDescent="0.25">
      <c r="A431" s="11" t="s">
        <v>94</v>
      </c>
      <c r="B431" s="7"/>
      <c r="C431" s="7"/>
      <c r="D431" s="7">
        <f t="shared" si="6"/>
        <v>0</v>
      </c>
    </row>
    <row r="432" spans="1:4" ht="18.75" hidden="1" x14ac:dyDescent="0.25">
      <c r="A432" s="13" t="s">
        <v>95</v>
      </c>
      <c r="B432" s="7"/>
      <c r="C432" s="7"/>
      <c r="D432" s="7">
        <f t="shared" si="6"/>
        <v>0</v>
      </c>
    </row>
    <row r="433" spans="1:4" ht="18.75" hidden="1" x14ac:dyDescent="0.25">
      <c r="A433" s="11" t="s">
        <v>342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96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97</v>
      </c>
      <c r="B435" s="7"/>
      <c r="C435" s="7"/>
      <c r="D435" s="7">
        <f t="shared" si="6"/>
        <v>0</v>
      </c>
    </row>
    <row r="436" spans="1:4" ht="18.75" hidden="1" x14ac:dyDescent="0.25">
      <c r="A436" s="11" t="s">
        <v>343</v>
      </c>
      <c r="B436" s="7"/>
      <c r="C436" s="7"/>
      <c r="D436" s="7">
        <f t="shared" si="6"/>
        <v>0</v>
      </c>
    </row>
    <row r="437" spans="1:4" ht="18.75" hidden="1" x14ac:dyDescent="0.25">
      <c r="A437" s="11" t="s">
        <v>344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99</v>
      </c>
      <c r="B438" s="16"/>
      <c r="C438" s="16"/>
      <c r="D438" s="7">
        <f t="shared" si="6"/>
        <v>0</v>
      </c>
    </row>
    <row r="439" spans="1:4" ht="18.75" hidden="1" x14ac:dyDescent="0.25">
      <c r="A439" s="21" t="s">
        <v>101</v>
      </c>
      <c r="B439" s="7"/>
      <c r="C439" s="7"/>
      <c r="D439" s="7">
        <f t="shared" si="6"/>
        <v>0</v>
      </c>
    </row>
    <row r="440" spans="1:4" ht="18.75" hidden="1" x14ac:dyDescent="0.25">
      <c r="A440" s="11" t="s">
        <v>102</v>
      </c>
      <c r="B440" s="7"/>
      <c r="C440" s="7"/>
      <c r="D440" s="7">
        <f t="shared" si="6"/>
        <v>0</v>
      </c>
    </row>
    <row r="441" spans="1:4" ht="18.75" hidden="1" x14ac:dyDescent="0.25">
      <c r="A441" s="11" t="s">
        <v>345</v>
      </c>
      <c r="B441" s="7"/>
      <c r="C441" s="7"/>
      <c r="D441" s="7">
        <f t="shared" si="6"/>
        <v>0</v>
      </c>
    </row>
    <row r="442" spans="1:4" ht="18.75" hidden="1" x14ac:dyDescent="0.25">
      <c r="A442" s="9" t="s">
        <v>103</v>
      </c>
      <c r="B442" s="7"/>
      <c r="C442" s="7"/>
      <c r="D442" s="7">
        <f t="shared" si="6"/>
        <v>0</v>
      </c>
    </row>
    <row r="443" spans="1:4" ht="18.75" hidden="1" x14ac:dyDescent="0.25">
      <c r="A443" s="17" t="s">
        <v>104</v>
      </c>
      <c r="B443" s="7"/>
      <c r="C443" s="7"/>
      <c r="D443" s="7">
        <f t="shared" si="6"/>
        <v>0</v>
      </c>
    </row>
    <row r="444" spans="1:4" ht="18.75" hidden="1" x14ac:dyDescent="0.25">
      <c r="A444" s="24" t="s">
        <v>105</v>
      </c>
      <c r="B444" s="7"/>
      <c r="C444" s="7"/>
      <c r="D444" s="7">
        <f t="shared" si="6"/>
        <v>0</v>
      </c>
    </row>
    <row r="445" spans="1:4" ht="18.75" hidden="1" x14ac:dyDescent="0.25">
      <c r="A445" s="24" t="s">
        <v>106</v>
      </c>
      <c r="B445" s="7"/>
      <c r="C445" s="7"/>
      <c r="D445" s="7">
        <f t="shared" si="6"/>
        <v>0</v>
      </c>
    </row>
    <row r="446" spans="1:4" ht="18.75" hidden="1" x14ac:dyDescent="0.25">
      <c r="A446" s="23" t="s">
        <v>107</v>
      </c>
      <c r="B446" s="7"/>
      <c r="C446" s="7"/>
      <c r="D446" s="7">
        <f t="shared" si="6"/>
        <v>0</v>
      </c>
    </row>
    <row r="447" spans="1:4" ht="18.75" hidden="1" x14ac:dyDescent="0.25">
      <c r="A447" s="25" t="s">
        <v>108</v>
      </c>
      <c r="B447" s="7"/>
      <c r="C447" s="7"/>
      <c r="D447" s="7">
        <f t="shared" si="6"/>
        <v>0</v>
      </c>
    </row>
    <row r="448" spans="1:4" ht="18.75" hidden="1" x14ac:dyDescent="0.25">
      <c r="A448" s="9" t="s">
        <v>109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110</v>
      </c>
      <c r="B449" s="7"/>
      <c r="C449" s="7"/>
      <c r="D449" s="7">
        <f t="shared" si="6"/>
        <v>0</v>
      </c>
    </row>
    <row r="450" spans="1:4" ht="18.75" hidden="1" x14ac:dyDescent="0.25">
      <c r="A450" s="9" t="s">
        <v>111</v>
      </c>
      <c r="B450" s="7"/>
      <c r="C450" s="7"/>
      <c r="D450" s="7">
        <f t="shared" si="6"/>
        <v>0</v>
      </c>
    </row>
    <row r="451" spans="1:4" ht="18.75" hidden="1" x14ac:dyDescent="0.25">
      <c r="A451" s="9" t="s">
        <v>112</v>
      </c>
      <c r="B451" s="7"/>
      <c r="C451" s="7"/>
      <c r="D451" s="7">
        <f t="shared" si="6"/>
        <v>0</v>
      </c>
    </row>
    <row r="452" spans="1:4" ht="18.75" hidden="1" x14ac:dyDescent="0.25">
      <c r="A452" s="9" t="s">
        <v>114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115</v>
      </c>
      <c r="B453" s="7"/>
      <c r="C453" s="7"/>
      <c r="D453" s="7">
        <f t="shared" si="7"/>
        <v>0</v>
      </c>
    </row>
    <row r="454" spans="1:4" ht="18.75" hidden="1" x14ac:dyDescent="0.25">
      <c r="A454" s="9" t="s">
        <v>346</v>
      </c>
      <c r="B454" s="7"/>
      <c r="C454" s="7"/>
      <c r="D454" s="7">
        <f t="shared" si="7"/>
        <v>0</v>
      </c>
    </row>
    <row r="455" spans="1:4" ht="18.75" hidden="1" x14ac:dyDescent="0.25">
      <c r="A455" s="9" t="s">
        <v>116</v>
      </c>
      <c r="B455" s="7"/>
      <c r="C455" s="7"/>
      <c r="D455" s="7">
        <f t="shared" si="7"/>
        <v>0</v>
      </c>
    </row>
    <row r="456" spans="1:4" ht="18.75" hidden="1" x14ac:dyDescent="0.25">
      <c r="A456" s="11" t="s">
        <v>117</v>
      </c>
      <c r="B456" s="7"/>
      <c r="C456" s="7"/>
      <c r="D456" s="7">
        <f t="shared" si="7"/>
        <v>0</v>
      </c>
    </row>
    <row r="457" spans="1:4" ht="18.75" hidden="1" x14ac:dyDescent="0.25">
      <c r="A457" s="21" t="s">
        <v>118</v>
      </c>
      <c r="B457" s="7"/>
      <c r="C457" s="7"/>
      <c r="D457" s="7">
        <f t="shared" si="7"/>
        <v>0</v>
      </c>
    </row>
    <row r="458" spans="1:4" ht="18.75" hidden="1" x14ac:dyDescent="0.25">
      <c r="A458" s="9" t="s">
        <v>119</v>
      </c>
      <c r="B458" s="7"/>
      <c r="C458" s="7"/>
      <c r="D458" s="7">
        <f t="shared" si="7"/>
        <v>0</v>
      </c>
    </row>
    <row r="459" spans="1:4" ht="18.75" hidden="1" x14ac:dyDescent="0.25">
      <c r="A459" s="11" t="s">
        <v>120</v>
      </c>
      <c r="B459" s="7"/>
      <c r="C459" s="7"/>
      <c r="D459" s="7">
        <f t="shared" si="7"/>
        <v>0</v>
      </c>
    </row>
    <row r="460" spans="1:4" ht="18.75" hidden="1" x14ac:dyDescent="0.25">
      <c r="A460" s="11" t="s">
        <v>121</v>
      </c>
      <c r="B460" s="7"/>
      <c r="C460" s="7"/>
      <c r="D460" s="7">
        <f t="shared" si="7"/>
        <v>0</v>
      </c>
    </row>
    <row r="461" spans="1:4" ht="18.75" x14ac:dyDescent="0.25">
      <c r="A461" s="9" t="s">
        <v>122</v>
      </c>
      <c r="B461" s="7">
        <v>10</v>
      </c>
      <c r="C461" s="7">
        <v>12000</v>
      </c>
      <c r="D461" s="7">
        <f t="shared" si="7"/>
        <v>120000</v>
      </c>
    </row>
    <row r="462" spans="1:4" ht="18.75" hidden="1" x14ac:dyDescent="0.25">
      <c r="A462" s="10" t="s">
        <v>124</v>
      </c>
      <c r="B462" s="7"/>
      <c r="C462" s="7"/>
      <c r="D462" s="7">
        <f t="shared" si="7"/>
        <v>0</v>
      </c>
    </row>
    <row r="463" spans="1:4" ht="18.75" hidden="1" x14ac:dyDescent="0.25">
      <c r="A463" s="13" t="s">
        <v>125</v>
      </c>
      <c r="B463" s="7"/>
      <c r="C463" s="7"/>
      <c r="D463" s="7">
        <f t="shared" si="7"/>
        <v>0</v>
      </c>
    </row>
    <row r="464" spans="1:4" ht="18.75" hidden="1" x14ac:dyDescent="0.25">
      <c r="A464" s="12" t="s">
        <v>126</v>
      </c>
      <c r="B464" s="16"/>
      <c r="C464" s="16"/>
      <c r="D464" s="7">
        <f t="shared" si="7"/>
        <v>0</v>
      </c>
    </row>
    <row r="465" spans="1:4" ht="18.75" hidden="1" x14ac:dyDescent="0.25">
      <c r="A465" s="12" t="s">
        <v>127</v>
      </c>
      <c r="B465" s="16"/>
      <c r="C465" s="16"/>
      <c r="D465" s="7">
        <f t="shared" si="7"/>
        <v>0</v>
      </c>
    </row>
    <row r="466" spans="1:4" ht="18.75" hidden="1" x14ac:dyDescent="0.25">
      <c r="A466" s="12" t="s">
        <v>128</v>
      </c>
      <c r="B466" s="16"/>
      <c r="C466" s="16"/>
      <c r="D466" s="7">
        <f t="shared" si="7"/>
        <v>0</v>
      </c>
    </row>
    <row r="467" spans="1:4" ht="18.75" hidden="1" x14ac:dyDescent="0.25">
      <c r="A467" s="12" t="s">
        <v>129</v>
      </c>
      <c r="B467" s="27"/>
      <c r="C467" s="27"/>
      <c r="D467" s="7">
        <f t="shared" si="7"/>
        <v>0</v>
      </c>
    </row>
    <row r="468" spans="1:4" ht="18.75" hidden="1" x14ac:dyDescent="0.25">
      <c r="A468" s="28" t="s">
        <v>130</v>
      </c>
      <c r="B468" s="7"/>
      <c r="C468" s="7"/>
      <c r="D468" s="7">
        <f t="shared" si="7"/>
        <v>0</v>
      </c>
    </row>
    <row r="469" spans="1:4" ht="18.75" hidden="1" x14ac:dyDescent="0.25">
      <c r="A469" s="12" t="s">
        <v>131</v>
      </c>
      <c r="B469" s="16"/>
      <c r="C469" s="16"/>
      <c r="D469" s="7">
        <f t="shared" si="7"/>
        <v>0</v>
      </c>
    </row>
    <row r="470" spans="1:4" ht="18.75" hidden="1" x14ac:dyDescent="0.25">
      <c r="A470" s="9" t="s">
        <v>132</v>
      </c>
      <c r="B470" s="7"/>
      <c r="C470" s="7"/>
      <c r="D470" s="7">
        <f t="shared" si="7"/>
        <v>0</v>
      </c>
    </row>
    <row r="471" spans="1:4" ht="18.75" hidden="1" x14ac:dyDescent="0.25">
      <c r="A471" s="9" t="s">
        <v>133</v>
      </c>
      <c r="B471" s="7"/>
      <c r="C471" s="7"/>
      <c r="D471" s="7">
        <f t="shared" si="7"/>
        <v>0</v>
      </c>
    </row>
    <row r="472" spans="1:4" ht="18.75" hidden="1" x14ac:dyDescent="0.25">
      <c r="A472" s="9" t="s">
        <v>135</v>
      </c>
      <c r="B472" s="7"/>
      <c r="C472" s="7"/>
      <c r="D472" s="7">
        <f t="shared" si="7"/>
        <v>0</v>
      </c>
    </row>
    <row r="473" spans="1:4" ht="18.75" hidden="1" x14ac:dyDescent="0.25">
      <c r="A473" s="17" t="s">
        <v>136</v>
      </c>
      <c r="B473" s="7"/>
      <c r="C473" s="7"/>
      <c r="D473" s="7">
        <f t="shared" si="7"/>
        <v>0</v>
      </c>
    </row>
    <row r="474" spans="1:4" ht="18.75" hidden="1" x14ac:dyDescent="0.25">
      <c r="A474" s="12" t="s">
        <v>137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138</v>
      </c>
      <c r="B475" s="7"/>
      <c r="C475" s="7"/>
      <c r="D475" s="7">
        <f t="shared" si="7"/>
        <v>0</v>
      </c>
    </row>
    <row r="476" spans="1:4" ht="18.75" hidden="1" x14ac:dyDescent="0.25">
      <c r="A476" s="9" t="s">
        <v>139</v>
      </c>
      <c r="B476" s="7"/>
      <c r="C476" s="7"/>
      <c r="D476" s="7">
        <f t="shared" si="7"/>
        <v>0</v>
      </c>
    </row>
    <row r="477" spans="1:4" ht="18.75" hidden="1" x14ac:dyDescent="0.25">
      <c r="A477" s="9" t="s">
        <v>347</v>
      </c>
      <c r="B477" s="7"/>
      <c r="C477" s="7"/>
      <c r="D477" s="7">
        <f t="shared" si="7"/>
        <v>0</v>
      </c>
    </row>
    <row r="478" spans="1:4" ht="18.75" hidden="1" x14ac:dyDescent="0.25">
      <c r="A478" s="9" t="s">
        <v>141</v>
      </c>
      <c r="B478" s="16"/>
      <c r="C478" s="16"/>
      <c r="D478" s="7">
        <f t="shared" si="7"/>
        <v>0</v>
      </c>
    </row>
    <row r="479" spans="1:4" ht="18.75" hidden="1" x14ac:dyDescent="0.25">
      <c r="A479" s="9" t="s">
        <v>142</v>
      </c>
      <c r="B479" s="16"/>
      <c r="C479" s="16"/>
      <c r="D479" s="7">
        <f t="shared" si="7"/>
        <v>0</v>
      </c>
    </row>
    <row r="480" spans="1:4" ht="18.75" hidden="1" x14ac:dyDescent="0.25">
      <c r="A480" s="9" t="s">
        <v>143</v>
      </c>
      <c r="B480" s="7"/>
      <c r="C480" s="7"/>
      <c r="D480" s="7">
        <f t="shared" si="7"/>
        <v>0</v>
      </c>
    </row>
    <row r="481" spans="1:4" ht="18.75" hidden="1" x14ac:dyDescent="0.25">
      <c r="A481" s="9" t="s">
        <v>144</v>
      </c>
      <c r="B481" s="16"/>
      <c r="C481" s="16"/>
      <c r="D481" s="7">
        <f t="shared" si="7"/>
        <v>0</v>
      </c>
    </row>
    <row r="482" spans="1:4" ht="18.75" hidden="1" x14ac:dyDescent="0.25">
      <c r="A482" s="9" t="s">
        <v>145</v>
      </c>
      <c r="B482" s="16"/>
      <c r="C482" s="16"/>
      <c r="D482" s="7">
        <f t="shared" si="7"/>
        <v>0</v>
      </c>
    </row>
    <row r="483" spans="1:4" ht="18.75" hidden="1" x14ac:dyDescent="0.25">
      <c r="A483" s="9" t="s">
        <v>146</v>
      </c>
      <c r="B483" s="16"/>
      <c r="C483" s="16"/>
      <c r="D483" s="7">
        <f t="shared" si="7"/>
        <v>0</v>
      </c>
    </row>
    <row r="484" spans="1:4" ht="18.75" hidden="1" x14ac:dyDescent="0.25">
      <c r="A484" s="9" t="s">
        <v>147</v>
      </c>
      <c r="B484" s="16"/>
      <c r="C484" s="16"/>
      <c r="D484" s="7">
        <f t="shared" si="7"/>
        <v>0</v>
      </c>
    </row>
    <row r="485" spans="1:4" ht="18.75" hidden="1" x14ac:dyDescent="0.25">
      <c r="A485" s="9" t="s">
        <v>148</v>
      </c>
      <c r="B485" s="16"/>
      <c r="C485" s="16"/>
      <c r="D485" s="7">
        <f t="shared" si="7"/>
        <v>0</v>
      </c>
    </row>
    <row r="486" spans="1:4" ht="18.75" hidden="1" x14ac:dyDescent="0.25">
      <c r="A486" s="9" t="s">
        <v>149</v>
      </c>
      <c r="B486" s="16"/>
      <c r="C486" s="16"/>
      <c r="D486" s="7">
        <f t="shared" si="7"/>
        <v>0</v>
      </c>
    </row>
    <row r="487" spans="1:4" ht="18.75" hidden="1" x14ac:dyDescent="0.25">
      <c r="A487" s="9" t="s">
        <v>150</v>
      </c>
      <c r="B487" s="16"/>
      <c r="C487" s="16"/>
      <c r="D487" s="7">
        <f t="shared" si="7"/>
        <v>0</v>
      </c>
    </row>
    <row r="488" spans="1:4" ht="18.75" hidden="1" x14ac:dyDescent="0.25">
      <c r="A488" s="9" t="s">
        <v>151</v>
      </c>
      <c r="B488" s="16"/>
      <c r="C488" s="16"/>
      <c r="D488" s="7">
        <f t="shared" si="7"/>
        <v>0</v>
      </c>
    </row>
    <row r="489" spans="1:4" ht="18.75" hidden="1" x14ac:dyDescent="0.25">
      <c r="A489" s="9" t="s">
        <v>152</v>
      </c>
      <c r="B489" s="7"/>
      <c r="C489" s="7"/>
      <c r="D489" s="7">
        <f t="shared" si="7"/>
        <v>0</v>
      </c>
    </row>
    <row r="490" spans="1:4" ht="18.75" hidden="1" x14ac:dyDescent="0.25">
      <c r="A490" s="9" t="s">
        <v>348</v>
      </c>
      <c r="B490" s="7"/>
      <c r="C490" s="7"/>
      <c r="D490" s="7">
        <f t="shared" si="7"/>
        <v>0</v>
      </c>
    </row>
    <row r="491" spans="1:4" ht="18.75" hidden="1" x14ac:dyDescent="0.25">
      <c r="A491" s="9" t="s">
        <v>153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154</v>
      </c>
      <c r="B492" s="7"/>
      <c r="C492" s="7"/>
      <c r="D492" s="7">
        <f t="shared" si="7"/>
        <v>0</v>
      </c>
    </row>
    <row r="493" spans="1:4" ht="18.75" hidden="1" x14ac:dyDescent="0.25">
      <c r="A493" s="9" t="s">
        <v>155</v>
      </c>
      <c r="B493" s="7"/>
      <c r="C493" s="7"/>
      <c r="D493" s="7">
        <f t="shared" si="7"/>
        <v>0</v>
      </c>
    </row>
    <row r="494" spans="1:4" ht="18.75" hidden="1" x14ac:dyDescent="0.25">
      <c r="A494" s="17" t="s">
        <v>156</v>
      </c>
      <c r="B494" s="7"/>
      <c r="C494" s="7"/>
      <c r="D494" s="7">
        <f t="shared" si="7"/>
        <v>0</v>
      </c>
    </row>
    <row r="495" spans="1:4" ht="18.75" hidden="1" x14ac:dyDescent="0.25">
      <c r="A495" s="9" t="s">
        <v>157</v>
      </c>
      <c r="B495" s="7"/>
      <c r="C495" s="7"/>
      <c r="D495" s="7">
        <f t="shared" si="7"/>
        <v>0</v>
      </c>
    </row>
    <row r="496" spans="1:4" ht="18.75" hidden="1" x14ac:dyDescent="0.25">
      <c r="A496" s="9" t="s">
        <v>158</v>
      </c>
      <c r="B496" s="7"/>
      <c r="C496" s="7"/>
      <c r="D496" s="7">
        <f t="shared" si="7"/>
        <v>0</v>
      </c>
    </row>
    <row r="497" spans="1:4" ht="18.75" x14ac:dyDescent="0.25">
      <c r="A497" s="9" t="s">
        <v>159</v>
      </c>
      <c r="B497" s="7">
        <v>5</v>
      </c>
      <c r="C497" s="7">
        <v>8000</v>
      </c>
      <c r="D497" s="7">
        <f t="shared" si="7"/>
        <v>40000</v>
      </c>
    </row>
    <row r="498" spans="1:4" ht="18.75" hidden="1" x14ac:dyDescent="0.25">
      <c r="A498" s="9" t="s">
        <v>160</v>
      </c>
      <c r="B498" s="7"/>
      <c r="C498" s="7"/>
      <c r="D498" s="7">
        <f t="shared" si="7"/>
        <v>0</v>
      </c>
    </row>
    <row r="499" spans="1:4" ht="18.75" hidden="1" x14ac:dyDescent="0.25">
      <c r="A499" s="9" t="s">
        <v>161</v>
      </c>
      <c r="B499" s="16"/>
      <c r="C499" s="16"/>
      <c r="D499" s="7">
        <f t="shared" si="7"/>
        <v>0</v>
      </c>
    </row>
    <row r="500" spans="1:4" ht="18.75" hidden="1" x14ac:dyDescent="0.25">
      <c r="A500" s="18" t="s">
        <v>162</v>
      </c>
      <c r="B500" s="16"/>
      <c r="C500" s="16"/>
      <c r="D500" s="7">
        <f t="shared" si="7"/>
        <v>0</v>
      </c>
    </row>
    <row r="501" spans="1:4" ht="18.75" hidden="1" x14ac:dyDescent="0.25">
      <c r="A501" s="9" t="s">
        <v>163</v>
      </c>
      <c r="B501" s="16"/>
      <c r="C501" s="16"/>
      <c r="D501" s="7">
        <f t="shared" si="7"/>
        <v>0</v>
      </c>
    </row>
    <row r="502" spans="1:4" ht="18.75" hidden="1" x14ac:dyDescent="0.25">
      <c r="A502" s="9" t="s">
        <v>165</v>
      </c>
      <c r="B502" s="7"/>
      <c r="C502" s="7"/>
      <c r="D502" s="7">
        <f t="shared" si="7"/>
        <v>0</v>
      </c>
    </row>
    <row r="503" spans="1:4" ht="18.75" hidden="1" x14ac:dyDescent="0.25">
      <c r="A503" s="17" t="s">
        <v>166</v>
      </c>
      <c r="B503" s="7"/>
      <c r="C503" s="7"/>
      <c r="D503" s="7">
        <f t="shared" si="7"/>
        <v>0</v>
      </c>
    </row>
    <row r="504" spans="1:4" ht="18.75" hidden="1" x14ac:dyDescent="0.25">
      <c r="A504" s="9" t="s">
        <v>349</v>
      </c>
      <c r="B504" s="7"/>
      <c r="C504" s="7"/>
      <c r="D504" s="7">
        <f t="shared" si="7"/>
        <v>0</v>
      </c>
    </row>
    <row r="505" spans="1:4" ht="18.75" hidden="1" x14ac:dyDescent="0.25">
      <c r="A505" s="12" t="s">
        <v>167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168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170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171</v>
      </c>
      <c r="B508" s="7"/>
      <c r="C508" s="7"/>
      <c r="D508" s="7">
        <f t="shared" si="7"/>
        <v>0</v>
      </c>
    </row>
    <row r="509" spans="1:4" ht="18.75" hidden="1" x14ac:dyDescent="0.25">
      <c r="A509" s="20" t="s">
        <v>172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173</v>
      </c>
      <c r="B510" s="7"/>
      <c r="C510" s="7"/>
      <c r="D510" s="7">
        <f t="shared" si="7"/>
        <v>0</v>
      </c>
    </row>
    <row r="511" spans="1:4" ht="18.75" hidden="1" x14ac:dyDescent="0.25">
      <c r="A511" s="31" t="s">
        <v>174</v>
      </c>
      <c r="B511" s="33"/>
      <c r="C511" s="33"/>
      <c r="D511" s="7">
        <f t="shared" si="7"/>
        <v>0</v>
      </c>
    </row>
    <row r="512" spans="1:4" ht="18.75" hidden="1" x14ac:dyDescent="0.25">
      <c r="A512" s="11" t="s">
        <v>175</v>
      </c>
      <c r="B512" s="7"/>
      <c r="C512" s="7"/>
      <c r="D512" s="7">
        <f t="shared" si="7"/>
        <v>0</v>
      </c>
    </row>
    <row r="513" spans="1:4" ht="18.75" hidden="1" x14ac:dyDescent="0.25">
      <c r="A513" s="9" t="s">
        <v>176</v>
      </c>
      <c r="B513" s="7"/>
      <c r="C513" s="7"/>
      <c r="D513" s="7">
        <f t="shared" si="7"/>
        <v>0</v>
      </c>
    </row>
    <row r="514" spans="1:4" ht="18.75" hidden="1" x14ac:dyDescent="0.25">
      <c r="A514" s="9" t="s">
        <v>350</v>
      </c>
      <c r="B514" s="7"/>
      <c r="C514" s="7"/>
      <c r="D514" s="7">
        <f t="shared" si="7"/>
        <v>0</v>
      </c>
    </row>
    <row r="515" spans="1:4" ht="18.75" hidden="1" x14ac:dyDescent="0.25">
      <c r="A515" s="12" t="s">
        <v>178</v>
      </c>
      <c r="B515" s="7"/>
      <c r="C515" s="7"/>
      <c r="D515" s="7">
        <f t="shared" si="7"/>
        <v>0</v>
      </c>
    </row>
    <row r="516" spans="1:4" ht="18.75" hidden="1" x14ac:dyDescent="0.25">
      <c r="A516" s="9" t="s">
        <v>179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180</v>
      </c>
      <c r="B517" s="7"/>
      <c r="C517" s="7"/>
      <c r="D517" s="7">
        <f t="shared" si="8"/>
        <v>0</v>
      </c>
    </row>
    <row r="518" spans="1:4" ht="18.75" hidden="1" x14ac:dyDescent="0.25">
      <c r="A518" s="12" t="s">
        <v>181</v>
      </c>
      <c r="B518" s="7"/>
      <c r="C518" s="7"/>
      <c r="D518" s="7">
        <f t="shared" si="8"/>
        <v>0</v>
      </c>
    </row>
    <row r="519" spans="1:4" ht="18.75" hidden="1" x14ac:dyDescent="0.25">
      <c r="A519" s="12" t="s">
        <v>182</v>
      </c>
      <c r="B519" s="7"/>
      <c r="C519" s="7"/>
      <c r="D519" s="7">
        <f t="shared" si="8"/>
        <v>0</v>
      </c>
    </row>
    <row r="520" spans="1:4" ht="18.75" x14ac:dyDescent="0.25">
      <c r="A520" s="12" t="s">
        <v>183</v>
      </c>
      <c r="B520" s="7">
        <v>290</v>
      </c>
      <c r="C520" s="7">
        <v>9000</v>
      </c>
      <c r="D520" s="7">
        <f t="shared" si="8"/>
        <v>2610000</v>
      </c>
    </row>
    <row r="521" spans="1:4" ht="18.75" hidden="1" x14ac:dyDescent="0.25">
      <c r="A521" s="9" t="s">
        <v>184</v>
      </c>
      <c r="B521" s="7"/>
      <c r="C521" s="7"/>
      <c r="D521" s="7">
        <f t="shared" si="8"/>
        <v>0</v>
      </c>
    </row>
    <row r="522" spans="1:4" ht="18.75" hidden="1" x14ac:dyDescent="0.25">
      <c r="A522" s="12" t="s">
        <v>186</v>
      </c>
      <c r="B522" s="7"/>
      <c r="C522" s="7"/>
      <c r="D522" s="7">
        <f t="shared" si="8"/>
        <v>0</v>
      </c>
    </row>
    <row r="523" spans="1:4" ht="18.75" hidden="1" x14ac:dyDescent="0.25">
      <c r="A523" s="12" t="s">
        <v>187</v>
      </c>
      <c r="B523" s="7"/>
      <c r="C523" s="7"/>
      <c r="D523" s="7">
        <f t="shared" si="8"/>
        <v>0</v>
      </c>
    </row>
    <row r="524" spans="1:4" ht="18.75" hidden="1" x14ac:dyDescent="0.25">
      <c r="A524" s="12" t="s">
        <v>188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351</v>
      </c>
      <c r="B525" s="7"/>
      <c r="C525" s="7"/>
      <c r="D525" s="7">
        <f t="shared" si="8"/>
        <v>0</v>
      </c>
    </row>
    <row r="526" spans="1:4" ht="18.75" hidden="1" x14ac:dyDescent="0.25">
      <c r="A526" s="17" t="s">
        <v>189</v>
      </c>
      <c r="B526" s="7"/>
      <c r="C526" s="7"/>
      <c r="D526" s="7">
        <f t="shared" si="8"/>
        <v>0</v>
      </c>
    </row>
    <row r="527" spans="1:4" ht="18.75" hidden="1" x14ac:dyDescent="0.25">
      <c r="A527" s="17" t="s">
        <v>190</v>
      </c>
      <c r="B527" s="7"/>
      <c r="C527" s="7"/>
      <c r="D527" s="7">
        <f t="shared" si="8"/>
        <v>0</v>
      </c>
    </row>
    <row r="528" spans="1:4" ht="18.75" hidden="1" x14ac:dyDescent="0.25">
      <c r="A528" s="17" t="s">
        <v>191</v>
      </c>
      <c r="B528" s="7"/>
      <c r="C528" s="7"/>
      <c r="D528" s="7">
        <f t="shared" si="8"/>
        <v>0</v>
      </c>
    </row>
    <row r="529" spans="1:4" ht="18.75" hidden="1" x14ac:dyDescent="0.25">
      <c r="A529" s="17" t="s">
        <v>192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193</v>
      </c>
      <c r="B530" s="7"/>
      <c r="C530" s="7"/>
      <c r="D530" s="7">
        <f t="shared" si="8"/>
        <v>0</v>
      </c>
    </row>
    <row r="531" spans="1:4" ht="18.75" hidden="1" x14ac:dyDescent="0.25">
      <c r="A531" s="9" t="s">
        <v>194</v>
      </c>
      <c r="B531" s="7"/>
      <c r="C531" s="7"/>
      <c r="D531" s="7">
        <f t="shared" si="8"/>
        <v>0</v>
      </c>
    </row>
    <row r="532" spans="1:4" ht="18.75" hidden="1" x14ac:dyDescent="0.25">
      <c r="A532" s="34" t="s">
        <v>195</v>
      </c>
      <c r="B532" s="7"/>
      <c r="C532" s="7"/>
      <c r="D532" s="7">
        <f t="shared" si="8"/>
        <v>0</v>
      </c>
    </row>
    <row r="533" spans="1:4" ht="18.75" hidden="1" x14ac:dyDescent="0.25">
      <c r="A533" s="34" t="s">
        <v>196</v>
      </c>
      <c r="B533" s="7"/>
      <c r="C533" s="7"/>
      <c r="D533" s="7">
        <f t="shared" si="8"/>
        <v>0</v>
      </c>
    </row>
    <row r="534" spans="1:4" ht="18.75" hidden="1" x14ac:dyDescent="0.25">
      <c r="A534" s="34" t="s">
        <v>197</v>
      </c>
      <c r="B534" s="7"/>
      <c r="C534" s="7"/>
      <c r="D534" s="7">
        <f t="shared" si="8"/>
        <v>0</v>
      </c>
    </row>
    <row r="535" spans="1:4" ht="18.75" hidden="1" x14ac:dyDescent="0.25">
      <c r="A535" s="34" t="s">
        <v>198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199</v>
      </c>
      <c r="B536" s="7"/>
      <c r="C536" s="7"/>
      <c r="D536" s="7">
        <f t="shared" si="8"/>
        <v>0</v>
      </c>
    </row>
    <row r="537" spans="1:4" ht="18.75" hidden="1" x14ac:dyDescent="0.25">
      <c r="A537" s="35" t="s">
        <v>352</v>
      </c>
      <c r="B537" s="7"/>
      <c r="C537" s="7"/>
      <c r="D537" s="7">
        <f t="shared" si="8"/>
        <v>0</v>
      </c>
    </row>
    <row r="538" spans="1:4" ht="18.75" hidden="1" x14ac:dyDescent="0.25">
      <c r="A538" s="9" t="s">
        <v>201</v>
      </c>
      <c r="B538" s="7"/>
      <c r="C538" s="7"/>
      <c r="D538" s="7">
        <f t="shared" si="8"/>
        <v>0</v>
      </c>
    </row>
    <row r="539" spans="1:4" ht="18.75" hidden="1" x14ac:dyDescent="0.25">
      <c r="A539" s="12" t="s">
        <v>202</v>
      </c>
      <c r="B539" s="7"/>
      <c r="C539" s="7"/>
      <c r="D539" s="7">
        <f t="shared" si="8"/>
        <v>0</v>
      </c>
    </row>
    <row r="540" spans="1:4" ht="18.75" hidden="1" x14ac:dyDescent="0.25">
      <c r="A540" s="9" t="s">
        <v>353</v>
      </c>
      <c r="B540" s="7"/>
      <c r="C540" s="7"/>
      <c r="D540" s="7">
        <f t="shared" si="8"/>
        <v>0</v>
      </c>
    </row>
    <row r="541" spans="1:4" ht="18.75" hidden="1" x14ac:dyDescent="0.25">
      <c r="A541" s="9" t="s">
        <v>203</v>
      </c>
      <c r="B541" s="7"/>
      <c r="C541" s="7"/>
      <c r="D541" s="7">
        <f t="shared" si="8"/>
        <v>0</v>
      </c>
    </row>
    <row r="542" spans="1:4" ht="18.75" x14ac:dyDescent="0.25">
      <c r="A542" s="9" t="s">
        <v>204</v>
      </c>
      <c r="B542" s="7">
        <v>400</v>
      </c>
      <c r="C542" s="7">
        <v>20000</v>
      </c>
      <c r="D542" s="7">
        <f t="shared" si="8"/>
        <v>8000000</v>
      </c>
    </row>
    <row r="543" spans="1:4" ht="18.75" hidden="1" x14ac:dyDescent="0.25">
      <c r="A543" s="36" t="s">
        <v>205</v>
      </c>
      <c r="B543" s="7"/>
      <c r="C543" s="7"/>
      <c r="D543" s="7">
        <f t="shared" si="8"/>
        <v>0</v>
      </c>
    </row>
    <row r="544" spans="1:4" ht="18.75" hidden="1" x14ac:dyDescent="0.25">
      <c r="A544" s="36" t="s">
        <v>206</v>
      </c>
      <c r="B544" s="7"/>
      <c r="C544" s="7"/>
      <c r="D544" s="7">
        <f t="shared" si="8"/>
        <v>0</v>
      </c>
    </row>
    <row r="545" spans="1:4" ht="18.75" hidden="1" x14ac:dyDescent="0.25">
      <c r="A545" s="9" t="s">
        <v>207</v>
      </c>
      <c r="B545" s="7"/>
      <c r="C545" s="7"/>
      <c r="D545" s="7">
        <f t="shared" si="8"/>
        <v>0</v>
      </c>
    </row>
    <row r="546" spans="1:4" ht="18.75" hidden="1" x14ac:dyDescent="0.25">
      <c r="A546" s="11" t="s">
        <v>208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209</v>
      </c>
      <c r="B547" s="7"/>
      <c r="C547" s="7"/>
      <c r="D547" s="7">
        <f t="shared" si="8"/>
        <v>0</v>
      </c>
    </row>
    <row r="548" spans="1:4" ht="18.75" hidden="1" x14ac:dyDescent="0.25">
      <c r="A548" s="11" t="s">
        <v>354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210</v>
      </c>
      <c r="B549" s="7"/>
      <c r="C549" s="7"/>
      <c r="D549" s="7">
        <f t="shared" si="8"/>
        <v>0</v>
      </c>
    </row>
    <row r="550" spans="1:4" ht="18.75" hidden="1" x14ac:dyDescent="0.25">
      <c r="A550" s="9" t="s">
        <v>211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355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356</v>
      </c>
      <c r="B552" s="7"/>
      <c r="C552" s="7"/>
      <c r="D552" s="7">
        <f t="shared" si="8"/>
        <v>0</v>
      </c>
    </row>
    <row r="553" spans="1:4" ht="18.75" hidden="1" x14ac:dyDescent="0.25">
      <c r="A553" s="9" t="s">
        <v>212</v>
      </c>
      <c r="B553" s="7"/>
      <c r="C553" s="7"/>
      <c r="D553" s="7">
        <f t="shared" si="8"/>
        <v>0</v>
      </c>
    </row>
    <row r="554" spans="1:4" ht="18.75" hidden="1" x14ac:dyDescent="0.25">
      <c r="A554" s="37" t="s">
        <v>213</v>
      </c>
      <c r="B554" s="7"/>
      <c r="C554" s="7"/>
      <c r="D554" s="7">
        <f t="shared" si="8"/>
        <v>0</v>
      </c>
    </row>
    <row r="555" spans="1:4" ht="18.75" hidden="1" x14ac:dyDescent="0.25">
      <c r="A555" s="9" t="s">
        <v>214</v>
      </c>
      <c r="B555" s="7"/>
      <c r="C555" s="7"/>
      <c r="D555" s="7">
        <f t="shared" si="8"/>
        <v>0</v>
      </c>
    </row>
    <row r="556" spans="1:4" ht="18.75" x14ac:dyDescent="0.25">
      <c r="A556" s="9" t="s">
        <v>215</v>
      </c>
      <c r="B556" s="7">
        <v>300</v>
      </c>
      <c r="C556" s="7">
        <v>15000</v>
      </c>
      <c r="D556" s="7">
        <f t="shared" si="8"/>
        <v>4500000</v>
      </c>
    </row>
    <row r="557" spans="1:4" ht="18.75" hidden="1" x14ac:dyDescent="0.25">
      <c r="A557" s="9" t="s">
        <v>216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357</v>
      </c>
      <c r="B558" s="7"/>
      <c r="C558" s="7"/>
      <c r="D558" s="7">
        <f t="shared" si="8"/>
        <v>0</v>
      </c>
    </row>
    <row r="559" spans="1:4" ht="18.75" hidden="1" x14ac:dyDescent="0.25">
      <c r="A559" s="9" t="s">
        <v>217</v>
      </c>
      <c r="B559" s="7"/>
      <c r="C559" s="7"/>
      <c r="D559" s="7">
        <f t="shared" si="8"/>
        <v>0</v>
      </c>
    </row>
    <row r="560" spans="1:4" ht="18.75" hidden="1" x14ac:dyDescent="0.25">
      <c r="A560" s="17" t="s">
        <v>218</v>
      </c>
      <c r="B560" s="7"/>
      <c r="C560" s="7"/>
      <c r="D560" s="7">
        <f t="shared" si="8"/>
        <v>0</v>
      </c>
    </row>
    <row r="561" spans="1:4" ht="18.75" hidden="1" x14ac:dyDescent="0.25">
      <c r="A561" s="17" t="s">
        <v>219</v>
      </c>
      <c r="B561" s="7"/>
      <c r="C561" s="7"/>
      <c r="D561" s="7">
        <f t="shared" si="8"/>
        <v>0</v>
      </c>
    </row>
    <row r="562" spans="1:4" ht="18.75" hidden="1" x14ac:dyDescent="0.25">
      <c r="A562" s="17" t="s">
        <v>220</v>
      </c>
      <c r="B562" s="7"/>
      <c r="C562" s="7"/>
      <c r="D562" s="7">
        <f t="shared" si="8"/>
        <v>0</v>
      </c>
    </row>
    <row r="563" spans="1:4" ht="18.75" hidden="1" x14ac:dyDescent="0.25">
      <c r="A563" s="17" t="s">
        <v>221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222</v>
      </c>
      <c r="B564" s="7"/>
      <c r="C564" s="7"/>
      <c r="D564" s="7">
        <f t="shared" si="8"/>
        <v>0</v>
      </c>
    </row>
    <row r="565" spans="1:4" ht="18.75" hidden="1" x14ac:dyDescent="0.25">
      <c r="A565" s="9" t="s">
        <v>223</v>
      </c>
      <c r="B565" s="7"/>
      <c r="C565" s="7"/>
      <c r="D565" s="7">
        <f t="shared" si="8"/>
        <v>0</v>
      </c>
    </row>
    <row r="566" spans="1:4" ht="18.75" hidden="1" x14ac:dyDescent="0.25">
      <c r="A566" s="17" t="s">
        <v>224</v>
      </c>
      <c r="B566" s="7"/>
      <c r="C566" s="7"/>
      <c r="D566" s="7">
        <f t="shared" si="8"/>
        <v>0</v>
      </c>
    </row>
    <row r="567" spans="1:4" ht="18.75" hidden="1" x14ac:dyDescent="0.25">
      <c r="A567" s="17" t="s">
        <v>225</v>
      </c>
      <c r="B567" s="7"/>
      <c r="C567" s="7"/>
      <c r="D567" s="7">
        <f t="shared" si="8"/>
        <v>0</v>
      </c>
    </row>
    <row r="568" spans="1:4" ht="18.75" hidden="1" x14ac:dyDescent="0.25">
      <c r="A568" s="11" t="s">
        <v>226</v>
      </c>
      <c r="B568" s="7"/>
      <c r="C568" s="7"/>
      <c r="D568" s="7">
        <f t="shared" si="8"/>
        <v>0</v>
      </c>
    </row>
    <row r="569" spans="1:4" ht="18.75" hidden="1" x14ac:dyDescent="0.25">
      <c r="A569" s="12" t="s">
        <v>227</v>
      </c>
      <c r="B569" s="7"/>
      <c r="C569" s="7"/>
      <c r="D569" s="7">
        <f t="shared" si="8"/>
        <v>0</v>
      </c>
    </row>
    <row r="570" spans="1:4" ht="18.75" hidden="1" x14ac:dyDescent="0.25">
      <c r="A570" s="21" t="s">
        <v>358</v>
      </c>
      <c r="B570" s="7"/>
      <c r="C570" s="7"/>
      <c r="D570" s="7">
        <f t="shared" si="8"/>
        <v>0</v>
      </c>
    </row>
    <row r="571" spans="1:4" ht="18.75" hidden="1" x14ac:dyDescent="0.25">
      <c r="A571" s="21" t="s">
        <v>359</v>
      </c>
      <c r="B571" s="7"/>
      <c r="C571" s="7"/>
      <c r="D571" s="7">
        <f t="shared" si="8"/>
        <v>0</v>
      </c>
    </row>
    <row r="572" spans="1:4" ht="18.75" hidden="1" x14ac:dyDescent="0.25">
      <c r="A572" s="11" t="s">
        <v>232</v>
      </c>
      <c r="B572" s="7"/>
      <c r="C572" s="7"/>
      <c r="D572" s="7">
        <f t="shared" si="8"/>
        <v>0</v>
      </c>
    </row>
    <row r="573" spans="1:4" ht="18.75" hidden="1" x14ac:dyDescent="0.25">
      <c r="A573" s="9" t="s">
        <v>237</v>
      </c>
      <c r="B573" s="7"/>
      <c r="C573" s="7"/>
      <c r="D573" s="7">
        <f t="shared" si="8"/>
        <v>0</v>
      </c>
    </row>
    <row r="574" spans="1:4" ht="18.75" hidden="1" x14ac:dyDescent="0.25">
      <c r="A574" s="9" t="s">
        <v>238</v>
      </c>
      <c r="B574" s="7"/>
      <c r="C574" s="7"/>
      <c r="D574" s="7">
        <f t="shared" si="8"/>
        <v>0</v>
      </c>
    </row>
    <row r="575" spans="1:4" ht="18.75" hidden="1" x14ac:dyDescent="0.25">
      <c r="A575" s="13" t="s">
        <v>239</v>
      </c>
      <c r="B575" s="7"/>
      <c r="C575" s="7"/>
      <c r="D575" s="7">
        <f t="shared" si="8"/>
        <v>0</v>
      </c>
    </row>
    <row r="576" spans="1:4" ht="18.75" hidden="1" x14ac:dyDescent="0.25">
      <c r="A576" s="13" t="s">
        <v>240</v>
      </c>
      <c r="B576" s="7"/>
      <c r="C576" s="7"/>
      <c r="D576" s="7">
        <f t="shared" si="8"/>
        <v>0</v>
      </c>
    </row>
    <row r="577" spans="1:4" ht="18.75" hidden="1" x14ac:dyDescent="0.25">
      <c r="A577" s="34" t="s">
        <v>241</v>
      </c>
      <c r="B577" s="7"/>
      <c r="C577" s="7"/>
      <c r="D577" s="7">
        <f t="shared" si="8"/>
        <v>0</v>
      </c>
    </row>
    <row r="578" spans="1:4" ht="18.75" hidden="1" x14ac:dyDescent="0.25">
      <c r="A578" s="9" t="s">
        <v>242</v>
      </c>
      <c r="B578" s="7"/>
      <c r="C578" s="7"/>
      <c r="D578" s="7">
        <f t="shared" si="8"/>
        <v>0</v>
      </c>
    </row>
    <row r="579" spans="1:4" ht="18.75" hidden="1" x14ac:dyDescent="0.25">
      <c r="A579" s="9" t="s">
        <v>243</v>
      </c>
      <c r="B579" s="7"/>
      <c r="C579" s="7"/>
      <c r="D579" s="7">
        <f t="shared" si="8"/>
        <v>0</v>
      </c>
    </row>
    <row r="580" spans="1:4" ht="18.75" hidden="1" x14ac:dyDescent="0.25">
      <c r="A580" s="9" t="s">
        <v>244</v>
      </c>
      <c r="B580" s="16"/>
      <c r="C580" s="16"/>
      <c r="D580" s="7">
        <f t="shared" ref="D580:D643" si="9">B580*C580</f>
        <v>0</v>
      </c>
    </row>
    <row r="581" spans="1:4" ht="18.75" hidden="1" x14ac:dyDescent="0.25">
      <c r="A581" s="34" t="s">
        <v>245</v>
      </c>
      <c r="B581" s="7"/>
      <c r="C581" s="7"/>
      <c r="D581" s="7">
        <f t="shared" si="9"/>
        <v>0</v>
      </c>
    </row>
    <row r="582" spans="1:4" ht="18.75" hidden="1" x14ac:dyDescent="0.25">
      <c r="A582" s="9" t="s">
        <v>246</v>
      </c>
      <c r="B582" s="16"/>
      <c r="C582" s="16"/>
      <c r="D582" s="7">
        <f t="shared" si="9"/>
        <v>0</v>
      </c>
    </row>
    <row r="583" spans="1:4" ht="18.75" hidden="1" x14ac:dyDescent="0.25">
      <c r="A583" s="9" t="s">
        <v>247</v>
      </c>
      <c r="B583" s="7"/>
      <c r="C583" s="7"/>
      <c r="D583" s="7">
        <f t="shared" si="9"/>
        <v>0</v>
      </c>
    </row>
    <row r="584" spans="1:4" ht="18.75" hidden="1" x14ac:dyDescent="0.25">
      <c r="A584" s="11" t="s">
        <v>249</v>
      </c>
      <c r="B584" s="7"/>
      <c r="C584" s="7"/>
      <c r="D584" s="7">
        <f t="shared" si="9"/>
        <v>0</v>
      </c>
    </row>
    <row r="585" spans="1:4" ht="18.75" x14ac:dyDescent="0.25">
      <c r="A585" s="9" t="s">
        <v>250</v>
      </c>
      <c r="B585" s="7">
        <v>20</v>
      </c>
      <c r="C585" s="7">
        <v>23000</v>
      </c>
      <c r="D585" s="7">
        <f t="shared" si="9"/>
        <v>460000</v>
      </c>
    </row>
    <row r="586" spans="1:4" ht="18.75" hidden="1" x14ac:dyDescent="0.25">
      <c r="A586" s="9" t="s">
        <v>251</v>
      </c>
      <c r="B586" s="7"/>
      <c r="C586" s="7"/>
      <c r="D586" s="7">
        <f t="shared" si="9"/>
        <v>0</v>
      </c>
    </row>
    <row r="587" spans="1:4" ht="18.75" hidden="1" x14ac:dyDescent="0.25">
      <c r="A587" s="9" t="s">
        <v>252</v>
      </c>
      <c r="B587" s="7"/>
      <c r="C587" s="7"/>
      <c r="D587" s="7">
        <f t="shared" si="9"/>
        <v>0</v>
      </c>
    </row>
    <row r="588" spans="1:4" ht="18.75" hidden="1" x14ac:dyDescent="0.25">
      <c r="A588" s="9" t="s">
        <v>253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254</v>
      </c>
      <c r="B589" s="7"/>
      <c r="C589" s="7"/>
      <c r="D589" s="7">
        <f t="shared" si="9"/>
        <v>0</v>
      </c>
    </row>
    <row r="590" spans="1:4" ht="18.75" hidden="1" x14ac:dyDescent="0.25">
      <c r="A590" s="17" t="s">
        <v>255</v>
      </c>
      <c r="B590" s="7"/>
      <c r="C590" s="7"/>
      <c r="D590" s="7">
        <f t="shared" si="9"/>
        <v>0</v>
      </c>
    </row>
    <row r="591" spans="1:4" ht="18.75" hidden="1" x14ac:dyDescent="0.25">
      <c r="A591" s="21" t="s">
        <v>256</v>
      </c>
      <c r="B591" s="7"/>
      <c r="C591" s="7"/>
      <c r="D591" s="7">
        <f t="shared" si="9"/>
        <v>0</v>
      </c>
    </row>
    <row r="592" spans="1:4" ht="18.75" hidden="1" x14ac:dyDescent="0.25">
      <c r="A592" s="21" t="s">
        <v>257</v>
      </c>
      <c r="B592" s="7"/>
      <c r="C592" s="7"/>
      <c r="D592" s="7">
        <f t="shared" si="9"/>
        <v>0</v>
      </c>
    </row>
    <row r="593" spans="1:4" ht="18.75" x14ac:dyDescent="0.25">
      <c r="A593" s="9" t="s">
        <v>258</v>
      </c>
      <c r="B593" s="7">
        <v>20</v>
      </c>
      <c r="C593" s="7">
        <v>21000</v>
      </c>
      <c r="D593" s="7">
        <f t="shared" si="9"/>
        <v>420000</v>
      </c>
    </row>
    <row r="594" spans="1:4" ht="18.75" hidden="1" x14ac:dyDescent="0.25">
      <c r="A594" s="9" t="s">
        <v>259</v>
      </c>
      <c r="B594" s="7"/>
      <c r="C594" s="7"/>
      <c r="D594" s="7">
        <f t="shared" si="9"/>
        <v>0</v>
      </c>
    </row>
    <row r="595" spans="1:4" ht="18.75" hidden="1" x14ac:dyDescent="0.25">
      <c r="A595" s="9" t="s">
        <v>260</v>
      </c>
      <c r="B595" s="7"/>
      <c r="C595" s="7"/>
      <c r="D595" s="7">
        <f t="shared" si="9"/>
        <v>0</v>
      </c>
    </row>
    <row r="596" spans="1:4" ht="18.75" hidden="1" x14ac:dyDescent="0.25">
      <c r="A596" s="9" t="s">
        <v>261</v>
      </c>
      <c r="B596" s="7"/>
      <c r="C596" s="7"/>
      <c r="D596" s="7">
        <f t="shared" si="9"/>
        <v>0</v>
      </c>
    </row>
    <row r="597" spans="1:4" ht="18.75" x14ac:dyDescent="0.25">
      <c r="A597" s="9" t="s">
        <v>262</v>
      </c>
      <c r="B597" s="7">
        <v>20</v>
      </c>
      <c r="C597" s="7">
        <v>20000</v>
      </c>
      <c r="D597" s="7">
        <f t="shared" si="9"/>
        <v>400000</v>
      </c>
    </row>
    <row r="598" spans="1:4" ht="18.75" hidden="1" x14ac:dyDescent="0.25">
      <c r="A598" s="9" t="s">
        <v>263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264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265</v>
      </c>
      <c r="B600" s="16"/>
      <c r="C600" s="16"/>
      <c r="D600" s="7">
        <f t="shared" si="9"/>
        <v>0</v>
      </c>
    </row>
    <row r="601" spans="1:4" ht="18.75" hidden="1" x14ac:dyDescent="0.25">
      <c r="A601" s="13" t="s">
        <v>266</v>
      </c>
      <c r="B601" s="7"/>
      <c r="C601" s="7"/>
      <c r="D601" s="7">
        <f t="shared" si="9"/>
        <v>0</v>
      </c>
    </row>
    <row r="602" spans="1:4" ht="18.75" hidden="1" x14ac:dyDescent="0.25">
      <c r="A602" s="9" t="s">
        <v>267</v>
      </c>
      <c r="B602" s="7"/>
      <c r="C602" s="7"/>
      <c r="D602" s="7">
        <f t="shared" si="9"/>
        <v>0</v>
      </c>
    </row>
    <row r="603" spans="1:4" ht="18.75" hidden="1" x14ac:dyDescent="0.25">
      <c r="A603" s="11" t="s">
        <v>360</v>
      </c>
      <c r="B603" s="7"/>
      <c r="C603" s="7"/>
      <c r="D603" s="7">
        <f t="shared" si="9"/>
        <v>0</v>
      </c>
    </row>
    <row r="604" spans="1:4" ht="18.75" hidden="1" x14ac:dyDescent="0.25">
      <c r="A604" s="11" t="s">
        <v>268</v>
      </c>
      <c r="B604" s="7"/>
      <c r="C604" s="7"/>
      <c r="D604" s="7">
        <f t="shared" si="9"/>
        <v>0</v>
      </c>
    </row>
    <row r="605" spans="1:4" ht="18.75" hidden="1" x14ac:dyDescent="0.25">
      <c r="A605" s="9" t="s">
        <v>269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361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270</v>
      </c>
      <c r="B607" s="7"/>
      <c r="C607" s="7"/>
      <c r="D607" s="7">
        <f t="shared" si="9"/>
        <v>0</v>
      </c>
    </row>
    <row r="608" spans="1:4" ht="18.75" hidden="1" x14ac:dyDescent="0.25">
      <c r="A608" s="9" t="s">
        <v>362</v>
      </c>
      <c r="B608" s="7"/>
      <c r="C608" s="7"/>
      <c r="D608" s="7">
        <f t="shared" si="9"/>
        <v>0</v>
      </c>
    </row>
    <row r="609" spans="1:4" ht="18.75" hidden="1" x14ac:dyDescent="0.25">
      <c r="A609" s="9" t="s">
        <v>272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273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274</v>
      </c>
      <c r="B611" s="7"/>
      <c r="C611" s="7"/>
      <c r="D611" s="7">
        <f t="shared" si="9"/>
        <v>0</v>
      </c>
    </row>
    <row r="612" spans="1:4" ht="18.75" hidden="1" x14ac:dyDescent="0.25">
      <c r="A612" s="34" t="s">
        <v>276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277</v>
      </c>
      <c r="B613" s="7"/>
      <c r="C613" s="7"/>
      <c r="D613" s="7">
        <f t="shared" si="9"/>
        <v>0</v>
      </c>
    </row>
    <row r="614" spans="1:4" ht="18.75" hidden="1" x14ac:dyDescent="0.25">
      <c r="A614" s="34" t="s">
        <v>278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363</v>
      </c>
      <c r="B615" s="7"/>
      <c r="C615" s="7"/>
      <c r="D615" s="7">
        <f t="shared" si="9"/>
        <v>0</v>
      </c>
    </row>
    <row r="616" spans="1:4" ht="18.75" hidden="1" x14ac:dyDescent="0.25">
      <c r="A616" s="34" t="s">
        <v>279</v>
      </c>
      <c r="B616" s="7"/>
      <c r="C616" s="7"/>
      <c r="D616" s="7">
        <f t="shared" si="9"/>
        <v>0</v>
      </c>
    </row>
    <row r="617" spans="1:4" ht="18.75" hidden="1" x14ac:dyDescent="0.25">
      <c r="A617" s="12" t="s">
        <v>280</v>
      </c>
      <c r="B617" s="16"/>
      <c r="C617" s="16"/>
      <c r="D617" s="7">
        <f t="shared" si="9"/>
        <v>0</v>
      </c>
    </row>
    <row r="618" spans="1:4" ht="18.75" hidden="1" x14ac:dyDescent="0.25">
      <c r="A618" s="17" t="s">
        <v>284</v>
      </c>
      <c r="B618" s="7"/>
      <c r="C618" s="7"/>
      <c r="D618" s="7">
        <f t="shared" si="9"/>
        <v>0</v>
      </c>
    </row>
    <row r="619" spans="1:4" ht="18.75" hidden="1" x14ac:dyDescent="0.25">
      <c r="A619" s="17" t="s">
        <v>285</v>
      </c>
      <c r="B619" s="7"/>
      <c r="C619" s="7"/>
      <c r="D619" s="7">
        <f t="shared" si="9"/>
        <v>0</v>
      </c>
    </row>
    <row r="620" spans="1:4" ht="18.75" hidden="1" x14ac:dyDescent="0.25">
      <c r="A620" s="17" t="s">
        <v>286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287</v>
      </c>
      <c r="B621" s="7"/>
      <c r="C621" s="7"/>
      <c r="D621" s="7">
        <f t="shared" si="9"/>
        <v>0</v>
      </c>
    </row>
    <row r="622" spans="1:4" ht="18.75" hidden="1" x14ac:dyDescent="0.25">
      <c r="A622" s="17" t="s">
        <v>288</v>
      </c>
      <c r="B622" s="7"/>
      <c r="C622" s="7"/>
      <c r="D622" s="7">
        <f t="shared" si="9"/>
        <v>0</v>
      </c>
    </row>
    <row r="623" spans="1:4" ht="18.75" hidden="1" x14ac:dyDescent="0.25">
      <c r="A623" s="9" t="s">
        <v>289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290</v>
      </c>
      <c r="B624" s="7"/>
      <c r="C624" s="7"/>
      <c r="D624" s="7">
        <f t="shared" si="9"/>
        <v>0</v>
      </c>
    </row>
    <row r="625" spans="1:4" ht="18.75" hidden="1" x14ac:dyDescent="0.25">
      <c r="A625" s="17" t="s">
        <v>291</v>
      </c>
      <c r="B625" s="7"/>
      <c r="C625" s="7"/>
      <c r="D625" s="7">
        <f t="shared" si="9"/>
        <v>0</v>
      </c>
    </row>
    <row r="626" spans="1:4" ht="18.75" hidden="1" x14ac:dyDescent="0.25">
      <c r="A626" s="25" t="s">
        <v>292</v>
      </c>
      <c r="B626" s="7"/>
      <c r="C626" s="7"/>
      <c r="D626" s="7">
        <f t="shared" si="9"/>
        <v>0</v>
      </c>
    </row>
    <row r="627" spans="1:4" ht="18.75" hidden="1" x14ac:dyDescent="0.25">
      <c r="A627" s="9" t="s">
        <v>293</v>
      </c>
      <c r="B627" s="7"/>
      <c r="C627" s="7"/>
      <c r="D627" s="7">
        <f t="shared" si="9"/>
        <v>0</v>
      </c>
    </row>
    <row r="628" spans="1:4" ht="18.75" hidden="1" x14ac:dyDescent="0.25">
      <c r="A628" s="13" t="s">
        <v>294</v>
      </c>
      <c r="B628" s="7"/>
      <c r="C628" s="7"/>
      <c r="D628" s="7">
        <f t="shared" si="9"/>
        <v>0</v>
      </c>
    </row>
    <row r="629" spans="1:4" ht="18.75" hidden="1" x14ac:dyDescent="0.25">
      <c r="A629" s="12" t="s">
        <v>296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297</v>
      </c>
      <c r="B630" s="7"/>
      <c r="C630" s="7"/>
      <c r="D630" s="7">
        <f t="shared" si="9"/>
        <v>0</v>
      </c>
    </row>
    <row r="631" spans="1:4" ht="18.75" hidden="1" x14ac:dyDescent="0.25">
      <c r="A631" s="13" t="s">
        <v>298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299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300</v>
      </c>
      <c r="B633" s="7"/>
      <c r="C633" s="7"/>
      <c r="D633" s="7">
        <f t="shared" si="9"/>
        <v>0</v>
      </c>
    </row>
    <row r="634" spans="1:4" ht="18.75" hidden="1" x14ac:dyDescent="0.25">
      <c r="A634" s="12" t="s">
        <v>364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365</v>
      </c>
      <c r="B635" s="7"/>
      <c r="C635" s="7"/>
      <c r="D635" s="7">
        <f t="shared" si="9"/>
        <v>0</v>
      </c>
    </row>
    <row r="636" spans="1:4" ht="18.75" hidden="1" x14ac:dyDescent="0.25">
      <c r="A636" s="11" t="s">
        <v>303</v>
      </c>
      <c r="B636" s="7"/>
      <c r="C636" s="7"/>
      <c r="D636" s="7">
        <f t="shared" si="9"/>
        <v>0</v>
      </c>
    </row>
    <row r="637" spans="1:4" ht="18.75" hidden="1" x14ac:dyDescent="0.25">
      <c r="A637" s="9" t="s">
        <v>366</v>
      </c>
      <c r="B637" s="7"/>
      <c r="C637" s="7"/>
      <c r="D637" s="7">
        <f t="shared" si="9"/>
        <v>0</v>
      </c>
    </row>
    <row r="638" spans="1:4" ht="18.75" hidden="1" x14ac:dyDescent="0.25">
      <c r="A638" s="12" t="s">
        <v>304</v>
      </c>
      <c r="B638" s="7"/>
      <c r="C638" s="7"/>
      <c r="D638" s="7">
        <f t="shared" si="9"/>
        <v>0</v>
      </c>
    </row>
    <row r="639" spans="1:4" ht="18.75" hidden="1" x14ac:dyDescent="0.25">
      <c r="A639" s="12" t="s">
        <v>305</v>
      </c>
      <c r="B639" s="7"/>
      <c r="C639" s="7"/>
      <c r="D639" s="7">
        <f t="shared" si="9"/>
        <v>0</v>
      </c>
    </row>
    <row r="640" spans="1:4" ht="18.75" hidden="1" x14ac:dyDescent="0.25">
      <c r="A640" s="9" t="s">
        <v>306</v>
      </c>
      <c r="B640" s="7"/>
      <c r="C640" s="7"/>
      <c r="D640" s="7">
        <f t="shared" si="9"/>
        <v>0</v>
      </c>
    </row>
    <row r="641" spans="1:4" ht="18.75" hidden="1" x14ac:dyDescent="0.25">
      <c r="A641" s="9" t="s">
        <v>307</v>
      </c>
      <c r="B641" s="7"/>
      <c r="C641" s="7"/>
      <c r="D641" s="7">
        <f t="shared" si="9"/>
        <v>0</v>
      </c>
    </row>
    <row r="642" spans="1:4" ht="18.75" hidden="1" x14ac:dyDescent="0.25">
      <c r="A642" s="9" t="s">
        <v>308</v>
      </c>
      <c r="B642" s="7"/>
      <c r="C642" s="7"/>
      <c r="D642" s="7">
        <f t="shared" si="9"/>
        <v>0</v>
      </c>
    </row>
    <row r="643" spans="1:4" ht="18.75" hidden="1" x14ac:dyDescent="0.25">
      <c r="A643" s="13" t="s">
        <v>309</v>
      </c>
      <c r="B643" s="7"/>
      <c r="C643" s="7"/>
      <c r="D643" s="7">
        <f t="shared" si="9"/>
        <v>0</v>
      </c>
    </row>
    <row r="644" spans="1:4" ht="18.75" hidden="1" x14ac:dyDescent="0.25">
      <c r="A644" s="13" t="s">
        <v>310</v>
      </c>
      <c r="B644" s="7"/>
      <c r="C644" s="7"/>
      <c r="D644" s="7">
        <f t="shared" ref="D644:D671" si="10">B644*C644</f>
        <v>0</v>
      </c>
    </row>
    <row r="645" spans="1:4" ht="18.75" hidden="1" x14ac:dyDescent="0.25">
      <c r="A645" s="21" t="s">
        <v>311</v>
      </c>
      <c r="B645" s="7"/>
      <c r="C645" s="7"/>
      <c r="D645" s="7">
        <f t="shared" si="10"/>
        <v>0</v>
      </c>
    </row>
    <row r="646" spans="1:4" ht="18.75" hidden="1" x14ac:dyDescent="0.25">
      <c r="A646" s="13" t="s">
        <v>312</v>
      </c>
      <c r="B646" s="7"/>
      <c r="C646" s="7"/>
      <c r="D646" s="7">
        <f t="shared" si="10"/>
        <v>0</v>
      </c>
    </row>
    <row r="647" spans="1:4" ht="18.75" hidden="1" x14ac:dyDescent="0.25">
      <c r="A647" s="9" t="s">
        <v>313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314</v>
      </c>
      <c r="B648" s="7"/>
      <c r="C648" s="7"/>
      <c r="D648" s="7">
        <f t="shared" si="10"/>
        <v>0</v>
      </c>
    </row>
    <row r="649" spans="1:4" ht="18.75" hidden="1" x14ac:dyDescent="0.25">
      <c r="A649" s="9" t="s">
        <v>315</v>
      </c>
      <c r="B649" s="7"/>
      <c r="C649" s="7"/>
      <c r="D649" s="7">
        <f t="shared" si="10"/>
        <v>0</v>
      </c>
    </row>
    <row r="650" spans="1:4" ht="18.75" hidden="1" x14ac:dyDescent="0.25">
      <c r="A650" s="9" t="s">
        <v>316</v>
      </c>
      <c r="B650" s="7"/>
      <c r="C650" s="7"/>
      <c r="D650" s="7">
        <f t="shared" si="10"/>
        <v>0</v>
      </c>
    </row>
    <row r="651" spans="1:4" ht="18.75" hidden="1" x14ac:dyDescent="0.25">
      <c r="A651" s="21" t="s">
        <v>317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318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319</v>
      </c>
      <c r="B653" s="7"/>
      <c r="C653" s="7"/>
      <c r="D653" s="7">
        <f t="shared" si="10"/>
        <v>0</v>
      </c>
    </row>
    <row r="654" spans="1:4" ht="18.75" hidden="1" x14ac:dyDescent="0.25">
      <c r="A654" s="12" t="s">
        <v>320</v>
      </c>
      <c r="B654" s="7"/>
      <c r="C654" s="7"/>
      <c r="D654" s="7">
        <f t="shared" si="10"/>
        <v>0</v>
      </c>
    </row>
    <row r="655" spans="1:4" ht="18.75" hidden="1" x14ac:dyDescent="0.25">
      <c r="A655" s="9" t="s">
        <v>321</v>
      </c>
      <c r="B655" s="39"/>
      <c r="C655" s="39"/>
      <c r="D655" s="7">
        <f t="shared" si="10"/>
        <v>0</v>
      </c>
    </row>
    <row r="656" spans="1:4" ht="18.75" hidden="1" x14ac:dyDescent="0.25">
      <c r="A656" s="9" t="s">
        <v>322</v>
      </c>
      <c r="B656" s="7"/>
      <c r="C656" s="7"/>
      <c r="D656" s="7">
        <f t="shared" si="10"/>
        <v>0</v>
      </c>
    </row>
    <row r="657" spans="1:4" ht="18.75" hidden="1" x14ac:dyDescent="0.25">
      <c r="A657" s="9" t="s">
        <v>323</v>
      </c>
      <c r="B657" s="7"/>
      <c r="C657" s="7"/>
      <c r="D657" s="7">
        <f t="shared" si="10"/>
        <v>0</v>
      </c>
    </row>
    <row r="658" spans="1:4" ht="18.75" hidden="1" x14ac:dyDescent="0.25">
      <c r="A658" s="21" t="s">
        <v>324</v>
      </c>
      <c r="B658" s="7"/>
      <c r="C658" s="7"/>
      <c r="D658" s="7">
        <f t="shared" si="10"/>
        <v>0</v>
      </c>
    </row>
    <row r="659" spans="1:4" ht="18.75" hidden="1" x14ac:dyDescent="0.25">
      <c r="A659" s="21" t="s">
        <v>325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326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327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328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329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330</v>
      </c>
      <c r="B664" s="7"/>
      <c r="C664" s="7"/>
      <c r="D664" s="7">
        <f t="shared" si="10"/>
        <v>0</v>
      </c>
    </row>
    <row r="665" spans="1:4" ht="18.75" hidden="1" x14ac:dyDescent="0.25">
      <c r="A665" s="9" t="s">
        <v>331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332</v>
      </c>
      <c r="B666" s="7"/>
      <c r="C666" s="7"/>
      <c r="D666" s="7">
        <f t="shared" si="10"/>
        <v>0</v>
      </c>
    </row>
    <row r="667" spans="1:4" ht="18.75" hidden="1" x14ac:dyDescent="0.25">
      <c r="A667" s="9" t="s">
        <v>333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334</v>
      </c>
      <c r="B668" s="7"/>
      <c r="C668" s="7"/>
      <c r="D668" s="7">
        <f t="shared" si="10"/>
        <v>0</v>
      </c>
    </row>
    <row r="669" spans="1:4" ht="18.75" hidden="1" x14ac:dyDescent="0.25">
      <c r="A669" s="9" t="s">
        <v>335</v>
      </c>
      <c r="B669" s="7"/>
      <c r="C669" s="7"/>
      <c r="D669" s="7">
        <f t="shared" si="10"/>
        <v>0</v>
      </c>
    </row>
    <row r="670" spans="1:4" ht="18.75" hidden="1" x14ac:dyDescent="0.25">
      <c r="A670" s="9" t="s">
        <v>336</v>
      </c>
      <c r="B670" s="7"/>
      <c r="C670" s="7"/>
      <c r="D670" s="7">
        <f t="shared" si="10"/>
        <v>0</v>
      </c>
    </row>
    <row r="671" spans="1:4" ht="18.75" hidden="1" x14ac:dyDescent="0.25">
      <c r="A671" s="11" t="s">
        <v>338</v>
      </c>
      <c r="B671" s="7"/>
      <c r="C671" s="7"/>
      <c r="D671" s="7">
        <f t="shared" si="10"/>
        <v>0</v>
      </c>
    </row>
    <row r="672" spans="1:4" ht="18.75" x14ac:dyDescent="0.25">
      <c r="A672" s="40"/>
      <c r="B672" s="43">
        <f>SUM(B345:B671)</f>
        <v>2162</v>
      </c>
      <c r="C672" s="43"/>
      <c r="D672" s="43">
        <f t="shared" ref="D672" si="11">SUM(D345:D671)</f>
        <v>31283500</v>
      </c>
    </row>
    <row r="675" spans="4:4" x14ac:dyDescent="0.25">
      <c r="D675" s="53">
        <f>D672+D340</f>
        <v>72914500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02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674"/>
  <sheetViews>
    <sheetView topLeftCell="A263" workbookViewId="0">
      <selection activeCell="D674" sqref="D674"/>
    </sheetView>
  </sheetViews>
  <sheetFormatPr defaultRowHeight="15" x14ac:dyDescent="0.25"/>
  <cols>
    <col min="1" max="1" width="30.140625" customWidth="1"/>
    <col min="3" max="3" width="15" customWidth="1"/>
    <col min="4" max="4" width="22.42578125" customWidth="1"/>
  </cols>
  <sheetData>
    <row r="1" spans="1:4" x14ac:dyDescent="0.25">
      <c r="A1" s="1" t="s">
        <v>375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5" t="s">
        <v>5</v>
      </c>
      <c r="B6" s="7"/>
      <c r="C6" s="7"/>
      <c r="D6" s="7">
        <f t="shared" si="0"/>
        <v>0</v>
      </c>
    </row>
    <row r="7" spans="1:4" ht="18.75" hidden="1" x14ac:dyDescent="0.25">
      <c r="A7" s="9" t="s">
        <v>6</v>
      </c>
      <c r="B7" s="7"/>
      <c r="C7" s="7"/>
      <c r="D7" s="7">
        <f t="shared" si="0"/>
        <v>0</v>
      </c>
    </row>
    <row r="8" spans="1:4" ht="31.5" hidden="1" x14ac:dyDescent="0.25">
      <c r="A8" s="10" t="s">
        <v>7</v>
      </c>
      <c r="B8" s="7"/>
      <c r="C8" s="7"/>
      <c r="D8" s="7">
        <f t="shared" si="0"/>
        <v>0</v>
      </c>
    </row>
    <row r="9" spans="1:4" ht="18.75" hidden="1" x14ac:dyDescent="0.25">
      <c r="A9" s="5" t="s">
        <v>8</v>
      </c>
      <c r="B9" s="7"/>
      <c r="C9" s="7"/>
      <c r="D9" s="7">
        <f t="shared" si="0"/>
        <v>0</v>
      </c>
    </row>
    <row r="10" spans="1:4" ht="18.75" hidden="1" x14ac:dyDescent="0.25">
      <c r="A10" s="5" t="s">
        <v>9</v>
      </c>
      <c r="B10" s="7"/>
      <c r="C10" s="7"/>
      <c r="D10" s="7">
        <f t="shared" si="0"/>
        <v>0</v>
      </c>
    </row>
    <row r="11" spans="1:4" ht="18.75" hidden="1" x14ac:dyDescent="0.25">
      <c r="A11" s="11" t="s">
        <v>10</v>
      </c>
      <c r="B11" s="7"/>
      <c r="C11" s="7"/>
      <c r="D11" s="7">
        <f t="shared" si="0"/>
        <v>0</v>
      </c>
    </row>
    <row r="12" spans="1:4" ht="18.75" hidden="1" x14ac:dyDescent="0.25">
      <c r="A12" s="9" t="s">
        <v>11</v>
      </c>
      <c r="B12" s="7"/>
      <c r="C12" s="7"/>
      <c r="D12" s="7">
        <f t="shared" si="0"/>
        <v>0</v>
      </c>
    </row>
    <row r="13" spans="1:4" ht="18.75" hidden="1" x14ac:dyDescent="0.25">
      <c r="A13" s="9" t="s">
        <v>12</v>
      </c>
      <c r="B13" s="7"/>
      <c r="C13" s="7"/>
      <c r="D13" s="7">
        <f t="shared" si="0"/>
        <v>0</v>
      </c>
    </row>
    <row r="14" spans="1:4" ht="18.75" hidden="1" x14ac:dyDescent="0.25">
      <c r="A14" s="12" t="s">
        <v>13</v>
      </c>
      <c r="B14" s="7"/>
      <c r="C14" s="7"/>
      <c r="D14" s="7">
        <f t="shared" si="0"/>
        <v>0</v>
      </c>
    </row>
    <row r="15" spans="1:4" ht="18.75" x14ac:dyDescent="0.25">
      <c r="A15" s="12" t="s">
        <v>14</v>
      </c>
      <c r="B15" s="7">
        <v>26</v>
      </c>
      <c r="C15" s="7">
        <v>12000</v>
      </c>
      <c r="D15" s="7">
        <f t="shared" si="0"/>
        <v>312000</v>
      </c>
    </row>
    <row r="16" spans="1:4" ht="18.75" hidden="1" x14ac:dyDescent="0.25">
      <c r="A16" s="9" t="s">
        <v>15</v>
      </c>
      <c r="B16" s="7"/>
      <c r="C16" s="7"/>
      <c r="D16" s="7">
        <f t="shared" si="0"/>
        <v>0</v>
      </c>
    </row>
    <row r="17" spans="1:4" ht="18.75" hidden="1" x14ac:dyDescent="0.25">
      <c r="A17" s="9" t="s">
        <v>16</v>
      </c>
      <c r="B17" s="7"/>
      <c r="C17" s="7"/>
      <c r="D17" s="7">
        <f t="shared" si="0"/>
        <v>0</v>
      </c>
    </row>
    <row r="18" spans="1:4" ht="18.75" hidden="1" x14ac:dyDescent="0.25">
      <c r="A18" s="13" t="s">
        <v>17</v>
      </c>
      <c r="B18" s="7"/>
      <c r="C18" s="7"/>
      <c r="D18" s="7">
        <f t="shared" si="0"/>
        <v>0</v>
      </c>
    </row>
    <row r="19" spans="1:4" ht="18.75" x14ac:dyDescent="0.25">
      <c r="A19" s="11" t="s">
        <v>18</v>
      </c>
      <c r="B19" s="7">
        <v>10</v>
      </c>
      <c r="C19" s="45">
        <v>12000</v>
      </c>
      <c r="D19" s="7">
        <f t="shared" si="0"/>
        <v>120000</v>
      </c>
    </row>
    <row r="20" spans="1:4" ht="18.75" x14ac:dyDescent="0.25">
      <c r="A20" s="9" t="s">
        <v>19</v>
      </c>
      <c r="B20" s="7">
        <v>100</v>
      </c>
      <c r="C20" s="7">
        <v>12000</v>
      </c>
      <c r="D20" s="7">
        <f t="shared" si="0"/>
        <v>1200000</v>
      </c>
    </row>
    <row r="21" spans="1:4" ht="18.75" hidden="1" x14ac:dyDescent="0.25">
      <c r="A21" s="12" t="s">
        <v>20</v>
      </c>
      <c r="B21" s="7"/>
      <c r="C21" s="7"/>
      <c r="D21" s="7">
        <f t="shared" si="0"/>
        <v>0</v>
      </c>
    </row>
    <row r="22" spans="1:4" ht="18.75" hidden="1" x14ac:dyDescent="0.25">
      <c r="A22" s="12" t="s">
        <v>21</v>
      </c>
      <c r="B22" s="7"/>
      <c r="C22" s="7"/>
      <c r="D22" s="7">
        <f t="shared" si="0"/>
        <v>0</v>
      </c>
    </row>
    <row r="23" spans="1:4" ht="18.75" hidden="1" x14ac:dyDescent="0.25">
      <c r="A23" s="9" t="s">
        <v>22</v>
      </c>
      <c r="B23" s="7"/>
      <c r="C23" s="7"/>
      <c r="D23" s="7">
        <f t="shared" si="0"/>
        <v>0</v>
      </c>
    </row>
    <row r="24" spans="1:4" ht="18.75" hidden="1" x14ac:dyDescent="0.25">
      <c r="A24" s="9" t="s">
        <v>23</v>
      </c>
      <c r="B24" s="7"/>
      <c r="C24" s="7"/>
      <c r="D24" s="7">
        <f t="shared" si="0"/>
        <v>0</v>
      </c>
    </row>
    <row r="25" spans="1:4" ht="18.75" hidden="1" x14ac:dyDescent="0.25">
      <c r="A25" s="9" t="s">
        <v>24</v>
      </c>
      <c r="B25" s="7"/>
      <c r="C25" s="7"/>
      <c r="D25" s="7">
        <f t="shared" si="0"/>
        <v>0</v>
      </c>
    </row>
    <row r="26" spans="1:4" ht="18.75" hidden="1" x14ac:dyDescent="0.25">
      <c r="A26" s="9" t="s">
        <v>25</v>
      </c>
      <c r="B26" s="7"/>
      <c r="C26" s="7"/>
      <c r="D26" s="7">
        <f t="shared" si="0"/>
        <v>0</v>
      </c>
    </row>
    <row r="27" spans="1:4" ht="18.75" hidden="1" x14ac:dyDescent="0.25">
      <c r="A27" s="9" t="s">
        <v>26</v>
      </c>
      <c r="B27" s="7"/>
      <c r="C27" s="7"/>
      <c r="D27" s="7">
        <f t="shared" si="0"/>
        <v>0</v>
      </c>
    </row>
    <row r="28" spans="1:4" ht="18.75" hidden="1" x14ac:dyDescent="0.25">
      <c r="A28" s="9" t="s">
        <v>27</v>
      </c>
      <c r="B28" s="7"/>
      <c r="C28" s="7"/>
      <c r="D28" s="7">
        <f t="shared" si="0"/>
        <v>0</v>
      </c>
    </row>
    <row r="29" spans="1:4" ht="18.75" hidden="1" x14ac:dyDescent="0.25">
      <c r="A29" s="11" t="s">
        <v>28</v>
      </c>
      <c r="B29" s="16"/>
      <c r="C29" s="16"/>
      <c r="D29" s="7">
        <f t="shared" si="0"/>
        <v>0</v>
      </c>
    </row>
    <row r="30" spans="1:4" ht="18.75" hidden="1" x14ac:dyDescent="0.25">
      <c r="A30" s="12" t="s">
        <v>29</v>
      </c>
      <c r="B30" s="7"/>
      <c r="C30" s="7"/>
      <c r="D30" s="7">
        <f t="shared" si="0"/>
        <v>0</v>
      </c>
    </row>
    <row r="31" spans="1:4" ht="18.75" hidden="1" x14ac:dyDescent="0.25">
      <c r="A31" s="11" t="s">
        <v>30</v>
      </c>
      <c r="B31" s="7"/>
      <c r="C31" s="7"/>
      <c r="D31" s="7">
        <f t="shared" si="0"/>
        <v>0</v>
      </c>
    </row>
    <row r="32" spans="1:4" ht="18.75" hidden="1" x14ac:dyDescent="0.25">
      <c r="A32" s="11" t="s">
        <v>31</v>
      </c>
      <c r="B32" s="7"/>
      <c r="C32" s="7"/>
      <c r="D32" s="7">
        <f t="shared" si="0"/>
        <v>0</v>
      </c>
    </row>
    <row r="33" spans="1:4" ht="18.75" hidden="1" x14ac:dyDescent="0.25">
      <c r="A33" s="11" t="s">
        <v>32</v>
      </c>
      <c r="B33" s="7"/>
      <c r="C33" s="7"/>
      <c r="D33" s="7">
        <f t="shared" si="0"/>
        <v>0</v>
      </c>
    </row>
    <row r="34" spans="1:4" ht="18.75" hidden="1" x14ac:dyDescent="0.25">
      <c r="A34" s="12" t="s">
        <v>33</v>
      </c>
      <c r="B34" s="7"/>
      <c r="C34" s="7"/>
      <c r="D34" s="7">
        <f t="shared" si="0"/>
        <v>0</v>
      </c>
    </row>
    <row r="35" spans="1:4" ht="18.75" hidden="1" x14ac:dyDescent="0.25">
      <c r="A35" s="11" t="s">
        <v>34</v>
      </c>
      <c r="B35" s="7"/>
      <c r="C35" s="7"/>
      <c r="D35" s="7">
        <f t="shared" si="0"/>
        <v>0</v>
      </c>
    </row>
    <row r="36" spans="1:4" ht="18.75" hidden="1" x14ac:dyDescent="0.25">
      <c r="A36" s="11" t="s">
        <v>35</v>
      </c>
      <c r="B36" s="7"/>
      <c r="C36" s="7"/>
      <c r="D36" s="7">
        <f t="shared" si="0"/>
        <v>0</v>
      </c>
    </row>
    <row r="37" spans="1:4" ht="18.75" hidden="1" x14ac:dyDescent="0.25">
      <c r="A37" s="11" t="s">
        <v>36</v>
      </c>
      <c r="B37" s="7"/>
      <c r="C37" s="7"/>
      <c r="D37" s="7">
        <f t="shared" si="0"/>
        <v>0</v>
      </c>
    </row>
    <row r="38" spans="1:4" ht="18.75" hidden="1" x14ac:dyDescent="0.25">
      <c r="A38" s="12" t="s">
        <v>37</v>
      </c>
      <c r="B38" s="7"/>
      <c r="C38" s="7"/>
      <c r="D38" s="7">
        <f t="shared" si="0"/>
        <v>0</v>
      </c>
    </row>
    <row r="39" spans="1:4" ht="18.75" hidden="1" x14ac:dyDescent="0.25">
      <c r="A39" s="9" t="s">
        <v>38</v>
      </c>
      <c r="B39" s="7"/>
      <c r="C39" s="7"/>
      <c r="D39" s="7">
        <f t="shared" si="0"/>
        <v>0</v>
      </c>
    </row>
    <row r="40" spans="1:4" ht="18.75" hidden="1" x14ac:dyDescent="0.25">
      <c r="A40" s="9" t="s">
        <v>39</v>
      </c>
      <c r="B40" s="7"/>
      <c r="C40" s="7"/>
      <c r="D40" s="7">
        <f t="shared" si="0"/>
        <v>0</v>
      </c>
    </row>
    <row r="41" spans="1:4" ht="18.75" hidden="1" x14ac:dyDescent="0.25">
      <c r="A41" s="11" t="s">
        <v>40</v>
      </c>
      <c r="B41" s="16"/>
      <c r="C41" s="16"/>
      <c r="D41" s="7">
        <f t="shared" si="0"/>
        <v>0</v>
      </c>
    </row>
    <row r="42" spans="1:4" ht="18.75" hidden="1" x14ac:dyDescent="0.25">
      <c r="A42" s="9" t="s">
        <v>41</v>
      </c>
      <c r="B42" s="7"/>
      <c r="C42" s="7"/>
      <c r="D42" s="7">
        <f t="shared" si="0"/>
        <v>0</v>
      </c>
    </row>
    <row r="43" spans="1:4" ht="18.75" hidden="1" x14ac:dyDescent="0.25">
      <c r="A43" s="9" t="s">
        <v>42</v>
      </c>
      <c r="B43" s="7"/>
      <c r="C43" s="7"/>
      <c r="D43" s="7">
        <f t="shared" si="0"/>
        <v>0</v>
      </c>
    </row>
    <row r="44" spans="1:4" ht="18.75" hidden="1" x14ac:dyDescent="0.25">
      <c r="A44" s="17" t="s">
        <v>43</v>
      </c>
      <c r="B44" s="7"/>
      <c r="C44" s="7"/>
      <c r="D44" s="7">
        <f t="shared" si="0"/>
        <v>0</v>
      </c>
    </row>
    <row r="45" spans="1:4" ht="18.75" hidden="1" x14ac:dyDescent="0.25">
      <c r="A45" s="9" t="s">
        <v>44</v>
      </c>
      <c r="B45" s="7"/>
      <c r="C45" s="7"/>
      <c r="D45" s="7">
        <f t="shared" si="0"/>
        <v>0</v>
      </c>
    </row>
    <row r="46" spans="1:4" ht="18.75" hidden="1" x14ac:dyDescent="0.25">
      <c r="A46" s="9" t="s">
        <v>45</v>
      </c>
      <c r="B46" s="7"/>
      <c r="C46" s="7"/>
      <c r="D46" s="7">
        <f t="shared" si="0"/>
        <v>0</v>
      </c>
    </row>
    <row r="47" spans="1:4" ht="18.75" hidden="1" x14ac:dyDescent="0.25">
      <c r="A47" s="9" t="s">
        <v>46</v>
      </c>
      <c r="B47" s="7"/>
      <c r="C47" s="7"/>
      <c r="D47" s="7">
        <f t="shared" si="0"/>
        <v>0</v>
      </c>
    </row>
    <row r="48" spans="1:4" ht="18.75" hidden="1" x14ac:dyDescent="0.25">
      <c r="A48" s="18" t="s">
        <v>47</v>
      </c>
      <c r="B48" s="7"/>
      <c r="C48" s="7"/>
      <c r="D48" s="7">
        <f t="shared" si="0"/>
        <v>0</v>
      </c>
    </row>
    <row r="49" spans="1:4" ht="18.75" hidden="1" x14ac:dyDescent="0.25">
      <c r="A49" s="13" t="s">
        <v>48</v>
      </c>
      <c r="B49" s="7"/>
      <c r="C49" s="7"/>
      <c r="D49" s="7">
        <f t="shared" si="0"/>
        <v>0</v>
      </c>
    </row>
    <row r="50" spans="1:4" ht="18.75" hidden="1" x14ac:dyDescent="0.25">
      <c r="A50" s="11" t="s">
        <v>49</v>
      </c>
      <c r="B50" s="7"/>
      <c r="C50" s="7"/>
      <c r="D50" s="7">
        <f t="shared" si="0"/>
        <v>0</v>
      </c>
    </row>
    <row r="51" spans="1:4" ht="18.75" hidden="1" x14ac:dyDescent="0.25">
      <c r="A51" s="13" t="s">
        <v>50</v>
      </c>
      <c r="B51" s="7"/>
      <c r="C51" s="7"/>
      <c r="D51" s="7">
        <f t="shared" si="0"/>
        <v>0</v>
      </c>
    </row>
    <row r="52" spans="1:4" ht="18.75" hidden="1" x14ac:dyDescent="0.25">
      <c r="A52" s="9" t="s">
        <v>51</v>
      </c>
      <c r="B52" s="7"/>
      <c r="C52" s="7"/>
      <c r="D52" s="7">
        <f t="shared" si="0"/>
        <v>0</v>
      </c>
    </row>
    <row r="53" spans="1:4" ht="18.75" hidden="1" x14ac:dyDescent="0.25">
      <c r="A53" s="9" t="s">
        <v>52</v>
      </c>
      <c r="B53" s="7"/>
      <c r="C53" s="7"/>
      <c r="D53" s="7">
        <f t="shared" si="0"/>
        <v>0</v>
      </c>
    </row>
    <row r="54" spans="1:4" ht="18.75" x14ac:dyDescent="0.25">
      <c r="A54" s="12" t="s">
        <v>53</v>
      </c>
      <c r="B54" s="7">
        <f>-300+540</f>
        <v>240</v>
      </c>
      <c r="C54" s="7">
        <v>24000</v>
      </c>
      <c r="D54" s="7">
        <f t="shared" si="0"/>
        <v>5760000</v>
      </c>
    </row>
    <row r="55" spans="1:4" ht="18.75" hidden="1" x14ac:dyDescent="0.25">
      <c r="A55" s="9" t="s">
        <v>54</v>
      </c>
      <c r="B55" s="7"/>
      <c r="C55" s="7"/>
      <c r="D55" s="7">
        <f t="shared" si="0"/>
        <v>0</v>
      </c>
    </row>
    <row r="56" spans="1:4" ht="18.75" hidden="1" x14ac:dyDescent="0.25">
      <c r="A56" s="17" t="s">
        <v>55</v>
      </c>
      <c r="B56" s="7"/>
      <c r="C56" s="7"/>
      <c r="D56" s="7">
        <f t="shared" si="0"/>
        <v>0</v>
      </c>
    </row>
    <row r="57" spans="1:4" ht="18.75" x14ac:dyDescent="0.25">
      <c r="A57" s="17" t="s">
        <v>56</v>
      </c>
      <c r="B57" s="7">
        <v>14</v>
      </c>
      <c r="C57" s="7">
        <v>7500</v>
      </c>
      <c r="D57" s="7">
        <f t="shared" si="0"/>
        <v>105000</v>
      </c>
    </row>
    <row r="58" spans="1:4" ht="18.75" hidden="1" x14ac:dyDescent="0.25">
      <c r="A58" s="17" t="s">
        <v>57</v>
      </c>
      <c r="B58" s="7"/>
      <c r="C58" s="7"/>
      <c r="D58" s="7">
        <f t="shared" si="0"/>
        <v>0</v>
      </c>
    </row>
    <row r="59" spans="1:4" ht="18.75" hidden="1" x14ac:dyDescent="0.25">
      <c r="A59" s="9" t="s">
        <v>58</v>
      </c>
      <c r="B59" s="7"/>
      <c r="C59" s="7"/>
      <c r="D59" s="7">
        <f t="shared" si="0"/>
        <v>0</v>
      </c>
    </row>
    <row r="60" spans="1:4" ht="18.75" hidden="1" x14ac:dyDescent="0.25">
      <c r="A60" s="11" t="s">
        <v>59</v>
      </c>
      <c r="B60" s="7"/>
      <c r="C60" s="7"/>
      <c r="D60" s="7">
        <f t="shared" si="0"/>
        <v>0</v>
      </c>
    </row>
    <row r="61" spans="1:4" ht="18.75" hidden="1" x14ac:dyDescent="0.25">
      <c r="A61" s="9" t="s">
        <v>60</v>
      </c>
      <c r="B61" s="7"/>
      <c r="C61" s="7"/>
      <c r="D61" s="7">
        <f t="shared" si="0"/>
        <v>0</v>
      </c>
    </row>
    <row r="62" spans="1:4" ht="18.75" hidden="1" x14ac:dyDescent="0.25">
      <c r="A62" s="18" t="s">
        <v>61</v>
      </c>
      <c r="B62" s="7"/>
      <c r="C62" s="7"/>
      <c r="D62" s="7">
        <f t="shared" si="0"/>
        <v>0</v>
      </c>
    </row>
    <row r="63" spans="1:4" ht="18.75" hidden="1" x14ac:dyDescent="0.25">
      <c r="A63" s="17" t="s">
        <v>62</v>
      </c>
      <c r="B63" s="7"/>
      <c r="C63" s="7"/>
      <c r="D63" s="7">
        <f t="shared" si="0"/>
        <v>0</v>
      </c>
    </row>
    <row r="64" spans="1:4" ht="18.75" x14ac:dyDescent="0.25">
      <c r="A64" s="9" t="s">
        <v>63</v>
      </c>
      <c r="B64" s="7">
        <v>60</v>
      </c>
      <c r="C64" s="7">
        <v>22000</v>
      </c>
      <c r="D64" s="7">
        <f t="shared" si="0"/>
        <v>1320000</v>
      </c>
    </row>
    <row r="65" spans="1:4" ht="18.75" hidden="1" x14ac:dyDescent="0.25">
      <c r="A65" s="19" t="s">
        <v>64</v>
      </c>
      <c r="B65" s="7"/>
      <c r="C65" s="7"/>
      <c r="D65" s="7">
        <f t="shared" si="0"/>
        <v>0</v>
      </c>
    </row>
    <row r="66" spans="1:4" ht="18.75" hidden="1" x14ac:dyDescent="0.25">
      <c r="A66" s="9" t="s">
        <v>65</v>
      </c>
      <c r="B66" s="7"/>
      <c r="C66" s="7"/>
      <c r="D66" s="7">
        <f t="shared" si="0"/>
        <v>0</v>
      </c>
    </row>
    <row r="67" spans="1:4" ht="18.75" hidden="1" x14ac:dyDescent="0.25">
      <c r="A67" s="9" t="s">
        <v>66</v>
      </c>
      <c r="B67" s="7"/>
      <c r="C67" s="7"/>
      <c r="D67" s="7">
        <f t="shared" si="0"/>
        <v>0</v>
      </c>
    </row>
    <row r="68" spans="1:4" ht="18.75" hidden="1" x14ac:dyDescent="0.25">
      <c r="A68" s="20" t="s">
        <v>67</v>
      </c>
      <c r="B68" s="7"/>
      <c r="C68" s="7"/>
      <c r="D68" s="7">
        <f t="shared" ref="D68:D131" si="1">B68*C68</f>
        <v>0</v>
      </c>
    </row>
    <row r="69" spans="1:4" ht="18.75" hidden="1" x14ac:dyDescent="0.25">
      <c r="A69" s="12" t="s">
        <v>68</v>
      </c>
      <c r="B69" s="7"/>
      <c r="C69" s="7"/>
      <c r="D69" s="7">
        <f t="shared" si="1"/>
        <v>0</v>
      </c>
    </row>
    <row r="70" spans="1:4" ht="18.75" x14ac:dyDescent="0.25">
      <c r="A70" s="12" t="s">
        <v>69</v>
      </c>
      <c r="B70" s="7">
        <f>70-36</f>
        <v>34</v>
      </c>
      <c r="C70" s="7">
        <v>8000</v>
      </c>
      <c r="D70" s="7">
        <f t="shared" si="1"/>
        <v>272000</v>
      </c>
    </row>
    <row r="71" spans="1:4" ht="18.75" hidden="1" x14ac:dyDescent="0.25">
      <c r="A71" s="11" t="s">
        <v>70</v>
      </c>
      <c r="B71" s="7"/>
      <c r="C71" s="7"/>
      <c r="D71" s="7">
        <f t="shared" si="1"/>
        <v>0</v>
      </c>
    </row>
    <row r="72" spans="1:4" ht="18.75" x14ac:dyDescent="0.25">
      <c r="A72" s="12" t="s">
        <v>71</v>
      </c>
      <c r="B72" s="7">
        <v>9</v>
      </c>
      <c r="C72" s="7">
        <v>8000</v>
      </c>
      <c r="D72" s="7">
        <f t="shared" si="1"/>
        <v>72000</v>
      </c>
    </row>
    <row r="73" spans="1:4" ht="18.75" hidden="1" x14ac:dyDescent="0.25">
      <c r="A73" s="12" t="s">
        <v>72</v>
      </c>
      <c r="B73" s="7"/>
      <c r="C73" s="7"/>
      <c r="D73" s="7">
        <f t="shared" si="1"/>
        <v>0</v>
      </c>
    </row>
    <row r="74" spans="1:4" ht="18.75" hidden="1" x14ac:dyDescent="0.25">
      <c r="A74" s="12" t="s">
        <v>73</v>
      </c>
      <c r="B74" s="7"/>
      <c r="C74" s="7"/>
      <c r="D74" s="7">
        <f t="shared" si="1"/>
        <v>0</v>
      </c>
    </row>
    <row r="75" spans="1:4" ht="18.75" hidden="1" x14ac:dyDescent="0.25">
      <c r="A75" s="20" t="s">
        <v>74</v>
      </c>
      <c r="B75" s="7"/>
      <c r="C75" s="7"/>
      <c r="D75" s="7">
        <f t="shared" si="1"/>
        <v>0</v>
      </c>
    </row>
    <row r="76" spans="1:4" ht="18.75" hidden="1" x14ac:dyDescent="0.25">
      <c r="A76" s="9" t="s">
        <v>75</v>
      </c>
      <c r="B76" s="7"/>
      <c r="C76" s="7"/>
      <c r="D76" s="7">
        <f t="shared" si="1"/>
        <v>0</v>
      </c>
    </row>
    <row r="77" spans="1:4" ht="18.75" hidden="1" x14ac:dyDescent="0.25">
      <c r="A77" s="9" t="s">
        <v>76</v>
      </c>
      <c r="B77" s="7"/>
      <c r="C77" s="7"/>
      <c r="D77" s="7">
        <f t="shared" si="1"/>
        <v>0</v>
      </c>
    </row>
    <row r="78" spans="1:4" ht="18.75" x14ac:dyDescent="0.25">
      <c r="A78" s="9" t="s">
        <v>77</v>
      </c>
      <c r="B78" s="7">
        <f>-100+140</f>
        <v>40</v>
      </c>
      <c r="C78" s="7">
        <v>26000</v>
      </c>
      <c r="D78" s="7">
        <f t="shared" si="1"/>
        <v>1040000</v>
      </c>
    </row>
    <row r="79" spans="1:4" ht="18.75" hidden="1" x14ac:dyDescent="0.25">
      <c r="A79" s="13" t="s">
        <v>78</v>
      </c>
      <c r="B79" s="7"/>
      <c r="C79" s="7"/>
      <c r="D79" s="7">
        <f t="shared" si="1"/>
        <v>0</v>
      </c>
    </row>
    <row r="80" spans="1:4" ht="18.75" x14ac:dyDescent="0.25">
      <c r="A80" s="9" t="s">
        <v>79</v>
      </c>
      <c r="B80" s="7">
        <v>110</v>
      </c>
      <c r="C80" s="7">
        <v>26000</v>
      </c>
      <c r="D80" s="7">
        <f t="shared" si="1"/>
        <v>2860000</v>
      </c>
    </row>
    <row r="81" spans="1:4" ht="18.75" x14ac:dyDescent="0.25">
      <c r="A81" s="9" t="s">
        <v>80</v>
      </c>
      <c r="B81" s="7">
        <v>10</v>
      </c>
      <c r="C81" s="7">
        <v>24000</v>
      </c>
      <c r="D81" s="7">
        <f t="shared" si="1"/>
        <v>240000</v>
      </c>
    </row>
    <row r="82" spans="1:4" ht="18.75" hidden="1" x14ac:dyDescent="0.25">
      <c r="A82" s="9" t="s">
        <v>81</v>
      </c>
      <c r="B82" s="7"/>
      <c r="C82" s="7"/>
      <c r="D82" s="7">
        <f t="shared" si="1"/>
        <v>0</v>
      </c>
    </row>
    <row r="83" spans="1:4" ht="18.75" hidden="1" x14ac:dyDescent="0.25">
      <c r="A83" s="12" t="s">
        <v>82</v>
      </c>
      <c r="B83" s="16"/>
      <c r="C83" s="16"/>
      <c r="D83" s="7">
        <f t="shared" si="1"/>
        <v>0</v>
      </c>
    </row>
    <row r="84" spans="1:4" ht="18.75" hidden="1" x14ac:dyDescent="0.25">
      <c r="A84" s="12" t="s">
        <v>83</v>
      </c>
      <c r="B84" s="16"/>
      <c r="C84" s="16"/>
      <c r="D84" s="7">
        <f t="shared" si="1"/>
        <v>0</v>
      </c>
    </row>
    <row r="85" spans="1:4" ht="18.75" hidden="1" x14ac:dyDescent="0.25">
      <c r="A85" s="12" t="s">
        <v>84</v>
      </c>
      <c r="B85" s="16"/>
      <c r="C85" s="16"/>
      <c r="D85" s="7">
        <f t="shared" si="1"/>
        <v>0</v>
      </c>
    </row>
    <row r="86" spans="1:4" ht="18.75" hidden="1" x14ac:dyDescent="0.25">
      <c r="A86" s="9" t="s">
        <v>85</v>
      </c>
      <c r="B86" s="7"/>
      <c r="C86" s="7"/>
      <c r="D86" s="7">
        <f t="shared" si="1"/>
        <v>0</v>
      </c>
    </row>
    <row r="87" spans="1:4" ht="18.75" hidden="1" x14ac:dyDescent="0.25">
      <c r="A87" s="9" t="s">
        <v>86</v>
      </c>
      <c r="B87" s="7"/>
      <c r="C87" s="7"/>
      <c r="D87" s="7">
        <f t="shared" si="1"/>
        <v>0</v>
      </c>
    </row>
    <row r="88" spans="1:4" ht="18.75" hidden="1" x14ac:dyDescent="0.25">
      <c r="A88" s="9" t="s">
        <v>87</v>
      </c>
      <c r="B88" s="7"/>
      <c r="C88" s="7"/>
      <c r="D88" s="7">
        <f t="shared" si="1"/>
        <v>0</v>
      </c>
    </row>
    <row r="89" spans="1:4" ht="18.75" hidden="1" x14ac:dyDescent="0.25">
      <c r="A89" s="9" t="s">
        <v>88</v>
      </c>
      <c r="B89" s="7"/>
      <c r="C89" s="7"/>
      <c r="D89" s="7">
        <f t="shared" si="1"/>
        <v>0</v>
      </c>
    </row>
    <row r="90" spans="1:4" ht="18.75" hidden="1" x14ac:dyDescent="0.25">
      <c r="A90" s="9" t="s">
        <v>89</v>
      </c>
      <c r="B90" s="7"/>
      <c r="C90" s="7"/>
      <c r="D90" s="7">
        <f t="shared" si="1"/>
        <v>0</v>
      </c>
    </row>
    <row r="91" spans="1:4" ht="18.75" hidden="1" x14ac:dyDescent="0.25">
      <c r="A91" s="9" t="s">
        <v>90</v>
      </c>
      <c r="B91" s="7"/>
      <c r="C91" s="7"/>
      <c r="D91" s="7">
        <f t="shared" si="1"/>
        <v>0</v>
      </c>
    </row>
    <row r="92" spans="1:4" ht="18.75" hidden="1" x14ac:dyDescent="0.25">
      <c r="A92" s="21" t="s">
        <v>91</v>
      </c>
      <c r="B92" s="7"/>
      <c r="C92" s="7"/>
      <c r="D92" s="7">
        <f t="shared" si="1"/>
        <v>0</v>
      </c>
    </row>
    <row r="93" spans="1:4" ht="18.75" hidden="1" x14ac:dyDescent="0.25">
      <c r="A93" s="21" t="s">
        <v>92</v>
      </c>
      <c r="B93" s="7"/>
      <c r="C93" s="7"/>
      <c r="D93" s="7">
        <f t="shared" si="1"/>
        <v>0</v>
      </c>
    </row>
    <row r="94" spans="1:4" ht="18.75" hidden="1" x14ac:dyDescent="0.25">
      <c r="A94" s="21" t="s">
        <v>93</v>
      </c>
      <c r="B94" s="7"/>
      <c r="C94" s="7"/>
      <c r="D94" s="7">
        <f t="shared" si="1"/>
        <v>0</v>
      </c>
    </row>
    <row r="95" spans="1:4" ht="18.75" hidden="1" x14ac:dyDescent="0.25">
      <c r="A95" s="11" t="s">
        <v>94</v>
      </c>
      <c r="B95" s="7"/>
      <c r="C95" s="7"/>
      <c r="D95" s="7">
        <f t="shared" si="1"/>
        <v>0</v>
      </c>
    </row>
    <row r="96" spans="1:4" ht="18.75" x14ac:dyDescent="0.25">
      <c r="A96" s="13" t="s">
        <v>95</v>
      </c>
      <c r="B96" s="7">
        <v>39</v>
      </c>
      <c r="C96" s="7">
        <v>30000</v>
      </c>
      <c r="D96" s="7">
        <f t="shared" si="1"/>
        <v>1170000</v>
      </c>
    </row>
    <row r="97" spans="1:4" ht="18.75" hidden="1" x14ac:dyDescent="0.25">
      <c r="A97" s="9" t="s">
        <v>96</v>
      </c>
      <c r="B97" s="7"/>
      <c r="C97" s="7"/>
      <c r="D97" s="7">
        <f t="shared" si="1"/>
        <v>0</v>
      </c>
    </row>
    <row r="98" spans="1:4" ht="18.75" hidden="1" x14ac:dyDescent="0.25">
      <c r="A98" s="9" t="s">
        <v>97</v>
      </c>
      <c r="B98" s="7"/>
      <c r="C98" s="7"/>
      <c r="D98" s="7">
        <f t="shared" si="1"/>
        <v>0</v>
      </c>
    </row>
    <row r="99" spans="1:4" ht="18.75" hidden="1" x14ac:dyDescent="0.25">
      <c r="A99" s="11" t="s">
        <v>98</v>
      </c>
      <c r="B99" s="7"/>
      <c r="C99" s="7"/>
      <c r="D99" s="7">
        <f t="shared" si="1"/>
        <v>0</v>
      </c>
    </row>
    <row r="100" spans="1:4" ht="18.75" hidden="1" x14ac:dyDescent="0.25">
      <c r="A100" s="9" t="s">
        <v>99</v>
      </c>
      <c r="B100" s="16"/>
      <c r="C100" s="16"/>
      <c r="D100" s="7">
        <f t="shared" si="1"/>
        <v>0</v>
      </c>
    </row>
    <row r="101" spans="1:4" ht="18.75" hidden="1" x14ac:dyDescent="0.25">
      <c r="A101" s="11" t="s">
        <v>100</v>
      </c>
      <c r="B101" s="7"/>
      <c r="C101" s="7"/>
      <c r="D101" s="7">
        <f t="shared" si="1"/>
        <v>0</v>
      </c>
    </row>
    <row r="102" spans="1:4" ht="18.75" hidden="1" x14ac:dyDescent="0.25">
      <c r="A102" s="22" t="s">
        <v>101</v>
      </c>
      <c r="B102" s="7"/>
      <c r="C102" s="7"/>
      <c r="D102" s="7">
        <f t="shared" si="1"/>
        <v>0</v>
      </c>
    </row>
    <row r="103" spans="1:4" ht="18.75" hidden="1" x14ac:dyDescent="0.25">
      <c r="A103" s="23" t="s">
        <v>102</v>
      </c>
      <c r="B103" s="7"/>
      <c r="C103" s="7"/>
      <c r="D103" s="7">
        <f t="shared" si="1"/>
        <v>0</v>
      </c>
    </row>
    <row r="104" spans="1:4" ht="18.75" hidden="1" x14ac:dyDescent="0.25">
      <c r="A104" s="24" t="s">
        <v>103</v>
      </c>
      <c r="B104" s="7"/>
      <c r="C104" s="7"/>
      <c r="D104" s="7">
        <f t="shared" si="1"/>
        <v>0</v>
      </c>
    </row>
    <row r="105" spans="1:4" ht="18.75" hidden="1" x14ac:dyDescent="0.25">
      <c r="A105" s="17" t="s">
        <v>104</v>
      </c>
      <c r="B105" s="7"/>
      <c r="C105" s="7"/>
      <c r="D105" s="7">
        <f t="shared" si="1"/>
        <v>0</v>
      </c>
    </row>
    <row r="106" spans="1:4" ht="18.75" hidden="1" x14ac:dyDescent="0.25">
      <c r="A106" s="9" t="s">
        <v>105</v>
      </c>
      <c r="B106" s="7"/>
      <c r="C106" s="7"/>
      <c r="D106" s="7">
        <f t="shared" si="1"/>
        <v>0</v>
      </c>
    </row>
    <row r="107" spans="1:4" ht="18.75" hidden="1" x14ac:dyDescent="0.25">
      <c r="A107" s="9" t="s">
        <v>106</v>
      </c>
      <c r="B107" s="7"/>
      <c r="C107" s="7"/>
      <c r="D107" s="7">
        <f t="shared" si="1"/>
        <v>0</v>
      </c>
    </row>
    <row r="108" spans="1:4" ht="18.75" hidden="1" x14ac:dyDescent="0.25">
      <c r="A108" s="11" t="s">
        <v>107</v>
      </c>
      <c r="B108" s="7"/>
      <c r="C108" s="7"/>
      <c r="D108" s="7">
        <f t="shared" si="1"/>
        <v>0</v>
      </c>
    </row>
    <row r="109" spans="1:4" ht="18.75" hidden="1" x14ac:dyDescent="0.25">
      <c r="A109" s="25" t="s">
        <v>108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109</v>
      </c>
      <c r="B110" s="7"/>
      <c r="C110" s="7"/>
      <c r="D110" s="7">
        <f t="shared" si="1"/>
        <v>0</v>
      </c>
    </row>
    <row r="111" spans="1:4" ht="18.75" hidden="1" x14ac:dyDescent="0.25">
      <c r="A111" s="9" t="s">
        <v>110</v>
      </c>
      <c r="B111" s="7"/>
      <c r="C111" s="7"/>
      <c r="D111" s="7">
        <f t="shared" si="1"/>
        <v>0</v>
      </c>
    </row>
    <row r="112" spans="1:4" ht="18.75" hidden="1" x14ac:dyDescent="0.25">
      <c r="A112" s="9" t="s">
        <v>111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112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113</v>
      </c>
      <c r="B114" s="7"/>
      <c r="C114" s="7"/>
      <c r="D114" s="7">
        <f t="shared" si="1"/>
        <v>0</v>
      </c>
    </row>
    <row r="115" spans="1:4" ht="18.75" hidden="1" x14ac:dyDescent="0.25">
      <c r="A115" s="9" t="s">
        <v>114</v>
      </c>
      <c r="B115" s="7"/>
      <c r="C115" s="7"/>
      <c r="D115" s="7">
        <f t="shared" si="1"/>
        <v>0</v>
      </c>
    </row>
    <row r="116" spans="1:4" ht="18.75" hidden="1" x14ac:dyDescent="0.25">
      <c r="A116" s="9" t="s">
        <v>115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116</v>
      </c>
      <c r="B117" s="7"/>
      <c r="C117" s="7"/>
      <c r="D117" s="7">
        <f t="shared" si="1"/>
        <v>0</v>
      </c>
    </row>
    <row r="118" spans="1:4" ht="18.75" hidden="1" x14ac:dyDescent="0.25">
      <c r="A118" s="11" t="s">
        <v>117</v>
      </c>
      <c r="B118" s="7"/>
      <c r="C118" s="7"/>
      <c r="D118" s="7">
        <f t="shared" si="1"/>
        <v>0</v>
      </c>
    </row>
    <row r="119" spans="1:4" ht="18.75" hidden="1" x14ac:dyDescent="0.25">
      <c r="A119" s="21" t="s">
        <v>118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119</v>
      </c>
      <c r="B120" s="7"/>
      <c r="C120" s="7"/>
      <c r="D120" s="7">
        <f t="shared" si="1"/>
        <v>0</v>
      </c>
    </row>
    <row r="121" spans="1:4" ht="18.75" hidden="1" x14ac:dyDescent="0.25">
      <c r="A121" s="11" t="s">
        <v>120</v>
      </c>
      <c r="B121" s="7"/>
      <c r="C121" s="7"/>
      <c r="D121" s="7">
        <f t="shared" si="1"/>
        <v>0</v>
      </c>
    </row>
    <row r="122" spans="1:4" ht="18.75" hidden="1" x14ac:dyDescent="0.25">
      <c r="A122" s="11" t="s">
        <v>121</v>
      </c>
      <c r="B122" s="7"/>
      <c r="C122" s="7"/>
      <c r="D122" s="7">
        <f t="shared" si="1"/>
        <v>0</v>
      </c>
    </row>
    <row r="123" spans="1:4" ht="18.75" x14ac:dyDescent="0.25">
      <c r="A123" s="9" t="s">
        <v>122</v>
      </c>
      <c r="B123" s="7">
        <f>-20+43</f>
        <v>23</v>
      </c>
      <c r="C123" s="7">
        <v>12000</v>
      </c>
      <c r="D123" s="7">
        <f t="shared" si="1"/>
        <v>276000</v>
      </c>
    </row>
    <row r="124" spans="1:4" ht="18.75" hidden="1" x14ac:dyDescent="0.25">
      <c r="A124" s="9" t="s">
        <v>123</v>
      </c>
      <c r="B124" s="7"/>
      <c r="C124" s="7"/>
      <c r="D124" s="7">
        <f t="shared" si="1"/>
        <v>0</v>
      </c>
    </row>
    <row r="125" spans="1:4" ht="18.75" hidden="1" x14ac:dyDescent="0.25">
      <c r="A125" s="10" t="s">
        <v>124</v>
      </c>
      <c r="B125" s="7"/>
      <c r="C125" s="7"/>
      <c r="D125" s="7">
        <f t="shared" si="1"/>
        <v>0</v>
      </c>
    </row>
    <row r="126" spans="1:4" ht="18.75" hidden="1" x14ac:dyDescent="0.25">
      <c r="A126" s="13" t="s">
        <v>125</v>
      </c>
      <c r="B126" s="7"/>
      <c r="C126" s="7"/>
      <c r="D126" s="7">
        <f t="shared" si="1"/>
        <v>0</v>
      </c>
    </row>
    <row r="127" spans="1:4" ht="18.75" hidden="1" x14ac:dyDescent="0.25">
      <c r="A127" s="12" t="s">
        <v>126</v>
      </c>
      <c r="B127" s="16"/>
      <c r="C127" s="16"/>
      <c r="D127" s="7">
        <f t="shared" si="1"/>
        <v>0</v>
      </c>
    </row>
    <row r="128" spans="1:4" ht="18.75" hidden="1" x14ac:dyDescent="0.25">
      <c r="A128" s="12" t="s">
        <v>127</v>
      </c>
      <c r="B128" s="16"/>
      <c r="C128" s="16"/>
      <c r="D128" s="7">
        <f t="shared" si="1"/>
        <v>0</v>
      </c>
    </row>
    <row r="129" spans="1:4" ht="18.75" hidden="1" x14ac:dyDescent="0.25">
      <c r="A129" s="12" t="s">
        <v>128</v>
      </c>
      <c r="B129" s="16"/>
      <c r="C129" s="16"/>
      <c r="D129" s="7">
        <f t="shared" si="1"/>
        <v>0</v>
      </c>
    </row>
    <row r="130" spans="1:4" ht="18.75" hidden="1" x14ac:dyDescent="0.25">
      <c r="A130" s="12" t="s">
        <v>129</v>
      </c>
      <c r="B130" s="27"/>
      <c r="C130" s="27"/>
      <c r="D130" s="7">
        <f t="shared" si="1"/>
        <v>0</v>
      </c>
    </row>
    <row r="131" spans="1:4" ht="18.75" hidden="1" x14ac:dyDescent="0.25">
      <c r="A131" s="28" t="s">
        <v>130</v>
      </c>
      <c r="B131" s="7"/>
      <c r="C131" s="7"/>
      <c r="D131" s="7">
        <f t="shared" si="1"/>
        <v>0</v>
      </c>
    </row>
    <row r="132" spans="1:4" ht="18.75" hidden="1" x14ac:dyDescent="0.25">
      <c r="A132" s="12" t="s">
        <v>131</v>
      </c>
      <c r="B132" s="16"/>
      <c r="C132" s="16"/>
      <c r="D132" s="7">
        <f t="shared" ref="D132:D195" si="2">B132*C132</f>
        <v>0</v>
      </c>
    </row>
    <row r="133" spans="1:4" ht="18.75" hidden="1" x14ac:dyDescent="0.25">
      <c r="A133" s="9" t="s">
        <v>132</v>
      </c>
      <c r="B133" s="7"/>
      <c r="C133" s="7"/>
      <c r="D133" s="7">
        <f t="shared" si="2"/>
        <v>0</v>
      </c>
    </row>
    <row r="134" spans="1:4" ht="18.75" hidden="1" x14ac:dyDescent="0.25">
      <c r="A134" s="9" t="s">
        <v>133</v>
      </c>
      <c r="B134" s="7"/>
      <c r="C134" s="7"/>
      <c r="D134" s="7">
        <f t="shared" si="2"/>
        <v>0</v>
      </c>
    </row>
    <row r="135" spans="1:4" ht="18.75" hidden="1" x14ac:dyDescent="0.25">
      <c r="A135" s="9" t="s">
        <v>134</v>
      </c>
      <c r="B135" s="7"/>
      <c r="C135" s="7"/>
      <c r="D135" s="7">
        <f t="shared" si="2"/>
        <v>0</v>
      </c>
    </row>
    <row r="136" spans="1:4" ht="18.75" hidden="1" x14ac:dyDescent="0.25">
      <c r="A136" s="9" t="s">
        <v>135</v>
      </c>
      <c r="B136" s="7"/>
      <c r="C136" s="7"/>
      <c r="D136" s="7">
        <f t="shared" si="2"/>
        <v>0</v>
      </c>
    </row>
    <row r="137" spans="1:4" ht="18.75" hidden="1" x14ac:dyDescent="0.25">
      <c r="A137" s="17" t="s">
        <v>136</v>
      </c>
      <c r="B137" s="7"/>
      <c r="C137" s="7"/>
      <c r="D137" s="7">
        <f t="shared" si="2"/>
        <v>0</v>
      </c>
    </row>
    <row r="138" spans="1:4" ht="18.75" x14ac:dyDescent="0.25">
      <c r="A138" s="12" t="s">
        <v>137</v>
      </c>
      <c r="B138" s="7">
        <v>2</v>
      </c>
      <c r="C138" s="7">
        <v>45000</v>
      </c>
      <c r="D138" s="7">
        <f t="shared" si="2"/>
        <v>90000</v>
      </c>
    </row>
    <row r="139" spans="1:4" ht="18.75" hidden="1" x14ac:dyDescent="0.25">
      <c r="A139" s="12" t="s">
        <v>138</v>
      </c>
      <c r="B139" s="7"/>
      <c r="C139" s="7"/>
      <c r="D139" s="7">
        <f t="shared" si="2"/>
        <v>0</v>
      </c>
    </row>
    <row r="140" spans="1:4" ht="18.75" hidden="1" x14ac:dyDescent="0.25">
      <c r="A140" s="9" t="s">
        <v>139</v>
      </c>
      <c r="B140" s="7"/>
      <c r="C140" s="7"/>
      <c r="D140" s="7">
        <f t="shared" si="2"/>
        <v>0</v>
      </c>
    </row>
    <row r="141" spans="1:4" ht="18.75" hidden="1" x14ac:dyDescent="0.25">
      <c r="A141" s="9" t="s">
        <v>140</v>
      </c>
      <c r="B141" s="7"/>
      <c r="C141" s="7"/>
      <c r="D141" s="7">
        <f t="shared" si="2"/>
        <v>0</v>
      </c>
    </row>
    <row r="142" spans="1:4" ht="18.75" hidden="1" x14ac:dyDescent="0.25">
      <c r="A142" s="9" t="s">
        <v>141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142</v>
      </c>
      <c r="B143" s="16"/>
      <c r="C143" s="16"/>
      <c r="D143" s="7">
        <f t="shared" si="2"/>
        <v>0</v>
      </c>
    </row>
    <row r="144" spans="1:4" ht="18.75" hidden="1" x14ac:dyDescent="0.25">
      <c r="A144" s="9" t="s">
        <v>143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144</v>
      </c>
      <c r="B145" s="16"/>
      <c r="C145" s="16"/>
      <c r="D145" s="7">
        <f t="shared" si="2"/>
        <v>0</v>
      </c>
    </row>
    <row r="146" spans="1:4" ht="18.75" hidden="1" x14ac:dyDescent="0.25">
      <c r="A146" s="9" t="s">
        <v>145</v>
      </c>
      <c r="B146" s="16"/>
      <c r="C146" s="16"/>
      <c r="D146" s="7">
        <f t="shared" si="2"/>
        <v>0</v>
      </c>
    </row>
    <row r="147" spans="1:4" ht="18.75" hidden="1" x14ac:dyDescent="0.25">
      <c r="A147" s="9" t="s">
        <v>146</v>
      </c>
      <c r="B147" s="16"/>
      <c r="C147" s="16"/>
      <c r="D147" s="7">
        <f t="shared" si="2"/>
        <v>0</v>
      </c>
    </row>
    <row r="148" spans="1:4" ht="18.75" hidden="1" x14ac:dyDescent="0.25">
      <c r="A148" s="9" t="s">
        <v>147</v>
      </c>
      <c r="B148" s="16"/>
      <c r="C148" s="16"/>
      <c r="D148" s="7">
        <f t="shared" si="2"/>
        <v>0</v>
      </c>
    </row>
    <row r="149" spans="1:4" ht="18.75" hidden="1" x14ac:dyDescent="0.25">
      <c r="A149" s="9" t="s">
        <v>148</v>
      </c>
      <c r="B149" s="16"/>
      <c r="C149" s="16"/>
      <c r="D149" s="7">
        <f t="shared" si="2"/>
        <v>0</v>
      </c>
    </row>
    <row r="150" spans="1:4" ht="18.75" hidden="1" x14ac:dyDescent="0.25">
      <c r="A150" s="9" t="s">
        <v>149</v>
      </c>
      <c r="B150" s="16"/>
      <c r="C150" s="16"/>
      <c r="D150" s="7">
        <f t="shared" si="2"/>
        <v>0</v>
      </c>
    </row>
    <row r="151" spans="1:4" ht="18.75" hidden="1" x14ac:dyDescent="0.25">
      <c r="A151" s="9" t="s">
        <v>150</v>
      </c>
      <c r="B151" s="16"/>
      <c r="C151" s="16"/>
      <c r="D151" s="7">
        <f t="shared" si="2"/>
        <v>0</v>
      </c>
    </row>
    <row r="152" spans="1:4" ht="18.75" hidden="1" x14ac:dyDescent="0.25">
      <c r="A152" s="9" t="s">
        <v>151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152</v>
      </c>
      <c r="B153" s="7"/>
      <c r="C153" s="7"/>
      <c r="D153" s="7">
        <f t="shared" si="2"/>
        <v>0</v>
      </c>
    </row>
    <row r="154" spans="1:4" ht="18.75" hidden="1" x14ac:dyDescent="0.25">
      <c r="A154" s="9" t="s">
        <v>153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154</v>
      </c>
      <c r="B155" s="7"/>
      <c r="C155" s="7"/>
      <c r="D155" s="7">
        <f t="shared" si="2"/>
        <v>0</v>
      </c>
    </row>
    <row r="156" spans="1:4" ht="18.75" hidden="1" x14ac:dyDescent="0.25">
      <c r="A156" s="9" t="s">
        <v>155</v>
      </c>
      <c r="B156" s="7"/>
      <c r="C156" s="7"/>
      <c r="D156" s="7">
        <f t="shared" si="2"/>
        <v>0</v>
      </c>
    </row>
    <row r="157" spans="1:4" ht="18.75" hidden="1" x14ac:dyDescent="0.25">
      <c r="A157" s="17" t="s">
        <v>156</v>
      </c>
      <c r="B157" s="7"/>
      <c r="C157" s="7"/>
      <c r="D157" s="7">
        <f t="shared" si="2"/>
        <v>0</v>
      </c>
    </row>
    <row r="158" spans="1:4" ht="18.75" hidden="1" x14ac:dyDescent="0.25">
      <c r="A158" s="18" t="s">
        <v>157</v>
      </c>
      <c r="B158" s="7"/>
      <c r="C158" s="7"/>
      <c r="D158" s="7">
        <f t="shared" si="2"/>
        <v>0</v>
      </c>
    </row>
    <row r="159" spans="1:4" ht="18.75" hidden="1" x14ac:dyDescent="0.25">
      <c r="A159" s="9" t="s">
        <v>158</v>
      </c>
      <c r="B159" s="7"/>
      <c r="C159" s="7"/>
      <c r="D159" s="7">
        <f t="shared" si="2"/>
        <v>0</v>
      </c>
    </row>
    <row r="160" spans="1:4" ht="18.75" hidden="1" x14ac:dyDescent="0.25">
      <c r="A160" s="9" t="s">
        <v>159</v>
      </c>
      <c r="B160" s="7"/>
      <c r="C160" s="7"/>
      <c r="D160" s="7">
        <f t="shared" si="2"/>
        <v>0</v>
      </c>
    </row>
    <row r="161" spans="1:4" ht="18.75" hidden="1" x14ac:dyDescent="0.25">
      <c r="A161" s="9" t="s">
        <v>160</v>
      </c>
      <c r="B161" s="7"/>
      <c r="C161" s="7"/>
      <c r="D161" s="7">
        <f t="shared" si="2"/>
        <v>0</v>
      </c>
    </row>
    <row r="162" spans="1:4" ht="18.75" hidden="1" x14ac:dyDescent="0.25">
      <c r="A162" s="9" t="s">
        <v>161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162</v>
      </c>
      <c r="B163" s="16"/>
      <c r="C163" s="16"/>
      <c r="D163" s="7">
        <f t="shared" si="2"/>
        <v>0</v>
      </c>
    </row>
    <row r="164" spans="1:4" ht="18.75" hidden="1" x14ac:dyDescent="0.25">
      <c r="A164" s="9" t="s">
        <v>163</v>
      </c>
      <c r="B164" s="16"/>
      <c r="C164" s="16"/>
      <c r="D164" s="7">
        <f t="shared" si="2"/>
        <v>0</v>
      </c>
    </row>
    <row r="165" spans="1:4" ht="18.75" hidden="1" x14ac:dyDescent="0.25">
      <c r="A165" s="9" t="s">
        <v>164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165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166</v>
      </c>
      <c r="B167" s="7"/>
      <c r="C167" s="7"/>
      <c r="D167" s="7">
        <f t="shared" si="2"/>
        <v>0</v>
      </c>
    </row>
    <row r="168" spans="1:4" ht="18.75" hidden="1" x14ac:dyDescent="0.25">
      <c r="A168" s="12" t="s">
        <v>167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168</v>
      </c>
      <c r="B169" s="7"/>
      <c r="C169" s="46"/>
      <c r="D169" s="7">
        <f t="shared" si="2"/>
        <v>0</v>
      </c>
    </row>
    <row r="170" spans="1:4" ht="18.75" hidden="1" x14ac:dyDescent="0.25">
      <c r="A170" s="30" t="s">
        <v>169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170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171</v>
      </c>
      <c r="B172" s="7"/>
      <c r="C172" s="7"/>
      <c r="D172" s="7">
        <f t="shared" si="2"/>
        <v>0</v>
      </c>
    </row>
    <row r="173" spans="1:4" ht="18.75" hidden="1" x14ac:dyDescent="0.25">
      <c r="A173" s="20" t="s">
        <v>172</v>
      </c>
      <c r="B173" s="7"/>
      <c r="C173" s="7"/>
      <c r="D173" s="7">
        <f t="shared" si="2"/>
        <v>0</v>
      </c>
    </row>
    <row r="174" spans="1:4" ht="18.75" hidden="1" x14ac:dyDescent="0.25">
      <c r="A174" s="9" t="s">
        <v>173</v>
      </c>
      <c r="B174" s="7"/>
      <c r="C174" s="7"/>
      <c r="D174" s="7">
        <f t="shared" si="2"/>
        <v>0</v>
      </c>
    </row>
    <row r="175" spans="1:4" ht="18.75" hidden="1" x14ac:dyDescent="0.25">
      <c r="A175" s="31" t="s">
        <v>174</v>
      </c>
      <c r="B175" s="33"/>
      <c r="C175" s="33"/>
      <c r="D175" s="7">
        <f t="shared" si="2"/>
        <v>0</v>
      </c>
    </row>
    <row r="176" spans="1:4" ht="18.75" hidden="1" x14ac:dyDescent="0.25">
      <c r="A176" s="11" t="s">
        <v>175</v>
      </c>
      <c r="B176" s="7"/>
      <c r="C176" s="7"/>
      <c r="D176" s="7">
        <f t="shared" si="2"/>
        <v>0</v>
      </c>
    </row>
    <row r="177" spans="1:4" ht="18.75" x14ac:dyDescent="0.25">
      <c r="A177" s="9" t="s">
        <v>176</v>
      </c>
      <c r="B177" s="7">
        <v>2</v>
      </c>
      <c r="C177" s="7">
        <v>43000</v>
      </c>
      <c r="D177" s="7">
        <f t="shared" si="2"/>
        <v>86000</v>
      </c>
    </row>
    <row r="178" spans="1:4" ht="18.75" hidden="1" x14ac:dyDescent="0.25">
      <c r="A178" s="9" t="s">
        <v>177</v>
      </c>
      <c r="B178" s="7"/>
      <c r="C178" s="7"/>
      <c r="D178" s="7">
        <f t="shared" si="2"/>
        <v>0</v>
      </c>
    </row>
    <row r="179" spans="1:4" ht="18.75" hidden="1" x14ac:dyDescent="0.25">
      <c r="A179" s="12" t="s">
        <v>178</v>
      </c>
      <c r="B179" s="7"/>
      <c r="C179" s="7"/>
      <c r="D179" s="7">
        <f t="shared" si="2"/>
        <v>0</v>
      </c>
    </row>
    <row r="180" spans="1:4" ht="18.75" hidden="1" x14ac:dyDescent="0.25">
      <c r="A180" s="9" t="s">
        <v>179</v>
      </c>
      <c r="B180" s="7"/>
      <c r="C180" s="7"/>
      <c r="D180" s="7">
        <f t="shared" si="2"/>
        <v>0</v>
      </c>
    </row>
    <row r="181" spans="1:4" ht="18.75" hidden="1" x14ac:dyDescent="0.25">
      <c r="A181" s="9" t="s">
        <v>180</v>
      </c>
      <c r="B181" s="7"/>
      <c r="C181" s="7"/>
      <c r="D181" s="7">
        <f t="shared" si="2"/>
        <v>0</v>
      </c>
    </row>
    <row r="182" spans="1:4" ht="18.75" hidden="1" x14ac:dyDescent="0.25">
      <c r="A182" s="12" t="s">
        <v>181</v>
      </c>
      <c r="B182" s="7"/>
      <c r="C182" s="7"/>
      <c r="D182" s="7">
        <f t="shared" si="2"/>
        <v>0</v>
      </c>
    </row>
    <row r="183" spans="1:4" ht="18.75" hidden="1" x14ac:dyDescent="0.25">
      <c r="A183" s="12" t="s">
        <v>182</v>
      </c>
      <c r="B183" s="7"/>
      <c r="C183" s="7"/>
      <c r="D183" s="7">
        <f t="shared" si="2"/>
        <v>0</v>
      </c>
    </row>
    <row r="184" spans="1:4" ht="18.75" x14ac:dyDescent="0.25">
      <c r="A184" s="12" t="s">
        <v>183</v>
      </c>
      <c r="B184" s="7">
        <f>-500+455+68+30+500</f>
        <v>553</v>
      </c>
      <c r="C184" s="7">
        <v>9000</v>
      </c>
      <c r="D184" s="7">
        <f t="shared" si="2"/>
        <v>4977000</v>
      </c>
    </row>
    <row r="185" spans="1:4" ht="18.75" x14ac:dyDescent="0.25">
      <c r="A185" s="9" t="s">
        <v>184</v>
      </c>
      <c r="B185" s="7">
        <v>120</v>
      </c>
      <c r="C185" s="7">
        <v>2100</v>
      </c>
      <c r="D185" s="7">
        <f t="shared" si="2"/>
        <v>252000</v>
      </c>
    </row>
    <row r="186" spans="1:4" ht="18.75" hidden="1" x14ac:dyDescent="0.25">
      <c r="A186" s="9" t="s">
        <v>185</v>
      </c>
      <c r="B186" s="7"/>
      <c r="C186" s="7"/>
      <c r="D186" s="7">
        <f t="shared" si="2"/>
        <v>0</v>
      </c>
    </row>
    <row r="187" spans="1:4" ht="18.75" hidden="1" x14ac:dyDescent="0.25">
      <c r="A187" s="12" t="s">
        <v>186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187</v>
      </c>
      <c r="B188" s="7"/>
      <c r="C188" s="7"/>
      <c r="D188" s="7">
        <f t="shared" si="2"/>
        <v>0</v>
      </c>
    </row>
    <row r="189" spans="1:4" ht="18.75" hidden="1" x14ac:dyDescent="0.25">
      <c r="A189" s="12" t="s">
        <v>188</v>
      </c>
      <c r="B189" s="7"/>
      <c r="C189" s="7"/>
      <c r="D189" s="7">
        <f t="shared" si="2"/>
        <v>0</v>
      </c>
    </row>
    <row r="190" spans="1:4" ht="18.75" hidden="1" x14ac:dyDescent="0.25">
      <c r="A190" s="17" t="s">
        <v>189</v>
      </c>
      <c r="B190" s="7"/>
      <c r="C190" s="7"/>
      <c r="D190" s="7">
        <f t="shared" si="2"/>
        <v>0</v>
      </c>
    </row>
    <row r="191" spans="1:4" ht="18.75" hidden="1" x14ac:dyDescent="0.25">
      <c r="A191" s="17" t="s">
        <v>190</v>
      </c>
      <c r="B191" s="7"/>
      <c r="C191" s="7"/>
      <c r="D191" s="7">
        <f t="shared" si="2"/>
        <v>0</v>
      </c>
    </row>
    <row r="192" spans="1:4" ht="18.75" hidden="1" x14ac:dyDescent="0.25">
      <c r="A192" s="17" t="s">
        <v>191</v>
      </c>
      <c r="B192" s="7"/>
      <c r="C192" s="7"/>
      <c r="D192" s="7">
        <f t="shared" si="2"/>
        <v>0</v>
      </c>
    </row>
    <row r="193" spans="1:4" ht="18.75" hidden="1" x14ac:dyDescent="0.25">
      <c r="A193" s="17" t="s">
        <v>192</v>
      </c>
      <c r="B193" s="7"/>
      <c r="C193" s="7"/>
      <c r="D193" s="7">
        <f t="shared" si="2"/>
        <v>0</v>
      </c>
    </row>
    <row r="194" spans="1:4" ht="18.75" hidden="1" x14ac:dyDescent="0.25">
      <c r="A194" s="12" t="s">
        <v>193</v>
      </c>
      <c r="B194" s="7"/>
      <c r="C194" s="7"/>
      <c r="D194" s="7">
        <f t="shared" si="2"/>
        <v>0</v>
      </c>
    </row>
    <row r="195" spans="1:4" ht="18.75" hidden="1" x14ac:dyDescent="0.25">
      <c r="A195" s="9" t="s">
        <v>194</v>
      </c>
      <c r="B195" s="7"/>
      <c r="C195" s="7"/>
      <c r="D195" s="7">
        <f t="shared" si="2"/>
        <v>0</v>
      </c>
    </row>
    <row r="196" spans="1:4" ht="18.75" hidden="1" x14ac:dyDescent="0.25">
      <c r="A196" s="34" t="s">
        <v>195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34" t="s">
        <v>196</v>
      </c>
      <c r="B197" s="7"/>
      <c r="C197" s="7"/>
      <c r="D197" s="7">
        <f t="shared" si="3"/>
        <v>0</v>
      </c>
    </row>
    <row r="198" spans="1:4" ht="18.75" hidden="1" x14ac:dyDescent="0.25">
      <c r="A198" s="34" t="s">
        <v>197</v>
      </c>
      <c r="B198" s="7"/>
      <c r="C198" s="7"/>
      <c r="D198" s="7">
        <f t="shared" si="3"/>
        <v>0</v>
      </c>
    </row>
    <row r="199" spans="1:4" ht="18.75" hidden="1" x14ac:dyDescent="0.25">
      <c r="A199" s="34" t="s">
        <v>198</v>
      </c>
      <c r="B199" s="7"/>
      <c r="C199" s="7"/>
      <c r="D199" s="7">
        <f t="shared" si="3"/>
        <v>0</v>
      </c>
    </row>
    <row r="200" spans="1:4" ht="18.75" hidden="1" x14ac:dyDescent="0.25">
      <c r="A200" s="9" t="s">
        <v>199</v>
      </c>
      <c r="B200" s="7"/>
      <c r="C200" s="7"/>
      <c r="D200" s="7">
        <f t="shared" si="3"/>
        <v>0</v>
      </c>
    </row>
    <row r="201" spans="1:4" ht="18.75" hidden="1" x14ac:dyDescent="0.25">
      <c r="A201" s="35" t="s">
        <v>200</v>
      </c>
      <c r="B201" s="7"/>
      <c r="C201" s="7"/>
      <c r="D201" s="7">
        <f t="shared" si="3"/>
        <v>0</v>
      </c>
    </row>
    <row r="202" spans="1:4" ht="18.75" x14ac:dyDescent="0.25">
      <c r="A202" s="9" t="s">
        <v>201</v>
      </c>
      <c r="B202" s="7">
        <f>80+135+50+200</f>
        <v>465</v>
      </c>
      <c r="C202" s="7">
        <v>22000</v>
      </c>
      <c r="D202" s="7">
        <f t="shared" si="3"/>
        <v>10230000</v>
      </c>
    </row>
    <row r="203" spans="1:4" ht="18.75" x14ac:dyDescent="0.25">
      <c r="A203" s="12" t="s">
        <v>202</v>
      </c>
      <c r="B203" s="7">
        <f>160+240</f>
        <v>400</v>
      </c>
      <c r="C203" s="7">
        <v>22000</v>
      </c>
      <c r="D203" s="7">
        <f t="shared" si="3"/>
        <v>8800000</v>
      </c>
    </row>
    <row r="204" spans="1:4" ht="18.75" hidden="1" x14ac:dyDescent="0.25">
      <c r="A204" s="9" t="s">
        <v>203</v>
      </c>
      <c r="B204" s="7"/>
      <c r="C204" s="7"/>
      <c r="D204" s="7">
        <f t="shared" si="3"/>
        <v>0</v>
      </c>
    </row>
    <row r="205" spans="1:4" ht="18.75" x14ac:dyDescent="0.25">
      <c r="A205" s="9" t="s">
        <v>204</v>
      </c>
      <c r="B205" s="7">
        <f>-400+310+180+220</f>
        <v>310</v>
      </c>
      <c r="C205" s="7">
        <v>20000</v>
      </c>
      <c r="D205" s="7">
        <f t="shared" si="3"/>
        <v>6200000</v>
      </c>
    </row>
    <row r="206" spans="1:4" ht="18.75" hidden="1" x14ac:dyDescent="0.25">
      <c r="A206" s="36" t="s">
        <v>205</v>
      </c>
      <c r="B206" s="7"/>
      <c r="C206" s="7"/>
      <c r="D206" s="7">
        <f t="shared" si="3"/>
        <v>0</v>
      </c>
    </row>
    <row r="207" spans="1:4" ht="18.75" hidden="1" x14ac:dyDescent="0.25">
      <c r="A207" s="36" t="s">
        <v>206</v>
      </c>
      <c r="B207" s="7"/>
      <c r="C207" s="7"/>
      <c r="D207" s="7">
        <f t="shared" si="3"/>
        <v>0</v>
      </c>
    </row>
    <row r="208" spans="1:4" ht="18.75" hidden="1" x14ac:dyDescent="0.25">
      <c r="A208" s="9" t="s">
        <v>207</v>
      </c>
      <c r="B208" s="7"/>
      <c r="C208" s="7"/>
      <c r="D208" s="7">
        <f t="shared" si="3"/>
        <v>0</v>
      </c>
    </row>
    <row r="209" spans="1:4" ht="18.75" hidden="1" x14ac:dyDescent="0.25">
      <c r="A209" s="11" t="s">
        <v>208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209</v>
      </c>
      <c r="B210" s="7"/>
      <c r="C210" s="7"/>
      <c r="D210" s="7">
        <f t="shared" si="3"/>
        <v>0</v>
      </c>
    </row>
    <row r="211" spans="1:4" ht="18.75" x14ac:dyDescent="0.25">
      <c r="A211" s="9" t="s">
        <v>210</v>
      </c>
      <c r="B211" s="7">
        <v>20</v>
      </c>
      <c r="C211" s="7">
        <v>12000</v>
      </c>
      <c r="D211" s="7">
        <f t="shared" si="3"/>
        <v>240000</v>
      </c>
    </row>
    <row r="212" spans="1:4" ht="18.75" hidden="1" x14ac:dyDescent="0.25">
      <c r="A212" s="9" t="s">
        <v>211</v>
      </c>
      <c r="B212" s="7"/>
      <c r="C212" s="7"/>
      <c r="D212" s="7">
        <f t="shared" si="3"/>
        <v>0</v>
      </c>
    </row>
    <row r="213" spans="1:4" ht="18.75" hidden="1" x14ac:dyDescent="0.25">
      <c r="A213" s="9" t="s">
        <v>212</v>
      </c>
      <c r="B213" s="7"/>
      <c r="C213" s="7"/>
      <c r="D213" s="7">
        <f t="shared" si="3"/>
        <v>0</v>
      </c>
    </row>
    <row r="214" spans="1:4" ht="18.75" hidden="1" x14ac:dyDescent="0.25">
      <c r="A214" s="37" t="s">
        <v>213</v>
      </c>
      <c r="B214" s="7"/>
      <c r="C214" s="7"/>
      <c r="D214" s="7">
        <f t="shared" si="3"/>
        <v>0</v>
      </c>
    </row>
    <row r="215" spans="1:4" ht="18.75" hidden="1" x14ac:dyDescent="0.25">
      <c r="A215" s="9" t="s">
        <v>214</v>
      </c>
      <c r="B215" s="7"/>
      <c r="C215" s="7"/>
      <c r="D215" s="7">
        <f t="shared" si="3"/>
        <v>0</v>
      </c>
    </row>
    <row r="216" spans="1:4" ht="18.75" x14ac:dyDescent="0.25">
      <c r="A216" s="9" t="s">
        <v>215</v>
      </c>
      <c r="B216" s="7">
        <f>-300+20+170+200</f>
        <v>90</v>
      </c>
      <c r="C216" s="7">
        <v>15000</v>
      </c>
      <c r="D216" s="7">
        <f t="shared" si="3"/>
        <v>1350000</v>
      </c>
    </row>
    <row r="217" spans="1:4" ht="18.75" hidden="1" x14ac:dyDescent="0.25">
      <c r="A217" s="9" t="s">
        <v>216</v>
      </c>
      <c r="B217" s="7"/>
      <c r="C217" s="7"/>
      <c r="D217" s="7">
        <f t="shared" si="3"/>
        <v>0</v>
      </c>
    </row>
    <row r="218" spans="1:4" ht="18.75" x14ac:dyDescent="0.25">
      <c r="A218" s="9" t="s">
        <v>217</v>
      </c>
      <c r="B218" s="7">
        <v>10</v>
      </c>
      <c r="C218" s="7">
        <v>14000</v>
      </c>
      <c r="D218" s="7">
        <f t="shared" si="3"/>
        <v>140000</v>
      </c>
    </row>
    <row r="219" spans="1:4" ht="18.75" hidden="1" x14ac:dyDescent="0.25">
      <c r="A219" s="17" t="s">
        <v>218</v>
      </c>
      <c r="B219" s="7"/>
      <c r="C219" s="7"/>
      <c r="D219" s="7">
        <f t="shared" si="3"/>
        <v>0</v>
      </c>
    </row>
    <row r="220" spans="1:4" ht="18.75" hidden="1" x14ac:dyDescent="0.25">
      <c r="A220" s="17" t="s">
        <v>219</v>
      </c>
      <c r="B220" s="7"/>
      <c r="C220" s="7"/>
      <c r="D220" s="7">
        <f t="shared" si="3"/>
        <v>0</v>
      </c>
    </row>
    <row r="221" spans="1:4" ht="18.75" hidden="1" x14ac:dyDescent="0.25">
      <c r="A221" s="17" t="s">
        <v>220</v>
      </c>
      <c r="B221" s="7"/>
      <c r="C221" s="7"/>
      <c r="D221" s="7">
        <f t="shared" si="3"/>
        <v>0</v>
      </c>
    </row>
    <row r="222" spans="1:4" ht="18.75" hidden="1" x14ac:dyDescent="0.25">
      <c r="A222" s="17" t="s">
        <v>221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222</v>
      </c>
      <c r="B223" s="7"/>
      <c r="C223" s="7"/>
      <c r="D223" s="7">
        <f t="shared" si="3"/>
        <v>0</v>
      </c>
    </row>
    <row r="224" spans="1:4" ht="18.75" hidden="1" x14ac:dyDescent="0.25">
      <c r="A224" s="9" t="s">
        <v>223</v>
      </c>
      <c r="B224" s="7"/>
      <c r="C224" s="7"/>
      <c r="D224" s="7">
        <f t="shared" si="3"/>
        <v>0</v>
      </c>
    </row>
    <row r="225" spans="1:4" ht="18.75" hidden="1" x14ac:dyDescent="0.25">
      <c r="A225" s="17" t="s">
        <v>224</v>
      </c>
      <c r="B225" s="7"/>
      <c r="C225" s="7"/>
      <c r="D225" s="7">
        <f t="shared" si="3"/>
        <v>0</v>
      </c>
    </row>
    <row r="226" spans="1:4" ht="18.75" hidden="1" x14ac:dyDescent="0.25">
      <c r="A226" s="17" t="s">
        <v>225</v>
      </c>
      <c r="B226" s="7"/>
      <c r="C226" s="7"/>
      <c r="D226" s="7">
        <f t="shared" si="3"/>
        <v>0</v>
      </c>
    </row>
    <row r="227" spans="1:4" ht="18.75" hidden="1" x14ac:dyDescent="0.25">
      <c r="A227" s="11" t="s">
        <v>226</v>
      </c>
      <c r="B227" s="7"/>
      <c r="C227" s="7"/>
      <c r="D227" s="7">
        <f t="shared" si="3"/>
        <v>0</v>
      </c>
    </row>
    <row r="228" spans="1:4" ht="18.75" hidden="1" x14ac:dyDescent="0.25">
      <c r="A228" s="12" t="s">
        <v>227</v>
      </c>
      <c r="B228" s="7"/>
      <c r="C228" s="7"/>
      <c r="D228" s="7">
        <f t="shared" si="3"/>
        <v>0</v>
      </c>
    </row>
    <row r="229" spans="1:4" ht="18.75" hidden="1" x14ac:dyDescent="0.25">
      <c r="A229" s="11" t="s">
        <v>228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229</v>
      </c>
      <c r="B230" s="7"/>
      <c r="C230" s="7"/>
      <c r="D230" s="7">
        <f t="shared" si="3"/>
        <v>0</v>
      </c>
    </row>
    <row r="231" spans="1:4" ht="18.75" hidden="1" x14ac:dyDescent="0.25">
      <c r="A231" s="11" t="s">
        <v>230</v>
      </c>
      <c r="B231" s="7"/>
      <c r="C231" s="7"/>
      <c r="D231" s="7">
        <f t="shared" si="3"/>
        <v>0</v>
      </c>
    </row>
    <row r="232" spans="1:4" ht="18.75" hidden="1" x14ac:dyDescent="0.25">
      <c r="A232" s="11" t="s">
        <v>231</v>
      </c>
      <c r="B232" s="7"/>
      <c r="C232" s="7"/>
      <c r="D232" s="7">
        <f t="shared" si="3"/>
        <v>0</v>
      </c>
    </row>
    <row r="233" spans="1:4" ht="18.75" hidden="1" x14ac:dyDescent="0.25">
      <c r="A233" s="11" t="s">
        <v>232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233</v>
      </c>
      <c r="B234" s="7"/>
      <c r="C234" s="7"/>
      <c r="D234" s="7">
        <f t="shared" si="3"/>
        <v>0</v>
      </c>
    </row>
    <row r="235" spans="1:4" ht="18.75" hidden="1" x14ac:dyDescent="0.25">
      <c r="A235" s="9" t="s">
        <v>234</v>
      </c>
      <c r="B235" s="7"/>
      <c r="C235" s="7"/>
      <c r="D235" s="7">
        <f t="shared" si="3"/>
        <v>0</v>
      </c>
    </row>
    <row r="236" spans="1:4" ht="18.75" hidden="1" x14ac:dyDescent="0.25">
      <c r="A236" s="11" t="s">
        <v>235</v>
      </c>
      <c r="B236" s="7"/>
      <c r="C236" s="7"/>
      <c r="D236" s="7">
        <f t="shared" si="3"/>
        <v>0</v>
      </c>
    </row>
    <row r="237" spans="1:4" ht="18.75" hidden="1" x14ac:dyDescent="0.25">
      <c r="A237" s="36" t="s">
        <v>236</v>
      </c>
      <c r="B237" s="7"/>
      <c r="C237" s="7"/>
      <c r="D237" s="7">
        <f t="shared" si="3"/>
        <v>0</v>
      </c>
    </row>
    <row r="238" spans="1:4" ht="18.75" hidden="1" x14ac:dyDescent="0.25">
      <c r="A238" s="9" t="s">
        <v>237</v>
      </c>
      <c r="B238" s="7"/>
      <c r="C238" s="7"/>
      <c r="D238" s="7">
        <f t="shared" si="3"/>
        <v>0</v>
      </c>
    </row>
    <row r="239" spans="1:4" ht="18.75" hidden="1" x14ac:dyDescent="0.25">
      <c r="A239" s="9" t="s">
        <v>238</v>
      </c>
      <c r="B239" s="7"/>
      <c r="C239" s="7"/>
      <c r="D239" s="7">
        <f t="shared" si="3"/>
        <v>0</v>
      </c>
    </row>
    <row r="240" spans="1:4" ht="18.75" hidden="1" x14ac:dyDescent="0.25">
      <c r="A240" s="13" t="s">
        <v>239</v>
      </c>
      <c r="B240" s="7"/>
      <c r="C240" s="7"/>
      <c r="D240" s="7">
        <f t="shared" si="3"/>
        <v>0</v>
      </c>
    </row>
    <row r="241" spans="1:4" ht="18.75" hidden="1" x14ac:dyDescent="0.25">
      <c r="A241" s="13" t="s">
        <v>240</v>
      </c>
      <c r="B241" s="7"/>
      <c r="C241" s="7"/>
      <c r="D241" s="7">
        <f t="shared" si="3"/>
        <v>0</v>
      </c>
    </row>
    <row r="242" spans="1:4" ht="18.75" hidden="1" x14ac:dyDescent="0.25">
      <c r="A242" s="34" t="s">
        <v>241</v>
      </c>
      <c r="B242" s="7"/>
      <c r="C242" s="7"/>
      <c r="D242" s="7">
        <f t="shared" si="3"/>
        <v>0</v>
      </c>
    </row>
    <row r="243" spans="1:4" ht="18.75" hidden="1" x14ac:dyDescent="0.25">
      <c r="A243" s="9" t="s">
        <v>242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243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244</v>
      </c>
      <c r="B245" s="16"/>
      <c r="C245" s="16"/>
      <c r="D245" s="7">
        <f t="shared" si="3"/>
        <v>0</v>
      </c>
    </row>
    <row r="246" spans="1:4" ht="18.75" hidden="1" x14ac:dyDescent="0.25">
      <c r="A246" s="34" t="s">
        <v>245</v>
      </c>
      <c r="B246" s="7"/>
      <c r="C246" s="7"/>
      <c r="D246" s="7">
        <f t="shared" si="3"/>
        <v>0</v>
      </c>
    </row>
    <row r="247" spans="1:4" ht="18.75" hidden="1" x14ac:dyDescent="0.25">
      <c r="A247" s="9" t="s">
        <v>246</v>
      </c>
      <c r="B247" s="16"/>
      <c r="C247" s="16"/>
      <c r="D247" s="7">
        <f t="shared" si="3"/>
        <v>0</v>
      </c>
    </row>
    <row r="248" spans="1:4" ht="18.75" x14ac:dyDescent="0.25">
      <c r="A248" s="9" t="s">
        <v>247</v>
      </c>
      <c r="B248" s="7">
        <v>3</v>
      </c>
      <c r="C248" s="7">
        <v>14000</v>
      </c>
      <c r="D248" s="7">
        <f t="shared" si="3"/>
        <v>42000</v>
      </c>
    </row>
    <row r="249" spans="1:4" ht="18.75" hidden="1" x14ac:dyDescent="0.25">
      <c r="A249" s="11" t="s">
        <v>248</v>
      </c>
      <c r="B249" s="7"/>
      <c r="C249" s="7"/>
      <c r="D249" s="7">
        <f t="shared" si="3"/>
        <v>0</v>
      </c>
    </row>
    <row r="250" spans="1:4" ht="18.75" hidden="1" x14ac:dyDescent="0.25">
      <c r="A250" s="11" t="s">
        <v>249</v>
      </c>
      <c r="B250" s="7"/>
      <c r="C250" s="7"/>
      <c r="D250" s="7">
        <f t="shared" si="3"/>
        <v>0</v>
      </c>
    </row>
    <row r="251" spans="1:4" ht="18.75" hidden="1" x14ac:dyDescent="0.25">
      <c r="A251" s="9" t="s">
        <v>250</v>
      </c>
      <c r="B251" s="7"/>
      <c r="C251" s="7"/>
      <c r="D251" s="7">
        <f t="shared" si="3"/>
        <v>0</v>
      </c>
    </row>
    <row r="252" spans="1:4" ht="18.75" hidden="1" x14ac:dyDescent="0.25">
      <c r="A252" s="9" t="s">
        <v>251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252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253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254</v>
      </c>
      <c r="B255" s="7"/>
      <c r="C255" s="7"/>
      <c r="D255" s="7">
        <f t="shared" si="3"/>
        <v>0</v>
      </c>
    </row>
    <row r="256" spans="1:4" ht="18.75" hidden="1" x14ac:dyDescent="0.25">
      <c r="A256" s="17" t="s">
        <v>255</v>
      </c>
      <c r="B256" s="7"/>
      <c r="C256" s="7"/>
      <c r="D256" s="7">
        <f t="shared" si="3"/>
        <v>0</v>
      </c>
    </row>
    <row r="257" spans="1:4" ht="18.75" hidden="1" x14ac:dyDescent="0.25">
      <c r="A257" s="21" t="s">
        <v>256</v>
      </c>
      <c r="B257" s="7"/>
      <c r="C257" s="7"/>
      <c r="D257" s="7">
        <f t="shared" si="3"/>
        <v>0</v>
      </c>
    </row>
    <row r="258" spans="1:4" ht="18.75" hidden="1" x14ac:dyDescent="0.25">
      <c r="A258" s="21" t="s">
        <v>257</v>
      </c>
      <c r="B258" s="7"/>
      <c r="C258" s="7"/>
      <c r="D258" s="7">
        <f t="shared" si="3"/>
        <v>0</v>
      </c>
    </row>
    <row r="259" spans="1:4" ht="18.75" x14ac:dyDescent="0.25">
      <c r="A259" s="9" t="s">
        <v>258</v>
      </c>
      <c r="B259" s="7">
        <f>-20+13+20+45+35</f>
        <v>93</v>
      </c>
      <c r="C259" s="7">
        <v>20000</v>
      </c>
      <c r="D259" s="7">
        <f t="shared" si="3"/>
        <v>1860000</v>
      </c>
    </row>
    <row r="260" spans="1:4" ht="18.75" hidden="1" x14ac:dyDescent="0.25">
      <c r="A260" s="9" t="s">
        <v>259</v>
      </c>
      <c r="B260" s="7"/>
      <c r="C260" s="7"/>
      <c r="D260" s="7">
        <f t="shared" ref="D260:D323" si="4">B260*C260</f>
        <v>0</v>
      </c>
    </row>
    <row r="261" spans="1:4" ht="18.75" hidden="1" x14ac:dyDescent="0.25">
      <c r="A261" s="9" t="s">
        <v>260</v>
      </c>
      <c r="B261" s="7"/>
      <c r="C261" s="7"/>
      <c r="D261" s="7">
        <f t="shared" si="4"/>
        <v>0</v>
      </c>
    </row>
    <row r="262" spans="1:4" ht="18.75" hidden="1" x14ac:dyDescent="0.25">
      <c r="A262" s="9" t="s">
        <v>261</v>
      </c>
      <c r="B262" s="7"/>
      <c r="C262" s="7"/>
      <c r="D262" s="7">
        <f t="shared" si="4"/>
        <v>0</v>
      </c>
    </row>
    <row r="263" spans="1:4" ht="18.75" x14ac:dyDescent="0.25">
      <c r="A263" s="9" t="s">
        <v>262</v>
      </c>
      <c r="B263" s="7">
        <f>-20+28+35</f>
        <v>43</v>
      </c>
      <c r="C263" s="7">
        <v>20000</v>
      </c>
      <c r="D263" s="7">
        <f t="shared" si="4"/>
        <v>860000</v>
      </c>
    </row>
    <row r="264" spans="1:4" ht="18.75" hidden="1" x14ac:dyDescent="0.25">
      <c r="A264" s="9" t="s">
        <v>263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264</v>
      </c>
      <c r="B265" s="7"/>
      <c r="C265" s="7"/>
      <c r="D265" s="7">
        <f t="shared" si="4"/>
        <v>0</v>
      </c>
    </row>
    <row r="266" spans="1:4" ht="18.75" hidden="1" x14ac:dyDescent="0.25">
      <c r="A266" s="9" t="s">
        <v>265</v>
      </c>
      <c r="B266" s="16"/>
      <c r="C266" s="16"/>
      <c r="D266" s="7">
        <f t="shared" si="4"/>
        <v>0</v>
      </c>
    </row>
    <row r="267" spans="1:4" ht="18.75" hidden="1" x14ac:dyDescent="0.25">
      <c r="A267" s="13" t="s">
        <v>266</v>
      </c>
      <c r="B267" s="7"/>
      <c r="C267" s="7"/>
      <c r="D267" s="7">
        <f t="shared" si="4"/>
        <v>0</v>
      </c>
    </row>
    <row r="268" spans="1:4" ht="18.75" hidden="1" x14ac:dyDescent="0.25">
      <c r="A268" s="9" t="s">
        <v>267</v>
      </c>
      <c r="B268" s="7"/>
      <c r="C268" s="7"/>
      <c r="D268" s="7">
        <f t="shared" si="4"/>
        <v>0</v>
      </c>
    </row>
    <row r="269" spans="1:4" ht="18.75" x14ac:dyDescent="0.25">
      <c r="A269" s="11" t="s">
        <v>268</v>
      </c>
      <c r="B269" s="7">
        <v>3</v>
      </c>
      <c r="C269" s="7">
        <v>45000</v>
      </c>
      <c r="D269" s="7">
        <f t="shared" si="4"/>
        <v>135000</v>
      </c>
    </row>
    <row r="270" spans="1:4" ht="18.75" x14ac:dyDescent="0.25">
      <c r="A270" s="9" t="s">
        <v>269</v>
      </c>
      <c r="B270" s="7">
        <v>2</v>
      </c>
      <c r="C270" s="7">
        <v>14000</v>
      </c>
      <c r="D270" s="7">
        <f t="shared" si="4"/>
        <v>28000</v>
      </c>
    </row>
    <row r="271" spans="1:4" ht="18.75" hidden="1" x14ac:dyDescent="0.25">
      <c r="A271" s="9" t="s">
        <v>270</v>
      </c>
      <c r="B271" s="7"/>
      <c r="C271" s="7"/>
      <c r="D271" s="7">
        <f t="shared" si="4"/>
        <v>0</v>
      </c>
    </row>
    <row r="272" spans="1:4" ht="18.75" hidden="1" x14ac:dyDescent="0.25">
      <c r="A272" s="9" t="s">
        <v>271</v>
      </c>
      <c r="B272" s="7"/>
      <c r="C272" s="7"/>
      <c r="D272" s="7">
        <f t="shared" si="4"/>
        <v>0</v>
      </c>
    </row>
    <row r="273" spans="1:4" ht="18.75" hidden="1" x14ac:dyDescent="0.25">
      <c r="A273" s="9" t="s">
        <v>272</v>
      </c>
      <c r="B273" s="7"/>
      <c r="C273" s="7"/>
      <c r="D273" s="7">
        <f t="shared" si="4"/>
        <v>0</v>
      </c>
    </row>
    <row r="274" spans="1:4" ht="18.75" hidden="1" x14ac:dyDescent="0.25">
      <c r="A274" s="9" t="s">
        <v>273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274</v>
      </c>
      <c r="B275" s="7"/>
      <c r="C275" s="7"/>
      <c r="D275" s="7">
        <f t="shared" si="4"/>
        <v>0</v>
      </c>
    </row>
    <row r="276" spans="1:4" ht="18.75" hidden="1" x14ac:dyDescent="0.25">
      <c r="A276" s="9" t="s">
        <v>275</v>
      </c>
      <c r="B276" s="7"/>
      <c r="C276" s="7"/>
      <c r="D276" s="7">
        <f t="shared" si="4"/>
        <v>0</v>
      </c>
    </row>
    <row r="277" spans="1:4" ht="18.75" hidden="1" x14ac:dyDescent="0.25">
      <c r="A277" s="34" t="s">
        <v>276</v>
      </c>
      <c r="B277" s="7"/>
      <c r="C277" s="7"/>
      <c r="D277" s="7">
        <f t="shared" si="4"/>
        <v>0</v>
      </c>
    </row>
    <row r="278" spans="1:4" ht="18.75" hidden="1" x14ac:dyDescent="0.25">
      <c r="A278" s="9" t="s">
        <v>277</v>
      </c>
      <c r="B278" s="7"/>
      <c r="C278" s="7"/>
      <c r="D278" s="7">
        <f t="shared" si="4"/>
        <v>0</v>
      </c>
    </row>
    <row r="279" spans="1:4" ht="18.75" hidden="1" x14ac:dyDescent="0.25">
      <c r="A279" s="34" t="s">
        <v>278</v>
      </c>
      <c r="B279" s="7"/>
      <c r="C279" s="7"/>
      <c r="D279" s="7">
        <f t="shared" si="4"/>
        <v>0</v>
      </c>
    </row>
    <row r="280" spans="1:4" ht="18.75" hidden="1" x14ac:dyDescent="0.25">
      <c r="A280" s="34" t="s">
        <v>279</v>
      </c>
      <c r="B280" s="7"/>
      <c r="C280" s="7"/>
      <c r="D280" s="7">
        <f t="shared" si="4"/>
        <v>0</v>
      </c>
    </row>
    <row r="281" spans="1:4" ht="18.75" hidden="1" x14ac:dyDescent="0.25">
      <c r="A281" s="12" t="s">
        <v>280</v>
      </c>
      <c r="B281" s="16"/>
      <c r="C281" s="16"/>
      <c r="D281" s="7">
        <f t="shared" si="4"/>
        <v>0</v>
      </c>
    </row>
    <row r="282" spans="1:4" ht="18.75" hidden="1" x14ac:dyDescent="0.25">
      <c r="A282" s="12" t="s">
        <v>281</v>
      </c>
      <c r="B282" s="7"/>
      <c r="C282" s="7"/>
      <c r="D282" s="7">
        <f t="shared" si="4"/>
        <v>0</v>
      </c>
    </row>
    <row r="283" spans="1:4" ht="18.75" hidden="1" x14ac:dyDescent="0.25">
      <c r="A283" s="11" t="s">
        <v>282</v>
      </c>
      <c r="B283" s="7"/>
      <c r="C283" s="7"/>
      <c r="D283" s="7">
        <f t="shared" si="4"/>
        <v>0</v>
      </c>
    </row>
    <row r="284" spans="1:4" ht="18.75" hidden="1" x14ac:dyDescent="0.25">
      <c r="A284" s="11" t="s">
        <v>283</v>
      </c>
      <c r="B284" s="7"/>
      <c r="C284" s="7"/>
      <c r="D284" s="7">
        <f t="shared" si="4"/>
        <v>0</v>
      </c>
    </row>
    <row r="285" spans="1:4" ht="18.75" hidden="1" x14ac:dyDescent="0.25">
      <c r="A285" s="17" t="s">
        <v>284</v>
      </c>
      <c r="B285" s="7"/>
      <c r="C285" s="7"/>
      <c r="D285" s="7">
        <f t="shared" si="4"/>
        <v>0</v>
      </c>
    </row>
    <row r="286" spans="1:4" ht="18.75" hidden="1" x14ac:dyDescent="0.25">
      <c r="A286" s="17" t="s">
        <v>285</v>
      </c>
      <c r="B286" s="7"/>
      <c r="C286" s="7"/>
      <c r="D286" s="7">
        <f t="shared" si="4"/>
        <v>0</v>
      </c>
    </row>
    <row r="287" spans="1:4" ht="18.75" hidden="1" x14ac:dyDescent="0.25">
      <c r="A287" s="17" t="s">
        <v>286</v>
      </c>
      <c r="B287" s="7"/>
      <c r="C287" s="7"/>
      <c r="D287" s="7">
        <f t="shared" si="4"/>
        <v>0</v>
      </c>
    </row>
    <row r="288" spans="1:4" ht="18.75" x14ac:dyDescent="0.25">
      <c r="A288" s="9" t="s">
        <v>287</v>
      </c>
      <c r="B288" s="7">
        <v>12</v>
      </c>
      <c r="C288" s="7">
        <v>11000</v>
      </c>
      <c r="D288" s="7">
        <f t="shared" si="4"/>
        <v>132000</v>
      </c>
    </row>
    <row r="289" spans="1:4" ht="18.75" hidden="1" x14ac:dyDescent="0.25">
      <c r="A289" s="17" t="s">
        <v>288</v>
      </c>
      <c r="B289" s="7"/>
      <c r="C289" s="7"/>
      <c r="D289" s="7">
        <f t="shared" si="4"/>
        <v>0</v>
      </c>
    </row>
    <row r="290" spans="1:4" ht="18.75" hidden="1" x14ac:dyDescent="0.25">
      <c r="A290" s="9" t="s">
        <v>289</v>
      </c>
      <c r="B290" s="7"/>
      <c r="C290" s="7"/>
      <c r="D290" s="7">
        <f t="shared" si="4"/>
        <v>0</v>
      </c>
    </row>
    <row r="291" spans="1:4" ht="18.75" x14ac:dyDescent="0.25">
      <c r="A291" s="9" t="s">
        <v>290</v>
      </c>
      <c r="B291" s="7">
        <v>26</v>
      </c>
      <c r="C291" s="7">
        <v>7000</v>
      </c>
      <c r="D291" s="7">
        <f t="shared" si="4"/>
        <v>182000</v>
      </c>
    </row>
    <row r="292" spans="1:4" ht="18.75" hidden="1" x14ac:dyDescent="0.25">
      <c r="A292" s="17" t="s">
        <v>291</v>
      </c>
      <c r="B292" s="7"/>
      <c r="C292" s="7"/>
      <c r="D292" s="7">
        <f t="shared" si="4"/>
        <v>0</v>
      </c>
    </row>
    <row r="293" spans="1:4" ht="18.75" hidden="1" x14ac:dyDescent="0.25">
      <c r="A293" s="25" t="s">
        <v>292</v>
      </c>
      <c r="B293" s="7"/>
      <c r="C293" s="7"/>
      <c r="D293" s="7">
        <f t="shared" si="4"/>
        <v>0</v>
      </c>
    </row>
    <row r="294" spans="1:4" ht="18.75" hidden="1" x14ac:dyDescent="0.25">
      <c r="A294" s="9" t="s">
        <v>293</v>
      </c>
      <c r="B294" s="7"/>
      <c r="C294" s="7"/>
      <c r="D294" s="7">
        <f t="shared" si="4"/>
        <v>0</v>
      </c>
    </row>
    <row r="295" spans="1:4" ht="18.75" hidden="1" x14ac:dyDescent="0.25">
      <c r="A295" s="13" t="s">
        <v>294</v>
      </c>
      <c r="B295" s="7"/>
      <c r="C295" s="7"/>
      <c r="D295" s="7">
        <f t="shared" si="4"/>
        <v>0</v>
      </c>
    </row>
    <row r="296" spans="1:4" ht="18.75" hidden="1" x14ac:dyDescent="0.25">
      <c r="A296" s="13" t="s">
        <v>295</v>
      </c>
      <c r="B296" s="7"/>
      <c r="C296" s="7"/>
      <c r="D296" s="7">
        <f t="shared" si="4"/>
        <v>0</v>
      </c>
    </row>
    <row r="297" spans="1:4" ht="18.75" hidden="1" x14ac:dyDescent="0.25">
      <c r="A297" s="12" t="s">
        <v>296</v>
      </c>
      <c r="B297" s="7"/>
      <c r="C297" s="7"/>
      <c r="D297" s="7">
        <f t="shared" si="4"/>
        <v>0</v>
      </c>
    </row>
    <row r="298" spans="1:4" ht="18.75" hidden="1" x14ac:dyDescent="0.25">
      <c r="A298" s="17" t="s">
        <v>297</v>
      </c>
      <c r="B298" s="7"/>
      <c r="C298" s="7"/>
      <c r="D298" s="7">
        <f t="shared" si="4"/>
        <v>0</v>
      </c>
    </row>
    <row r="299" spans="1:4" ht="18.75" hidden="1" x14ac:dyDescent="0.25">
      <c r="A299" s="13" t="s">
        <v>298</v>
      </c>
      <c r="B299" s="7"/>
      <c r="C299" s="7"/>
      <c r="D299" s="7">
        <f t="shared" si="4"/>
        <v>0</v>
      </c>
    </row>
    <row r="300" spans="1:4" ht="18.75" hidden="1" x14ac:dyDescent="0.25">
      <c r="A300" s="9" t="s">
        <v>299</v>
      </c>
      <c r="B300" s="7"/>
      <c r="C300" s="7"/>
      <c r="D300" s="7">
        <f t="shared" si="4"/>
        <v>0</v>
      </c>
    </row>
    <row r="301" spans="1:4" ht="18.75" hidden="1" x14ac:dyDescent="0.25">
      <c r="A301" s="17" t="s">
        <v>300</v>
      </c>
      <c r="B301" s="7"/>
      <c r="C301" s="7"/>
      <c r="D301" s="7">
        <f t="shared" si="4"/>
        <v>0</v>
      </c>
    </row>
    <row r="302" spans="1:4" ht="18.75" hidden="1" x14ac:dyDescent="0.25">
      <c r="A302" s="9" t="s">
        <v>301</v>
      </c>
      <c r="B302" s="7"/>
      <c r="C302" s="7"/>
      <c r="D302" s="7">
        <f t="shared" si="4"/>
        <v>0</v>
      </c>
    </row>
    <row r="303" spans="1:4" ht="18.75" hidden="1" x14ac:dyDescent="0.25">
      <c r="A303" s="9" t="s">
        <v>302</v>
      </c>
      <c r="B303" s="7"/>
      <c r="C303" s="7"/>
      <c r="D303" s="7">
        <f t="shared" si="4"/>
        <v>0</v>
      </c>
    </row>
    <row r="304" spans="1:4" ht="18.75" hidden="1" x14ac:dyDescent="0.25">
      <c r="A304" s="11" t="s">
        <v>303</v>
      </c>
      <c r="B304" s="7"/>
      <c r="C304" s="7"/>
      <c r="D304" s="7">
        <f t="shared" si="4"/>
        <v>0</v>
      </c>
    </row>
    <row r="305" spans="1:4" ht="18.75" hidden="1" x14ac:dyDescent="0.25">
      <c r="A305" s="12" t="s">
        <v>304</v>
      </c>
      <c r="B305" s="7"/>
      <c r="C305" s="7"/>
      <c r="D305" s="7">
        <f t="shared" si="4"/>
        <v>0</v>
      </c>
    </row>
    <row r="306" spans="1:4" ht="18.75" hidden="1" x14ac:dyDescent="0.25">
      <c r="A306" s="12" t="s">
        <v>305</v>
      </c>
      <c r="B306" s="7"/>
      <c r="C306" s="7"/>
      <c r="D306" s="7">
        <f t="shared" si="4"/>
        <v>0</v>
      </c>
    </row>
    <row r="307" spans="1:4" ht="18.75" hidden="1" x14ac:dyDescent="0.25">
      <c r="A307" s="9" t="s">
        <v>306</v>
      </c>
      <c r="B307" s="7"/>
      <c r="C307" s="7"/>
      <c r="D307" s="7">
        <f t="shared" si="4"/>
        <v>0</v>
      </c>
    </row>
    <row r="308" spans="1:4" ht="18.75" hidden="1" x14ac:dyDescent="0.25">
      <c r="A308" s="9" t="s">
        <v>307</v>
      </c>
      <c r="B308" s="7"/>
      <c r="C308" s="7"/>
      <c r="D308" s="7">
        <f t="shared" si="4"/>
        <v>0</v>
      </c>
    </row>
    <row r="309" spans="1:4" ht="18.75" hidden="1" x14ac:dyDescent="0.25">
      <c r="A309" s="9" t="s">
        <v>308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309</v>
      </c>
      <c r="B310" s="7"/>
      <c r="C310" s="7"/>
      <c r="D310" s="7">
        <f t="shared" si="4"/>
        <v>0</v>
      </c>
    </row>
    <row r="311" spans="1:4" ht="18.75" hidden="1" x14ac:dyDescent="0.25">
      <c r="A311" s="13" t="s">
        <v>310</v>
      </c>
      <c r="B311" s="7"/>
      <c r="C311" s="7"/>
      <c r="D311" s="7">
        <f t="shared" si="4"/>
        <v>0</v>
      </c>
    </row>
    <row r="312" spans="1:4" ht="18.75" hidden="1" x14ac:dyDescent="0.25">
      <c r="A312" s="21" t="s">
        <v>311</v>
      </c>
      <c r="B312" s="7"/>
      <c r="C312" s="7"/>
      <c r="D312" s="7">
        <f t="shared" si="4"/>
        <v>0</v>
      </c>
    </row>
    <row r="313" spans="1:4" ht="18.75" hidden="1" x14ac:dyDescent="0.25">
      <c r="A313" s="13" t="s">
        <v>312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313</v>
      </c>
      <c r="B314" s="7"/>
      <c r="C314" s="7"/>
      <c r="D314" s="7">
        <f t="shared" si="4"/>
        <v>0</v>
      </c>
    </row>
    <row r="315" spans="1:4" ht="18.75" hidden="1" x14ac:dyDescent="0.25">
      <c r="A315" s="9" t="s">
        <v>314</v>
      </c>
      <c r="B315" s="7"/>
      <c r="C315" s="7"/>
      <c r="D315" s="7">
        <f t="shared" si="4"/>
        <v>0</v>
      </c>
    </row>
    <row r="316" spans="1:4" ht="18.75" hidden="1" x14ac:dyDescent="0.25">
      <c r="A316" s="9" t="s">
        <v>315</v>
      </c>
      <c r="B316" s="7"/>
      <c r="C316" s="7"/>
      <c r="D316" s="7">
        <f t="shared" si="4"/>
        <v>0</v>
      </c>
    </row>
    <row r="317" spans="1:4" ht="18.75" hidden="1" x14ac:dyDescent="0.25">
      <c r="A317" s="9" t="s">
        <v>316</v>
      </c>
      <c r="B317" s="7"/>
      <c r="C317" s="7"/>
      <c r="D317" s="7">
        <f t="shared" si="4"/>
        <v>0</v>
      </c>
    </row>
    <row r="318" spans="1:4" ht="18.75" hidden="1" x14ac:dyDescent="0.25">
      <c r="A318" s="21" t="s">
        <v>317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318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319</v>
      </c>
      <c r="B320" s="7"/>
      <c r="C320" s="7"/>
      <c r="D320" s="7">
        <f t="shared" si="4"/>
        <v>0</v>
      </c>
    </row>
    <row r="321" spans="1:4" ht="18.75" hidden="1" x14ac:dyDescent="0.25">
      <c r="A321" s="12" t="s">
        <v>320</v>
      </c>
      <c r="B321" s="7"/>
      <c r="C321" s="7"/>
      <c r="D321" s="7">
        <f t="shared" si="4"/>
        <v>0</v>
      </c>
    </row>
    <row r="322" spans="1:4" ht="18.75" hidden="1" x14ac:dyDescent="0.25">
      <c r="A322" s="9" t="s">
        <v>321</v>
      </c>
      <c r="B322" s="39"/>
      <c r="C322" s="39"/>
      <c r="D322" s="7">
        <f t="shared" si="4"/>
        <v>0</v>
      </c>
    </row>
    <row r="323" spans="1:4" ht="18.75" hidden="1" x14ac:dyDescent="0.25">
      <c r="A323" s="9" t="s">
        <v>322</v>
      </c>
      <c r="B323" s="7"/>
      <c r="C323" s="7"/>
      <c r="D323" s="7">
        <f t="shared" si="4"/>
        <v>0</v>
      </c>
    </row>
    <row r="324" spans="1:4" ht="18.75" hidden="1" x14ac:dyDescent="0.25">
      <c r="A324" s="9" t="s">
        <v>323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21" t="s">
        <v>324</v>
      </c>
      <c r="B325" s="7"/>
      <c r="C325" s="7"/>
      <c r="D325" s="7">
        <f t="shared" si="5"/>
        <v>0</v>
      </c>
    </row>
    <row r="326" spans="1:4" ht="18.75" hidden="1" x14ac:dyDescent="0.25">
      <c r="A326" s="21" t="s">
        <v>325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326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327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328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329</v>
      </c>
      <c r="B330" s="7"/>
      <c r="C330" s="7"/>
      <c r="D330" s="7">
        <f t="shared" si="5"/>
        <v>0</v>
      </c>
    </row>
    <row r="331" spans="1:4" ht="18.75" x14ac:dyDescent="0.25">
      <c r="A331" s="9" t="s">
        <v>330</v>
      </c>
      <c r="B331" s="7">
        <v>20</v>
      </c>
      <c r="C331" s="7">
        <v>7000</v>
      </c>
      <c r="D331" s="7">
        <f t="shared" si="5"/>
        <v>140000</v>
      </c>
    </row>
    <row r="332" spans="1:4" ht="18.75" hidden="1" x14ac:dyDescent="0.25">
      <c r="A332" s="9" t="s">
        <v>331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332</v>
      </c>
      <c r="B333" s="7"/>
      <c r="C333" s="7"/>
      <c r="D333" s="7">
        <f t="shared" si="5"/>
        <v>0</v>
      </c>
    </row>
    <row r="334" spans="1:4" ht="18.75" hidden="1" x14ac:dyDescent="0.25">
      <c r="A334" s="9" t="s">
        <v>333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334</v>
      </c>
      <c r="B335" s="7"/>
      <c r="C335" s="7"/>
      <c r="D335" s="7">
        <f t="shared" si="5"/>
        <v>0</v>
      </c>
    </row>
    <row r="336" spans="1:4" ht="18.75" hidden="1" x14ac:dyDescent="0.25">
      <c r="A336" s="9" t="s">
        <v>335</v>
      </c>
      <c r="B336" s="7"/>
      <c r="C336" s="7"/>
      <c r="D336" s="7">
        <f t="shared" si="5"/>
        <v>0</v>
      </c>
    </row>
    <row r="337" spans="1:4" ht="18.75" hidden="1" x14ac:dyDescent="0.25">
      <c r="A337" s="9" t="s">
        <v>336</v>
      </c>
      <c r="B337" s="7"/>
      <c r="C337" s="7"/>
      <c r="D337" s="7">
        <f t="shared" si="5"/>
        <v>0</v>
      </c>
    </row>
    <row r="338" spans="1:4" ht="18.75" hidden="1" x14ac:dyDescent="0.25">
      <c r="A338" s="11" t="s">
        <v>337</v>
      </c>
      <c r="B338" s="7"/>
      <c r="C338" s="7"/>
      <c r="D338" s="7">
        <f t="shared" si="5"/>
        <v>0</v>
      </c>
    </row>
    <row r="339" spans="1:4" ht="18.75" hidden="1" x14ac:dyDescent="0.25">
      <c r="A339" s="11" t="s">
        <v>338</v>
      </c>
      <c r="B339" s="7"/>
      <c r="C339" s="7"/>
      <c r="D339" s="7">
        <f t="shared" si="5"/>
        <v>0</v>
      </c>
    </row>
    <row r="340" spans="1:4" ht="18.75" x14ac:dyDescent="0.25">
      <c r="A340" s="40"/>
      <c r="B340" s="43">
        <f>SUM(B3:B339)</f>
        <v>2889</v>
      </c>
      <c r="C340" s="43"/>
      <c r="D340" s="7">
        <f>SUM(D15:D331)</f>
        <v>50491000</v>
      </c>
    </row>
    <row r="341" spans="1:4" ht="18.75" hidden="1" x14ac:dyDescent="0.25">
      <c r="D341" s="7">
        <f t="shared" si="5"/>
        <v>0</v>
      </c>
    </row>
    <row r="342" spans="1:4" ht="18.75" x14ac:dyDescent="0.25">
      <c r="A342" s="1" t="s">
        <v>388</v>
      </c>
      <c r="B342" s="2"/>
      <c r="C342" s="2"/>
      <c r="D342" s="7"/>
    </row>
    <row r="343" spans="1:4" ht="25.5" x14ac:dyDescent="0.25">
      <c r="A343" s="88" t="s">
        <v>0</v>
      </c>
      <c r="B343" s="3" t="s">
        <v>1</v>
      </c>
      <c r="C343" s="3" t="s">
        <v>368</v>
      </c>
      <c r="D343" s="7" t="s">
        <v>369</v>
      </c>
    </row>
    <row r="344" spans="1:4" ht="18.75" hidden="1" x14ac:dyDescent="0.25">
      <c r="A344" s="89"/>
      <c r="B344" s="4"/>
      <c r="C344" s="4"/>
      <c r="D344" s="7">
        <f t="shared" si="5"/>
        <v>0</v>
      </c>
    </row>
    <row r="345" spans="1:4" ht="18.75" hidden="1" x14ac:dyDescent="0.25">
      <c r="A345" s="5" t="s">
        <v>2</v>
      </c>
      <c r="B345" s="7"/>
      <c r="C345" s="7"/>
      <c r="D345" s="7">
        <f t="shared" si="5"/>
        <v>0</v>
      </c>
    </row>
    <row r="346" spans="1:4" ht="18.75" hidden="1" x14ac:dyDescent="0.25">
      <c r="A346" s="8" t="s">
        <v>3</v>
      </c>
      <c r="B346" s="7"/>
      <c r="C346" s="7"/>
      <c r="D346" s="7">
        <f t="shared" si="5"/>
        <v>0</v>
      </c>
    </row>
    <row r="347" spans="1:4" ht="18.75" hidden="1" x14ac:dyDescent="0.25">
      <c r="A347" s="5" t="s">
        <v>4</v>
      </c>
      <c r="B347" s="7"/>
      <c r="C347" s="7"/>
      <c r="D347" s="7">
        <f t="shared" si="5"/>
        <v>0</v>
      </c>
    </row>
    <row r="348" spans="1:4" ht="18.75" x14ac:dyDescent="0.25">
      <c r="A348" s="5" t="s">
        <v>5</v>
      </c>
      <c r="B348" s="7">
        <v>100</v>
      </c>
      <c r="C348" s="7">
        <v>7300</v>
      </c>
      <c r="D348" s="7">
        <f t="shared" si="5"/>
        <v>730000</v>
      </c>
    </row>
    <row r="349" spans="1:4" ht="18.75" hidden="1" x14ac:dyDescent="0.25">
      <c r="A349" s="9" t="s">
        <v>6</v>
      </c>
      <c r="B349" s="7"/>
      <c r="C349" s="7"/>
      <c r="D349" s="7">
        <f t="shared" si="5"/>
        <v>0</v>
      </c>
    </row>
    <row r="350" spans="1:4" ht="31.5" hidden="1" x14ac:dyDescent="0.25">
      <c r="A350" s="10" t="s">
        <v>7</v>
      </c>
      <c r="B350" s="7"/>
      <c r="C350" s="7"/>
      <c r="D350" s="7">
        <f t="shared" si="5"/>
        <v>0</v>
      </c>
    </row>
    <row r="351" spans="1:4" ht="18.75" hidden="1" x14ac:dyDescent="0.25">
      <c r="A351" s="5" t="s">
        <v>8</v>
      </c>
      <c r="B351" s="7"/>
      <c r="C351" s="7"/>
      <c r="D351" s="7">
        <f t="shared" si="5"/>
        <v>0</v>
      </c>
    </row>
    <row r="352" spans="1:4" ht="18.75" hidden="1" x14ac:dyDescent="0.25">
      <c r="A352" s="5" t="s">
        <v>9</v>
      </c>
      <c r="B352" s="7"/>
      <c r="C352" s="7"/>
      <c r="D352" s="7">
        <f t="shared" si="5"/>
        <v>0</v>
      </c>
    </row>
    <row r="353" spans="1:4" ht="18.75" hidden="1" x14ac:dyDescent="0.25">
      <c r="A353" s="11" t="s">
        <v>339</v>
      </c>
      <c r="B353" s="7"/>
      <c r="C353" s="7"/>
      <c r="D353" s="7">
        <f t="shared" si="5"/>
        <v>0</v>
      </c>
    </row>
    <row r="354" spans="1:4" ht="18.75" hidden="1" x14ac:dyDescent="0.25">
      <c r="A354" s="9" t="s">
        <v>11</v>
      </c>
      <c r="B354" s="7"/>
      <c r="C354" s="7"/>
      <c r="D354" s="7">
        <f t="shared" si="5"/>
        <v>0</v>
      </c>
    </row>
    <row r="355" spans="1:4" ht="18.75" hidden="1" x14ac:dyDescent="0.25">
      <c r="A355" s="9" t="s">
        <v>12</v>
      </c>
      <c r="B355" s="7"/>
      <c r="C355" s="7"/>
      <c r="D355" s="7">
        <f t="shared" si="5"/>
        <v>0</v>
      </c>
    </row>
    <row r="356" spans="1:4" ht="18.75" hidden="1" x14ac:dyDescent="0.25">
      <c r="A356" s="12" t="s">
        <v>13</v>
      </c>
      <c r="B356" s="7"/>
      <c r="C356" s="7"/>
      <c r="D356" s="7">
        <f t="shared" si="5"/>
        <v>0</v>
      </c>
    </row>
    <row r="357" spans="1:4" ht="18.75" hidden="1" x14ac:dyDescent="0.25">
      <c r="A357" s="12" t="s">
        <v>14</v>
      </c>
      <c r="B357" s="7"/>
      <c r="C357" s="7"/>
      <c r="D357" s="7">
        <f t="shared" si="5"/>
        <v>0</v>
      </c>
    </row>
    <row r="358" spans="1:4" ht="18.75" hidden="1" x14ac:dyDescent="0.25">
      <c r="A358" s="9" t="s">
        <v>15</v>
      </c>
      <c r="B358" s="7"/>
      <c r="C358" s="7"/>
      <c r="D358" s="7">
        <f t="shared" si="5"/>
        <v>0</v>
      </c>
    </row>
    <row r="359" spans="1:4" ht="18.75" hidden="1" x14ac:dyDescent="0.25">
      <c r="A359" s="9" t="s">
        <v>16</v>
      </c>
      <c r="B359" s="7"/>
      <c r="C359" s="7"/>
      <c r="D359" s="7">
        <f t="shared" si="5"/>
        <v>0</v>
      </c>
    </row>
    <row r="360" spans="1:4" ht="18.75" hidden="1" x14ac:dyDescent="0.25">
      <c r="A360" s="13" t="s">
        <v>17</v>
      </c>
      <c r="B360" s="7"/>
      <c r="C360" s="7"/>
      <c r="D360" s="7">
        <f t="shared" si="5"/>
        <v>0</v>
      </c>
    </row>
    <row r="361" spans="1:4" ht="18.75" hidden="1" x14ac:dyDescent="0.25">
      <c r="A361" s="11" t="s">
        <v>18</v>
      </c>
      <c r="B361" s="7"/>
      <c r="C361" s="7"/>
      <c r="D361" s="7">
        <f t="shared" si="5"/>
        <v>0</v>
      </c>
    </row>
    <row r="362" spans="1:4" ht="18.75" x14ac:dyDescent="0.25">
      <c r="A362" s="9" t="s">
        <v>19</v>
      </c>
      <c r="B362" s="7">
        <v>310</v>
      </c>
      <c r="C362" s="7">
        <v>12000</v>
      </c>
      <c r="D362" s="7">
        <f t="shared" si="5"/>
        <v>3720000</v>
      </c>
    </row>
    <row r="363" spans="1:4" ht="18.75" hidden="1" x14ac:dyDescent="0.25">
      <c r="A363" s="12" t="s">
        <v>20</v>
      </c>
      <c r="B363" s="7"/>
      <c r="C363" s="7"/>
      <c r="D363" s="7">
        <f t="shared" si="5"/>
        <v>0</v>
      </c>
    </row>
    <row r="364" spans="1:4" ht="18.75" hidden="1" x14ac:dyDescent="0.25">
      <c r="A364" s="12" t="s">
        <v>21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22</v>
      </c>
      <c r="B365" s="7"/>
      <c r="C365" s="7"/>
      <c r="D365" s="7">
        <f t="shared" si="5"/>
        <v>0</v>
      </c>
    </row>
    <row r="366" spans="1:4" ht="18.75" hidden="1" x14ac:dyDescent="0.25">
      <c r="A366" s="9" t="s">
        <v>23</v>
      </c>
      <c r="B366" s="7"/>
      <c r="C366" s="7"/>
      <c r="D366" s="7">
        <f t="shared" si="5"/>
        <v>0</v>
      </c>
    </row>
    <row r="367" spans="1:4" ht="18.75" hidden="1" x14ac:dyDescent="0.25">
      <c r="A367" s="9" t="s">
        <v>24</v>
      </c>
      <c r="B367" s="7"/>
      <c r="C367" s="7"/>
      <c r="D367" s="7">
        <f t="shared" si="5"/>
        <v>0</v>
      </c>
    </row>
    <row r="368" spans="1:4" ht="18.75" hidden="1" x14ac:dyDescent="0.25">
      <c r="A368" s="9" t="s">
        <v>25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26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27</v>
      </c>
      <c r="B370" s="7"/>
      <c r="C370" s="7"/>
      <c r="D370" s="7">
        <f t="shared" si="5"/>
        <v>0</v>
      </c>
    </row>
    <row r="371" spans="1:4" ht="18.75" hidden="1" x14ac:dyDescent="0.25">
      <c r="A371" s="12" t="s">
        <v>29</v>
      </c>
      <c r="B371" s="7"/>
      <c r="C371" s="7"/>
      <c r="D371" s="7">
        <f t="shared" si="5"/>
        <v>0</v>
      </c>
    </row>
    <row r="372" spans="1:4" ht="18.75" hidden="1" x14ac:dyDescent="0.25">
      <c r="A372" s="12" t="s">
        <v>37</v>
      </c>
      <c r="B372" s="7"/>
      <c r="C372" s="7"/>
      <c r="D372" s="7">
        <f t="shared" si="5"/>
        <v>0</v>
      </c>
    </row>
    <row r="373" spans="1:4" ht="18.75" hidden="1" x14ac:dyDescent="0.25">
      <c r="A373" s="9" t="s">
        <v>38</v>
      </c>
      <c r="B373" s="7"/>
      <c r="C373" s="7"/>
      <c r="D373" s="7">
        <f t="shared" si="5"/>
        <v>0</v>
      </c>
    </row>
    <row r="374" spans="1:4" ht="18.75" hidden="1" x14ac:dyDescent="0.25">
      <c r="A374" s="9" t="s">
        <v>39</v>
      </c>
      <c r="B374" s="7"/>
      <c r="C374" s="7"/>
      <c r="D374" s="7">
        <f t="shared" si="5"/>
        <v>0</v>
      </c>
    </row>
    <row r="375" spans="1:4" ht="18.75" hidden="1" x14ac:dyDescent="0.25">
      <c r="A375" s="11" t="s">
        <v>340</v>
      </c>
      <c r="B375" s="16"/>
      <c r="C375" s="16"/>
      <c r="D375" s="7">
        <f t="shared" si="5"/>
        <v>0</v>
      </c>
    </row>
    <row r="376" spans="1:4" ht="18.75" hidden="1" x14ac:dyDescent="0.25">
      <c r="A376" s="11" t="s">
        <v>40</v>
      </c>
      <c r="B376" s="16"/>
      <c r="C376" s="16"/>
      <c r="D376" s="7">
        <f t="shared" si="5"/>
        <v>0</v>
      </c>
    </row>
    <row r="377" spans="1:4" ht="18.75" hidden="1" x14ac:dyDescent="0.25">
      <c r="A377" s="9" t="s">
        <v>41</v>
      </c>
      <c r="B377" s="7"/>
      <c r="C377" s="7"/>
      <c r="D377" s="7">
        <f t="shared" si="5"/>
        <v>0</v>
      </c>
    </row>
    <row r="378" spans="1:4" ht="18.75" hidden="1" x14ac:dyDescent="0.25">
      <c r="A378" s="9" t="s">
        <v>42</v>
      </c>
      <c r="B378" s="7"/>
      <c r="C378" s="7"/>
      <c r="D378" s="7">
        <f t="shared" si="5"/>
        <v>0</v>
      </c>
    </row>
    <row r="379" spans="1:4" ht="18.75" hidden="1" x14ac:dyDescent="0.25">
      <c r="A379" s="17" t="s">
        <v>43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44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45</v>
      </c>
      <c r="B381" s="7"/>
      <c r="C381" s="7"/>
      <c r="D381" s="7">
        <f t="shared" si="5"/>
        <v>0</v>
      </c>
    </row>
    <row r="382" spans="1:4" ht="18.75" hidden="1" x14ac:dyDescent="0.25">
      <c r="A382" s="9" t="s">
        <v>46</v>
      </c>
      <c r="B382" s="7"/>
      <c r="C382" s="7"/>
      <c r="D382" s="7">
        <f t="shared" si="5"/>
        <v>0</v>
      </c>
    </row>
    <row r="383" spans="1:4" ht="18.75" hidden="1" x14ac:dyDescent="0.25">
      <c r="A383" s="9" t="s">
        <v>47</v>
      </c>
      <c r="B383" s="7"/>
      <c r="C383" s="7"/>
      <c r="D383" s="7">
        <f t="shared" si="5"/>
        <v>0</v>
      </c>
    </row>
    <row r="384" spans="1:4" ht="18.75" hidden="1" x14ac:dyDescent="0.25">
      <c r="A384" s="13" t="s">
        <v>48</v>
      </c>
      <c r="B384" s="7"/>
      <c r="C384" s="7"/>
      <c r="D384" s="7">
        <f t="shared" si="5"/>
        <v>0</v>
      </c>
    </row>
    <row r="385" spans="1:4" ht="18.75" hidden="1" x14ac:dyDescent="0.25">
      <c r="A385" s="11" t="s">
        <v>49</v>
      </c>
      <c r="B385" s="7"/>
      <c r="C385" s="7"/>
      <c r="D385" s="7">
        <f t="shared" si="5"/>
        <v>0</v>
      </c>
    </row>
    <row r="386" spans="1:4" ht="18.75" hidden="1" x14ac:dyDescent="0.25">
      <c r="A386" s="13" t="s">
        <v>50</v>
      </c>
      <c r="B386" s="7"/>
      <c r="C386" s="7"/>
      <c r="D386" s="7">
        <f t="shared" si="5"/>
        <v>0</v>
      </c>
    </row>
    <row r="387" spans="1:4" ht="18.75" hidden="1" x14ac:dyDescent="0.25">
      <c r="A387" s="9" t="s">
        <v>51</v>
      </c>
      <c r="B387" s="7"/>
      <c r="C387" s="7"/>
      <c r="D387" s="7">
        <f t="shared" si="5"/>
        <v>0</v>
      </c>
    </row>
    <row r="388" spans="1:4" ht="18.75" hidden="1" x14ac:dyDescent="0.25">
      <c r="A388" s="9" t="s">
        <v>52</v>
      </c>
      <c r="B388" s="7"/>
      <c r="C388" s="7"/>
      <c r="D388" s="7">
        <f t="shared" ref="D388:D451" si="6">B388*C388</f>
        <v>0</v>
      </c>
    </row>
    <row r="389" spans="1:4" ht="18.75" x14ac:dyDescent="0.25">
      <c r="A389" s="12" t="s">
        <v>53</v>
      </c>
      <c r="B389" s="7">
        <v>300</v>
      </c>
      <c r="C389" s="7">
        <v>24000</v>
      </c>
      <c r="D389" s="7">
        <f t="shared" si="6"/>
        <v>7200000</v>
      </c>
    </row>
    <row r="390" spans="1:4" ht="18.75" hidden="1" x14ac:dyDescent="0.25">
      <c r="A390" s="18" t="s">
        <v>54</v>
      </c>
      <c r="B390" s="7"/>
      <c r="C390" s="7"/>
      <c r="D390" s="7">
        <f t="shared" si="6"/>
        <v>0</v>
      </c>
    </row>
    <row r="391" spans="1:4" ht="18.75" hidden="1" x14ac:dyDescent="0.25">
      <c r="A391" s="17" t="s">
        <v>55</v>
      </c>
      <c r="B391" s="7"/>
      <c r="C391" s="7"/>
      <c r="D391" s="7">
        <f t="shared" si="6"/>
        <v>0</v>
      </c>
    </row>
    <row r="392" spans="1:4" ht="18.75" hidden="1" x14ac:dyDescent="0.25">
      <c r="A392" s="17" t="s">
        <v>56</v>
      </c>
      <c r="B392" s="7"/>
      <c r="C392" s="7"/>
      <c r="D392" s="7">
        <f t="shared" si="6"/>
        <v>0</v>
      </c>
    </row>
    <row r="393" spans="1:4" ht="18.75" hidden="1" x14ac:dyDescent="0.25">
      <c r="A393" s="17" t="s">
        <v>57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58</v>
      </c>
      <c r="B394" s="7"/>
      <c r="C394" s="7"/>
      <c r="D394" s="7">
        <f t="shared" si="6"/>
        <v>0</v>
      </c>
    </row>
    <row r="395" spans="1:4" ht="18.75" hidden="1" x14ac:dyDescent="0.25">
      <c r="A395" s="11" t="s">
        <v>59</v>
      </c>
      <c r="B395" s="7"/>
      <c r="C395" s="7"/>
      <c r="D395" s="7">
        <f t="shared" si="6"/>
        <v>0</v>
      </c>
    </row>
    <row r="396" spans="1:4" ht="18.75" hidden="1" x14ac:dyDescent="0.25">
      <c r="A396" s="9" t="s">
        <v>60</v>
      </c>
      <c r="B396" s="7"/>
      <c r="C396" s="7"/>
      <c r="D396" s="7">
        <f t="shared" si="6"/>
        <v>0</v>
      </c>
    </row>
    <row r="397" spans="1:4" ht="18.75" hidden="1" x14ac:dyDescent="0.25">
      <c r="A397" s="9" t="s">
        <v>61</v>
      </c>
      <c r="B397" s="7"/>
      <c r="C397" s="7"/>
      <c r="D397" s="7">
        <f t="shared" si="6"/>
        <v>0</v>
      </c>
    </row>
    <row r="398" spans="1:4" ht="18.75" hidden="1" x14ac:dyDescent="0.25">
      <c r="A398" s="17" t="s">
        <v>62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63</v>
      </c>
      <c r="B399" s="7"/>
      <c r="C399" s="7"/>
      <c r="D399" s="7">
        <f t="shared" si="6"/>
        <v>0</v>
      </c>
    </row>
    <row r="400" spans="1:4" ht="18.75" hidden="1" x14ac:dyDescent="0.25">
      <c r="A400" s="19" t="s">
        <v>64</v>
      </c>
      <c r="B400" s="7"/>
      <c r="C400" s="7"/>
      <c r="D400" s="7">
        <f t="shared" si="6"/>
        <v>0</v>
      </c>
    </row>
    <row r="401" spans="1:4" ht="18.75" hidden="1" x14ac:dyDescent="0.25">
      <c r="A401" s="9" t="s">
        <v>65</v>
      </c>
      <c r="B401" s="7"/>
      <c r="C401" s="7"/>
      <c r="D401" s="7">
        <f t="shared" si="6"/>
        <v>0</v>
      </c>
    </row>
    <row r="402" spans="1:4" ht="18.75" hidden="1" x14ac:dyDescent="0.25">
      <c r="A402" s="9" t="s">
        <v>66</v>
      </c>
      <c r="B402" s="7"/>
      <c r="C402" s="7"/>
      <c r="D402" s="7">
        <f t="shared" si="6"/>
        <v>0</v>
      </c>
    </row>
    <row r="403" spans="1:4" ht="18.75" hidden="1" x14ac:dyDescent="0.25">
      <c r="A403" s="20" t="s">
        <v>67</v>
      </c>
      <c r="B403" s="7"/>
      <c r="C403" s="7"/>
      <c r="D403" s="7">
        <f t="shared" si="6"/>
        <v>0</v>
      </c>
    </row>
    <row r="404" spans="1:4" ht="18.75" hidden="1" x14ac:dyDescent="0.25">
      <c r="A404" s="42" t="s">
        <v>68</v>
      </c>
      <c r="B404" s="7"/>
      <c r="C404" s="7"/>
      <c r="D404" s="7">
        <f t="shared" si="6"/>
        <v>0</v>
      </c>
    </row>
    <row r="405" spans="1:4" ht="18.75" hidden="1" x14ac:dyDescent="0.25">
      <c r="A405" s="12" t="s">
        <v>69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70</v>
      </c>
      <c r="B406" s="7"/>
      <c r="C406" s="7"/>
      <c r="D406" s="7">
        <f t="shared" si="6"/>
        <v>0</v>
      </c>
    </row>
    <row r="407" spans="1:4" ht="18.75" hidden="1" x14ac:dyDescent="0.25">
      <c r="A407" s="12" t="s">
        <v>71</v>
      </c>
      <c r="B407" s="7"/>
      <c r="C407" s="7"/>
      <c r="D407" s="7">
        <f t="shared" si="6"/>
        <v>0</v>
      </c>
    </row>
    <row r="408" spans="1:4" ht="18.75" hidden="1" x14ac:dyDescent="0.25">
      <c r="A408" s="12" t="s">
        <v>72</v>
      </c>
      <c r="B408" s="7"/>
      <c r="C408" s="7"/>
      <c r="D408" s="7">
        <f t="shared" si="6"/>
        <v>0</v>
      </c>
    </row>
    <row r="409" spans="1:4" ht="18.75" hidden="1" x14ac:dyDescent="0.25">
      <c r="A409" s="12" t="s">
        <v>73</v>
      </c>
      <c r="B409" s="7"/>
      <c r="C409" s="7"/>
      <c r="D409" s="7">
        <f t="shared" si="6"/>
        <v>0</v>
      </c>
    </row>
    <row r="410" spans="1:4" ht="18.75" hidden="1" x14ac:dyDescent="0.25">
      <c r="A410" s="20" t="s">
        <v>74</v>
      </c>
      <c r="B410" s="7"/>
      <c r="C410" s="7"/>
      <c r="D410" s="7">
        <f t="shared" si="6"/>
        <v>0</v>
      </c>
    </row>
    <row r="411" spans="1:4" ht="18.75" hidden="1" x14ac:dyDescent="0.25">
      <c r="A411" s="9" t="s">
        <v>75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76</v>
      </c>
      <c r="B412" s="7"/>
      <c r="C412" s="7"/>
      <c r="D412" s="7">
        <f t="shared" si="6"/>
        <v>0</v>
      </c>
    </row>
    <row r="413" spans="1:4" ht="18.75" hidden="1" x14ac:dyDescent="0.25">
      <c r="A413" s="12" t="s">
        <v>341</v>
      </c>
      <c r="B413" s="7"/>
      <c r="C413" s="7"/>
      <c r="D413" s="7">
        <f t="shared" si="6"/>
        <v>0</v>
      </c>
    </row>
    <row r="414" spans="1:4" ht="18.75" x14ac:dyDescent="0.25">
      <c r="A414" s="9" t="s">
        <v>77</v>
      </c>
      <c r="B414" s="7">
        <v>100</v>
      </c>
      <c r="C414" s="7">
        <v>26000</v>
      </c>
      <c r="D414" s="7">
        <f t="shared" si="6"/>
        <v>2600000</v>
      </c>
    </row>
    <row r="415" spans="1:4" ht="18.75" hidden="1" x14ac:dyDescent="0.25">
      <c r="A415" s="13" t="s">
        <v>78</v>
      </c>
      <c r="B415" s="7"/>
      <c r="C415" s="7"/>
      <c r="D415" s="7">
        <f t="shared" si="6"/>
        <v>0</v>
      </c>
    </row>
    <row r="416" spans="1:4" ht="18.75" hidden="1" x14ac:dyDescent="0.25">
      <c r="A416" s="9" t="s">
        <v>79</v>
      </c>
      <c r="B416" s="7"/>
      <c r="C416" s="7"/>
      <c r="D416" s="7">
        <f t="shared" si="6"/>
        <v>0</v>
      </c>
    </row>
    <row r="417" spans="1:4" ht="18.75" hidden="1" x14ac:dyDescent="0.25">
      <c r="A417" s="9" t="s">
        <v>80</v>
      </c>
      <c r="B417" s="7"/>
      <c r="C417" s="7"/>
      <c r="D417" s="7">
        <f t="shared" si="6"/>
        <v>0</v>
      </c>
    </row>
    <row r="418" spans="1:4" ht="18.75" hidden="1" x14ac:dyDescent="0.25">
      <c r="A418" s="9" t="s">
        <v>81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82</v>
      </c>
      <c r="B419" s="16"/>
      <c r="C419" s="16"/>
      <c r="D419" s="7">
        <f t="shared" si="6"/>
        <v>0</v>
      </c>
    </row>
    <row r="420" spans="1:4" ht="18.75" hidden="1" x14ac:dyDescent="0.25">
      <c r="A420" s="12" t="s">
        <v>83</v>
      </c>
      <c r="B420" s="16"/>
      <c r="C420" s="16"/>
      <c r="D420" s="7">
        <f t="shared" si="6"/>
        <v>0</v>
      </c>
    </row>
    <row r="421" spans="1:4" ht="18.75" hidden="1" x14ac:dyDescent="0.25">
      <c r="A421" s="12" t="s">
        <v>84</v>
      </c>
      <c r="B421" s="16"/>
      <c r="C421" s="16"/>
      <c r="D421" s="7">
        <f t="shared" si="6"/>
        <v>0</v>
      </c>
    </row>
    <row r="422" spans="1:4" ht="18.75" hidden="1" x14ac:dyDescent="0.25">
      <c r="A422" s="9" t="s">
        <v>85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86</v>
      </c>
      <c r="B423" s="7"/>
      <c r="C423" s="7"/>
      <c r="D423" s="7">
        <f t="shared" si="6"/>
        <v>0</v>
      </c>
    </row>
    <row r="424" spans="1:4" ht="18.75" hidden="1" x14ac:dyDescent="0.25">
      <c r="A424" s="9" t="s">
        <v>87</v>
      </c>
      <c r="B424" s="7"/>
      <c r="C424" s="7"/>
      <c r="D424" s="7">
        <f t="shared" si="6"/>
        <v>0</v>
      </c>
    </row>
    <row r="425" spans="1:4" ht="18.75" hidden="1" x14ac:dyDescent="0.25">
      <c r="A425" s="9" t="s">
        <v>88</v>
      </c>
      <c r="B425" s="7"/>
      <c r="C425" s="7"/>
      <c r="D425" s="7">
        <f t="shared" si="6"/>
        <v>0</v>
      </c>
    </row>
    <row r="426" spans="1:4" ht="18.75" hidden="1" x14ac:dyDescent="0.25">
      <c r="A426" s="9" t="s">
        <v>89</v>
      </c>
      <c r="B426" s="7"/>
      <c r="C426" s="7"/>
      <c r="D426" s="7">
        <f t="shared" si="6"/>
        <v>0</v>
      </c>
    </row>
    <row r="427" spans="1:4" ht="18.75" x14ac:dyDescent="0.25">
      <c r="A427" s="9" t="s">
        <v>90</v>
      </c>
      <c r="B427" s="7">
        <v>37</v>
      </c>
      <c r="C427" s="7">
        <v>9000</v>
      </c>
      <c r="D427" s="7">
        <f t="shared" si="6"/>
        <v>333000</v>
      </c>
    </row>
    <row r="428" spans="1:4" ht="18.75" hidden="1" x14ac:dyDescent="0.25">
      <c r="A428" s="21" t="s">
        <v>91</v>
      </c>
      <c r="B428" s="7"/>
      <c r="C428" s="7"/>
      <c r="D428" s="7">
        <f t="shared" si="6"/>
        <v>0</v>
      </c>
    </row>
    <row r="429" spans="1:4" ht="18.75" hidden="1" x14ac:dyDescent="0.25">
      <c r="A429" s="21" t="s">
        <v>92</v>
      </c>
      <c r="B429" s="7"/>
      <c r="C429" s="7"/>
      <c r="D429" s="7">
        <f t="shared" si="6"/>
        <v>0</v>
      </c>
    </row>
    <row r="430" spans="1:4" ht="18.75" hidden="1" x14ac:dyDescent="0.25">
      <c r="A430" s="21" t="s">
        <v>93</v>
      </c>
      <c r="B430" s="7"/>
      <c r="C430" s="7"/>
      <c r="D430" s="7">
        <f t="shared" si="6"/>
        <v>0</v>
      </c>
    </row>
    <row r="431" spans="1:4" ht="18.75" hidden="1" x14ac:dyDescent="0.25">
      <c r="A431" s="11" t="s">
        <v>94</v>
      </c>
      <c r="B431" s="7"/>
      <c r="C431" s="7"/>
      <c r="D431" s="7">
        <f t="shared" si="6"/>
        <v>0</v>
      </c>
    </row>
    <row r="432" spans="1:4" ht="18.75" hidden="1" x14ac:dyDescent="0.25">
      <c r="A432" s="13" t="s">
        <v>95</v>
      </c>
      <c r="B432" s="7"/>
      <c r="C432" s="7"/>
      <c r="D432" s="7">
        <f t="shared" si="6"/>
        <v>0</v>
      </c>
    </row>
    <row r="433" spans="1:4" ht="18.75" hidden="1" x14ac:dyDescent="0.25">
      <c r="A433" s="11" t="s">
        <v>342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96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97</v>
      </c>
      <c r="B435" s="7"/>
      <c r="C435" s="7"/>
      <c r="D435" s="7">
        <f t="shared" si="6"/>
        <v>0</v>
      </c>
    </row>
    <row r="436" spans="1:4" ht="18.75" hidden="1" x14ac:dyDescent="0.25">
      <c r="A436" s="11" t="s">
        <v>343</v>
      </c>
      <c r="B436" s="7"/>
      <c r="C436" s="7"/>
      <c r="D436" s="7">
        <f t="shared" si="6"/>
        <v>0</v>
      </c>
    </row>
    <row r="437" spans="1:4" ht="18.75" hidden="1" x14ac:dyDescent="0.25">
      <c r="A437" s="11" t="s">
        <v>344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99</v>
      </c>
      <c r="B438" s="16"/>
      <c r="C438" s="16"/>
      <c r="D438" s="7">
        <f t="shared" si="6"/>
        <v>0</v>
      </c>
    </row>
    <row r="439" spans="1:4" ht="18.75" hidden="1" x14ac:dyDescent="0.25">
      <c r="A439" s="21" t="s">
        <v>101</v>
      </c>
      <c r="B439" s="7"/>
      <c r="C439" s="7"/>
      <c r="D439" s="7">
        <f t="shared" si="6"/>
        <v>0</v>
      </c>
    </row>
    <row r="440" spans="1:4" ht="18.75" hidden="1" x14ac:dyDescent="0.25">
      <c r="A440" s="11" t="s">
        <v>102</v>
      </c>
      <c r="B440" s="7"/>
      <c r="C440" s="7"/>
      <c r="D440" s="7">
        <f t="shared" si="6"/>
        <v>0</v>
      </c>
    </row>
    <row r="441" spans="1:4" ht="18.75" hidden="1" x14ac:dyDescent="0.25">
      <c r="A441" s="11" t="s">
        <v>345</v>
      </c>
      <c r="B441" s="7"/>
      <c r="C441" s="7"/>
      <c r="D441" s="7">
        <f t="shared" si="6"/>
        <v>0</v>
      </c>
    </row>
    <row r="442" spans="1:4" ht="18.75" hidden="1" x14ac:dyDescent="0.25">
      <c r="A442" s="9" t="s">
        <v>103</v>
      </c>
      <c r="B442" s="7"/>
      <c r="C442" s="7"/>
      <c r="D442" s="7">
        <f t="shared" si="6"/>
        <v>0</v>
      </c>
    </row>
    <row r="443" spans="1:4" ht="18.75" hidden="1" x14ac:dyDescent="0.25">
      <c r="A443" s="17" t="s">
        <v>104</v>
      </c>
      <c r="B443" s="7"/>
      <c r="C443" s="7"/>
      <c r="D443" s="7">
        <f t="shared" si="6"/>
        <v>0</v>
      </c>
    </row>
    <row r="444" spans="1:4" ht="18.75" hidden="1" x14ac:dyDescent="0.25">
      <c r="A444" s="24" t="s">
        <v>105</v>
      </c>
      <c r="B444" s="7"/>
      <c r="C444" s="7"/>
      <c r="D444" s="7">
        <f t="shared" si="6"/>
        <v>0</v>
      </c>
    </row>
    <row r="445" spans="1:4" ht="18.75" hidden="1" x14ac:dyDescent="0.25">
      <c r="A445" s="24" t="s">
        <v>106</v>
      </c>
      <c r="B445" s="7"/>
      <c r="C445" s="7"/>
      <c r="D445" s="7">
        <f t="shared" si="6"/>
        <v>0</v>
      </c>
    </row>
    <row r="446" spans="1:4" ht="18.75" hidden="1" x14ac:dyDescent="0.25">
      <c r="A446" s="23" t="s">
        <v>107</v>
      </c>
      <c r="B446" s="7"/>
      <c r="C446" s="7"/>
      <c r="D446" s="7">
        <f t="shared" si="6"/>
        <v>0</v>
      </c>
    </row>
    <row r="447" spans="1:4" ht="18.75" hidden="1" x14ac:dyDescent="0.25">
      <c r="A447" s="25" t="s">
        <v>108</v>
      </c>
      <c r="B447" s="7"/>
      <c r="C447" s="7"/>
      <c r="D447" s="7">
        <f t="shared" si="6"/>
        <v>0</v>
      </c>
    </row>
    <row r="448" spans="1:4" ht="18.75" hidden="1" x14ac:dyDescent="0.25">
      <c r="A448" s="9" t="s">
        <v>109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110</v>
      </c>
      <c r="B449" s="7"/>
      <c r="C449" s="7"/>
      <c r="D449" s="7">
        <f t="shared" si="6"/>
        <v>0</v>
      </c>
    </row>
    <row r="450" spans="1:4" ht="18.75" hidden="1" x14ac:dyDescent="0.25">
      <c r="A450" s="9" t="s">
        <v>111</v>
      </c>
      <c r="B450" s="7"/>
      <c r="C450" s="7"/>
      <c r="D450" s="7">
        <f t="shared" si="6"/>
        <v>0</v>
      </c>
    </row>
    <row r="451" spans="1:4" ht="18.75" hidden="1" x14ac:dyDescent="0.25">
      <c r="A451" s="9" t="s">
        <v>112</v>
      </c>
      <c r="B451" s="7"/>
      <c r="C451" s="7"/>
      <c r="D451" s="7">
        <f t="shared" si="6"/>
        <v>0</v>
      </c>
    </row>
    <row r="452" spans="1:4" ht="18.75" hidden="1" x14ac:dyDescent="0.25">
      <c r="A452" s="9" t="s">
        <v>114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115</v>
      </c>
      <c r="B453" s="7"/>
      <c r="C453" s="7"/>
      <c r="D453" s="7">
        <f t="shared" si="7"/>
        <v>0</v>
      </c>
    </row>
    <row r="454" spans="1:4" ht="18.75" hidden="1" x14ac:dyDescent="0.25">
      <c r="A454" s="9" t="s">
        <v>346</v>
      </c>
      <c r="B454" s="7"/>
      <c r="C454" s="7"/>
      <c r="D454" s="7">
        <f t="shared" si="7"/>
        <v>0</v>
      </c>
    </row>
    <row r="455" spans="1:4" ht="18.75" hidden="1" x14ac:dyDescent="0.25">
      <c r="A455" s="9" t="s">
        <v>116</v>
      </c>
      <c r="B455" s="7"/>
      <c r="C455" s="7"/>
      <c r="D455" s="7">
        <f t="shared" si="7"/>
        <v>0</v>
      </c>
    </row>
    <row r="456" spans="1:4" ht="18.75" hidden="1" x14ac:dyDescent="0.25">
      <c r="A456" s="11" t="s">
        <v>117</v>
      </c>
      <c r="B456" s="7"/>
      <c r="C456" s="7"/>
      <c r="D456" s="7">
        <f t="shared" si="7"/>
        <v>0</v>
      </c>
    </row>
    <row r="457" spans="1:4" ht="18.75" hidden="1" x14ac:dyDescent="0.25">
      <c r="A457" s="21" t="s">
        <v>118</v>
      </c>
      <c r="B457" s="7"/>
      <c r="C457" s="7"/>
      <c r="D457" s="7">
        <f t="shared" si="7"/>
        <v>0</v>
      </c>
    </row>
    <row r="458" spans="1:4" ht="18.75" hidden="1" x14ac:dyDescent="0.25">
      <c r="A458" s="9" t="s">
        <v>119</v>
      </c>
      <c r="B458" s="7"/>
      <c r="C458" s="7"/>
      <c r="D458" s="7">
        <f t="shared" si="7"/>
        <v>0</v>
      </c>
    </row>
    <row r="459" spans="1:4" ht="18.75" hidden="1" x14ac:dyDescent="0.25">
      <c r="A459" s="11" t="s">
        <v>120</v>
      </c>
      <c r="B459" s="7"/>
      <c r="C459" s="7"/>
      <c r="D459" s="7">
        <f t="shared" si="7"/>
        <v>0</v>
      </c>
    </row>
    <row r="460" spans="1:4" ht="18.75" hidden="1" x14ac:dyDescent="0.25">
      <c r="A460" s="11" t="s">
        <v>121</v>
      </c>
      <c r="B460" s="7"/>
      <c r="C460" s="7"/>
      <c r="D460" s="7">
        <f t="shared" si="7"/>
        <v>0</v>
      </c>
    </row>
    <row r="461" spans="1:4" ht="18.75" x14ac:dyDescent="0.25">
      <c r="A461" s="9" t="s">
        <v>122</v>
      </c>
      <c r="B461" s="7">
        <v>20</v>
      </c>
      <c r="C461" s="7">
        <v>12000</v>
      </c>
      <c r="D461" s="7">
        <f t="shared" si="7"/>
        <v>240000</v>
      </c>
    </row>
    <row r="462" spans="1:4" ht="18.75" hidden="1" x14ac:dyDescent="0.25">
      <c r="A462" s="10" t="s">
        <v>124</v>
      </c>
      <c r="B462" s="7"/>
      <c r="C462" s="7"/>
      <c r="D462" s="7">
        <f t="shared" si="7"/>
        <v>0</v>
      </c>
    </row>
    <row r="463" spans="1:4" ht="18.75" hidden="1" x14ac:dyDescent="0.25">
      <c r="A463" s="13" t="s">
        <v>125</v>
      </c>
      <c r="B463" s="7"/>
      <c r="C463" s="7"/>
      <c r="D463" s="7">
        <f t="shared" si="7"/>
        <v>0</v>
      </c>
    </row>
    <row r="464" spans="1:4" ht="18.75" hidden="1" x14ac:dyDescent="0.25">
      <c r="A464" s="12" t="s">
        <v>126</v>
      </c>
      <c r="B464" s="16"/>
      <c r="C464" s="16"/>
      <c r="D464" s="7">
        <f t="shared" si="7"/>
        <v>0</v>
      </c>
    </row>
    <row r="465" spans="1:4" ht="18.75" hidden="1" x14ac:dyDescent="0.25">
      <c r="A465" s="12" t="s">
        <v>127</v>
      </c>
      <c r="B465" s="16"/>
      <c r="C465" s="16"/>
      <c r="D465" s="7">
        <f t="shared" si="7"/>
        <v>0</v>
      </c>
    </row>
    <row r="466" spans="1:4" ht="18.75" hidden="1" x14ac:dyDescent="0.25">
      <c r="A466" s="12" t="s">
        <v>128</v>
      </c>
      <c r="B466" s="16"/>
      <c r="C466" s="16"/>
      <c r="D466" s="7">
        <f t="shared" si="7"/>
        <v>0</v>
      </c>
    </row>
    <row r="467" spans="1:4" ht="18.75" hidden="1" x14ac:dyDescent="0.25">
      <c r="A467" s="12" t="s">
        <v>129</v>
      </c>
      <c r="B467" s="27"/>
      <c r="C467" s="27"/>
      <c r="D467" s="7">
        <f t="shared" si="7"/>
        <v>0</v>
      </c>
    </row>
    <row r="468" spans="1:4" ht="18.75" hidden="1" x14ac:dyDescent="0.25">
      <c r="A468" s="28" t="s">
        <v>130</v>
      </c>
      <c r="B468" s="7"/>
      <c r="C468" s="7"/>
      <c r="D468" s="7">
        <f t="shared" si="7"/>
        <v>0</v>
      </c>
    </row>
    <row r="469" spans="1:4" ht="18.75" hidden="1" x14ac:dyDescent="0.25">
      <c r="A469" s="12" t="s">
        <v>131</v>
      </c>
      <c r="B469" s="16"/>
      <c r="C469" s="16"/>
      <c r="D469" s="7">
        <f t="shared" si="7"/>
        <v>0</v>
      </c>
    </row>
    <row r="470" spans="1:4" ht="18.75" hidden="1" x14ac:dyDescent="0.25">
      <c r="A470" s="9" t="s">
        <v>132</v>
      </c>
      <c r="B470" s="7"/>
      <c r="C470" s="7"/>
      <c r="D470" s="7">
        <f t="shared" si="7"/>
        <v>0</v>
      </c>
    </row>
    <row r="471" spans="1:4" ht="18.75" hidden="1" x14ac:dyDescent="0.25">
      <c r="A471" s="9" t="s">
        <v>133</v>
      </c>
      <c r="B471" s="7"/>
      <c r="C471" s="7"/>
      <c r="D471" s="7">
        <f t="shared" si="7"/>
        <v>0</v>
      </c>
    </row>
    <row r="472" spans="1:4" ht="18.75" x14ac:dyDescent="0.25">
      <c r="A472" s="9" t="s">
        <v>135</v>
      </c>
      <c r="B472" s="7">
        <v>10</v>
      </c>
      <c r="C472" s="7">
        <v>16000</v>
      </c>
      <c r="D472" s="7">
        <f t="shared" si="7"/>
        <v>160000</v>
      </c>
    </row>
    <row r="473" spans="1:4" ht="18.75" hidden="1" x14ac:dyDescent="0.25">
      <c r="A473" s="17" t="s">
        <v>136</v>
      </c>
      <c r="B473" s="7"/>
      <c r="C473" s="7"/>
      <c r="D473" s="7">
        <f t="shared" si="7"/>
        <v>0</v>
      </c>
    </row>
    <row r="474" spans="1:4" ht="18.75" hidden="1" x14ac:dyDescent="0.25">
      <c r="A474" s="12" t="s">
        <v>137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138</v>
      </c>
      <c r="B475" s="7"/>
      <c r="C475" s="7"/>
      <c r="D475" s="7">
        <f t="shared" si="7"/>
        <v>0</v>
      </c>
    </row>
    <row r="476" spans="1:4" ht="18.75" hidden="1" x14ac:dyDescent="0.25">
      <c r="A476" s="9" t="s">
        <v>139</v>
      </c>
      <c r="B476" s="7"/>
      <c r="C476" s="7"/>
      <c r="D476" s="7">
        <f t="shared" si="7"/>
        <v>0</v>
      </c>
    </row>
    <row r="477" spans="1:4" ht="18.75" hidden="1" x14ac:dyDescent="0.25">
      <c r="A477" s="9" t="s">
        <v>347</v>
      </c>
      <c r="B477" s="7"/>
      <c r="C477" s="7"/>
      <c r="D477" s="7">
        <f t="shared" si="7"/>
        <v>0</v>
      </c>
    </row>
    <row r="478" spans="1:4" ht="18.75" hidden="1" x14ac:dyDescent="0.25">
      <c r="A478" s="9" t="s">
        <v>141</v>
      </c>
      <c r="B478" s="16"/>
      <c r="C478" s="16"/>
      <c r="D478" s="7">
        <f t="shared" si="7"/>
        <v>0</v>
      </c>
    </row>
    <row r="479" spans="1:4" ht="18.75" hidden="1" x14ac:dyDescent="0.25">
      <c r="A479" s="9" t="s">
        <v>142</v>
      </c>
      <c r="B479" s="16"/>
      <c r="C479" s="16"/>
      <c r="D479" s="7">
        <f t="shared" si="7"/>
        <v>0</v>
      </c>
    </row>
    <row r="480" spans="1:4" ht="18.75" hidden="1" x14ac:dyDescent="0.25">
      <c r="A480" s="9" t="s">
        <v>143</v>
      </c>
      <c r="B480" s="7"/>
      <c r="C480" s="7"/>
      <c r="D480" s="7">
        <f t="shared" si="7"/>
        <v>0</v>
      </c>
    </row>
    <row r="481" spans="1:4" ht="18.75" hidden="1" x14ac:dyDescent="0.25">
      <c r="A481" s="9" t="s">
        <v>144</v>
      </c>
      <c r="B481" s="16"/>
      <c r="C481" s="16"/>
      <c r="D481" s="7">
        <f t="shared" si="7"/>
        <v>0</v>
      </c>
    </row>
    <row r="482" spans="1:4" ht="18.75" hidden="1" x14ac:dyDescent="0.25">
      <c r="A482" s="9" t="s">
        <v>145</v>
      </c>
      <c r="B482" s="16"/>
      <c r="C482" s="16"/>
      <c r="D482" s="7">
        <f t="shared" si="7"/>
        <v>0</v>
      </c>
    </row>
    <row r="483" spans="1:4" ht="18.75" hidden="1" x14ac:dyDescent="0.25">
      <c r="A483" s="9" t="s">
        <v>146</v>
      </c>
      <c r="B483" s="16"/>
      <c r="C483" s="16"/>
      <c r="D483" s="7">
        <f t="shared" si="7"/>
        <v>0</v>
      </c>
    </row>
    <row r="484" spans="1:4" ht="18.75" hidden="1" x14ac:dyDescent="0.25">
      <c r="A484" s="9" t="s">
        <v>147</v>
      </c>
      <c r="B484" s="16"/>
      <c r="C484" s="16"/>
      <c r="D484" s="7">
        <f t="shared" si="7"/>
        <v>0</v>
      </c>
    </row>
    <row r="485" spans="1:4" ht="18.75" hidden="1" x14ac:dyDescent="0.25">
      <c r="A485" s="9" t="s">
        <v>148</v>
      </c>
      <c r="B485" s="16"/>
      <c r="C485" s="16"/>
      <c r="D485" s="7">
        <f t="shared" si="7"/>
        <v>0</v>
      </c>
    </row>
    <row r="486" spans="1:4" ht="18.75" hidden="1" x14ac:dyDescent="0.25">
      <c r="A486" s="9" t="s">
        <v>149</v>
      </c>
      <c r="B486" s="16"/>
      <c r="C486" s="16"/>
      <c r="D486" s="7">
        <f t="shared" si="7"/>
        <v>0</v>
      </c>
    </row>
    <row r="487" spans="1:4" ht="18.75" hidden="1" x14ac:dyDescent="0.25">
      <c r="A487" s="9" t="s">
        <v>150</v>
      </c>
      <c r="B487" s="16"/>
      <c r="C487" s="16"/>
      <c r="D487" s="7">
        <f t="shared" si="7"/>
        <v>0</v>
      </c>
    </row>
    <row r="488" spans="1:4" ht="18.75" hidden="1" x14ac:dyDescent="0.25">
      <c r="A488" s="9" t="s">
        <v>151</v>
      </c>
      <c r="B488" s="16"/>
      <c r="C488" s="16"/>
      <c r="D488" s="7">
        <f t="shared" si="7"/>
        <v>0</v>
      </c>
    </row>
    <row r="489" spans="1:4" ht="18.75" hidden="1" x14ac:dyDescent="0.25">
      <c r="A489" s="9" t="s">
        <v>152</v>
      </c>
      <c r="B489" s="7"/>
      <c r="C489" s="7"/>
      <c r="D489" s="7">
        <f t="shared" si="7"/>
        <v>0</v>
      </c>
    </row>
    <row r="490" spans="1:4" ht="18.75" hidden="1" x14ac:dyDescent="0.25">
      <c r="A490" s="9" t="s">
        <v>348</v>
      </c>
      <c r="B490" s="7"/>
      <c r="C490" s="7"/>
      <c r="D490" s="7">
        <f t="shared" si="7"/>
        <v>0</v>
      </c>
    </row>
    <row r="491" spans="1:4" ht="18.75" hidden="1" x14ac:dyDescent="0.25">
      <c r="A491" s="9" t="s">
        <v>153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154</v>
      </c>
      <c r="B492" s="7"/>
      <c r="C492" s="7"/>
      <c r="D492" s="7">
        <f t="shared" si="7"/>
        <v>0</v>
      </c>
    </row>
    <row r="493" spans="1:4" ht="18.75" hidden="1" x14ac:dyDescent="0.25">
      <c r="A493" s="9" t="s">
        <v>155</v>
      </c>
      <c r="B493" s="7"/>
      <c r="C493" s="7"/>
      <c r="D493" s="7">
        <f t="shared" si="7"/>
        <v>0</v>
      </c>
    </row>
    <row r="494" spans="1:4" ht="18.75" hidden="1" x14ac:dyDescent="0.25">
      <c r="A494" s="17" t="s">
        <v>156</v>
      </c>
      <c r="B494" s="7"/>
      <c r="C494" s="7"/>
      <c r="D494" s="7">
        <f t="shared" si="7"/>
        <v>0</v>
      </c>
    </row>
    <row r="495" spans="1:4" ht="18.75" hidden="1" x14ac:dyDescent="0.25">
      <c r="A495" s="9" t="s">
        <v>157</v>
      </c>
      <c r="B495" s="7"/>
      <c r="C495" s="7"/>
      <c r="D495" s="7">
        <f t="shared" si="7"/>
        <v>0</v>
      </c>
    </row>
    <row r="496" spans="1:4" ht="18.75" hidden="1" x14ac:dyDescent="0.25">
      <c r="A496" s="9" t="s">
        <v>158</v>
      </c>
      <c r="B496" s="7"/>
      <c r="C496" s="7"/>
      <c r="D496" s="7">
        <f t="shared" si="7"/>
        <v>0</v>
      </c>
    </row>
    <row r="497" spans="1:4" ht="18.75" x14ac:dyDescent="0.25">
      <c r="A497" s="9" t="s">
        <v>159</v>
      </c>
      <c r="B497" s="7">
        <v>4</v>
      </c>
      <c r="C497" s="7">
        <v>8000</v>
      </c>
      <c r="D497" s="7">
        <f t="shared" si="7"/>
        <v>32000</v>
      </c>
    </row>
    <row r="498" spans="1:4" ht="18.75" hidden="1" x14ac:dyDescent="0.25">
      <c r="A498" s="9" t="s">
        <v>160</v>
      </c>
      <c r="B498" s="7"/>
      <c r="C498" s="7"/>
      <c r="D498" s="7">
        <f t="shared" si="7"/>
        <v>0</v>
      </c>
    </row>
    <row r="499" spans="1:4" ht="18.75" hidden="1" x14ac:dyDescent="0.25">
      <c r="A499" s="9" t="s">
        <v>161</v>
      </c>
      <c r="B499" s="16"/>
      <c r="C499" s="16"/>
      <c r="D499" s="7">
        <f t="shared" si="7"/>
        <v>0</v>
      </c>
    </row>
    <row r="500" spans="1:4" ht="18.75" hidden="1" x14ac:dyDescent="0.25">
      <c r="A500" s="18" t="s">
        <v>162</v>
      </c>
      <c r="B500" s="16"/>
      <c r="C500" s="16"/>
      <c r="D500" s="7">
        <f t="shared" si="7"/>
        <v>0</v>
      </c>
    </row>
    <row r="501" spans="1:4" ht="18.75" hidden="1" x14ac:dyDescent="0.25">
      <c r="A501" s="9" t="s">
        <v>163</v>
      </c>
      <c r="B501" s="16"/>
      <c r="C501" s="16"/>
      <c r="D501" s="7">
        <f t="shared" si="7"/>
        <v>0</v>
      </c>
    </row>
    <row r="502" spans="1:4" ht="18.75" hidden="1" x14ac:dyDescent="0.25">
      <c r="A502" s="9" t="s">
        <v>165</v>
      </c>
      <c r="B502" s="7"/>
      <c r="C502" s="7"/>
      <c r="D502" s="7">
        <f t="shared" si="7"/>
        <v>0</v>
      </c>
    </row>
    <row r="503" spans="1:4" ht="18.75" hidden="1" x14ac:dyDescent="0.25">
      <c r="A503" s="17" t="s">
        <v>166</v>
      </c>
      <c r="B503" s="7"/>
      <c r="C503" s="7"/>
      <c r="D503" s="7">
        <f t="shared" si="7"/>
        <v>0</v>
      </c>
    </row>
    <row r="504" spans="1:4" ht="18.75" hidden="1" x14ac:dyDescent="0.25">
      <c r="A504" s="9" t="s">
        <v>349</v>
      </c>
      <c r="B504" s="7"/>
      <c r="C504" s="7"/>
      <c r="D504" s="7">
        <f t="shared" si="7"/>
        <v>0</v>
      </c>
    </row>
    <row r="505" spans="1:4" ht="18.75" hidden="1" x14ac:dyDescent="0.25">
      <c r="A505" s="12" t="s">
        <v>167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168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170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171</v>
      </c>
      <c r="B508" s="7"/>
      <c r="C508" s="7"/>
      <c r="D508" s="7">
        <f t="shared" si="7"/>
        <v>0</v>
      </c>
    </row>
    <row r="509" spans="1:4" ht="18.75" hidden="1" x14ac:dyDescent="0.25">
      <c r="A509" s="20" t="s">
        <v>172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173</v>
      </c>
      <c r="B510" s="7"/>
      <c r="C510" s="7"/>
      <c r="D510" s="7">
        <f t="shared" si="7"/>
        <v>0</v>
      </c>
    </row>
    <row r="511" spans="1:4" ht="18.75" hidden="1" x14ac:dyDescent="0.25">
      <c r="A511" s="31" t="s">
        <v>174</v>
      </c>
      <c r="B511" s="33"/>
      <c r="C511" s="33"/>
      <c r="D511" s="7">
        <f t="shared" si="7"/>
        <v>0</v>
      </c>
    </row>
    <row r="512" spans="1:4" ht="18.75" hidden="1" x14ac:dyDescent="0.25">
      <c r="A512" s="11" t="s">
        <v>175</v>
      </c>
      <c r="B512" s="7"/>
      <c r="C512" s="7"/>
      <c r="D512" s="7">
        <f t="shared" si="7"/>
        <v>0</v>
      </c>
    </row>
    <row r="513" spans="1:4" ht="18.75" hidden="1" x14ac:dyDescent="0.25">
      <c r="A513" s="9" t="s">
        <v>176</v>
      </c>
      <c r="B513" s="7"/>
      <c r="C513" s="7"/>
      <c r="D513" s="7">
        <f t="shared" si="7"/>
        <v>0</v>
      </c>
    </row>
    <row r="514" spans="1:4" ht="18.75" hidden="1" x14ac:dyDescent="0.25">
      <c r="A514" s="9" t="s">
        <v>350</v>
      </c>
      <c r="B514" s="7"/>
      <c r="C514" s="7"/>
      <c r="D514" s="7">
        <f t="shared" si="7"/>
        <v>0</v>
      </c>
    </row>
    <row r="515" spans="1:4" ht="18.75" hidden="1" x14ac:dyDescent="0.25">
      <c r="A515" s="12" t="s">
        <v>178</v>
      </c>
      <c r="B515" s="7"/>
      <c r="C515" s="7"/>
      <c r="D515" s="7">
        <f t="shared" si="7"/>
        <v>0</v>
      </c>
    </row>
    <row r="516" spans="1:4" ht="18.75" hidden="1" x14ac:dyDescent="0.25">
      <c r="A516" s="9" t="s">
        <v>179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180</v>
      </c>
      <c r="B517" s="7"/>
      <c r="C517" s="7"/>
      <c r="D517" s="7">
        <f t="shared" si="8"/>
        <v>0</v>
      </c>
    </row>
    <row r="518" spans="1:4" ht="18.75" hidden="1" x14ac:dyDescent="0.25">
      <c r="A518" s="12" t="s">
        <v>181</v>
      </c>
      <c r="B518" s="7"/>
      <c r="C518" s="7"/>
      <c r="D518" s="7">
        <f t="shared" si="8"/>
        <v>0</v>
      </c>
    </row>
    <row r="519" spans="1:4" ht="18.75" hidden="1" x14ac:dyDescent="0.25">
      <c r="A519" s="12" t="s">
        <v>182</v>
      </c>
      <c r="B519" s="7"/>
      <c r="C519" s="7"/>
      <c r="D519" s="7">
        <f t="shared" si="8"/>
        <v>0</v>
      </c>
    </row>
    <row r="520" spans="1:4" ht="18.75" x14ac:dyDescent="0.25">
      <c r="A520" s="12" t="s">
        <v>183</v>
      </c>
      <c r="B520" s="7">
        <v>500</v>
      </c>
      <c r="C520" s="7">
        <v>9000</v>
      </c>
      <c r="D520" s="7">
        <f t="shared" si="8"/>
        <v>4500000</v>
      </c>
    </row>
    <row r="521" spans="1:4" ht="18.75" hidden="1" x14ac:dyDescent="0.25">
      <c r="A521" s="9" t="s">
        <v>184</v>
      </c>
      <c r="B521" s="7"/>
      <c r="C521" s="7"/>
      <c r="D521" s="7">
        <f t="shared" si="8"/>
        <v>0</v>
      </c>
    </row>
    <row r="522" spans="1:4" ht="18.75" hidden="1" x14ac:dyDescent="0.25">
      <c r="A522" s="12" t="s">
        <v>186</v>
      </c>
      <c r="B522" s="7"/>
      <c r="C522" s="7"/>
      <c r="D522" s="7">
        <f t="shared" si="8"/>
        <v>0</v>
      </c>
    </row>
    <row r="523" spans="1:4" ht="18.75" hidden="1" x14ac:dyDescent="0.25">
      <c r="A523" s="12" t="s">
        <v>187</v>
      </c>
      <c r="B523" s="7"/>
      <c r="C523" s="7"/>
      <c r="D523" s="7">
        <f t="shared" si="8"/>
        <v>0</v>
      </c>
    </row>
    <row r="524" spans="1:4" ht="18.75" hidden="1" x14ac:dyDescent="0.25">
      <c r="A524" s="12" t="s">
        <v>188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351</v>
      </c>
      <c r="B525" s="7"/>
      <c r="C525" s="7"/>
      <c r="D525" s="7">
        <f t="shared" si="8"/>
        <v>0</v>
      </c>
    </row>
    <row r="526" spans="1:4" ht="18.75" hidden="1" x14ac:dyDescent="0.25">
      <c r="A526" s="17" t="s">
        <v>189</v>
      </c>
      <c r="B526" s="7"/>
      <c r="C526" s="7"/>
      <c r="D526" s="7">
        <f t="shared" si="8"/>
        <v>0</v>
      </c>
    </row>
    <row r="527" spans="1:4" ht="18.75" hidden="1" x14ac:dyDescent="0.25">
      <c r="A527" s="17" t="s">
        <v>190</v>
      </c>
      <c r="B527" s="7"/>
      <c r="C527" s="7"/>
      <c r="D527" s="7">
        <f t="shared" si="8"/>
        <v>0</v>
      </c>
    </row>
    <row r="528" spans="1:4" ht="18.75" hidden="1" x14ac:dyDescent="0.25">
      <c r="A528" s="17" t="s">
        <v>191</v>
      </c>
      <c r="B528" s="7"/>
      <c r="C528" s="7"/>
      <c r="D528" s="7">
        <f t="shared" si="8"/>
        <v>0</v>
      </c>
    </row>
    <row r="529" spans="1:4" ht="18.75" hidden="1" x14ac:dyDescent="0.25">
      <c r="A529" s="17" t="s">
        <v>192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193</v>
      </c>
      <c r="B530" s="7"/>
      <c r="C530" s="7"/>
      <c r="D530" s="7">
        <f t="shared" si="8"/>
        <v>0</v>
      </c>
    </row>
    <row r="531" spans="1:4" ht="18.75" hidden="1" x14ac:dyDescent="0.25">
      <c r="A531" s="9" t="s">
        <v>194</v>
      </c>
      <c r="B531" s="7"/>
      <c r="C531" s="7"/>
      <c r="D531" s="7">
        <f t="shared" si="8"/>
        <v>0</v>
      </c>
    </row>
    <row r="532" spans="1:4" ht="18.75" hidden="1" x14ac:dyDescent="0.25">
      <c r="A532" s="34" t="s">
        <v>195</v>
      </c>
      <c r="B532" s="7"/>
      <c r="C532" s="7"/>
      <c r="D532" s="7">
        <f t="shared" si="8"/>
        <v>0</v>
      </c>
    </row>
    <row r="533" spans="1:4" ht="18.75" hidden="1" x14ac:dyDescent="0.25">
      <c r="A533" s="34" t="s">
        <v>196</v>
      </c>
      <c r="B533" s="7"/>
      <c r="C533" s="7"/>
      <c r="D533" s="7">
        <f t="shared" si="8"/>
        <v>0</v>
      </c>
    </row>
    <row r="534" spans="1:4" ht="18.75" hidden="1" x14ac:dyDescent="0.25">
      <c r="A534" s="34" t="s">
        <v>197</v>
      </c>
      <c r="B534" s="7"/>
      <c r="C534" s="7"/>
      <c r="D534" s="7">
        <f t="shared" si="8"/>
        <v>0</v>
      </c>
    </row>
    <row r="535" spans="1:4" ht="18.75" hidden="1" x14ac:dyDescent="0.25">
      <c r="A535" s="34" t="s">
        <v>198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199</v>
      </c>
      <c r="B536" s="7"/>
      <c r="C536" s="7"/>
      <c r="D536" s="7">
        <f t="shared" si="8"/>
        <v>0</v>
      </c>
    </row>
    <row r="537" spans="1:4" ht="18.75" hidden="1" x14ac:dyDescent="0.25">
      <c r="A537" s="35" t="s">
        <v>352</v>
      </c>
      <c r="B537" s="7"/>
      <c r="C537" s="7"/>
      <c r="D537" s="7">
        <f t="shared" si="8"/>
        <v>0</v>
      </c>
    </row>
    <row r="538" spans="1:4" ht="18.75" hidden="1" x14ac:dyDescent="0.25">
      <c r="A538" s="9" t="s">
        <v>201</v>
      </c>
      <c r="B538" s="7"/>
      <c r="C538" s="7"/>
      <c r="D538" s="7">
        <f t="shared" si="8"/>
        <v>0</v>
      </c>
    </row>
    <row r="539" spans="1:4" ht="18.75" hidden="1" x14ac:dyDescent="0.25">
      <c r="A539" s="12" t="s">
        <v>202</v>
      </c>
      <c r="B539" s="7"/>
      <c r="C539" s="7"/>
      <c r="D539" s="7">
        <f t="shared" si="8"/>
        <v>0</v>
      </c>
    </row>
    <row r="540" spans="1:4" ht="18.75" hidden="1" x14ac:dyDescent="0.25">
      <c r="A540" s="9" t="s">
        <v>353</v>
      </c>
      <c r="B540" s="7"/>
      <c r="C540" s="7"/>
      <c r="D540" s="7">
        <f t="shared" si="8"/>
        <v>0</v>
      </c>
    </row>
    <row r="541" spans="1:4" ht="18.75" hidden="1" x14ac:dyDescent="0.25">
      <c r="A541" s="9" t="s">
        <v>203</v>
      </c>
      <c r="B541" s="7"/>
      <c r="C541" s="7"/>
      <c r="D541" s="7">
        <f t="shared" si="8"/>
        <v>0</v>
      </c>
    </row>
    <row r="542" spans="1:4" ht="18.75" x14ac:dyDescent="0.25">
      <c r="A542" s="9" t="s">
        <v>204</v>
      </c>
      <c r="B542" s="7">
        <v>400</v>
      </c>
      <c r="C542" s="7">
        <v>20000</v>
      </c>
      <c r="D542" s="7">
        <f t="shared" si="8"/>
        <v>8000000</v>
      </c>
    </row>
    <row r="543" spans="1:4" ht="18.75" hidden="1" x14ac:dyDescent="0.25">
      <c r="A543" s="36" t="s">
        <v>205</v>
      </c>
      <c r="B543" s="7"/>
      <c r="C543" s="7"/>
      <c r="D543" s="7">
        <f t="shared" si="8"/>
        <v>0</v>
      </c>
    </row>
    <row r="544" spans="1:4" ht="18.75" hidden="1" x14ac:dyDescent="0.25">
      <c r="A544" s="36" t="s">
        <v>206</v>
      </c>
      <c r="B544" s="7"/>
      <c r="C544" s="7"/>
      <c r="D544" s="7">
        <f t="shared" si="8"/>
        <v>0</v>
      </c>
    </row>
    <row r="545" spans="1:4" ht="18.75" hidden="1" x14ac:dyDescent="0.25">
      <c r="A545" s="9" t="s">
        <v>207</v>
      </c>
      <c r="B545" s="7"/>
      <c r="C545" s="7"/>
      <c r="D545" s="7">
        <f t="shared" si="8"/>
        <v>0</v>
      </c>
    </row>
    <row r="546" spans="1:4" ht="18.75" hidden="1" x14ac:dyDescent="0.25">
      <c r="A546" s="11" t="s">
        <v>208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209</v>
      </c>
      <c r="B547" s="7"/>
      <c r="C547" s="7"/>
      <c r="D547" s="7">
        <f t="shared" si="8"/>
        <v>0</v>
      </c>
    </row>
    <row r="548" spans="1:4" ht="18.75" hidden="1" x14ac:dyDescent="0.25">
      <c r="A548" s="11" t="s">
        <v>354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210</v>
      </c>
      <c r="B549" s="7"/>
      <c r="C549" s="7"/>
      <c r="D549" s="7">
        <f t="shared" si="8"/>
        <v>0</v>
      </c>
    </row>
    <row r="550" spans="1:4" ht="18.75" hidden="1" x14ac:dyDescent="0.25">
      <c r="A550" s="9" t="s">
        <v>211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355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356</v>
      </c>
      <c r="B552" s="7"/>
      <c r="C552" s="7"/>
      <c r="D552" s="7">
        <f t="shared" si="8"/>
        <v>0</v>
      </c>
    </row>
    <row r="553" spans="1:4" ht="18.75" hidden="1" x14ac:dyDescent="0.25">
      <c r="A553" s="9" t="s">
        <v>212</v>
      </c>
      <c r="B553" s="7"/>
      <c r="C553" s="7"/>
      <c r="D553" s="7">
        <f t="shared" si="8"/>
        <v>0</v>
      </c>
    </row>
    <row r="554" spans="1:4" ht="18.75" hidden="1" x14ac:dyDescent="0.25">
      <c r="A554" s="37" t="s">
        <v>213</v>
      </c>
      <c r="B554" s="7"/>
      <c r="C554" s="7"/>
      <c r="D554" s="7">
        <f t="shared" si="8"/>
        <v>0</v>
      </c>
    </row>
    <row r="555" spans="1:4" ht="18.75" hidden="1" x14ac:dyDescent="0.25">
      <c r="A555" s="9" t="s">
        <v>214</v>
      </c>
      <c r="B555" s="7"/>
      <c r="C555" s="7"/>
      <c r="D555" s="7">
        <f t="shared" si="8"/>
        <v>0</v>
      </c>
    </row>
    <row r="556" spans="1:4" ht="18.75" x14ac:dyDescent="0.25">
      <c r="A556" s="9" t="s">
        <v>215</v>
      </c>
      <c r="B556" s="7">
        <v>300</v>
      </c>
      <c r="C556" s="7">
        <v>15000</v>
      </c>
      <c r="D556" s="7">
        <f t="shared" si="8"/>
        <v>4500000</v>
      </c>
    </row>
    <row r="557" spans="1:4" ht="18.75" hidden="1" x14ac:dyDescent="0.25">
      <c r="A557" s="9" t="s">
        <v>216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357</v>
      </c>
      <c r="B558" s="7"/>
      <c r="C558" s="7"/>
      <c r="D558" s="7">
        <f t="shared" si="8"/>
        <v>0</v>
      </c>
    </row>
    <row r="559" spans="1:4" ht="18.75" hidden="1" x14ac:dyDescent="0.25">
      <c r="A559" s="9" t="s">
        <v>217</v>
      </c>
      <c r="B559" s="7"/>
      <c r="C559" s="7"/>
      <c r="D559" s="7">
        <f t="shared" si="8"/>
        <v>0</v>
      </c>
    </row>
    <row r="560" spans="1:4" ht="18.75" hidden="1" x14ac:dyDescent="0.25">
      <c r="A560" s="17" t="s">
        <v>218</v>
      </c>
      <c r="B560" s="7"/>
      <c r="C560" s="7"/>
      <c r="D560" s="7">
        <f t="shared" si="8"/>
        <v>0</v>
      </c>
    </row>
    <row r="561" spans="1:4" ht="18.75" hidden="1" x14ac:dyDescent="0.25">
      <c r="A561" s="17" t="s">
        <v>219</v>
      </c>
      <c r="B561" s="7"/>
      <c r="C561" s="7"/>
      <c r="D561" s="7">
        <f t="shared" si="8"/>
        <v>0</v>
      </c>
    </row>
    <row r="562" spans="1:4" ht="18.75" hidden="1" x14ac:dyDescent="0.25">
      <c r="A562" s="17" t="s">
        <v>220</v>
      </c>
      <c r="B562" s="7"/>
      <c r="C562" s="7"/>
      <c r="D562" s="7">
        <f t="shared" si="8"/>
        <v>0</v>
      </c>
    </row>
    <row r="563" spans="1:4" ht="18.75" hidden="1" x14ac:dyDescent="0.25">
      <c r="A563" s="17" t="s">
        <v>221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222</v>
      </c>
      <c r="B564" s="7"/>
      <c r="C564" s="7"/>
      <c r="D564" s="7">
        <f t="shared" si="8"/>
        <v>0</v>
      </c>
    </row>
    <row r="565" spans="1:4" ht="18.75" hidden="1" x14ac:dyDescent="0.25">
      <c r="A565" s="9" t="s">
        <v>223</v>
      </c>
      <c r="B565" s="7"/>
      <c r="C565" s="7"/>
      <c r="D565" s="7">
        <f t="shared" si="8"/>
        <v>0</v>
      </c>
    </row>
    <row r="566" spans="1:4" ht="18.75" hidden="1" x14ac:dyDescent="0.25">
      <c r="A566" s="17" t="s">
        <v>224</v>
      </c>
      <c r="B566" s="7"/>
      <c r="C566" s="7"/>
      <c r="D566" s="7">
        <f t="shared" si="8"/>
        <v>0</v>
      </c>
    </row>
    <row r="567" spans="1:4" ht="18.75" hidden="1" x14ac:dyDescent="0.25">
      <c r="A567" s="17" t="s">
        <v>225</v>
      </c>
      <c r="B567" s="7"/>
      <c r="C567" s="7"/>
      <c r="D567" s="7">
        <f t="shared" si="8"/>
        <v>0</v>
      </c>
    </row>
    <row r="568" spans="1:4" ht="18.75" hidden="1" x14ac:dyDescent="0.25">
      <c r="A568" s="11" t="s">
        <v>226</v>
      </c>
      <c r="B568" s="7"/>
      <c r="C568" s="7"/>
      <c r="D568" s="7">
        <f t="shared" si="8"/>
        <v>0</v>
      </c>
    </row>
    <row r="569" spans="1:4" ht="18.75" hidden="1" x14ac:dyDescent="0.25">
      <c r="A569" s="12" t="s">
        <v>227</v>
      </c>
      <c r="B569" s="7"/>
      <c r="C569" s="7"/>
      <c r="D569" s="7">
        <f t="shared" si="8"/>
        <v>0</v>
      </c>
    </row>
    <row r="570" spans="1:4" ht="18.75" hidden="1" x14ac:dyDescent="0.25">
      <c r="A570" s="21" t="s">
        <v>358</v>
      </c>
      <c r="B570" s="7"/>
      <c r="C570" s="7"/>
      <c r="D570" s="7">
        <f t="shared" si="8"/>
        <v>0</v>
      </c>
    </row>
    <row r="571" spans="1:4" ht="18.75" hidden="1" x14ac:dyDescent="0.25">
      <c r="A571" s="21" t="s">
        <v>359</v>
      </c>
      <c r="B571" s="7"/>
      <c r="C571" s="7"/>
      <c r="D571" s="7">
        <f t="shared" si="8"/>
        <v>0</v>
      </c>
    </row>
    <row r="572" spans="1:4" ht="18.75" hidden="1" x14ac:dyDescent="0.25">
      <c r="A572" s="11" t="s">
        <v>232</v>
      </c>
      <c r="B572" s="7"/>
      <c r="C572" s="7"/>
      <c r="D572" s="7">
        <f t="shared" si="8"/>
        <v>0</v>
      </c>
    </row>
    <row r="573" spans="1:4" ht="18.75" hidden="1" x14ac:dyDescent="0.25">
      <c r="A573" s="9" t="s">
        <v>237</v>
      </c>
      <c r="B573" s="7"/>
      <c r="C573" s="7"/>
      <c r="D573" s="7">
        <f t="shared" si="8"/>
        <v>0</v>
      </c>
    </row>
    <row r="574" spans="1:4" ht="18.75" hidden="1" x14ac:dyDescent="0.25">
      <c r="A574" s="9" t="s">
        <v>238</v>
      </c>
      <c r="B574" s="7"/>
      <c r="C574" s="7"/>
      <c r="D574" s="7">
        <f t="shared" si="8"/>
        <v>0</v>
      </c>
    </row>
    <row r="575" spans="1:4" ht="18.75" hidden="1" x14ac:dyDescent="0.25">
      <c r="A575" s="13" t="s">
        <v>239</v>
      </c>
      <c r="B575" s="7"/>
      <c r="C575" s="7"/>
      <c r="D575" s="7">
        <f t="shared" si="8"/>
        <v>0</v>
      </c>
    </row>
    <row r="576" spans="1:4" ht="18.75" hidden="1" x14ac:dyDescent="0.25">
      <c r="A576" s="13" t="s">
        <v>240</v>
      </c>
      <c r="B576" s="7"/>
      <c r="C576" s="7"/>
      <c r="D576" s="7">
        <f t="shared" si="8"/>
        <v>0</v>
      </c>
    </row>
    <row r="577" spans="1:4" ht="18.75" hidden="1" x14ac:dyDescent="0.25">
      <c r="A577" s="34" t="s">
        <v>241</v>
      </c>
      <c r="B577" s="7"/>
      <c r="C577" s="7"/>
      <c r="D577" s="7">
        <f t="shared" si="8"/>
        <v>0</v>
      </c>
    </row>
    <row r="578" spans="1:4" ht="18.75" hidden="1" x14ac:dyDescent="0.25">
      <c r="A578" s="9" t="s">
        <v>242</v>
      </c>
      <c r="B578" s="7"/>
      <c r="C578" s="7"/>
      <c r="D578" s="7">
        <f t="shared" si="8"/>
        <v>0</v>
      </c>
    </row>
    <row r="579" spans="1:4" ht="18.75" hidden="1" x14ac:dyDescent="0.25">
      <c r="A579" s="9" t="s">
        <v>243</v>
      </c>
      <c r="B579" s="7"/>
      <c r="C579" s="7"/>
      <c r="D579" s="7">
        <f t="shared" si="8"/>
        <v>0</v>
      </c>
    </row>
    <row r="580" spans="1:4" ht="18.75" hidden="1" x14ac:dyDescent="0.25">
      <c r="A580" s="9" t="s">
        <v>244</v>
      </c>
      <c r="B580" s="16"/>
      <c r="C580" s="16"/>
      <c r="D580" s="7">
        <f t="shared" ref="D580:D643" si="9">B580*C580</f>
        <v>0</v>
      </c>
    </row>
    <row r="581" spans="1:4" ht="18.75" hidden="1" x14ac:dyDescent="0.25">
      <c r="A581" s="34" t="s">
        <v>245</v>
      </c>
      <c r="B581" s="7"/>
      <c r="C581" s="7"/>
      <c r="D581" s="7">
        <f t="shared" si="9"/>
        <v>0</v>
      </c>
    </row>
    <row r="582" spans="1:4" ht="18.75" hidden="1" x14ac:dyDescent="0.25">
      <c r="A582" s="9" t="s">
        <v>246</v>
      </c>
      <c r="B582" s="16"/>
      <c r="C582" s="16"/>
      <c r="D582" s="7">
        <f t="shared" si="9"/>
        <v>0</v>
      </c>
    </row>
    <row r="583" spans="1:4" ht="18.75" hidden="1" x14ac:dyDescent="0.25">
      <c r="A583" s="9" t="s">
        <v>247</v>
      </c>
      <c r="B583" s="7"/>
      <c r="C583" s="7"/>
      <c r="D583" s="7">
        <f t="shared" si="9"/>
        <v>0</v>
      </c>
    </row>
    <row r="584" spans="1:4" ht="18.75" hidden="1" x14ac:dyDescent="0.25">
      <c r="A584" s="11" t="s">
        <v>249</v>
      </c>
      <c r="B584" s="7"/>
      <c r="C584" s="7"/>
      <c r="D584" s="7">
        <f t="shared" si="9"/>
        <v>0</v>
      </c>
    </row>
    <row r="585" spans="1:4" ht="18.75" x14ac:dyDescent="0.25">
      <c r="A585" s="9" t="s">
        <v>250</v>
      </c>
      <c r="B585" s="7">
        <v>10</v>
      </c>
      <c r="C585" s="7">
        <v>21000</v>
      </c>
      <c r="D585" s="7">
        <f t="shared" si="9"/>
        <v>210000</v>
      </c>
    </row>
    <row r="586" spans="1:4" ht="18.75" hidden="1" x14ac:dyDescent="0.25">
      <c r="A586" s="9" t="s">
        <v>251</v>
      </c>
      <c r="B586" s="7"/>
      <c r="C586" s="7"/>
      <c r="D586" s="7">
        <f t="shared" si="9"/>
        <v>0</v>
      </c>
    </row>
    <row r="587" spans="1:4" ht="18.75" hidden="1" x14ac:dyDescent="0.25">
      <c r="A587" s="9" t="s">
        <v>252</v>
      </c>
      <c r="B587" s="7"/>
      <c r="C587" s="7"/>
      <c r="D587" s="7">
        <f t="shared" si="9"/>
        <v>0</v>
      </c>
    </row>
    <row r="588" spans="1:4" ht="18.75" hidden="1" x14ac:dyDescent="0.25">
      <c r="A588" s="9" t="s">
        <v>253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254</v>
      </c>
      <c r="B589" s="7"/>
      <c r="C589" s="7"/>
      <c r="D589" s="7">
        <f t="shared" si="9"/>
        <v>0</v>
      </c>
    </row>
    <row r="590" spans="1:4" ht="18.75" hidden="1" x14ac:dyDescent="0.25">
      <c r="A590" s="17" t="s">
        <v>255</v>
      </c>
      <c r="B590" s="7"/>
      <c r="C590" s="7"/>
      <c r="D590" s="7">
        <f t="shared" si="9"/>
        <v>0</v>
      </c>
    </row>
    <row r="591" spans="1:4" ht="18.75" hidden="1" x14ac:dyDescent="0.25">
      <c r="A591" s="21" t="s">
        <v>256</v>
      </c>
      <c r="B591" s="7"/>
      <c r="C591" s="7"/>
      <c r="D591" s="7">
        <f t="shared" si="9"/>
        <v>0</v>
      </c>
    </row>
    <row r="592" spans="1:4" ht="18.75" hidden="1" x14ac:dyDescent="0.25">
      <c r="A592" s="21" t="s">
        <v>257</v>
      </c>
      <c r="B592" s="7"/>
      <c r="C592" s="7"/>
      <c r="D592" s="7">
        <f t="shared" si="9"/>
        <v>0</v>
      </c>
    </row>
    <row r="593" spans="1:4" ht="18.75" x14ac:dyDescent="0.25">
      <c r="A593" s="9" t="s">
        <v>258</v>
      </c>
      <c r="B593" s="7">
        <v>20</v>
      </c>
      <c r="C593" s="7">
        <v>19000</v>
      </c>
      <c r="D593" s="7">
        <f t="shared" si="9"/>
        <v>380000</v>
      </c>
    </row>
    <row r="594" spans="1:4" ht="18.75" hidden="1" x14ac:dyDescent="0.25">
      <c r="A594" s="9" t="s">
        <v>259</v>
      </c>
      <c r="B594" s="7"/>
      <c r="C594" s="7"/>
      <c r="D594" s="7">
        <f t="shared" si="9"/>
        <v>0</v>
      </c>
    </row>
    <row r="595" spans="1:4" ht="18.75" hidden="1" x14ac:dyDescent="0.25">
      <c r="A595" s="9" t="s">
        <v>260</v>
      </c>
      <c r="B595" s="7"/>
      <c r="C595" s="7"/>
      <c r="D595" s="7">
        <f t="shared" si="9"/>
        <v>0</v>
      </c>
    </row>
    <row r="596" spans="1:4" ht="18.75" hidden="1" x14ac:dyDescent="0.25">
      <c r="A596" s="9" t="s">
        <v>261</v>
      </c>
      <c r="B596" s="7"/>
      <c r="C596" s="7"/>
      <c r="D596" s="7">
        <f t="shared" si="9"/>
        <v>0</v>
      </c>
    </row>
    <row r="597" spans="1:4" ht="18.75" x14ac:dyDescent="0.25">
      <c r="A597" s="9" t="s">
        <v>262</v>
      </c>
      <c r="B597" s="7">
        <v>20</v>
      </c>
      <c r="C597" s="7">
        <v>20000</v>
      </c>
      <c r="D597" s="7">
        <f t="shared" si="9"/>
        <v>400000</v>
      </c>
    </row>
    <row r="598" spans="1:4" ht="18.75" hidden="1" x14ac:dyDescent="0.25">
      <c r="A598" s="9" t="s">
        <v>263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264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265</v>
      </c>
      <c r="B600" s="16"/>
      <c r="C600" s="16"/>
      <c r="D600" s="7">
        <f t="shared" si="9"/>
        <v>0</v>
      </c>
    </row>
    <row r="601" spans="1:4" ht="18.75" hidden="1" x14ac:dyDescent="0.25">
      <c r="A601" s="13" t="s">
        <v>266</v>
      </c>
      <c r="B601" s="7"/>
      <c r="C601" s="7"/>
      <c r="D601" s="7">
        <f t="shared" si="9"/>
        <v>0</v>
      </c>
    </row>
    <row r="602" spans="1:4" ht="18.75" hidden="1" x14ac:dyDescent="0.25">
      <c r="A602" s="9" t="s">
        <v>267</v>
      </c>
      <c r="B602" s="7"/>
      <c r="C602" s="7"/>
      <c r="D602" s="7">
        <f t="shared" si="9"/>
        <v>0</v>
      </c>
    </row>
    <row r="603" spans="1:4" ht="18.75" hidden="1" x14ac:dyDescent="0.25">
      <c r="A603" s="11" t="s">
        <v>360</v>
      </c>
      <c r="B603" s="7"/>
      <c r="C603" s="7"/>
      <c r="D603" s="7">
        <f t="shared" si="9"/>
        <v>0</v>
      </c>
    </row>
    <row r="604" spans="1:4" ht="18.75" hidden="1" x14ac:dyDescent="0.25">
      <c r="A604" s="11" t="s">
        <v>268</v>
      </c>
      <c r="B604" s="7"/>
      <c r="C604" s="7"/>
      <c r="D604" s="7">
        <f t="shared" si="9"/>
        <v>0</v>
      </c>
    </row>
    <row r="605" spans="1:4" ht="18.75" hidden="1" x14ac:dyDescent="0.25">
      <c r="A605" s="9" t="s">
        <v>269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361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270</v>
      </c>
      <c r="B607" s="7"/>
      <c r="C607" s="7"/>
      <c r="D607" s="7">
        <f t="shared" si="9"/>
        <v>0</v>
      </c>
    </row>
    <row r="608" spans="1:4" ht="18.75" hidden="1" x14ac:dyDescent="0.25">
      <c r="A608" s="9" t="s">
        <v>362</v>
      </c>
      <c r="B608" s="7"/>
      <c r="C608" s="7"/>
      <c r="D608" s="7">
        <f t="shared" si="9"/>
        <v>0</v>
      </c>
    </row>
    <row r="609" spans="1:4" ht="18.75" hidden="1" x14ac:dyDescent="0.25">
      <c r="A609" s="9" t="s">
        <v>272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273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274</v>
      </c>
      <c r="B611" s="7"/>
      <c r="C611" s="7"/>
      <c r="D611" s="7">
        <f t="shared" si="9"/>
        <v>0</v>
      </c>
    </row>
    <row r="612" spans="1:4" ht="18.75" hidden="1" x14ac:dyDescent="0.25">
      <c r="A612" s="34" t="s">
        <v>276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277</v>
      </c>
      <c r="B613" s="7"/>
      <c r="C613" s="7"/>
      <c r="D613" s="7">
        <f t="shared" si="9"/>
        <v>0</v>
      </c>
    </row>
    <row r="614" spans="1:4" ht="18.75" hidden="1" x14ac:dyDescent="0.25">
      <c r="A614" s="34" t="s">
        <v>278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363</v>
      </c>
      <c r="B615" s="7"/>
      <c r="C615" s="7"/>
      <c r="D615" s="7">
        <f t="shared" si="9"/>
        <v>0</v>
      </c>
    </row>
    <row r="616" spans="1:4" ht="18.75" hidden="1" x14ac:dyDescent="0.25">
      <c r="A616" s="34" t="s">
        <v>279</v>
      </c>
      <c r="B616" s="7"/>
      <c r="C616" s="7"/>
      <c r="D616" s="7">
        <f t="shared" si="9"/>
        <v>0</v>
      </c>
    </row>
    <row r="617" spans="1:4" ht="18.75" hidden="1" x14ac:dyDescent="0.25">
      <c r="A617" s="12" t="s">
        <v>280</v>
      </c>
      <c r="B617" s="16"/>
      <c r="C617" s="16"/>
      <c r="D617" s="7">
        <f t="shared" si="9"/>
        <v>0</v>
      </c>
    </row>
    <row r="618" spans="1:4" ht="18.75" hidden="1" x14ac:dyDescent="0.25">
      <c r="A618" s="17" t="s">
        <v>284</v>
      </c>
      <c r="B618" s="7"/>
      <c r="C618" s="7"/>
      <c r="D618" s="7">
        <f t="shared" si="9"/>
        <v>0</v>
      </c>
    </row>
    <row r="619" spans="1:4" ht="18.75" hidden="1" x14ac:dyDescent="0.25">
      <c r="A619" s="17" t="s">
        <v>285</v>
      </c>
      <c r="B619" s="7"/>
      <c r="C619" s="7"/>
      <c r="D619" s="7">
        <f t="shared" si="9"/>
        <v>0</v>
      </c>
    </row>
    <row r="620" spans="1:4" ht="18.75" hidden="1" x14ac:dyDescent="0.25">
      <c r="A620" s="17" t="s">
        <v>286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287</v>
      </c>
      <c r="B621" s="7"/>
      <c r="C621" s="7"/>
      <c r="D621" s="7">
        <f t="shared" si="9"/>
        <v>0</v>
      </c>
    </row>
    <row r="622" spans="1:4" ht="18.75" hidden="1" x14ac:dyDescent="0.25">
      <c r="A622" s="17" t="s">
        <v>288</v>
      </c>
      <c r="B622" s="7"/>
      <c r="C622" s="7"/>
      <c r="D622" s="7">
        <f t="shared" si="9"/>
        <v>0</v>
      </c>
    </row>
    <row r="623" spans="1:4" ht="18.75" hidden="1" x14ac:dyDescent="0.25">
      <c r="A623" s="9" t="s">
        <v>289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290</v>
      </c>
      <c r="B624" s="7"/>
      <c r="C624" s="7"/>
      <c r="D624" s="7">
        <f t="shared" si="9"/>
        <v>0</v>
      </c>
    </row>
    <row r="625" spans="1:4" ht="18.75" hidden="1" x14ac:dyDescent="0.25">
      <c r="A625" s="17" t="s">
        <v>291</v>
      </c>
      <c r="B625" s="7"/>
      <c r="C625" s="7"/>
      <c r="D625" s="7">
        <f t="shared" si="9"/>
        <v>0</v>
      </c>
    </row>
    <row r="626" spans="1:4" ht="18.75" hidden="1" x14ac:dyDescent="0.25">
      <c r="A626" s="25" t="s">
        <v>292</v>
      </c>
      <c r="B626" s="7"/>
      <c r="C626" s="7"/>
      <c r="D626" s="7">
        <f t="shared" si="9"/>
        <v>0</v>
      </c>
    </row>
    <row r="627" spans="1:4" ht="18.75" hidden="1" x14ac:dyDescent="0.25">
      <c r="A627" s="9" t="s">
        <v>293</v>
      </c>
      <c r="B627" s="7"/>
      <c r="C627" s="7"/>
      <c r="D627" s="7">
        <f t="shared" si="9"/>
        <v>0</v>
      </c>
    </row>
    <row r="628" spans="1:4" ht="18.75" hidden="1" x14ac:dyDescent="0.25">
      <c r="A628" s="13" t="s">
        <v>294</v>
      </c>
      <c r="B628" s="7"/>
      <c r="C628" s="7"/>
      <c r="D628" s="7">
        <f t="shared" si="9"/>
        <v>0</v>
      </c>
    </row>
    <row r="629" spans="1:4" ht="18.75" hidden="1" x14ac:dyDescent="0.25">
      <c r="A629" s="12" t="s">
        <v>296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297</v>
      </c>
      <c r="B630" s="7"/>
      <c r="C630" s="7"/>
      <c r="D630" s="7">
        <f t="shared" si="9"/>
        <v>0</v>
      </c>
    </row>
    <row r="631" spans="1:4" ht="18.75" hidden="1" x14ac:dyDescent="0.25">
      <c r="A631" s="13" t="s">
        <v>298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299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300</v>
      </c>
      <c r="B633" s="7"/>
      <c r="C633" s="7"/>
      <c r="D633" s="7">
        <f t="shared" si="9"/>
        <v>0</v>
      </c>
    </row>
    <row r="634" spans="1:4" ht="18.75" hidden="1" x14ac:dyDescent="0.25">
      <c r="A634" s="12" t="s">
        <v>364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365</v>
      </c>
      <c r="B635" s="7"/>
      <c r="C635" s="7"/>
      <c r="D635" s="7">
        <f t="shared" si="9"/>
        <v>0</v>
      </c>
    </row>
    <row r="636" spans="1:4" ht="18.75" hidden="1" x14ac:dyDescent="0.25">
      <c r="A636" s="11" t="s">
        <v>303</v>
      </c>
      <c r="B636" s="7"/>
      <c r="C636" s="7"/>
      <c r="D636" s="7">
        <f t="shared" si="9"/>
        <v>0</v>
      </c>
    </row>
    <row r="637" spans="1:4" ht="18.75" hidden="1" x14ac:dyDescent="0.25">
      <c r="A637" s="9" t="s">
        <v>366</v>
      </c>
      <c r="B637" s="7"/>
      <c r="C637" s="7"/>
      <c r="D637" s="7">
        <f t="shared" si="9"/>
        <v>0</v>
      </c>
    </row>
    <row r="638" spans="1:4" ht="18.75" hidden="1" x14ac:dyDescent="0.25">
      <c r="A638" s="12" t="s">
        <v>304</v>
      </c>
      <c r="B638" s="7"/>
      <c r="C638" s="7"/>
      <c r="D638" s="7">
        <f t="shared" si="9"/>
        <v>0</v>
      </c>
    </row>
    <row r="639" spans="1:4" ht="18.75" hidden="1" x14ac:dyDescent="0.25">
      <c r="A639" s="12" t="s">
        <v>305</v>
      </c>
      <c r="B639" s="7"/>
      <c r="C639" s="7"/>
      <c r="D639" s="7">
        <f t="shared" si="9"/>
        <v>0</v>
      </c>
    </row>
    <row r="640" spans="1:4" ht="18.75" hidden="1" x14ac:dyDescent="0.25">
      <c r="A640" s="9" t="s">
        <v>306</v>
      </c>
      <c r="B640" s="7"/>
      <c r="C640" s="7"/>
      <c r="D640" s="7">
        <f t="shared" si="9"/>
        <v>0</v>
      </c>
    </row>
    <row r="641" spans="1:4" ht="18.75" hidden="1" x14ac:dyDescent="0.25">
      <c r="A641" s="9" t="s">
        <v>307</v>
      </c>
      <c r="B641" s="7"/>
      <c r="C641" s="7"/>
      <c r="D641" s="7">
        <f t="shared" si="9"/>
        <v>0</v>
      </c>
    </row>
    <row r="642" spans="1:4" ht="18.75" hidden="1" x14ac:dyDescent="0.25">
      <c r="A642" s="9" t="s">
        <v>308</v>
      </c>
      <c r="B642" s="7"/>
      <c r="C642" s="7"/>
      <c r="D642" s="7">
        <f t="shared" si="9"/>
        <v>0</v>
      </c>
    </row>
    <row r="643" spans="1:4" ht="18.75" hidden="1" x14ac:dyDescent="0.25">
      <c r="A643" s="13" t="s">
        <v>309</v>
      </c>
      <c r="B643" s="7"/>
      <c r="C643" s="7"/>
      <c r="D643" s="7">
        <f t="shared" si="9"/>
        <v>0</v>
      </c>
    </row>
    <row r="644" spans="1:4" ht="18.75" hidden="1" x14ac:dyDescent="0.25">
      <c r="A644" s="13" t="s">
        <v>310</v>
      </c>
      <c r="B644" s="7"/>
      <c r="C644" s="7"/>
      <c r="D644" s="7">
        <f t="shared" ref="D644:D671" si="10">B644*C644</f>
        <v>0</v>
      </c>
    </row>
    <row r="645" spans="1:4" ht="18.75" hidden="1" x14ac:dyDescent="0.25">
      <c r="A645" s="21" t="s">
        <v>311</v>
      </c>
      <c r="B645" s="7"/>
      <c r="C645" s="7"/>
      <c r="D645" s="7">
        <f t="shared" si="10"/>
        <v>0</v>
      </c>
    </row>
    <row r="646" spans="1:4" ht="18.75" hidden="1" x14ac:dyDescent="0.25">
      <c r="A646" s="13" t="s">
        <v>312</v>
      </c>
      <c r="B646" s="7"/>
      <c r="C646" s="7"/>
      <c r="D646" s="7">
        <f t="shared" si="10"/>
        <v>0</v>
      </c>
    </row>
    <row r="647" spans="1:4" ht="18.75" hidden="1" x14ac:dyDescent="0.25">
      <c r="A647" s="9" t="s">
        <v>313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314</v>
      </c>
      <c r="B648" s="7"/>
      <c r="C648" s="7"/>
      <c r="D648" s="7">
        <f t="shared" si="10"/>
        <v>0</v>
      </c>
    </row>
    <row r="649" spans="1:4" ht="18.75" hidden="1" x14ac:dyDescent="0.25">
      <c r="A649" s="9" t="s">
        <v>315</v>
      </c>
      <c r="B649" s="7"/>
      <c r="C649" s="7"/>
      <c r="D649" s="7">
        <f t="shared" si="10"/>
        <v>0</v>
      </c>
    </row>
    <row r="650" spans="1:4" ht="18.75" hidden="1" x14ac:dyDescent="0.25">
      <c r="A650" s="9" t="s">
        <v>316</v>
      </c>
      <c r="B650" s="7"/>
      <c r="C650" s="7"/>
      <c r="D650" s="7">
        <f t="shared" si="10"/>
        <v>0</v>
      </c>
    </row>
    <row r="651" spans="1:4" ht="18.75" hidden="1" x14ac:dyDescent="0.25">
      <c r="A651" s="21" t="s">
        <v>317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318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319</v>
      </c>
      <c r="B653" s="7"/>
      <c r="C653" s="7"/>
      <c r="D653" s="7">
        <f t="shared" si="10"/>
        <v>0</v>
      </c>
    </row>
    <row r="654" spans="1:4" ht="18.75" hidden="1" x14ac:dyDescent="0.25">
      <c r="A654" s="12" t="s">
        <v>320</v>
      </c>
      <c r="B654" s="7"/>
      <c r="C654" s="7"/>
      <c r="D654" s="7">
        <f t="shared" si="10"/>
        <v>0</v>
      </c>
    </row>
    <row r="655" spans="1:4" ht="18.75" hidden="1" x14ac:dyDescent="0.25">
      <c r="A655" s="9" t="s">
        <v>321</v>
      </c>
      <c r="B655" s="39"/>
      <c r="C655" s="39"/>
      <c r="D655" s="7">
        <f t="shared" si="10"/>
        <v>0</v>
      </c>
    </row>
    <row r="656" spans="1:4" ht="18.75" hidden="1" x14ac:dyDescent="0.25">
      <c r="A656" s="9" t="s">
        <v>322</v>
      </c>
      <c r="B656" s="7"/>
      <c r="C656" s="7"/>
      <c r="D656" s="7">
        <f t="shared" si="10"/>
        <v>0</v>
      </c>
    </row>
    <row r="657" spans="1:4" ht="18.75" hidden="1" x14ac:dyDescent="0.25">
      <c r="A657" s="9" t="s">
        <v>323</v>
      </c>
      <c r="B657" s="7"/>
      <c r="C657" s="7"/>
      <c r="D657" s="7">
        <f t="shared" si="10"/>
        <v>0</v>
      </c>
    </row>
    <row r="658" spans="1:4" ht="18.75" hidden="1" x14ac:dyDescent="0.25">
      <c r="A658" s="21" t="s">
        <v>324</v>
      </c>
      <c r="B658" s="7"/>
      <c r="C658" s="7"/>
      <c r="D658" s="7">
        <f t="shared" si="10"/>
        <v>0</v>
      </c>
    </row>
    <row r="659" spans="1:4" ht="18.75" hidden="1" x14ac:dyDescent="0.25">
      <c r="A659" s="21" t="s">
        <v>325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326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327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328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329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330</v>
      </c>
      <c r="B664" s="7"/>
      <c r="C664" s="7"/>
      <c r="D664" s="7">
        <f t="shared" si="10"/>
        <v>0</v>
      </c>
    </row>
    <row r="665" spans="1:4" ht="18.75" hidden="1" x14ac:dyDescent="0.25">
      <c r="A665" s="9" t="s">
        <v>331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332</v>
      </c>
      <c r="B666" s="7"/>
      <c r="C666" s="7"/>
      <c r="D666" s="7">
        <f t="shared" si="10"/>
        <v>0</v>
      </c>
    </row>
    <row r="667" spans="1:4" ht="18.75" hidden="1" x14ac:dyDescent="0.25">
      <c r="A667" s="9" t="s">
        <v>333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334</v>
      </c>
      <c r="B668" s="7"/>
      <c r="C668" s="7"/>
      <c r="D668" s="7">
        <f t="shared" si="10"/>
        <v>0</v>
      </c>
    </row>
    <row r="669" spans="1:4" ht="18.75" hidden="1" x14ac:dyDescent="0.25">
      <c r="A669" s="9" t="s">
        <v>335</v>
      </c>
      <c r="B669" s="7"/>
      <c r="C669" s="7"/>
      <c r="D669" s="7">
        <f t="shared" si="10"/>
        <v>0</v>
      </c>
    </row>
    <row r="670" spans="1:4" ht="18.75" hidden="1" x14ac:dyDescent="0.25">
      <c r="A670" s="9" t="s">
        <v>336</v>
      </c>
      <c r="B670" s="7"/>
      <c r="C670" s="7"/>
      <c r="D670" s="7">
        <f t="shared" si="10"/>
        <v>0</v>
      </c>
    </row>
    <row r="671" spans="1:4" ht="18.75" hidden="1" x14ac:dyDescent="0.25">
      <c r="A671" s="11" t="s">
        <v>338</v>
      </c>
      <c r="B671" s="7"/>
      <c r="C671" s="7"/>
      <c r="D671" s="7">
        <f t="shared" si="10"/>
        <v>0</v>
      </c>
    </row>
    <row r="672" spans="1:4" ht="18.75" x14ac:dyDescent="0.25">
      <c r="A672" s="40"/>
      <c r="B672" s="43">
        <f>SUM(B345:B671)</f>
        <v>2131</v>
      </c>
      <c r="C672" s="43"/>
      <c r="D672" s="43">
        <f t="shared" ref="D672" si="11">SUM(D345:D671)</f>
        <v>33005000</v>
      </c>
    </row>
    <row r="674" spans="4:4" x14ac:dyDescent="0.25">
      <c r="D674" s="53">
        <f>D672+D340</f>
        <v>83496000</v>
      </c>
    </row>
  </sheetData>
  <protectedRanges>
    <protectedRange password="CF71" sqref="B3:C339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03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674"/>
  <sheetViews>
    <sheetView topLeftCell="A251" workbookViewId="0">
      <selection activeCell="D674" sqref="D674"/>
    </sheetView>
  </sheetViews>
  <sheetFormatPr defaultRowHeight="15" x14ac:dyDescent="0.25"/>
  <cols>
    <col min="1" max="1" width="37.42578125" customWidth="1"/>
    <col min="3" max="3" width="14" customWidth="1"/>
    <col min="4" max="4" width="21.42578125" customWidth="1"/>
  </cols>
  <sheetData>
    <row r="1" spans="1:4" x14ac:dyDescent="0.25">
      <c r="A1" s="1" t="s">
        <v>376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x14ac:dyDescent="0.25">
      <c r="A3" s="5" t="s">
        <v>2</v>
      </c>
      <c r="B3" s="7">
        <v>7</v>
      </c>
      <c r="C3" s="7">
        <v>15000</v>
      </c>
      <c r="D3" s="7">
        <f>B3*C3</f>
        <v>105000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5" t="s">
        <v>5</v>
      </c>
      <c r="B6" s="7"/>
      <c r="C6" s="7"/>
      <c r="D6" s="7">
        <f t="shared" si="0"/>
        <v>0</v>
      </c>
    </row>
    <row r="7" spans="1:4" ht="18.75" hidden="1" x14ac:dyDescent="0.25">
      <c r="A7" s="9" t="s">
        <v>6</v>
      </c>
      <c r="B7" s="7"/>
      <c r="C7" s="7"/>
      <c r="D7" s="7">
        <f t="shared" si="0"/>
        <v>0</v>
      </c>
    </row>
    <row r="8" spans="1:4" ht="18.75" hidden="1" x14ac:dyDescent="0.25">
      <c r="A8" s="10" t="s">
        <v>7</v>
      </c>
      <c r="B8" s="7"/>
      <c r="C8" s="7"/>
      <c r="D8" s="7">
        <f t="shared" si="0"/>
        <v>0</v>
      </c>
    </row>
    <row r="9" spans="1:4" ht="18.75" hidden="1" x14ac:dyDescent="0.25">
      <c r="A9" s="5" t="s">
        <v>8</v>
      </c>
      <c r="B9" s="7"/>
      <c r="C9" s="7"/>
      <c r="D9" s="7">
        <f t="shared" si="0"/>
        <v>0</v>
      </c>
    </row>
    <row r="10" spans="1:4" ht="18.75" hidden="1" x14ac:dyDescent="0.25">
      <c r="A10" s="5" t="s">
        <v>9</v>
      </c>
      <c r="B10" s="7"/>
      <c r="C10" s="7"/>
      <c r="D10" s="7">
        <f t="shared" si="0"/>
        <v>0</v>
      </c>
    </row>
    <row r="11" spans="1:4" ht="18.75" hidden="1" x14ac:dyDescent="0.25">
      <c r="A11" s="11" t="s">
        <v>10</v>
      </c>
      <c r="B11" s="7"/>
      <c r="C11" s="7"/>
      <c r="D11" s="7">
        <f t="shared" si="0"/>
        <v>0</v>
      </c>
    </row>
    <row r="12" spans="1:4" ht="18.75" hidden="1" x14ac:dyDescent="0.25">
      <c r="A12" s="9" t="s">
        <v>11</v>
      </c>
      <c r="B12" s="7"/>
      <c r="C12" s="7"/>
      <c r="D12" s="7">
        <f t="shared" si="0"/>
        <v>0</v>
      </c>
    </row>
    <row r="13" spans="1:4" ht="18.75" hidden="1" x14ac:dyDescent="0.25">
      <c r="A13" s="9" t="s">
        <v>12</v>
      </c>
      <c r="B13" s="7"/>
      <c r="C13" s="7"/>
      <c r="D13" s="7">
        <f t="shared" si="0"/>
        <v>0</v>
      </c>
    </row>
    <row r="14" spans="1:4" ht="18.75" hidden="1" x14ac:dyDescent="0.25">
      <c r="A14" s="12" t="s">
        <v>13</v>
      </c>
      <c r="B14" s="7"/>
      <c r="C14" s="7"/>
      <c r="D14" s="7">
        <f t="shared" si="0"/>
        <v>0</v>
      </c>
    </row>
    <row r="15" spans="1:4" ht="18.75" x14ac:dyDescent="0.25">
      <c r="A15" s="12" t="s">
        <v>14</v>
      </c>
      <c r="B15" s="7">
        <v>19</v>
      </c>
      <c r="C15" s="7">
        <v>12000</v>
      </c>
      <c r="D15" s="7">
        <f t="shared" si="0"/>
        <v>228000</v>
      </c>
    </row>
    <row r="16" spans="1:4" ht="18.75" hidden="1" x14ac:dyDescent="0.25">
      <c r="A16" s="9" t="s">
        <v>15</v>
      </c>
      <c r="B16" s="7"/>
      <c r="C16" s="7"/>
      <c r="D16" s="7">
        <f t="shared" si="0"/>
        <v>0</v>
      </c>
    </row>
    <row r="17" spans="1:4" ht="23.25" hidden="1" x14ac:dyDescent="0.25">
      <c r="A17" s="9" t="s">
        <v>16</v>
      </c>
      <c r="B17" s="47"/>
      <c r="C17" s="7"/>
      <c r="D17" s="7">
        <f t="shared" si="0"/>
        <v>0</v>
      </c>
    </row>
    <row r="18" spans="1:4" ht="18.75" hidden="1" x14ac:dyDescent="0.25">
      <c r="A18" s="13" t="s">
        <v>17</v>
      </c>
      <c r="B18" s="7"/>
      <c r="C18" s="7"/>
      <c r="D18" s="7">
        <f t="shared" si="0"/>
        <v>0</v>
      </c>
    </row>
    <row r="19" spans="1:4" ht="18.75" x14ac:dyDescent="0.25">
      <c r="A19" s="11" t="s">
        <v>18</v>
      </c>
      <c r="B19" s="7">
        <v>5</v>
      </c>
      <c r="C19" s="45">
        <v>12000</v>
      </c>
      <c r="D19" s="7">
        <f t="shared" si="0"/>
        <v>60000</v>
      </c>
    </row>
    <row r="20" spans="1:4" ht="18.75" x14ac:dyDescent="0.25">
      <c r="A20" s="9" t="s">
        <v>19</v>
      </c>
      <c r="B20" s="7">
        <v>130</v>
      </c>
      <c r="C20" s="7">
        <v>12000</v>
      </c>
      <c r="D20" s="7">
        <f t="shared" si="0"/>
        <v>1560000</v>
      </c>
    </row>
    <row r="21" spans="1:4" ht="18.75" hidden="1" x14ac:dyDescent="0.25">
      <c r="A21" s="12" t="s">
        <v>20</v>
      </c>
      <c r="B21" s="7"/>
      <c r="C21" s="7"/>
      <c r="D21" s="7">
        <f t="shared" si="0"/>
        <v>0</v>
      </c>
    </row>
    <row r="22" spans="1:4" ht="18.75" hidden="1" x14ac:dyDescent="0.25">
      <c r="A22" s="12" t="s">
        <v>21</v>
      </c>
      <c r="B22" s="7"/>
      <c r="C22" s="7"/>
      <c r="D22" s="7">
        <f t="shared" si="0"/>
        <v>0</v>
      </c>
    </row>
    <row r="23" spans="1:4" ht="18.75" hidden="1" x14ac:dyDescent="0.25">
      <c r="A23" s="9" t="s">
        <v>22</v>
      </c>
      <c r="B23" s="7"/>
      <c r="C23" s="7"/>
      <c r="D23" s="7">
        <f t="shared" si="0"/>
        <v>0</v>
      </c>
    </row>
    <row r="24" spans="1:4" ht="18.75" hidden="1" x14ac:dyDescent="0.25">
      <c r="A24" s="9" t="s">
        <v>23</v>
      </c>
      <c r="B24" s="7"/>
      <c r="C24" s="7"/>
      <c r="D24" s="7">
        <f t="shared" si="0"/>
        <v>0</v>
      </c>
    </row>
    <row r="25" spans="1:4" ht="18.75" hidden="1" x14ac:dyDescent="0.25">
      <c r="A25" s="9" t="s">
        <v>24</v>
      </c>
      <c r="B25" s="7"/>
      <c r="C25" s="7"/>
      <c r="D25" s="7">
        <f t="shared" si="0"/>
        <v>0</v>
      </c>
    </row>
    <row r="26" spans="1:4" ht="18.75" hidden="1" x14ac:dyDescent="0.25">
      <c r="A26" s="9" t="s">
        <v>25</v>
      </c>
      <c r="B26" s="7"/>
      <c r="C26" s="7"/>
      <c r="D26" s="7">
        <f t="shared" si="0"/>
        <v>0</v>
      </c>
    </row>
    <row r="27" spans="1:4" ht="18.75" hidden="1" x14ac:dyDescent="0.25">
      <c r="A27" s="9" t="s">
        <v>26</v>
      </c>
      <c r="B27" s="7"/>
      <c r="C27" s="7"/>
      <c r="D27" s="7">
        <f t="shared" si="0"/>
        <v>0</v>
      </c>
    </row>
    <row r="28" spans="1:4" ht="18.75" hidden="1" x14ac:dyDescent="0.25">
      <c r="A28" s="9" t="s">
        <v>27</v>
      </c>
      <c r="B28" s="7"/>
      <c r="C28" s="7"/>
      <c r="D28" s="7">
        <f t="shared" si="0"/>
        <v>0</v>
      </c>
    </row>
    <row r="29" spans="1:4" ht="18.75" hidden="1" x14ac:dyDescent="0.25">
      <c r="A29" s="11" t="s">
        <v>28</v>
      </c>
      <c r="B29" s="16"/>
      <c r="C29" s="16"/>
      <c r="D29" s="7">
        <f t="shared" si="0"/>
        <v>0</v>
      </c>
    </row>
    <row r="30" spans="1:4" ht="18.75" x14ac:dyDescent="0.25">
      <c r="A30" s="12" t="s">
        <v>29</v>
      </c>
      <c r="B30" s="7">
        <v>20</v>
      </c>
      <c r="C30" s="7">
        <v>17500</v>
      </c>
      <c r="D30" s="7">
        <f t="shared" si="0"/>
        <v>350000</v>
      </c>
    </row>
    <row r="31" spans="1:4" ht="18.75" hidden="1" x14ac:dyDescent="0.25">
      <c r="A31" s="11" t="s">
        <v>30</v>
      </c>
      <c r="B31" s="7"/>
      <c r="C31" s="7"/>
      <c r="D31" s="7">
        <f t="shared" si="0"/>
        <v>0</v>
      </c>
    </row>
    <row r="32" spans="1:4" ht="18.75" hidden="1" x14ac:dyDescent="0.25">
      <c r="A32" s="11" t="s">
        <v>31</v>
      </c>
      <c r="B32" s="7"/>
      <c r="C32" s="7"/>
      <c r="D32" s="7">
        <f t="shared" si="0"/>
        <v>0</v>
      </c>
    </row>
    <row r="33" spans="1:4" ht="18.75" hidden="1" x14ac:dyDescent="0.25">
      <c r="A33" s="11" t="s">
        <v>32</v>
      </c>
      <c r="B33" s="7"/>
      <c r="C33" s="7"/>
      <c r="D33" s="7">
        <f t="shared" si="0"/>
        <v>0</v>
      </c>
    </row>
    <row r="34" spans="1:4" ht="18.75" hidden="1" x14ac:dyDescent="0.25">
      <c r="A34" s="12" t="s">
        <v>33</v>
      </c>
      <c r="B34" s="7"/>
      <c r="C34" s="7"/>
      <c r="D34" s="7">
        <f t="shared" si="0"/>
        <v>0</v>
      </c>
    </row>
    <row r="35" spans="1:4" ht="18.75" hidden="1" x14ac:dyDescent="0.25">
      <c r="A35" s="11" t="s">
        <v>34</v>
      </c>
      <c r="B35" s="7"/>
      <c r="C35" s="7"/>
      <c r="D35" s="7">
        <f t="shared" si="0"/>
        <v>0</v>
      </c>
    </row>
    <row r="36" spans="1:4" ht="18.75" hidden="1" x14ac:dyDescent="0.25">
      <c r="A36" s="11" t="s">
        <v>35</v>
      </c>
      <c r="B36" s="7"/>
      <c r="C36" s="7"/>
      <c r="D36" s="7">
        <f t="shared" si="0"/>
        <v>0</v>
      </c>
    </row>
    <row r="37" spans="1:4" ht="18.75" hidden="1" x14ac:dyDescent="0.25">
      <c r="A37" s="11" t="s">
        <v>36</v>
      </c>
      <c r="B37" s="7"/>
      <c r="C37" s="7"/>
      <c r="D37" s="7">
        <f t="shared" si="0"/>
        <v>0</v>
      </c>
    </row>
    <row r="38" spans="1:4" ht="18.75" hidden="1" x14ac:dyDescent="0.25">
      <c r="A38" s="12" t="s">
        <v>37</v>
      </c>
      <c r="B38" s="7"/>
      <c r="C38" s="7"/>
      <c r="D38" s="7">
        <f t="shared" si="0"/>
        <v>0</v>
      </c>
    </row>
    <row r="39" spans="1:4" ht="18.75" hidden="1" x14ac:dyDescent="0.25">
      <c r="A39" s="9" t="s">
        <v>38</v>
      </c>
      <c r="B39" s="7"/>
      <c r="C39" s="7"/>
      <c r="D39" s="7">
        <f t="shared" si="0"/>
        <v>0</v>
      </c>
    </row>
    <row r="40" spans="1:4" ht="18.75" hidden="1" x14ac:dyDescent="0.25">
      <c r="A40" s="9" t="s">
        <v>39</v>
      </c>
      <c r="B40" s="7"/>
      <c r="C40" s="7"/>
      <c r="D40" s="7">
        <f t="shared" si="0"/>
        <v>0</v>
      </c>
    </row>
    <row r="41" spans="1:4" ht="18.75" hidden="1" x14ac:dyDescent="0.25">
      <c r="A41" s="11" t="s">
        <v>40</v>
      </c>
      <c r="B41" s="16"/>
      <c r="C41" s="16"/>
      <c r="D41" s="7">
        <f t="shared" si="0"/>
        <v>0</v>
      </c>
    </row>
    <row r="42" spans="1:4" ht="18.75" hidden="1" x14ac:dyDescent="0.25">
      <c r="A42" s="9" t="s">
        <v>41</v>
      </c>
      <c r="B42" s="7"/>
      <c r="C42" s="7"/>
      <c r="D42" s="7">
        <f t="shared" si="0"/>
        <v>0</v>
      </c>
    </row>
    <row r="43" spans="1:4" ht="18.75" hidden="1" x14ac:dyDescent="0.25">
      <c r="A43" s="9" t="s">
        <v>42</v>
      </c>
      <c r="B43" s="7"/>
      <c r="C43" s="7"/>
      <c r="D43" s="7">
        <f t="shared" si="0"/>
        <v>0</v>
      </c>
    </row>
    <row r="44" spans="1:4" ht="18.75" hidden="1" x14ac:dyDescent="0.25">
      <c r="A44" s="17" t="s">
        <v>43</v>
      </c>
      <c r="B44" s="7"/>
      <c r="C44" s="7"/>
      <c r="D44" s="7">
        <f t="shared" si="0"/>
        <v>0</v>
      </c>
    </row>
    <row r="45" spans="1:4" ht="18.75" hidden="1" x14ac:dyDescent="0.25">
      <c r="A45" s="9" t="s">
        <v>44</v>
      </c>
      <c r="B45" s="7"/>
      <c r="C45" s="7"/>
      <c r="D45" s="7">
        <f t="shared" si="0"/>
        <v>0</v>
      </c>
    </row>
    <row r="46" spans="1:4" ht="18.75" hidden="1" x14ac:dyDescent="0.25">
      <c r="A46" s="9" t="s">
        <v>45</v>
      </c>
      <c r="B46" s="7"/>
      <c r="C46" s="7"/>
      <c r="D46" s="7">
        <f t="shared" si="0"/>
        <v>0</v>
      </c>
    </row>
    <row r="47" spans="1:4" ht="18.75" hidden="1" x14ac:dyDescent="0.25">
      <c r="A47" s="9" t="s">
        <v>46</v>
      </c>
      <c r="B47" s="7"/>
      <c r="C47" s="7"/>
      <c r="D47" s="7">
        <f t="shared" si="0"/>
        <v>0</v>
      </c>
    </row>
    <row r="48" spans="1:4" ht="18.75" hidden="1" x14ac:dyDescent="0.25">
      <c r="A48" s="18" t="s">
        <v>47</v>
      </c>
      <c r="B48" s="7"/>
      <c r="C48" s="7"/>
      <c r="D48" s="7">
        <f t="shared" si="0"/>
        <v>0</v>
      </c>
    </row>
    <row r="49" spans="1:4" ht="18.75" hidden="1" x14ac:dyDescent="0.25">
      <c r="A49" s="13" t="s">
        <v>48</v>
      </c>
      <c r="B49" s="7"/>
      <c r="C49" s="7"/>
      <c r="D49" s="7">
        <f t="shared" si="0"/>
        <v>0</v>
      </c>
    </row>
    <row r="50" spans="1:4" ht="18.75" hidden="1" x14ac:dyDescent="0.25">
      <c r="A50" s="11" t="s">
        <v>49</v>
      </c>
      <c r="B50" s="7"/>
      <c r="C50" s="7"/>
      <c r="D50" s="7">
        <f t="shared" si="0"/>
        <v>0</v>
      </c>
    </row>
    <row r="51" spans="1:4" ht="18.75" hidden="1" x14ac:dyDescent="0.25">
      <c r="A51" s="13" t="s">
        <v>50</v>
      </c>
      <c r="B51" s="7"/>
      <c r="C51" s="7"/>
      <c r="D51" s="7">
        <f t="shared" si="0"/>
        <v>0</v>
      </c>
    </row>
    <row r="52" spans="1:4" ht="18.75" hidden="1" x14ac:dyDescent="0.25">
      <c r="A52" s="9" t="s">
        <v>51</v>
      </c>
      <c r="B52" s="7"/>
      <c r="C52" s="7"/>
      <c r="D52" s="7">
        <f t="shared" si="0"/>
        <v>0</v>
      </c>
    </row>
    <row r="53" spans="1:4" ht="18.75" hidden="1" x14ac:dyDescent="0.25">
      <c r="A53" s="9" t="s">
        <v>52</v>
      </c>
      <c r="B53" s="7"/>
      <c r="C53" s="7"/>
      <c r="D53" s="7">
        <f t="shared" si="0"/>
        <v>0</v>
      </c>
    </row>
    <row r="54" spans="1:4" ht="18.75" x14ac:dyDescent="0.25">
      <c r="A54" s="12" t="s">
        <v>53</v>
      </c>
      <c r="B54" s="7">
        <f>-300+440+35</f>
        <v>175</v>
      </c>
      <c r="C54" s="7">
        <v>24000</v>
      </c>
      <c r="D54" s="7">
        <f t="shared" si="0"/>
        <v>4200000</v>
      </c>
    </row>
    <row r="55" spans="1:4" ht="18.75" hidden="1" x14ac:dyDescent="0.25">
      <c r="A55" s="9" t="s">
        <v>54</v>
      </c>
      <c r="B55" s="7"/>
      <c r="C55" s="7"/>
      <c r="D55" s="7">
        <f t="shared" si="0"/>
        <v>0</v>
      </c>
    </row>
    <row r="56" spans="1:4" ht="18.75" hidden="1" x14ac:dyDescent="0.25">
      <c r="A56" s="17" t="s">
        <v>55</v>
      </c>
      <c r="B56" s="7"/>
      <c r="C56" s="7"/>
      <c r="D56" s="7">
        <f t="shared" si="0"/>
        <v>0</v>
      </c>
    </row>
    <row r="57" spans="1:4" ht="18.75" x14ac:dyDescent="0.25">
      <c r="A57" s="17" t="s">
        <v>56</v>
      </c>
      <c r="B57" s="7">
        <v>10</v>
      </c>
      <c r="C57" s="7">
        <v>8100</v>
      </c>
      <c r="D57" s="7">
        <f t="shared" si="0"/>
        <v>81000</v>
      </c>
    </row>
    <row r="58" spans="1:4" ht="18.75" hidden="1" x14ac:dyDescent="0.25">
      <c r="A58" s="17" t="s">
        <v>57</v>
      </c>
      <c r="B58" s="7"/>
      <c r="C58" s="7"/>
      <c r="D58" s="7">
        <f t="shared" si="0"/>
        <v>0</v>
      </c>
    </row>
    <row r="59" spans="1:4" ht="18.75" hidden="1" x14ac:dyDescent="0.25">
      <c r="A59" s="9" t="s">
        <v>58</v>
      </c>
      <c r="B59" s="7"/>
      <c r="C59" s="7"/>
      <c r="D59" s="7">
        <f t="shared" si="0"/>
        <v>0</v>
      </c>
    </row>
    <row r="60" spans="1:4" ht="18.75" hidden="1" x14ac:dyDescent="0.25">
      <c r="A60" s="11" t="s">
        <v>59</v>
      </c>
      <c r="B60" s="7"/>
      <c r="C60" s="7"/>
      <c r="D60" s="7">
        <f t="shared" si="0"/>
        <v>0</v>
      </c>
    </row>
    <row r="61" spans="1:4" ht="18.75" hidden="1" x14ac:dyDescent="0.25">
      <c r="A61" s="9" t="s">
        <v>60</v>
      </c>
      <c r="B61" s="7"/>
      <c r="C61" s="7"/>
      <c r="D61" s="7">
        <f t="shared" si="0"/>
        <v>0</v>
      </c>
    </row>
    <row r="62" spans="1:4" ht="18.75" hidden="1" x14ac:dyDescent="0.25">
      <c r="A62" s="18" t="s">
        <v>61</v>
      </c>
      <c r="B62" s="7"/>
      <c r="C62" s="7"/>
      <c r="D62" s="7">
        <f t="shared" si="0"/>
        <v>0</v>
      </c>
    </row>
    <row r="63" spans="1:4" ht="18.75" hidden="1" x14ac:dyDescent="0.25">
      <c r="A63" s="17" t="s">
        <v>62</v>
      </c>
      <c r="B63" s="7"/>
      <c r="C63" s="7"/>
      <c r="D63" s="7">
        <f t="shared" si="0"/>
        <v>0</v>
      </c>
    </row>
    <row r="64" spans="1:4" ht="18.75" x14ac:dyDescent="0.25">
      <c r="A64" s="9" t="s">
        <v>63</v>
      </c>
      <c r="B64" s="7">
        <v>40</v>
      </c>
      <c r="C64" s="7">
        <v>22000</v>
      </c>
      <c r="D64" s="7">
        <f t="shared" si="0"/>
        <v>880000</v>
      </c>
    </row>
    <row r="65" spans="1:4" ht="18.75" hidden="1" x14ac:dyDescent="0.25">
      <c r="A65" s="19" t="s">
        <v>64</v>
      </c>
      <c r="B65" s="7"/>
      <c r="C65" s="7"/>
      <c r="D65" s="7">
        <f t="shared" si="0"/>
        <v>0</v>
      </c>
    </row>
    <row r="66" spans="1:4" ht="18.75" hidden="1" x14ac:dyDescent="0.25">
      <c r="A66" s="9" t="s">
        <v>65</v>
      </c>
      <c r="B66" s="7"/>
      <c r="C66" s="7"/>
      <c r="D66" s="7">
        <f t="shared" si="0"/>
        <v>0</v>
      </c>
    </row>
    <row r="67" spans="1:4" ht="18.75" hidden="1" x14ac:dyDescent="0.25">
      <c r="A67" s="9" t="s">
        <v>66</v>
      </c>
      <c r="B67" s="7"/>
      <c r="C67" s="7"/>
      <c r="D67" s="7">
        <f t="shared" si="0"/>
        <v>0</v>
      </c>
    </row>
    <row r="68" spans="1:4" ht="18.75" hidden="1" x14ac:dyDescent="0.25">
      <c r="A68" s="20" t="s">
        <v>67</v>
      </c>
      <c r="B68" s="7"/>
      <c r="C68" s="7"/>
      <c r="D68" s="7">
        <f t="shared" ref="D68:D131" si="1">B68*C68</f>
        <v>0</v>
      </c>
    </row>
    <row r="69" spans="1:4" ht="18.75" hidden="1" x14ac:dyDescent="0.25">
      <c r="A69" s="12" t="s">
        <v>68</v>
      </c>
      <c r="B69" s="7"/>
      <c r="C69" s="7"/>
      <c r="D69" s="7">
        <f t="shared" si="1"/>
        <v>0</v>
      </c>
    </row>
    <row r="70" spans="1:4" ht="18.75" hidden="1" x14ac:dyDescent="0.25">
      <c r="A70" s="12" t="s">
        <v>69</v>
      </c>
      <c r="B70" s="7"/>
      <c r="C70" s="7"/>
      <c r="D70" s="7">
        <f t="shared" si="1"/>
        <v>0</v>
      </c>
    </row>
    <row r="71" spans="1:4" ht="18.75" hidden="1" x14ac:dyDescent="0.25">
      <c r="A71" s="11" t="s">
        <v>70</v>
      </c>
      <c r="B71" s="7"/>
      <c r="C71" s="7"/>
      <c r="D71" s="7">
        <f t="shared" si="1"/>
        <v>0</v>
      </c>
    </row>
    <row r="72" spans="1:4" ht="18.75" hidden="1" x14ac:dyDescent="0.25">
      <c r="A72" s="12" t="s">
        <v>71</v>
      </c>
      <c r="B72" s="7"/>
      <c r="C72" s="7"/>
      <c r="D72" s="7">
        <f t="shared" si="1"/>
        <v>0</v>
      </c>
    </row>
    <row r="73" spans="1:4" ht="18.75" hidden="1" x14ac:dyDescent="0.25">
      <c r="A73" s="12" t="s">
        <v>72</v>
      </c>
      <c r="B73" s="7"/>
      <c r="C73" s="7"/>
      <c r="D73" s="7">
        <f t="shared" si="1"/>
        <v>0</v>
      </c>
    </row>
    <row r="74" spans="1:4" ht="18.75" hidden="1" x14ac:dyDescent="0.25">
      <c r="A74" s="12" t="s">
        <v>73</v>
      </c>
      <c r="B74" s="7"/>
      <c r="C74" s="7"/>
      <c r="D74" s="7">
        <f t="shared" si="1"/>
        <v>0</v>
      </c>
    </row>
    <row r="75" spans="1:4" ht="18.75" hidden="1" x14ac:dyDescent="0.25">
      <c r="A75" s="20" t="s">
        <v>74</v>
      </c>
      <c r="B75" s="7"/>
      <c r="C75" s="7"/>
      <c r="D75" s="7">
        <f t="shared" si="1"/>
        <v>0</v>
      </c>
    </row>
    <row r="76" spans="1:4" ht="18.75" hidden="1" x14ac:dyDescent="0.25">
      <c r="A76" s="9" t="s">
        <v>75</v>
      </c>
      <c r="B76" s="7"/>
      <c r="C76" s="7"/>
      <c r="D76" s="7">
        <f t="shared" si="1"/>
        <v>0</v>
      </c>
    </row>
    <row r="77" spans="1:4" ht="18.75" hidden="1" x14ac:dyDescent="0.25">
      <c r="A77" s="9" t="s">
        <v>76</v>
      </c>
      <c r="B77" s="7"/>
      <c r="C77" s="7"/>
      <c r="D77" s="7">
        <f t="shared" si="1"/>
        <v>0</v>
      </c>
    </row>
    <row r="78" spans="1:4" ht="18.75" hidden="1" x14ac:dyDescent="0.25">
      <c r="A78" s="9" t="s">
        <v>77</v>
      </c>
      <c r="B78" s="7"/>
      <c r="C78" s="7"/>
      <c r="D78" s="7">
        <f t="shared" si="1"/>
        <v>0</v>
      </c>
    </row>
    <row r="79" spans="1:4" ht="18.75" hidden="1" x14ac:dyDescent="0.25">
      <c r="A79" s="13" t="s">
        <v>78</v>
      </c>
      <c r="B79" s="7"/>
      <c r="C79" s="7"/>
      <c r="D79" s="7">
        <f t="shared" si="1"/>
        <v>0</v>
      </c>
    </row>
    <row r="80" spans="1:4" ht="18.75" hidden="1" x14ac:dyDescent="0.25">
      <c r="A80" s="9" t="s">
        <v>79</v>
      </c>
      <c r="B80" s="7"/>
      <c r="C80" s="7"/>
      <c r="D80" s="7">
        <f t="shared" si="1"/>
        <v>0</v>
      </c>
    </row>
    <row r="81" spans="1:4" ht="18.75" x14ac:dyDescent="0.25">
      <c r="A81" s="9" t="s">
        <v>80</v>
      </c>
      <c r="B81" s="7">
        <v>11</v>
      </c>
      <c r="C81" s="7">
        <v>24000</v>
      </c>
      <c r="D81" s="7">
        <f t="shared" si="1"/>
        <v>264000</v>
      </c>
    </row>
    <row r="82" spans="1:4" ht="18.75" hidden="1" x14ac:dyDescent="0.25">
      <c r="A82" s="9" t="s">
        <v>81</v>
      </c>
      <c r="B82" s="7"/>
      <c r="C82" s="7"/>
      <c r="D82" s="7">
        <f t="shared" si="1"/>
        <v>0</v>
      </c>
    </row>
    <row r="83" spans="1:4" ht="18.75" hidden="1" x14ac:dyDescent="0.25">
      <c r="A83" s="12" t="s">
        <v>82</v>
      </c>
      <c r="B83" s="16"/>
      <c r="C83" s="16"/>
      <c r="D83" s="7">
        <f t="shared" si="1"/>
        <v>0</v>
      </c>
    </row>
    <row r="84" spans="1:4" ht="18.75" hidden="1" x14ac:dyDescent="0.25">
      <c r="A84" s="12" t="s">
        <v>83</v>
      </c>
      <c r="B84" s="16"/>
      <c r="C84" s="16"/>
      <c r="D84" s="7">
        <f t="shared" si="1"/>
        <v>0</v>
      </c>
    </row>
    <row r="85" spans="1:4" ht="18.75" hidden="1" x14ac:dyDescent="0.25">
      <c r="A85" s="12" t="s">
        <v>84</v>
      </c>
      <c r="B85" s="16"/>
      <c r="C85" s="16"/>
      <c r="D85" s="7">
        <f t="shared" si="1"/>
        <v>0</v>
      </c>
    </row>
    <row r="86" spans="1:4" ht="18.75" hidden="1" x14ac:dyDescent="0.25">
      <c r="A86" s="9" t="s">
        <v>85</v>
      </c>
      <c r="B86" s="7"/>
      <c r="C86" s="7"/>
      <c r="D86" s="7">
        <f t="shared" si="1"/>
        <v>0</v>
      </c>
    </row>
    <row r="87" spans="1:4" ht="18.75" x14ac:dyDescent="0.25">
      <c r="A87" s="9" t="s">
        <v>86</v>
      </c>
      <c r="B87" s="7">
        <v>20</v>
      </c>
      <c r="C87" s="7">
        <v>27000</v>
      </c>
      <c r="D87" s="7">
        <f t="shared" si="1"/>
        <v>540000</v>
      </c>
    </row>
    <row r="88" spans="1:4" ht="18.75" hidden="1" x14ac:dyDescent="0.25">
      <c r="A88" s="9" t="s">
        <v>87</v>
      </c>
      <c r="B88" s="7"/>
      <c r="C88" s="7"/>
      <c r="D88" s="7">
        <f t="shared" si="1"/>
        <v>0</v>
      </c>
    </row>
    <row r="89" spans="1:4" ht="18.75" hidden="1" x14ac:dyDescent="0.25">
      <c r="A89" s="9" t="s">
        <v>88</v>
      </c>
      <c r="B89" s="7"/>
      <c r="C89" s="7"/>
      <c r="D89" s="7">
        <f t="shared" si="1"/>
        <v>0</v>
      </c>
    </row>
    <row r="90" spans="1:4" ht="18.75" hidden="1" x14ac:dyDescent="0.25">
      <c r="A90" s="9" t="s">
        <v>89</v>
      </c>
      <c r="B90" s="7"/>
      <c r="C90" s="7"/>
      <c r="D90" s="7">
        <f t="shared" si="1"/>
        <v>0</v>
      </c>
    </row>
    <row r="91" spans="1:4" ht="18.75" hidden="1" x14ac:dyDescent="0.25">
      <c r="A91" s="9" t="s">
        <v>90</v>
      </c>
      <c r="B91" s="7"/>
      <c r="C91" s="7"/>
      <c r="D91" s="7">
        <f t="shared" si="1"/>
        <v>0</v>
      </c>
    </row>
    <row r="92" spans="1:4" ht="18.75" hidden="1" x14ac:dyDescent="0.25">
      <c r="A92" s="21" t="s">
        <v>91</v>
      </c>
      <c r="B92" s="7"/>
      <c r="C92" s="7"/>
      <c r="D92" s="7">
        <f t="shared" si="1"/>
        <v>0</v>
      </c>
    </row>
    <row r="93" spans="1:4" ht="18.75" hidden="1" x14ac:dyDescent="0.25">
      <c r="A93" s="21" t="s">
        <v>92</v>
      </c>
      <c r="B93" s="7"/>
      <c r="C93" s="7"/>
      <c r="D93" s="7">
        <f t="shared" si="1"/>
        <v>0</v>
      </c>
    </row>
    <row r="94" spans="1:4" ht="18.75" hidden="1" x14ac:dyDescent="0.25">
      <c r="A94" s="21" t="s">
        <v>93</v>
      </c>
      <c r="B94" s="7"/>
      <c r="C94" s="7"/>
      <c r="D94" s="7">
        <f t="shared" si="1"/>
        <v>0</v>
      </c>
    </row>
    <row r="95" spans="1:4" ht="18.75" hidden="1" x14ac:dyDescent="0.25">
      <c r="A95" s="11" t="s">
        <v>94</v>
      </c>
      <c r="B95" s="7"/>
      <c r="C95" s="7"/>
      <c r="D95" s="7">
        <f t="shared" si="1"/>
        <v>0</v>
      </c>
    </row>
    <row r="96" spans="1:4" ht="18.75" hidden="1" x14ac:dyDescent="0.25">
      <c r="A96" s="13" t="s">
        <v>95</v>
      </c>
      <c r="B96" s="7"/>
      <c r="C96" s="7"/>
      <c r="D96" s="7">
        <f t="shared" si="1"/>
        <v>0</v>
      </c>
    </row>
    <row r="97" spans="1:4" ht="18.75" hidden="1" x14ac:dyDescent="0.25">
      <c r="A97" s="9" t="s">
        <v>96</v>
      </c>
      <c r="B97" s="7"/>
      <c r="C97" s="7"/>
      <c r="D97" s="7">
        <f t="shared" si="1"/>
        <v>0</v>
      </c>
    </row>
    <row r="98" spans="1:4" ht="18.75" hidden="1" x14ac:dyDescent="0.25">
      <c r="A98" s="9" t="s">
        <v>97</v>
      </c>
      <c r="B98" s="7"/>
      <c r="C98" s="7"/>
      <c r="D98" s="7">
        <f t="shared" si="1"/>
        <v>0</v>
      </c>
    </row>
    <row r="99" spans="1:4" ht="18.75" hidden="1" x14ac:dyDescent="0.25">
      <c r="A99" s="11" t="s">
        <v>98</v>
      </c>
      <c r="B99" s="7"/>
      <c r="C99" s="7"/>
      <c r="D99" s="7">
        <f t="shared" si="1"/>
        <v>0</v>
      </c>
    </row>
    <row r="100" spans="1:4" ht="18.75" hidden="1" x14ac:dyDescent="0.25">
      <c r="A100" s="9" t="s">
        <v>99</v>
      </c>
      <c r="B100" s="16"/>
      <c r="C100" s="16"/>
      <c r="D100" s="7">
        <f t="shared" si="1"/>
        <v>0</v>
      </c>
    </row>
    <row r="101" spans="1:4" ht="18.75" hidden="1" x14ac:dyDescent="0.25">
      <c r="A101" s="11" t="s">
        <v>100</v>
      </c>
      <c r="B101" s="7"/>
      <c r="C101" s="7"/>
      <c r="D101" s="7">
        <f t="shared" si="1"/>
        <v>0</v>
      </c>
    </row>
    <row r="102" spans="1:4" ht="18.75" hidden="1" x14ac:dyDescent="0.25">
      <c r="A102" s="22" t="s">
        <v>101</v>
      </c>
      <c r="B102" s="7"/>
      <c r="C102" s="7"/>
      <c r="D102" s="7">
        <f t="shared" si="1"/>
        <v>0</v>
      </c>
    </row>
    <row r="103" spans="1:4" ht="18.75" hidden="1" x14ac:dyDescent="0.25">
      <c r="A103" s="23" t="s">
        <v>102</v>
      </c>
      <c r="B103" s="7"/>
      <c r="C103" s="7"/>
      <c r="D103" s="7">
        <f t="shared" si="1"/>
        <v>0</v>
      </c>
    </row>
    <row r="104" spans="1:4" ht="18.75" hidden="1" x14ac:dyDescent="0.25">
      <c r="A104" s="24" t="s">
        <v>103</v>
      </c>
      <c r="B104" s="7"/>
      <c r="C104" s="7"/>
      <c r="D104" s="7">
        <f t="shared" si="1"/>
        <v>0</v>
      </c>
    </row>
    <row r="105" spans="1:4" ht="18.75" hidden="1" x14ac:dyDescent="0.25">
      <c r="A105" s="17" t="s">
        <v>104</v>
      </c>
      <c r="B105" s="7"/>
      <c r="C105" s="7"/>
      <c r="D105" s="7">
        <f t="shared" si="1"/>
        <v>0</v>
      </c>
    </row>
    <row r="106" spans="1:4" ht="18.75" hidden="1" x14ac:dyDescent="0.25">
      <c r="A106" s="9" t="s">
        <v>105</v>
      </c>
      <c r="B106" s="7"/>
      <c r="C106" s="7"/>
      <c r="D106" s="7">
        <f t="shared" si="1"/>
        <v>0</v>
      </c>
    </row>
    <row r="107" spans="1:4" ht="18.75" hidden="1" x14ac:dyDescent="0.25">
      <c r="A107" s="9" t="s">
        <v>106</v>
      </c>
      <c r="B107" s="7"/>
      <c r="C107" s="7"/>
      <c r="D107" s="7">
        <f t="shared" si="1"/>
        <v>0</v>
      </c>
    </row>
    <row r="108" spans="1:4" ht="18.75" hidden="1" x14ac:dyDescent="0.25">
      <c r="A108" s="11" t="s">
        <v>107</v>
      </c>
      <c r="B108" s="7"/>
      <c r="C108" s="7"/>
      <c r="D108" s="7">
        <f t="shared" si="1"/>
        <v>0</v>
      </c>
    </row>
    <row r="109" spans="1:4" ht="18.75" hidden="1" x14ac:dyDescent="0.25">
      <c r="A109" s="25" t="s">
        <v>108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109</v>
      </c>
      <c r="B110" s="7"/>
      <c r="C110" s="7"/>
      <c r="D110" s="7">
        <f t="shared" si="1"/>
        <v>0</v>
      </c>
    </row>
    <row r="111" spans="1:4" ht="18.75" hidden="1" x14ac:dyDescent="0.25">
      <c r="A111" s="9" t="s">
        <v>110</v>
      </c>
      <c r="B111" s="7"/>
      <c r="C111" s="7"/>
      <c r="D111" s="7">
        <f t="shared" si="1"/>
        <v>0</v>
      </c>
    </row>
    <row r="112" spans="1:4" ht="18.75" hidden="1" x14ac:dyDescent="0.25">
      <c r="A112" s="9" t="s">
        <v>111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112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113</v>
      </c>
      <c r="B114" s="7"/>
      <c r="C114" s="7"/>
      <c r="D114" s="7">
        <f t="shared" si="1"/>
        <v>0</v>
      </c>
    </row>
    <row r="115" spans="1:4" ht="18.75" hidden="1" x14ac:dyDescent="0.25">
      <c r="A115" s="9" t="s">
        <v>114</v>
      </c>
      <c r="B115" s="7"/>
      <c r="C115" s="7"/>
      <c r="D115" s="7">
        <f t="shared" si="1"/>
        <v>0</v>
      </c>
    </row>
    <row r="116" spans="1:4" ht="18.75" hidden="1" x14ac:dyDescent="0.25">
      <c r="A116" s="9" t="s">
        <v>115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116</v>
      </c>
      <c r="B117" s="7"/>
      <c r="C117" s="7"/>
      <c r="D117" s="7">
        <f t="shared" si="1"/>
        <v>0</v>
      </c>
    </row>
    <row r="118" spans="1:4" ht="18.75" hidden="1" x14ac:dyDescent="0.25">
      <c r="A118" s="11" t="s">
        <v>117</v>
      </c>
      <c r="B118" s="7"/>
      <c r="C118" s="7"/>
      <c r="D118" s="7">
        <f t="shared" si="1"/>
        <v>0</v>
      </c>
    </row>
    <row r="119" spans="1:4" ht="18.75" hidden="1" x14ac:dyDescent="0.25">
      <c r="A119" s="21" t="s">
        <v>118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119</v>
      </c>
      <c r="B120" s="7"/>
      <c r="C120" s="7"/>
      <c r="D120" s="7">
        <f t="shared" si="1"/>
        <v>0</v>
      </c>
    </row>
    <row r="121" spans="1:4" ht="18.75" hidden="1" x14ac:dyDescent="0.25">
      <c r="A121" s="11" t="s">
        <v>120</v>
      </c>
      <c r="B121" s="7"/>
      <c r="C121" s="7"/>
      <c r="D121" s="7">
        <f t="shared" si="1"/>
        <v>0</v>
      </c>
    </row>
    <row r="122" spans="1:4" ht="18.75" hidden="1" x14ac:dyDescent="0.25">
      <c r="A122" s="11" t="s">
        <v>121</v>
      </c>
      <c r="B122" s="7"/>
      <c r="C122" s="7"/>
      <c r="D122" s="7">
        <f t="shared" si="1"/>
        <v>0</v>
      </c>
    </row>
    <row r="123" spans="1:4" ht="18.75" hidden="1" x14ac:dyDescent="0.25">
      <c r="A123" s="9" t="s">
        <v>122</v>
      </c>
      <c r="B123" s="7"/>
      <c r="C123" s="7"/>
      <c r="D123" s="7">
        <f t="shared" si="1"/>
        <v>0</v>
      </c>
    </row>
    <row r="124" spans="1:4" ht="18.75" hidden="1" x14ac:dyDescent="0.25">
      <c r="A124" s="9" t="s">
        <v>123</v>
      </c>
      <c r="B124" s="7"/>
      <c r="C124" s="7"/>
      <c r="D124" s="7">
        <f t="shared" si="1"/>
        <v>0</v>
      </c>
    </row>
    <row r="125" spans="1:4" ht="18.75" hidden="1" x14ac:dyDescent="0.25">
      <c r="A125" s="10" t="s">
        <v>124</v>
      </c>
      <c r="B125" s="7"/>
      <c r="C125" s="7"/>
      <c r="D125" s="7">
        <f t="shared" si="1"/>
        <v>0</v>
      </c>
    </row>
    <row r="126" spans="1:4" ht="18.75" hidden="1" x14ac:dyDescent="0.25">
      <c r="A126" s="13" t="s">
        <v>125</v>
      </c>
      <c r="B126" s="7"/>
      <c r="C126" s="7"/>
      <c r="D126" s="7">
        <f t="shared" si="1"/>
        <v>0</v>
      </c>
    </row>
    <row r="127" spans="1:4" ht="18.75" hidden="1" x14ac:dyDescent="0.25">
      <c r="A127" s="12" t="s">
        <v>126</v>
      </c>
      <c r="B127" s="16"/>
      <c r="C127" s="16"/>
      <c r="D127" s="7">
        <f t="shared" si="1"/>
        <v>0</v>
      </c>
    </row>
    <row r="128" spans="1:4" ht="18.75" hidden="1" x14ac:dyDescent="0.25">
      <c r="A128" s="12" t="s">
        <v>127</v>
      </c>
      <c r="B128" s="16"/>
      <c r="C128" s="16"/>
      <c r="D128" s="7">
        <f t="shared" si="1"/>
        <v>0</v>
      </c>
    </row>
    <row r="129" spans="1:4" ht="18.75" hidden="1" x14ac:dyDescent="0.25">
      <c r="A129" s="12" t="s">
        <v>128</v>
      </c>
      <c r="B129" s="16"/>
      <c r="C129" s="16"/>
      <c r="D129" s="7">
        <f t="shared" si="1"/>
        <v>0</v>
      </c>
    </row>
    <row r="130" spans="1:4" ht="18.75" hidden="1" x14ac:dyDescent="0.25">
      <c r="A130" s="12" t="s">
        <v>129</v>
      </c>
      <c r="B130" s="27"/>
      <c r="C130" s="27"/>
      <c r="D130" s="7">
        <f t="shared" si="1"/>
        <v>0</v>
      </c>
    </row>
    <row r="131" spans="1:4" ht="18.75" hidden="1" x14ac:dyDescent="0.25">
      <c r="A131" s="28" t="s">
        <v>130</v>
      </c>
      <c r="B131" s="7"/>
      <c r="C131" s="7"/>
      <c r="D131" s="7">
        <f t="shared" si="1"/>
        <v>0</v>
      </c>
    </row>
    <row r="132" spans="1:4" ht="18.75" hidden="1" x14ac:dyDescent="0.25">
      <c r="A132" s="12" t="s">
        <v>131</v>
      </c>
      <c r="B132" s="16"/>
      <c r="C132" s="16"/>
      <c r="D132" s="7">
        <f t="shared" ref="D132:D195" si="2">B132*C132</f>
        <v>0</v>
      </c>
    </row>
    <row r="133" spans="1:4" ht="18.75" hidden="1" x14ac:dyDescent="0.25">
      <c r="A133" s="9" t="s">
        <v>132</v>
      </c>
      <c r="B133" s="7"/>
      <c r="C133" s="7"/>
      <c r="D133" s="7">
        <f t="shared" si="2"/>
        <v>0</v>
      </c>
    </row>
    <row r="134" spans="1:4" ht="18.75" hidden="1" x14ac:dyDescent="0.25">
      <c r="A134" s="9" t="s">
        <v>133</v>
      </c>
      <c r="B134" s="7"/>
      <c r="C134" s="7"/>
      <c r="D134" s="7">
        <f t="shared" si="2"/>
        <v>0</v>
      </c>
    </row>
    <row r="135" spans="1:4" ht="18.75" hidden="1" x14ac:dyDescent="0.25">
      <c r="A135" s="9" t="s">
        <v>134</v>
      </c>
      <c r="B135" s="7"/>
      <c r="C135" s="7"/>
      <c r="D135" s="7">
        <f t="shared" si="2"/>
        <v>0</v>
      </c>
    </row>
    <row r="136" spans="1:4" ht="18.75" hidden="1" x14ac:dyDescent="0.25">
      <c r="A136" s="9" t="s">
        <v>135</v>
      </c>
      <c r="B136" s="7"/>
      <c r="C136" s="7"/>
      <c r="D136" s="7">
        <f t="shared" si="2"/>
        <v>0</v>
      </c>
    </row>
    <row r="137" spans="1:4" ht="18.75" hidden="1" x14ac:dyDescent="0.25">
      <c r="A137" s="17" t="s">
        <v>136</v>
      </c>
      <c r="B137" s="7"/>
      <c r="C137" s="7"/>
      <c r="D137" s="7">
        <f t="shared" si="2"/>
        <v>0</v>
      </c>
    </row>
    <row r="138" spans="1:4" ht="18.75" hidden="1" x14ac:dyDescent="0.25">
      <c r="A138" s="12" t="s">
        <v>137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138</v>
      </c>
      <c r="B139" s="7"/>
      <c r="C139" s="7"/>
      <c r="D139" s="7">
        <f t="shared" si="2"/>
        <v>0</v>
      </c>
    </row>
    <row r="140" spans="1:4" ht="18.75" hidden="1" x14ac:dyDescent="0.25">
      <c r="A140" s="9" t="s">
        <v>139</v>
      </c>
      <c r="B140" s="7"/>
      <c r="C140" s="7"/>
      <c r="D140" s="7">
        <f t="shared" si="2"/>
        <v>0</v>
      </c>
    </row>
    <row r="141" spans="1:4" ht="18.75" hidden="1" x14ac:dyDescent="0.25">
      <c r="A141" s="9" t="s">
        <v>140</v>
      </c>
      <c r="B141" s="7"/>
      <c r="C141" s="7"/>
      <c r="D141" s="7">
        <f t="shared" si="2"/>
        <v>0</v>
      </c>
    </row>
    <row r="142" spans="1:4" ht="18.75" hidden="1" x14ac:dyDescent="0.25">
      <c r="A142" s="9" t="s">
        <v>141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142</v>
      </c>
      <c r="B143" s="16"/>
      <c r="C143" s="16"/>
      <c r="D143" s="7">
        <f t="shared" si="2"/>
        <v>0</v>
      </c>
    </row>
    <row r="144" spans="1:4" ht="18.75" hidden="1" x14ac:dyDescent="0.25">
      <c r="A144" s="9" t="s">
        <v>143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144</v>
      </c>
      <c r="B145" s="16"/>
      <c r="C145" s="16"/>
      <c r="D145" s="7">
        <f t="shared" si="2"/>
        <v>0</v>
      </c>
    </row>
    <row r="146" spans="1:4" ht="18.75" hidden="1" x14ac:dyDescent="0.25">
      <c r="A146" s="9" t="s">
        <v>145</v>
      </c>
      <c r="B146" s="16"/>
      <c r="C146" s="16"/>
      <c r="D146" s="7">
        <f t="shared" si="2"/>
        <v>0</v>
      </c>
    </row>
    <row r="147" spans="1:4" ht="18.75" hidden="1" x14ac:dyDescent="0.25">
      <c r="A147" s="9" t="s">
        <v>146</v>
      </c>
      <c r="B147" s="16"/>
      <c r="C147" s="16"/>
      <c r="D147" s="7">
        <f t="shared" si="2"/>
        <v>0</v>
      </c>
    </row>
    <row r="148" spans="1:4" ht="18.75" hidden="1" x14ac:dyDescent="0.25">
      <c r="A148" s="9" t="s">
        <v>147</v>
      </c>
      <c r="B148" s="16"/>
      <c r="C148" s="16"/>
      <c r="D148" s="7">
        <f t="shared" si="2"/>
        <v>0</v>
      </c>
    </row>
    <row r="149" spans="1:4" ht="18.75" hidden="1" x14ac:dyDescent="0.25">
      <c r="A149" s="9" t="s">
        <v>148</v>
      </c>
      <c r="B149" s="16"/>
      <c r="C149" s="16"/>
      <c r="D149" s="7">
        <f t="shared" si="2"/>
        <v>0</v>
      </c>
    </row>
    <row r="150" spans="1:4" ht="18.75" hidden="1" x14ac:dyDescent="0.25">
      <c r="A150" s="9" t="s">
        <v>149</v>
      </c>
      <c r="B150" s="16"/>
      <c r="C150" s="16"/>
      <c r="D150" s="7">
        <f t="shared" si="2"/>
        <v>0</v>
      </c>
    </row>
    <row r="151" spans="1:4" ht="18.75" hidden="1" x14ac:dyDescent="0.25">
      <c r="A151" s="9" t="s">
        <v>150</v>
      </c>
      <c r="B151" s="16"/>
      <c r="C151" s="16"/>
      <c r="D151" s="7">
        <f t="shared" si="2"/>
        <v>0</v>
      </c>
    </row>
    <row r="152" spans="1:4" ht="18.75" hidden="1" x14ac:dyDescent="0.25">
      <c r="A152" s="9" t="s">
        <v>151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152</v>
      </c>
      <c r="B153" s="7"/>
      <c r="C153" s="7"/>
      <c r="D153" s="7">
        <f t="shared" si="2"/>
        <v>0</v>
      </c>
    </row>
    <row r="154" spans="1:4" ht="18.75" hidden="1" x14ac:dyDescent="0.25">
      <c r="A154" s="9" t="s">
        <v>153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154</v>
      </c>
      <c r="B155" s="7"/>
      <c r="C155" s="7"/>
      <c r="D155" s="7">
        <f t="shared" si="2"/>
        <v>0</v>
      </c>
    </row>
    <row r="156" spans="1:4" ht="18.75" hidden="1" x14ac:dyDescent="0.25">
      <c r="A156" s="9" t="s">
        <v>155</v>
      </c>
      <c r="B156" s="7"/>
      <c r="C156" s="7"/>
      <c r="D156" s="7">
        <f t="shared" si="2"/>
        <v>0</v>
      </c>
    </row>
    <row r="157" spans="1:4" ht="18.75" hidden="1" x14ac:dyDescent="0.25">
      <c r="A157" s="17" t="s">
        <v>156</v>
      </c>
      <c r="B157" s="7"/>
      <c r="C157" s="7"/>
      <c r="D157" s="7">
        <f t="shared" si="2"/>
        <v>0</v>
      </c>
    </row>
    <row r="158" spans="1:4" ht="18.75" hidden="1" x14ac:dyDescent="0.25">
      <c r="A158" s="18" t="s">
        <v>157</v>
      </c>
      <c r="B158" s="7"/>
      <c r="C158" s="7"/>
      <c r="D158" s="7">
        <f t="shared" si="2"/>
        <v>0</v>
      </c>
    </row>
    <row r="159" spans="1:4" ht="18.75" hidden="1" x14ac:dyDescent="0.25">
      <c r="A159" s="9" t="s">
        <v>158</v>
      </c>
      <c r="B159" s="7"/>
      <c r="C159" s="7"/>
      <c r="D159" s="7">
        <f t="shared" si="2"/>
        <v>0</v>
      </c>
    </row>
    <row r="160" spans="1:4" ht="18.75" hidden="1" x14ac:dyDescent="0.25">
      <c r="A160" s="9" t="s">
        <v>159</v>
      </c>
      <c r="B160" s="7"/>
      <c r="C160" s="7"/>
      <c r="D160" s="7">
        <f t="shared" si="2"/>
        <v>0</v>
      </c>
    </row>
    <row r="161" spans="1:4" ht="18.75" hidden="1" x14ac:dyDescent="0.25">
      <c r="A161" s="9" t="s">
        <v>160</v>
      </c>
      <c r="B161" s="7"/>
      <c r="C161" s="7"/>
      <c r="D161" s="7">
        <f t="shared" si="2"/>
        <v>0</v>
      </c>
    </row>
    <row r="162" spans="1:4" ht="18.75" hidden="1" x14ac:dyDescent="0.25">
      <c r="A162" s="9" t="s">
        <v>161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162</v>
      </c>
      <c r="B163" s="16"/>
      <c r="C163" s="16"/>
      <c r="D163" s="7">
        <f t="shared" si="2"/>
        <v>0</v>
      </c>
    </row>
    <row r="164" spans="1:4" ht="18.75" hidden="1" x14ac:dyDescent="0.25">
      <c r="A164" s="9" t="s">
        <v>163</v>
      </c>
      <c r="B164" s="16"/>
      <c r="C164" s="16"/>
      <c r="D164" s="7">
        <f t="shared" si="2"/>
        <v>0</v>
      </c>
    </row>
    <row r="165" spans="1:4" ht="18.75" hidden="1" x14ac:dyDescent="0.25">
      <c r="A165" s="9" t="s">
        <v>164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165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166</v>
      </c>
      <c r="B167" s="7"/>
      <c r="C167" s="7"/>
      <c r="D167" s="7">
        <f t="shared" si="2"/>
        <v>0</v>
      </c>
    </row>
    <row r="168" spans="1:4" ht="18.75" hidden="1" x14ac:dyDescent="0.25">
      <c r="A168" s="12" t="s">
        <v>167</v>
      </c>
      <c r="B168" s="7"/>
      <c r="C168" s="7"/>
      <c r="D168" s="7">
        <f t="shared" si="2"/>
        <v>0</v>
      </c>
    </row>
    <row r="169" spans="1:4" ht="18.75" x14ac:dyDescent="0.25">
      <c r="A169" s="9" t="s">
        <v>168</v>
      </c>
      <c r="B169" s="7">
        <v>5</v>
      </c>
      <c r="C169" s="46">
        <v>7500</v>
      </c>
      <c r="D169" s="7">
        <f t="shared" si="2"/>
        <v>37500</v>
      </c>
    </row>
    <row r="170" spans="1:4" ht="18.75" hidden="1" x14ac:dyDescent="0.25">
      <c r="A170" s="30" t="s">
        <v>169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170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171</v>
      </c>
      <c r="B172" s="7"/>
      <c r="C172" s="7"/>
      <c r="D172" s="7">
        <f t="shared" si="2"/>
        <v>0</v>
      </c>
    </row>
    <row r="173" spans="1:4" ht="18.75" hidden="1" x14ac:dyDescent="0.25">
      <c r="A173" s="20" t="s">
        <v>172</v>
      </c>
      <c r="B173" s="7"/>
      <c r="C173" s="7"/>
      <c r="D173" s="7">
        <f t="shared" si="2"/>
        <v>0</v>
      </c>
    </row>
    <row r="174" spans="1:4" ht="18.75" hidden="1" x14ac:dyDescent="0.25">
      <c r="A174" s="9" t="s">
        <v>173</v>
      </c>
      <c r="B174" s="7"/>
      <c r="C174" s="7"/>
      <c r="D174" s="7">
        <f t="shared" si="2"/>
        <v>0</v>
      </c>
    </row>
    <row r="175" spans="1:4" ht="18.75" hidden="1" x14ac:dyDescent="0.25">
      <c r="A175" s="31" t="s">
        <v>174</v>
      </c>
      <c r="B175" s="33"/>
      <c r="C175" s="33"/>
      <c r="D175" s="7">
        <f t="shared" si="2"/>
        <v>0</v>
      </c>
    </row>
    <row r="176" spans="1:4" ht="18.75" hidden="1" x14ac:dyDescent="0.25">
      <c r="A176" s="11" t="s">
        <v>175</v>
      </c>
      <c r="B176" s="7"/>
      <c r="C176" s="7"/>
      <c r="D176" s="7">
        <f t="shared" si="2"/>
        <v>0</v>
      </c>
    </row>
    <row r="177" spans="1:4" ht="18.75" x14ac:dyDescent="0.25">
      <c r="A177" s="9" t="s">
        <v>176</v>
      </c>
      <c r="B177" s="7">
        <v>2</v>
      </c>
      <c r="C177" s="7">
        <v>43000</v>
      </c>
      <c r="D177" s="7">
        <f t="shared" si="2"/>
        <v>86000</v>
      </c>
    </row>
    <row r="178" spans="1:4" ht="18.75" hidden="1" x14ac:dyDescent="0.25">
      <c r="A178" s="9" t="s">
        <v>177</v>
      </c>
      <c r="B178" s="7"/>
      <c r="C178" s="7"/>
      <c r="D178" s="7">
        <f t="shared" si="2"/>
        <v>0</v>
      </c>
    </row>
    <row r="179" spans="1:4" ht="18.75" hidden="1" x14ac:dyDescent="0.25">
      <c r="A179" s="12" t="s">
        <v>178</v>
      </c>
      <c r="B179" s="7"/>
      <c r="C179" s="7"/>
      <c r="D179" s="7">
        <f t="shared" si="2"/>
        <v>0</v>
      </c>
    </row>
    <row r="180" spans="1:4" ht="18.75" hidden="1" x14ac:dyDescent="0.25">
      <c r="A180" s="9" t="s">
        <v>179</v>
      </c>
      <c r="B180" s="7"/>
      <c r="C180" s="7"/>
      <c r="D180" s="7">
        <f t="shared" si="2"/>
        <v>0</v>
      </c>
    </row>
    <row r="181" spans="1:4" ht="18.75" hidden="1" x14ac:dyDescent="0.25">
      <c r="A181" s="9" t="s">
        <v>180</v>
      </c>
      <c r="B181" s="7"/>
      <c r="C181" s="7"/>
      <c r="D181" s="7">
        <f t="shared" si="2"/>
        <v>0</v>
      </c>
    </row>
    <row r="182" spans="1:4" ht="18.75" hidden="1" x14ac:dyDescent="0.25">
      <c r="A182" s="12" t="s">
        <v>181</v>
      </c>
      <c r="B182" s="7"/>
      <c r="C182" s="7"/>
      <c r="D182" s="7">
        <f t="shared" si="2"/>
        <v>0</v>
      </c>
    </row>
    <row r="183" spans="1:4" ht="18.75" hidden="1" x14ac:dyDescent="0.25">
      <c r="A183" s="12" t="s">
        <v>182</v>
      </c>
      <c r="B183" s="7"/>
      <c r="C183" s="7"/>
      <c r="D183" s="7">
        <f t="shared" si="2"/>
        <v>0</v>
      </c>
    </row>
    <row r="184" spans="1:4" ht="18.75" x14ac:dyDescent="0.25">
      <c r="A184" s="12" t="s">
        <v>183</v>
      </c>
      <c r="B184" s="7">
        <f>-500+20+700+400+20+200+100+50</f>
        <v>990</v>
      </c>
      <c r="C184" s="7">
        <v>9000</v>
      </c>
      <c r="D184" s="7">
        <f t="shared" si="2"/>
        <v>8910000</v>
      </c>
    </row>
    <row r="185" spans="1:4" ht="18.75" hidden="1" x14ac:dyDescent="0.25">
      <c r="A185" s="9" t="s">
        <v>184</v>
      </c>
      <c r="B185" s="7"/>
      <c r="C185" s="7"/>
      <c r="D185" s="7">
        <f t="shared" si="2"/>
        <v>0</v>
      </c>
    </row>
    <row r="186" spans="1:4" ht="18.75" hidden="1" x14ac:dyDescent="0.25">
      <c r="A186" s="9" t="s">
        <v>185</v>
      </c>
      <c r="B186" s="7"/>
      <c r="C186" s="7"/>
      <c r="D186" s="7">
        <f t="shared" si="2"/>
        <v>0</v>
      </c>
    </row>
    <row r="187" spans="1:4" ht="18.75" hidden="1" x14ac:dyDescent="0.25">
      <c r="A187" s="12" t="s">
        <v>186</v>
      </c>
      <c r="B187" s="7"/>
      <c r="C187" s="7"/>
      <c r="D187" s="7">
        <f t="shared" si="2"/>
        <v>0</v>
      </c>
    </row>
    <row r="188" spans="1:4" ht="18.75" x14ac:dyDescent="0.25">
      <c r="A188" s="12" t="s">
        <v>187</v>
      </c>
      <c r="B188" s="7">
        <v>20</v>
      </c>
      <c r="C188" s="7">
        <v>20000</v>
      </c>
      <c r="D188" s="7">
        <f t="shared" si="2"/>
        <v>400000</v>
      </c>
    </row>
    <row r="189" spans="1:4" ht="18.75" hidden="1" x14ac:dyDescent="0.25">
      <c r="A189" s="12" t="s">
        <v>188</v>
      </c>
      <c r="B189" s="7"/>
      <c r="C189" s="7"/>
      <c r="D189" s="7">
        <f t="shared" si="2"/>
        <v>0</v>
      </c>
    </row>
    <row r="190" spans="1:4" ht="18.75" hidden="1" x14ac:dyDescent="0.25">
      <c r="A190" s="17" t="s">
        <v>189</v>
      </c>
      <c r="B190" s="7"/>
      <c r="C190" s="7"/>
      <c r="D190" s="7">
        <f t="shared" si="2"/>
        <v>0</v>
      </c>
    </row>
    <row r="191" spans="1:4" ht="18.75" hidden="1" x14ac:dyDescent="0.25">
      <c r="A191" s="17" t="s">
        <v>190</v>
      </c>
      <c r="B191" s="7"/>
      <c r="C191" s="7"/>
      <c r="D191" s="7">
        <f t="shared" si="2"/>
        <v>0</v>
      </c>
    </row>
    <row r="192" spans="1:4" ht="18.75" hidden="1" x14ac:dyDescent="0.25">
      <c r="A192" s="17" t="s">
        <v>191</v>
      </c>
      <c r="B192" s="7"/>
      <c r="C192" s="7"/>
      <c r="D192" s="7">
        <f t="shared" si="2"/>
        <v>0</v>
      </c>
    </row>
    <row r="193" spans="1:4" ht="18.75" hidden="1" x14ac:dyDescent="0.25">
      <c r="A193" s="17" t="s">
        <v>192</v>
      </c>
      <c r="B193" s="7"/>
      <c r="C193" s="7"/>
      <c r="D193" s="7">
        <f t="shared" si="2"/>
        <v>0</v>
      </c>
    </row>
    <row r="194" spans="1:4" ht="18.75" hidden="1" x14ac:dyDescent="0.25">
      <c r="A194" s="12" t="s">
        <v>193</v>
      </c>
      <c r="B194" s="7"/>
      <c r="C194" s="7"/>
      <c r="D194" s="7">
        <f t="shared" si="2"/>
        <v>0</v>
      </c>
    </row>
    <row r="195" spans="1:4" ht="18.75" hidden="1" x14ac:dyDescent="0.25">
      <c r="A195" s="9" t="s">
        <v>194</v>
      </c>
      <c r="B195" s="7"/>
      <c r="C195" s="7"/>
      <c r="D195" s="7">
        <f t="shared" si="2"/>
        <v>0</v>
      </c>
    </row>
    <row r="196" spans="1:4" ht="18.75" hidden="1" x14ac:dyDescent="0.25">
      <c r="A196" s="34" t="s">
        <v>195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34" t="s">
        <v>196</v>
      </c>
      <c r="B197" s="7"/>
      <c r="C197" s="7"/>
      <c r="D197" s="7">
        <f t="shared" si="3"/>
        <v>0</v>
      </c>
    </row>
    <row r="198" spans="1:4" ht="18.75" hidden="1" x14ac:dyDescent="0.25">
      <c r="A198" s="34" t="s">
        <v>197</v>
      </c>
      <c r="B198" s="7"/>
      <c r="C198" s="7"/>
      <c r="D198" s="7">
        <f t="shared" si="3"/>
        <v>0</v>
      </c>
    </row>
    <row r="199" spans="1:4" ht="18.75" hidden="1" x14ac:dyDescent="0.25">
      <c r="A199" s="34" t="s">
        <v>198</v>
      </c>
      <c r="B199" s="7"/>
      <c r="C199" s="7"/>
      <c r="D199" s="7">
        <f t="shared" si="3"/>
        <v>0</v>
      </c>
    </row>
    <row r="200" spans="1:4" ht="18.75" hidden="1" x14ac:dyDescent="0.25">
      <c r="A200" s="9" t="s">
        <v>199</v>
      </c>
      <c r="B200" s="7"/>
      <c r="C200" s="7"/>
      <c r="D200" s="7">
        <f t="shared" si="3"/>
        <v>0</v>
      </c>
    </row>
    <row r="201" spans="1:4" ht="18.75" hidden="1" x14ac:dyDescent="0.25">
      <c r="A201" s="35" t="s">
        <v>200</v>
      </c>
      <c r="B201" s="7"/>
      <c r="C201" s="7"/>
      <c r="D201" s="7">
        <f t="shared" si="3"/>
        <v>0</v>
      </c>
    </row>
    <row r="202" spans="1:4" ht="18.75" x14ac:dyDescent="0.25">
      <c r="A202" s="9" t="s">
        <v>201</v>
      </c>
      <c r="B202" s="7">
        <f>80+40+15+220</f>
        <v>355</v>
      </c>
      <c r="C202" s="7">
        <v>22000</v>
      </c>
      <c r="D202" s="7">
        <f t="shared" si="3"/>
        <v>7810000</v>
      </c>
    </row>
    <row r="203" spans="1:4" ht="18.75" x14ac:dyDescent="0.25">
      <c r="A203" s="12" t="s">
        <v>202</v>
      </c>
      <c r="B203" s="7">
        <f>30+120+140+30</f>
        <v>320</v>
      </c>
      <c r="C203" s="7">
        <v>22000</v>
      </c>
      <c r="D203" s="7">
        <f t="shared" si="3"/>
        <v>7040000</v>
      </c>
    </row>
    <row r="204" spans="1:4" ht="18.75" hidden="1" x14ac:dyDescent="0.25">
      <c r="A204" s="9" t="s">
        <v>203</v>
      </c>
      <c r="B204" s="7"/>
      <c r="C204" s="7"/>
      <c r="D204" s="7">
        <f t="shared" si="3"/>
        <v>0</v>
      </c>
    </row>
    <row r="205" spans="1:4" ht="18.75" x14ac:dyDescent="0.25">
      <c r="A205" s="9" t="s">
        <v>204</v>
      </c>
      <c r="B205" s="7">
        <f>-400+280+60+260</f>
        <v>200</v>
      </c>
      <c r="C205" s="7">
        <v>20000</v>
      </c>
      <c r="D205" s="7">
        <f t="shared" si="3"/>
        <v>4000000</v>
      </c>
    </row>
    <row r="206" spans="1:4" ht="18.75" hidden="1" x14ac:dyDescent="0.25">
      <c r="A206" s="36" t="s">
        <v>205</v>
      </c>
      <c r="B206" s="7"/>
      <c r="C206" s="7"/>
      <c r="D206" s="7">
        <f t="shared" si="3"/>
        <v>0</v>
      </c>
    </row>
    <row r="207" spans="1:4" ht="18.75" hidden="1" x14ac:dyDescent="0.25">
      <c r="A207" s="36" t="s">
        <v>206</v>
      </c>
      <c r="B207" s="7"/>
      <c r="C207" s="7"/>
      <c r="D207" s="7">
        <f t="shared" si="3"/>
        <v>0</v>
      </c>
    </row>
    <row r="208" spans="1:4" ht="18.75" hidden="1" x14ac:dyDescent="0.25">
      <c r="A208" s="9" t="s">
        <v>207</v>
      </c>
      <c r="B208" s="7"/>
      <c r="C208" s="7"/>
      <c r="D208" s="7">
        <f t="shared" si="3"/>
        <v>0</v>
      </c>
    </row>
    <row r="209" spans="1:4" ht="18.75" hidden="1" x14ac:dyDescent="0.25">
      <c r="A209" s="11" t="s">
        <v>208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209</v>
      </c>
      <c r="B210" s="7"/>
      <c r="C210" s="7"/>
      <c r="D210" s="7">
        <f t="shared" si="3"/>
        <v>0</v>
      </c>
    </row>
    <row r="211" spans="1:4" ht="18.75" x14ac:dyDescent="0.25">
      <c r="A211" s="9" t="s">
        <v>210</v>
      </c>
      <c r="B211" s="7">
        <v>25</v>
      </c>
      <c r="C211" s="7">
        <v>12000</v>
      </c>
      <c r="D211" s="7">
        <f t="shared" si="3"/>
        <v>300000</v>
      </c>
    </row>
    <row r="212" spans="1:4" ht="18.75" hidden="1" x14ac:dyDescent="0.25">
      <c r="A212" s="9" t="s">
        <v>211</v>
      </c>
      <c r="B212" s="7"/>
      <c r="C212" s="7"/>
      <c r="D212" s="7">
        <f t="shared" si="3"/>
        <v>0</v>
      </c>
    </row>
    <row r="213" spans="1:4" ht="18.75" hidden="1" x14ac:dyDescent="0.25">
      <c r="A213" s="9" t="s">
        <v>212</v>
      </c>
      <c r="B213" s="7"/>
      <c r="C213" s="7"/>
      <c r="D213" s="7">
        <f t="shared" si="3"/>
        <v>0</v>
      </c>
    </row>
    <row r="214" spans="1:4" ht="18.75" hidden="1" x14ac:dyDescent="0.25">
      <c r="A214" s="37" t="s">
        <v>213</v>
      </c>
      <c r="B214" s="7"/>
      <c r="C214" s="7"/>
      <c r="D214" s="7">
        <f t="shared" si="3"/>
        <v>0</v>
      </c>
    </row>
    <row r="215" spans="1:4" ht="18.75" hidden="1" x14ac:dyDescent="0.25">
      <c r="A215" s="9" t="s">
        <v>214</v>
      </c>
      <c r="B215" s="7"/>
      <c r="C215" s="7"/>
      <c r="D215" s="7">
        <f t="shared" si="3"/>
        <v>0</v>
      </c>
    </row>
    <row r="216" spans="1:4" ht="18.75" x14ac:dyDescent="0.25">
      <c r="A216" s="9" t="s">
        <v>215</v>
      </c>
      <c r="B216" s="7">
        <f>-300+20+10+40+15+230+40+30</f>
        <v>85</v>
      </c>
      <c r="C216" s="7">
        <v>15000</v>
      </c>
      <c r="D216" s="7">
        <f t="shared" si="3"/>
        <v>1275000</v>
      </c>
    </row>
    <row r="217" spans="1:4" ht="18.75" hidden="1" x14ac:dyDescent="0.25">
      <c r="A217" s="9" t="s">
        <v>216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217</v>
      </c>
      <c r="B218" s="7"/>
      <c r="C218" s="7"/>
      <c r="D218" s="7">
        <f t="shared" si="3"/>
        <v>0</v>
      </c>
    </row>
    <row r="219" spans="1:4" ht="18.75" hidden="1" x14ac:dyDescent="0.25">
      <c r="A219" s="17" t="s">
        <v>218</v>
      </c>
      <c r="B219" s="7"/>
      <c r="C219" s="7"/>
      <c r="D219" s="7">
        <f t="shared" si="3"/>
        <v>0</v>
      </c>
    </row>
    <row r="220" spans="1:4" ht="18.75" hidden="1" x14ac:dyDescent="0.25">
      <c r="A220" s="17" t="s">
        <v>219</v>
      </c>
      <c r="B220" s="7"/>
      <c r="C220" s="7"/>
      <c r="D220" s="7">
        <f t="shared" si="3"/>
        <v>0</v>
      </c>
    </row>
    <row r="221" spans="1:4" ht="18.75" x14ac:dyDescent="0.25">
      <c r="A221" s="17" t="s">
        <v>220</v>
      </c>
      <c r="B221" s="7">
        <v>0.5</v>
      </c>
      <c r="C221" s="7">
        <v>45000</v>
      </c>
      <c r="D221" s="7">
        <f t="shared" si="3"/>
        <v>22500</v>
      </c>
    </row>
    <row r="222" spans="1:4" ht="18.75" hidden="1" x14ac:dyDescent="0.25">
      <c r="A222" s="17" t="s">
        <v>221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222</v>
      </c>
      <c r="B223" s="7"/>
      <c r="C223" s="7"/>
      <c r="D223" s="7">
        <f t="shared" si="3"/>
        <v>0</v>
      </c>
    </row>
    <row r="224" spans="1:4" ht="18.75" hidden="1" x14ac:dyDescent="0.25">
      <c r="A224" s="9" t="s">
        <v>223</v>
      </c>
      <c r="B224" s="7"/>
      <c r="C224" s="7"/>
      <c r="D224" s="7">
        <f t="shared" si="3"/>
        <v>0</v>
      </c>
    </row>
    <row r="225" spans="1:4" ht="18.75" hidden="1" x14ac:dyDescent="0.25">
      <c r="A225" s="17" t="s">
        <v>224</v>
      </c>
      <c r="B225" s="7"/>
      <c r="C225" s="7"/>
      <c r="D225" s="7">
        <f t="shared" si="3"/>
        <v>0</v>
      </c>
    </row>
    <row r="226" spans="1:4" ht="18.75" hidden="1" x14ac:dyDescent="0.25">
      <c r="A226" s="17" t="s">
        <v>225</v>
      </c>
      <c r="B226" s="7"/>
      <c r="C226" s="7"/>
      <c r="D226" s="7">
        <f t="shared" si="3"/>
        <v>0</v>
      </c>
    </row>
    <row r="227" spans="1:4" ht="18.75" hidden="1" x14ac:dyDescent="0.25">
      <c r="A227" s="11" t="s">
        <v>226</v>
      </c>
      <c r="B227" s="7"/>
      <c r="C227" s="7"/>
      <c r="D227" s="7">
        <f t="shared" si="3"/>
        <v>0</v>
      </c>
    </row>
    <row r="228" spans="1:4" ht="18.75" hidden="1" x14ac:dyDescent="0.25">
      <c r="A228" s="12" t="s">
        <v>227</v>
      </c>
      <c r="B228" s="7"/>
      <c r="C228" s="7"/>
      <c r="D228" s="7">
        <f t="shared" si="3"/>
        <v>0</v>
      </c>
    </row>
    <row r="229" spans="1:4" ht="18.75" hidden="1" x14ac:dyDescent="0.25">
      <c r="A229" s="11" t="s">
        <v>228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229</v>
      </c>
      <c r="B230" s="7"/>
      <c r="C230" s="7"/>
      <c r="D230" s="7">
        <f t="shared" si="3"/>
        <v>0</v>
      </c>
    </row>
    <row r="231" spans="1:4" ht="18.75" hidden="1" x14ac:dyDescent="0.25">
      <c r="A231" s="11" t="s">
        <v>230</v>
      </c>
      <c r="B231" s="7"/>
      <c r="C231" s="7"/>
      <c r="D231" s="7">
        <f t="shared" si="3"/>
        <v>0</v>
      </c>
    </row>
    <row r="232" spans="1:4" ht="18.75" hidden="1" x14ac:dyDescent="0.25">
      <c r="A232" s="11" t="s">
        <v>231</v>
      </c>
      <c r="B232" s="7"/>
      <c r="C232" s="7"/>
      <c r="D232" s="7">
        <f t="shared" si="3"/>
        <v>0</v>
      </c>
    </row>
    <row r="233" spans="1:4" ht="18.75" hidden="1" x14ac:dyDescent="0.25">
      <c r="A233" s="11" t="s">
        <v>232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233</v>
      </c>
      <c r="B234" s="7"/>
      <c r="C234" s="7"/>
      <c r="D234" s="7">
        <f t="shared" si="3"/>
        <v>0</v>
      </c>
    </row>
    <row r="235" spans="1:4" ht="18.75" hidden="1" x14ac:dyDescent="0.25">
      <c r="A235" s="9" t="s">
        <v>234</v>
      </c>
      <c r="B235" s="7"/>
      <c r="C235" s="7"/>
      <c r="D235" s="7">
        <f t="shared" si="3"/>
        <v>0</v>
      </c>
    </row>
    <row r="236" spans="1:4" ht="18.75" hidden="1" x14ac:dyDescent="0.25">
      <c r="A236" s="11" t="s">
        <v>235</v>
      </c>
      <c r="B236" s="7"/>
      <c r="C236" s="7"/>
      <c r="D236" s="7">
        <f t="shared" si="3"/>
        <v>0</v>
      </c>
    </row>
    <row r="237" spans="1:4" ht="18.75" hidden="1" x14ac:dyDescent="0.25">
      <c r="A237" s="36" t="s">
        <v>236</v>
      </c>
      <c r="B237" s="7"/>
      <c r="C237" s="7"/>
      <c r="D237" s="7">
        <f t="shared" si="3"/>
        <v>0</v>
      </c>
    </row>
    <row r="238" spans="1:4" ht="18.75" hidden="1" x14ac:dyDescent="0.25">
      <c r="A238" s="9" t="s">
        <v>237</v>
      </c>
      <c r="B238" s="7"/>
      <c r="C238" s="7"/>
      <c r="D238" s="7">
        <f t="shared" si="3"/>
        <v>0</v>
      </c>
    </row>
    <row r="239" spans="1:4" ht="18.75" hidden="1" x14ac:dyDescent="0.25">
      <c r="A239" s="9" t="s">
        <v>238</v>
      </c>
      <c r="B239" s="7"/>
      <c r="C239" s="7"/>
      <c r="D239" s="7">
        <f t="shared" si="3"/>
        <v>0</v>
      </c>
    </row>
    <row r="240" spans="1:4" ht="18.75" hidden="1" x14ac:dyDescent="0.25">
      <c r="A240" s="13" t="s">
        <v>239</v>
      </c>
      <c r="B240" s="7"/>
      <c r="C240" s="7"/>
      <c r="D240" s="7">
        <f t="shared" si="3"/>
        <v>0</v>
      </c>
    </row>
    <row r="241" spans="1:4" ht="18.75" hidden="1" x14ac:dyDescent="0.25">
      <c r="A241" s="13" t="s">
        <v>240</v>
      </c>
      <c r="B241" s="7"/>
      <c r="C241" s="7"/>
      <c r="D241" s="7">
        <f t="shared" si="3"/>
        <v>0</v>
      </c>
    </row>
    <row r="242" spans="1:4" ht="18.75" hidden="1" x14ac:dyDescent="0.25">
      <c r="A242" s="34" t="s">
        <v>241</v>
      </c>
      <c r="B242" s="7"/>
      <c r="C242" s="7"/>
      <c r="D242" s="7">
        <f t="shared" si="3"/>
        <v>0</v>
      </c>
    </row>
    <row r="243" spans="1:4" ht="18.75" hidden="1" x14ac:dyDescent="0.25">
      <c r="A243" s="9" t="s">
        <v>242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243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244</v>
      </c>
      <c r="B245" s="16"/>
      <c r="C245" s="16"/>
      <c r="D245" s="7">
        <f t="shared" si="3"/>
        <v>0</v>
      </c>
    </row>
    <row r="246" spans="1:4" ht="18.75" hidden="1" x14ac:dyDescent="0.25">
      <c r="A246" s="34" t="s">
        <v>245</v>
      </c>
      <c r="B246" s="7"/>
      <c r="C246" s="7"/>
      <c r="D246" s="7">
        <f t="shared" si="3"/>
        <v>0</v>
      </c>
    </row>
    <row r="247" spans="1:4" ht="18.75" hidden="1" x14ac:dyDescent="0.25">
      <c r="A247" s="9" t="s">
        <v>246</v>
      </c>
      <c r="B247" s="16"/>
      <c r="C247" s="16"/>
      <c r="D247" s="7">
        <f t="shared" si="3"/>
        <v>0</v>
      </c>
    </row>
    <row r="248" spans="1:4" ht="18.75" hidden="1" x14ac:dyDescent="0.25">
      <c r="A248" s="9" t="s">
        <v>247</v>
      </c>
      <c r="B248" s="7"/>
      <c r="C248" s="7"/>
      <c r="D248" s="7">
        <f t="shared" si="3"/>
        <v>0</v>
      </c>
    </row>
    <row r="249" spans="1:4" ht="18.75" hidden="1" x14ac:dyDescent="0.25">
      <c r="A249" s="11" t="s">
        <v>248</v>
      </c>
      <c r="B249" s="7"/>
      <c r="C249" s="7"/>
      <c r="D249" s="7">
        <f t="shared" si="3"/>
        <v>0</v>
      </c>
    </row>
    <row r="250" spans="1:4" ht="18.75" hidden="1" x14ac:dyDescent="0.25">
      <c r="A250" s="11" t="s">
        <v>249</v>
      </c>
      <c r="B250" s="7"/>
      <c r="C250" s="7"/>
      <c r="D250" s="7">
        <f t="shared" si="3"/>
        <v>0</v>
      </c>
    </row>
    <row r="251" spans="1:4" ht="18.75" x14ac:dyDescent="0.25">
      <c r="A251" s="9" t="s">
        <v>250</v>
      </c>
      <c r="B251" s="7">
        <f>-20+25+30</f>
        <v>35</v>
      </c>
      <c r="C251" s="7">
        <v>21000</v>
      </c>
      <c r="D251" s="7">
        <f t="shared" si="3"/>
        <v>735000</v>
      </c>
    </row>
    <row r="252" spans="1:4" ht="18.75" hidden="1" x14ac:dyDescent="0.25">
      <c r="A252" s="9" t="s">
        <v>251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252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253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254</v>
      </c>
      <c r="B255" s="7"/>
      <c r="C255" s="7"/>
      <c r="D255" s="7">
        <f t="shared" si="3"/>
        <v>0</v>
      </c>
    </row>
    <row r="256" spans="1:4" ht="18.75" hidden="1" x14ac:dyDescent="0.25">
      <c r="A256" s="17" t="s">
        <v>255</v>
      </c>
      <c r="B256" s="7"/>
      <c r="C256" s="7"/>
      <c r="D256" s="7">
        <f t="shared" si="3"/>
        <v>0</v>
      </c>
    </row>
    <row r="257" spans="1:4" ht="18.75" hidden="1" x14ac:dyDescent="0.25">
      <c r="A257" s="21" t="s">
        <v>256</v>
      </c>
      <c r="B257" s="7"/>
      <c r="C257" s="7"/>
      <c r="D257" s="7">
        <f t="shared" si="3"/>
        <v>0</v>
      </c>
    </row>
    <row r="258" spans="1:4" ht="18.75" hidden="1" x14ac:dyDescent="0.25">
      <c r="A258" s="21" t="s">
        <v>257</v>
      </c>
      <c r="B258" s="7"/>
      <c r="C258" s="7"/>
      <c r="D258" s="7">
        <f t="shared" si="3"/>
        <v>0</v>
      </c>
    </row>
    <row r="259" spans="1:4" ht="18.75" x14ac:dyDescent="0.25">
      <c r="A259" s="9" t="s">
        <v>258</v>
      </c>
      <c r="B259" s="7">
        <f>-20+75+70</f>
        <v>125</v>
      </c>
      <c r="C259" s="7">
        <v>20000</v>
      </c>
      <c r="D259" s="7">
        <f t="shared" si="3"/>
        <v>2500000</v>
      </c>
    </row>
    <row r="260" spans="1:4" ht="18.75" hidden="1" x14ac:dyDescent="0.25">
      <c r="A260" s="9" t="s">
        <v>259</v>
      </c>
      <c r="B260" s="7"/>
      <c r="C260" s="7"/>
      <c r="D260" s="7">
        <f t="shared" ref="D260:D323" si="4">B260*C260</f>
        <v>0</v>
      </c>
    </row>
    <row r="261" spans="1:4" ht="18.75" hidden="1" x14ac:dyDescent="0.25">
      <c r="A261" s="9" t="s">
        <v>260</v>
      </c>
      <c r="B261" s="7"/>
      <c r="C261" s="7"/>
      <c r="D261" s="7">
        <f t="shared" si="4"/>
        <v>0</v>
      </c>
    </row>
    <row r="262" spans="1:4" ht="18.75" hidden="1" x14ac:dyDescent="0.25">
      <c r="A262" s="9" t="s">
        <v>261</v>
      </c>
      <c r="B262" s="7"/>
      <c r="C262" s="7"/>
      <c r="D262" s="7">
        <f t="shared" si="4"/>
        <v>0</v>
      </c>
    </row>
    <row r="263" spans="1:4" ht="18.75" hidden="1" x14ac:dyDescent="0.25">
      <c r="A263" s="9" t="s">
        <v>262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263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264</v>
      </c>
      <c r="B265" s="7"/>
      <c r="C265" s="7"/>
      <c r="D265" s="7">
        <f t="shared" si="4"/>
        <v>0</v>
      </c>
    </row>
    <row r="266" spans="1:4" ht="18.75" hidden="1" x14ac:dyDescent="0.25">
      <c r="A266" s="9" t="s">
        <v>265</v>
      </c>
      <c r="B266" s="16"/>
      <c r="C266" s="16"/>
      <c r="D266" s="7">
        <f t="shared" si="4"/>
        <v>0</v>
      </c>
    </row>
    <row r="267" spans="1:4" ht="18.75" hidden="1" x14ac:dyDescent="0.25">
      <c r="A267" s="13" t="s">
        <v>266</v>
      </c>
      <c r="B267" s="7"/>
      <c r="C267" s="7"/>
      <c r="D267" s="7">
        <f t="shared" si="4"/>
        <v>0</v>
      </c>
    </row>
    <row r="268" spans="1:4" ht="18.75" hidden="1" x14ac:dyDescent="0.25">
      <c r="A268" s="9" t="s">
        <v>267</v>
      </c>
      <c r="B268" s="7"/>
      <c r="C268" s="7"/>
      <c r="D268" s="7">
        <f t="shared" si="4"/>
        <v>0</v>
      </c>
    </row>
    <row r="269" spans="1:4" ht="18.75" x14ac:dyDescent="0.25">
      <c r="A269" s="11" t="s">
        <v>268</v>
      </c>
      <c r="B269" s="7">
        <v>3</v>
      </c>
      <c r="C269" s="7">
        <v>45000</v>
      </c>
      <c r="D269" s="7">
        <f t="shared" si="4"/>
        <v>135000</v>
      </c>
    </row>
    <row r="270" spans="1:4" ht="18.75" x14ac:dyDescent="0.25">
      <c r="A270" s="9" t="s">
        <v>269</v>
      </c>
      <c r="B270" s="7">
        <v>20</v>
      </c>
      <c r="C270" s="7">
        <v>14000</v>
      </c>
      <c r="D270" s="7">
        <f t="shared" si="4"/>
        <v>280000</v>
      </c>
    </row>
    <row r="271" spans="1:4" ht="18.75" hidden="1" x14ac:dyDescent="0.25">
      <c r="A271" s="9" t="s">
        <v>270</v>
      </c>
      <c r="B271" s="7"/>
      <c r="C271" s="7"/>
      <c r="D271" s="7">
        <f t="shared" si="4"/>
        <v>0</v>
      </c>
    </row>
    <row r="272" spans="1:4" ht="18.75" hidden="1" x14ac:dyDescent="0.25">
      <c r="A272" s="9" t="s">
        <v>271</v>
      </c>
      <c r="B272" s="7"/>
      <c r="C272" s="7"/>
      <c r="D272" s="7">
        <f t="shared" si="4"/>
        <v>0</v>
      </c>
    </row>
    <row r="273" spans="1:4" ht="18.75" hidden="1" x14ac:dyDescent="0.25">
      <c r="A273" s="9" t="s">
        <v>272</v>
      </c>
      <c r="B273" s="7"/>
      <c r="C273" s="7"/>
      <c r="D273" s="7">
        <f t="shared" si="4"/>
        <v>0</v>
      </c>
    </row>
    <row r="274" spans="1:4" ht="18.75" x14ac:dyDescent="0.25">
      <c r="A274" s="9" t="s">
        <v>273</v>
      </c>
      <c r="B274" s="7">
        <v>15</v>
      </c>
      <c r="C274" s="7">
        <v>18000</v>
      </c>
      <c r="D274" s="7">
        <f t="shared" si="4"/>
        <v>270000</v>
      </c>
    </row>
    <row r="275" spans="1:4" ht="18.75" hidden="1" x14ac:dyDescent="0.25">
      <c r="A275" s="9" t="s">
        <v>274</v>
      </c>
      <c r="B275" s="7"/>
      <c r="C275" s="7"/>
      <c r="D275" s="7">
        <f t="shared" si="4"/>
        <v>0</v>
      </c>
    </row>
    <row r="276" spans="1:4" ht="18.75" hidden="1" x14ac:dyDescent="0.25">
      <c r="A276" s="9" t="s">
        <v>275</v>
      </c>
      <c r="B276" s="7"/>
      <c r="C276" s="7"/>
      <c r="D276" s="7">
        <f t="shared" si="4"/>
        <v>0</v>
      </c>
    </row>
    <row r="277" spans="1:4" ht="18.75" hidden="1" x14ac:dyDescent="0.25">
      <c r="A277" s="34" t="s">
        <v>276</v>
      </c>
      <c r="B277" s="7"/>
      <c r="C277" s="7"/>
      <c r="D277" s="7">
        <f t="shared" si="4"/>
        <v>0</v>
      </c>
    </row>
    <row r="278" spans="1:4" ht="18.75" hidden="1" x14ac:dyDescent="0.25">
      <c r="A278" s="9" t="s">
        <v>277</v>
      </c>
      <c r="B278" s="7"/>
      <c r="C278" s="7"/>
      <c r="D278" s="7">
        <f t="shared" si="4"/>
        <v>0</v>
      </c>
    </row>
    <row r="279" spans="1:4" ht="18.75" hidden="1" x14ac:dyDescent="0.25">
      <c r="A279" s="34" t="s">
        <v>278</v>
      </c>
      <c r="B279" s="7"/>
      <c r="C279" s="7"/>
      <c r="D279" s="7">
        <f t="shared" si="4"/>
        <v>0</v>
      </c>
    </row>
    <row r="280" spans="1:4" ht="18.75" hidden="1" x14ac:dyDescent="0.25">
      <c r="A280" s="34" t="s">
        <v>279</v>
      </c>
      <c r="B280" s="7"/>
      <c r="C280" s="7"/>
      <c r="D280" s="7">
        <f t="shared" si="4"/>
        <v>0</v>
      </c>
    </row>
    <row r="281" spans="1:4" ht="18.75" hidden="1" x14ac:dyDescent="0.25">
      <c r="A281" s="12" t="s">
        <v>280</v>
      </c>
      <c r="B281" s="16"/>
      <c r="C281" s="16"/>
      <c r="D281" s="7">
        <f t="shared" si="4"/>
        <v>0</v>
      </c>
    </row>
    <row r="282" spans="1:4" ht="18.75" hidden="1" x14ac:dyDescent="0.25">
      <c r="A282" s="12" t="s">
        <v>281</v>
      </c>
      <c r="B282" s="7"/>
      <c r="C282" s="7"/>
      <c r="D282" s="7">
        <f t="shared" si="4"/>
        <v>0</v>
      </c>
    </row>
    <row r="283" spans="1:4" ht="18.75" hidden="1" x14ac:dyDescent="0.25">
      <c r="A283" s="11" t="s">
        <v>282</v>
      </c>
      <c r="B283" s="7"/>
      <c r="C283" s="7"/>
      <c r="D283" s="7">
        <f t="shared" si="4"/>
        <v>0</v>
      </c>
    </row>
    <row r="284" spans="1:4" ht="18.75" hidden="1" x14ac:dyDescent="0.25">
      <c r="A284" s="11" t="s">
        <v>283</v>
      </c>
      <c r="B284" s="7"/>
      <c r="C284" s="7"/>
      <c r="D284" s="7">
        <f t="shared" si="4"/>
        <v>0</v>
      </c>
    </row>
    <row r="285" spans="1:4" ht="18.75" hidden="1" x14ac:dyDescent="0.25">
      <c r="A285" s="17" t="s">
        <v>284</v>
      </c>
      <c r="B285" s="7"/>
      <c r="C285" s="7"/>
      <c r="D285" s="7">
        <f t="shared" si="4"/>
        <v>0</v>
      </c>
    </row>
    <row r="286" spans="1:4" ht="18.75" hidden="1" x14ac:dyDescent="0.25">
      <c r="A286" s="17" t="s">
        <v>285</v>
      </c>
      <c r="B286" s="7"/>
      <c r="C286" s="7"/>
      <c r="D286" s="7">
        <f t="shared" si="4"/>
        <v>0</v>
      </c>
    </row>
    <row r="287" spans="1:4" ht="18.75" hidden="1" x14ac:dyDescent="0.25">
      <c r="A287" s="17" t="s">
        <v>286</v>
      </c>
      <c r="B287" s="7"/>
      <c r="C287" s="7"/>
      <c r="D287" s="7">
        <f t="shared" si="4"/>
        <v>0</v>
      </c>
    </row>
    <row r="288" spans="1:4" ht="18.75" x14ac:dyDescent="0.25">
      <c r="A288" s="9" t="s">
        <v>287</v>
      </c>
      <c r="B288" s="7">
        <v>30</v>
      </c>
      <c r="C288" s="7">
        <v>11000</v>
      </c>
      <c r="D288" s="7">
        <f t="shared" si="4"/>
        <v>330000</v>
      </c>
    </row>
    <row r="289" spans="1:4" ht="18.75" hidden="1" x14ac:dyDescent="0.25">
      <c r="A289" s="17" t="s">
        <v>288</v>
      </c>
      <c r="B289" s="7"/>
      <c r="C289" s="7"/>
      <c r="D289" s="7">
        <f t="shared" si="4"/>
        <v>0</v>
      </c>
    </row>
    <row r="290" spans="1:4" ht="18.75" hidden="1" x14ac:dyDescent="0.25">
      <c r="A290" s="9" t="s">
        <v>289</v>
      </c>
      <c r="B290" s="7"/>
      <c r="C290" s="7"/>
      <c r="D290" s="7">
        <f t="shared" si="4"/>
        <v>0</v>
      </c>
    </row>
    <row r="291" spans="1:4" ht="18.75" hidden="1" x14ac:dyDescent="0.25">
      <c r="A291" s="9" t="s">
        <v>290</v>
      </c>
      <c r="B291" s="7"/>
      <c r="C291" s="7"/>
      <c r="D291" s="7">
        <f t="shared" si="4"/>
        <v>0</v>
      </c>
    </row>
    <row r="292" spans="1:4" ht="18.75" hidden="1" x14ac:dyDescent="0.25">
      <c r="A292" s="17" t="s">
        <v>291</v>
      </c>
      <c r="B292" s="7"/>
      <c r="C292" s="7"/>
      <c r="D292" s="7">
        <f t="shared" si="4"/>
        <v>0</v>
      </c>
    </row>
    <row r="293" spans="1:4" ht="18.75" hidden="1" x14ac:dyDescent="0.25">
      <c r="A293" s="25" t="s">
        <v>292</v>
      </c>
      <c r="B293" s="7"/>
      <c r="C293" s="7"/>
      <c r="D293" s="7">
        <f t="shared" si="4"/>
        <v>0</v>
      </c>
    </row>
    <row r="294" spans="1:4" ht="18.75" hidden="1" x14ac:dyDescent="0.25">
      <c r="A294" s="9" t="s">
        <v>293</v>
      </c>
      <c r="B294" s="7"/>
      <c r="C294" s="7"/>
      <c r="D294" s="7">
        <f t="shared" si="4"/>
        <v>0</v>
      </c>
    </row>
    <row r="295" spans="1:4" ht="18.75" hidden="1" x14ac:dyDescent="0.25">
      <c r="A295" s="13" t="s">
        <v>294</v>
      </c>
      <c r="B295" s="7"/>
      <c r="C295" s="7"/>
      <c r="D295" s="7">
        <f t="shared" si="4"/>
        <v>0</v>
      </c>
    </row>
    <row r="296" spans="1:4" ht="18.75" hidden="1" x14ac:dyDescent="0.25">
      <c r="A296" s="13" t="s">
        <v>295</v>
      </c>
      <c r="B296" s="7"/>
      <c r="C296" s="7"/>
      <c r="D296" s="7">
        <f t="shared" si="4"/>
        <v>0</v>
      </c>
    </row>
    <row r="297" spans="1:4" ht="18.75" hidden="1" x14ac:dyDescent="0.25">
      <c r="A297" s="12" t="s">
        <v>296</v>
      </c>
      <c r="B297" s="7"/>
      <c r="C297" s="7"/>
      <c r="D297" s="7">
        <f t="shared" si="4"/>
        <v>0</v>
      </c>
    </row>
    <row r="298" spans="1:4" ht="18.75" hidden="1" x14ac:dyDescent="0.25">
      <c r="A298" s="17" t="s">
        <v>297</v>
      </c>
      <c r="B298" s="7"/>
      <c r="C298" s="7"/>
      <c r="D298" s="7">
        <f t="shared" si="4"/>
        <v>0</v>
      </c>
    </row>
    <row r="299" spans="1:4" ht="18.75" hidden="1" x14ac:dyDescent="0.25">
      <c r="A299" s="13" t="s">
        <v>298</v>
      </c>
      <c r="B299" s="7"/>
      <c r="C299" s="7"/>
      <c r="D299" s="7">
        <f t="shared" si="4"/>
        <v>0</v>
      </c>
    </row>
    <row r="300" spans="1:4" ht="18.75" hidden="1" x14ac:dyDescent="0.25">
      <c r="A300" s="9" t="s">
        <v>299</v>
      </c>
      <c r="B300" s="7"/>
      <c r="C300" s="7"/>
      <c r="D300" s="7">
        <f t="shared" si="4"/>
        <v>0</v>
      </c>
    </row>
    <row r="301" spans="1:4" ht="18.75" hidden="1" x14ac:dyDescent="0.25">
      <c r="A301" s="17" t="s">
        <v>300</v>
      </c>
      <c r="B301" s="7"/>
      <c r="C301" s="7"/>
      <c r="D301" s="7">
        <f t="shared" si="4"/>
        <v>0</v>
      </c>
    </row>
    <row r="302" spans="1:4" ht="18.75" hidden="1" x14ac:dyDescent="0.25">
      <c r="A302" s="9" t="s">
        <v>301</v>
      </c>
      <c r="B302" s="7"/>
      <c r="C302" s="7"/>
      <c r="D302" s="7">
        <f t="shared" si="4"/>
        <v>0</v>
      </c>
    </row>
    <row r="303" spans="1:4" ht="18.75" hidden="1" x14ac:dyDescent="0.25">
      <c r="A303" s="9" t="s">
        <v>302</v>
      </c>
      <c r="B303" s="7"/>
      <c r="C303" s="7"/>
      <c r="D303" s="7">
        <f t="shared" si="4"/>
        <v>0</v>
      </c>
    </row>
    <row r="304" spans="1:4" ht="18.75" hidden="1" x14ac:dyDescent="0.25">
      <c r="A304" s="11" t="s">
        <v>303</v>
      </c>
      <c r="B304" s="7"/>
      <c r="C304" s="7"/>
      <c r="D304" s="7">
        <f t="shared" si="4"/>
        <v>0</v>
      </c>
    </row>
    <row r="305" spans="1:4" ht="18.75" hidden="1" x14ac:dyDescent="0.25">
      <c r="A305" s="12" t="s">
        <v>304</v>
      </c>
      <c r="B305" s="7"/>
      <c r="C305" s="7"/>
      <c r="D305" s="7">
        <f t="shared" si="4"/>
        <v>0</v>
      </c>
    </row>
    <row r="306" spans="1:4" ht="18.75" hidden="1" x14ac:dyDescent="0.25">
      <c r="A306" s="12" t="s">
        <v>305</v>
      </c>
      <c r="B306" s="7"/>
      <c r="C306" s="7"/>
      <c r="D306" s="7">
        <f t="shared" si="4"/>
        <v>0</v>
      </c>
    </row>
    <row r="307" spans="1:4" ht="18.75" hidden="1" x14ac:dyDescent="0.25">
      <c r="A307" s="9" t="s">
        <v>306</v>
      </c>
      <c r="B307" s="7"/>
      <c r="C307" s="7"/>
      <c r="D307" s="7">
        <f t="shared" si="4"/>
        <v>0</v>
      </c>
    </row>
    <row r="308" spans="1:4" ht="18.75" hidden="1" x14ac:dyDescent="0.25">
      <c r="A308" s="9" t="s">
        <v>307</v>
      </c>
      <c r="B308" s="7"/>
      <c r="C308" s="7"/>
      <c r="D308" s="7">
        <f t="shared" si="4"/>
        <v>0</v>
      </c>
    </row>
    <row r="309" spans="1:4" ht="18.75" hidden="1" x14ac:dyDescent="0.25">
      <c r="A309" s="9" t="s">
        <v>308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309</v>
      </c>
      <c r="B310" s="7"/>
      <c r="C310" s="7"/>
      <c r="D310" s="7">
        <f t="shared" si="4"/>
        <v>0</v>
      </c>
    </row>
    <row r="311" spans="1:4" ht="18.75" hidden="1" x14ac:dyDescent="0.25">
      <c r="A311" s="13" t="s">
        <v>310</v>
      </c>
      <c r="B311" s="7"/>
      <c r="C311" s="7"/>
      <c r="D311" s="7">
        <f t="shared" si="4"/>
        <v>0</v>
      </c>
    </row>
    <row r="312" spans="1:4" ht="18.75" hidden="1" x14ac:dyDescent="0.25">
      <c r="A312" s="21" t="s">
        <v>311</v>
      </c>
      <c r="B312" s="7"/>
      <c r="C312" s="7"/>
      <c r="D312" s="7">
        <f t="shared" si="4"/>
        <v>0</v>
      </c>
    </row>
    <row r="313" spans="1:4" ht="18.75" hidden="1" x14ac:dyDescent="0.25">
      <c r="A313" s="13" t="s">
        <v>312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313</v>
      </c>
      <c r="B314" s="7"/>
      <c r="C314" s="7"/>
      <c r="D314" s="7">
        <f t="shared" si="4"/>
        <v>0</v>
      </c>
    </row>
    <row r="315" spans="1:4" ht="18.75" hidden="1" x14ac:dyDescent="0.25">
      <c r="A315" s="9" t="s">
        <v>314</v>
      </c>
      <c r="B315" s="7"/>
      <c r="C315" s="7"/>
      <c r="D315" s="7">
        <f t="shared" si="4"/>
        <v>0</v>
      </c>
    </row>
    <row r="316" spans="1:4" ht="18.75" hidden="1" x14ac:dyDescent="0.25">
      <c r="A316" s="9" t="s">
        <v>315</v>
      </c>
      <c r="B316" s="7"/>
      <c r="C316" s="7"/>
      <c r="D316" s="7">
        <f t="shared" si="4"/>
        <v>0</v>
      </c>
    </row>
    <row r="317" spans="1:4" ht="18.75" hidden="1" x14ac:dyDescent="0.25">
      <c r="A317" s="9" t="s">
        <v>316</v>
      </c>
      <c r="B317" s="7"/>
      <c r="C317" s="7"/>
      <c r="D317" s="7">
        <f t="shared" si="4"/>
        <v>0</v>
      </c>
    </row>
    <row r="318" spans="1:4" ht="18.75" hidden="1" x14ac:dyDescent="0.25">
      <c r="A318" s="21" t="s">
        <v>317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318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319</v>
      </c>
      <c r="B320" s="7"/>
      <c r="C320" s="7"/>
      <c r="D320" s="7">
        <f t="shared" si="4"/>
        <v>0</v>
      </c>
    </row>
    <row r="321" spans="1:4" ht="18.75" hidden="1" x14ac:dyDescent="0.25">
      <c r="A321" s="12" t="s">
        <v>320</v>
      </c>
      <c r="B321" s="7"/>
      <c r="C321" s="7"/>
      <c r="D321" s="7">
        <f t="shared" si="4"/>
        <v>0</v>
      </c>
    </row>
    <row r="322" spans="1:4" ht="18.75" hidden="1" x14ac:dyDescent="0.25">
      <c r="A322" s="9" t="s">
        <v>321</v>
      </c>
      <c r="B322" s="39"/>
      <c r="C322" s="39"/>
      <c r="D322" s="7">
        <f t="shared" si="4"/>
        <v>0</v>
      </c>
    </row>
    <row r="323" spans="1:4" ht="18.75" hidden="1" x14ac:dyDescent="0.25">
      <c r="A323" s="9" t="s">
        <v>322</v>
      </c>
      <c r="B323" s="7"/>
      <c r="C323" s="7"/>
      <c r="D323" s="7">
        <f t="shared" si="4"/>
        <v>0</v>
      </c>
    </row>
    <row r="324" spans="1:4" ht="18.75" hidden="1" x14ac:dyDescent="0.25">
      <c r="A324" s="9" t="s">
        <v>323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21" t="s">
        <v>324</v>
      </c>
      <c r="B325" s="7"/>
      <c r="C325" s="7"/>
      <c r="D325" s="7">
        <f t="shared" si="5"/>
        <v>0</v>
      </c>
    </row>
    <row r="326" spans="1:4" ht="18.75" hidden="1" x14ac:dyDescent="0.25">
      <c r="A326" s="21" t="s">
        <v>325</v>
      </c>
      <c r="B326" s="7"/>
      <c r="C326" s="7"/>
      <c r="D326" s="7">
        <f t="shared" si="5"/>
        <v>0</v>
      </c>
    </row>
    <row r="327" spans="1:4" ht="18.75" x14ac:dyDescent="0.25">
      <c r="A327" s="9" t="s">
        <v>326</v>
      </c>
      <c r="B327" s="7">
        <v>10</v>
      </c>
      <c r="C327" s="7">
        <v>30000</v>
      </c>
      <c r="D327" s="7">
        <f t="shared" si="5"/>
        <v>300000</v>
      </c>
    </row>
    <row r="328" spans="1:4" ht="18.75" hidden="1" x14ac:dyDescent="0.25">
      <c r="A328" s="9" t="s">
        <v>327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328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329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330</v>
      </c>
      <c r="B331" s="7"/>
      <c r="C331" s="7"/>
      <c r="D331" s="7">
        <f t="shared" si="5"/>
        <v>0</v>
      </c>
    </row>
    <row r="332" spans="1:4" ht="18.75" hidden="1" x14ac:dyDescent="0.25">
      <c r="A332" s="9" t="s">
        <v>331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332</v>
      </c>
      <c r="B333" s="7"/>
      <c r="C333" s="7"/>
      <c r="D333" s="7">
        <f t="shared" si="5"/>
        <v>0</v>
      </c>
    </row>
    <row r="334" spans="1:4" ht="18.75" hidden="1" x14ac:dyDescent="0.25">
      <c r="A334" s="9" t="s">
        <v>333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334</v>
      </c>
      <c r="B335" s="7"/>
      <c r="C335" s="7"/>
      <c r="D335" s="7">
        <f t="shared" si="5"/>
        <v>0</v>
      </c>
    </row>
    <row r="336" spans="1:4" ht="18.75" hidden="1" x14ac:dyDescent="0.25">
      <c r="A336" s="9" t="s">
        <v>335</v>
      </c>
      <c r="B336" s="7"/>
      <c r="C336" s="7"/>
      <c r="D336" s="7">
        <f t="shared" si="5"/>
        <v>0</v>
      </c>
    </row>
    <row r="337" spans="1:4" ht="18.75" hidden="1" x14ac:dyDescent="0.25">
      <c r="A337" s="9" t="s">
        <v>336</v>
      </c>
      <c r="B337" s="7"/>
      <c r="C337" s="7"/>
      <c r="D337" s="7">
        <f t="shared" si="5"/>
        <v>0</v>
      </c>
    </row>
    <row r="338" spans="1:4" ht="18.75" hidden="1" x14ac:dyDescent="0.25">
      <c r="A338" s="11" t="s">
        <v>337</v>
      </c>
      <c r="B338" s="7"/>
      <c r="C338" s="7"/>
      <c r="D338" s="7">
        <f t="shared" si="5"/>
        <v>0</v>
      </c>
    </row>
    <row r="339" spans="1:4" ht="18.75" hidden="1" x14ac:dyDescent="0.25">
      <c r="A339" s="11" t="s">
        <v>338</v>
      </c>
      <c r="B339" s="7"/>
      <c r="C339" s="7"/>
      <c r="D339" s="7">
        <f t="shared" si="5"/>
        <v>0</v>
      </c>
    </row>
    <row r="340" spans="1:4" ht="18.75" x14ac:dyDescent="0.25">
      <c r="A340" s="40"/>
      <c r="B340" s="43">
        <f>SUM(B3:B339)</f>
        <v>2677.5</v>
      </c>
      <c r="C340" s="43"/>
      <c r="D340" s="7">
        <f>SUM(D3:D327)</f>
        <v>42699000</v>
      </c>
    </row>
    <row r="341" spans="1:4" ht="18.75" hidden="1" x14ac:dyDescent="0.25">
      <c r="D341" s="7">
        <f t="shared" si="5"/>
        <v>0</v>
      </c>
    </row>
    <row r="342" spans="1:4" ht="18.75" x14ac:dyDescent="0.25">
      <c r="A342" s="1" t="s">
        <v>389</v>
      </c>
      <c r="B342" s="2"/>
      <c r="C342" s="2"/>
      <c r="D342" s="7"/>
    </row>
    <row r="343" spans="1:4" ht="25.5" x14ac:dyDescent="0.25">
      <c r="A343" s="88" t="s">
        <v>0</v>
      </c>
      <c r="B343" s="3" t="s">
        <v>1</v>
      </c>
      <c r="C343" s="3" t="s">
        <v>368</v>
      </c>
      <c r="D343" s="7" t="s">
        <v>369</v>
      </c>
    </row>
    <row r="344" spans="1:4" ht="18.75" hidden="1" x14ac:dyDescent="0.25">
      <c r="A344" s="89"/>
      <c r="B344" s="4"/>
      <c r="C344" s="4"/>
      <c r="D344" s="7">
        <f t="shared" si="5"/>
        <v>0</v>
      </c>
    </row>
    <row r="345" spans="1:4" ht="18.75" hidden="1" x14ac:dyDescent="0.25">
      <c r="A345" s="5" t="s">
        <v>2</v>
      </c>
      <c r="B345" s="7"/>
      <c r="C345" s="7"/>
      <c r="D345" s="7">
        <f t="shared" si="5"/>
        <v>0</v>
      </c>
    </row>
    <row r="346" spans="1:4" ht="18.75" hidden="1" x14ac:dyDescent="0.25">
      <c r="A346" s="8" t="s">
        <v>3</v>
      </c>
      <c r="B346" s="7"/>
      <c r="C346" s="7"/>
      <c r="D346" s="7">
        <f t="shared" si="5"/>
        <v>0</v>
      </c>
    </row>
    <row r="347" spans="1:4" ht="18.75" hidden="1" x14ac:dyDescent="0.25">
      <c r="A347" s="5" t="s">
        <v>4</v>
      </c>
      <c r="B347" s="7"/>
      <c r="C347" s="7"/>
      <c r="D347" s="7">
        <f t="shared" si="5"/>
        <v>0</v>
      </c>
    </row>
    <row r="348" spans="1:4" ht="18.75" hidden="1" x14ac:dyDescent="0.25">
      <c r="A348" s="5" t="s">
        <v>5</v>
      </c>
      <c r="B348" s="7"/>
      <c r="C348" s="7"/>
      <c r="D348" s="7">
        <f t="shared" si="5"/>
        <v>0</v>
      </c>
    </row>
    <row r="349" spans="1:4" ht="18.75" hidden="1" x14ac:dyDescent="0.25">
      <c r="A349" s="9" t="s">
        <v>6</v>
      </c>
      <c r="B349" s="7"/>
      <c r="C349" s="7"/>
      <c r="D349" s="7">
        <f t="shared" si="5"/>
        <v>0</v>
      </c>
    </row>
    <row r="350" spans="1:4" ht="18.75" hidden="1" x14ac:dyDescent="0.25">
      <c r="A350" s="10" t="s">
        <v>7</v>
      </c>
      <c r="B350" s="7"/>
      <c r="C350" s="7"/>
      <c r="D350" s="7">
        <f t="shared" si="5"/>
        <v>0</v>
      </c>
    </row>
    <row r="351" spans="1:4" ht="18.75" hidden="1" x14ac:dyDescent="0.25">
      <c r="A351" s="5" t="s">
        <v>8</v>
      </c>
      <c r="B351" s="7"/>
      <c r="C351" s="7"/>
      <c r="D351" s="7">
        <f t="shared" si="5"/>
        <v>0</v>
      </c>
    </row>
    <row r="352" spans="1:4" ht="18.75" hidden="1" x14ac:dyDescent="0.25">
      <c r="A352" s="5" t="s">
        <v>9</v>
      </c>
      <c r="B352" s="7"/>
      <c r="C352" s="7"/>
      <c r="D352" s="7">
        <f t="shared" si="5"/>
        <v>0</v>
      </c>
    </row>
    <row r="353" spans="1:4" ht="18.75" hidden="1" x14ac:dyDescent="0.25">
      <c r="A353" s="11" t="s">
        <v>339</v>
      </c>
      <c r="B353" s="7"/>
      <c r="C353" s="7"/>
      <c r="D353" s="7">
        <f t="shared" si="5"/>
        <v>0</v>
      </c>
    </row>
    <row r="354" spans="1:4" ht="18.75" hidden="1" x14ac:dyDescent="0.25">
      <c r="A354" s="9" t="s">
        <v>11</v>
      </c>
      <c r="B354" s="7"/>
      <c r="C354" s="7"/>
      <c r="D354" s="7">
        <f t="shared" si="5"/>
        <v>0</v>
      </c>
    </row>
    <row r="355" spans="1:4" ht="18.75" x14ac:dyDescent="0.25">
      <c r="A355" s="9" t="s">
        <v>12</v>
      </c>
      <c r="B355" s="7">
        <v>7</v>
      </c>
      <c r="C355" s="7">
        <v>8000</v>
      </c>
      <c r="D355" s="7">
        <f t="shared" si="5"/>
        <v>56000</v>
      </c>
    </row>
    <row r="356" spans="1:4" ht="18.75" hidden="1" x14ac:dyDescent="0.25">
      <c r="A356" s="12" t="s">
        <v>13</v>
      </c>
      <c r="B356" s="7"/>
      <c r="C356" s="7"/>
      <c r="D356" s="7">
        <f t="shared" si="5"/>
        <v>0</v>
      </c>
    </row>
    <row r="357" spans="1:4" ht="18.75" hidden="1" x14ac:dyDescent="0.25">
      <c r="A357" s="12" t="s">
        <v>14</v>
      </c>
      <c r="B357" s="7"/>
      <c r="C357" s="7"/>
      <c r="D357" s="7">
        <f t="shared" si="5"/>
        <v>0</v>
      </c>
    </row>
    <row r="358" spans="1:4" ht="18.75" hidden="1" x14ac:dyDescent="0.25">
      <c r="A358" s="9" t="s">
        <v>15</v>
      </c>
      <c r="B358" s="7"/>
      <c r="C358" s="7"/>
      <c r="D358" s="7">
        <f t="shared" si="5"/>
        <v>0</v>
      </c>
    </row>
    <row r="359" spans="1:4" ht="18.75" hidden="1" x14ac:dyDescent="0.25">
      <c r="A359" s="9" t="s">
        <v>16</v>
      </c>
      <c r="B359" s="7"/>
      <c r="C359" s="7"/>
      <c r="D359" s="7">
        <f t="shared" si="5"/>
        <v>0</v>
      </c>
    </row>
    <row r="360" spans="1:4" ht="18.75" hidden="1" x14ac:dyDescent="0.25">
      <c r="A360" s="13" t="s">
        <v>17</v>
      </c>
      <c r="B360" s="7"/>
      <c r="C360" s="7"/>
      <c r="D360" s="7">
        <f t="shared" si="5"/>
        <v>0</v>
      </c>
    </row>
    <row r="361" spans="1:4" ht="18.75" hidden="1" x14ac:dyDescent="0.25">
      <c r="A361" s="11" t="s">
        <v>18</v>
      </c>
      <c r="B361" s="7"/>
      <c r="C361" s="7"/>
      <c r="D361" s="7">
        <f t="shared" si="5"/>
        <v>0</v>
      </c>
    </row>
    <row r="362" spans="1:4" ht="18.75" hidden="1" x14ac:dyDescent="0.25">
      <c r="A362" s="9" t="s">
        <v>19</v>
      </c>
      <c r="B362" s="7"/>
      <c r="C362" s="7"/>
      <c r="D362" s="7">
        <f t="shared" si="5"/>
        <v>0</v>
      </c>
    </row>
    <row r="363" spans="1:4" ht="18.75" hidden="1" x14ac:dyDescent="0.25">
      <c r="A363" s="12" t="s">
        <v>20</v>
      </c>
      <c r="B363" s="7"/>
      <c r="C363" s="7"/>
      <c r="D363" s="7">
        <f t="shared" si="5"/>
        <v>0</v>
      </c>
    </row>
    <row r="364" spans="1:4" ht="18.75" hidden="1" x14ac:dyDescent="0.25">
      <c r="A364" s="12" t="s">
        <v>21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22</v>
      </c>
      <c r="B365" s="7"/>
      <c r="C365" s="7"/>
      <c r="D365" s="7">
        <f t="shared" si="5"/>
        <v>0</v>
      </c>
    </row>
    <row r="366" spans="1:4" ht="18.75" hidden="1" x14ac:dyDescent="0.25">
      <c r="A366" s="9" t="s">
        <v>23</v>
      </c>
      <c r="B366" s="7"/>
      <c r="C366" s="7"/>
      <c r="D366" s="7">
        <f t="shared" si="5"/>
        <v>0</v>
      </c>
    </row>
    <row r="367" spans="1:4" ht="18.75" hidden="1" x14ac:dyDescent="0.25">
      <c r="A367" s="9" t="s">
        <v>24</v>
      </c>
      <c r="B367" s="7"/>
      <c r="C367" s="7"/>
      <c r="D367" s="7">
        <f t="shared" si="5"/>
        <v>0</v>
      </c>
    </row>
    <row r="368" spans="1:4" ht="18.75" hidden="1" x14ac:dyDescent="0.25">
      <c r="A368" s="9" t="s">
        <v>25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26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27</v>
      </c>
      <c r="B370" s="7"/>
      <c r="C370" s="7"/>
      <c r="D370" s="7">
        <f t="shared" si="5"/>
        <v>0</v>
      </c>
    </row>
    <row r="371" spans="1:4" ht="18.75" hidden="1" x14ac:dyDescent="0.25">
      <c r="A371" s="12" t="s">
        <v>29</v>
      </c>
      <c r="B371" s="7"/>
      <c r="C371" s="7"/>
      <c r="D371" s="7">
        <f t="shared" si="5"/>
        <v>0</v>
      </c>
    </row>
    <row r="372" spans="1:4" ht="18.75" hidden="1" x14ac:dyDescent="0.25">
      <c r="A372" s="12" t="s">
        <v>37</v>
      </c>
      <c r="B372" s="7"/>
      <c r="C372" s="7"/>
      <c r="D372" s="7">
        <f t="shared" si="5"/>
        <v>0</v>
      </c>
    </row>
    <row r="373" spans="1:4" ht="18.75" hidden="1" x14ac:dyDescent="0.25">
      <c r="A373" s="9" t="s">
        <v>38</v>
      </c>
      <c r="B373" s="7"/>
      <c r="C373" s="7"/>
      <c r="D373" s="7">
        <f t="shared" si="5"/>
        <v>0</v>
      </c>
    </row>
    <row r="374" spans="1:4" ht="18.75" hidden="1" x14ac:dyDescent="0.25">
      <c r="A374" s="9" t="s">
        <v>39</v>
      </c>
      <c r="B374" s="7"/>
      <c r="C374" s="7"/>
      <c r="D374" s="7">
        <f t="shared" si="5"/>
        <v>0</v>
      </c>
    </row>
    <row r="375" spans="1:4" ht="18.75" hidden="1" x14ac:dyDescent="0.25">
      <c r="A375" s="11" t="s">
        <v>340</v>
      </c>
      <c r="B375" s="16"/>
      <c r="C375" s="16"/>
      <c r="D375" s="7">
        <f t="shared" si="5"/>
        <v>0</v>
      </c>
    </row>
    <row r="376" spans="1:4" ht="18.75" hidden="1" x14ac:dyDescent="0.25">
      <c r="A376" s="11" t="s">
        <v>40</v>
      </c>
      <c r="B376" s="16"/>
      <c r="C376" s="16"/>
      <c r="D376" s="7">
        <f t="shared" si="5"/>
        <v>0</v>
      </c>
    </row>
    <row r="377" spans="1:4" ht="18.75" hidden="1" x14ac:dyDescent="0.25">
      <c r="A377" s="9" t="s">
        <v>41</v>
      </c>
      <c r="B377" s="7"/>
      <c r="C377" s="7"/>
      <c r="D377" s="7">
        <f t="shared" si="5"/>
        <v>0</v>
      </c>
    </row>
    <row r="378" spans="1:4" ht="18.75" hidden="1" x14ac:dyDescent="0.25">
      <c r="A378" s="9" t="s">
        <v>42</v>
      </c>
      <c r="B378" s="7"/>
      <c r="C378" s="7"/>
      <c r="D378" s="7">
        <f t="shared" si="5"/>
        <v>0</v>
      </c>
    </row>
    <row r="379" spans="1:4" ht="18.75" hidden="1" x14ac:dyDescent="0.25">
      <c r="A379" s="17" t="s">
        <v>43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44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45</v>
      </c>
      <c r="B381" s="7"/>
      <c r="C381" s="7"/>
      <c r="D381" s="7">
        <f t="shared" si="5"/>
        <v>0</v>
      </c>
    </row>
    <row r="382" spans="1:4" ht="18.75" hidden="1" x14ac:dyDescent="0.25">
      <c r="A382" s="9" t="s">
        <v>46</v>
      </c>
      <c r="B382" s="7"/>
      <c r="C382" s="7"/>
      <c r="D382" s="7">
        <f t="shared" si="5"/>
        <v>0</v>
      </c>
    </row>
    <row r="383" spans="1:4" ht="18.75" hidden="1" x14ac:dyDescent="0.25">
      <c r="A383" s="9" t="s">
        <v>47</v>
      </c>
      <c r="B383" s="7"/>
      <c r="C383" s="7"/>
      <c r="D383" s="7">
        <f t="shared" si="5"/>
        <v>0</v>
      </c>
    </row>
    <row r="384" spans="1:4" ht="18.75" hidden="1" x14ac:dyDescent="0.25">
      <c r="A384" s="13" t="s">
        <v>48</v>
      </c>
      <c r="B384" s="7"/>
      <c r="C384" s="7"/>
      <c r="D384" s="7">
        <f t="shared" si="5"/>
        <v>0</v>
      </c>
    </row>
    <row r="385" spans="1:4" ht="18.75" hidden="1" x14ac:dyDescent="0.25">
      <c r="A385" s="11" t="s">
        <v>49</v>
      </c>
      <c r="B385" s="7"/>
      <c r="C385" s="7"/>
      <c r="D385" s="7">
        <f t="shared" si="5"/>
        <v>0</v>
      </c>
    </row>
    <row r="386" spans="1:4" ht="18.75" hidden="1" x14ac:dyDescent="0.25">
      <c r="A386" s="13" t="s">
        <v>50</v>
      </c>
      <c r="B386" s="7"/>
      <c r="C386" s="7"/>
      <c r="D386" s="7">
        <f t="shared" si="5"/>
        <v>0</v>
      </c>
    </row>
    <row r="387" spans="1:4" ht="18.75" hidden="1" x14ac:dyDescent="0.25">
      <c r="A387" s="9" t="s">
        <v>51</v>
      </c>
      <c r="B387" s="7"/>
      <c r="C387" s="7"/>
      <c r="D387" s="7">
        <f t="shared" si="5"/>
        <v>0</v>
      </c>
    </row>
    <row r="388" spans="1:4" ht="18.75" hidden="1" x14ac:dyDescent="0.25">
      <c r="A388" s="9" t="s">
        <v>52</v>
      </c>
      <c r="B388" s="7"/>
      <c r="C388" s="7"/>
      <c r="D388" s="7">
        <f t="shared" ref="D388:D451" si="6">B388*C388</f>
        <v>0</v>
      </c>
    </row>
    <row r="389" spans="1:4" ht="18.75" x14ac:dyDescent="0.25">
      <c r="A389" s="12" t="s">
        <v>53</v>
      </c>
      <c r="B389" s="7">
        <v>300</v>
      </c>
      <c r="C389" s="7">
        <v>24000</v>
      </c>
      <c r="D389" s="7">
        <f t="shared" si="6"/>
        <v>7200000</v>
      </c>
    </row>
    <row r="390" spans="1:4" ht="18.75" hidden="1" x14ac:dyDescent="0.25">
      <c r="A390" s="18" t="s">
        <v>54</v>
      </c>
      <c r="B390" s="7"/>
      <c r="C390" s="7"/>
      <c r="D390" s="7">
        <f t="shared" si="6"/>
        <v>0</v>
      </c>
    </row>
    <row r="391" spans="1:4" ht="18.75" hidden="1" x14ac:dyDescent="0.25">
      <c r="A391" s="17" t="s">
        <v>55</v>
      </c>
      <c r="B391" s="7"/>
      <c r="C391" s="7"/>
      <c r="D391" s="7">
        <f t="shared" si="6"/>
        <v>0</v>
      </c>
    </row>
    <row r="392" spans="1:4" ht="18.75" hidden="1" x14ac:dyDescent="0.25">
      <c r="A392" s="17" t="s">
        <v>56</v>
      </c>
      <c r="B392" s="7"/>
      <c r="C392" s="7"/>
      <c r="D392" s="7">
        <f t="shared" si="6"/>
        <v>0</v>
      </c>
    </row>
    <row r="393" spans="1:4" ht="18.75" hidden="1" x14ac:dyDescent="0.25">
      <c r="A393" s="17" t="s">
        <v>57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58</v>
      </c>
      <c r="B394" s="7"/>
      <c r="C394" s="7"/>
      <c r="D394" s="7">
        <f t="shared" si="6"/>
        <v>0</v>
      </c>
    </row>
    <row r="395" spans="1:4" ht="18.75" hidden="1" x14ac:dyDescent="0.25">
      <c r="A395" s="11" t="s">
        <v>59</v>
      </c>
      <c r="B395" s="7"/>
      <c r="C395" s="7"/>
      <c r="D395" s="7">
        <f t="shared" si="6"/>
        <v>0</v>
      </c>
    </row>
    <row r="396" spans="1:4" ht="18.75" hidden="1" x14ac:dyDescent="0.25">
      <c r="A396" s="9" t="s">
        <v>60</v>
      </c>
      <c r="B396" s="7"/>
      <c r="C396" s="7"/>
      <c r="D396" s="7">
        <f t="shared" si="6"/>
        <v>0</v>
      </c>
    </row>
    <row r="397" spans="1:4" ht="18.75" hidden="1" x14ac:dyDescent="0.25">
      <c r="A397" s="9" t="s">
        <v>61</v>
      </c>
      <c r="B397" s="7"/>
      <c r="C397" s="7"/>
      <c r="D397" s="7">
        <f t="shared" si="6"/>
        <v>0</v>
      </c>
    </row>
    <row r="398" spans="1:4" ht="18.75" hidden="1" x14ac:dyDescent="0.25">
      <c r="A398" s="17" t="s">
        <v>62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63</v>
      </c>
      <c r="B399" s="7"/>
      <c r="C399" s="7"/>
      <c r="D399" s="7">
        <f t="shared" si="6"/>
        <v>0</v>
      </c>
    </row>
    <row r="400" spans="1:4" ht="18.75" hidden="1" x14ac:dyDescent="0.25">
      <c r="A400" s="19" t="s">
        <v>64</v>
      </c>
      <c r="B400" s="7"/>
      <c r="C400" s="7"/>
      <c r="D400" s="7">
        <f t="shared" si="6"/>
        <v>0</v>
      </c>
    </row>
    <row r="401" spans="1:4" ht="18.75" hidden="1" x14ac:dyDescent="0.25">
      <c r="A401" s="9" t="s">
        <v>65</v>
      </c>
      <c r="B401" s="7"/>
      <c r="C401" s="7"/>
      <c r="D401" s="7">
        <f t="shared" si="6"/>
        <v>0</v>
      </c>
    </row>
    <row r="402" spans="1:4" ht="18.75" hidden="1" x14ac:dyDescent="0.25">
      <c r="A402" s="9" t="s">
        <v>66</v>
      </c>
      <c r="B402" s="7"/>
      <c r="C402" s="7"/>
      <c r="D402" s="7">
        <f t="shared" si="6"/>
        <v>0</v>
      </c>
    </row>
    <row r="403" spans="1:4" ht="18.75" hidden="1" x14ac:dyDescent="0.25">
      <c r="A403" s="20" t="s">
        <v>67</v>
      </c>
      <c r="B403" s="7"/>
      <c r="C403" s="7"/>
      <c r="D403" s="7">
        <f t="shared" si="6"/>
        <v>0</v>
      </c>
    </row>
    <row r="404" spans="1:4" ht="18.75" hidden="1" x14ac:dyDescent="0.25">
      <c r="A404" s="42" t="s">
        <v>68</v>
      </c>
      <c r="B404" s="7"/>
      <c r="C404" s="7"/>
      <c r="D404" s="7">
        <f t="shared" si="6"/>
        <v>0</v>
      </c>
    </row>
    <row r="405" spans="1:4" ht="18.75" hidden="1" x14ac:dyDescent="0.25">
      <c r="A405" s="12" t="s">
        <v>69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70</v>
      </c>
      <c r="B406" s="7"/>
      <c r="C406" s="7"/>
      <c r="D406" s="7">
        <f t="shared" si="6"/>
        <v>0</v>
      </c>
    </row>
    <row r="407" spans="1:4" ht="18.75" hidden="1" x14ac:dyDescent="0.25">
      <c r="A407" s="12" t="s">
        <v>71</v>
      </c>
      <c r="B407" s="7"/>
      <c r="C407" s="7"/>
      <c r="D407" s="7">
        <f t="shared" si="6"/>
        <v>0</v>
      </c>
    </row>
    <row r="408" spans="1:4" ht="18.75" hidden="1" x14ac:dyDescent="0.25">
      <c r="A408" s="12" t="s">
        <v>72</v>
      </c>
      <c r="B408" s="7"/>
      <c r="C408" s="7"/>
      <c r="D408" s="7">
        <f t="shared" si="6"/>
        <v>0</v>
      </c>
    </row>
    <row r="409" spans="1:4" ht="18.75" hidden="1" x14ac:dyDescent="0.25">
      <c r="A409" s="12" t="s">
        <v>73</v>
      </c>
      <c r="B409" s="7"/>
      <c r="C409" s="7"/>
      <c r="D409" s="7">
        <f t="shared" si="6"/>
        <v>0</v>
      </c>
    </row>
    <row r="410" spans="1:4" ht="18.75" hidden="1" x14ac:dyDescent="0.25">
      <c r="A410" s="20" t="s">
        <v>74</v>
      </c>
      <c r="B410" s="7"/>
      <c r="C410" s="7"/>
      <c r="D410" s="7">
        <f t="shared" si="6"/>
        <v>0</v>
      </c>
    </row>
    <row r="411" spans="1:4" ht="18.75" hidden="1" x14ac:dyDescent="0.25">
      <c r="A411" s="9" t="s">
        <v>75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76</v>
      </c>
      <c r="B412" s="7"/>
      <c r="C412" s="7"/>
      <c r="D412" s="7">
        <f t="shared" si="6"/>
        <v>0</v>
      </c>
    </row>
    <row r="413" spans="1:4" ht="18.75" hidden="1" x14ac:dyDescent="0.25">
      <c r="A413" s="12" t="s">
        <v>341</v>
      </c>
      <c r="B413" s="7"/>
      <c r="C413" s="7"/>
      <c r="D413" s="7">
        <f t="shared" si="6"/>
        <v>0</v>
      </c>
    </row>
    <row r="414" spans="1:4" ht="18.75" hidden="1" x14ac:dyDescent="0.25">
      <c r="A414" s="9" t="s">
        <v>77</v>
      </c>
      <c r="B414" s="7"/>
      <c r="C414" s="7"/>
      <c r="D414" s="7">
        <f t="shared" si="6"/>
        <v>0</v>
      </c>
    </row>
    <row r="415" spans="1:4" ht="18.75" hidden="1" x14ac:dyDescent="0.25">
      <c r="A415" s="13" t="s">
        <v>78</v>
      </c>
      <c r="B415" s="7"/>
      <c r="C415" s="7"/>
      <c r="D415" s="7">
        <f t="shared" si="6"/>
        <v>0</v>
      </c>
    </row>
    <row r="416" spans="1:4" ht="18.75" hidden="1" x14ac:dyDescent="0.25">
      <c r="A416" s="9" t="s">
        <v>79</v>
      </c>
      <c r="B416" s="7"/>
      <c r="C416" s="7"/>
      <c r="D416" s="7">
        <f t="shared" si="6"/>
        <v>0</v>
      </c>
    </row>
    <row r="417" spans="1:4" ht="18.75" hidden="1" x14ac:dyDescent="0.25">
      <c r="A417" s="9" t="s">
        <v>80</v>
      </c>
      <c r="B417" s="7"/>
      <c r="C417" s="7"/>
      <c r="D417" s="7">
        <f t="shared" si="6"/>
        <v>0</v>
      </c>
    </row>
    <row r="418" spans="1:4" ht="18.75" hidden="1" x14ac:dyDescent="0.25">
      <c r="A418" s="9" t="s">
        <v>81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82</v>
      </c>
      <c r="B419" s="16"/>
      <c r="C419" s="16"/>
      <c r="D419" s="7">
        <f t="shared" si="6"/>
        <v>0</v>
      </c>
    </row>
    <row r="420" spans="1:4" ht="18.75" hidden="1" x14ac:dyDescent="0.25">
      <c r="A420" s="12" t="s">
        <v>83</v>
      </c>
      <c r="B420" s="16"/>
      <c r="C420" s="16"/>
      <c r="D420" s="7">
        <f t="shared" si="6"/>
        <v>0</v>
      </c>
    </row>
    <row r="421" spans="1:4" ht="18.75" hidden="1" x14ac:dyDescent="0.25">
      <c r="A421" s="12" t="s">
        <v>84</v>
      </c>
      <c r="B421" s="16"/>
      <c r="C421" s="16"/>
      <c r="D421" s="7">
        <f t="shared" si="6"/>
        <v>0</v>
      </c>
    </row>
    <row r="422" spans="1:4" ht="18.75" hidden="1" x14ac:dyDescent="0.25">
      <c r="A422" s="9" t="s">
        <v>85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86</v>
      </c>
      <c r="B423" s="7"/>
      <c r="C423" s="7"/>
      <c r="D423" s="7">
        <f t="shared" si="6"/>
        <v>0</v>
      </c>
    </row>
    <row r="424" spans="1:4" ht="18.75" hidden="1" x14ac:dyDescent="0.25">
      <c r="A424" s="9" t="s">
        <v>87</v>
      </c>
      <c r="B424" s="7"/>
      <c r="C424" s="7"/>
      <c r="D424" s="7">
        <f t="shared" si="6"/>
        <v>0</v>
      </c>
    </row>
    <row r="425" spans="1:4" ht="18.75" hidden="1" x14ac:dyDescent="0.25">
      <c r="A425" s="9" t="s">
        <v>88</v>
      </c>
      <c r="B425" s="7"/>
      <c r="C425" s="7"/>
      <c r="D425" s="7">
        <f t="shared" si="6"/>
        <v>0</v>
      </c>
    </row>
    <row r="426" spans="1:4" ht="18.75" hidden="1" x14ac:dyDescent="0.25">
      <c r="A426" s="9" t="s">
        <v>89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90</v>
      </c>
      <c r="B427" s="7"/>
      <c r="C427" s="7"/>
      <c r="D427" s="7">
        <f t="shared" si="6"/>
        <v>0</v>
      </c>
    </row>
    <row r="428" spans="1:4" ht="18.75" hidden="1" x14ac:dyDescent="0.25">
      <c r="A428" s="21" t="s">
        <v>91</v>
      </c>
      <c r="B428" s="7"/>
      <c r="C428" s="7"/>
      <c r="D428" s="7">
        <f t="shared" si="6"/>
        <v>0</v>
      </c>
    </row>
    <row r="429" spans="1:4" ht="18.75" hidden="1" x14ac:dyDescent="0.25">
      <c r="A429" s="21" t="s">
        <v>92</v>
      </c>
      <c r="B429" s="7"/>
      <c r="C429" s="7"/>
      <c r="D429" s="7">
        <f t="shared" si="6"/>
        <v>0</v>
      </c>
    </row>
    <row r="430" spans="1:4" ht="18.75" hidden="1" x14ac:dyDescent="0.25">
      <c r="A430" s="21" t="s">
        <v>93</v>
      </c>
      <c r="B430" s="7"/>
      <c r="C430" s="7"/>
      <c r="D430" s="7">
        <f t="shared" si="6"/>
        <v>0</v>
      </c>
    </row>
    <row r="431" spans="1:4" ht="18.75" hidden="1" x14ac:dyDescent="0.25">
      <c r="A431" s="11" t="s">
        <v>94</v>
      </c>
      <c r="B431" s="7"/>
      <c r="C431" s="7"/>
      <c r="D431" s="7">
        <f t="shared" si="6"/>
        <v>0</v>
      </c>
    </row>
    <row r="432" spans="1:4" ht="18.75" hidden="1" x14ac:dyDescent="0.25">
      <c r="A432" s="13" t="s">
        <v>95</v>
      </c>
      <c r="B432" s="7"/>
      <c r="C432" s="7"/>
      <c r="D432" s="7">
        <f t="shared" si="6"/>
        <v>0</v>
      </c>
    </row>
    <row r="433" spans="1:4" ht="18.75" hidden="1" x14ac:dyDescent="0.25">
      <c r="A433" s="11" t="s">
        <v>342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96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97</v>
      </c>
      <c r="B435" s="7"/>
      <c r="C435" s="7"/>
      <c r="D435" s="7">
        <f t="shared" si="6"/>
        <v>0</v>
      </c>
    </row>
    <row r="436" spans="1:4" ht="18.75" hidden="1" x14ac:dyDescent="0.25">
      <c r="A436" s="11" t="s">
        <v>343</v>
      </c>
      <c r="B436" s="7"/>
      <c r="C436" s="7"/>
      <c r="D436" s="7">
        <f t="shared" si="6"/>
        <v>0</v>
      </c>
    </row>
    <row r="437" spans="1:4" ht="18.75" hidden="1" x14ac:dyDescent="0.25">
      <c r="A437" s="11" t="s">
        <v>344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99</v>
      </c>
      <c r="B438" s="16"/>
      <c r="C438" s="16"/>
      <c r="D438" s="7">
        <f t="shared" si="6"/>
        <v>0</v>
      </c>
    </row>
    <row r="439" spans="1:4" ht="18.75" hidden="1" x14ac:dyDescent="0.25">
      <c r="A439" s="21" t="s">
        <v>101</v>
      </c>
      <c r="B439" s="7"/>
      <c r="C439" s="7"/>
      <c r="D439" s="7">
        <f t="shared" si="6"/>
        <v>0</v>
      </c>
    </row>
    <row r="440" spans="1:4" ht="18.75" hidden="1" x14ac:dyDescent="0.25">
      <c r="A440" s="11" t="s">
        <v>102</v>
      </c>
      <c r="B440" s="7"/>
      <c r="C440" s="7"/>
      <c r="D440" s="7">
        <f t="shared" si="6"/>
        <v>0</v>
      </c>
    </row>
    <row r="441" spans="1:4" ht="18.75" hidden="1" x14ac:dyDescent="0.25">
      <c r="A441" s="11" t="s">
        <v>345</v>
      </c>
      <c r="B441" s="7"/>
      <c r="C441" s="7"/>
      <c r="D441" s="7">
        <f t="shared" si="6"/>
        <v>0</v>
      </c>
    </row>
    <row r="442" spans="1:4" ht="18.75" hidden="1" x14ac:dyDescent="0.25">
      <c r="A442" s="9" t="s">
        <v>103</v>
      </c>
      <c r="B442" s="7"/>
      <c r="C442" s="7"/>
      <c r="D442" s="7">
        <f t="shared" si="6"/>
        <v>0</v>
      </c>
    </row>
    <row r="443" spans="1:4" ht="18.75" hidden="1" x14ac:dyDescent="0.25">
      <c r="A443" s="17" t="s">
        <v>104</v>
      </c>
      <c r="B443" s="7"/>
      <c r="C443" s="7"/>
      <c r="D443" s="7">
        <f t="shared" si="6"/>
        <v>0</v>
      </c>
    </row>
    <row r="444" spans="1:4" ht="18.75" hidden="1" x14ac:dyDescent="0.25">
      <c r="A444" s="24" t="s">
        <v>105</v>
      </c>
      <c r="B444" s="7"/>
      <c r="C444" s="7"/>
      <c r="D444" s="7">
        <f t="shared" si="6"/>
        <v>0</v>
      </c>
    </row>
    <row r="445" spans="1:4" ht="18.75" hidden="1" x14ac:dyDescent="0.25">
      <c r="A445" s="24" t="s">
        <v>106</v>
      </c>
      <c r="B445" s="7"/>
      <c r="C445" s="7"/>
      <c r="D445" s="7">
        <f t="shared" si="6"/>
        <v>0</v>
      </c>
    </row>
    <row r="446" spans="1:4" ht="18.75" hidden="1" x14ac:dyDescent="0.25">
      <c r="A446" s="23" t="s">
        <v>107</v>
      </c>
      <c r="B446" s="7"/>
      <c r="C446" s="7"/>
      <c r="D446" s="7">
        <f t="shared" si="6"/>
        <v>0</v>
      </c>
    </row>
    <row r="447" spans="1:4" ht="18.75" hidden="1" x14ac:dyDescent="0.25">
      <c r="A447" s="25" t="s">
        <v>108</v>
      </c>
      <c r="B447" s="7"/>
      <c r="C447" s="7"/>
      <c r="D447" s="7">
        <f t="shared" si="6"/>
        <v>0</v>
      </c>
    </row>
    <row r="448" spans="1:4" ht="18.75" hidden="1" x14ac:dyDescent="0.25">
      <c r="A448" s="9" t="s">
        <v>109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110</v>
      </c>
      <c r="B449" s="7"/>
      <c r="C449" s="7"/>
      <c r="D449" s="7">
        <f t="shared" si="6"/>
        <v>0</v>
      </c>
    </row>
    <row r="450" spans="1:4" ht="18.75" hidden="1" x14ac:dyDescent="0.25">
      <c r="A450" s="9" t="s">
        <v>111</v>
      </c>
      <c r="B450" s="7"/>
      <c r="C450" s="7"/>
      <c r="D450" s="7">
        <f t="shared" si="6"/>
        <v>0</v>
      </c>
    </row>
    <row r="451" spans="1:4" ht="18.75" hidden="1" x14ac:dyDescent="0.25">
      <c r="A451" s="9" t="s">
        <v>112</v>
      </c>
      <c r="B451" s="7"/>
      <c r="C451" s="7"/>
      <c r="D451" s="7">
        <f t="shared" si="6"/>
        <v>0</v>
      </c>
    </row>
    <row r="452" spans="1:4" ht="18.75" hidden="1" x14ac:dyDescent="0.25">
      <c r="A452" s="9" t="s">
        <v>114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115</v>
      </c>
      <c r="B453" s="7"/>
      <c r="C453" s="7"/>
      <c r="D453" s="7">
        <f t="shared" si="7"/>
        <v>0</v>
      </c>
    </row>
    <row r="454" spans="1:4" ht="18.75" hidden="1" x14ac:dyDescent="0.25">
      <c r="A454" s="9" t="s">
        <v>346</v>
      </c>
      <c r="B454" s="7"/>
      <c r="C454" s="7"/>
      <c r="D454" s="7">
        <f t="shared" si="7"/>
        <v>0</v>
      </c>
    </row>
    <row r="455" spans="1:4" ht="18.75" hidden="1" x14ac:dyDescent="0.25">
      <c r="A455" s="9" t="s">
        <v>116</v>
      </c>
      <c r="B455" s="7"/>
      <c r="C455" s="7"/>
      <c r="D455" s="7">
        <f t="shared" si="7"/>
        <v>0</v>
      </c>
    </row>
    <row r="456" spans="1:4" ht="18.75" hidden="1" x14ac:dyDescent="0.25">
      <c r="A456" s="11" t="s">
        <v>117</v>
      </c>
      <c r="B456" s="7"/>
      <c r="C456" s="7"/>
      <c r="D456" s="7">
        <f t="shared" si="7"/>
        <v>0</v>
      </c>
    </row>
    <row r="457" spans="1:4" ht="18.75" hidden="1" x14ac:dyDescent="0.25">
      <c r="A457" s="21" t="s">
        <v>118</v>
      </c>
      <c r="B457" s="7"/>
      <c r="C457" s="7"/>
      <c r="D457" s="7">
        <f t="shared" si="7"/>
        <v>0</v>
      </c>
    </row>
    <row r="458" spans="1:4" ht="18.75" hidden="1" x14ac:dyDescent="0.25">
      <c r="A458" s="9" t="s">
        <v>119</v>
      </c>
      <c r="B458" s="7"/>
      <c r="C458" s="7"/>
      <c r="D458" s="7">
        <f t="shared" si="7"/>
        <v>0</v>
      </c>
    </row>
    <row r="459" spans="1:4" ht="18.75" hidden="1" x14ac:dyDescent="0.25">
      <c r="A459" s="11" t="s">
        <v>120</v>
      </c>
      <c r="B459" s="7"/>
      <c r="C459" s="7"/>
      <c r="D459" s="7">
        <f t="shared" si="7"/>
        <v>0</v>
      </c>
    </row>
    <row r="460" spans="1:4" ht="18.75" hidden="1" x14ac:dyDescent="0.25">
      <c r="A460" s="11" t="s">
        <v>121</v>
      </c>
      <c r="B460" s="7"/>
      <c r="C460" s="7"/>
      <c r="D460" s="7">
        <f t="shared" si="7"/>
        <v>0</v>
      </c>
    </row>
    <row r="461" spans="1:4" ht="18.75" hidden="1" x14ac:dyDescent="0.25">
      <c r="A461" s="9" t="s">
        <v>122</v>
      </c>
      <c r="B461" s="7"/>
      <c r="C461" s="7"/>
      <c r="D461" s="7">
        <f t="shared" si="7"/>
        <v>0</v>
      </c>
    </row>
    <row r="462" spans="1:4" ht="18.75" hidden="1" x14ac:dyDescent="0.25">
      <c r="A462" s="10" t="s">
        <v>124</v>
      </c>
      <c r="B462" s="7"/>
      <c r="C462" s="7"/>
      <c r="D462" s="7">
        <f t="shared" si="7"/>
        <v>0</v>
      </c>
    </row>
    <row r="463" spans="1:4" ht="18.75" hidden="1" x14ac:dyDescent="0.25">
      <c r="A463" s="13" t="s">
        <v>125</v>
      </c>
      <c r="B463" s="7"/>
      <c r="C463" s="7"/>
      <c r="D463" s="7">
        <f t="shared" si="7"/>
        <v>0</v>
      </c>
    </row>
    <row r="464" spans="1:4" ht="18.75" hidden="1" x14ac:dyDescent="0.25">
      <c r="A464" s="12" t="s">
        <v>126</v>
      </c>
      <c r="B464" s="16"/>
      <c r="C464" s="16"/>
      <c r="D464" s="7">
        <f t="shared" si="7"/>
        <v>0</v>
      </c>
    </row>
    <row r="465" spans="1:4" ht="18.75" hidden="1" x14ac:dyDescent="0.25">
      <c r="A465" s="12" t="s">
        <v>127</v>
      </c>
      <c r="B465" s="16"/>
      <c r="C465" s="16"/>
      <c r="D465" s="7">
        <f t="shared" si="7"/>
        <v>0</v>
      </c>
    </row>
    <row r="466" spans="1:4" ht="18.75" hidden="1" x14ac:dyDescent="0.25">
      <c r="A466" s="12" t="s">
        <v>128</v>
      </c>
      <c r="B466" s="16"/>
      <c r="C466" s="16"/>
      <c r="D466" s="7">
        <f t="shared" si="7"/>
        <v>0</v>
      </c>
    </row>
    <row r="467" spans="1:4" ht="18.75" hidden="1" x14ac:dyDescent="0.25">
      <c r="A467" s="12" t="s">
        <v>129</v>
      </c>
      <c r="B467" s="27"/>
      <c r="C467" s="27"/>
      <c r="D467" s="7">
        <f t="shared" si="7"/>
        <v>0</v>
      </c>
    </row>
    <row r="468" spans="1:4" ht="18.75" hidden="1" x14ac:dyDescent="0.25">
      <c r="A468" s="28" t="s">
        <v>130</v>
      </c>
      <c r="B468" s="7"/>
      <c r="C468" s="7"/>
      <c r="D468" s="7">
        <f t="shared" si="7"/>
        <v>0</v>
      </c>
    </row>
    <row r="469" spans="1:4" ht="18.75" hidden="1" x14ac:dyDescent="0.25">
      <c r="A469" s="12" t="s">
        <v>131</v>
      </c>
      <c r="B469" s="16"/>
      <c r="C469" s="16"/>
      <c r="D469" s="7">
        <f t="shared" si="7"/>
        <v>0</v>
      </c>
    </row>
    <row r="470" spans="1:4" ht="18.75" hidden="1" x14ac:dyDescent="0.25">
      <c r="A470" s="9" t="s">
        <v>132</v>
      </c>
      <c r="B470" s="7"/>
      <c r="C470" s="7"/>
      <c r="D470" s="7">
        <f t="shared" si="7"/>
        <v>0</v>
      </c>
    </row>
    <row r="471" spans="1:4" ht="18.75" hidden="1" x14ac:dyDescent="0.25">
      <c r="A471" s="9" t="s">
        <v>133</v>
      </c>
      <c r="B471" s="7"/>
      <c r="C471" s="7"/>
      <c r="D471" s="7">
        <f t="shared" si="7"/>
        <v>0</v>
      </c>
    </row>
    <row r="472" spans="1:4" ht="18.75" x14ac:dyDescent="0.25">
      <c r="A472" s="9" t="s">
        <v>135</v>
      </c>
      <c r="B472" s="7">
        <v>50</v>
      </c>
      <c r="C472" s="7">
        <v>16000</v>
      </c>
      <c r="D472" s="7">
        <f t="shared" si="7"/>
        <v>800000</v>
      </c>
    </row>
    <row r="473" spans="1:4" ht="18.75" hidden="1" x14ac:dyDescent="0.25">
      <c r="A473" s="17" t="s">
        <v>136</v>
      </c>
      <c r="B473" s="7"/>
      <c r="C473" s="7"/>
      <c r="D473" s="7">
        <f t="shared" si="7"/>
        <v>0</v>
      </c>
    </row>
    <row r="474" spans="1:4" ht="18.75" hidden="1" x14ac:dyDescent="0.25">
      <c r="A474" s="12" t="s">
        <v>137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138</v>
      </c>
      <c r="B475" s="7"/>
      <c r="C475" s="7"/>
      <c r="D475" s="7">
        <f t="shared" si="7"/>
        <v>0</v>
      </c>
    </row>
    <row r="476" spans="1:4" ht="18.75" hidden="1" x14ac:dyDescent="0.25">
      <c r="A476" s="9" t="s">
        <v>139</v>
      </c>
      <c r="B476" s="7"/>
      <c r="C476" s="7"/>
      <c r="D476" s="7">
        <f t="shared" si="7"/>
        <v>0</v>
      </c>
    </row>
    <row r="477" spans="1:4" ht="18.75" hidden="1" x14ac:dyDescent="0.25">
      <c r="A477" s="9" t="s">
        <v>347</v>
      </c>
      <c r="B477" s="7"/>
      <c r="C477" s="7"/>
      <c r="D477" s="7">
        <f t="shared" si="7"/>
        <v>0</v>
      </c>
    </row>
    <row r="478" spans="1:4" ht="18.75" hidden="1" x14ac:dyDescent="0.25">
      <c r="A478" s="9" t="s">
        <v>141</v>
      </c>
      <c r="B478" s="16"/>
      <c r="C478" s="16"/>
      <c r="D478" s="7">
        <f t="shared" si="7"/>
        <v>0</v>
      </c>
    </row>
    <row r="479" spans="1:4" ht="18.75" hidden="1" x14ac:dyDescent="0.25">
      <c r="A479" s="9" t="s">
        <v>142</v>
      </c>
      <c r="B479" s="16"/>
      <c r="C479" s="16"/>
      <c r="D479" s="7">
        <f t="shared" si="7"/>
        <v>0</v>
      </c>
    </row>
    <row r="480" spans="1:4" ht="18.75" hidden="1" x14ac:dyDescent="0.25">
      <c r="A480" s="9" t="s">
        <v>143</v>
      </c>
      <c r="B480" s="7"/>
      <c r="C480" s="7"/>
      <c r="D480" s="7">
        <f t="shared" si="7"/>
        <v>0</v>
      </c>
    </row>
    <row r="481" spans="1:4" ht="18.75" hidden="1" x14ac:dyDescent="0.25">
      <c r="A481" s="9" t="s">
        <v>144</v>
      </c>
      <c r="B481" s="16"/>
      <c r="C481" s="16"/>
      <c r="D481" s="7">
        <f t="shared" si="7"/>
        <v>0</v>
      </c>
    </row>
    <row r="482" spans="1:4" ht="18.75" hidden="1" x14ac:dyDescent="0.25">
      <c r="A482" s="9" t="s">
        <v>145</v>
      </c>
      <c r="B482" s="16"/>
      <c r="C482" s="16"/>
      <c r="D482" s="7">
        <f t="shared" si="7"/>
        <v>0</v>
      </c>
    </row>
    <row r="483" spans="1:4" ht="18.75" hidden="1" x14ac:dyDescent="0.25">
      <c r="A483" s="9" t="s">
        <v>146</v>
      </c>
      <c r="B483" s="16"/>
      <c r="C483" s="16"/>
      <c r="D483" s="7">
        <f t="shared" si="7"/>
        <v>0</v>
      </c>
    </row>
    <row r="484" spans="1:4" ht="18.75" hidden="1" x14ac:dyDescent="0.25">
      <c r="A484" s="9" t="s">
        <v>147</v>
      </c>
      <c r="B484" s="16"/>
      <c r="C484" s="16"/>
      <c r="D484" s="7">
        <f t="shared" si="7"/>
        <v>0</v>
      </c>
    </row>
    <row r="485" spans="1:4" ht="18.75" hidden="1" x14ac:dyDescent="0.25">
      <c r="A485" s="9" t="s">
        <v>148</v>
      </c>
      <c r="B485" s="16"/>
      <c r="C485" s="16"/>
      <c r="D485" s="7">
        <f t="shared" si="7"/>
        <v>0</v>
      </c>
    </row>
    <row r="486" spans="1:4" ht="18.75" hidden="1" x14ac:dyDescent="0.25">
      <c r="A486" s="9" t="s">
        <v>149</v>
      </c>
      <c r="B486" s="16"/>
      <c r="C486" s="16"/>
      <c r="D486" s="7">
        <f t="shared" si="7"/>
        <v>0</v>
      </c>
    </row>
    <row r="487" spans="1:4" ht="18.75" hidden="1" x14ac:dyDescent="0.25">
      <c r="A487" s="9" t="s">
        <v>150</v>
      </c>
      <c r="B487" s="16"/>
      <c r="C487" s="16"/>
      <c r="D487" s="7">
        <f t="shared" si="7"/>
        <v>0</v>
      </c>
    </row>
    <row r="488" spans="1:4" ht="18.75" hidden="1" x14ac:dyDescent="0.25">
      <c r="A488" s="9" t="s">
        <v>151</v>
      </c>
      <c r="B488" s="16"/>
      <c r="C488" s="16"/>
      <c r="D488" s="7">
        <f t="shared" si="7"/>
        <v>0</v>
      </c>
    </row>
    <row r="489" spans="1:4" ht="18.75" hidden="1" x14ac:dyDescent="0.25">
      <c r="A489" s="9" t="s">
        <v>152</v>
      </c>
      <c r="B489" s="7"/>
      <c r="C489" s="7"/>
      <c r="D489" s="7">
        <f t="shared" si="7"/>
        <v>0</v>
      </c>
    </row>
    <row r="490" spans="1:4" ht="18.75" hidden="1" x14ac:dyDescent="0.25">
      <c r="A490" s="9" t="s">
        <v>348</v>
      </c>
      <c r="B490" s="7"/>
      <c r="C490" s="7"/>
      <c r="D490" s="7">
        <f t="shared" si="7"/>
        <v>0</v>
      </c>
    </row>
    <row r="491" spans="1:4" ht="18.75" hidden="1" x14ac:dyDescent="0.25">
      <c r="A491" s="9" t="s">
        <v>153</v>
      </c>
      <c r="B491" s="7"/>
      <c r="C491" s="7"/>
      <c r="D491" s="7">
        <f t="shared" si="7"/>
        <v>0</v>
      </c>
    </row>
    <row r="492" spans="1:4" ht="18.75" x14ac:dyDescent="0.25">
      <c r="A492" s="9" t="s">
        <v>154</v>
      </c>
      <c r="B492" s="7">
        <v>21</v>
      </c>
      <c r="C492" s="7">
        <v>9500</v>
      </c>
      <c r="D492" s="7">
        <f t="shared" si="7"/>
        <v>199500</v>
      </c>
    </row>
    <row r="493" spans="1:4" ht="18.75" hidden="1" x14ac:dyDescent="0.25">
      <c r="A493" s="9" t="s">
        <v>155</v>
      </c>
      <c r="B493" s="7"/>
      <c r="C493" s="7"/>
      <c r="D493" s="7">
        <f t="shared" si="7"/>
        <v>0</v>
      </c>
    </row>
    <row r="494" spans="1:4" ht="18.75" hidden="1" x14ac:dyDescent="0.25">
      <c r="A494" s="17" t="s">
        <v>156</v>
      </c>
      <c r="B494" s="7"/>
      <c r="C494" s="7"/>
      <c r="D494" s="7">
        <f t="shared" si="7"/>
        <v>0</v>
      </c>
    </row>
    <row r="495" spans="1:4" ht="18.75" hidden="1" x14ac:dyDescent="0.25">
      <c r="A495" s="9" t="s">
        <v>157</v>
      </c>
      <c r="B495" s="7"/>
      <c r="C495" s="7"/>
      <c r="D495" s="7">
        <f t="shared" si="7"/>
        <v>0</v>
      </c>
    </row>
    <row r="496" spans="1:4" ht="18.75" hidden="1" x14ac:dyDescent="0.25">
      <c r="A496" s="9" t="s">
        <v>158</v>
      </c>
      <c r="B496" s="7"/>
      <c r="C496" s="7"/>
      <c r="D496" s="7">
        <f t="shared" si="7"/>
        <v>0</v>
      </c>
    </row>
    <row r="497" spans="1:4" ht="18.75" hidden="1" x14ac:dyDescent="0.25">
      <c r="A497" s="9" t="s">
        <v>159</v>
      </c>
      <c r="B497" s="7"/>
      <c r="C497" s="7"/>
      <c r="D497" s="7">
        <f t="shared" si="7"/>
        <v>0</v>
      </c>
    </row>
    <row r="498" spans="1:4" ht="18.75" hidden="1" x14ac:dyDescent="0.25">
      <c r="A498" s="9" t="s">
        <v>160</v>
      </c>
      <c r="B498" s="7"/>
      <c r="C498" s="7"/>
      <c r="D498" s="7">
        <f t="shared" si="7"/>
        <v>0</v>
      </c>
    </row>
    <row r="499" spans="1:4" ht="18.75" hidden="1" x14ac:dyDescent="0.25">
      <c r="A499" s="9" t="s">
        <v>161</v>
      </c>
      <c r="B499" s="16"/>
      <c r="C499" s="16"/>
      <c r="D499" s="7">
        <f t="shared" si="7"/>
        <v>0</v>
      </c>
    </row>
    <row r="500" spans="1:4" ht="18.75" hidden="1" x14ac:dyDescent="0.25">
      <c r="A500" s="18" t="s">
        <v>162</v>
      </c>
      <c r="B500" s="16"/>
      <c r="C500" s="16"/>
      <c r="D500" s="7">
        <f t="shared" si="7"/>
        <v>0</v>
      </c>
    </row>
    <row r="501" spans="1:4" ht="18.75" hidden="1" x14ac:dyDescent="0.25">
      <c r="A501" s="9" t="s">
        <v>163</v>
      </c>
      <c r="B501" s="16"/>
      <c r="C501" s="16"/>
      <c r="D501" s="7">
        <f t="shared" si="7"/>
        <v>0</v>
      </c>
    </row>
    <row r="502" spans="1:4" ht="18.75" hidden="1" x14ac:dyDescent="0.25">
      <c r="A502" s="9" t="s">
        <v>165</v>
      </c>
      <c r="B502" s="7"/>
      <c r="C502" s="7"/>
      <c r="D502" s="7">
        <f t="shared" si="7"/>
        <v>0</v>
      </c>
    </row>
    <row r="503" spans="1:4" ht="18.75" hidden="1" x14ac:dyDescent="0.25">
      <c r="A503" s="17" t="s">
        <v>166</v>
      </c>
      <c r="B503" s="7"/>
      <c r="C503" s="7"/>
      <c r="D503" s="7">
        <f t="shared" si="7"/>
        <v>0</v>
      </c>
    </row>
    <row r="504" spans="1:4" ht="18.75" hidden="1" x14ac:dyDescent="0.25">
      <c r="A504" s="9" t="s">
        <v>349</v>
      </c>
      <c r="B504" s="7"/>
      <c r="C504" s="7"/>
      <c r="D504" s="7">
        <f t="shared" si="7"/>
        <v>0</v>
      </c>
    </row>
    <row r="505" spans="1:4" ht="18.75" hidden="1" x14ac:dyDescent="0.25">
      <c r="A505" s="12" t="s">
        <v>167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168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170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171</v>
      </c>
      <c r="B508" s="7"/>
      <c r="C508" s="7"/>
      <c r="D508" s="7">
        <f t="shared" si="7"/>
        <v>0</v>
      </c>
    </row>
    <row r="509" spans="1:4" ht="18.75" hidden="1" x14ac:dyDescent="0.25">
      <c r="A509" s="20" t="s">
        <v>172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173</v>
      </c>
      <c r="B510" s="7"/>
      <c r="C510" s="7"/>
      <c r="D510" s="7">
        <f t="shared" si="7"/>
        <v>0</v>
      </c>
    </row>
    <row r="511" spans="1:4" ht="18.75" hidden="1" x14ac:dyDescent="0.25">
      <c r="A511" s="31" t="s">
        <v>174</v>
      </c>
      <c r="B511" s="33"/>
      <c r="C511" s="33"/>
      <c r="D511" s="7">
        <f t="shared" si="7"/>
        <v>0</v>
      </c>
    </row>
    <row r="512" spans="1:4" ht="18.75" hidden="1" x14ac:dyDescent="0.25">
      <c r="A512" s="11" t="s">
        <v>175</v>
      </c>
      <c r="B512" s="7"/>
      <c r="C512" s="7"/>
      <c r="D512" s="7">
        <f t="shared" si="7"/>
        <v>0</v>
      </c>
    </row>
    <row r="513" spans="1:4" ht="18.75" hidden="1" x14ac:dyDescent="0.25">
      <c r="A513" s="9" t="s">
        <v>176</v>
      </c>
      <c r="B513" s="7"/>
      <c r="C513" s="7"/>
      <c r="D513" s="7">
        <f t="shared" si="7"/>
        <v>0</v>
      </c>
    </row>
    <row r="514" spans="1:4" ht="18.75" hidden="1" x14ac:dyDescent="0.25">
      <c r="A514" s="9" t="s">
        <v>350</v>
      </c>
      <c r="B514" s="7"/>
      <c r="C514" s="7"/>
      <c r="D514" s="7">
        <f t="shared" si="7"/>
        <v>0</v>
      </c>
    </row>
    <row r="515" spans="1:4" ht="18.75" hidden="1" x14ac:dyDescent="0.25">
      <c r="A515" s="12" t="s">
        <v>178</v>
      </c>
      <c r="B515" s="7"/>
      <c r="C515" s="7"/>
      <c r="D515" s="7">
        <f t="shared" si="7"/>
        <v>0</v>
      </c>
    </row>
    <row r="516" spans="1:4" ht="18.75" hidden="1" x14ac:dyDescent="0.25">
      <c r="A516" s="9" t="s">
        <v>179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180</v>
      </c>
      <c r="B517" s="7"/>
      <c r="C517" s="7"/>
      <c r="D517" s="7">
        <f t="shared" si="8"/>
        <v>0</v>
      </c>
    </row>
    <row r="518" spans="1:4" ht="18.75" hidden="1" x14ac:dyDescent="0.25">
      <c r="A518" s="12" t="s">
        <v>181</v>
      </c>
      <c r="B518" s="7"/>
      <c r="C518" s="7"/>
      <c r="D518" s="7">
        <f t="shared" si="8"/>
        <v>0</v>
      </c>
    </row>
    <row r="519" spans="1:4" ht="18.75" hidden="1" x14ac:dyDescent="0.25">
      <c r="A519" s="12" t="s">
        <v>182</v>
      </c>
      <c r="B519" s="7"/>
      <c r="C519" s="7"/>
      <c r="D519" s="7">
        <f t="shared" si="8"/>
        <v>0</v>
      </c>
    </row>
    <row r="520" spans="1:4" ht="18.75" x14ac:dyDescent="0.25">
      <c r="A520" s="12" t="s">
        <v>183</v>
      </c>
      <c r="B520" s="7">
        <v>500</v>
      </c>
      <c r="C520" s="7">
        <v>9000</v>
      </c>
      <c r="D520" s="7">
        <f t="shared" si="8"/>
        <v>4500000</v>
      </c>
    </row>
    <row r="521" spans="1:4" ht="18.75" hidden="1" x14ac:dyDescent="0.25">
      <c r="A521" s="9" t="s">
        <v>184</v>
      </c>
      <c r="B521" s="7"/>
      <c r="C521" s="7"/>
      <c r="D521" s="7">
        <f t="shared" si="8"/>
        <v>0</v>
      </c>
    </row>
    <row r="522" spans="1:4" ht="18.75" hidden="1" x14ac:dyDescent="0.25">
      <c r="A522" s="12" t="s">
        <v>186</v>
      </c>
      <c r="B522" s="7"/>
      <c r="C522" s="7"/>
      <c r="D522" s="7">
        <f t="shared" si="8"/>
        <v>0</v>
      </c>
    </row>
    <row r="523" spans="1:4" ht="18.75" hidden="1" x14ac:dyDescent="0.25">
      <c r="A523" s="12" t="s">
        <v>187</v>
      </c>
      <c r="B523" s="7"/>
      <c r="C523" s="7"/>
      <c r="D523" s="7">
        <f t="shared" si="8"/>
        <v>0</v>
      </c>
    </row>
    <row r="524" spans="1:4" ht="18.75" hidden="1" x14ac:dyDescent="0.25">
      <c r="A524" s="12" t="s">
        <v>188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351</v>
      </c>
      <c r="B525" s="7"/>
      <c r="C525" s="7"/>
      <c r="D525" s="7">
        <f t="shared" si="8"/>
        <v>0</v>
      </c>
    </row>
    <row r="526" spans="1:4" ht="18.75" hidden="1" x14ac:dyDescent="0.25">
      <c r="A526" s="17" t="s">
        <v>189</v>
      </c>
      <c r="B526" s="7"/>
      <c r="C526" s="7"/>
      <c r="D526" s="7">
        <f t="shared" si="8"/>
        <v>0</v>
      </c>
    </row>
    <row r="527" spans="1:4" ht="18.75" hidden="1" x14ac:dyDescent="0.25">
      <c r="A527" s="17" t="s">
        <v>190</v>
      </c>
      <c r="B527" s="7"/>
      <c r="C527" s="7"/>
      <c r="D527" s="7">
        <f t="shared" si="8"/>
        <v>0</v>
      </c>
    </row>
    <row r="528" spans="1:4" ht="18.75" hidden="1" x14ac:dyDescent="0.25">
      <c r="A528" s="17" t="s">
        <v>191</v>
      </c>
      <c r="B528" s="7"/>
      <c r="C528" s="7"/>
      <c r="D528" s="7">
        <f t="shared" si="8"/>
        <v>0</v>
      </c>
    </row>
    <row r="529" spans="1:4" ht="18.75" hidden="1" x14ac:dyDescent="0.25">
      <c r="A529" s="17" t="s">
        <v>192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193</v>
      </c>
      <c r="B530" s="7"/>
      <c r="C530" s="7"/>
      <c r="D530" s="7">
        <f t="shared" si="8"/>
        <v>0</v>
      </c>
    </row>
    <row r="531" spans="1:4" ht="18.75" hidden="1" x14ac:dyDescent="0.25">
      <c r="A531" s="9" t="s">
        <v>194</v>
      </c>
      <c r="B531" s="7"/>
      <c r="C531" s="7"/>
      <c r="D531" s="7">
        <f t="shared" si="8"/>
        <v>0</v>
      </c>
    </row>
    <row r="532" spans="1:4" ht="18.75" hidden="1" x14ac:dyDescent="0.25">
      <c r="A532" s="34" t="s">
        <v>195</v>
      </c>
      <c r="B532" s="7"/>
      <c r="C532" s="7"/>
      <c r="D532" s="7">
        <f t="shared" si="8"/>
        <v>0</v>
      </c>
    </row>
    <row r="533" spans="1:4" ht="18.75" hidden="1" x14ac:dyDescent="0.25">
      <c r="A533" s="34" t="s">
        <v>196</v>
      </c>
      <c r="B533" s="7"/>
      <c r="C533" s="7"/>
      <c r="D533" s="7">
        <f t="shared" si="8"/>
        <v>0</v>
      </c>
    </row>
    <row r="534" spans="1:4" ht="18.75" hidden="1" x14ac:dyDescent="0.25">
      <c r="A534" s="34" t="s">
        <v>197</v>
      </c>
      <c r="B534" s="7"/>
      <c r="C534" s="7"/>
      <c r="D534" s="7">
        <f t="shared" si="8"/>
        <v>0</v>
      </c>
    </row>
    <row r="535" spans="1:4" ht="18.75" hidden="1" x14ac:dyDescent="0.25">
      <c r="A535" s="34" t="s">
        <v>198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199</v>
      </c>
      <c r="B536" s="7"/>
      <c r="C536" s="7"/>
      <c r="D536" s="7">
        <f t="shared" si="8"/>
        <v>0</v>
      </c>
    </row>
    <row r="537" spans="1:4" ht="18.75" hidden="1" x14ac:dyDescent="0.25">
      <c r="A537" s="35" t="s">
        <v>352</v>
      </c>
      <c r="B537" s="7"/>
      <c r="C537" s="7"/>
      <c r="D537" s="7">
        <f t="shared" si="8"/>
        <v>0</v>
      </c>
    </row>
    <row r="538" spans="1:4" ht="18.75" hidden="1" x14ac:dyDescent="0.25">
      <c r="A538" s="9" t="s">
        <v>201</v>
      </c>
      <c r="B538" s="7"/>
      <c r="C538" s="7"/>
      <c r="D538" s="7">
        <f t="shared" si="8"/>
        <v>0</v>
      </c>
    </row>
    <row r="539" spans="1:4" ht="18.75" hidden="1" x14ac:dyDescent="0.25">
      <c r="A539" s="12" t="s">
        <v>202</v>
      </c>
      <c r="B539" s="7"/>
      <c r="C539" s="7"/>
      <c r="D539" s="7">
        <f t="shared" si="8"/>
        <v>0</v>
      </c>
    </row>
    <row r="540" spans="1:4" ht="18.75" hidden="1" x14ac:dyDescent="0.25">
      <c r="A540" s="9" t="s">
        <v>353</v>
      </c>
      <c r="B540" s="7"/>
      <c r="C540" s="7"/>
      <c r="D540" s="7">
        <f t="shared" si="8"/>
        <v>0</v>
      </c>
    </row>
    <row r="541" spans="1:4" ht="18.75" hidden="1" x14ac:dyDescent="0.25">
      <c r="A541" s="9" t="s">
        <v>203</v>
      </c>
      <c r="B541" s="7"/>
      <c r="C541" s="7"/>
      <c r="D541" s="7">
        <f t="shared" si="8"/>
        <v>0</v>
      </c>
    </row>
    <row r="542" spans="1:4" ht="18.75" x14ac:dyDescent="0.25">
      <c r="A542" s="9" t="s">
        <v>204</v>
      </c>
      <c r="B542" s="7">
        <v>400</v>
      </c>
      <c r="C542" s="7">
        <v>20000</v>
      </c>
      <c r="D542" s="7">
        <f t="shared" si="8"/>
        <v>8000000</v>
      </c>
    </row>
    <row r="543" spans="1:4" ht="18.75" hidden="1" x14ac:dyDescent="0.25">
      <c r="A543" s="36" t="s">
        <v>205</v>
      </c>
      <c r="B543" s="7"/>
      <c r="C543" s="7"/>
      <c r="D543" s="7">
        <f t="shared" si="8"/>
        <v>0</v>
      </c>
    </row>
    <row r="544" spans="1:4" ht="18.75" hidden="1" x14ac:dyDescent="0.25">
      <c r="A544" s="36" t="s">
        <v>206</v>
      </c>
      <c r="B544" s="7"/>
      <c r="C544" s="7"/>
      <c r="D544" s="7">
        <f t="shared" si="8"/>
        <v>0</v>
      </c>
    </row>
    <row r="545" spans="1:4" ht="18.75" hidden="1" x14ac:dyDescent="0.25">
      <c r="A545" s="9" t="s">
        <v>207</v>
      </c>
      <c r="B545" s="7"/>
      <c r="C545" s="7"/>
      <c r="D545" s="7">
        <f t="shared" si="8"/>
        <v>0</v>
      </c>
    </row>
    <row r="546" spans="1:4" ht="18.75" hidden="1" x14ac:dyDescent="0.25">
      <c r="A546" s="11" t="s">
        <v>208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209</v>
      </c>
      <c r="B547" s="7"/>
      <c r="C547" s="7"/>
      <c r="D547" s="7">
        <f t="shared" si="8"/>
        <v>0</v>
      </c>
    </row>
    <row r="548" spans="1:4" ht="18.75" hidden="1" x14ac:dyDescent="0.25">
      <c r="A548" s="11" t="s">
        <v>354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210</v>
      </c>
      <c r="B549" s="7"/>
      <c r="C549" s="7"/>
      <c r="D549" s="7">
        <f t="shared" si="8"/>
        <v>0</v>
      </c>
    </row>
    <row r="550" spans="1:4" ht="18.75" hidden="1" x14ac:dyDescent="0.25">
      <c r="A550" s="9" t="s">
        <v>211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355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356</v>
      </c>
      <c r="B552" s="7"/>
      <c r="C552" s="7"/>
      <c r="D552" s="7">
        <f t="shared" si="8"/>
        <v>0</v>
      </c>
    </row>
    <row r="553" spans="1:4" ht="18.75" hidden="1" x14ac:dyDescent="0.25">
      <c r="A553" s="9" t="s">
        <v>212</v>
      </c>
      <c r="B553" s="7"/>
      <c r="C553" s="7"/>
      <c r="D553" s="7">
        <f t="shared" si="8"/>
        <v>0</v>
      </c>
    </row>
    <row r="554" spans="1:4" ht="18.75" hidden="1" x14ac:dyDescent="0.25">
      <c r="A554" s="37" t="s">
        <v>213</v>
      </c>
      <c r="B554" s="7"/>
      <c r="C554" s="7"/>
      <c r="D554" s="7">
        <f t="shared" si="8"/>
        <v>0</v>
      </c>
    </row>
    <row r="555" spans="1:4" ht="18.75" hidden="1" x14ac:dyDescent="0.25">
      <c r="A555" s="9" t="s">
        <v>214</v>
      </c>
      <c r="B555" s="7"/>
      <c r="C555" s="7"/>
      <c r="D555" s="7">
        <f t="shared" si="8"/>
        <v>0</v>
      </c>
    </row>
    <row r="556" spans="1:4" ht="18.75" x14ac:dyDescent="0.25">
      <c r="A556" s="9" t="s">
        <v>215</v>
      </c>
      <c r="B556" s="7">
        <v>300</v>
      </c>
      <c r="C556" s="7">
        <v>15000</v>
      </c>
      <c r="D556" s="7">
        <f t="shared" si="8"/>
        <v>4500000</v>
      </c>
    </row>
    <row r="557" spans="1:4" ht="18.75" hidden="1" x14ac:dyDescent="0.25">
      <c r="A557" s="9" t="s">
        <v>216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357</v>
      </c>
      <c r="B558" s="7"/>
      <c r="C558" s="7"/>
      <c r="D558" s="7">
        <f t="shared" si="8"/>
        <v>0</v>
      </c>
    </row>
    <row r="559" spans="1:4" ht="18.75" hidden="1" x14ac:dyDescent="0.25">
      <c r="A559" s="9" t="s">
        <v>217</v>
      </c>
      <c r="B559" s="7"/>
      <c r="C559" s="7"/>
      <c r="D559" s="7">
        <f t="shared" si="8"/>
        <v>0</v>
      </c>
    </row>
    <row r="560" spans="1:4" ht="18.75" hidden="1" x14ac:dyDescent="0.25">
      <c r="A560" s="17" t="s">
        <v>218</v>
      </c>
      <c r="B560" s="7"/>
      <c r="C560" s="7"/>
      <c r="D560" s="7">
        <f t="shared" si="8"/>
        <v>0</v>
      </c>
    </row>
    <row r="561" spans="1:4" ht="18.75" hidden="1" x14ac:dyDescent="0.25">
      <c r="A561" s="17" t="s">
        <v>219</v>
      </c>
      <c r="B561" s="7"/>
      <c r="C561" s="7"/>
      <c r="D561" s="7">
        <f t="shared" si="8"/>
        <v>0</v>
      </c>
    </row>
    <row r="562" spans="1:4" ht="18.75" hidden="1" x14ac:dyDescent="0.25">
      <c r="A562" s="17" t="s">
        <v>220</v>
      </c>
      <c r="B562" s="7"/>
      <c r="C562" s="7"/>
      <c r="D562" s="7">
        <f t="shared" si="8"/>
        <v>0</v>
      </c>
    </row>
    <row r="563" spans="1:4" ht="18.75" hidden="1" x14ac:dyDescent="0.25">
      <c r="A563" s="17" t="s">
        <v>221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222</v>
      </c>
      <c r="B564" s="7"/>
      <c r="C564" s="7"/>
      <c r="D564" s="7">
        <f t="shared" si="8"/>
        <v>0</v>
      </c>
    </row>
    <row r="565" spans="1:4" ht="18.75" hidden="1" x14ac:dyDescent="0.25">
      <c r="A565" s="9" t="s">
        <v>223</v>
      </c>
      <c r="B565" s="7"/>
      <c r="C565" s="7"/>
      <c r="D565" s="7">
        <f t="shared" si="8"/>
        <v>0</v>
      </c>
    </row>
    <row r="566" spans="1:4" ht="18.75" hidden="1" x14ac:dyDescent="0.25">
      <c r="A566" s="17" t="s">
        <v>224</v>
      </c>
      <c r="B566" s="7"/>
      <c r="C566" s="7"/>
      <c r="D566" s="7">
        <f t="shared" si="8"/>
        <v>0</v>
      </c>
    </row>
    <row r="567" spans="1:4" ht="18.75" hidden="1" x14ac:dyDescent="0.25">
      <c r="A567" s="17" t="s">
        <v>225</v>
      </c>
      <c r="B567" s="7"/>
      <c r="C567" s="7"/>
      <c r="D567" s="7">
        <f t="shared" si="8"/>
        <v>0</v>
      </c>
    </row>
    <row r="568" spans="1:4" ht="18.75" hidden="1" x14ac:dyDescent="0.25">
      <c r="A568" s="11" t="s">
        <v>226</v>
      </c>
      <c r="B568" s="7"/>
      <c r="C568" s="7"/>
      <c r="D568" s="7">
        <f t="shared" si="8"/>
        <v>0</v>
      </c>
    </row>
    <row r="569" spans="1:4" ht="18.75" hidden="1" x14ac:dyDescent="0.25">
      <c r="A569" s="12" t="s">
        <v>227</v>
      </c>
      <c r="B569" s="7"/>
      <c r="C569" s="7"/>
      <c r="D569" s="7">
        <f t="shared" si="8"/>
        <v>0</v>
      </c>
    </row>
    <row r="570" spans="1:4" ht="18.75" hidden="1" x14ac:dyDescent="0.25">
      <c r="A570" s="21" t="s">
        <v>358</v>
      </c>
      <c r="B570" s="7"/>
      <c r="C570" s="7"/>
      <c r="D570" s="7">
        <f t="shared" si="8"/>
        <v>0</v>
      </c>
    </row>
    <row r="571" spans="1:4" ht="18.75" hidden="1" x14ac:dyDescent="0.25">
      <c r="A571" s="21" t="s">
        <v>359</v>
      </c>
      <c r="B571" s="7"/>
      <c r="C571" s="7"/>
      <c r="D571" s="7">
        <f t="shared" si="8"/>
        <v>0</v>
      </c>
    </row>
    <row r="572" spans="1:4" ht="18.75" hidden="1" x14ac:dyDescent="0.25">
      <c r="A572" s="11" t="s">
        <v>232</v>
      </c>
      <c r="B572" s="7"/>
      <c r="C572" s="7"/>
      <c r="D572" s="7">
        <f t="shared" si="8"/>
        <v>0</v>
      </c>
    </row>
    <row r="573" spans="1:4" ht="18.75" hidden="1" x14ac:dyDescent="0.25">
      <c r="A573" s="9" t="s">
        <v>237</v>
      </c>
      <c r="B573" s="7"/>
      <c r="C573" s="7"/>
      <c r="D573" s="7">
        <f t="shared" si="8"/>
        <v>0</v>
      </c>
    </row>
    <row r="574" spans="1:4" ht="18.75" hidden="1" x14ac:dyDescent="0.25">
      <c r="A574" s="9" t="s">
        <v>238</v>
      </c>
      <c r="B574" s="7"/>
      <c r="C574" s="7"/>
      <c r="D574" s="7">
        <f t="shared" si="8"/>
        <v>0</v>
      </c>
    </row>
    <row r="575" spans="1:4" ht="18.75" hidden="1" x14ac:dyDescent="0.25">
      <c r="A575" s="13" t="s">
        <v>239</v>
      </c>
      <c r="B575" s="7"/>
      <c r="C575" s="7"/>
      <c r="D575" s="7">
        <f t="shared" si="8"/>
        <v>0</v>
      </c>
    </row>
    <row r="576" spans="1:4" ht="18.75" hidden="1" x14ac:dyDescent="0.25">
      <c r="A576" s="13" t="s">
        <v>240</v>
      </c>
      <c r="B576" s="7"/>
      <c r="C576" s="7"/>
      <c r="D576" s="7">
        <f t="shared" si="8"/>
        <v>0</v>
      </c>
    </row>
    <row r="577" spans="1:4" ht="18.75" hidden="1" x14ac:dyDescent="0.25">
      <c r="A577" s="34" t="s">
        <v>241</v>
      </c>
      <c r="B577" s="7"/>
      <c r="C577" s="7"/>
      <c r="D577" s="7">
        <f t="shared" si="8"/>
        <v>0</v>
      </c>
    </row>
    <row r="578" spans="1:4" ht="18.75" hidden="1" x14ac:dyDescent="0.25">
      <c r="A578" s="9" t="s">
        <v>242</v>
      </c>
      <c r="B578" s="7"/>
      <c r="C578" s="7"/>
      <c r="D578" s="7">
        <f t="shared" si="8"/>
        <v>0</v>
      </c>
    </row>
    <row r="579" spans="1:4" ht="18.75" hidden="1" x14ac:dyDescent="0.25">
      <c r="A579" s="9" t="s">
        <v>243</v>
      </c>
      <c r="B579" s="7"/>
      <c r="C579" s="7"/>
      <c r="D579" s="7">
        <f t="shared" si="8"/>
        <v>0</v>
      </c>
    </row>
    <row r="580" spans="1:4" ht="18.75" hidden="1" x14ac:dyDescent="0.25">
      <c r="A580" s="9" t="s">
        <v>244</v>
      </c>
      <c r="B580" s="16"/>
      <c r="C580" s="16"/>
      <c r="D580" s="7">
        <f t="shared" ref="D580:D643" si="9">B580*C580</f>
        <v>0</v>
      </c>
    </row>
    <row r="581" spans="1:4" ht="18.75" hidden="1" x14ac:dyDescent="0.25">
      <c r="A581" s="34" t="s">
        <v>245</v>
      </c>
      <c r="B581" s="7"/>
      <c r="C581" s="7"/>
      <c r="D581" s="7">
        <f t="shared" si="9"/>
        <v>0</v>
      </c>
    </row>
    <row r="582" spans="1:4" ht="18.75" hidden="1" x14ac:dyDescent="0.25">
      <c r="A582" s="9" t="s">
        <v>246</v>
      </c>
      <c r="B582" s="16"/>
      <c r="C582" s="16"/>
      <c r="D582" s="7">
        <f t="shared" si="9"/>
        <v>0</v>
      </c>
    </row>
    <row r="583" spans="1:4" ht="18.75" hidden="1" x14ac:dyDescent="0.25">
      <c r="A583" s="9" t="s">
        <v>247</v>
      </c>
      <c r="B583" s="7"/>
      <c r="C583" s="7"/>
      <c r="D583" s="7">
        <f t="shared" si="9"/>
        <v>0</v>
      </c>
    </row>
    <row r="584" spans="1:4" ht="18.75" hidden="1" x14ac:dyDescent="0.25">
      <c r="A584" s="11" t="s">
        <v>249</v>
      </c>
      <c r="B584" s="7"/>
      <c r="C584" s="7"/>
      <c r="D584" s="7">
        <f t="shared" si="9"/>
        <v>0</v>
      </c>
    </row>
    <row r="585" spans="1:4" ht="18.75" x14ac:dyDescent="0.25">
      <c r="A585" s="9" t="s">
        <v>250</v>
      </c>
      <c r="B585" s="7">
        <v>20</v>
      </c>
      <c r="C585" s="7">
        <v>21000</v>
      </c>
      <c r="D585" s="7">
        <f t="shared" si="9"/>
        <v>420000</v>
      </c>
    </row>
    <row r="586" spans="1:4" ht="18.75" hidden="1" x14ac:dyDescent="0.25">
      <c r="A586" s="9" t="s">
        <v>251</v>
      </c>
      <c r="B586" s="7"/>
      <c r="C586" s="7"/>
      <c r="D586" s="7">
        <f t="shared" si="9"/>
        <v>0</v>
      </c>
    </row>
    <row r="587" spans="1:4" ht="18.75" hidden="1" x14ac:dyDescent="0.25">
      <c r="A587" s="9" t="s">
        <v>252</v>
      </c>
      <c r="B587" s="7"/>
      <c r="C587" s="7"/>
      <c r="D587" s="7">
        <f t="shared" si="9"/>
        <v>0</v>
      </c>
    </row>
    <row r="588" spans="1:4" ht="18.75" hidden="1" x14ac:dyDescent="0.25">
      <c r="A588" s="9" t="s">
        <v>253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254</v>
      </c>
      <c r="B589" s="7"/>
      <c r="C589" s="7"/>
      <c r="D589" s="7">
        <f t="shared" si="9"/>
        <v>0</v>
      </c>
    </row>
    <row r="590" spans="1:4" ht="18.75" hidden="1" x14ac:dyDescent="0.25">
      <c r="A590" s="17" t="s">
        <v>255</v>
      </c>
      <c r="B590" s="7"/>
      <c r="C590" s="7"/>
      <c r="D590" s="7">
        <f t="shared" si="9"/>
        <v>0</v>
      </c>
    </row>
    <row r="591" spans="1:4" ht="18.75" hidden="1" x14ac:dyDescent="0.25">
      <c r="A591" s="21" t="s">
        <v>256</v>
      </c>
      <c r="B591" s="7"/>
      <c r="C591" s="7"/>
      <c r="D591" s="7">
        <f t="shared" si="9"/>
        <v>0</v>
      </c>
    </row>
    <row r="592" spans="1:4" ht="18.75" hidden="1" x14ac:dyDescent="0.25">
      <c r="A592" s="21" t="s">
        <v>257</v>
      </c>
      <c r="B592" s="7"/>
      <c r="C592" s="7"/>
      <c r="D592" s="7">
        <f t="shared" si="9"/>
        <v>0</v>
      </c>
    </row>
    <row r="593" spans="1:4" ht="18.75" x14ac:dyDescent="0.25">
      <c r="A593" s="9" t="s">
        <v>258</v>
      </c>
      <c r="B593" s="7">
        <v>20</v>
      </c>
      <c r="C593" s="7">
        <v>19000</v>
      </c>
      <c r="D593" s="7">
        <f t="shared" si="9"/>
        <v>380000</v>
      </c>
    </row>
    <row r="594" spans="1:4" ht="18.75" hidden="1" x14ac:dyDescent="0.25">
      <c r="A594" s="9" t="s">
        <v>259</v>
      </c>
      <c r="B594" s="7"/>
      <c r="C594" s="7"/>
      <c r="D594" s="7">
        <f t="shared" si="9"/>
        <v>0</v>
      </c>
    </row>
    <row r="595" spans="1:4" ht="18.75" hidden="1" x14ac:dyDescent="0.25">
      <c r="A595" s="9" t="s">
        <v>260</v>
      </c>
      <c r="B595" s="7"/>
      <c r="C595" s="7"/>
      <c r="D595" s="7">
        <f t="shared" si="9"/>
        <v>0</v>
      </c>
    </row>
    <row r="596" spans="1:4" ht="18.75" hidden="1" x14ac:dyDescent="0.25">
      <c r="A596" s="9" t="s">
        <v>261</v>
      </c>
      <c r="B596" s="7"/>
      <c r="C596" s="7"/>
      <c r="D596" s="7">
        <f t="shared" si="9"/>
        <v>0</v>
      </c>
    </row>
    <row r="597" spans="1:4" ht="18.75" hidden="1" x14ac:dyDescent="0.25">
      <c r="A597" s="9" t="s">
        <v>262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263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264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265</v>
      </c>
      <c r="B600" s="16"/>
      <c r="C600" s="16"/>
      <c r="D600" s="7">
        <f t="shared" si="9"/>
        <v>0</v>
      </c>
    </row>
    <row r="601" spans="1:4" ht="18.75" hidden="1" x14ac:dyDescent="0.25">
      <c r="A601" s="13" t="s">
        <v>266</v>
      </c>
      <c r="B601" s="7"/>
      <c r="C601" s="7"/>
      <c r="D601" s="7">
        <f t="shared" si="9"/>
        <v>0</v>
      </c>
    </row>
    <row r="602" spans="1:4" ht="18.75" hidden="1" x14ac:dyDescent="0.25">
      <c r="A602" s="9" t="s">
        <v>267</v>
      </c>
      <c r="B602" s="7"/>
      <c r="C602" s="7"/>
      <c r="D602" s="7">
        <f t="shared" si="9"/>
        <v>0</v>
      </c>
    </row>
    <row r="603" spans="1:4" ht="18.75" hidden="1" x14ac:dyDescent="0.25">
      <c r="A603" s="11" t="s">
        <v>360</v>
      </c>
      <c r="B603" s="7"/>
      <c r="C603" s="7"/>
      <c r="D603" s="7">
        <f t="shared" si="9"/>
        <v>0</v>
      </c>
    </row>
    <row r="604" spans="1:4" ht="18.75" hidden="1" x14ac:dyDescent="0.25">
      <c r="A604" s="11" t="s">
        <v>268</v>
      </c>
      <c r="B604" s="7"/>
      <c r="C604" s="7"/>
      <c r="D604" s="7">
        <f t="shared" si="9"/>
        <v>0</v>
      </c>
    </row>
    <row r="605" spans="1:4" ht="18.75" hidden="1" x14ac:dyDescent="0.25">
      <c r="A605" s="9" t="s">
        <v>269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361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270</v>
      </c>
      <c r="B607" s="7"/>
      <c r="C607" s="7"/>
      <c r="D607" s="7">
        <f t="shared" si="9"/>
        <v>0</v>
      </c>
    </row>
    <row r="608" spans="1:4" ht="18.75" hidden="1" x14ac:dyDescent="0.25">
      <c r="A608" s="9" t="s">
        <v>362</v>
      </c>
      <c r="B608" s="7"/>
      <c r="C608" s="7"/>
      <c r="D608" s="7">
        <f t="shared" si="9"/>
        <v>0</v>
      </c>
    </row>
    <row r="609" spans="1:4" ht="18.75" hidden="1" x14ac:dyDescent="0.25">
      <c r="A609" s="9" t="s">
        <v>272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273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274</v>
      </c>
      <c r="B611" s="7"/>
      <c r="C611" s="7"/>
      <c r="D611" s="7">
        <f t="shared" si="9"/>
        <v>0</v>
      </c>
    </row>
    <row r="612" spans="1:4" ht="18.75" hidden="1" x14ac:dyDescent="0.25">
      <c r="A612" s="34" t="s">
        <v>276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277</v>
      </c>
      <c r="B613" s="7"/>
      <c r="C613" s="7"/>
      <c r="D613" s="7">
        <f t="shared" si="9"/>
        <v>0</v>
      </c>
    </row>
    <row r="614" spans="1:4" ht="18.75" hidden="1" x14ac:dyDescent="0.25">
      <c r="A614" s="34" t="s">
        <v>278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363</v>
      </c>
      <c r="B615" s="7"/>
      <c r="C615" s="7"/>
      <c r="D615" s="7">
        <f t="shared" si="9"/>
        <v>0</v>
      </c>
    </row>
    <row r="616" spans="1:4" ht="18.75" hidden="1" x14ac:dyDescent="0.25">
      <c r="A616" s="34" t="s">
        <v>279</v>
      </c>
      <c r="B616" s="7"/>
      <c r="C616" s="7"/>
      <c r="D616" s="7">
        <f t="shared" si="9"/>
        <v>0</v>
      </c>
    </row>
    <row r="617" spans="1:4" ht="18.75" hidden="1" x14ac:dyDescent="0.25">
      <c r="A617" s="12" t="s">
        <v>280</v>
      </c>
      <c r="B617" s="16"/>
      <c r="C617" s="16"/>
      <c r="D617" s="7">
        <f t="shared" si="9"/>
        <v>0</v>
      </c>
    </row>
    <row r="618" spans="1:4" ht="18.75" hidden="1" x14ac:dyDescent="0.25">
      <c r="A618" s="17" t="s">
        <v>284</v>
      </c>
      <c r="B618" s="7"/>
      <c r="C618" s="7"/>
      <c r="D618" s="7">
        <f t="shared" si="9"/>
        <v>0</v>
      </c>
    </row>
    <row r="619" spans="1:4" ht="18.75" hidden="1" x14ac:dyDescent="0.25">
      <c r="A619" s="17" t="s">
        <v>285</v>
      </c>
      <c r="B619" s="7"/>
      <c r="C619" s="7"/>
      <c r="D619" s="7">
        <f t="shared" si="9"/>
        <v>0</v>
      </c>
    </row>
    <row r="620" spans="1:4" ht="18.75" hidden="1" x14ac:dyDescent="0.25">
      <c r="A620" s="17" t="s">
        <v>286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287</v>
      </c>
      <c r="B621" s="7"/>
      <c r="C621" s="7"/>
      <c r="D621" s="7">
        <f t="shared" si="9"/>
        <v>0</v>
      </c>
    </row>
    <row r="622" spans="1:4" ht="18.75" hidden="1" x14ac:dyDescent="0.25">
      <c r="A622" s="17" t="s">
        <v>288</v>
      </c>
      <c r="B622" s="7"/>
      <c r="C622" s="7"/>
      <c r="D622" s="7">
        <f t="shared" si="9"/>
        <v>0</v>
      </c>
    </row>
    <row r="623" spans="1:4" ht="18.75" hidden="1" x14ac:dyDescent="0.25">
      <c r="A623" s="9" t="s">
        <v>289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290</v>
      </c>
      <c r="B624" s="7"/>
      <c r="C624" s="7"/>
      <c r="D624" s="7">
        <f t="shared" si="9"/>
        <v>0</v>
      </c>
    </row>
    <row r="625" spans="1:4" ht="18.75" hidden="1" x14ac:dyDescent="0.25">
      <c r="A625" s="17" t="s">
        <v>291</v>
      </c>
      <c r="B625" s="7"/>
      <c r="C625" s="7"/>
      <c r="D625" s="7">
        <f t="shared" si="9"/>
        <v>0</v>
      </c>
    </row>
    <row r="626" spans="1:4" ht="18.75" hidden="1" x14ac:dyDescent="0.25">
      <c r="A626" s="25" t="s">
        <v>292</v>
      </c>
      <c r="B626" s="7"/>
      <c r="C626" s="7"/>
      <c r="D626" s="7">
        <f t="shared" si="9"/>
        <v>0</v>
      </c>
    </row>
    <row r="627" spans="1:4" ht="18.75" hidden="1" x14ac:dyDescent="0.25">
      <c r="A627" s="9" t="s">
        <v>293</v>
      </c>
      <c r="B627" s="7"/>
      <c r="C627" s="7"/>
      <c r="D627" s="7">
        <f t="shared" si="9"/>
        <v>0</v>
      </c>
    </row>
    <row r="628" spans="1:4" ht="18.75" hidden="1" x14ac:dyDescent="0.25">
      <c r="A628" s="13" t="s">
        <v>294</v>
      </c>
      <c r="B628" s="7"/>
      <c r="C628" s="7"/>
      <c r="D628" s="7">
        <f t="shared" si="9"/>
        <v>0</v>
      </c>
    </row>
    <row r="629" spans="1:4" ht="18.75" hidden="1" x14ac:dyDescent="0.25">
      <c r="A629" s="12" t="s">
        <v>296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297</v>
      </c>
      <c r="B630" s="7"/>
      <c r="C630" s="7"/>
      <c r="D630" s="7">
        <f t="shared" si="9"/>
        <v>0</v>
      </c>
    </row>
    <row r="631" spans="1:4" ht="18.75" hidden="1" x14ac:dyDescent="0.25">
      <c r="A631" s="13" t="s">
        <v>298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299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300</v>
      </c>
      <c r="B633" s="7"/>
      <c r="C633" s="7"/>
      <c r="D633" s="7">
        <f t="shared" si="9"/>
        <v>0</v>
      </c>
    </row>
    <row r="634" spans="1:4" ht="18.75" hidden="1" x14ac:dyDescent="0.25">
      <c r="A634" s="12" t="s">
        <v>364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365</v>
      </c>
      <c r="B635" s="7"/>
      <c r="C635" s="7"/>
      <c r="D635" s="7">
        <f t="shared" si="9"/>
        <v>0</v>
      </c>
    </row>
    <row r="636" spans="1:4" ht="18.75" hidden="1" x14ac:dyDescent="0.25">
      <c r="A636" s="11" t="s">
        <v>303</v>
      </c>
      <c r="B636" s="7"/>
      <c r="C636" s="7"/>
      <c r="D636" s="7">
        <f t="shared" si="9"/>
        <v>0</v>
      </c>
    </row>
    <row r="637" spans="1:4" ht="18.75" hidden="1" x14ac:dyDescent="0.25">
      <c r="A637" s="9" t="s">
        <v>366</v>
      </c>
      <c r="B637" s="7"/>
      <c r="C637" s="7"/>
      <c r="D637" s="7">
        <f t="shared" si="9"/>
        <v>0</v>
      </c>
    </row>
    <row r="638" spans="1:4" ht="18.75" hidden="1" x14ac:dyDescent="0.25">
      <c r="A638" s="12" t="s">
        <v>304</v>
      </c>
      <c r="B638" s="7"/>
      <c r="C638" s="7"/>
      <c r="D638" s="7">
        <f t="shared" si="9"/>
        <v>0</v>
      </c>
    </row>
    <row r="639" spans="1:4" ht="18.75" hidden="1" x14ac:dyDescent="0.25">
      <c r="A639" s="12" t="s">
        <v>305</v>
      </c>
      <c r="B639" s="7"/>
      <c r="C639" s="7"/>
      <c r="D639" s="7">
        <f t="shared" si="9"/>
        <v>0</v>
      </c>
    </row>
    <row r="640" spans="1:4" ht="18.75" hidden="1" x14ac:dyDescent="0.25">
      <c r="A640" s="9" t="s">
        <v>306</v>
      </c>
      <c r="B640" s="7"/>
      <c r="C640" s="7"/>
      <c r="D640" s="7">
        <f t="shared" si="9"/>
        <v>0</v>
      </c>
    </row>
    <row r="641" spans="1:4" ht="18.75" hidden="1" x14ac:dyDescent="0.25">
      <c r="A641" s="9" t="s">
        <v>307</v>
      </c>
      <c r="B641" s="7"/>
      <c r="C641" s="7"/>
      <c r="D641" s="7">
        <f t="shared" si="9"/>
        <v>0</v>
      </c>
    </row>
    <row r="642" spans="1:4" ht="18.75" hidden="1" x14ac:dyDescent="0.25">
      <c r="A642" s="9" t="s">
        <v>308</v>
      </c>
      <c r="B642" s="7"/>
      <c r="C642" s="7"/>
      <c r="D642" s="7">
        <f t="shared" si="9"/>
        <v>0</v>
      </c>
    </row>
    <row r="643" spans="1:4" ht="18.75" hidden="1" x14ac:dyDescent="0.25">
      <c r="A643" s="13" t="s">
        <v>309</v>
      </c>
      <c r="B643" s="7"/>
      <c r="C643" s="7"/>
      <c r="D643" s="7">
        <f t="shared" si="9"/>
        <v>0</v>
      </c>
    </row>
    <row r="644" spans="1:4" ht="18.75" hidden="1" x14ac:dyDescent="0.25">
      <c r="A644" s="13" t="s">
        <v>310</v>
      </c>
      <c r="B644" s="7"/>
      <c r="C644" s="7"/>
      <c r="D644" s="7">
        <f t="shared" ref="D644:D671" si="10">B644*C644</f>
        <v>0</v>
      </c>
    </row>
    <row r="645" spans="1:4" ht="18.75" hidden="1" x14ac:dyDescent="0.25">
      <c r="A645" s="21" t="s">
        <v>311</v>
      </c>
      <c r="B645" s="7"/>
      <c r="C645" s="7"/>
      <c r="D645" s="7">
        <f t="shared" si="10"/>
        <v>0</v>
      </c>
    </row>
    <row r="646" spans="1:4" ht="18.75" hidden="1" x14ac:dyDescent="0.25">
      <c r="A646" s="13" t="s">
        <v>312</v>
      </c>
      <c r="B646" s="7"/>
      <c r="C646" s="7"/>
      <c r="D646" s="7">
        <f t="shared" si="10"/>
        <v>0</v>
      </c>
    </row>
    <row r="647" spans="1:4" ht="18.75" hidden="1" x14ac:dyDescent="0.25">
      <c r="A647" s="9" t="s">
        <v>313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314</v>
      </c>
      <c r="B648" s="7"/>
      <c r="C648" s="7"/>
      <c r="D648" s="7">
        <f t="shared" si="10"/>
        <v>0</v>
      </c>
    </row>
    <row r="649" spans="1:4" ht="18.75" hidden="1" x14ac:dyDescent="0.25">
      <c r="A649" s="9" t="s">
        <v>315</v>
      </c>
      <c r="B649" s="7"/>
      <c r="C649" s="7"/>
      <c r="D649" s="7">
        <f t="shared" si="10"/>
        <v>0</v>
      </c>
    </row>
    <row r="650" spans="1:4" ht="18.75" hidden="1" x14ac:dyDescent="0.25">
      <c r="A650" s="9" t="s">
        <v>316</v>
      </c>
      <c r="B650" s="7"/>
      <c r="C650" s="7"/>
      <c r="D650" s="7">
        <f t="shared" si="10"/>
        <v>0</v>
      </c>
    </row>
    <row r="651" spans="1:4" ht="18.75" hidden="1" x14ac:dyDescent="0.25">
      <c r="A651" s="21" t="s">
        <v>317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318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319</v>
      </c>
      <c r="B653" s="7"/>
      <c r="C653" s="7"/>
      <c r="D653" s="7">
        <f t="shared" si="10"/>
        <v>0</v>
      </c>
    </row>
    <row r="654" spans="1:4" ht="18.75" hidden="1" x14ac:dyDescent="0.25">
      <c r="A654" s="12" t="s">
        <v>320</v>
      </c>
      <c r="B654" s="7"/>
      <c r="C654" s="7"/>
      <c r="D654" s="7">
        <f t="shared" si="10"/>
        <v>0</v>
      </c>
    </row>
    <row r="655" spans="1:4" ht="18.75" hidden="1" x14ac:dyDescent="0.25">
      <c r="A655" s="9" t="s">
        <v>321</v>
      </c>
      <c r="B655" s="39"/>
      <c r="C655" s="39"/>
      <c r="D655" s="7">
        <f t="shared" si="10"/>
        <v>0</v>
      </c>
    </row>
    <row r="656" spans="1:4" ht="18.75" hidden="1" x14ac:dyDescent="0.25">
      <c r="A656" s="9" t="s">
        <v>322</v>
      </c>
      <c r="B656" s="7"/>
      <c r="C656" s="7"/>
      <c r="D656" s="7">
        <f t="shared" si="10"/>
        <v>0</v>
      </c>
    </row>
    <row r="657" spans="1:4" ht="18.75" hidden="1" x14ac:dyDescent="0.25">
      <c r="A657" s="9" t="s">
        <v>323</v>
      </c>
      <c r="B657" s="7"/>
      <c r="C657" s="7"/>
      <c r="D657" s="7">
        <f t="shared" si="10"/>
        <v>0</v>
      </c>
    </row>
    <row r="658" spans="1:4" ht="18.75" hidden="1" x14ac:dyDescent="0.25">
      <c r="A658" s="21" t="s">
        <v>324</v>
      </c>
      <c r="B658" s="7"/>
      <c r="C658" s="7"/>
      <c r="D658" s="7">
        <f t="shared" si="10"/>
        <v>0</v>
      </c>
    </row>
    <row r="659" spans="1:4" ht="18.75" hidden="1" x14ac:dyDescent="0.25">
      <c r="A659" s="21" t="s">
        <v>325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326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327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328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329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330</v>
      </c>
      <c r="B664" s="7"/>
      <c r="C664" s="7"/>
      <c r="D664" s="7">
        <f t="shared" si="10"/>
        <v>0</v>
      </c>
    </row>
    <row r="665" spans="1:4" ht="18.75" hidden="1" x14ac:dyDescent="0.25">
      <c r="A665" s="9" t="s">
        <v>331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332</v>
      </c>
      <c r="B666" s="7"/>
      <c r="C666" s="7"/>
      <c r="D666" s="7">
        <f t="shared" si="10"/>
        <v>0</v>
      </c>
    </row>
    <row r="667" spans="1:4" ht="18.75" hidden="1" x14ac:dyDescent="0.25">
      <c r="A667" s="9" t="s">
        <v>333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334</v>
      </c>
      <c r="B668" s="7"/>
      <c r="C668" s="7"/>
      <c r="D668" s="7">
        <f t="shared" si="10"/>
        <v>0</v>
      </c>
    </row>
    <row r="669" spans="1:4" ht="18.75" hidden="1" x14ac:dyDescent="0.25">
      <c r="A669" s="9" t="s">
        <v>335</v>
      </c>
      <c r="B669" s="7"/>
      <c r="C669" s="7"/>
      <c r="D669" s="7">
        <f t="shared" si="10"/>
        <v>0</v>
      </c>
    </row>
    <row r="670" spans="1:4" ht="18.75" hidden="1" x14ac:dyDescent="0.25">
      <c r="A670" s="9" t="s">
        <v>336</v>
      </c>
      <c r="B670" s="7"/>
      <c r="C670" s="7"/>
      <c r="D670" s="7">
        <f t="shared" si="10"/>
        <v>0</v>
      </c>
    </row>
    <row r="671" spans="1:4" ht="18.75" hidden="1" x14ac:dyDescent="0.25">
      <c r="A671" s="11" t="s">
        <v>338</v>
      </c>
      <c r="B671" s="7"/>
      <c r="C671" s="7"/>
      <c r="D671" s="7">
        <f t="shared" si="10"/>
        <v>0</v>
      </c>
    </row>
    <row r="672" spans="1:4" ht="18.75" x14ac:dyDescent="0.25">
      <c r="A672" s="40"/>
      <c r="B672" s="43">
        <f>SUM(B345:B671)</f>
        <v>1618</v>
      </c>
      <c r="C672" s="43"/>
      <c r="D672" s="43">
        <f t="shared" ref="D672" si="11">SUM(D345:D671)</f>
        <v>26055500</v>
      </c>
    </row>
    <row r="674" spans="4:4" x14ac:dyDescent="0.25">
      <c r="D674" s="53">
        <f>D672+D340</f>
        <v>68754500</v>
      </c>
    </row>
  </sheetData>
  <protectedRanges>
    <protectedRange password="CF71" sqref="B18:B339 C3:C339 B3:B16 B1:D2" name="tho"/>
    <protectedRange password="CF71" sqref="D3:D671" name="tho_2"/>
    <protectedRange password="CF71" sqref="B342:C342 C343:C671" name="tho_1"/>
    <protectedRange password="CF71" sqref="B343:B671" name="tho_2_1"/>
  </protectedRanges>
  <autoFilter ref="A2:D672" xr:uid="{00000000-0009-0000-0000-000004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682"/>
  <sheetViews>
    <sheetView topLeftCell="A281" workbookViewId="0">
      <selection activeCell="D682" sqref="D682"/>
    </sheetView>
  </sheetViews>
  <sheetFormatPr defaultRowHeight="15" x14ac:dyDescent="0.25"/>
  <cols>
    <col min="1" max="1" width="39.42578125" customWidth="1"/>
    <col min="2" max="2" width="12.42578125" customWidth="1"/>
    <col min="3" max="3" width="14.7109375" customWidth="1"/>
    <col min="4" max="4" width="20.140625" customWidth="1"/>
  </cols>
  <sheetData>
    <row r="1" spans="1:4" x14ac:dyDescent="0.25">
      <c r="A1" s="1" t="s">
        <v>387</v>
      </c>
      <c r="B1" s="2"/>
      <c r="C1" s="2"/>
      <c r="D1" s="2"/>
    </row>
    <row r="2" spans="1:4" ht="25.9" customHeight="1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20" t="s">
        <v>74</v>
      </c>
      <c r="B3" s="7"/>
      <c r="C3" s="7"/>
      <c r="D3" s="7">
        <f>B3*C3</f>
        <v>0</v>
      </c>
    </row>
    <row r="4" spans="1:4" ht="18.75" x14ac:dyDescent="0.25">
      <c r="A4" s="12" t="s">
        <v>69</v>
      </c>
      <c r="B4" s="7">
        <f>16+4</f>
        <v>20</v>
      </c>
      <c r="C4" s="7">
        <v>8000</v>
      </c>
      <c r="D4" s="7">
        <f t="shared" ref="D4:D67" si="0">B4*C4</f>
        <v>160000</v>
      </c>
    </row>
    <row r="5" spans="1:4" ht="18.75" hidden="1" x14ac:dyDescent="0.25">
      <c r="A5" s="11" t="s">
        <v>70</v>
      </c>
      <c r="B5" s="7"/>
      <c r="C5" s="7"/>
      <c r="D5" s="7">
        <f t="shared" si="0"/>
        <v>0</v>
      </c>
    </row>
    <row r="6" spans="1:4" ht="18.75" hidden="1" x14ac:dyDescent="0.25">
      <c r="A6" s="12" t="s">
        <v>71</v>
      </c>
      <c r="B6" s="7"/>
      <c r="C6" s="7"/>
      <c r="D6" s="7">
        <f t="shared" si="0"/>
        <v>0</v>
      </c>
    </row>
    <row r="7" spans="1:4" ht="18.75" hidden="1" x14ac:dyDescent="0.25">
      <c r="A7" s="12" t="s">
        <v>72</v>
      </c>
      <c r="B7" s="7"/>
      <c r="C7" s="7"/>
      <c r="D7" s="7">
        <f t="shared" si="0"/>
        <v>0</v>
      </c>
    </row>
    <row r="8" spans="1:4" ht="18.75" hidden="1" x14ac:dyDescent="0.25">
      <c r="A8" s="12" t="s">
        <v>73</v>
      </c>
      <c r="B8" s="7"/>
      <c r="C8" s="7"/>
      <c r="D8" s="7">
        <f t="shared" si="0"/>
        <v>0</v>
      </c>
    </row>
    <row r="9" spans="1:4" ht="18.75" hidden="1" x14ac:dyDescent="0.25">
      <c r="A9" s="9" t="s">
        <v>75</v>
      </c>
      <c r="B9" s="7"/>
      <c r="C9" s="7"/>
      <c r="D9" s="7">
        <f t="shared" si="0"/>
        <v>0</v>
      </c>
    </row>
    <row r="10" spans="1:4" ht="18.75" hidden="1" x14ac:dyDescent="0.25">
      <c r="A10" s="12" t="s">
        <v>82</v>
      </c>
      <c r="B10" s="16"/>
      <c r="C10" s="16"/>
      <c r="D10" s="7">
        <f t="shared" si="0"/>
        <v>0</v>
      </c>
    </row>
    <row r="11" spans="1:4" ht="18.75" hidden="1" x14ac:dyDescent="0.25">
      <c r="A11" s="12" t="s">
        <v>83</v>
      </c>
      <c r="B11" s="16"/>
      <c r="C11" s="16"/>
      <c r="D11" s="7">
        <f t="shared" si="0"/>
        <v>0</v>
      </c>
    </row>
    <row r="12" spans="1:4" ht="18.75" hidden="1" x14ac:dyDescent="0.25">
      <c r="A12" s="12" t="s">
        <v>84</v>
      </c>
      <c r="B12" s="16"/>
      <c r="C12" s="16"/>
      <c r="D12" s="7">
        <f t="shared" si="0"/>
        <v>0</v>
      </c>
    </row>
    <row r="13" spans="1:4" ht="18.75" hidden="1" x14ac:dyDescent="0.25">
      <c r="A13" s="9" t="s">
        <v>96</v>
      </c>
      <c r="B13" s="7"/>
      <c r="C13" s="7"/>
      <c r="D13" s="7">
        <f t="shared" si="0"/>
        <v>0</v>
      </c>
    </row>
    <row r="14" spans="1:4" ht="18.75" hidden="1" x14ac:dyDescent="0.25">
      <c r="A14" s="9" t="s">
        <v>97</v>
      </c>
      <c r="B14" s="7"/>
      <c r="C14" s="7"/>
      <c r="D14" s="7">
        <f t="shared" si="0"/>
        <v>0</v>
      </c>
    </row>
    <row r="15" spans="1:4" ht="18.75" hidden="1" x14ac:dyDescent="0.25">
      <c r="A15" s="9" t="s">
        <v>99</v>
      </c>
      <c r="B15" s="16"/>
      <c r="C15" s="16"/>
      <c r="D15" s="7">
        <f t="shared" si="0"/>
        <v>0</v>
      </c>
    </row>
    <row r="16" spans="1:4" ht="18.75" hidden="1" x14ac:dyDescent="0.25">
      <c r="A16" s="11" t="s">
        <v>100</v>
      </c>
      <c r="B16" s="7"/>
      <c r="C16" s="7"/>
      <c r="D16" s="7">
        <f t="shared" si="0"/>
        <v>0</v>
      </c>
    </row>
    <row r="17" spans="1:4" ht="18.75" hidden="1" x14ac:dyDescent="0.25">
      <c r="A17" s="21" t="s">
        <v>101</v>
      </c>
      <c r="B17" s="7"/>
      <c r="C17" s="7"/>
      <c r="D17" s="7">
        <f t="shared" si="0"/>
        <v>0</v>
      </c>
    </row>
    <row r="18" spans="1:4" ht="18.75" hidden="1" x14ac:dyDescent="0.25">
      <c r="A18" s="11" t="s">
        <v>117</v>
      </c>
      <c r="B18" s="7"/>
      <c r="C18" s="7"/>
      <c r="D18" s="7">
        <f t="shared" si="0"/>
        <v>0</v>
      </c>
    </row>
    <row r="19" spans="1:4" ht="18.75" hidden="1" x14ac:dyDescent="0.25">
      <c r="A19" s="21" t="s">
        <v>118</v>
      </c>
      <c r="B19" s="7"/>
      <c r="C19" s="7"/>
      <c r="D19" s="7">
        <f t="shared" si="0"/>
        <v>0</v>
      </c>
    </row>
    <row r="20" spans="1:4" ht="18.75" x14ac:dyDescent="0.25">
      <c r="A20" s="9" t="s">
        <v>110</v>
      </c>
      <c r="B20" s="7">
        <v>30</v>
      </c>
      <c r="C20" s="7">
        <v>20000</v>
      </c>
      <c r="D20" s="7">
        <f t="shared" si="0"/>
        <v>600000</v>
      </c>
    </row>
    <row r="21" spans="1:4" ht="18.75" hidden="1" x14ac:dyDescent="0.25">
      <c r="A21" s="9" t="s">
        <v>111</v>
      </c>
      <c r="B21" s="7"/>
      <c r="C21" s="7"/>
      <c r="D21" s="7">
        <f t="shared" si="0"/>
        <v>0</v>
      </c>
    </row>
    <row r="22" spans="1:4" ht="18.75" hidden="1" x14ac:dyDescent="0.25">
      <c r="A22" s="9" t="s">
        <v>112</v>
      </c>
      <c r="B22" s="7"/>
      <c r="C22" s="7"/>
      <c r="D22" s="7">
        <f t="shared" si="0"/>
        <v>0</v>
      </c>
    </row>
    <row r="23" spans="1:4" ht="18.75" hidden="1" x14ac:dyDescent="0.25">
      <c r="A23" s="11" t="s">
        <v>249</v>
      </c>
      <c r="B23" s="7"/>
      <c r="C23" s="7"/>
      <c r="D23" s="7">
        <f t="shared" si="0"/>
        <v>0</v>
      </c>
    </row>
    <row r="24" spans="1:4" ht="18.75" x14ac:dyDescent="0.25">
      <c r="A24" s="9" t="s">
        <v>250</v>
      </c>
      <c r="B24" s="7">
        <f>-20+20+40+47+13+12+20</f>
        <v>132</v>
      </c>
      <c r="C24" s="7">
        <v>21000</v>
      </c>
      <c r="D24" s="7">
        <f t="shared" si="0"/>
        <v>2772000</v>
      </c>
    </row>
    <row r="25" spans="1:4" ht="18.75" hidden="1" x14ac:dyDescent="0.25">
      <c r="A25" s="9" t="s">
        <v>251</v>
      </c>
      <c r="B25" s="7"/>
      <c r="C25" s="7"/>
      <c r="D25" s="7">
        <f t="shared" si="0"/>
        <v>0</v>
      </c>
    </row>
    <row r="26" spans="1:4" ht="18.75" hidden="1" x14ac:dyDescent="0.25">
      <c r="A26" s="9" t="s">
        <v>252</v>
      </c>
      <c r="B26" s="7"/>
      <c r="C26" s="7"/>
      <c r="D26" s="7">
        <f t="shared" si="0"/>
        <v>0</v>
      </c>
    </row>
    <row r="27" spans="1:4" ht="18.75" hidden="1" x14ac:dyDescent="0.25">
      <c r="A27" s="9" t="s">
        <v>253</v>
      </c>
      <c r="B27" s="7"/>
      <c r="C27" s="7"/>
      <c r="D27" s="7">
        <f t="shared" si="0"/>
        <v>0</v>
      </c>
    </row>
    <row r="28" spans="1:4" ht="18.75" hidden="1" x14ac:dyDescent="0.25">
      <c r="A28" s="9" t="s">
        <v>254</v>
      </c>
      <c r="B28" s="7"/>
      <c r="C28" s="7"/>
      <c r="D28" s="7">
        <f t="shared" si="0"/>
        <v>0</v>
      </c>
    </row>
    <row r="29" spans="1:4" ht="18.75" x14ac:dyDescent="0.25">
      <c r="A29" s="9" t="s">
        <v>258</v>
      </c>
      <c r="B29" s="7">
        <f>-20+30+12+14</f>
        <v>36</v>
      </c>
      <c r="C29" s="7">
        <v>19000</v>
      </c>
      <c r="D29" s="7">
        <f t="shared" si="0"/>
        <v>684000</v>
      </c>
    </row>
    <row r="30" spans="1:4" ht="18.75" x14ac:dyDescent="0.25">
      <c r="A30" s="9" t="s">
        <v>259</v>
      </c>
      <c r="B30" s="7">
        <f>13+7+12+6</f>
        <v>38</v>
      </c>
      <c r="C30" s="7">
        <v>15000</v>
      </c>
      <c r="D30" s="7">
        <f t="shared" si="0"/>
        <v>570000</v>
      </c>
    </row>
    <row r="31" spans="1:4" ht="18.75" hidden="1" x14ac:dyDescent="0.25">
      <c r="A31" s="9" t="s">
        <v>260</v>
      </c>
      <c r="B31" s="7"/>
      <c r="C31" s="7"/>
      <c r="D31" s="7">
        <f t="shared" si="0"/>
        <v>0</v>
      </c>
    </row>
    <row r="32" spans="1:4" ht="18.75" hidden="1" x14ac:dyDescent="0.25">
      <c r="A32" s="9" t="s">
        <v>261</v>
      </c>
      <c r="B32" s="7"/>
      <c r="C32" s="7"/>
      <c r="D32" s="7">
        <f t="shared" si="0"/>
        <v>0</v>
      </c>
    </row>
    <row r="33" spans="1:4" ht="18.75" x14ac:dyDescent="0.25">
      <c r="A33" s="9" t="s">
        <v>262</v>
      </c>
      <c r="B33" s="7">
        <f>-20+32</f>
        <v>12</v>
      </c>
      <c r="C33" s="7">
        <v>20000</v>
      </c>
      <c r="D33" s="7">
        <f t="shared" si="0"/>
        <v>240000</v>
      </c>
    </row>
    <row r="34" spans="1:4" ht="18.75" hidden="1" x14ac:dyDescent="0.25">
      <c r="A34" s="9" t="s">
        <v>263</v>
      </c>
      <c r="B34" s="7"/>
      <c r="C34" s="7"/>
      <c r="D34" s="7">
        <f t="shared" si="0"/>
        <v>0</v>
      </c>
    </row>
    <row r="35" spans="1:4" ht="18.75" hidden="1" x14ac:dyDescent="0.25">
      <c r="A35" s="9" t="s">
        <v>264</v>
      </c>
      <c r="B35" s="7"/>
      <c r="C35" s="7"/>
      <c r="D35" s="7">
        <f t="shared" si="0"/>
        <v>0</v>
      </c>
    </row>
    <row r="36" spans="1:4" ht="18.75" hidden="1" x14ac:dyDescent="0.25">
      <c r="A36" s="9" t="s">
        <v>212</v>
      </c>
      <c r="B36" s="7"/>
      <c r="C36" s="7"/>
      <c r="D36" s="7">
        <f t="shared" si="0"/>
        <v>0</v>
      </c>
    </row>
    <row r="37" spans="1:4" ht="18.75" hidden="1" x14ac:dyDescent="0.25">
      <c r="A37" s="37" t="s">
        <v>213</v>
      </c>
      <c r="B37" s="7"/>
      <c r="C37" s="7"/>
      <c r="D37" s="7">
        <f t="shared" si="0"/>
        <v>0</v>
      </c>
    </row>
    <row r="38" spans="1:4" ht="18.75" hidden="1" x14ac:dyDescent="0.25">
      <c r="A38" s="9" t="s">
        <v>214</v>
      </c>
      <c r="B38" s="7"/>
      <c r="C38" s="7"/>
      <c r="D38" s="7">
        <f t="shared" si="0"/>
        <v>0</v>
      </c>
    </row>
    <row r="39" spans="1:4" ht="18.75" x14ac:dyDescent="0.25">
      <c r="A39" s="9" t="s">
        <v>215</v>
      </c>
      <c r="B39" s="7">
        <f>-300+100+270+170</f>
        <v>240</v>
      </c>
      <c r="C39" s="7">
        <v>15000</v>
      </c>
      <c r="D39" s="7">
        <f t="shared" si="0"/>
        <v>3600000</v>
      </c>
    </row>
    <row r="40" spans="1:4" ht="18.75" hidden="1" x14ac:dyDescent="0.25">
      <c r="A40" s="9" t="s">
        <v>216</v>
      </c>
      <c r="B40" s="7"/>
      <c r="C40" s="7"/>
      <c r="D40" s="7">
        <f t="shared" si="0"/>
        <v>0</v>
      </c>
    </row>
    <row r="41" spans="1:4" ht="18.75" x14ac:dyDescent="0.25">
      <c r="A41" s="9" t="s">
        <v>217</v>
      </c>
      <c r="B41" s="7">
        <f>66/0.5</f>
        <v>132</v>
      </c>
      <c r="C41" s="7">
        <v>7000</v>
      </c>
      <c r="D41" s="7">
        <f t="shared" si="0"/>
        <v>924000</v>
      </c>
    </row>
    <row r="42" spans="1:4" ht="18.75" hidden="1" x14ac:dyDescent="0.25">
      <c r="A42" s="9" t="s">
        <v>103</v>
      </c>
      <c r="B42" s="7"/>
      <c r="C42" s="7"/>
      <c r="D42" s="7">
        <f t="shared" si="0"/>
        <v>0</v>
      </c>
    </row>
    <row r="43" spans="1:4" ht="18.75" hidden="1" x14ac:dyDescent="0.25">
      <c r="A43" s="17" t="s">
        <v>104</v>
      </c>
      <c r="B43" s="7"/>
      <c r="C43" s="7"/>
      <c r="D43" s="7">
        <f t="shared" si="0"/>
        <v>0</v>
      </c>
    </row>
    <row r="44" spans="1:4" ht="18.75" hidden="1" x14ac:dyDescent="0.25">
      <c r="A44" s="11" t="s">
        <v>107</v>
      </c>
      <c r="B44" s="7"/>
      <c r="C44" s="7"/>
      <c r="D44" s="7">
        <f t="shared" si="0"/>
        <v>0</v>
      </c>
    </row>
    <row r="45" spans="1:4" ht="18.75" hidden="1" x14ac:dyDescent="0.25">
      <c r="A45" s="9" t="s">
        <v>109</v>
      </c>
      <c r="B45" s="7"/>
      <c r="C45" s="7"/>
      <c r="D45" s="7">
        <f t="shared" si="0"/>
        <v>0</v>
      </c>
    </row>
    <row r="46" spans="1:4" ht="18.75" hidden="1" x14ac:dyDescent="0.25">
      <c r="A46" s="9" t="s">
        <v>177</v>
      </c>
      <c r="B46" s="7"/>
      <c r="C46" s="7"/>
      <c r="D46" s="7">
        <f t="shared" si="0"/>
        <v>0</v>
      </c>
    </row>
    <row r="47" spans="1:4" ht="18.75" x14ac:dyDescent="0.25">
      <c r="A47" s="9" t="s">
        <v>135</v>
      </c>
      <c r="B47" s="7">
        <f>-60+65+23</f>
        <v>28</v>
      </c>
      <c r="C47" s="7">
        <v>17000</v>
      </c>
      <c r="D47" s="7">
        <f t="shared" si="0"/>
        <v>476000</v>
      </c>
    </row>
    <row r="48" spans="1:4" ht="18.75" hidden="1" x14ac:dyDescent="0.25">
      <c r="A48" s="48" t="s">
        <v>136</v>
      </c>
      <c r="B48" s="7"/>
      <c r="C48" s="7"/>
      <c r="D48" s="7">
        <f t="shared" si="0"/>
        <v>0</v>
      </c>
    </row>
    <row r="49" spans="1:4" ht="18.75" hidden="1" x14ac:dyDescent="0.25">
      <c r="A49" s="12" t="s">
        <v>193</v>
      </c>
      <c r="B49" s="7"/>
      <c r="C49" s="7"/>
      <c r="D49" s="7">
        <f t="shared" si="0"/>
        <v>0</v>
      </c>
    </row>
    <row r="50" spans="1:4" ht="18.75" hidden="1" x14ac:dyDescent="0.25">
      <c r="A50" s="9" t="s">
        <v>319</v>
      </c>
      <c r="B50" s="7"/>
      <c r="C50" s="7"/>
      <c r="D50" s="7">
        <f t="shared" si="0"/>
        <v>0</v>
      </c>
    </row>
    <row r="51" spans="1:4" ht="18.75" hidden="1" x14ac:dyDescent="0.25">
      <c r="A51" s="9" t="s">
        <v>11</v>
      </c>
      <c r="B51" s="7"/>
      <c r="C51" s="7"/>
      <c r="D51" s="7">
        <f t="shared" si="0"/>
        <v>0</v>
      </c>
    </row>
    <row r="52" spans="1:4" ht="18.75" hidden="1" x14ac:dyDescent="0.25">
      <c r="A52" s="9" t="s">
        <v>12</v>
      </c>
      <c r="B52" s="7"/>
      <c r="C52" s="7"/>
      <c r="D52" s="7">
        <f t="shared" si="0"/>
        <v>0</v>
      </c>
    </row>
    <row r="53" spans="1:4" ht="18.75" hidden="1" x14ac:dyDescent="0.25">
      <c r="A53" s="12" t="s">
        <v>13</v>
      </c>
      <c r="B53" s="7"/>
      <c r="C53" s="7"/>
      <c r="D53" s="7">
        <f t="shared" si="0"/>
        <v>0</v>
      </c>
    </row>
    <row r="54" spans="1:4" ht="18.75" hidden="1" x14ac:dyDescent="0.25">
      <c r="A54" s="9" t="s">
        <v>165</v>
      </c>
      <c r="B54" s="7"/>
      <c r="C54" s="7"/>
      <c r="D54" s="7">
        <f t="shared" si="0"/>
        <v>0</v>
      </c>
    </row>
    <row r="55" spans="1:4" ht="18.75" hidden="1" x14ac:dyDescent="0.25">
      <c r="A55" s="17" t="s">
        <v>166</v>
      </c>
      <c r="B55" s="7"/>
      <c r="C55" s="7"/>
      <c r="D55" s="7">
        <f t="shared" si="0"/>
        <v>0</v>
      </c>
    </row>
    <row r="56" spans="1:4" ht="18.75" hidden="1" x14ac:dyDescent="0.25">
      <c r="A56" s="11" t="s">
        <v>175</v>
      </c>
      <c r="B56" s="7"/>
      <c r="C56" s="7"/>
      <c r="D56" s="7">
        <f t="shared" si="0"/>
        <v>0</v>
      </c>
    </row>
    <row r="57" spans="1:4" ht="18.75" hidden="1" x14ac:dyDescent="0.25">
      <c r="A57" s="9" t="s">
        <v>199</v>
      </c>
      <c r="B57" s="7"/>
      <c r="C57" s="7"/>
      <c r="D57" s="7">
        <f t="shared" si="0"/>
        <v>0</v>
      </c>
    </row>
    <row r="58" spans="1:4" ht="18.75" hidden="1" x14ac:dyDescent="0.25">
      <c r="A58" s="35" t="s">
        <v>200</v>
      </c>
      <c r="B58" s="7"/>
      <c r="C58" s="7"/>
      <c r="D58" s="7">
        <f t="shared" si="0"/>
        <v>0</v>
      </c>
    </row>
    <row r="59" spans="1:4" ht="18.75" hidden="1" x14ac:dyDescent="0.25">
      <c r="A59" s="9" t="s">
        <v>237</v>
      </c>
      <c r="B59" s="7"/>
      <c r="C59" s="7"/>
      <c r="D59" s="7">
        <f t="shared" si="0"/>
        <v>0</v>
      </c>
    </row>
    <row r="60" spans="1:4" ht="18.75" hidden="1" x14ac:dyDescent="0.25">
      <c r="A60" s="9" t="s">
        <v>238</v>
      </c>
      <c r="B60" s="7"/>
      <c r="C60" s="7"/>
      <c r="D60" s="7">
        <f t="shared" si="0"/>
        <v>0</v>
      </c>
    </row>
    <row r="61" spans="1:4" ht="18.75" hidden="1" x14ac:dyDescent="0.25">
      <c r="A61" s="9" t="s">
        <v>27</v>
      </c>
      <c r="B61" s="7"/>
      <c r="C61" s="7"/>
      <c r="D61" s="7">
        <f t="shared" si="0"/>
        <v>0</v>
      </c>
    </row>
    <row r="62" spans="1:4" ht="18.75" hidden="1" x14ac:dyDescent="0.25">
      <c r="A62" s="49" t="s">
        <v>28</v>
      </c>
      <c r="B62" s="16"/>
      <c r="C62" s="16"/>
      <c r="D62" s="7">
        <f t="shared" si="0"/>
        <v>0</v>
      </c>
    </row>
    <row r="63" spans="1:4" ht="18.75" hidden="1" x14ac:dyDescent="0.25">
      <c r="A63" s="12" t="s">
        <v>29</v>
      </c>
      <c r="B63" s="7"/>
      <c r="C63" s="7"/>
      <c r="D63" s="7">
        <f t="shared" si="0"/>
        <v>0</v>
      </c>
    </row>
    <row r="64" spans="1:4" ht="18.75" hidden="1" x14ac:dyDescent="0.25">
      <c r="A64" s="12" t="s">
        <v>37</v>
      </c>
      <c r="B64" s="7"/>
      <c r="C64" s="7"/>
      <c r="D64" s="7">
        <f t="shared" si="0"/>
        <v>0</v>
      </c>
    </row>
    <row r="65" spans="1:4" ht="18.75" x14ac:dyDescent="0.25">
      <c r="A65" s="9" t="s">
        <v>201</v>
      </c>
      <c r="B65" s="7">
        <f>350+260</f>
        <v>610</v>
      </c>
      <c r="C65" s="7">
        <v>22000</v>
      </c>
      <c r="D65" s="7">
        <f t="shared" si="0"/>
        <v>13420000</v>
      </c>
    </row>
    <row r="66" spans="1:4" ht="18.75" x14ac:dyDescent="0.25">
      <c r="A66" s="12" t="s">
        <v>202</v>
      </c>
      <c r="B66" s="7">
        <f>240+10</f>
        <v>250</v>
      </c>
      <c r="C66" s="7">
        <v>22000</v>
      </c>
      <c r="D66" s="7">
        <f t="shared" si="0"/>
        <v>5500000</v>
      </c>
    </row>
    <row r="67" spans="1:4" ht="18.75" hidden="1" x14ac:dyDescent="0.25">
      <c r="A67" s="9" t="s">
        <v>203</v>
      </c>
      <c r="B67" s="7"/>
      <c r="C67" s="7"/>
      <c r="D67" s="7">
        <f t="shared" si="0"/>
        <v>0</v>
      </c>
    </row>
    <row r="68" spans="1:4" ht="18.75" x14ac:dyDescent="0.25">
      <c r="A68" s="9" t="s">
        <v>273</v>
      </c>
      <c r="B68" s="7">
        <v>40</v>
      </c>
      <c r="C68" s="7">
        <v>18000</v>
      </c>
      <c r="D68" s="7">
        <f t="shared" ref="D68:D131" si="1">B68*C68</f>
        <v>720000</v>
      </c>
    </row>
    <row r="69" spans="1:4" ht="18.75" hidden="1" x14ac:dyDescent="0.25">
      <c r="A69" s="9" t="s">
        <v>274</v>
      </c>
      <c r="B69" s="7"/>
      <c r="C69" s="7"/>
      <c r="D69" s="7">
        <f t="shared" si="1"/>
        <v>0</v>
      </c>
    </row>
    <row r="70" spans="1:4" ht="18.75" hidden="1" x14ac:dyDescent="0.25">
      <c r="A70" s="12" t="s">
        <v>20</v>
      </c>
      <c r="B70" s="7"/>
      <c r="C70" s="7"/>
      <c r="D70" s="7">
        <f t="shared" si="1"/>
        <v>0</v>
      </c>
    </row>
    <row r="71" spans="1:4" ht="18.75" hidden="1" x14ac:dyDescent="0.25">
      <c r="A71" s="12" t="s">
        <v>21</v>
      </c>
      <c r="B71" s="7"/>
      <c r="C71" s="7"/>
      <c r="D71" s="7">
        <f t="shared" si="1"/>
        <v>0</v>
      </c>
    </row>
    <row r="72" spans="1:4" ht="18.75" hidden="1" x14ac:dyDescent="0.25">
      <c r="A72" s="9" t="s">
        <v>173</v>
      </c>
      <c r="B72" s="7"/>
      <c r="C72" s="7"/>
      <c r="D72" s="7">
        <f t="shared" si="1"/>
        <v>0</v>
      </c>
    </row>
    <row r="73" spans="1:4" ht="18.75" hidden="1" x14ac:dyDescent="0.25">
      <c r="A73" s="31" t="s">
        <v>174</v>
      </c>
      <c r="B73" s="33"/>
      <c r="C73" s="33"/>
      <c r="D73" s="7">
        <f t="shared" si="1"/>
        <v>0</v>
      </c>
    </row>
    <row r="74" spans="1:4" ht="18.75" hidden="1" x14ac:dyDescent="0.25">
      <c r="A74" s="5" t="s">
        <v>2</v>
      </c>
      <c r="B74" s="7"/>
      <c r="C74" s="7"/>
      <c r="D74" s="7">
        <f t="shared" si="1"/>
        <v>0</v>
      </c>
    </row>
    <row r="75" spans="1:4" ht="18.75" hidden="1" x14ac:dyDescent="0.25">
      <c r="A75" s="8" t="s">
        <v>3</v>
      </c>
      <c r="B75" s="7"/>
      <c r="C75" s="7"/>
      <c r="D75" s="7">
        <f t="shared" si="1"/>
        <v>0</v>
      </c>
    </row>
    <row r="76" spans="1:4" ht="18.75" hidden="1" x14ac:dyDescent="0.25">
      <c r="A76" s="5" t="s">
        <v>4</v>
      </c>
      <c r="B76" s="7"/>
      <c r="C76" s="7"/>
      <c r="D76" s="7">
        <f t="shared" si="1"/>
        <v>0</v>
      </c>
    </row>
    <row r="77" spans="1:4" ht="18.75" hidden="1" x14ac:dyDescent="0.25">
      <c r="A77" s="17" t="s">
        <v>62</v>
      </c>
      <c r="B77" s="7"/>
      <c r="C77" s="7"/>
      <c r="D77" s="7">
        <f t="shared" si="1"/>
        <v>0</v>
      </c>
    </row>
    <row r="78" spans="1:4" ht="18.75" hidden="1" x14ac:dyDescent="0.25">
      <c r="A78" s="13" t="s">
        <v>298</v>
      </c>
      <c r="B78" s="7"/>
      <c r="C78" s="7"/>
      <c r="D78" s="7">
        <f t="shared" si="1"/>
        <v>0</v>
      </c>
    </row>
    <row r="79" spans="1:4" ht="18.75" x14ac:dyDescent="0.25">
      <c r="A79" s="13" t="s">
        <v>309</v>
      </c>
      <c r="B79" s="7">
        <v>12</v>
      </c>
      <c r="C79" s="7">
        <v>16000</v>
      </c>
      <c r="D79" s="7">
        <f t="shared" si="1"/>
        <v>192000</v>
      </c>
    </row>
    <row r="80" spans="1:4" ht="18.75" hidden="1" x14ac:dyDescent="0.25">
      <c r="A80" s="13" t="s">
        <v>310</v>
      </c>
      <c r="B80" s="7"/>
      <c r="C80" s="7"/>
      <c r="D80" s="7">
        <f t="shared" si="1"/>
        <v>0</v>
      </c>
    </row>
    <row r="81" spans="1:4" ht="18.75" hidden="1" x14ac:dyDescent="0.25">
      <c r="A81" s="13" t="s">
        <v>312</v>
      </c>
      <c r="B81" s="7"/>
      <c r="C81" s="7"/>
      <c r="D81" s="7">
        <f t="shared" si="1"/>
        <v>0</v>
      </c>
    </row>
    <row r="82" spans="1:4" ht="18.75" hidden="1" x14ac:dyDescent="0.25">
      <c r="A82" s="9" t="s">
        <v>321</v>
      </c>
      <c r="B82" s="39"/>
      <c r="C82" s="39"/>
      <c r="D82" s="7">
        <f t="shared" si="1"/>
        <v>0</v>
      </c>
    </row>
    <row r="83" spans="1:4" ht="18.75" hidden="1" x14ac:dyDescent="0.25">
      <c r="A83" s="9" t="s">
        <v>85</v>
      </c>
      <c r="B83" s="7"/>
      <c r="C83" s="7"/>
      <c r="D83" s="7">
        <f t="shared" si="1"/>
        <v>0</v>
      </c>
    </row>
    <row r="84" spans="1:4" ht="18.75" x14ac:dyDescent="0.25">
      <c r="A84" s="9" t="s">
        <v>86</v>
      </c>
      <c r="B84" s="7">
        <f>7+37+90</f>
        <v>134</v>
      </c>
      <c r="C84" s="7">
        <v>27000</v>
      </c>
      <c r="D84" s="7">
        <f t="shared" si="1"/>
        <v>3618000</v>
      </c>
    </row>
    <row r="85" spans="1:4" ht="18.75" x14ac:dyDescent="0.25">
      <c r="A85" s="9" t="s">
        <v>87</v>
      </c>
      <c r="B85" s="7">
        <v>10</v>
      </c>
      <c r="C85" s="7">
        <v>12000</v>
      </c>
      <c r="D85" s="7">
        <f t="shared" si="1"/>
        <v>120000</v>
      </c>
    </row>
    <row r="86" spans="1:4" ht="18.75" hidden="1" x14ac:dyDescent="0.25">
      <c r="A86" s="9" t="s">
        <v>89</v>
      </c>
      <c r="B86" s="7"/>
      <c r="C86" s="7"/>
      <c r="D86" s="7">
        <f t="shared" si="1"/>
        <v>0</v>
      </c>
    </row>
    <row r="87" spans="1:4" ht="18.75" hidden="1" x14ac:dyDescent="0.25">
      <c r="A87" s="9" t="s">
        <v>88</v>
      </c>
      <c r="B87" s="7"/>
      <c r="C87" s="7"/>
      <c r="D87" s="7">
        <f t="shared" si="1"/>
        <v>0</v>
      </c>
    </row>
    <row r="88" spans="1:4" ht="18.75" hidden="1" x14ac:dyDescent="0.25">
      <c r="A88" s="9" t="s">
        <v>176</v>
      </c>
      <c r="B88" s="7"/>
      <c r="C88" s="7"/>
      <c r="D88" s="7">
        <f t="shared" si="1"/>
        <v>0</v>
      </c>
    </row>
    <row r="89" spans="1:4" ht="18.75" hidden="1" x14ac:dyDescent="0.25">
      <c r="A89" s="36" t="s">
        <v>236</v>
      </c>
      <c r="B89" s="7"/>
      <c r="C89" s="7"/>
      <c r="D89" s="7">
        <f t="shared" si="1"/>
        <v>0</v>
      </c>
    </row>
    <row r="90" spans="1:4" ht="18.75" hidden="1" x14ac:dyDescent="0.25">
      <c r="A90" s="9" t="s">
        <v>242</v>
      </c>
      <c r="B90" s="7"/>
      <c r="C90" s="7"/>
      <c r="D90" s="7">
        <f t="shared" si="1"/>
        <v>0</v>
      </c>
    </row>
    <row r="91" spans="1:4" ht="18.75" hidden="1" x14ac:dyDescent="0.25">
      <c r="A91" s="9" t="s">
        <v>243</v>
      </c>
      <c r="B91" s="7"/>
      <c r="C91" s="7"/>
      <c r="D91" s="7">
        <f t="shared" si="1"/>
        <v>0</v>
      </c>
    </row>
    <row r="92" spans="1:4" ht="18.75" hidden="1" x14ac:dyDescent="0.25">
      <c r="A92" s="9" t="s">
        <v>265</v>
      </c>
      <c r="B92" s="16"/>
      <c r="C92" s="16"/>
      <c r="D92" s="7">
        <f t="shared" si="1"/>
        <v>0</v>
      </c>
    </row>
    <row r="93" spans="1:4" ht="18.75" hidden="1" x14ac:dyDescent="0.25">
      <c r="A93" s="13" t="s">
        <v>266</v>
      </c>
      <c r="B93" s="7"/>
      <c r="C93" s="7"/>
      <c r="D93" s="7">
        <f t="shared" si="1"/>
        <v>0</v>
      </c>
    </row>
    <row r="94" spans="1:4" ht="18.75" hidden="1" x14ac:dyDescent="0.25">
      <c r="A94" s="12" t="s">
        <v>296</v>
      </c>
      <c r="B94" s="7"/>
      <c r="C94" s="7"/>
      <c r="D94" s="7">
        <f t="shared" si="1"/>
        <v>0</v>
      </c>
    </row>
    <row r="95" spans="1:4" ht="18.75" hidden="1" x14ac:dyDescent="0.25">
      <c r="A95" s="17" t="s">
        <v>297</v>
      </c>
      <c r="B95" s="7"/>
      <c r="C95" s="7"/>
      <c r="D95" s="7">
        <f t="shared" si="1"/>
        <v>0</v>
      </c>
    </row>
    <row r="96" spans="1:4" ht="18.75" x14ac:dyDescent="0.25">
      <c r="A96" s="9" t="s">
        <v>122</v>
      </c>
      <c r="B96" s="7">
        <f>-20+50+45</f>
        <v>75</v>
      </c>
      <c r="C96" s="7">
        <v>12000</v>
      </c>
      <c r="D96" s="7">
        <f t="shared" si="1"/>
        <v>900000</v>
      </c>
    </row>
    <row r="97" spans="1:4" ht="18.75" hidden="1" x14ac:dyDescent="0.25">
      <c r="A97" s="17" t="s">
        <v>43</v>
      </c>
      <c r="B97" s="7"/>
      <c r="C97" s="7"/>
      <c r="D97" s="7">
        <f t="shared" si="1"/>
        <v>0</v>
      </c>
    </row>
    <row r="98" spans="1:4" ht="18.75" hidden="1" x14ac:dyDescent="0.25">
      <c r="A98" s="9" t="s">
        <v>44</v>
      </c>
      <c r="B98" s="7"/>
      <c r="C98" s="7"/>
      <c r="D98" s="7">
        <f t="shared" si="1"/>
        <v>0</v>
      </c>
    </row>
    <row r="99" spans="1:4" ht="18.75" hidden="1" x14ac:dyDescent="0.25">
      <c r="A99" s="9" t="s">
        <v>45</v>
      </c>
      <c r="B99" s="7"/>
      <c r="C99" s="7"/>
      <c r="D99" s="7">
        <f t="shared" si="1"/>
        <v>0</v>
      </c>
    </row>
    <row r="100" spans="1:4" ht="18.75" hidden="1" x14ac:dyDescent="0.25">
      <c r="A100" s="17" t="s">
        <v>284</v>
      </c>
      <c r="B100" s="7"/>
      <c r="C100" s="7"/>
      <c r="D100" s="7">
        <f t="shared" si="1"/>
        <v>0</v>
      </c>
    </row>
    <row r="101" spans="1:4" ht="18.75" hidden="1" x14ac:dyDescent="0.25">
      <c r="A101" s="17" t="s">
        <v>285</v>
      </c>
      <c r="B101" s="7"/>
      <c r="C101" s="7"/>
      <c r="D101" s="7">
        <f t="shared" si="1"/>
        <v>0</v>
      </c>
    </row>
    <row r="102" spans="1:4" ht="18.75" hidden="1" x14ac:dyDescent="0.25">
      <c r="A102" s="50" t="s">
        <v>286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161</v>
      </c>
      <c r="B103" s="16"/>
      <c r="C103" s="16"/>
      <c r="D103" s="7">
        <f t="shared" si="1"/>
        <v>0</v>
      </c>
    </row>
    <row r="104" spans="1:4" ht="18.75" hidden="1" x14ac:dyDescent="0.25">
      <c r="A104" s="24" t="s">
        <v>141</v>
      </c>
      <c r="B104" s="16"/>
      <c r="C104" s="16"/>
      <c r="D104" s="7">
        <f t="shared" si="1"/>
        <v>0</v>
      </c>
    </row>
    <row r="105" spans="1:4" ht="18.75" hidden="1" x14ac:dyDescent="0.25">
      <c r="A105" s="9" t="s">
        <v>142</v>
      </c>
      <c r="B105" s="16"/>
      <c r="C105" s="16"/>
      <c r="D105" s="7">
        <f t="shared" si="1"/>
        <v>0</v>
      </c>
    </row>
    <row r="106" spans="1:4" ht="18.75" hidden="1" x14ac:dyDescent="0.25">
      <c r="A106" s="9" t="s">
        <v>144</v>
      </c>
      <c r="B106" s="16"/>
      <c r="C106" s="16"/>
      <c r="D106" s="7">
        <f t="shared" si="1"/>
        <v>0</v>
      </c>
    </row>
    <row r="107" spans="1:4" ht="18.75" hidden="1" x14ac:dyDescent="0.25">
      <c r="A107" s="9" t="s">
        <v>145</v>
      </c>
      <c r="B107" s="16"/>
      <c r="C107" s="16"/>
      <c r="D107" s="7">
        <f t="shared" si="1"/>
        <v>0</v>
      </c>
    </row>
    <row r="108" spans="1:4" ht="18.75" x14ac:dyDescent="0.25">
      <c r="A108" s="9" t="s">
        <v>146</v>
      </c>
      <c r="B108" s="16">
        <v>0.4</v>
      </c>
      <c r="C108" s="16">
        <v>80000</v>
      </c>
      <c r="D108" s="7">
        <f t="shared" si="1"/>
        <v>32000</v>
      </c>
    </row>
    <row r="109" spans="1:4" ht="18.75" hidden="1" x14ac:dyDescent="0.25">
      <c r="A109" s="9" t="s">
        <v>147</v>
      </c>
      <c r="B109" s="16"/>
      <c r="C109" s="16"/>
      <c r="D109" s="7">
        <f t="shared" si="1"/>
        <v>0</v>
      </c>
    </row>
    <row r="110" spans="1:4" ht="18.75" hidden="1" x14ac:dyDescent="0.25">
      <c r="A110" s="9" t="s">
        <v>149</v>
      </c>
      <c r="B110" s="16"/>
      <c r="C110" s="16"/>
      <c r="D110" s="7">
        <f t="shared" si="1"/>
        <v>0</v>
      </c>
    </row>
    <row r="111" spans="1:4" ht="18.75" hidden="1" x14ac:dyDescent="0.25">
      <c r="A111" s="9" t="s">
        <v>150</v>
      </c>
      <c r="B111" s="16"/>
      <c r="C111" s="16"/>
      <c r="D111" s="7">
        <f t="shared" si="1"/>
        <v>0</v>
      </c>
    </row>
    <row r="112" spans="1:4" ht="18.75" hidden="1" x14ac:dyDescent="0.25">
      <c r="A112" s="9" t="s">
        <v>151</v>
      </c>
      <c r="B112" s="16"/>
      <c r="C112" s="16"/>
      <c r="D112" s="7">
        <f t="shared" si="1"/>
        <v>0</v>
      </c>
    </row>
    <row r="113" spans="1:4" ht="18.75" hidden="1" x14ac:dyDescent="0.25">
      <c r="A113" s="9" t="s">
        <v>162</v>
      </c>
      <c r="B113" s="16"/>
      <c r="C113" s="16"/>
      <c r="D113" s="7">
        <f t="shared" si="1"/>
        <v>0</v>
      </c>
    </row>
    <row r="114" spans="1:4" ht="18.75" hidden="1" x14ac:dyDescent="0.25">
      <c r="A114" s="9" t="s">
        <v>163</v>
      </c>
      <c r="B114" s="16"/>
      <c r="C114" s="16"/>
      <c r="D114" s="7">
        <f t="shared" si="1"/>
        <v>0</v>
      </c>
    </row>
    <row r="115" spans="1:4" ht="18.75" hidden="1" x14ac:dyDescent="0.25">
      <c r="A115" s="9" t="s">
        <v>15</v>
      </c>
      <c r="B115" s="7"/>
      <c r="C115" s="7"/>
      <c r="D115" s="7">
        <f t="shared" si="1"/>
        <v>0</v>
      </c>
    </row>
    <row r="116" spans="1:4" ht="18.75" hidden="1" x14ac:dyDescent="0.25">
      <c r="A116" s="12" t="s">
        <v>33</v>
      </c>
      <c r="B116" s="7"/>
      <c r="C116" s="7"/>
      <c r="D116" s="7">
        <f t="shared" si="1"/>
        <v>0</v>
      </c>
    </row>
    <row r="117" spans="1:4" ht="18.75" x14ac:dyDescent="0.25">
      <c r="A117" s="12" t="s">
        <v>53</v>
      </c>
      <c r="B117" s="7">
        <f>-300+460+220+320</f>
        <v>700</v>
      </c>
      <c r="C117" s="7">
        <v>25000</v>
      </c>
      <c r="D117" s="7">
        <f t="shared" si="1"/>
        <v>17500000</v>
      </c>
    </row>
    <row r="118" spans="1:4" ht="18.75" x14ac:dyDescent="0.25">
      <c r="A118" s="9" t="s">
        <v>63</v>
      </c>
      <c r="B118" s="7">
        <v>96</v>
      </c>
      <c r="C118" s="7">
        <v>22000</v>
      </c>
      <c r="D118" s="7">
        <f t="shared" si="1"/>
        <v>2112000</v>
      </c>
    </row>
    <row r="119" spans="1:4" ht="18.75" hidden="1" x14ac:dyDescent="0.25">
      <c r="A119" s="9" t="s">
        <v>76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271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19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41</v>
      </c>
      <c r="B122" s="7"/>
      <c r="C122" s="7"/>
      <c r="D122" s="7">
        <f t="shared" si="1"/>
        <v>0</v>
      </c>
    </row>
    <row r="123" spans="1:4" ht="18.75" hidden="1" x14ac:dyDescent="0.25">
      <c r="A123" s="11" t="s">
        <v>49</v>
      </c>
      <c r="B123" s="7"/>
      <c r="C123" s="7"/>
      <c r="D123" s="7">
        <f t="shared" si="1"/>
        <v>0</v>
      </c>
    </row>
    <row r="124" spans="1:4" ht="18.75" hidden="1" x14ac:dyDescent="0.25">
      <c r="A124" s="13" t="s">
        <v>50</v>
      </c>
      <c r="B124" s="7"/>
      <c r="C124" s="7"/>
      <c r="D124" s="7">
        <f t="shared" si="1"/>
        <v>0</v>
      </c>
    </row>
    <row r="125" spans="1:4" ht="18.75" hidden="1" x14ac:dyDescent="0.25">
      <c r="A125" s="10" t="s">
        <v>124</v>
      </c>
      <c r="B125" s="7"/>
      <c r="C125" s="7"/>
      <c r="D125" s="7">
        <f t="shared" si="1"/>
        <v>0</v>
      </c>
    </row>
    <row r="126" spans="1:4" ht="18.75" hidden="1" x14ac:dyDescent="0.25">
      <c r="A126" s="13" t="s">
        <v>125</v>
      </c>
      <c r="B126" s="7"/>
      <c r="C126" s="7"/>
      <c r="D126" s="7">
        <f t="shared" si="1"/>
        <v>0</v>
      </c>
    </row>
    <row r="127" spans="1:4" ht="18.75" hidden="1" x14ac:dyDescent="0.25">
      <c r="A127" s="12" t="s">
        <v>126</v>
      </c>
      <c r="B127" s="16"/>
      <c r="C127" s="16"/>
      <c r="D127" s="7">
        <f t="shared" si="1"/>
        <v>0</v>
      </c>
    </row>
    <row r="128" spans="1:4" ht="18.75" hidden="1" x14ac:dyDescent="0.25">
      <c r="A128" s="12" t="s">
        <v>128</v>
      </c>
      <c r="B128" s="16"/>
      <c r="C128" s="16"/>
      <c r="D128" s="7">
        <f t="shared" si="1"/>
        <v>0</v>
      </c>
    </row>
    <row r="129" spans="1:4" ht="18.75" hidden="1" x14ac:dyDescent="0.25">
      <c r="A129" s="12" t="s">
        <v>129</v>
      </c>
      <c r="B129" s="27"/>
      <c r="C129" s="27"/>
      <c r="D129" s="7">
        <f t="shared" si="1"/>
        <v>0</v>
      </c>
    </row>
    <row r="130" spans="1:4" ht="18.75" hidden="1" x14ac:dyDescent="0.25">
      <c r="A130" s="9" t="s">
        <v>148</v>
      </c>
      <c r="B130" s="16"/>
      <c r="C130" s="16"/>
      <c r="D130" s="7">
        <f t="shared" si="1"/>
        <v>0</v>
      </c>
    </row>
    <row r="131" spans="1:4" ht="18.75" hidden="1" x14ac:dyDescent="0.25">
      <c r="A131" s="17" t="s">
        <v>218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219</v>
      </c>
      <c r="B132" s="7"/>
      <c r="C132" s="7"/>
      <c r="D132" s="7">
        <f t="shared" ref="D132:D195" si="2">B132*C132</f>
        <v>0</v>
      </c>
    </row>
    <row r="133" spans="1:4" ht="18.75" x14ac:dyDescent="0.25">
      <c r="A133" s="17" t="s">
        <v>220</v>
      </c>
      <c r="B133" s="16">
        <v>1.5</v>
      </c>
      <c r="C133" s="7">
        <v>45000</v>
      </c>
      <c r="D133" s="7">
        <f t="shared" si="2"/>
        <v>67500</v>
      </c>
    </row>
    <row r="134" spans="1:4" ht="18.75" hidden="1" x14ac:dyDescent="0.25">
      <c r="A134" s="17" t="s">
        <v>221</v>
      </c>
      <c r="B134" s="7"/>
      <c r="C134" s="7"/>
      <c r="D134" s="7">
        <f t="shared" si="2"/>
        <v>0</v>
      </c>
    </row>
    <row r="135" spans="1:4" ht="18.75" hidden="1" x14ac:dyDescent="0.25">
      <c r="A135" s="9" t="s">
        <v>222</v>
      </c>
      <c r="B135" s="7"/>
      <c r="C135" s="7"/>
      <c r="D135" s="7">
        <f t="shared" si="2"/>
        <v>0</v>
      </c>
    </row>
    <row r="136" spans="1:4" ht="18.75" hidden="1" x14ac:dyDescent="0.25">
      <c r="A136" s="9" t="s">
        <v>223</v>
      </c>
      <c r="B136" s="7"/>
      <c r="C136" s="7"/>
      <c r="D136" s="7">
        <f t="shared" si="2"/>
        <v>0</v>
      </c>
    </row>
    <row r="137" spans="1:4" ht="18.75" hidden="1" x14ac:dyDescent="0.25">
      <c r="A137" s="17" t="s">
        <v>224</v>
      </c>
      <c r="B137" s="7"/>
      <c r="C137" s="7"/>
      <c r="D137" s="7">
        <f t="shared" si="2"/>
        <v>0</v>
      </c>
    </row>
    <row r="138" spans="1:4" ht="18.75" hidden="1" x14ac:dyDescent="0.25">
      <c r="A138" s="17" t="s">
        <v>225</v>
      </c>
      <c r="B138" s="7"/>
      <c r="C138" s="7"/>
      <c r="D138" s="7">
        <f t="shared" si="2"/>
        <v>0</v>
      </c>
    </row>
    <row r="139" spans="1:4" ht="18.75" hidden="1" x14ac:dyDescent="0.25">
      <c r="A139" s="9" t="s">
        <v>244</v>
      </c>
      <c r="B139" s="16"/>
      <c r="C139" s="16"/>
      <c r="D139" s="7">
        <f t="shared" si="2"/>
        <v>0</v>
      </c>
    </row>
    <row r="140" spans="1:4" ht="18.75" hidden="1" x14ac:dyDescent="0.25">
      <c r="A140" s="9" t="s">
        <v>246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280</v>
      </c>
      <c r="B141" s="16"/>
      <c r="C141" s="16"/>
      <c r="D141" s="7">
        <f t="shared" si="2"/>
        <v>0</v>
      </c>
    </row>
    <row r="142" spans="1:4" ht="18.75" hidden="1" x14ac:dyDescent="0.25">
      <c r="A142" s="12" t="s">
        <v>281</v>
      </c>
      <c r="B142" s="7"/>
      <c r="C142" s="7"/>
      <c r="D142" s="7">
        <f t="shared" si="2"/>
        <v>0</v>
      </c>
    </row>
    <row r="143" spans="1:4" ht="18.75" x14ac:dyDescent="0.25">
      <c r="A143" s="9" t="s">
        <v>293</v>
      </c>
      <c r="B143" s="7">
        <v>70</v>
      </c>
      <c r="C143" s="7">
        <v>11000</v>
      </c>
      <c r="D143" s="7">
        <f t="shared" si="2"/>
        <v>770000</v>
      </c>
    </row>
    <row r="144" spans="1:4" ht="18.75" hidden="1" x14ac:dyDescent="0.25">
      <c r="A144" s="13" t="s">
        <v>294</v>
      </c>
      <c r="B144" s="7"/>
      <c r="C144" s="7"/>
      <c r="D144" s="7">
        <f t="shared" si="2"/>
        <v>0</v>
      </c>
    </row>
    <row r="145" spans="1:4" ht="18.75" hidden="1" x14ac:dyDescent="0.25">
      <c r="A145" s="12" t="s">
        <v>304</v>
      </c>
      <c r="B145" s="7"/>
      <c r="C145" s="7"/>
      <c r="D145" s="7">
        <f t="shared" si="2"/>
        <v>0</v>
      </c>
    </row>
    <row r="146" spans="1:4" ht="18.75" x14ac:dyDescent="0.25">
      <c r="A146" s="9" t="s">
        <v>204</v>
      </c>
      <c r="B146" s="7">
        <f>-400+250+85+140+220</f>
        <v>295</v>
      </c>
      <c r="C146" s="7">
        <v>20000</v>
      </c>
      <c r="D146" s="7">
        <f t="shared" si="2"/>
        <v>5900000</v>
      </c>
    </row>
    <row r="147" spans="1:4" ht="18.75" hidden="1" x14ac:dyDescent="0.25">
      <c r="A147" s="36" t="s">
        <v>205</v>
      </c>
      <c r="B147" s="7"/>
      <c r="C147" s="7"/>
      <c r="D147" s="7">
        <f t="shared" si="2"/>
        <v>0</v>
      </c>
    </row>
    <row r="148" spans="1:4" ht="18.75" hidden="1" x14ac:dyDescent="0.25">
      <c r="A148" s="36" t="s">
        <v>206</v>
      </c>
      <c r="B148" s="7"/>
      <c r="C148" s="7"/>
      <c r="D148" s="7">
        <f t="shared" si="2"/>
        <v>0</v>
      </c>
    </row>
    <row r="149" spans="1:4" ht="18.75" hidden="1" x14ac:dyDescent="0.25">
      <c r="A149" s="9" t="s">
        <v>42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277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54</v>
      </c>
      <c r="B151" s="7"/>
      <c r="C151" s="7"/>
      <c r="D151" s="7">
        <f t="shared" si="2"/>
        <v>0</v>
      </c>
    </row>
    <row r="152" spans="1:4" ht="18.75" hidden="1" x14ac:dyDescent="0.25">
      <c r="A152" s="17" t="s">
        <v>55</v>
      </c>
      <c r="B152" s="7"/>
      <c r="C152" s="7"/>
      <c r="D152" s="7">
        <f t="shared" si="2"/>
        <v>0</v>
      </c>
    </row>
    <row r="153" spans="1:4" ht="18.75" x14ac:dyDescent="0.25">
      <c r="A153" s="17" t="s">
        <v>56</v>
      </c>
      <c r="B153" s="7">
        <f>17+5+40+25</f>
        <v>87</v>
      </c>
      <c r="C153" s="7">
        <v>8100</v>
      </c>
      <c r="D153" s="7">
        <f t="shared" si="2"/>
        <v>704700</v>
      </c>
    </row>
    <row r="154" spans="1:4" ht="18.75" hidden="1" x14ac:dyDescent="0.25">
      <c r="A154" s="17" t="s">
        <v>57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58</v>
      </c>
      <c r="B155" s="7"/>
      <c r="C155" s="7"/>
      <c r="D155" s="7">
        <f t="shared" si="2"/>
        <v>0</v>
      </c>
    </row>
    <row r="156" spans="1:4" ht="18.75" hidden="1" x14ac:dyDescent="0.25">
      <c r="A156" s="11" t="s">
        <v>59</v>
      </c>
      <c r="B156" s="7"/>
      <c r="C156" s="7"/>
      <c r="D156" s="7">
        <f t="shared" si="2"/>
        <v>0</v>
      </c>
    </row>
    <row r="157" spans="1:4" ht="18.75" x14ac:dyDescent="0.25">
      <c r="A157" s="9" t="s">
        <v>60</v>
      </c>
      <c r="B157" s="7">
        <v>10</v>
      </c>
      <c r="C157" s="7">
        <v>13500</v>
      </c>
      <c r="D157" s="7">
        <f t="shared" si="2"/>
        <v>135000</v>
      </c>
    </row>
    <row r="158" spans="1:4" ht="18.75" hidden="1" x14ac:dyDescent="0.25">
      <c r="A158" s="18" t="s">
        <v>61</v>
      </c>
      <c r="B158" s="7"/>
      <c r="C158" s="7"/>
      <c r="D158" s="7">
        <f t="shared" si="2"/>
        <v>0</v>
      </c>
    </row>
    <row r="159" spans="1:4" ht="18.75" hidden="1" x14ac:dyDescent="0.25">
      <c r="A159" s="9" t="s">
        <v>65</v>
      </c>
      <c r="B159" s="7"/>
      <c r="C159" s="7"/>
      <c r="D159" s="7">
        <f t="shared" si="2"/>
        <v>0</v>
      </c>
    </row>
    <row r="160" spans="1:4" ht="18.75" hidden="1" x14ac:dyDescent="0.25">
      <c r="A160" s="9" t="s">
        <v>66</v>
      </c>
      <c r="B160" s="7"/>
      <c r="C160" s="7"/>
      <c r="D160" s="7">
        <f t="shared" si="2"/>
        <v>0</v>
      </c>
    </row>
    <row r="161" spans="1:4" ht="18.75" hidden="1" x14ac:dyDescent="0.25">
      <c r="A161" s="20" t="s">
        <v>67</v>
      </c>
      <c r="B161" s="7"/>
      <c r="C161" s="7"/>
      <c r="D161" s="7">
        <f t="shared" si="2"/>
        <v>0</v>
      </c>
    </row>
    <row r="162" spans="1:4" ht="18.75" hidden="1" x14ac:dyDescent="0.25">
      <c r="A162" s="9" t="s">
        <v>140</v>
      </c>
      <c r="B162" s="7"/>
      <c r="C162" s="7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x14ac:dyDescent="0.25">
      <c r="A168" s="9" t="s">
        <v>77</v>
      </c>
      <c r="B168" s="7">
        <f>-100+15</f>
        <v>-85</v>
      </c>
      <c r="C168" s="7">
        <v>26000</v>
      </c>
      <c r="D168" s="7">
        <f t="shared" si="2"/>
        <v>-2210000</v>
      </c>
    </row>
    <row r="169" spans="1:4" ht="18.75" hidden="1" x14ac:dyDescent="0.25">
      <c r="A169" s="13" t="s">
        <v>78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79</v>
      </c>
      <c r="B170" s="7"/>
      <c r="C170" s="7"/>
      <c r="D170" s="7">
        <f t="shared" si="2"/>
        <v>0</v>
      </c>
    </row>
    <row r="171" spans="1:4" ht="18.75" x14ac:dyDescent="0.25">
      <c r="A171" s="9" t="s">
        <v>80</v>
      </c>
      <c r="B171" s="7">
        <v>6</v>
      </c>
      <c r="C171" s="7">
        <v>24000</v>
      </c>
      <c r="D171" s="7">
        <f t="shared" si="2"/>
        <v>144000</v>
      </c>
    </row>
    <row r="172" spans="1:4" ht="18.75" hidden="1" x14ac:dyDescent="0.25">
      <c r="A172" s="9" t="s">
        <v>81</v>
      </c>
      <c r="B172" s="7"/>
      <c r="C172" s="7"/>
      <c r="D172" s="7">
        <f t="shared" si="2"/>
        <v>0</v>
      </c>
    </row>
    <row r="173" spans="1:4" ht="18.75" hidden="1" x14ac:dyDescent="0.25">
      <c r="A173" s="13" t="s">
        <v>95</v>
      </c>
      <c r="B173" s="7"/>
      <c r="C173" s="7"/>
      <c r="D173" s="7">
        <f t="shared" si="2"/>
        <v>0</v>
      </c>
    </row>
    <row r="174" spans="1:4" ht="18.75" hidden="1" x14ac:dyDescent="0.25">
      <c r="A174" s="9" t="s">
        <v>306</v>
      </c>
      <c r="B174" s="7"/>
      <c r="C174" s="7"/>
      <c r="D174" s="7">
        <f t="shared" si="2"/>
        <v>0</v>
      </c>
    </row>
    <row r="175" spans="1:4" ht="18.75" hidden="1" x14ac:dyDescent="0.25">
      <c r="A175" s="12" t="s">
        <v>320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323</v>
      </c>
      <c r="B176" s="7"/>
      <c r="C176" s="7"/>
      <c r="D176" s="7">
        <f t="shared" si="2"/>
        <v>0</v>
      </c>
    </row>
    <row r="177" spans="1:4" ht="18.75" hidden="1" x14ac:dyDescent="0.25">
      <c r="A177" s="21" t="s">
        <v>92</v>
      </c>
      <c r="B177" s="7"/>
      <c r="C177" s="7"/>
      <c r="D177" s="7">
        <f t="shared" si="2"/>
        <v>0</v>
      </c>
    </row>
    <row r="178" spans="1:4" ht="18.75" hidden="1" x14ac:dyDescent="0.25">
      <c r="A178" s="21" t="s">
        <v>93</v>
      </c>
      <c r="B178" s="7"/>
      <c r="C178" s="7"/>
      <c r="D178" s="7">
        <f t="shared" si="2"/>
        <v>0</v>
      </c>
    </row>
    <row r="179" spans="1:4" ht="18.75" hidden="1" x14ac:dyDescent="0.25">
      <c r="A179" s="11" t="s">
        <v>94</v>
      </c>
      <c r="B179" s="7"/>
      <c r="C179" s="7"/>
      <c r="D179" s="7">
        <f t="shared" si="2"/>
        <v>0</v>
      </c>
    </row>
    <row r="180" spans="1:4" ht="18.75" hidden="1" x14ac:dyDescent="0.25">
      <c r="A180" s="12" t="s">
        <v>187</v>
      </c>
      <c r="B180" s="7"/>
      <c r="C180" s="7"/>
      <c r="D180" s="7">
        <f t="shared" si="2"/>
        <v>0</v>
      </c>
    </row>
    <row r="181" spans="1:4" ht="18.75" hidden="1" x14ac:dyDescent="0.25">
      <c r="A181" s="12" t="s">
        <v>188</v>
      </c>
      <c r="B181" s="7"/>
      <c r="C181" s="7"/>
      <c r="D181" s="7">
        <f t="shared" si="2"/>
        <v>0</v>
      </c>
    </row>
    <row r="182" spans="1:4" ht="18.75" hidden="1" x14ac:dyDescent="0.25">
      <c r="A182" s="12" t="s">
        <v>181</v>
      </c>
      <c r="B182" s="7"/>
      <c r="C182" s="7"/>
      <c r="D182" s="7">
        <f t="shared" si="2"/>
        <v>0</v>
      </c>
    </row>
    <row r="183" spans="1:4" ht="18.75" hidden="1" x14ac:dyDescent="0.25">
      <c r="A183" s="12" t="s">
        <v>182</v>
      </c>
      <c r="B183" s="7"/>
      <c r="C183" s="7"/>
      <c r="D183" s="7">
        <f t="shared" si="2"/>
        <v>0</v>
      </c>
    </row>
    <row r="184" spans="1:4" ht="18.75" x14ac:dyDescent="0.25">
      <c r="A184" s="12" t="s">
        <v>183</v>
      </c>
      <c r="B184" s="7">
        <f>-500+1140+100+380</f>
        <v>1120</v>
      </c>
      <c r="C184" s="7">
        <v>9000</v>
      </c>
      <c r="D184" s="7">
        <f t="shared" si="2"/>
        <v>10080000</v>
      </c>
    </row>
    <row r="185" spans="1:4" ht="18.75" x14ac:dyDescent="0.25">
      <c r="A185" s="9" t="s">
        <v>184</v>
      </c>
      <c r="B185" s="7">
        <f>6/0.3</f>
        <v>20</v>
      </c>
      <c r="C185" s="7">
        <v>2100</v>
      </c>
      <c r="D185" s="7">
        <f t="shared" si="2"/>
        <v>42000</v>
      </c>
    </row>
    <row r="186" spans="1:4" ht="18.75" hidden="1" x14ac:dyDescent="0.25">
      <c r="A186" s="9" t="s">
        <v>185</v>
      </c>
      <c r="B186" s="7"/>
      <c r="C186" s="7"/>
      <c r="D186" s="7">
        <f t="shared" si="2"/>
        <v>0</v>
      </c>
    </row>
    <row r="187" spans="1:4" ht="18.75" hidden="1" x14ac:dyDescent="0.25">
      <c r="A187" s="12" t="s">
        <v>186</v>
      </c>
      <c r="B187" s="7"/>
      <c r="C187" s="7"/>
      <c r="D187" s="7">
        <f t="shared" si="2"/>
        <v>0</v>
      </c>
    </row>
    <row r="188" spans="1:4" ht="18.75" x14ac:dyDescent="0.25">
      <c r="A188" s="9" t="s">
        <v>210</v>
      </c>
      <c r="B188" s="7">
        <v>5</v>
      </c>
      <c r="C188" s="7">
        <v>12000</v>
      </c>
      <c r="D188" s="7">
        <f t="shared" si="2"/>
        <v>60000</v>
      </c>
    </row>
    <row r="189" spans="1:4" ht="18.75" x14ac:dyDescent="0.25">
      <c r="A189" s="9" t="s">
        <v>211</v>
      </c>
      <c r="B189" s="7">
        <f>23/0.5</f>
        <v>46</v>
      </c>
      <c r="C189" s="7">
        <v>6000</v>
      </c>
      <c r="D189" s="7">
        <f t="shared" si="2"/>
        <v>276000</v>
      </c>
    </row>
    <row r="190" spans="1:4" ht="18.75" hidden="1" x14ac:dyDescent="0.25">
      <c r="A190" s="9" t="s">
        <v>105</v>
      </c>
      <c r="B190" s="7"/>
      <c r="C190" s="7"/>
      <c r="D190" s="7">
        <f t="shared" si="2"/>
        <v>0</v>
      </c>
    </row>
    <row r="191" spans="1:4" ht="18.75" hidden="1" x14ac:dyDescent="0.25">
      <c r="A191" s="9" t="s">
        <v>106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14</v>
      </c>
      <c r="B192" s="7"/>
      <c r="C192" s="7"/>
      <c r="D192" s="7">
        <f t="shared" si="2"/>
        <v>0</v>
      </c>
    </row>
    <row r="193" spans="1:4" ht="18.75" hidden="1" x14ac:dyDescent="0.25">
      <c r="A193" s="11" t="s">
        <v>98</v>
      </c>
      <c r="B193" s="7"/>
      <c r="C193" s="7"/>
      <c r="D193" s="7">
        <f t="shared" si="2"/>
        <v>0</v>
      </c>
    </row>
    <row r="194" spans="1:4" ht="18.75" hidden="1" x14ac:dyDescent="0.25">
      <c r="A194" s="9" t="s">
        <v>123</v>
      </c>
      <c r="B194" s="7"/>
      <c r="C194" s="7"/>
      <c r="D194" s="7">
        <f t="shared" si="2"/>
        <v>0</v>
      </c>
    </row>
    <row r="195" spans="1:4" ht="18.75" hidden="1" x14ac:dyDescent="0.25">
      <c r="A195" s="9" t="s">
        <v>134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137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138</v>
      </c>
      <c r="B197" s="7"/>
      <c r="C197" s="7"/>
      <c r="D197" s="7">
        <f t="shared" si="3"/>
        <v>0</v>
      </c>
    </row>
    <row r="198" spans="1:4" ht="18.75" hidden="1" x14ac:dyDescent="0.25">
      <c r="A198" s="9" t="s">
        <v>139</v>
      </c>
      <c r="B198" s="7"/>
      <c r="C198" s="7"/>
      <c r="D198" s="7">
        <f t="shared" si="3"/>
        <v>0</v>
      </c>
    </row>
    <row r="199" spans="1:4" ht="18.75" hidden="1" x14ac:dyDescent="0.25">
      <c r="A199" s="9" t="s">
        <v>113</v>
      </c>
      <c r="B199" s="7"/>
      <c r="C199" s="7"/>
      <c r="D199" s="7">
        <f t="shared" si="3"/>
        <v>0</v>
      </c>
    </row>
    <row r="200" spans="1:4" ht="18.75" hidden="1" x14ac:dyDescent="0.25">
      <c r="A200" s="9" t="s">
        <v>114</v>
      </c>
      <c r="B200" s="7"/>
      <c r="C200" s="7"/>
      <c r="D200" s="7">
        <f t="shared" si="3"/>
        <v>0</v>
      </c>
    </row>
    <row r="201" spans="1:4" ht="18.75" hidden="1" x14ac:dyDescent="0.25">
      <c r="A201" s="9" t="s">
        <v>115</v>
      </c>
      <c r="B201" s="7"/>
      <c r="C201" s="7"/>
      <c r="D201" s="7">
        <f t="shared" si="3"/>
        <v>0</v>
      </c>
    </row>
    <row r="202" spans="1:4" ht="18.75" hidden="1" x14ac:dyDescent="0.25">
      <c r="A202" s="9" t="s">
        <v>116</v>
      </c>
      <c r="B202" s="7"/>
      <c r="C202" s="7"/>
      <c r="D202" s="7">
        <f t="shared" si="3"/>
        <v>0</v>
      </c>
    </row>
    <row r="203" spans="1:4" ht="18.75" hidden="1" x14ac:dyDescent="0.25">
      <c r="A203" s="11" t="s">
        <v>208</v>
      </c>
      <c r="B203" s="7"/>
      <c r="C203" s="7"/>
      <c r="D203" s="7">
        <f t="shared" si="3"/>
        <v>0</v>
      </c>
    </row>
    <row r="204" spans="1:4" ht="18.75" hidden="1" x14ac:dyDescent="0.25">
      <c r="A204" s="9" t="s">
        <v>209</v>
      </c>
      <c r="B204" s="7"/>
      <c r="C204" s="7"/>
      <c r="D204" s="7">
        <f t="shared" si="3"/>
        <v>0</v>
      </c>
    </row>
    <row r="205" spans="1:4" ht="18.75" hidden="1" x14ac:dyDescent="0.25">
      <c r="A205" s="9" t="s">
        <v>207</v>
      </c>
      <c r="B205" s="7"/>
      <c r="C205" s="7"/>
      <c r="D205" s="7">
        <f t="shared" si="3"/>
        <v>0</v>
      </c>
    </row>
    <row r="206" spans="1:4" ht="18.75" hidden="1" x14ac:dyDescent="0.25">
      <c r="A206" s="11" t="s">
        <v>230</v>
      </c>
      <c r="B206" s="7"/>
      <c r="C206" s="7"/>
      <c r="D206" s="7">
        <f t="shared" si="3"/>
        <v>0</v>
      </c>
    </row>
    <row r="207" spans="1:4" ht="18.75" x14ac:dyDescent="0.25">
      <c r="A207" s="9" t="s">
        <v>247</v>
      </c>
      <c r="B207" s="7">
        <v>12</v>
      </c>
      <c r="C207" s="7">
        <v>14000</v>
      </c>
      <c r="D207" s="7">
        <f t="shared" si="3"/>
        <v>168000</v>
      </c>
    </row>
    <row r="208" spans="1:4" ht="18.75" hidden="1" x14ac:dyDescent="0.25">
      <c r="A208" s="9" t="s">
        <v>267</v>
      </c>
      <c r="B208" s="7"/>
      <c r="C208" s="7"/>
      <c r="D208" s="7">
        <f t="shared" si="3"/>
        <v>0</v>
      </c>
    </row>
    <row r="209" spans="1:4" ht="18.75" hidden="1" x14ac:dyDescent="0.25">
      <c r="A209" s="11" t="s">
        <v>248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270</v>
      </c>
      <c r="B210" s="7"/>
      <c r="C210" s="7"/>
      <c r="D210" s="7">
        <f t="shared" si="3"/>
        <v>0</v>
      </c>
    </row>
    <row r="211" spans="1:4" ht="18.75" hidden="1" x14ac:dyDescent="0.25">
      <c r="A211" s="11" t="s">
        <v>282</v>
      </c>
      <c r="B211" s="7"/>
      <c r="C211" s="7"/>
      <c r="D211" s="7">
        <f t="shared" si="3"/>
        <v>0</v>
      </c>
    </row>
    <row r="212" spans="1:4" ht="18.75" hidden="1" x14ac:dyDescent="0.25">
      <c r="A212" s="9" t="s">
        <v>299</v>
      </c>
      <c r="B212" s="7"/>
      <c r="C212" s="7"/>
      <c r="D212" s="7">
        <f t="shared" si="3"/>
        <v>0</v>
      </c>
    </row>
    <row r="213" spans="1:4" ht="18.75" hidden="1" x14ac:dyDescent="0.25">
      <c r="A213" s="17" t="s">
        <v>300</v>
      </c>
      <c r="B213" s="7"/>
      <c r="C213" s="7"/>
      <c r="D213" s="7">
        <f t="shared" si="3"/>
        <v>0</v>
      </c>
    </row>
    <row r="214" spans="1:4" ht="18.75" x14ac:dyDescent="0.25">
      <c r="A214" s="9" t="s">
        <v>287</v>
      </c>
      <c r="B214" s="7">
        <f>20+36</f>
        <v>56</v>
      </c>
      <c r="C214" s="7">
        <v>11000</v>
      </c>
      <c r="D214" s="7">
        <f t="shared" si="3"/>
        <v>616000</v>
      </c>
    </row>
    <row r="215" spans="1:4" ht="18.75" hidden="1" x14ac:dyDescent="0.25">
      <c r="A215" s="17" t="s">
        <v>288</v>
      </c>
      <c r="B215" s="7"/>
      <c r="C215" s="7"/>
      <c r="D215" s="7">
        <f t="shared" si="3"/>
        <v>0</v>
      </c>
    </row>
    <row r="216" spans="1:4" ht="18.75" hidden="1" x14ac:dyDescent="0.25">
      <c r="A216" s="9" t="s">
        <v>289</v>
      </c>
      <c r="B216" s="7"/>
      <c r="C216" s="7"/>
      <c r="D216" s="7">
        <f t="shared" si="3"/>
        <v>0</v>
      </c>
    </row>
    <row r="217" spans="1:4" ht="18.75" hidden="1" x14ac:dyDescent="0.25">
      <c r="A217" s="9" t="s">
        <v>22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23</v>
      </c>
      <c r="B218" s="7"/>
      <c r="C218" s="7"/>
      <c r="D218" s="7">
        <f t="shared" si="3"/>
        <v>0</v>
      </c>
    </row>
    <row r="219" spans="1:4" ht="18.75" x14ac:dyDescent="0.25">
      <c r="A219" s="9" t="s">
        <v>24</v>
      </c>
      <c r="B219" s="7">
        <f>-30+10+45</f>
        <v>25</v>
      </c>
      <c r="C219" s="7">
        <v>15000</v>
      </c>
      <c r="D219" s="7">
        <f t="shared" si="3"/>
        <v>375000</v>
      </c>
    </row>
    <row r="220" spans="1:4" ht="18.75" hidden="1" x14ac:dyDescent="0.25">
      <c r="A220" s="9" t="s">
        <v>25</v>
      </c>
      <c r="B220" s="7"/>
      <c r="C220" s="7"/>
      <c r="D220" s="7">
        <f t="shared" si="3"/>
        <v>0</v>
      </c>
    </row>
    <row r="221" spans="1:4" ht="18.75" hidden="1" x14ac:dyDescent="0.25">
      <c r="A221" s="9" t="s">
        <v>26</v>
      </c>
      <c r="B221" s="7"/>
      <c r="C221" s="7"/>
      <c r="D221" s="7">
        <f t="shared" si="3"/>
        <v>0</v>
      </c>
    </row>
    <row r="222" spans="1:4" ht="18.75" hidden="1" x14ac:dyDescent="0.25">
      <c r="A222" s="9" t="s">
        <v>46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47</v>
      </c>
      <c r="B223" s="7"/>
      <c r="C223" s="7"/>
      <c r="D223" s="7">
        <f t="shared" si="3"/>
        <v>0</v>
      </c>
    </row>
    <row r="224" spans="1:4" ht="18.75" hidden="1" x14ac:dyDescent="0.25">
      <c r="A224" s="13" t="s">
        <v>48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51</v>
      </c>
      <c r="B225" s="7"/>
      <c r="C225" s="7"/>
      <c r="D225" s="7">
        <f t="shared" si="3"/>
        <v>0</v>
      </c>
    </row>
    <row r="226" spans="1:4" ht="18.75" hidden="1" x14ac:dyDescent="0.25">
      <c r="A226" s="9" t="s">
        <v>52</v>
      </c>
      <c r="B226" s="7"/>
      <c r="C226" s="7"/>
      <c r="D226" s="7">
        <f t="shared" si="3"/>
        <v>0</v>
      </c>
    </row>
    <row r="227" spans="1:4" ht="18.75" x14ac:dyDescent="0.25">
      <c r="A227" s="9" t="s">
        <v>90</v>
      </c>
      <c r="B227" s="7">
        <v>125</v>
      </c>
      <c r="C227" s="7">
        <v>9000</v>
      </c>
      <c r="D227" s="7">
        <f t="shared" si="3"/>
        <v>1125000</v>
      </c>
    </row>
    <row r="228" spans="1:4" ht="18.75" hidden="1" x14ac:dyDescent="0.25">
      <c r="A228" s="21" t="s">
        <v>91</v>
      </c>
      <c r="B228" s="7"/>
      <c r="C228" s="7"/>
      <c r="D228" s="7">
        <f t="shared" si="3"/>
        <v>0</v>
      </c>
    </row>
    <row r="229" spans="1:4" ht="18.75" hidden="1" x14ac:dyDescent="0.25">
      <c r="A229" s="5" t="s">
        <v>5</v>
      </c>
      <c r="B229" s="7"/>
      <c r="C229" s="7"/>
      <c r="D229" s="7">
        <f t="shared" si="3"/>
        <v>0</v>
      </c>
    </row>
    <row r="230" spans="1:4" ht="18.75" hidden="1" x14ac:dyDescent="0.25">
      <c r="A230" s="9" t="s">
        <v>6</v>
      </c>
      <c r="B230" s="7"/>
      <c r="C230" s="7"/>
      <c r="D230" s="7">
        <f t="shared" si="3"/>
        <v>0</v>
      </c>
    </row>
    <row r="231" spans="1:4" ht="18.75" hidden="1" x14ac:dyDescent="0.25">
      <c r="A231" s="5" t="s">
        <v>9</v>
      </c>
      <c r="B231" s="7"/>
      <c r="C231" s="7"/>
      <c r="D231" s="7">
        <f t="shared" si="3"/>
        <v>0</v>
      </c>
    </row>
    <row r="232" spans="1:4" ht="18.75" hidden="1" x14ac:dyDescent="0.25">
      <c r="A232" s="12" t="s">
        <v>167</v>
      </c>
      <c r="B232" s="7"/>
      <c r="C232" s="7"/>
      <c r="D232" s="7">
        <f t="shared" si="3"/>
        <v>0</v>
      </c>
    </row>
    <row r="233" spans="1:4" ht="18.75" x14ac:dyDescent="0.25">
      <c r="A233" s="9" t="s">
        <v>168</v>
      </c>
      <c r="B233" s="7">
        <f>20+14+6+274-158-6</f>
        <v>150</v>
      </c>
      <c r="C233" s="46">
        <v>8000</v>
      </c>
      <c r="D233" s="7">
        <f t="shared" si="3"/>
        <v>1200000</v>
      </c>
    </row>
    <row r="234" spans="1:4" ht="18.75" hidden="1" x14ac:dyDescent="0.25">
      <c r="A234" s="30" t="s">
        <v>169</v>
      </c>
      <c r="B234" s="7"/>
      <c r="C234" s="7"/>
      <c r="D234" s="7">
        <f t="shared" si="3"/>
        <v>0</v>
      </c>
    </row>
    <row r="235" spans="1:4" ht="18.75" x14ac:dyDescent="0.25">
      <c r="A235" s="9" t="s">
        <v>170</v>
      </c>
      <c r="B235" s="7">
        <v>50</v>
      </c>
      <c r="C235" s="7">
        <v>11000</v>
      </c>
      <c r="D235" s="7">
        <f t="shared" si="3"/>
        <v>550000</v>
      </c>
    </row>
    <row r="236" spans="1:4" ht="18.75" x14ac:dyDescent="0.25">
      <c r="A236" s="9" t="s">
        <v>171</v>
      </c>
      <c r="B236" s="7">
        <v>8</v>
      </c>
      <c r="C236" s="7">
        <v>11000</v>
      </c>
      <c r="D236" s="7">
        <f t="shared" si="3"/>
        <v>88000</v>
      </c>
    </row>
    <row r="237" spans="1:4" ht="18.75" hidden="1" x14ac:dyDescent="0.25">
      <c r="A237" s="20" t="s">
        <v>172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10</v>
      </c>
      <c r="B239" s="7"/>
      <c r="C239" s="7"/>
      <c r="D239" s="7">
        <f t="shared" si="3"/>
        <v>0</v>
      </c>
    </row>
    <row r="240" spans="1:4" ht="18.75" hidden="1" x14ac:dyDescent="0.25">
      <c r="A240" s="9" t="s">
        <v>38</v>
      </c>
      <c r="B240" s="7"/>
      <c r="C240" s="7"/>
      <c r="D240" s="7">
        <f t="shared" si="3"/>
        <v>0</v>
      </c>
    </row>
    <row r="241" spans="1:4" ht="18.75" hidden="1" x14ac:dyDescent="0.25">
      <c r="A241" s="9" t="s">
        <v>39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40</v>
      </c>
      <c r="B242" s="16"/>
      <c r="C242" s="16"/>
      <c r="D242" s="7">
        <f t="shared" si="3"/>
        <v>0</v>
      </c>
    </row>
    <row r="243" spans="1:4" ht="18.75" hidden="1" x14ac:dyDescent="0.25">
      <c r="A243" s="17" t="s">
        <v>255</v>
      </c>
      <c r="B243" s="7"/>
      <c r="C243" s="7"/>
      <c r="D243" s="7">
        <f t="shared" si="3"/>
        <v>0</v>
      </c>
    </row>
    <row r="244" spans="1:4" ht="18.75" hidden="1" x14ac:dyDescent="0.25">
      <c r="A244" s="21" t="s">
        <v>256</v>
      </c>
      <c r="B244" s="7"/>
      <c r="C244" s="7"/>
      <c r="D244" s="7">
        <f t="shared" si="3"/>
        <v>0</v>
      </c>
    </row>
    <row r="245" spans="1:4" ht="18.75" x14ac:dyDescent="0.25">
      <c r="A245" s="11" t="s">
        <v>268</v>
      </c>
      <c r="B245" s="7">
        <v>2</v>
      </c>
      <c r="C245" s="7">
        <v>45000</v>
      </c>
      <c r="D245" s="7">
        <f t="shared" si="3"/>
        <v>90000</v>
      </c>
    </row>
    <row r="246" spans="1:4" ht="18.75" x14ac:dyDescent="0.25">
      <c r="A246" s="9" t="s">
        <v>269</v>
      </c>
      <c r="B246" s="7">
        <v>40</v>
      </c>
      <c r="C246" s="7">
        <v>14000</v>
      </c>
      <c r="D246" s="7">
        <f t="shared" si="3"/>
        <v>560000</v>
      </c>
    </row>
    <row r="247" spans="1:4" ht="18.75" hidden="1" x14ac:dyDescent="0.25">
      <c r="A247" s="9" t="s">
        <v>272</v>
      </c>
      <c r="B247" s="7"/>
      <c r="C247" s="7"/>
      <c r="D247" s="7">
        <f t="shared" si="3"/>
        <v>0</v>
      </c>
    </row>
    <row r="248" spans="1:4" ht="18.75" hidden="1" x14ac:dyDescent="0.25">
      <c r="A248" s="11" t="s">
        <v>283</v>
      </c>
      <c r="B248" s="7"/>
      <c r="C248" s="7"/>
      <c r="D248" s="7">
        <f t="shared" si="3"/>
        <v>0</v>
      </c>
    </row>
    <row r="249" spans="1:4" ht="18.75" hidden="1" x14ac:dyDescent="0.25">
      <c r="A249" s="21" t="s">
        <v>377</v>
      </c>
      <c r="B249" s="7"/>
      <c r="C249" s="7"/>
      <c r="D249" s="7">
        <f t="shared" si="3"/>
        <v>0</v>
      </c>
    </row>
    <row r="250" spans="1:4" ht="18.75" hidden="1" x14ac:dyDescent="0.25">
      <c r="A250" s="12" t="s">
        <v>178</v>
      </c>
      <c r="B250" s="7"/>
      <c r="C250" s="7"/>
      <c r="D250" s="7">
        <f t="shared" si="3"/>
        <v>0</v>
      </c>
    </row>
    <row r="251" spans="1:4" ht="18.75" hidden="1" x14ac:dyDescent="0.25">
      <c r="A251" s="9" t="s">
        <v>179</v>
      </c>
      <c r="B251" s="7"/>
      <c r="C251" s="7"/>
      <c r="D251" s="7">
        <f t="shared" si="3"/>
        <v>0</v>
      </c>
    </row>
    <row r="252" spans="1:4" ht="18.75" hidden="1" x14ac:dyDescent="0.25">
      <c r="A252" s="9" t="s">
        <v>180</v>
      </c>
      <c r="B252" s="7"/>
      <c r="C252" s="7"/>
      <c r="D252" s="7">
        <f t="shared" si="3"/>
        <v>0</v>
      </c>
    </row>
    <row r="253" spans="1:4" ht="18.75" hidden="1" x14ac:dyDescent="0.25">
      <c r="A253" s="12" t="s">
        <v>305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307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308</v>
      </c>
      <c r="B255" s="7"/>
      <c r="C255" s="7"/>
      <c r="D255" s="7">
        <f t="shared" si="3"/>
        <v>0</v>
      </c>
    </row>
    <row r="256" spans="1:4" ht="18.75" hidden="1" x14ac:dyDescent="0.25">
      <c r="A256" s="21" t="s">
        <v>311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313</v>
      </c>
      <c r="B257" s="7"/>
      <c r="C257" s="7"/>
      <c r="D257" s="7">
        <f t="shared" si="3"/>
        <v>0</v>
      </c>
    </row>
    <row r="258" spans="1:4" ht="18.75" hidden="1" x14ac:dyDescent="0.25">
      <c r="A258" s="9" t="s">
        <v>314</v>
      </c>
      <c r="B258" s="7"/>
      <c r="C258" s="7"/>
      <c r="D258" s="7">
        <f t="shared" si="3"/>
        <v>0</v>
      </c>
    </row>
    <row r="259" spans="1:4" ht="18.75" hidden="1" x14ac:dyDescent="0.25">
      <c r="A259" s="9" t="s">
        <v>315</v>
      </c>
      <c r="B259" s="7"/>
      <c r="C259" s="7"/>
      <c r="D259" s="7">
        <f t="shared" si="3"/>
        <v>0</v>
      </c>
    </row>
    <row r="260" spans="1:4" ht="18.75" hidden="1" x14ac:dyDescent="0.25">
      <c r="A260" s="9" t="s">
        <v>316</v>
      </c>
      <c r="B260" s="7"/>
      <c r="C260" s="7"/>
      <c r="D260" s="7">
        <f t="shared" ref="D260:D323" si="4">B260*C260</f>
        <v>0</v>
      </c>
    </row>
    <row r="261" spans="1:4" ht="18.75" hidden="1" x14ac:dyDescent="0.25">
      <c r="A261" s="21" t="s">
        <v>317</v>
      </c>
      <c r="B261" s="7"/>
      <c r="C261" s="7"/>
      <c r="D261" s="7">
        <f t="shared" si="4"/>
        <v>0</v>
      </c>
    </row>
    <row r="262" spans="1:4" ht="18.75" hidden="1" x14ac:dyDescent="0.25">
      <c r="A262" s="9" t="s">
        <v>318</v>
      </c>
      <c r="B262" s="7"/>
      <c r="C262" s="7"/>
      <c r="D262" s="7">
        <f t="shared" si="4"/>
        <v>0</v>
      </c>
    </row>
    <row r="263" spans="1:4" ht="18.75" hidden="1" x14ac:dyDescent="0.25">
      <c r="A263" s="9" t="s">
        <v>322</v>
      </c>
      <c r="B263" s="7"/>
      <c r="C263" s="7"/>
      <c r="D263" s="7">
        <f t="shared" si="4"/>
        <v>0</v>
      </c>
    </row>
    <row r="264" spans="1:4" ht="18.75" hidden="1" x14ac:dyDescent="0.25">
      <c r="A264" s="21" t="s">
        <v>324</v>
      </c>
      <c r="B264" s="7"/>
      <c r="C264" s="7"/>
      <c r="D264" s="7">
        <f t="shared" si="4"/>
        <v>0</v>
      </c>
    </row>
    <row r="265" spans="1:4" ht="18.75" hidden="1" x14ac:dyDescent="0.25">
      <c r="A265" s="21" t="s">
        <v>325</v>
      </c>
      <c r="B265" s="7"/>
      <c r="C265" s="7"/>
      <c r="D265" s="7">
        <f t="shared" si="4"/>
        <v>0</v>
      </c>
    </row>
    <row r="266" spans="1:4" ht="18.75" x14ac:dyDescent="0.25">
      <c r="A266" s="9" t="s">
        <v>326</v>
      </c>
      <c r="B266" s="7">
        <f>100*0.2</f>
        <v>20</v>
      </c>
      <c r="C266" s="7">
        <v>30000</v>
      </c>
      <c r="D266" s="7">
        <f t="shared" si="4"/>
        <v>600000</v>
      </c>
    </row>
    <row r="267" spans="1:4" ht="18.75" hidden="1" x14ac:dyDescent="0.25">
      <c r="A267" s="9" t="s">
        <v>327</v>
      </c>
      <c r="B267" s="7"/>
      <c r="C267" s="7"/>
      <c r="D267" s="7">
        <f t="shared" si="4"/>
        <v>0</v>
      </c>
    </row>
    <row r="268" spans="1:4" ht="18.75" hidden="1" x14ac:dyDescent="0.25">
      <c r="A268" s="21" t="s">
        <v>328</v>
      </c>
      <c r="B268" s="7"/>
      <c r="C268" s="7"/>
      <c r="D268" s="7">
        <f t="shared" si="4"/>
        <v>0</v>
      </c>
    </row>
    <row r="269" spans="1:4" ht="18.75" hidden="1" x14ac:dyDescent="0.25">
      <c r="A269" s="9" t="s">
        <v>329</v>
      </c>
      <c r="B269" s="7"/>
      <c r="C269" s="7"/>
      <c r="D269" s="7">
        <f t="shared" si="4"/>
        <v>0</v>
      </c>
    </row>
    <row r="270" spans="1:4" ht="18.75" hidden="1" x14ac:dyDescent="0.25">
      <c r="A270" s="9" t="s">
        <v>330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331</v>
      </c>
      <c r="B271" s="7"/>
      <c r="C271" s="7"/>
      <c r="D271" s="7">
        <f t="shared" si="4"/>
        <v>0</v>
      </c>
    </row>
    <row r="272" spans="1:4" ht="18.75" hidden="1" x14ac:dyDescent="0.25">
      <c r="A272" s="9" t="s">
        <v>332</v>
      </c>
      <c r="B272" s="7"/>
      <c r="C272" s="7"/>
      <c r="D272" s="7">
        <f t="shared" si="4"/>
        <v>0</v>
      </c>
    </row>
    <row r="273" spans="1:4" ht="18.75" hidden="1" x14ac:dyDescent="0.25">
      <c r="A273" s="9" t="s">
        <v>333</v>
      </c>
      <c r="B273" s="7"/>
      <c r="C273" s="7"/>
      <c r="D273" s="7">
        <f t="shared" si="4"/>
        <v>0</v>
      </c>
    </row>
    <row r="274" spans="1:4" ht="18.75" hidden="1" x14ac:dyDescent="0.25">
      <c r="A274" s="9" t="s">
        <v>334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335</v>
      </c>
      <c r="B275" s="7"/>
      <c r="C275" s="7"/>
      <c r="D275" s="7">
        <f t="shared" si="4"/>
        <v>0</v>
      </c>
    </row>
    <row r="276" spans="1:4" ht="18.75" hidden="1" x14ac:dyDescent="0.25">
      <c r="A276" s="9" t="s">
        <v>336</v>
      </c>
      <c r="B276" s="7"/>
      <c r="C276" s="7"/>
      <c r="D276" s="7">
        <f t="shared" si="4"/>
        <v>0</v>
      </c>
    </row>
    <row r="277" spans="1:4" ht="18.75" hidden="1" x14ac:dyDescent="0.25">
      <c r="A277" s="28" t="s">
        <v>130</v>
      </c>
      <c r="B277" s="7"/>
      <c r="C277" s="7"/>
      <c r="D277" s="7">
        <f t="shared" si="4"/>
        <v>0</v>
      </c>
    </row>
    <row r="278" spans="1:4" ht="18.75" hidden="1" x14ac:dyDescent="0.25">
      <c r="A278" s="12" t="s">
        <v>131</v>
      </c>
      <c r="B278" s="16"/>
      <c r="C278" s="16"/>
      <c r="D278" s="7">
        <f t="shared" si="4"/>
        <v>0</v>
      </c>
    </row>
    <row r="279" spans="1:4" ht="18.75" x14ac:dyDescent="0.25">
      <c r="A279" s="9" t="s">
        <v>132</v>
      </c>
      <c r="B279" s="7">
        <v>10</v>
      </c>
      <c r="C279" s="7">
        <v>9000</v>
      </c>
      <c r="D279" s="7">
        <f t="shared" si="4"/>
        <v>90000</v>
      </c>
    </row>
    <row r="280" spans="1:4" ht="18.75" hidden="1" x14ac:dyDescent="0.25">
      <c r="A280" s="9" t="s">
        <v>133</v>
      </c>
      <c r="B280" s="7"/>
      <c r="C280" s="7"/>
      <c r="D280" s="7">
        <f t="shared" si="4"/>
        <v>0</v>
      </c>
    </row>
    <row r="281" spans="1:4" ht="18.75" x14ac:dyDescent="0.25">
      <c r="A281" s="9" t="s">
        <v>290</v>
      </c>
      <c r="B281" s="7">
        <v>150</v>
      </c>
      <c r="C281" s="7">
        <v>7500</v>
      </c>
      <c r="D281" s="7">
        <f t="shared" si="4"/>
        <v>1125000</v>
      </c>
    </row>
    <row r="282" spans="1:4" ht="18.75" hidden="1" x14ac:dyDescent="0.25">
      <c r="A282" s="17" t="s">
        <v>291</v>
      </c>
      <c r="B282" s="7"/>
      <c r="C282" s="7"/>
      <c r="D282" s="7">
        <f t="shared" si="4"/>
        <v>0</v>
      </c>
    </row>
    <row r="283" spans="1:4" ht="18.75" hidden="1" x14ac:dyDescent="0.25">
      <c r="A283" s="9" t="s">
        <v>16</v>
      </c>
      <c r="B283" s="7"/>
      <c r="C283" s="7"/>
      <c r="D283" s="7">
        <f t="shared" si="4"/>
        <v>0</v>
      </c>
    </row>
    <row r="284" spans="1:4" ht="18.75" x14ac:dyDescent="0.25">
      <c r="A284" s="13" t="s">
        <v>17</v>
      </c>
      <c r="B284" s="7">
        <v>31</v>
      </c>
      <c r="C284" s="7">
        <v>4000</v>
      </c>
      <c r="D284" s="7">
        <f t="shared" si="4"/>
        <v>124000</v>
      </c>
    </row>
    <row r="285" spans="1:4" ht="18.75" x14ac:dyDescent="0.25">
      <c r="A285" s="11" t="s">
        <v>18</v>
      </c>
      <c r="B285" s="7">
        <v>12</v>
      </c>
      <c r="C285" s="45">
        <v>12000</v>
      </c>
      <c r="D285" s="7">
        <f t="shared" si="4"/>
        <v>144000</v>
      </c>
    </row>
    <row r="286" spans="1:4" ht="18.75" hidden="1" x14ac:dyDescent="0.25">
      <c r="A286" s="9" t="s">
        <v>157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158</v>
      </c>
      <c r="B287" s="7"/>
      <c r="C287" s="7"/>
      <c r="D287" s="7">
        <f t="shared" si="4"/>
        <v>0</v>
      </c>
    </row>
    <row r="288" spans="1:4" ht="18.75" hidden="1" x14ac:dyDescent="0.25">
      <c r="A288" s="9" t="s">
        <v>159</v>
      </c>
      <c r="B288" s="7"/>
      <c r="C288" s="7"/>
      <c r="D288" s="7">
        <f t="shared" si="4"/>
        <v>0</v>
      </c>
    </row>
    <row r="289" spans="1:4" ht="18.75" hidden="1" x14ac:dyDescent="0.25">
      <c r="A289" s="9" t="s">
        <v>160</v>
      </c>
      <c r="B289" s="7"/>
      <c r="C289" s="7"/>
      <c r="D289" s="7">
        <f t="shared" si="4"/>
        <v>0</v>
      </c>
    </row>
    <row r="290" spans="1:4" ht="18.75" hidden="1" x14ac:dyDescent="0.25">
      <c r="A290" s="13" t="s">
        <v>378</v>
      </c>
      <c r="B290" s="7"/>
      <c r="C290" s="7"/>
      <c r="D290" s="7">
        <f t="shared" si="4"/>
        <v>0</v>
      </c>
    </row>
    <row r="291" spans="1:4" ht="18.75" hidden="1" x14ac:dyDescent="0.25">
      <c r="A291" s="10" t="s">
        <v>7</v>
      </c>
      <c r="B291" s="7"/>
      <c r="C291" s="7"/>
      <c r="D291" s="7">
        <f t="shared" si="4"/>
        <v>0</v>
      </c>
    </row>
    <row r="292" spans="1:4" ht="18.75" hidden="1" x14ac:dyDescent="0.25">
      <c r="A292" s="5" t="s">
        <v>8</v>
      </c>
      <c r="B292" s="7"/>
      <c r="C292" s="7"/>
      <c r="D292" s="7">
        <f t="shared" si="4"/>
        <v>0</v>
      </c>
    </row>
    <row r="293" spans="1:4" ht="18.75" hidden="1" x14ac:dyDescent="0.25">
      <c r="A293" s="17" t="s">
        <v>379</v>
      </c>
      <c r="B293" s="7"/>
      <c r="C293" s="7"/>
      <c r="D293" s="7">
        <f t="shared" si="4"/>
        <v>0</v>
      </c>
    </row>
    <row r="294" spans="1:4" ht="18.75" hidden="1" x14ac:dyDescent="0.25">
      <c r="A294" s="11" t="s">
        <v>31</v>
      </c>
      <c r="B294" s="7"/>
      <c r="C294" s="7"/>
      <c r="D294" s="7">
        <f t="shared" si="4"/>
        <v>0</v>
      </c>
    </row>
    <row r="295" spans="1:4" ht="18.75" hidden="1" x14ac:dyDescent="0.25">
      <c r="A295" s="11" t="s">
        <v>30</v>
      </c>
      <c r="B295" s="7"/>
      <c r="C295" s="7"/>
      <c r="D295" s="7">
        <f t="shared" si="4"/>
        <v>0</v>
      </c>
    </row>
    <row r="296" spans="1:4" ht="18.75" hidden="1" x14ac:dyDescent="0.25">
      <c r="A296" s="11" t="s">
        <v>32</v>
      </c>
      <c r="B296" s="7"/>
      <c r="C296" s="7"/>
      <c r="D296" s="7">
        <f t="shared" si="4"/>
        <v>0</v>
      </c>
    </row>
    <row r="297" spans="1:4" ht="18.75" hidden="1" x14ac:dyDescent="0.25">
      <c r="A297" s="11" t="s">
        <v>34</v>
      </c>
      <c r="B297" s="7"/>
      <c r="C297" s="7"/>
      <c r="D297" s="7">
        <f t="shared" si="4"/>
        <v>0</v>
      </c>
    </row>
    <row r="298" spans="1:4" ht="18.75" hidden="1" x14ac:dyDescent="0.25">
      <c r="A298" s="11" t="s">
        <v>35</v>
      </c>
      <c r="B298" s="7"/>
      <c r="C298" s="7"/>
      <c r="D298" s="7">
        <f t="shared" si="4"/>
        <v>0</v>
      </c>
    </row>
    <row r="299" spans="1:4" ht="18.75" hidden="1" x14ac:dyDescent="0.25">
      <c r="A299" s="11" t="s">
        <v>36</v>
      </c>
      <c r="B299" s="7"/>
      <c r="C299" s="7"/>
      <c r="D299" s="7">
        <f t="shared" si="4"/>
        <v>0</v>
      </c>
    </row>
    <row r="300" spans="1:4" ht="18.75" hidden="1" x14ac:dyDescent="0.25">
      <c r="A300" s="19" t="s">
        <v>64</v>
      </c>
      <c r="B300" s="7"/>
      <c r="C300" s="7"/>
      <c r="D300" s="7">
        <f t="shared" si="4"/>
        <v>0</v>
      </c>
    </row>
    <row r="301" spans="1:4" ht="18.75" hidden="1" x14ac:dyDescent="0.25">
      <c r="A301" s="12" t="s">
        <v>68</v>
      </c>
      <c r="B301" s="7"/>
      <c r="C301" s="7"/>
      <c r="D301" s="7">
        <f t="shared" si="4"/>
        <v>0</v>
      </c>
    </row>
    <row r="302" spans="1:4" ht="18.75" hidden="1" x14ac:dyDescent="0.25">
      <c r="A302" s="17" t="s">
        <v>380</v>
      </c>
      <c r="B302" s="7"/>
      <c r="C302" s="7"/>
      <c r="D302" s="7">
        <f t="shared" si="4"/>
        <v>0</v>
      </c>
    </row>
    <row r="303" spans="1:4" ht="18.75" hidden="1" x14ac:dyDescent="0.25">
      <c r="A303" s="11" t="s">
        <v>102</v>
      </c>
      <c r="B303" s="7"/>
      <c r="C303" s="7"/>
      <c r="D303" s="7">
        <f t="shared" si="4"/>
        <v>0</v>
      </c>
    </row>
    <row r="304" spans="1:4" ht="18.75" hidden="1" x14ac:dyDescent="0.25">
      <c r="A304" s="25" t="s">
        <v>108</v>
      </c>
      <c r="B304" s="7"/>
      <c r="C304" s="7"/>
      <c r="D304" s="7">
        <f t="shared" si="4"/>
        <v>0</v>
      </c>
    </row>
    <row r="305" spans="1:4" ht="18.75" hidden="1" x14ac:dyDescent="0.25">
      <c r="A305" s="9" t="s">
        <v>381</v>
      </c>
      <c r="B305" s="7"/>
      <c r="C305" s="7"/>
      <c r="D305" s="7">
        <f t="shared" si="4"/>
        <v>0</v>
      </c>
    </row>
    <row r="306" spans="1:4" ht="18.75" hidden="1" x14ac:dyDescent="0.25">
      <c r="A306" s="9" t="s">
        <v>119</v>
      </c>
      <c r="B306" s="7"/>
      <c r="C306" s="7"/>
      <c r="D306" s="7">
        <f t="shared" si="4"/>
        <v>0</v>
      </c>
    </row>
    <row r="307" spans="1:4" ht="18.75" hidden="1" x14ac:dyDescent="0.25">
      <c r="A307" s="11" t="s">
        <v>120</v>
      </c>
      <c r="B307" s="7"/>
      <c r="C307" s="7"/>
      <c r="D307" s="7">
        <f t="shared" si="4"/>
        <v>0</v>
      </c>
    </row>
    <row r="308" spans="1:4" ht="18.75" hidden="1" x14ac:dyDescent="0.25">
      <c r="A308" s="11" t="s">
        <v>121</v>
      </c>
      <c r="B308" s="7"/>
      <c r="C308" s="7"/>
      <c r="D308" s="7">
        <f t="shared" si="4"/>
        <v>0</v>
      </c>
    </row>
    <row r="309" spans="1:4" ht="18.75" hidden="1" x14ac:dyDescent="0.25">
      <c r="A309" s="17" t="s">
        <v>382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383</v>
      </c>
      <c r="B310" s="7"/>
      <c r="C310" s="7"/>
      <c r="D310" s="7">
        <f t="shared" si="4"/>
        <v>0</v>
      </c>
    </row>
    <row r="311" spans="1:4" ht="18.75" hidden="1" x14ac:dyDescent="0.25">
      <c r="A311" s="13" t="s">
        <v>384</v>
      </c>
      <c r="B311" s="7"/>
      <c r="C311" s="7"/>
      <c r="D311" s="7">
        <f t="shared" si="4"/>
        <v>0</v>
      </c>
    </row>
    <row r="312" spans="1:4" ht="18.75" hidden="1" x14ac:dyDescent="0.25">
      <c r="A312" s="9" t="s">
        <v>164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143</v>
      </c>
      <c r="B313" s="7"/>
      <c r="C313" s="7"/>
      <c r="D313" s="7">
        <f t="shared" si="4"/>
        <v>0</v>
      </c>
    </row>
    <row r="314" spans="1:4" ht="18.75" hidden="1" x14ac:dyDescent="0.25">
      <c r="A314" s="17" t="s">
        <v>189</v>
      </c>
      <c r="B314" s="7"/>
      <c r="C314" s="7"/>
      <c r="D314" s="7">
        <f t="shared" si="4"/>
        <v>0</v>
      </c>
    </row>
    <row r="315" spans="1:4" ht="18.75" hidden="1" x14ac:dyDescent="0.25">
      <c r="A315" s="17" t="s">
        <v>190</v>
      </c>
      <c r="B315" s="7"/>
      <c r="C315" s="7"/>
      <c r="D315" s="7">
        <f t="shared" si="4"/>
        <v>0</v>
      </c>
    </row>
    <row r="316" spans="1:4" ht="18.75" hidden="1" x14ac:dyDescent="0.25">
      <c r="A316" s="17" t="s">
        <v>191</v>
      </c>
      <c r="B316" s="7"/>
      <c r="C316" s="7"/>
      <c r="D316" s="7">
        <f t="shared" si="4"/>
        <v>0</v>
      </c>
    </row>
    <row r="317" spans="1:4" ht="18.75" hidden="1" x14ac:dyDescent="0.25">
      <c r="A317" s="17" t="s">
        <v>192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194</v>
      </c>
      <c r="B318" s="7"/>
      <c r="C318" s="7"/>
      <c r="D318" s="7">
        <f t="shared" si="4"/>
        <v>0</v>
      </c>
    </row>
    <row r="319" spans="1:4" ht="18.75" hidden="1" x14ac:dyDescent="0.25">
      <c r="A319" s="34" t="s">
        <v>195</v>
      </c>
      <c r="B319" s="7"/>
      <c r="C319" s="7"/>
      <c r="D319" s="7">
        <f t="shared" si="4"/>
        <v>0</v>
      </c>
    </row>
    <row r="320" spans="1:4" ht="18.75" hidden="1" x14ac:dyDescent="0.25">
      <c r="A320" s="34" t="s">
        <v>196</v>
      </c>
      <c r="B320" s="7"/>
      <c r="C320" s="7"/>
      <c r="D320" s="7">
        <f t="shared" si="4"/>
        <v>0</v>
      </c>
    </row>
    <row r="321" spans="1:4" ht="18.75" hidden="1" x14ac:dyDescent="0.25">
      <c r="A321" s="34" t="s">
        <v>197</v>
      </c>
      <c r="B321" s="7"/>
      <c r="C321" s="7"/>
      <c r="D321" s="7">
        <f t="shared" si="4"/>
        <v>0</v>
      </c>
    </row>
    <row r="322" spans="1:4" ht="18.75" hidden="1" x14ac:dyDescent="0.25">
      <c r="A322" s="34" t="s">
        <v>198</v>
      </c>
      <c r="B322" s="7"/>
      <c r="C322" s="7"/>
      <c r="D322" s="7">
        <f t="shared" si="4"/>
        <v>0</v>
      </c>
    </row>
    <row r="323" spans="1:4" ht="18.75" hidden="1" x14ac:dyDescent="0.25">
      <c r="A323" s="11" t="s">
        <v>226</v>
      </c>
      <c r="B323" s="7"/>
      <c r="C323" s="7"/>
      <c r="D323" s="7">
        <f t="shared" si="4"/>
        <v>0</v>
      </c>
    </row>
    <row r="324" spans="1:4" ht="18.75" hidden="1" x14ac:dyDescent="0.25">
      <c r="A324" s="11" t="s">
        <v>231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11" t="s">
        <v>232</v>
      </c>
      <c r="B325" s="7"/>
      <c r="C325" s="7"/>
      <c r="D325" s="7">
        <f t="shared" si="5"/>
        <v>0</v>
      </c>
    </row>
    <row r="326" spans="1:4" ht="18.75" hidden="1" x14ac:dyDescent="0.25">
      <c r="A326" s="11" t="s">
        <v>228</v>
      </c>
      <c r="B326" s="7"/>
      <c r="C326" s="7"/>
      <c r="D326" s="7">
        <f t="shared" si="5"/>
        <v>0</v>
      </c>
    </row>
    <row r="327" spans="1:4" ht="18.75" hidden="1" x14ac:dyDescent="0.25">
      <c r="A327" s="17" t="s">
        <v>229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233</v>
      </c>
      <c r="B328" s="7"/>
      <c r="C328" s="7"/>
      <c r="D328" s="7">
        <f t="shared" si="5"/>
        <v>0</v>
      </c>
    </row>
    <row r="329" spans="1:4" ht="18.75" hidden="1" x14ac:dyDescent="0.25">
      <c r="A329" s="11" t="s">
        <v>235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234</v>
      </c>
      <c r="B330" s="7"/>
      <c r="C330" s="7"/>
      <c r="D330" s="7">
        <f t="shared" si="5"/>
        <v>0</v>
      </c>
    </row>
    <row r="331" spans="1:4" ht="18.75" hidden="1" x14ac:dyDescent="0.25">
      <c r="A331" s="13" t="s">
        <v>239</v>
      </c>
      <c r="B331" s="7"/>
      <c r="C331" s="7"/>
      <c r="D331" s="7">
        <f t="shared" si="5"/>
        <v>0</v>
      </c>
    </row>
    <row r="332" spans="1:4" ht="18.75" hidden="1" x14ac:dyDescent="0.25">
      <c r="A332" s="13" t="s">
        <v>240</v>
      </c>
      <c r="B332" s="7"/>
      <c r="C332" s="7"/>
      <c r="D332" s="7">
        <f t="shared" si="5"/>
        <v>0</v>
      </c>
    </row>
    <row r="333" spans="1:4" ht="18.75" hidden="1" x14ac:dyDescent="0.25">
      <c r="A333" s="34" t="s">
        <v>241</v>
      </c>
      <c r="B333" s="7"/>
      <c r="C333" s="7"/>
      <c r="D333" s="7">
        <f t="shared" si="5"/>
        <v>0</v>
      </c>
    </row>
    <row r="334" spans="1:4" ht="18.75" hidden="1" x14ac:dyDescent="0.25">
      <c r="A334" s="34" t="s">
        <v>245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275</v>
      </c>
      <c r="B335" s="7"/>
      <c r="C335" s="7"/>
      <c r="D335" s="7">
        <f t="shared" si="5"/>
        <v>0</v>
      </c>
    </row>
    <row r="336" spans="1:4" ht="18.75" hidden="1" x14ac:dyDescent="0.25">
      <c r="A336" s="34" t="s">
        <v>276</v>
      </c>
      <c r="B336" s="7"/>
      <c r="C336" s="7"/>
      <c r="D336" s="7">
        <f t="shared" si="5"/>
        <v>0</v>
      </c>
    </row>
    <row r="337" spans="1:4" ht="18.75" hidden="1" x14ac:dyDescent="0.25">
      <c r="A337" s="34" t="s">
        <v>278</v>
      </c>
      <c r="B337" s="7"/>
      <c r="C337" s="7"/>
      <c r="D337" s="7">
        <f t="shared" si="5"/>
        <v>0</v>
      </c>
    </row>
    <row r="338" spans="1:4" ht="18.75" hidden="1" x14ac:dyDescent="0.25">
      <c r="A338" s="34" t="s">
        <v>279</v>
      </c>
      <c r="B338" s="7"/>
      <c r="C338" s="7"/>
      <c r="D338" s="7">
        <f t="shared" si="5"/>
        <v>0</v>
      </c>
    </row>
    <row r="339" spans="1:4" ht="18.75" hidden="1" x14ac:dyDescent="0.25">
      <c r="A339" s="25" t="s">
        <v>292</v>
      </c>
      <c r="B339" s="7"/>
      <c r="C339" s="7"/>
      <c r="D339" s="7">
        <f t="shared" si="5"/>
        <v>0</v>
      </c>
    </row>
    <row r="340" spans="1:4" ht="18.75" hidden="1" x14ac:dyDescent="0.25">
      <c r="A340" s="51" t="s">
        <v>385</v>
      </c>
      <c r="B340" s="52"/>
      <c r="C340" s="52"/>
      <c r="D340" s="7">
        <f t="shared" si="5"/>
        <v>0</v>
      </c>
    </row>
    <row r="341" spans="1:4" ht="18.75" hidden="1" x14ac:dyDescent="0.25">
      <c r="A341" s="13" t="s">
        <v>295</v>
      </c>
      <c r="B341" s="7"/>
      <c r="C341" s="7"/>
      <c r="D341" s="7">
        <f t="shared" si="5"/>
        <v>0</v>
      </c>
    </row>
    <row r="342" spans="1:4" ht="18.75" x14ac:dyDescent="0.25">
      <c r="A342" s="9" t="s">
        <v>301</v>
      </c>
      <c r="B342" s="7">
        <v>7</v>
      </c>
      <c r="C342" s="7">
        <v>20000</v>
      </c>
      <c r="D342" s="7">
        <f t="shared" si="5"/>
        <v>140000</v>
      </c>
    </row>
    <row r="343" spans="1:4" ht="18.75" hidden="1" x14ac:dyDescent="0.25">
      <c r="A343" s="9" t="s">
        <v>302</v>
      </c>
      <c r="B343" s="7"/>
      <c r="C343" s="7"/>
      <c r="D343" s="7">
        <f t="shared" si="5"/>
        <v>0</v>
      </c>
    </row>
    <row r="344" spans="1:4" ht="18.75" hidden="1" x14ac:dyDescent="0.25">
      <c r="A344" s="11" t="s">
        <v>303</v>
      </c>
      <c r="B344" s="7"/>
      <c r="C344" s="7"/>
      <c r="D344" s="7">
        <f t="shared" si="5"/>
        <v>0</v>
      </c>
    </row>
    <row r="345" spans="1:4" ht="18.75" hidden="1" x14ac:dyDescent="0.25">
      <c r="A345" s="11" t="s">
        <v>338</v>
      </c>
      <c r="B345" s="7"/>
      <c r="C345" s="7"/>
      <c r="D345" s="7">
        <f t="shared" si="5"/>
        <v>0</v>
      </c>
    </row>
    <row r="346" spans="1:4" ht="18.75" hidden="1" x14ac:dyDescent="0.25">
      <c r="A346" s="11" t="s">
        <v>337</v>
      </c>
      <c r="B346" s="7"/>
      <c r="C346" s="7"/>
      <c r="D346" s="7">
        <f t="shared" si="5"/>
        <v>0</v>
      </c>
    </row>
    <row r="347" spans="1:4" ht="18.75" x14ac:dyDescent="0.25">
      <c r="A347" s="12" t="s">
        <v>386</v>
      </c>
      <c r="B347" s="16">
        <v>78</v>
      </c>
      <c r="C347" s="16">
        <v>17000</v>
      </c>
      <c r="D347" s="7">
        <f t="shared" si="5"/>
        <v>1326000</v>
      </c>
    </row>
    <row r="348" spans="1:4" ht="18.75" x14ac:dyDescent="0.25">
      <c r="A348" s="40"/>
      <c r="B348" s="43">
        <f>SUM(B3:B347)</f>
        <v>4946.8999999999996</v>
      </c>
      <c r="C348" s="43"/>
      <c r="D348" s="7">
        <f>SUM(D4:D347)</f>
        <v>78430200</v>
      </c>
    </row>
    <row r="349" spans="1:4" ht="18.75" hidden="1" x14ac:dyDescent="0.25">
      <c r="D349" s="7">
        <f t="shared" si="5"/>
        <v>0</v>
      </c>
    </row>
    <row r="350" spans="1:4" ht="18.75" x14ac:dyDescent="0.25">
      <c r="A350" s="1" t="s">
        <v>390</v>
      </c>
      <c r="B350" s="2"/>
      <c r="C350" s="2"/>
      <c r="D350" s="7"/>
    </row>
    <row r="351" spans="1:4" ht="18.75" x14ac:dyDescent="0.25">
      <c r="A351" s="88" t="s">
        <v>0</v>
      </c>
      <c r="B351" s="3" t="s">
        <v>1</v>
      </c>
      <c r="C351" s="3" t="s">
        <v>368</v>
      </c>
      <c r="D351" s="7" t="s">
        <v>369</v>
      </c>
    </row>
    <row r="352" spans="1:4" ht="18.75" hidden="1" x14ac:dyDescent="0.25">
      <c r="A352" s="89"/>
      <c r="B352" s="4"/>
      <c r="C352" s="4"/>
      <c r="D352" s="7">
        <f t="shared" si="5"/>
        <v>0</v>
      </c>
    </row>
    <row r="353" spans="1:4" ht="18.75" hidden="1" x14ac:dyDescent="0.25">
      <c r="A353" s="12" t="s">
        <v>69</v>
      </c>
      <c r="B353" s="7"/>
      <c r="C353" s="7"/>
      <c r="D353" s="7">
        <f t="shared" si="5"/>
        <v>0</v>
      </c>
    </row>
    <row r="354" spans="1:4" ht="18.75" hidden="1" x14ac:dyDescent="0.25">
      <c r="A354" s="11" t="s">
        <v>70</v>
      </c>
      <c r="B354" s="7"/>
      <c r="C354" s="7"/>
      <c r="D354" s="7">
        <f t="shared" si="5"/>
        <v>0</v>
      </c>
    </row>
    <row r="355" spans="1:4" ht="18.75" hidden="1" x14ac:dyDescent="0.25">
      <c r="A355" s="12" t="s">
        <v>71</v>
      </c>
      <c r="B355" s="7"/>
      <c r="C355" s="7"/>
      <c r="D355" s="7">
        <f t="shared" si="5"/>
        <v>0</v>
      </c>
    </row>
    <row r="356" spans="1:4" ht="18.75" hidden="1" x14ac:dyDescent="0.25">
      <c r="A356" s="12" t="s">
        <v>72</v>
      </c>
      <c r="B356" s="7"/>
      <c r="C356" s="7"/>
      <c r="D356" s="7">
        <f t="shared" si="5"/>
        <v>0</v>
      </c>
    </row>
    <row r="357" spans="1:4" ht="18.75" hidden="1" x14ac:dyDescent="0.25">
      <c r="A357" s="12" t="s">
        <v>73</v>
      </c>
      <c r="B357" s="7"/>
      <c r="C357" s="7"/>
      <c r="D357" s="7">
        <f t="shared" si="5"/>
        <v>0</v>
      </c>
    </row>
    <row r="358" spans="1:4" ht="18.75" hidden="1" x14ac:dyDescent="0.25">
      <c r="A358" s="20" t="s">
        <v>74</v>
      </c>
      <c r="B358" s="7"/>
      <c r="C358" s="7"/>
      <c r="D358" s="7">
        <f t="shared" si="5"/>
        <v>0</v>
      </c>
    </row>
    <row r="359" spans="1:4" ht="18.75" hidden="1" x14ac:dyDescent="0.25">
      <c r="A359" s="9" t="s">
        <v>75</v>
      </c>
      <c r="B359" s="7"/>
      <c r="C359" s="7"/>
      <c r="D359" s="7">
        <f t="shared" si="5"/>
        <v>0</v>
      </c>
    </row>
    <row r="360" spans="1:4" ht="18.75" hidden="1" x14ac:dyDescent="0.25">
      <c r="A360" s="12" t="s">
        <v>82</v>
      </c>
      <c r="B360" s="16"/>
      <c r="C360" s="16"/>
      <c r="D360" s="7">
        <f t="shared" si="5"/>
        <v>0</v>
      </c>
    </row>
    <row r="361" spans="1:4" ht="18.75" hidden="1" x14ac:dyDescent="0.25">
      <c r="A361" s="12" t="s">
        <v>83</v>
      </c>
      <c r="B361" s="16"/>
      <c r="C361" s="16"/>
      <c r="D361" s="7">
        <f t="shared" si="5"/>
        <v>0</v>
      </c>
    </row>
    <row r="362" spans="1:4" ht="18.75" hidden="1" x14ac:dyDescent="0.25">
      <c r="A362" s="12" t="s">
        <v>84</v>
      </c>
      <c r="B362" s="16"/>
      <c r="C362" s="16"/>
      <c r="D362" s="7">
        <f t="shared" si="5"/>
        <v>0</v>
      </c>
    </row>
    <row r="363" spans="1:4" ht="18.75" hidden="1" x14ac:dyDescent="0.25">
      <c r="A363" s="9" t="s">
        <v>96</v>
      </c>
      <c r="B363" s="7"/>
      <c r="C363" s="7"/>
      <c r="D363" s="7">
        <f t="shared" si="5"/>
        <v>0</v>
      </c>
    </row>
    <row r="364" spans="1:4" ht="18.75" hidden="1" x14ac:dyDescent="0.25">
      <c r="A364" s="9" t="s">
        <v>97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99</v>
      </c>
      <c r="B365" s="16"/>
      <c r="C365" s="16"/>
      <c r="D365" s="7">
        <f t="shared" si="5"/>
        <v>0</v>
      </c>
    </row>
    <row r="366" spans="1:4" ht="18.75" hidden="1" x14ac:dyDescent="0.25">
      <c r="A366" s="21" t="s">
        <v>101</v>
      </c>
      <c r="B366" s="7"/>
      <c r="C366" s="7"/>
      <c r="D366" s="7">
        <f t="shared" si="5"/>
        <v>0</v>
      </c>
    </row>
    <row r="367" spans="1:4" ht="18.75" hidden="1" x14ac:dyDescent="0.25">
      <c r="A367" s="11" t="s">
        <v>117</v>
      </c>
      <c r="B367" s="7"/>
      <c r="C367" s="7"/>
      <c r="D367" s="7">
        <f t="shared" si="5"/>
        <v>0</v>
      </c>
    </row>
    <row r="368" spans="1:4" ht="18.75" hidden="1" x14ac:dyDescent="0.25">
      <c r="A368" s="21" t="s">
        <v>118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110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111</v>
      </c>
      <c r="B370" s="7"/>
      <c r="C370" s="7"/>
      <c r="D370" s="7">
        <f t="shared" si="5"/>
        <v>0</v>
      </c>
    </row>
    <row r="371" spans="1:4" ht="18.75" hidden="1" x14ac:dyDescent="0.25">
      <c r="A371" s="9" t="s">
        <v>112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249</v>
      </c>
      <c r="B372" s="7"/>
      <c r="C372" s="7"/>
      <c r="D372" s="7">
        <f t="shared" si="5"/>
        <v>0</v>
      </c>
    </row>
    <row r="373" spans="1:4" ht="18.75" x14ac:dyDescent="0.25">
      <c r="A373" s="9" t="s">
        <v>250</v>
      </c>
      <c r="B373" s="7">
        <v>20</v>
      </c>
      <c r="C373" s="7">
        <v>21000</v>
      </c>
      <c r="D373" s="7">
        <f t="shared" si="5"/>
        <v>420000</v>
      </c>
    </row>
    <row r="374" spans="1:4" ht="18.75" hidden="1" x14ac:dyDescent="0.25">
      <c r="A374" s="9" t="s">
        <v>251</v>
      </c>
      <c r="B374" s="7"/>
      <c r="C374" s="7"/>
      <c r="D374" s="7">
        <f t="shared" si="5"/>
        <v>0</v>
      </c>
    </row>
    <row r="375" spans="1:4" ht="18.75" hidden="1" x14ac:dyDescent="0.25">
      <c r="A375" s="9" t="s">
        <v>252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253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254</v>
      </c>
      <c r="B377" s="7"/>
      <c r="C377" s="7"/>
      <c r="D377" s="7">
        <f t="shared" si="5"/>
        <v>0</v>
      </c>
    </row>
    <row r="378" spans="1:4" ht="18.75" x14ac:dyDescent="0.25">
      <c r="A378" s="9" t="s">
        <v>258</v>
      </c>
      <c r="B378" s="7">
        <v>20</v>
      </c>
      <c r="C378" s="7">
        <v>19000</v>
      </c>
      <c r="D378" s="7">
        <f t="shared" si="5"/>
        <v>380000</v>
      </c>
    </row>
    <row r="379" spans="1:4" ht="18.75" hidden="1" x14ac:dyDescent="0.25">
      <c r="A379" s="9" t="s">
        <v>259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260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261</v>
      </c>
      <c r="B381" s="7"/>
      <c r="C381" s="7"/>
      <c r="D381" s="7">
        <f t="shared" si="5"/>
        <v>0</v>
      </c>
    </row>
    <row r="382" spans="1:4" ht="18.75" x14ac:dyDescent="0.25">
      <c r="A382" s="9" t="s">
        <v>262</v>
      </c>
      <c r="B382" s="7">
        <v>20</v>
      </c>
      <c r="C382" s="7">
        <v>20000</v>
      </c>
      <c r="D382" s="7">
        <f t="shared" si="5"/>
        <v>400000</v>
      </c>
    </row>
    <row r="383" spans="1:4" ht="18.75" hidden="1" x14ac:dyDescent="0.25">
      <c r="A383" s="9" t="s">
        <v>263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264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212</v>
      </c>
      <c r="B385" s="7"/>
      <c r="C385" s="7"/>
      <c r="D385" s="7">
        <f t="shared" si="5"/>
        <v>0</v>
      </c>
    </row>
    <row r="386" spans="1:4" ht="18.75" hidden="1" x14ac:dyDescent="0.25">
      <c r="A386" s="37" t="s">
        <v>213</v>
      </c>
      <c r="B386" s="7"/>
      <c r="C386" s="7"/>
      <c r="D386" s="7">
        <f t="shared" si="5"/>
        <v>0</v>
      </c>
    </row>
    <row r="387" spans="1:4" ht="18.75" hidden="1" x14ac:dyDescent="0.25">
      <c r="A387" s="9" t="s">
        <v>214</v>
      </c>
      <c r="B387" s="7"/>
      <c r="C387" s="7"/>
      <c r="D387" s="7">
        <f t="shared" si="5"/>
        <v>0</v>
      </c>
    </row>
    <row r="388" spans="1:4" ht="18.75" x14ac:dyDescent="0.25">
      <c r="A388" s="9" t="s">
        <v>215</v>
      </c>
      <c r="B388" s="7">
        <v>300</v>
      </c>
      <c r="C388" s="7">
        <v>15000</v>
      </c>
      <c r="D388" s="7">
        <f t="shared" ref="D388:D451" si="6">B388*C388</f>
        <v>4500000</v>
      </c>
    </row>
    <row r="389" spans="1:4" ht="18.75" hidden="1" x14ac:dyDescent="0.25">
      <c r="A389" s="9" t="s">
        <v>216</v>
      </c>
      <c r="B389" s="7"/>
      <c r="C389" s="7"/>
      <c r="D389" s="7">
        <f t="shared" si="6"/>
        <v>0</v>
      </c>
    </row>
    <row r="390" spans="1:4" ht="18.75" hidden="1" x14ac:dyDescent="0.25">
      <c r="A390" s="9" t="s">
        <v>357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217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103</v>
      </c>
      <c r="B392" s="7"/>
      <c r="C392" s="7"/>
      <c r="D392" s="7">
        <f t="shared" si="6"/>
        <v>0</v>
      </c>
    </row>
    <row r="393" spans="1:4" ht="18.75" hidden="1" x14ac:dyDescent="0.25">
      <c r="A393" s="17" t="s">
        <v>104</v>
      </c>
      <c r="B393" s="7"/>
      <c r="C393" s="7"/>
      <c r="D393" s="7">
        <f t="shared" si="6"/>
        <v>0</v>
      </c>
    </row>
    <row r="394" spans="1:4" ht="18.75" hidden="1" x14ac:dyDescent="0.25">
      <c r="A394" s="11" t="s">
        <v>107</v>
      </c>
      <c r="B394" s="7"/>
      <c r="C394" s="7"/>
      <c r="D394" s="7">
        <f t="shared" si="6"/>
        <v>0</v>
      </c>
    </row>
    <row r="395" spans="1:4" ht="18.75" hidden="1" x14ac:dyDescent="0.25">
      <c r="A395" s="9" t="s">
        <v>109</v>
      </c>
      <c r="B395" s="7"/>
      <c r="C395" s="7"/>
      <c r="D395" s="7">
        <f t="shared" si="6"/>
        <v>0</v>
      </c>
    </row>
    <row r="396" spans="1:4" ht="18.75" hidden="1" x14ac:dyDescent="0.25">
      <c r="A396" s="9" t="s">
        <v>350</v>
      </c>
      <c r="B396" s="7"/>
      <c r="C396" s="7"/>
      <c r="D396" s="7">
        <f t="shared" si="6"/>
        <v>0</v>
      </c>
    </row>
    <row r="397" spans="1:4" ht="18.75" x14ac:dyDescent="0.25">
      <c r="A397" s="9" t="s">
        <v>135</v>
      </c>
      <c r="B397" s="7">
        <v>60</v>
      </c>
      <c r="C397" s="7">
        <v>18000</v>
      </c>
      <c r="D397" s="7">
        <f t="shared" si="6"/>
        <v>1080000</v>
      </c>
    </row>
    <row r="398" spans="1:4" ht="18.75" hidden="1" x14ac:dyDescent="0.25">
      <c r="A398" s="48" t="s">
        <v>136</v>
      </c>
      <c r="B398" s="7"/>
      <c r="C398" s="7"/>
      <c r="D398" s="7">
        <f t="shared" si="6"/>
        <v>0</v>
      </c>
    </row>
    <row r="399" spans="1:4" ht="18.75" hidden="1" x14ac:dyDescent="0.25">
      <c r="A399" s="12" t="s">
        <v>193</v>
      </c>
      <c r="B399" s="7"/>
      <c r="C399" s="7"/>
      <c r="D399" s="7">
        <f t="shared" si="6"/>
        <v>0</v>
      </c>
    </row>
    <row r="400" spans="1:4" ht="18.75" hidden="1" x14ac:dyDescent="0.25">
      <c r="A400" s="9" t="s">
        <v>319</v>
      </c>
      <c r="B400" s="7"/>
      <c r="C400" s="7"/>
      <c r="D400" s="7">
        <f t="shared" si="6"/>
        <v>0</v>
      </c>
    </row>
    <row r="401" spans="1:4" ht="18.75" hidden="1" x14ac:dyDescent="0.25">
      <c r="A401" s="9" t="s">
        <v>11</v>
      </c>
      <c r="B401" s="7"/>
      <c r="C401" s="7"/>
      <c r="D401" s="7">
        <f t="shared" si="6"/>
        <v>0</v>
      </c>
    </row>
    <row r="402" spans="1:4" ht="18.75" x14ac:dyDescent="0.25">
      <c r="A402" s="9" t="s">
        <v>12</v>
      </c>
      <c r="B402" s="7">
        <f>20+18+7</f>
        <v>45</v>
      </c>
      <c r="C402" s="7">
        <v>8000</v>
      </c>
      <c r="D402" s="7">
        <f t="shared" si="6"/>
        <v>360000</v>
      </c>
    </row>
    <row r="403" spans="1:4" ht="18.75" hidden="1" x14ac:dyDescent="0.25">
      <c r="A403" s="12" t="s">
        <v>13</v>
      </c>
      <c r="B403" s="7"/>
      <c r="C403" s="7"/>
      <c r="D403" s="7">
        <f t="shared" si="6"/>
        <v>0</v>
      </c>
    </row>
    <row r="404" spans="1:4" ht="18.75" hidden="1" x14ac:dyDescent="0.25">
      <c r="A404" s="9" t="s">
        <v>165</v>
      </c>
      <c r="B404" s="7"/>
      <c r="C404" s="7"/>
      <c r="D404" s="7">
        <f t="shared" si="6"/>
        <v>0</v>
      </c>
    </row>
    <row r="405" spans="1:4" ht="18.75" hidden="1" x14ac:dyDescent="0.25">
      <c r="A405" s="17" t="s">
        <v>166</v>
      </c>
      <c r="B405" s="7"/>
      <c r="C405" s="7"/>
      <c r="D405" s="7">
        <f t="shared" si="6"/>
        <v>0</v>
      </c>
    </row>
    <row r="406" spans="1:4" ht="18.75" hidden="1" x14ac:dyDescent="0.25">
      <c r="A406" s="9" t="s">
        <v>199</v>
      </c>
      <c r="B406" s="7"/>
      <c r="C406" s="7"/>
      <c r="D406" s="7">
        <f t="shared" si="6"/>
        <v>0</v>
      </c>
    </row>
    <row r="407" spans="1:4" ht="18.75" hidden="1" x14ac:dyDescent="0.25">
      <c r="A407" s="35" t="s">
        <v>352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237</v>
      </c>
      <c r="B408" s="7"/>
      <c r="C408" s="7"/>
      <c r="D408" s="7">
        <f t="shared" si="6"/>
        <v>0</v>
      </c>
    </row>
    <row r="409" spans="1:4" ht="18.75" hidden="1" x14ac:dyDescent="0.25">
      <c r="A409" s="9" t="s">
        <v>238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27</v>
      </c>
      <c r="B410" s="7"/>
      <c r="C410" s="7"/>
      <c r="D410" s="7">
        <f t="shared" si="6"/>
        <v>0</v>
      </c>
    </row>
    <row r="411" spans="1:4" ht="18.75" hidden="1" x14ac:dyDescent="0.25">
      <c r="A411" s="12" t="s">
        <v>29</v>
      </c>
      <c r="B411" s="7"/>
      <c r="C411" s="7"/>
      <c r="D411" s="7">
        <f t="shared" si="6"/>
        <v>0</v>
      </c>
    </row>
    <row r="412" spans="1:4" ht="18.75" hidden="1" x14ac:dyDescent="0.25">
      <c r="A412" s="42" t="s">
        <v>37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201</v>
      </c>
      <c r="B413" s="7"/>
      <c r="C413" s="7"/>
      <c r="D413" s="7">
        <f t="shared" si="6"/>
        <v>0</v>
      </c>
    </row>
    <row r="414" spans="1:4" ht="18.75" hidden="1" x14ac:dyDescent="0.25">
      <c r="A414" s="12" t="s">
        <v>202</v>
      </c>
      <c r="B414" s="7"/>
      <c r="C414" s="7"/>
      <c r="D414" s="7">
        <f t="shared" si="6"/>
        <v>0</v>
      </c>
    </row>
    <row r="415" spans="1:4" ht="18.75" x14ac:dyDescent="0.25">
      <c r="A415" s="9" t="s">
        <v>353</v>
      </c>
      <c r="B415" s="7">
        <v>10</v>
      </c>
      <c r="C415" s="7">
        <v>22000</v>
      </c>
      <c r="D415" s="7">
        <f t="shared" si="6"/>
        <v>220000</v>
      </c>
    </row>
    <row r="416" spans="1:4" ht="18.75" hidden="1" x14ac:dyDescent="0.25">
      <c r="A416" s="9" t="s">
        <v>203</v>
      </c>
      <c r="B416" s="7"/>
      <c r="C416" s="7"/>
      <c r="D416" s="7">
        <f t="shared" si="6"/>
        <v>0</v>
      </c>
    </row>
    <row r="417" spans="1:4" ht="18.75" hidden="1" x14ac:dyDescent="0.25">
      <c r="A417" s="9" t="s">
        <v>273</v>
      </c>
      <c r="B417" s="7"/>
      <c r="C417" s="7"/>
      <c r="D417" s="7">
        <f t="shared" si="6"/>
        <v>0</v>
      </c>
    </row>
    <row r="418" spans="1:4" ht="18.75" hidden="1" x14ac:dyDescent="0.25">
      <c r="A418" s="9" t="s">
        <v>274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20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21</v>
      </c>
      <c r="B420" s="7"/>
      <c r="C420" s="7"/>
      <c r="D420" s="7">
        <f t="shared" si="6"/>
        <v>0</v>
      </c>
    </row>
    <row r="421" spans="1:4" ht="18.75" hidden="1" x14ac:dyDescent="0.25">
      <c r="A421" s="9" t="s">
        <v>173</v>
      </c>
      <c r="B421" s="7"/>
      <c r="C421" s="7"/>
      <c r="D421" s="7">
        <f t="shared" si="6"/>
        <v>0</v>
      </c>
    </row>
    <row r="422" spans="1:4" ht="18.75" hidden="1" x14ac:dyDescent="0.25">
      <c r="A422" s="31" t="s">
        <v>174</v>
      </c>
      <c r="B422" s="33"/>
      <c r="C422" s="33"/>
      <c r="D422" s="7">
        <f t="shared" si="6"/>
        <v>0</v>
      </c>
    </row>
    <row r="423" spans="1:4" ht="18.75" hidden="1" x14ac:dyDescent="0.25">
      <c r="A423" s="5" t="s">
        <v>2</v>
      </c>
      <c r="B423" s="7"/>
      <c r="C423" s="7"/>
      <c r="D423" s="7">
        <f t="shared" si="6"/>
        <v>0</v>
      </c>
    </row>
    <row r="424" spans="1:4" ht="18.75" hidden="1" x14ac:dyDescent="0.25">
      <c r="A424" s="8" t="s">
        <v>3</v>
      </c>
      <c r="B424" s="7"/>
      <c r="C424" s="7"/>
      <c r="D424" s="7">
        <f t="shared" si="6"/>
        <v>0</v>
      </c>
    </row>
    <row r="425" spans="1:4" ht="18.75" hidden="1" x14ac:dyDescent="0.25">
      <c r="A425" s="5" t="s">
        <v>4</v>
      </c>
      <c r="B425" s="7"/>
      <c r="C425" s="7"/>
      <c r="D425" s="7">
        <f t="shared" si="6"/>
        <v>0</v>
      </c>
    </row>
    <row r="426" spans="1:4" ht="18.75" hidden="1" x14ac:dyDescent="0.25">
      <c r="A426" s="17" t="s">
        <v>62</v>
      </c>
      <c r="B426" s="7"/>
      <c r="C426" s="7"/>
      <c r="D426" s="7">
        <f t="shared" si="6"/>
        <v>0</v>
      </c>
    </row>
    <row r="427" spans="1:4" ht="18.75" hidden="1" x14ac:dyDescent="0.25">
      <c r="A427" s="13" t="s">
        <v>298</v>
      </c>
      <c r="B427" s="7"/>
      <c r="C427" s="7"/>
      <c r="D427" s="7">
        <f t="shared" si="6"/>
        <v>0</v>
      </c>
    </row>
    <row r="428" spans="1:4" ht="18.75" hidden="1" x14ac:dyDescent="0.25">
      <c r="A428" s="13" t="s">
        <v>309</v>
      </c>
      <c r="B428" s="7"/>
      <c r="C428" s="7"/>
      <c r="D428" s="7">
        <f t="shared" si="6"/>
        <v>0</v>
      </c>
    </row>
    <row r="429" spans="1:4" ht="18.75" hidden="1" x14ac:dyDescent="0.25">
      <c r="A429" s="13" t="s">
        <v>310</v>
      </c>
      <c r="B429" s="7"/>
      <c r="C429" s="7"/>
      <c r="D429" s="7">
        <f t="shared" si="6"/>
        <v>0</v>
      </c>
    </row>
    <row r="430" spans="1:4" ht="18.75" hidden="1" x14ac:dyDescent="0.25">
      <c r="A430" s="13" t="s">
        <v>312</v>
      </c>
      <c r="B430" s="7"/>
      <c r="C430" s="7"/>
      <c r="D430" s="7">
        <f t="shared" si="6"/>
        <v>0</v>
      </c>
    </row>
    <row r="431" spans="1:4" ht="18.75" hidden="1" x14ac:dyDescent="0.25">
      <c r="A431" s="9" t="s">
        <v>321</v>
      </c>
      <c r="B431" s="39"/>
      <c r="C431" s="39"/>
      <c r="D431" s="7">
        <f t="shared" si="6"/>
        <v>0</v>
      </c>
    </row>
    <row r="432" spans="1:4" ht="18.75" hidden="1" x14ac:dyDescent="0.25">
      <c r="A432" s="9" t="s">
        <v>85</v>
      </c>
      <c r="B432" s="7"/>
      <c r="C432" s="7"/>
      <c r="D432" s="7">
        <f t="shared" si="6"/>
        <v>0</v>
      </c>
    </row>
    <row r="433" spans="1:4" ht="18.75" hidden="1" x14ac:dyDescent="0.25">
      <c r="A433" s="9" t="s">
        <v>86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87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88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89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176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242</v>
      </c>
      <c r="B438" s="7"/>
      <c r="C438" s="7"/>
      <c r="D438" s="7">
        <f t="shared" si="6"/>
        <v>0</v>
      </c>
    </row>
    <row r="439" spans="1:4" ht="18.75" hidden="1" x14ac:dyDescent="0.25">
      <c r="A439" s="9" t="s">
        <v>243</v>
      </c>
      <c r="B439" s="7"/>
      <c r="C439" s="7"/>
      <c r="D439" s="7">
        <f t="shared" si="6"/>
        <v>0</v>
      </c>
    </row>
    <row r="440" spans="1:4" ht="18.75" hidden="1" x14ac:dyDescent="0.25">
      <c r="A440" s="9" t="s">
        <v>265</v>
      </c>
      <c r="B440" s="16"/>
      <c r="C440" s="16"/>
      <c r="D440" s="7">
        <f t="shared" si="6"/>
        <v>0</v>
      </c>
    </row>
    <row r="441" spans="1:4" ht="18.75" hidden="1" x14ac:dyDescent="0.25">
      <c r="A441" s="13" t="s">
        <v>266</v>
      </c>
      <c r="B441" s="7"/>
      <c r="C441" s="7"/>
      <c r="D441" s="7">
        <f t="shared" si="6"/>
        <v>0</v>
      </c>
    </row>
    <row r="442" spans="1:4" ht="18.75" hidden="1" x14ac:dyDescent="0.25">
      <c r="A442" s="12" t="s">
        <v>296</v>
      </c>
      <c r="B442" s="7"/>
      <c r="C442" s="7"/>
      <c r="D442" s="7">
        <f t="shared" si="6"/>
        <v>0</v>
      </c>
    </row>
    <row r="443" spans="1:4" ht="18.75" hidden="1" x14ac:dyDescent="0.25">
      <c r="A443" s="17" t="s">
        <v>297</v>
      </c>
      <c r="B443" s="7"/>
      <c r="C443" s="7"/>
      <c r="D443" s="7">
        <f t="shared" si="6"/>
        <v>0</v>
      </c>
    </row>
    <row r="444" spans="1:4" ht="18.75" x14ac:dyDescent="0.25">
      <c r="A444" s="9" t="s">
        <v>122</v>
      </c>
      <c r="B444" s="7">
        <v>20</v>
      </c>
      <c r="C444" s="7">
        <v>12000</v>
      </c>
      <c r="D444" s="7">
        <f t="shared" si="6"/>
        <v>240000</v>
      </c>
    </row>
    <row r="445" spans="1:4" ht="18.75" hidden="1" x14ac:dyDescent="0.25">
      <c r="A445" s="17" t="s">
        <v>43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44</v>
      </c>
      <c r="B446" s="7"/>
      <c r="C446" s="7"/>
      <c r="D446" s="7">
        <f t="shared" si="6"/>
        <v>0</v>
      </c>
    </row>
    <row r="447" spans="1:4" ht="18.75" hidden="1" x14ac:dyDescent="0.25">
      <c r="A447" s="9" t="s">
        <v>45</v>
      </c>
      <c r="B447" s="7"/>
      <c r="C447" s="7"/>
      <c r="D447" s="7">
        <f t="shared" si="6"/>
        <v>0</v>
      </c>
    </row>
    <row r="448" spans="1:4" ht="18.75" hidden="1" x14ac:dyDescent="0.25">
      <c r="A448" s="17" t="s">
        <v>285</v>
      </c>
      <c r="B448" s="7"/>
      <c r="C448" s="7"/>
      <c r="D448" s="7">
        <f t="shared" si="6"/>
        <v>0</v>
      </c>
    </row>
    <row r="449" spans="1:4" ht="18.75" hidden="1" x14ac:dyDescent="0.25">
      <c r="A449" s="17" t="s">
        <v>286</v>
      </c>
      <c r="B449" s="7"/>
      <c r="C449" s="7"/>
      <c r="D449" s="7">
        <f t="shared" si="6"/>
        <v>0</v>
      </c>
    </row>
    <row r="450" spans="1:4" ht="18.75" hidden="1" x14ac:dyDescent="0.25">
      <c r="A450" s="9" t="s">
        <v>141</v>
      </c>
      <c r="B450" s="16"/>
      <c r="C450" s="16"/>
      <c r="D450" s="7">
        <f t="shared" si="6"/>
        <v>0</v>
      </c>
    </row>
    <row r="451" spans="1:4" ht="18.75" hidden="1" x14ac:dyDescent="0.25">
      <c r="A451" s="9" t="s">
        <v>142</v>
      </c>
      <c r="B451" s="16"/>
      <c r="C451" s="16"/>
      <c r="D451" s="7">
        <f t="shared" si="6"/>
        <v>0</v>
      </c>
    </row>
    <row r="452" spans="1:4" ht="18.75" hidden="1" x14ac:dyDescent="0.25">
      <c r="A452" s="24" t="s">
        <v>144</v>
      </c>
      <c r="B452" s="16"/>
      <c r="C452" s="16"/>
      <c r="D452" s="7">
        <f t="shared" ref="D452:D515" si="7">B452*C452</f>
        <v>0</v>
      </c>
    </row>
    <row r="453" spans="1:4" ht="18.75" hidden="1" x14ac:dyDescent="0.25">
      <c r="A453" s="24" t="s">
        <v>145</v>
      </c>
      <c r="B453" s="16"/>
      <c r="C453" s="16"/>
      <c r="D453" s="7">
        <f t="shared" si="7"/>
        <v>0</v>
      </c>
    </row>
    <row r="454" spans="1:4" ht="18.75" hidden="1" x14ac:dyDescent="0.25">
      <c r="A454" s="24" t="s">
        <v>146</v>
      </c>
      <c r="B454" s="16"/>
      <c r="C454" s="16"/>
      <c r="D454" s="7">
        <f t="shared" si="7"/>
        <v>0</v>
      </c>
    </row>
    <row r="455" spans="1:4" ht="18.75" hidden="1" x14ac:dyDescent="0.25">
      <c r="A455" s="9" t="s">
        <v>147</v>
      </c>
      <c r="B455" s="16"/>
      <c r="C455" s="16"/>
      <c r="D455" s="7">
        <f t="shared" si="7"/>
        <v>0</v>
      </c>
    </row>
    <row r="456" spans="1:4" ht="18.75" hidden="1" x14ac:dyDescent="0.25">
      <c r="A456" s="9" t="s">
        <v>149</v>
      </c>
      <c r="B456" s="16"/>
      <c r="C456" s="16"/>
      <c r="D456" s="7">
        <f t="shared" si="7"/>
        <v>0</v>
      </c>
    </row>
    <row r="457" spans="1:4" ht="18.75" hidden="1" x14ac:dyDescent="0.25">
      <c r="A457" s="9" t="s">
        <v>150</v>
      </c>
      <c r="B457" s="16"/>
      <c r="C457" s="16"/>
      <c r="D457" s="7">
        <f t="shared" si="7"/>
        <v>0</v>
      </c>
    </row>
    <row r="458" spans="1:4" ht="18.75" hidden="1" x14ac:dyDescent="0.25">
      <c r="A458" s="9" t="s">
        <v>151</v>
      </c>
      <c r="B458" s="16"/>
      <c r="C458" s="16"/>
      <c r="D458" s="7">
        <f t="shared" si="7"/>
        <v>0</v>
      </c>
    </row>
    <row r="459" spans="1:4" ht="18.75" hidden="1" x14ac:dyDescent="0.25">
      <c r="A459" s="9" t="s">
        <v>161</v>
      </c>
      <c r="B459" s="16"/>
      <c r="C459" s="16"/>
      <c r="D459" s="7">
        <f t="shared" si="7"/>
        <v>0</v>
      </c>
    </row>
    <row r="460" spans="1:4" ht="18.75" hidden="1" x14ac:dyDescent="0.25">
      <c r="A460" s="9" t="s">
        <v>162</v>
      </c>
      <c r="B460" s="16"/>
      <c r="C460" s="16"/>
      <c r="D460" s="7">
        <f t="shared" si="7"/>
        <v>0</v>
      </c>
    </row>
    <row r="461" spans="1:4" ht="18.75" hidden="1" x14ac:dyDescent="0.25">
      <c r="A461" s="9" t="s">
        <v>163</v>
      </c>
      <c r="B461" s="16"/>
      <c r="C461" s="16"/>
      <c r="D461" s="7">
        <f t="shared" si="7"/>
        <v>0</v>
      </c>
    </row>
    <row r="462" spans="1:4" ht="18.75" hidden="1" x14ac:dyDescent="0.25">
      <c r="A462" s="9" t="s">
        <v>15</v>
      </c>
      <c r="B462" s="7"/>
      <c r="C462" s="7"/>
      <c r="D462" s="7">
        <f t="shared" si="7"/>
        <v>0</v>
      </c>
    </row>
    <row r="463" spans="1:4" ht="18.75" x14ac:dyDescent="0.25">
      <c r="A463" s="12" t="s">
        <v>53</v>
      </c>
      <c r="B463" s="7">
        <v>300</v>
      </c>
      <c r="C463" s="7">
        <v>25000</v>
      </c>
      <c r="D463" s="7">
        <f t="shared" si="7"/>
        <v>7500000</v>
      </c>
    </row>
    <row r="464" spans="1:4" ht="18.75" hidden="1" x14ac:dyDescent="0.25">
      <c r="A464" s="9" t="s">
        <v>63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76</v>
      </c>
      <c r="B465" s="7"/>
      <c r="C465" s="7"/>
      <c r="D465" s="7">
        <f t="shared" si="7"/>
        <v>0</v>
      </c>
    </row>
    <row r="466" spans="1:4" ht="18.75" hidden="1" x14ac:dyDescent="0.25">
      <c r="A466" s="12" t="s">
        <v>341</v>
      </c>
      <c r="B466" s="7"/>
      <c r="C466" s="7"/>
      <c r="D466" s="7">
        <f t="shared" si="7"/>
        <v>0</v>
      </c>
    </row>
    <row r="467" spans="1:4" ht="18.75" hidden="1" x14ac:dyDescent="0.25">
      <c r="A467" s="9" t="s">
        <v>362</v>
      </c>
      <c r="B467" s="7"/>
      <c r="C467" s="7"/>
      <c r="D467" s="7">
        <f t="shared" si="7"/>
        <v>0</v>
      </c>
    </row>
    <row r="468" spans="1:4" ht="18.75" hidden="1" x14ac:dyDescent="0.25">
      <c r="A468" s="9" t="s">
        <v>366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19</v>
      </c>
      <c r="B469" s="7"/>
      <c r="C469" s="7"/>
      <c r="D469" s="7">
        <f t="shared" si="7"/>
        <v>0</v>
      </c>
    </row>
    <row r="470" spans="1:4" ht="18.75" hidden="1" x14ac:dyDescent="0.25">
      <c r="A470" s="9" t="s">
        <v>41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49</v>
      </c>
      <c r="B471" s="7"/>
      <c r="C471" s="7"/>
      <c r="D471" s="7">
        <f t="shared" si="7"/>
        <v>0</v>
      </c>
    </row>
    <row r="472" spans="1:4" ht="18.75" hidden="1" x14ac:dyDescent="0.25">
      <c r="A472" s="13" t="s">
        <v>50</v>
      </c>
      <c r="B472" s="7"/>
      <c r="C472" s="7"/>
      <c r="D472" s="7">
        <f t="shared" si="7"/>
        <v>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9" t="s">
        <v>148</v>
      </c>
      <c r="B479" s="16"/>
      <c r="C479" s="16"/>
      <c r="D479" s="7">
        <f t="shared" si="7"/>
        <v>0</v>
      </c>
    </row>
    <row r="480" spans="1:4" ht="18.75" hidden="1" x14ac:dyDescent="0.25">
      <c r="A480" s="17" t="s">
        <v>218</v>
      </c>
      <c r="B480" s="7"/>
      <c r="C480" s="7"/>
      <c r="D480" s="7">
        <f t="shared" si="7"/>
        <v>0</v>
      </c>
    </row>
    <row r="481" spans="1:4" ht="18.75" hidden="1" x14ac:dyDescent="0.25">
      <c r="A481" s="17" t="s">
        <v>219</v>
      </c>
      <c r="B481" s="7"/>
      <c r="C481" s="7"/>
      <c r="D481" s="7">
        <f t="shared" si="7"/>
        <v>0</v>
      </c>
    </row>
    <row r="482" spans="1:4" ht="18.75" hidden="1" x14ac:dyDescent="0.25">
      <c r="A482" s="17" t="s">
        <v>220</v>
      </c>
      <c r="B482" s="7"/>
      <c r="C482" s="7"/>
      <c r="D482" s="7">
        <f t="shared" si="7"/>
        <v>0</v>
      </c>
    </row>
    <row r="483" spans="1:4" ht="18.75" hidden="1" x14ac:dyDescent="0.25">
      <c r="A483" s="17" t="s">
        <v>221</v>
      </c>
      <c r="B483" s="7"/>
      <c r="C483" s="7"/>
      <c r="D483" s="7">
        <f t="shared" si="7"/>
        <v>0</v>
      </c>
    </row>
    <row r="484" spans="1:4" ht="18.75" hidden="1" x14ac:dyDescent="0.25">
      <c r="A484" s="9" t="s">
        <v>222</v>
      </c>
      <c r="B484" s="7"/>
      <c r="C484" s="7"/>
      <c r="D484" s="7">
        <f t="shared" si="7"/>
        <v>0</v>
      </c>
    </row>
    <row r="485" spans="1:4" ht="18.75" hidden="1" x14ac:dyDescent="0.25">
      <c r="A485" s="9" t="s">
        <v>223</v>
      </c>
      <c r="B485" s="7"/>
      <c r="C485" s="7"/>
      <c r="D485" s="7">
        <f t="shared" si="7"/>
        <v>0</v>
      </c>
    </row>
    <row r="486" spans="1:4" ht="18.75" hidden="1" x14ac:dyDescent="0.25">
      <c r="A486" s="17" t="s">
        <v>224</v>
      </c>
      <c r="B486" s="7"/>
      <c r="C486" s="7"/>
      <c r="D486" s="7">
        <f t="shared" si="7"/>
        <v>0</v>
      </c>
    </row>
    <row r="487" spans="1:4" ht="18.75" hidden="1" x14ac:dyDescent="0.25">
      <c r="A487" s="17" t="s">
        <v>225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244</v>
      </c>
      <c r="B488" s="16"/>
      <c r="C488" s="16"/>
      <c r="D488" s="7">
        <f t="shared" si="7"/>
        <v>0</v>
      </c>
    </row>
    <row r="489" spans="1:4" ht="18.75" hidden="1" x14ac:dyDescent="0.25">
      <c r="A489" s="9" t="s">
        <v>246</v>
      </c>
      <c r="B489" s="16"/>
      <c r="C489" s="16"/>
      <c r="D489" s="7">
        <f t="shared" si="7"/>
        <v>0</v>
      </c>
    </row>
    <row r="490" spans="1:4" ht="18.75" hidden="1" x14ac:dyDescent="0.25">
      <c r="A490" s="12" t="s">
        <v>280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293</v>
      </c>
      <c r="B491" s="7"/>
      <c r="C491" s="7"/>
      <c r="D491" s="7">
        <f t="shared" si="7"/>
        <v>0</v>
      </c>
    </row>
    <row r="492" spans="1:4" ht="18.75" hidden="1" x14ac:dyDescent="0.25">
      <c r="A492" s="13" t="s">
        <v>294</v>
      </c>
      <c r="B492" s="7"/>
      <c r="C492" s="7"/>
      <c r="D492" s="7">
        <f t="shared" si="7"/>
        <v>0</v>
      </c>
    </row>
    <row r="493" spans="1:4" ht="18.75" hidden="1" x14ac:dyDescent="0.25">
      <c r="A493" s="12" t="s">
        <v>304</v>
      </c>
      <c r="B493" s="7"/>
      <c r="C493" s="7"/>
      <c r="D493" s="7">
        <f t="shared" si="7"/>
        <v>0</v>
      </c>
    </row>
    <row r="494" spans="1:4" ht="18.75" x14ac:dyDescent="0.25">
      <c r="A494" s="9" t="s">
        <v>204</v>
      </c>
      <c r="B494" s="7">
        <v>400</v>
      </c>
      <c r="C494" s="7">
        <v>19000</v>
      </c>
      <c r="D494" s="7">
        <f t="shared" si="7"/>
        <v>7600000</v>
      </c>
    </row>
    <row r="495" spans="1:4" ht="18.75" hidden="1" x14ac:dyDescent="0.25">
      <c r="A495" s="36" t="s">
        <v>205</v>
      </c>
      <c r="B495" s="7"/>
      <c r="C495" s="7"/>
      <c r="D495" s="7">
        <f t="shared" si="7"/>
        <v>0</v>
      </c>
    </row>
    <row r="496" spans="1:4" ht="18.75" hidden="1" x14ac:dyDescent="0.25">
      <c r="A496" s="36" t="s">
        <v>206</v>
      </c>
      <c r="B496" s="7"/>
      <c r="C496" s="7"/>
      <c r="D496" s="7">
        <f t="shared" si="7"/>
        <v>0</v>
      </c>
    </row>
    <row r="497" spans="1:4" ht="18.75" hidden="1" x14ac:dyDescent="0.25">
      <c r="A497" s="9" t="s">
        <v>42</v>
      </c>
      <c r="B497" s="7"/>
      <c r="C497" s="7"/>
      <c r="D497" s="7">
        <f t="shared" si="7"/>
        <v>0</v>
      </c>
    </row>
    <row r="498" spans="1:4" ht="18.75" hidden="1" x14ac:dyDescent="0.25">
      <c r="A498" s="9" t="s">
        <v>277</v>
      </c>
      <c r="B498" s="7"/>
      <c r="C498" s="7"/>
      <c r="D498" s="7">
        <f t="shared" si="7"/>
        <v>0</v>
      </c>
    </row>
    <row r="499" spans="1:4" ht="18.75" hidden="1" x14ac:dyDescent="0.25">
      <c r="A499" s="9" t="s">
        <v>54</v>
      </c>
      <c r="B499" s="7"/>
      <c r="C499" s="7"/>
      <c r="D499" s="7">
        <f t="shared" si="7"/>
        <v>0</v>
      </c>
    </row>
    <row r="500" spans="1:4" ht="18.75" hidden="1" x14ac:dyDescent="0.25">
      <c r="A500" s="17" t="s">
        <v>55</v>
      </c>
      <c r="B500" s="7"/>
      <c r="C500" s="7"/>
      <c r="D500" s="7">
        <f t="shared" si="7"/>
        <v>0</v>
      </c>
    </row>
    <row r="501" spans="1:4" ht="18.75" hidden="1" x14ac:dyDescent="0.25">
      <c r="A501" s="17" t="s">
        <v>56</v>
      </c>
      <c r="B501" s="7"/>
      <c r="C501" s="7"/>
      <c r="D501" s="7">
        <f t="shared" si="7"/>
        <v>0</v>
      </c>
    </row>
    <row r="502" spans="1:4" ht="18.75" hidden="1" x14ac:dyDescent="0.25">
      <c r="A502" s="17" t="s">
        <v>57</v>
      </c>
      <c r="B502" s="7"/>
      <c r="C502" s="7"/>
      <c r="D502" s="7">
        <f t="shared" si="7"/>
        <v>0</v>
      </c>
    </row>
    <row r="503" spans="1:4" ht="18.75" hidden="1" x14ac:dyDescent="0.25">
      <c r="A503" s="9" t="s">
        <v>58</v>
      </c>
      <c r="B503" s="7"/>
      <c r="C503" s="7"/>
      <c r="D503" s="7">
        <f t="shared" si="7"/>
        <v>0</v>
      </c>
    </row>
    <row r="504" spans="1:4" ht="18.75" hidden="1" x14ac:dyDescent="0.25">
      <c r="A504" s="11" t="s">
        <v>59</v>
      </c>
      <c r="B504" s="7"/>
      <c r="C504" s="7"/>
      <c r="D504" s="7">
        <f t="shared" si="7"/>
        <v>0</v>
      </c>
    </row>
    <row r="505" spans="1:4" ht="18.75" hidden="1" x14ac:dyDescent="0.25">
      <c r="A505" s="9" t="s">
        <v>60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61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65</v>
      </c>
      <c r="B507" s="7"/>
      <c r="C507" s="7"/>
      <c r="D507" s="7">
        <f t="shared" si="7"/>
        <v>0</v>
      </c>
    </row>
    <row r="508" spans="1:4" ht="18.75" hidden="1" x14ac:dyDescent="0.25">
      <c r="A508" s="18" t="s">
        <v>66</v>
      </c>
      <c r="B508" s="7"/>
      <c r="C508" s="7"/>
      <c r="D508" s="7">
        <f t="shared" si="7"/>
        <v>0</v>
      </c>
    </row>
    <row r="509" spans="1:4" ht="18.75" hidden="1" x14ac:dyDescent="0.25">
      <c r="A509" s="20" t="s">
        <v>67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152</v>
      </c>
      <c r="B510" s="7"/>
      <c r="C510" s="7"/>
      <c r="D510" s="7">
        <f t="shared" si="7"/>
        <v>0</v>
      </c>
    </row>
    <row r="511" spans="1:4" ht="18.75" hidden="1" x14ac:dyDescent="0.25">
      <c r="A511" s="9" t="s">
        <v>348</v>
      </c>
      <c r="B511" s="7"/>
      <c r="C511" s="7"/>
      <c r="D511" s="7">
        <f t="shared" si="7"/>
        <v>0</v>
      </c>
    </row>
    <row r="512" spans="1:4" ht="18.75" hidden="1" x14ac:dyDescent="0.25">
      <c r="A512" s="9" t="s">
        <v>153</v>
      </c>
      <c r="B512" s="7"/>
      <c r="C512" s="7"/>
      <c r="D512" s="7">
        <f t="shared" si="7"/>
        <v>0</v>
      </c>
    </row>
    <row r="513" spans="1:4" ht="18.75" x14ac:dyDescent="0.25">
      <c r="A513" s="9" t="s">
        <v>154</v>
      </c>
      <c r="B513" s="7">
        <f>8+60+12</f>
        <v>80</v>
      </c>
      <c r="C513" s="7">
        <v>11000</v>
      </c>
      <c r="D513" s="7">
        <f t="shared" si="7"/>
        <v>880000</v>
      </c>
    </row>
    <row r="514" spans="1:4" ht="18.75" hidden="1" x14ac:dyDescent="0.25">
      <c r="A514" s="9" t="s">
        <v>155</v>
      </c>
      <c r="B514" s="7"/>
      <c r="C514" s="7"/>
      <c r="D514" s="7">
        <f t="shared" si="7"/>
        <v>0</v>
      </c>
    </row>
    <row r="515" spans="1:4" ht="18.75" hidden="1" x14ac:dyDescent="0.25">
      <c r="A515" s="17" t="s">
        <v>156</v>
      </c>
      <c r="B515" s="7"/>
      <c r="C515" s="7"/>
      <c r="D515" s="7">
        <f t="shared" si="7"/>
        <v>0</v>
      </c>
    </row>
    <row r="516" spans="1:4" ht="18.75" x14ac:dyDescent="0.25">
      <c r="A516" s="9" t="s">
        <v>77</v>
      </c>
      <c r="B516" s="7">
        <v>100</v>
      </c>
      <c r="C516" s="7">
        <v>26000</v>
      </c>
      <c r="D516" s="7">
        <f t="shared" ref="D516:D579" si="8">B516*C516</f>
        <v>2600000</v>
      </c>
    </row>
    <row r="517" spans="1:4" ht="18.75" hidden="1" x14ac:dyDescent="0.25">
      <c r="A517" s="13" t="s">
        <v>78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79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80</v>
      </c>
      <c r="B519" s="7"/>
      <c r="C519" s="7"/>
      <c r="D519" s="7">
        <f t="shared" si="8"/>
        <v>0</v>
      </c>
    </row>
    <row r="520" spans="1:4" ht="18.75" hidden="1" x14ac:dyDescent="0.25">
      <c r="A520" s="9" t="s">
        <v>81</v>
      </c>
      <c r="B520" s="7"/>
      <c r="C520" s="7"/>
      <c r="D520" s="7">
        <f t="shared" si="8"/>
        <v>0</v>
      </c>
    </row>
    <row r="521" spans="1:4" ht="18.75" hidden="1" x14ac:dyDescent="0.25">
      <c r="A521" s="13" t="s">
        <v>95</v>
      </c>
      <c r="B521" s="7"/>
      <c r="C521" s="7"/>
      <c r="D521" s="7">
        <f t="shared" si="8"/>
        <v>0</v>
      </c>
    </row>
    <row r="522" spans="1:4" ht="18.75" hidden="1" x14ac:dyDescent="0.25">
      <c r="A522" s="9" t="s">
        <v>306</v>
      </c>
      <c r="B522" s="7"/>
      <c r="C522" s="7"/>
      <c r="D522" s="7">
        <f t="shared" si="8"/>
        <v>0</v>
      </c>
    </row>
    <row r="523" spans="1:4" ht="18.75" hidden="1" x14ac:dyDescent="0.25">
      <c r="A523" s="12" t="s">
        <v>320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323</v>
      </c>
      <c r="B524" s="7"/>
      <c r="C524" s="7"/>
      <c r="D524" s="7">
        <f t="shared" si="8"/>
        <v>0</v>
      </c>
    </row>
    <row r="525" spans="1:4" ht="18.75" hidden="1" x14ac:dyDescent="0.25">
      <c r="A525" s="21" t="s">
        <v>92</v>
      </c>
      <c r="B525" s="7"/>
      <c r="C525" s="7"/>
      <c r="D525" s="7">
        <f t="shared" si="8"/>
        <v>0</v>
      </c>
    </row>
    <row r="526" spans="1:4" ht="18.75" hidden="1" x14ac:dyDescent="0.25">
      <c r="A526" s="21" t="s">
        <v>93</v>
      </c>
      <c r="B526" s="7"/>
      <c r="C526" s="7"/>
      <c r="D526" s="7">
        <f t="shared" si="8"/>
        <v>0</v>
      </c>
    </row>
    <row r="527" spans="1:4" ht="18.75" hidden="1" x14ac:dyDescent="0.25">
      <c r="A527" s="11" t="s">
        <v>94</v>
      </c>
      <c r="B527" s="7"/>
      <c r="C527" s="7"/>
      <c r="D527" s="7">
        <f t="shared" si="8"/>
        <v>0</v>
      </c>
    </row>
    <row r="528" spans="1:4" ht="18.75" hidden="1" x14ac:dyDescent="0.25">
      <c r="A528" s="12" t="s">
        <v>181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182</v>
      </c>
      <c r="B529" s="7"/>
      <c r="C529" s="7"/>
      <c r="D529" s="7">
        <f t="shared" si="8"/>
        <v>0</v>
      </c>
    </row>
    <row r="530" spans="1:4" ht="18.75" x14ac:dyDescent="0.25">
      <c r="A530" s="12" t="s">
        <v>183</v>
      </c>
      <c r="B530" s="7">
        <v>500</v>
      </c>
      <c r="C530" s="7">
        <v>9000</v>
      </c>
      <c r="D530" s="7">
        <f t="shared" si="8"/>
        <v>4500000</v>
      </c>
    </row>
    <row r="531" spans="1:4" ht="18.75" hidden="1" x14ac:dyDescent="0.25">
      <c r="A531" s="9" t="s">
        <v>184</v>
      </c>
      <c r="B531" s="7"/>
      <c r="C531" s="7"/>
      <c r="D531" s="7">
        <f t="shared" si="8"/>
        <v>0</v>
      </c>
    </row>
    <row r="532" spans="1:4" ht="18.75" hidden="1" x14ac:dyDescent="0.25">
      <c r="A532" s="12" t="s">
        <v>186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187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188</v>
      </c>
      <c r="B534" s="7"/>
      <c r="C534" s="7"/>
      <c r="D534" s="7">
        <f t="shared" si="8"/>
        <v>0</v>
      </c>
    </row>
    <row r="535" spans="1:4" ht="18.75" hidden="1" x14ac:dyDescent="0.25">
      <c r="A535" s="9" t="s">
        <v>351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210</v>
      </c>
      <c r="B536" s="7"/>
      <c r="C536" s="7"/>
      <c r="D536" s="7">
        <f t="shared" si="8"/>
        <v>0</v>
      </c>
    </row>
    <row r="537" spans="1:4" ht="18.75" hidden="1" x14ac:dyDescent="0.25">
      <c r="A537" s="9" t="s">
        <v>211</v>
      </c>
      <c r="B537" s="7"/>
      <c r="C537" s="7"/>
      <c r="D537" s="7">
        <f t="shared" si="8"/>
        <v>0</v>
      </c>
    </row>
    <row r="538" spans="1:4" ht="18.75" hidden="1" x14ac:dyDescent="0.25">
      <c r="A538" s="9" t="s">
        <v>355</v>
      </c>
      <c r="B538" s="7"/>
      <c r="C538" s="7"/>
      <c r="D538" s="7">
        <f t="shared" si="8"/>
        <v>0</v>
      </c>
    </row>
    <row r="539" spans="1:4" ht="18.75" hidden="1" x14ac:dyDescent="0.25">
      <c r="A539" s="9" t="s">
        <v>356</v>
      </c>
      <c r="B539" s="7"/>
      <c r="C539" s="7"/>
      <c r="D539" s="7">
        <f t="shared" si="8"/>
        <v>0</v>
      </c>
    </row>
    <row r="540" spans="1:4" ht="18.75" hidden="1" x14ac:dyDescent="0.25">
      <c r="A540" s="9" t="s">
        <v>105</v>
      </c>
      <c r="B540" s="7"/>
      <c r="C540" s="7"/>
      <c r="D540" s="7">
        <f t="shared" si="8"/>
        <v>0</v>
      </c>
    </row>
    <row r="541" spans="1:4" ht="18.75" hidden="1" x14ac:dyDescent="0.25">
      <c r="A541" s="9" t="s">
        <v>106</v>
      </c>
      <c r="B541" s="7"/>
      <c r="C541" s="7"/>
      <c r="D541" s="7">
        <f t="shared" si="8"/>
        <v>0</v>
      </c>
    </row>
    <row r="542" spans="1:4" ht="18.75" hidden="1" x14ac:dyDescent="0.25">
      <c r="A542" s="12" t="s">
        <v>14</v>
      </c>
      <c r="B542" s="7"/>
      <c r="C542" s="7"/>
      <c r="D542" s="7">
        <f t="shared" si="8"/>
        <v>0</v>
      </c>
    </row>
    <row r="543" spans="1:4" ht="18.75" hidden="1" x14ac:dyDescent="0.25">
      <c r="A543" s="11" t="s">
        <v>342</v>
      </c>
      <c r="B543" s="7"/>
      <c r="C543" s="7"/>
      <c r="D543" s="7">
        <f t="shared" si="8"/>
        <v>0</v>
      </c>
    </row>
    <row r="544" spans="1:4" ht="18.75" hidden="1" x14ac:dyDescent="0.25">
      <c r="A544" s="11" t="s">
        <v>343</v>
      </c>
      <c r="B544" s="7"/>
      <c r="C544" s="7"/>
      <c r="D544" s="7">
        <f t="shared" si="8"/>
        <v>0</v>
      </c>
    </row>
    <row r="545" spans="1:4" ht="18.75" hidden="1" x14ac:dyDescent="0.25">
      <c r="A545" s="11" t="s">
        <v>344</v>
      </c>
      <c r="B545" s="7"/>
      <c r="C545" s="7"/>
      <c r="D545" s="7">
        <f t="shared" si="8"/>
        <v>0</v>
      </c>
    </row>
    <row r="546" spans="1:4" ht="18.75" hidden="1" x14ac:dyDescent="0.25">
      <c r="A546" s="11" t="s">
        <v>345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114</v>
      </c>
      <c r="B547" s="7"/>
      <c r="C547" s="7"/>
      <c r="D547" s="7">
        <f t="shared" si="8"/>
        <v>0</v>
      </c>
    </row>
    <row r="548" spans="1:4" ht="18.75" hidden="1" x14ac:dyDescent="0.25">
      <c r="A548" s="9" t="s">
        <v>115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346</v>
      </c>
      <c r="B549" s="7"/>
      <c r="C549" s="7"/>
      <c r="D549" s="7">
        <f t="shared" si="8"/>
        <v>0</v>
      </c>
    </row>
    <row r="550" spans="1:4" ht="18.75" hidden="1" x14ac:dyDescent="0.25">
      <c r="A550" s="9" t="s">
        <v>116</v>
      </c>
      <c r="B550" s="7"/>
      <c r="C550" s="7"/>
      <c r="D550" s="7">
        <f t="shared" si="8"/>
        <v>0</v>
      </c>
    </row>
    <row r="551" spans="1:4" ht="18.75" hidden="1" x14ac:dyDescent="0.25">
      <c r="A551" s="12" t="s">
        <v>137</v>
      </c>
      <c r="B551" s="7"/>
      <c r="C551" s="7"/>
      <c r="D551" s="7">
        <f t="shared" si="8"/>
        <v>0</v>
      </c>
    </row>
    <row r="552" spans="1:4" ht="18.75" hidden="1" x14ac:dyDescent="0.25">
      <c r="A552" s="12" t="s">
        <v>138</v>
      </c>
      <c r="B552" s="7"/>
      <c r="C552" s="7"/>
      <c r="D552" s="7">
        <f t="shared" si="8"/>
        <v>0</v>
      </c>
    </row>
    <row r="553" spans="1:4" ht="18.75" hidden="1" x14ac:dyDescent="0.25">
      <c r="A553" s="9" t="s">
        <v>139</v>
      </c>
      <c r="B553" s="7"/>
      <c r="C553" s="7"/>
      <c r="D553" s="7">
        <f t="shared" si="8"/>
        <v>0</v>
      </c>
    </row>
    <row r="554" spans="1:4" ht="18.75" hidden="1" x14ac:dyDescent="0.25">
      <c r="A554" s="9" t="s">
        <v>347</v>
      </c>
      <c r="B554" s="7"/>
      <c r="C554" s="7"/>
      <c r="D554" s="7">
        <f t="shared" si="8"/>
        <v>0</v>
      </c>
    </row>
    <row r="555" spans="1:4" ht="18.75" hidden="1" x14ac:dyDescent="0.25">
      <c r="A555" s="9" t="s">
        <v>207</v>
      </c>
      <c r="B555" s="7"/>
      <c r="C555" s="7"/>
      <c r="D555" s="7">
        <f t="shared" si="8"/>
        <v>0</v>
      </c>
    </row>
    <row r="556" spans="1:4" ht="18.75" hidden="1" x14ac:dyDescent="0.25">
      <c r="A556" s="11" t="s">
        <v>208</v>
      </c>
      <c r="B556" s="7"/>
      <c r="C556" s="7"/>
      <c r="D556" s="7">
        <f t="shared" si="8"/>
        <v>0</v>
      </c>
    </row>
    <row r="557" spans="1:4" ht="18.75" hidden="1" x14ac:dyDescent="0.25">
      <c r="A557" s="9" t="s">
        <v>209</v>
      </c>
      <c r="B557" s="7"/>
      <c r="C557" s="7"/>
      <c r="D557" s="7">
        <f t="shared" si="8"/>
        <v>0</v>
      </c>
    </row>
    <row r="558" spans="1:4" ht="18.75" hidden="1" x14ac:dyDescent="0.25">
      <c r="A558" s="11" t="s">
        <v>354</v>
      </c>
      <c r="B558" s="7"/>
      <c r="C558" s="7"/>
      <c r="D558" s="7">
        <f t="shared" si="8"/>
        <v>0</v>
      </c>
    </row>
    <row r="559" spans="1:4" ht="18.75" hidden="1" x14ac:dyDescent="0.25">
      <c r="A559" s="9" t="s">
        <v>247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267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270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299</v>
      </c>
      <c r="B562" s="7"/>
      <c r="C562" s="7"/>
      <c r="D562" s="7">
        <f t="shared" si="8"/>
        <v>0</v>
      </c>
    </row>
    <row r="563" spans="1:4" ht="18.75" hidden="1" x14ac:dyDescent="0.25">
      <c r="A563" s="17" t="s">
        <v>300</v>
      </c>
      <c r="B563" s="7"/>
      <c r="C563" s="7"/>
      <c r="D563" s="7">
        <f t="shared" si="8"/>
        <v>0</v>
      </c>
    </row>
    <row r="564" spans="1:4" ht="18.75" hidden="1" x14ac:dyDescent="0.25">
      <c r="A564" s="12" t="s">
        <v>364</v>
      </c>
      <c r="B564" s="7"/>
      <c r="C564" s="7"/>
      <c r="D564" s="7">
        <f t="shared" si="8"/>
        <v>0</v>
      </c>
    </row>
    <row r="565" spans="1:4" ht="18.75" hidden="1" x14ac:dyDescent="0.25">
      <c r="A565" s="9" t="s">
        <v>287</v>
      </c>
      <c r="B565" s="7"/>
      <c r="C565" s="7"/>
      <c r="D565" s="7">
        <f t="shared" si="8"/>
        <v>0</v>
      </c>
    </row>
    <row r="566" spans="1:4" ht="18.75" hidden="1" x14ac:dyDescent="0.25">
      <c r="A566" s="17" t="s">
        <v>288</v>
      </c>
      <c r="B566" s="7"/>
      <c r="C566" s="7"/>
      <c r="D566" s="7">
        <f t="shared" si="8"/>
        <v>0</v>
      </c>
    </row>
    <row r="567" spans="1:4" ht="18.75" hidden="1" x14ac:dyDescent="0.25">
      <c r="A567" s="9" t="s">
        <v>289</v>
      </c>
      <c r="B567" s="7"/>
      <c r="C567" s="7"/>
      <c r="D567" s="7">
        <f t="shared" si="8"/>
        <v>0</v>
      </c>
    </row>
    <row r="568" spans="1:4" ht="18.75" hidden="1" x14ac:dyDescent="0.25">
      <c r="A568" s="9" t="s">
        <v>22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23</v>
      </c>
      <c r="B569" s="7"/>
      <c r="C569" s="7"/>
      <c r="D569" s="7">
        <f t="shared" si="8"/>
        <v>0</v>
      </c>
    </row>
    <row r="570" spans="1:4" ht="18.75" x14ac:dyDescent="0.25">
      <c r="A570" s="9" t="s">
        <v>24</v>
      </c>
      <c r="B570" s="7">
        <v>30</v>
      </c>
      <c r="C570" s="7">
        <v>15000</v>
      </c>
      <c r="D570" s="7">
        <f t="shared" si="8"/>
        <v>450000</v>
      </c>
    </row>
    <row r="571" spans="1:4" ht="18.75" hidden="1" x14ac:dyDescent="0.25">
      <c r="A571" s="9" t="s">
        <v>25</v>
      </c>
      <c r="B571" s="7"/>
      <c r="C571" s="7"/>
      <c r="D571" s="7">
        <f t="shared" si="8"/>
        <v>0</v>
      </c>
    </row>
    <row r="572" spans="1:4" ht="18.75" hidden="1" x14ac:dyDescent="0.25">
      <c r="A572" s="9" t="s">
        <v>26</v>
      </c>
      <c r="B572" s="7"/>
      <c r="C572" s="7"/>
      <c r="D572" s="7">
        <f t="shared" si="8"/>
        <v>0</v>
      </c>
    </row>
    <row r="573" spans="1:4" ht="18.75" hidden="1" x14ac:dyDescent="0.25">
      <c r="A573" s="9" t="s">
        <v>46</v>
      </c>
      <c r="B573" s="7"/>
      <c r="C573" s="7"/>
      <c r="D573" s="7">
        <f t="shared" si="8"/>
        <v>0</v>
      </c>
    </row>
    <row r="574" spans="1:4" ht="18.75" hidden="1" x14ac:dyDescent="0.25">
      <c r="A574" s="9" t="s">
        <v>47</v>
      </c>
      <c r="B574" s="7"/>
      <c r="C574" s="7"/>
      <c r="D574" s="7">
        <f t="shared" si="8"/>
        <v>0</v>
      </c>
    </row>
    <row r="575" spans="1:4" ht="18.75" hidden="1" x14ac:dyDescent="0.25">
      <c r="A575" s="13" t="s">
        <v>48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51</v>
      </c>
      <c r="B576" s="7"/>
      <c r="C576" s="7"/>
      <c r="D576" s="7">
        <f t="shared" si="8"/>
        <v>0</v>
      </c>
    </row>
    <row r="577" spans="1:4" ht="18.75" hidden="1" x14ac:dyDescent="0.25">
      <c r="A577" s="9" t="s">
        <v>52</v>
      </c>
      <c r="B577" s="7"/>
      <c r="C577" s="7"/>
      <c r="D577" s="7">
        <f t="shared" si="8"/>
        <v>0</v>
      </c>
    </row>
    <row r="578" spans="1:4" ht="18.75" hidden="1" x14ac:dyDescent="0.25">
      <c r="A578" s="9" t="s">
        <v>90</v>
      </c>
      <c r="B578" s="7"/>
      <c r="C578" s="7"/>
      <c r="D578" s="7">
        <f t="shared" si="8"/>
        <v>0</v>
      </c>
    </row>
    <row r="579" spans="1:4" ht="18.75" hidden="1" x14ac:dyDescent="0.25">
      <c r="A579" s="21" t="s">
        <v>91</v>
      </c>
      <c r="B579" s="7"/>
      <c r="C579" s="7"/>
      <c r="D579" s="7">
        <f t="shared" si="8"/>
        <v>0</v>
      </c>
    </row>
    <row r="580" spans="1:4" ht="18.75" x14ac:dyDescent="0.25">
      <c r="A580" s="5" t="s">
        <v>5</v>
      </c>
      <c r="B580" s="7">
        <f>12+300+300+180</f>
        <v>792</v>
      </c>
      <c r="C580" s="7">
        <v>7300</v>
      </c>
      <c r="D580" s="7">
        <f t="shared" ref="D580:D643" si="9">B580*C580</f>
        <v>5781600</v>
      </c>
    </row>
    <row r="581" spans="1:4" ht="18.75" hidden="1" x14ac:dyDescent="0.25">
      <c r="A581" s="9" t="s">
        <v>6</v>
      </c>
      <c r="B581" s="7"/>
      <c r="C581" s="7"/>
      <c r="D581" s="7">
        <f t="shared" si="9"/>
        <v>0</v>
      </c>
    </row>
    <row r="582" spans="1:4" ht="18.75" hidden="1" x14ac:dyDescent="0.25">
      <c r="A582" s="5" t="s">
        <v>9</v>
      </c>
      <c r="B582" s="7"/>
      <c r="C582" s="7"/>
      <c r="D582" s="7">
        <f t="shared" si="9"/>
        <v>0</v>
      </c>
    </row>
    <row r="583" spans="1:4" ht="18.75" x14ac:dyDescent="0.25">
      <c r="A583" s="9" t="s">
        <v>349</v>
      </c>
      <c r="B583" s="7">
        <f>25+62+25+158+6</f>
        <v>276</v>
      </c>
      <c r="C583" s="7">
        <v>8000</v>
      </c>
      <c r="D583" s="7">
        <f t="shared" si="9"/>
        <v>2208000</v>
      </c>
    </row>
    <row r="584" spans="1:4" ht="18.75" hidden="1" x14ac:dyDescent="0.25">
      <c r="A584" s="12" t="s">
        <v>167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168</v>
      </c>
      <c r="B585" s="7"/>
      <c r="C585" s="7"/>
      <c r="D585" s="7">
        <f t="shared" si="9"/>
        <v>0</v>
      </c>
    </row>
    <row r="586" spans="1:4" ht="18.75" hidden="1" x14ac:dyDescent="0.25">
      <c r="A586" s="9" t="s">
        <v>170</v>
      </c>
      <c r="B586" s="7"/>
      <c r="C586" s="7"/>
      <c r="D586" s="7">
        <f t="shared" si="9"/>
        <v>0</v>
      </c>
    </row>
    <row r="587" spans="1:4" ht="18.75" hidden="1" x14ac:dyDescent="0.25">
      <c r="A587" s="9" t="s">
        <v>171</v>
      </c>
      <c r="B587" s="7"/>
      <c r="C587" s="7"/>
      <c r="D587" s="7">
        <f t="shared" si="9"/>
        <v>0</v>
      </c>
    </row>
    <row r="588" spans="1:4" ht="18.75" hidden="1" x14ac:dyDescent="0.25">
      <c r="A588" s="20" t="s">
        <v>172</v>
      </c>
      <c r="B588" s="7"/>
      <c r="C588" s="7"/>
      <c r="D588" s="7">
        <f t="shared" si="9"/>
        <v>0</v>
      </c>
    </row>
    <row r="589" spans="1:4" ht="18.75" hidden="1" x14ac:dyDescent="0.25">
      <c r="A589" s="12" t="s">
        <v>227</v>
      </c>
      <c r="B589" s="7"/>
      <c r="C589" s="7"/>
      <c r="D589" s="7">
        <f t="shared" si="9"/>
        <v>0</v>
      </c>
    </row>
    <row r="590" spans="1:4" ht="18.75" hidden="1" x14ac:dyDescent="0.25">
      <c r="A590" s="11" t="s">
        <v>339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38</v>
      </c>
      <c r="B591" s="7"/>
      <c r="C591" s="7"/>
      <c r="D591" s="7">
        <f t="shared" si="9"/>
        <v>0</v>
      </c>
    </row>
    <row r="592" spans="1:4" ht="18.75" hidden="1" x14ac:dyDescent="0.25">
      <c r="A592" s="9" t="s">
        <v>39</v>
      </c>
      <c r="B592" s="7"/>
      <c r="C592" s="7"/>
      <c r="D592" s="7">
        <f t="shared" si="9"/>
        <v>0</v>
      </c>
    </row>
    <row r="593" spans="1:4" ht="18.75" hidden="1" x14ac:dyDescent="0.25">
      <c r="A593" s="11" t="s">
        <v>340</v>
      </c>
      <c r="B593" s="16"/>
      <c r="C593" s="16"/>
      <c r="D593" s="7">
        <f t="shared" si="9"/>
        <v>0</v>
      </c>
    </row>
    <row r="594" spans="1:4" ht="18.75" hidden="1" x14ac:dyDescent="0.25">
      <c r="A594" s="11" t="s">
        <v>40</v>
      </c>
      <c r="B594" s="16"/>
      <c r="C594" s="16"/>
      <c r="D594" s="7">
        <f t="shared" si="9"/>
        <v>0</v>
      </c>
    </row>
    <row r="595" spans="1:4" ht="18.75" hidden="1" x14ac:dyDescent="0.25">
      <c r="A595" s="17" t="s">
        <v>255</v>
      </c>
      <c r="B595" s="7"/>
      <c r="C595" s="7"/>
      <c r="D595" s="7">
        <f t="shared" si="9"/>
        <v>0</v>
      </c>
    </row>
    <row r="596" spans="1:4" ht="18.75" hidden="1" x14ac:dyDescent="0.25">
      <c r="A596" s="21" t="s">
        <v>256</v>
      </c>
      <c r="B596" s="7"/>
      <c r="C596" s="7"/>
      <c r="D596" s="7">
        <f t="shared" si="9"/>
        <v>0</v>
      </c>
    </row>
    <row r="597" spans="1:4" ht="18.75" hidden="1" x14ac:dyDescent="0.25">
      <c r="A597" s="21" t="s">
        <v>257</v>
      </c>
      <c r="B597" s="7"/>
      <c r="C597" s="7"/>
      <c r="D597" s="7">
        <f t="shared" si="9"/>
        <v>0</v>
      </c>
    </row>
    <row r="598" spans="1:4" ht="18.75" hidden="1" x14ac:dyDescent="0.25">
      <c r="A598" s="11" t="s">
        <v>360</v>
      </c>
      <c r="B598" s="7"/>
      <c r="C598" s="7"/>
      <c r="D598" s="7">
        <f t="shared" si="9"/>
        <v>0</v>
      </c>
    </row>
    <row r="599" spans="1:4" ht="18.75" hidden="1" x14ac:dyDescent="0.25">
      <c r="A599" s="11" t="s">
        <v>268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269</v>
      </c>
      <c r="B600" s="7"/>
      <c r="C600" s="7"/>
      <c r="D600" s="7">
        <f t="shared" si="9"/>
        <v>0</v>
      </c>
    </row>
    <row r="601" spans="1:4" ht="18.75" hidden="1" x14ac:dyDescent="0.25">
      <c r="A601" s="9" t="s">
        <v>361</v>
      </c>
      <c r="B601" s="7"/>
      <c r="C601" s="7"/>
      <c r="D601" s="7">
        <f t="shared" si="9"/>
        <v>0</v>
      </c>
    </row>
    <row r="602" spans="1:4" ht="18.75" hidden="1" x14ac:dyDescent="0.25">
      <c r="A602" s="9" t="s">
        <v>272</v>
      </c>
      <c r="B602" s="7"/>
      <c r="C602" s="7"/>
      <c r="D602" s="7">
        <f t="shared" si="9"/>
        <v>0</v>
      </c>
    </row>
    <row r="603" spans="1:4" ht="18.75" hidden="1" x14ac:dyDescent="0.25">
      <c r="A603" s="17" t="s">
        <v>284</v>
      </c>
      <c r="B603" s="7"/>
      <c r="C603" s="7"/>
      <c r="D603" s="7">
        <f t="shared" si="9"/>
        <v>0</v>
      </c>
    </row>
    <row r="604" spans="1:4" ht="18.75" hidden="1" x14ac:dyDescent="0.25">
      <c r="A604" s="12" t="s">
        <v>178</v>
      </c>
      <c r="B604" s="7"/>
      <c r="C604" s="7"/>
      <c r="D604" s="7">
        <f t="shared" si="9"/>
        <v>0</v>
      </c>
    </row>
    <row r="605" spans="1:4" ht="18.75" hidden="1" x14ac:dyDescent="0.25">
      <c r="A605" s="9" t="s">
        <v>179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180</v>
      </c>
      <c r="B606" s="7"/>
      <c r="C606" s="7"/>
      <c r="D606" s="7">
        <f t="shared" si="9"/>
        <v>0</v>
      </c>
    </row>
    <row r="607" spans="1:4" ht="18.75" hidden="1" x14ac:dyDescent="0.25">
      <c r="A607" s="12" t="s">
        <v>305</v>
      </c>
      <c r="B607" s="7"/>
      <c r="C607" s="7"/>
      <c r="D607" s="7">
        <f t="shared" si="9"/>
        <v>0</v>
      </c>
    </row>
    <row r="608" spans="1:4" ht="18.75" hidden="1" x14ac:dyDescent="0.25">
      <c r="A608" s="9" t="s">
        <v>307</v>
      </c>
      <c r="B608" s="7"/>
      <c r="C608" s="7"/>
      <c r="D608" s="7">
        <f t="shared" si="9"/>
        <v>0</v>
      </c>
    </row>
    <row r="609" spans="1:4" ht="18.75" hidden="1" x14ac:dyDescent="0.25">
      <c r="A609" s="9" t="s">
        <v>308</v>
      </c>
      <c r="B609" s="7"/>
      <c r="C609" s="7"/>
      <c r="D609" s="7">
        <f t="shared" si="9"/>
        <v>0</v>
      </c>
    </row>
    <row r="610" spans="1:4" ht="18.75" hidden="1" x14ac:dyDescent="0.25">
      <c r="A610" s="21" t="s">
        <v>311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313</v>
      </c>
      <c r="B611" s="7"/>
      <c r="C611" s="7"/>
      <c r="D611" s="7">
        <f t="shared" si="9"/>
        <v>0</v>
      </c>
    </row>
    <row r="612" spans="1:4" ht="18.75" hidden="1" x14ac:dyDescent="0.25">
      <c r="A612" s="9" t="s">
        <v>314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315</v>
      </c>
      <c r="B613" s="7"/>
      <c r="C613" s="7"/>
      <c r="D613" s="7">
        <f t="shared" si="9"/>
        <v>0</v>
      </c>
    </row>
    <row r="614" spans="1:4" ht="18.75" hidden="1" x14ac:dyDescent="0.25">
      <c r="A614" s="9" t="s">
        <v>316</v>
      </c>
      <c r="B614" s="7"/>
      <c r="C614" s="7"/>
      <c r="D614" s="7">
        <f t="shared" si="9"/>
        <v>0</v>
      </c>
    </row>
    <row r="615" spans="1:4" ht="18.75" hidden="1" x14ac:dyDescent="0.25">
      <c r="A615" s="21" t="s">
        <v>317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318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322</v>
      </c>
      <c r="B617" s="7"/>
      <c r="C617" s="7"/>
      <c r="D617" s="7">
        <f t="shared" si="9"/>
        <v>0</v>
      </c>
    </row>
    <row r="618" spans="1:4" ht="18.75" hidden="1" x14ac:dyDescent="0.25">
      <c r="A618" s="21" t="s">
        <v>324</v>
      </c>
      <c r="B618" s="7"/>
      <c r="C618" s="7"/>
      <c r="D618" s="7">
        <f t="shared" si="9"/>
        <v>0</v>
      </c>
    </row>
    <row r="619" spans="1:4" ht="18.75" hidden="1" x14ac:dyDescent="0.25">
      <c r="A619" s="21" t="s">
        <v>325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326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327</v>
      </c>
      <c r="B621" s="7"/>
      <c r="C621" s="7"/>
      <c r="D621" s="7">
        <f t="shared" si="9"/>
        <v>0</v>
      </c>
    </row>
    <row r="622" spans="1:4" ht="18.75" hidden="1" x14ac:dyDescent="0.25">
      <c r="A622" s="21" t="s">
        <v>328</v>
      </c>
      <c r="B622" s="7"/>
      <c r="C622" s="7"/>
      <c r="D622" s="7">
        <f t="shared" si="9"/>
        <v>0</v>
      </c>
    </row>
    <row r="623" spans="1:4" ht="18.75" hidden="1" x14ac:dyDescent="0.25">
      <c r="A623" s="9" t="s">
        <v>329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330</v>
      </c>
      <c r="B624" s="7"/>
      <c r="C624" s="7"/>
      <c r="D624" s="7">
        <f t="shared" si="9"/>
        <v>0</v>
      </c>
    </row>
    <row r="625" spans="1:4" ht="18.75" hidden="1" x14ac:dyDescent="0.25">
      <c r="A625" s="9" t="s">
        <v>331</v>
      </c>
      <c r="B625" s="7"/>
      <c r="C625" s="7"/>
      <c r="D625" s="7">
        <f t="shared" si="9"/>
        <v>0</v>
      </c>
    </row>
    <row r="626" spans="1:4" ht="18.75" hidden="1" x14ac:dyDescent="0.25">
      <c r="A626" s="9" t="s">
        <v>332</v>
      </c>
      <c r="B626" s="7"/>
      <c r="C626" s="7"/>
      <c r="D626" s="7">
        <f t="shared" si="9"/>
        <v>0</v>
      </c>
    </row>
    <row r="627" spans="1:4" ht="18.75" hidden="1" x14ac:dyDescent="0.25">
      <c r="A627" s="9" t="s">
        <v>333</v>
      </c>
      <c r="B627" s="7"/>
      <c r="C627" s="7"/>
      <c r="D627" s="7">
        <f t="shared" si="9"/>
        <v>0</v>
      </c>
    </row>
    <row r="628" spans="1:4" ht="18.75" hidden="1" x14ac:dyDescent="0.25">
      <c r="A628" s="9" t="s">
        <v>334</v>
      </c>
      <c r="B628" s="7"/>
      <c r="C628" s="7"/>
      <c r="D628" s="7">
        <f t="shared" si="9"/>
        <v>0</v>
      </c>
    </row>
    <row r="629" spans="1:4" ht="18.75" hidden="1" x14ac:dyDescent="0.25">
      <c r="A629" s="9" t="s">
        <v>335</v>
      </c>
      <c r="B629" s="7"/>
      <c r="C629" s="7"/>
      <c r="D629" s="7">
        <f t="shared" si="9"/>
        <v>0</v>
      </c>
    </row>
    <row r="630" spans="1:4" ht="18.75" hidden="1" x14ac:dyDescent="0.25">
      <c r="A630" s="9" t="s">
        <v>336</v>
      </c>
      <c r="B630" s="7"/>
      <c r="C630" s="7"/>
      <c r="D630" s="7">
        <f t="shared" si="9"/>
        <v>0</v>
      </c>
    </row>
    <row r="631" spans="1:4" ht="18.75" hidden="1" x14ac:dyDescent="0.25">
      <c r="A631" s="28" t="s">
        <v>130</v>
      </c>
      <c r="B631" s="7"/>
      <c r="C631" s="7"/>
      <c r="D631" s="7">
        <f t="shared" si="9"/>
        <v>0</v>
      </c>
    </row>
    <row r="632" spans="1:4" ht="18.75" hidden="1" x14ac:dyDescent="0.25">
      <c r="A632" s="12" t="s">
        <v>131</v>
      </c>
      <c r="B632" s="16"/>
      <c r="C632" s="16"/>
      <c r="D632" s="7">
        <f t="shared" si="9"/>
        <v>0</v>
      </c>
    </row>
    <row r="633" spans="1:4" ht="18.75" hidden="1" x14ac:dyDescent="0.25">
      <c r="A633" s="9" t="s">
        <v>132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133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9" t="s">
        <v>16</v>
      </c>
      <c r="B637" s="7"/>
      <c r="C637" s="7"/>
      <c r="D637" s="7">
        <f t="shared" si="9"/>
        <v>0</v>
      </c>
    </row>
    <row r="638" spans="1:4" ht="18.75" hidden="1" x14ac:dyDescent="0.25">
      <c r="A638" s="13" t="s">
        <v>17</v>
      </c>
      <c r="B638" s="7"/>
      <c r="C638" s="7"/>
      <c r="D638" s="7">
        <f t="shared" si="9"/>
        <v>0</v>
      </c>
    </row>
    <row r="639" spans="1:4" ht="18.75" hidden="1" x14ac:dyDescent="0.25">
      <c r="A639" s="11" t="s">
        <v>18</v>
      </c>
      <c r="B639" s="7"/>
      <c r="C639" s="7"/>
      <c r="D639" s="7">
        <f t="shared" si="9"/>
        <v>0</v>
      </c>
    </row>
    <row r="640" spans="1:4" ht="18.75" hidden="1" x14ac:dyDescent="0.25">
      <c r="A640" s="9" t="s">
        <v>157</v>
      </c>
      <c r="B640" s="7"/>
      <c r="C640" s="7"/>
      <c r="D640" s="7">
        <f t="shared" si="9"/>
        <v>0</v>
      </c>
    </row>
    <row r="641" spans="1:4" ht="18.75" hidden="1" x14ac:dyDescent="0.25">
      <c r="A641" s="9" t="s">
        <v>158</v>
      </c>
      <c r="B641" s="7"/>
      <c r="C641" s="7"/>
      <c r="D641" s="7">
        <f t="shared" si="9"/>
        <v>0</v>
      </c>
    </row>
    <row r="642" spans="1:4" ht="18.75" x14ac:dyDescent="0.25">
      <c r="A642" s="9" t="s">
        <v>159</v>
      </c>
      <c r="B642" s="7">
        <v>9</v>
      </c>
      <c r="C642" s="7">
        <v>8500</v>
      </c>
      <c r="D642" s="7">
        <f t="shared" si="9"/>
        <v>76500</v>
      </c>
    </row>
    <row r="643" spans="1:4" ht="18.75" hidden="1" x14ac:dyDescent="0.25">
      <c r="A643" s="9" t="s">
        <v>160</v>
      </c>
      <c r="B643" s="7"/>
      <c r="C643" s="7"/>
      <c r="D643" s="7">
        <f t="shared" si="9"/>
        <v>0</v>
      </c>
    </row>
    <row r="644" spans="1:4" ht="18.75" hidden="1" x14ac:dyDescent="0.25">
      <c r="A644" s="10" t="s">
        <v>7</v>
      </c>
      <c r="B644" s="7"/>
      <c r="C644" s="7"/>
      <c r="D644" s="7">
        <f t="shared" ref="D644:D679" si="10">B644*C644</f>
        <v>0</v>
      </c>
    </row>
    <row r="645" spans="1:4" ht="18.75" hidden="1" x14ac:dyDescent="0.25">
      <c r="A645" s="5" t="s">
        <v>8</v>
      </c>
      <c r="B645" s="7"/>
      <c r="C645" s="7"/>
      <c r="D645" s="7">
        <f t="shared" si="10"/>
        <v>0</v>
      </c>
    </row>
    <row r="646" spans="1:4" ht="18.75" hidden="1" x14ac:dyDescent="0.25">
      <c r="A646" s="19" t="s">
        <v>64</v>
      </c>
      <c r="B646" s="7"/>
      <c r="C646" s="7"/>
      <c r="D646" s="7">
        <f t="shared" si="10"/>
        <v>0</v>
      </c>
    </row>
    <row r="647" spans="1:4" ht="18.75" hidden="1" x14ac:dyDescent="0.25">
      <c r="A647" s="12" t="s">
        <v>68</v>
      </c>
      <c r="B647" s="7"/>
      <c r="C647" s="7"/>
      <c r="D647" s="7">
        <f t="shared" si="10"/>
        <v>0</v>
      </c>
    </row>
    <row r="648" spans="1:4" ht="18.75" hidden="1" x14ac:dyDescent="0.25">
      <c r="A648" s="11" t="s">
        <v>102</v>
      </c>
      <c r="B648" s="7"/>
      <c r="C648" s="7"/>
      <c r="D648" s="7">
        <f t="shared" si="10"/>
        <v>0</v>
      </c>
    </row>
    <row r="649" spans="1:4" ht="18.75" hidden="1" x14ac:dyDescent="0.25">
      <c r="A649" s="25" t="s">
        <v>108</v>
      </c>
      <c r="B649" s="7"/>
      <c r="C649" s="7"/>
      <c r="D649" s="7">
        <f t="shared" si="10"/>
        <v>0</v>
      </c>
    </row>
    <row r="650" spans="1:4" ht="18.75" hidden="1" x14ac:dyDescent="0.25">
      <c r="A650" s="9" t="s">
        <v>119</v>
      </c>
      <c r="B650" s="7"/>
      <c r="C650" s="7"/>
      <c r="D650" s="7">
        <f t="shared" si="10"/>
        <v>0</v>
      </c>
    </row>
    <row r="651" spans="1:4" ht="18.75" hidden="1" x14ac:dyDescent="0.25">
      <c r="A651" s="11" t="s">
        <v>120</v>
      </c>
      <c r="B651" s="7"/>
      <c r="C651" s="7"/>
      <c r="D651" s="7">
        <f t="shared" si="10"/>
        <v>0</v>
      </c>
    </row>
    <row r="652" spans="1:4" ht="18.75" hidden="1" x14ac:dyDescent="0.25">
      <c r="A652" s="11" t="s">
        <v>121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143</v>
      </c>
      <c r="B653" s="7"/>
      <c r="C653" s="7"/>
      <c r="D653" s="7">
        <f t="shared" si="10"/>
        <v>0</v>
      </c>
    </row>
    <row r="654" spans="1:4" ht="18.75" hidden="1" x14ac:dyDescent="0.25">
      <c r="A654" s="11" t="s">
        <v>175</v>
      </c>
      <c r="B654" s="7"/>
      <c r="C654" s="7"/>
      <c r="D654" s="7">
        <f t="shared" si="10"/>
        <v>0</v>
      </c>
    </row>
    <row r="655" spans="1:4" ht="18.75" hidden="1" x14ac:dyDescent="0.25">
      <c r="A655" s="17" t="s">
        <v>189</v>
      </c>
      <c r="B655" s="7"/>
      <c r="C655" s="7"/>
      <c r="D655" s="7">
        <f t="shared" si="10"/>
        <v>0</v>
      </c>
    </row>
    <row r="656" spans="1:4" ht="18.75" hidden="1" x14ac:dyDescent="0.25">
      <c r="A656" s="17" t="s">
        <v>190</v>
      </c>
      <c r="B656" s="7"/>
      <c r="C656" s="7"/>
      <c r="D656" s="7">
        <f t="shared" si="10"/>
        <v>0</v>
      </c>
    </row>
    <row r="657" spans="1:4" ht="18.75" hidden="1" x14ac:dyDescent="0.25">
      <c r="A657" s="17" t="s">
        <v>191</v>
      </c>
      <c r="B657" s="7"/>
      <c r="C657" s="7"/>
      <c r="D657" s="7">
        <f t="shared" si="10"/>
        <v>0</v>
      </c>
    </row>
    <row r="658" spans="1:4" ht="18.75" hidden="1" x14ac:dyDescent="0.25">
      <c r="A658" s="17" t="s">
        <v>192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194</v>
      </c>
      <c r="B659" s="7"/>
      <c r="C659" s="7"/>
      <c r="D659" s="7">
        <f t="shared" si="10"/>
        <v>0</v>
      </c>
    </row>
    <row r="660" spans="1:4" ht="18.75" hidden="1" x14ac:dyDescent="0.25">
      <c r="A660" s="34" t="s">
        <v>195</v>
      </c>
      <c r="B660" s="7"/>
      <c r="C660" s="7"/>
      <c r="D660" s="7">
        <f t="shared" si="10"/>
        <v>0</v>
      </c>
    </row>
    <row r="661" spans="1:4" ht="18.75" hidden="1" x14ac:dyDescent="0.25">
      <c r="A661" s="34" t="s">
        <v>196</v>
      </c>
      <c r="B661" s="7"/>
      <c r="C661" s="7"/>
      <c r="D661" s="7">
        <f t="shared" si="10"/>
        <v>0</v>
      </c>
    </row>
    <row r="662" spans="1:4" ht="18.75" hidden="1" x14ac:dyDescent="0.25">
      <c r="A662" s="34" t="s">
        <v>197</v>
      </c>
      <c r="B662" s="7"/>
      <c r="C662" s="7"/>
      <c r="D662" s="7">
        <f t="shared" si="10"/>
        <v>0</v>
      </c>
    </row>
    <row r="663" spans="1:4" ht="18.75" hidden="1" x14ac:dyDescent="0.25">
      <c r="A663" s="34" t="s">
        <v>198</v>
      </c>
      <c r="B663" s="7"/>
      <c r="C663" s="7"/>
      <c r="D663" s="7">
        <f t="shared" si="10"/>
        <v>0</v>
      </c>
    </row>
    <row r="664" spans="1:4" ht="18.75" hidden="1" x14ac:dyDescent="0.25">
      <c r="A664" s="11" t="s">
        <v>226</v>
      </c>
      <c r="B664" s="7"/>
      <c r="C664" s="7"/>
      <c r="D664" s="7">
        <f t="shared" si="10"/>
        <v>0</v>
      </c>
    </row>
    <row r="665" spans="1:4" ht="18.75" hidden="1" x14ac:dyDescent="0.25">
      <c r="A665" s="21" t="s">
        <v>358</v>
      </c>
      <c r="B665" s="7"/>
      <c r="C665" s="7"/>
      <c r="D665" s="7">
        <f t="shared" si="10"/>
        <v>0</v>
      </c>
    </row>
    <row r="666" spans="1:4" ht="18.75" hidden="1" x14ac:dyDescent="0.25">
      <c r="A666" s="21" t="s">
        <v>359</v>
      </c>
      <c r="B666" s="7"/>
      <c r="C666" s="7"/>
      <c r="D666" s="7">
        <f t="shared" si="10"/>
        <v>0</v>
      </c>
    </row>
    <row r="667" spans="1:4" ht="18.75" hidden="1" x14ac:dyDescent="0.25">
      <c r="A667" s="11" t="s">
        <v>232</v>
      </c>
      <c r="B667" s="7"/>
      <c r="C667" s="7"/>
      <c r="D667" s="7">
        <f t="shared" si="10"/>
        <v>0</v>
      </c>
    </row>
    <row r="668" spans="1:4" ht="18.75" hidden="1" x14ac:dyDescent="0.25">
      <c r="A668" s="13" t="s">
        <v>239</v>
      </c>
      <c r="B668" s="7"/>
      <c r="C668" s="7"/>
      <c r="D668" s="7">
        <f t="shared" si="10"/>
        <v>0</v>
      </c>
    </row>
    <row r="669" spans="1:4" ht="18.75" hidden="1" x14ac:dyDescent="0.25">
      <c r="A669" s="13" t="s">
        <v>240</v>
      </c>
      <c r="B669" s="7"/>
      <c r="C669" s="7"/>
      <c r="D669" s="7">
        <f t="shared" si="10"/>
        <v>0</v>
      </c>
    </row>
    <row r="670" spans="1:4" ht="18.75" hidden="1" x14ac:dyDescent="0.25">
      <c r="A670" s="34" t="s">
        <v>241</v>
      </c>
      <c r="B670" s="7"/>
      <c r="C670" s="7"/>
      <c r="D670" s="7">
        <f t="shared" si="10"/>
        <v>0</v>
      </c>
    </row>
    <row r="671" spans="1:4" ht="18.75" hidden="1" x14ac:dyDescent="0.25">
      <c r="A671" s="34" t="s">
        <v>245</v>
      </c>
      <c r="B671" s="7"/>
      <c r="C671" s="7"/>
      <c r="D671" s="7">
        <f t="shared" si="10"/>
        <v>0</v>
      </c>
    </row>
    <row r="672" spans="1:4" ht="18.75" hidden="1" x14ac:dyDescent="0.25">
      <c r="A672" s="34" t="s">
        <v>276</v>
      </c>
      <c r="B672" s="7"/>
      <c r="C672" s="7"/>
      <c r="D672" s="7">
        <f t="shared" si="10"/>
        <v>0</v>
      </c>
    </row>
    <row r="673" spans="1:4" ht="18.75" hidden="1" x14ac:dyDescent="0.25">
      <c r="A673" s="34" t="s">
        <v>278</v>
      </c>
      <c r="B673" s="7"/>
      <c r="C673" s="7"/>
      <c r="D673" s="7">
        <f t="shared" si="10"/>
        <v>0</v>
      </c>
    </row>
    <row r="674" spans="1:4" ht="18.75" hidden="1" x14ac:dyDescent="0.25">
      <c r="A674" s="11" t="s">
        <v>363</v>
      </c>
      <c r="B674" s="7"/>
      <c r="C674" s="7"/>
      <c r="D674" s="7">
        <f t="shared" si="10"/>
        <v>0</v>
      </c>
    </row>
    <row r="675" spans="1:4" ht="18.75" hidden="1" x14ac:dyDescent="0.25">
      <c r="A675" s="34" t="s">
        <v>279</v>
      </c>
      <c r="B675" s="7"/>
      <c r="C675" s="7"/>
      <c r="D675" s="7">
        <f t="shared" si="10"/>
        <v>0</v>
      </c>
    </row>
    <row r="676" spans="1:4" ht="18.75" hidden="1" x14ac:dyDescent="0.25">
      <c r="A676" s="25" t="s">
        <v>292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365</v>
      </c>
      <c r="B677" s="7"/>
      <c r="C677" s="7"/>
      <c r="D677" s="7">
        <f t="shared" si="10"/>
        <v>0</v>
      </c>
    </row>
    <row r="678" spans="1:4" ht="18.75" hidden="1" x14ac:dyDescent="0.25">
      <c r="A678" s="11" t="s">
        <v>303</v>
      </c>
      <c r="B678" s="7"/>
      <c r="C678" s="7"/>
      <c r="D678" s="7">
        <f t="shared" si="10"/>
        <v>0</v>
      </c>
    </row>
    <row r="679" spans="1:4" ht="18.75" hidden="1" x14ac:dyDescent="0.25">
      <c r="A679" s="11" t="s">
        <v>338</v>
      </c>
      <c r="B679" s="7"/>
      <c r="C679" s="7"/>
      <c r="D679" s="7">
        <f t="shared" si="10"/>
        <v>0</v>
      </c>
    </row>
    <row r="680" spans="1:4" ht="18.75" x14ac:dyDescent="0.25">
      <c r="A680" s="40"/>
      <c r="B680" s="43">
        <f>SUM(B353:B679)</f>
        <v>2982</v>
      </c>
      <c r="C680" s="43"/>
      <c r="D680" s="43">
        <f t="shared" ref="D680" si="11">SUM(D353:D679)</f>
        <v>39196100</v>
      </c>
    </row>
    <row r="682" spans="1:4" x14ac:dyDescent="0.25">
      <c r="D682" s="53">
        <f>D680+D348</f>
        <v>117626300</v>
      </c>
    </row>
  </sheetData>
  <protectedRanges>
    <protectedRange password="CF71" sqref="B3:C347 B1:D2" name="tho"/>
    <protectedRange password="CF71" sqref="D3:D679" name="tho_2"/>
    <protectedRange password="CF71" sqref="B350:C350 C351:C679" name="tho_1"/>
    <protectedRange password="CF71" sqref="B351:B679" name="tho_2_1"/>
  </protectedRanges>
  <autoFilter ref="A2:D680" xr:uid="{00000000-0009-0000-0000-000005000000}">
    <filterColumn colId="1">
      <customFilters>
        <customFilter operator="notEqual" val=" "/>
      </customFilters>
    </filterColumn>
  </autoFilter>
  <mergeCells count="1">
    <mergeCell ref="A351:A35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684"/>
  <sheetViews>
    <sheetView topLeftCell="A514" workbookViewId="0">
      <selection activeCell="D692" sqref="D692:D693"/>
    </sheetView>
  </sheetViews>
  <sheetFormatPr defaultRowHeight="15" x14ac:dyDescent="0.25"/>
  <cols>
    <col min="1" max="1" width="41.5703125" customWidth="1"/>
    <col min="3" max="3" width="11.42578125" customWidth="1"/>
    <col min="4" max="4" width="18.5703125" customWidth="1"/>
  </cols>
  <sheetData>
    <row r="1" spans="1:4" x14ac:dyDescent="0.25">
      <c r="A1" s="1" t="s">
        <v>393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hidden="1" x14ac:dyDescent="0.25">
      <c r="A7" s="5" t="s">
        <v>5</v>
      </c>
      <c r="B7" s="7"/>
      <c r="C7" s="7"/>
      <c r="D7" s="7">
        <f t="shared" si="0"/>
        <v>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x14ac:dyDescent="0.25">
      <c r="A12" s="17" t="s">
        <v>379</v>
      </c>
      <c r="B12" s="7">
        <v>500</v>
      </c>
      <c r="C12" s="7">
        <v>5600</v>
      </c>
      <c r="D12" s="7">
        <f t="shared" si="0"/>
        <v>2800000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hidden="1" x14ac:dyDescent="0.25">
      <c r="A17" s="12" t="s">
        <v>14</v>
      </c>
      <c r="B17" s="7"/>
      <c r="C17" s="7"/>
      <c r="D17" s="7">
        <f t="shared" si="0"/>
        <v>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hidden="1" x14ac:dyDescent="0.25">
      <c r="A21" s="11" t="s">
        <v>18</v>
      </c>
      <c r="B21" s="7"/>
      <c r="C21" s="45"/>
      <c r="D21" s="7">
        <f t="shared" si="0"/>
        <v>0</v>
      </c>
    </row>
    <row r="22" spans="1:4" ht="18.75" hidden="1" x14ac:dyDescent="0.25">
      <c r="A22" s="9" t="s">
        <v>19</v>
      </c>
      <c r="B22" s="7"/>
      <c r="C22" s="7"/>
      <c r="D22" s="7">
        <f t="shared" si="0"/>
        <v>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-30+40</f>
        <v>10</v>
      </c>
      <c r="C27" s="7">
        <v>15000</v>
      </c>
      <c r="D27" s="7">
        <f t="shared" si="0"/>
        <v>150000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x14ac:dyDescent="0.25">
      <c r="A32" s="12" t="s">
        <v>29</v>
      </c>
      <c r="B32" s="7">
        <v>30</v>
      </c>
      <c r="C32" s="7">
        <v>15500</v>
      </c>
      <c r="D32" s="7">
        <f t="shared" si="0"/>
        <v>465000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x14ac:dyDescent="0.25">
      <c r="A41" s="9" t="s">
        <v>38</v>
      </c>
      <c r="B41" s="7">
        <v>16</v>
      </c>
      <c r="C41" s="7">
        <v>32000</v>
      </c>
      <c r="D41" s="7">
        <f t="shared" si="0"/>
        <v>512000</v>
      </c>
    </row>
    <row r="42" spans="1:4" ht="18.75" hidden="1" x14ac:dyDescent="0.25">
      <c r="A42" s="9" t="s">
        <v>39</v>
      </c>
      <c r="B42" s="7"/>
      <c r="C42" s="7"/>
      <c r="D42" s="7">
        <f t="shared" si="0"/>
        <v>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x14ac:dyDescent="0.25">
      <c r="A49" s="9" t="s">
        <v>46</v>
      </c>
      <c r="B49" s="7">
        <v>60</v>
      </c>
      <c r="C49" s="7">
        <v>29000</v>
      </c>
      <c r="D49" s="7">
        <f t="shared" si="0"/>
        <v>1740000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-300+280+420+120+80</f>
        <v>600</v>
      </c>
      <c r="C56" s="7">
        <v>23000</v>
      </c>
      <c r="D56" s="7">
        <f t="shared" si="0"/>
        <v>13800000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v>96</v>
      </c>
      <c r="C59" s="7">
        <v>8100</v>
      </c>
      <c r="D59" s="7">
        <f t="shared" si="0"/>
        <v>777600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x14ac:dyDescent="0.25">
      <c r="A63" s="9" t="s">
        <v>60</v>
      </c>
      <c r="B63" s="7">
        <v>2</v>
      </c>
      <c r="C63" s="7">
        <v>13500</v>
      </c>
      <c r="D63" s="7">
        <f t="shared" si="0"/>
        <v>27000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v>20</v>
      </c>
      <c r="C66" s="7">
        <v>21000</v>
      </c>
      <c r="D66" s="7">
        <f t="shared" si="0"/>
        <v>420000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x14ac:dyDescent="0.25">
      <c r="A72" s="12" t="s">
        <v>69</v>
      </c>
      <c r="B72" s="7">
        <v>9</v>
      </c>
      <c r="C72" s="7">
        <v>6500</v>
      </c>
      <c r="D72" s="7">
        <f t="shared" si="1"/>
        <v>58500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hidden="1" x14ac:dyDescent="0.25">
      <c r="A74" s="12" t="s">
        <v>71</v>
      </c>
      <c r="B74" s="7"/>
      <c r="C74" s="7"/>
      <c r="D74" s="7">
        <f t="shared" si="1"/>
        <v>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f>-100+100</f>
        <v>0</v>
      </c>
      <c r="C80" s="7"/>
      <c r="D80" s="7">
        <f t="shared" si="1"/>
        <v>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hidden="1" x14ac:dyDescent="0.25">
      <c r="A82" s="9" t="s">
        <v>79</v>
      </c>
      <c r="B82" s="7"/>
      <c r="C82" s="7"/>
      <c r="D82" s="7">
        <f t="shared" si="1"/>
        <v>0</v>
      </c>
    </row>
    <row r="83" spans="1:4" ht="18.75" x14ac:dyDescent="0.25">
      <c r="A83" s="9" t="s">
        <v>80</v>
      </c>
      <c r="B83" s="7">
        <v>19</v>
      </c>
      <c r="C83" s="7">
        <v>22000</v>
      </c>
      <c r="D83" s="7">
        <f t="shared" si="1"/>
        <v>418000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v>10</v>
      </c>
      <c r="C90" s="7">
        <v>28000</v>
      </c>
      <c r="D90" s="7">
        <f t="shared" si="1"/>
        <v>280000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x14ac:dyDescent="0.25">
      <c r="A107" s="9" t="s">
        <v>103</v>
      </c>
      <c r="B107" s="7">
        <v>10</v>
      </c>
      <c r="C107" s="7">
        <v>12000</v>
      </c>
      <c r="D107" s="7">
        <f t="shared" si="1"/>
        <v>120000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11" t="s">
        <v>117</v>
      </c>
      <c r="B123" s="7"/>
      <c r="C123" s="7"/>
      <c r="D123" s="7">
        <f t="shared" si="1"/>
        <v>0</v>
      </c>
    </row>
    <row r="124" spans="1:4" ht="18.75" hidden="1" x14ac:dyDescent="0.25">
      <c r="A124" s="21" t="s">
        <v>118</v>
      </c>
      <c r="B124" s="7"/>
      <c r="C124" s="7"/>
      <c r="D124" s="7">
        <f t="shared" si="1"/>
        <v>0</v>
      </c>
    </row>
    <row r="125" spans="1:4" ht="18.75" hidden="1" x14ac:dyDescent="0.25">
      <c r="A125" s="17" t="s">
        <v>391</v>
      </c>
      <c r="B125" s="7"/>
      <c r="C125" s="7"/>
      <c r="D125" s="7">
        <f t="shared" si="1"/>
        <v>0</v>
      </c>
    </row>
    <row r="126" spans="1:4" ht="18.75" hidden="1" x14ac:dyDescent="0.25">
      <c r="A126" s="13" t="s">
        <v>392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119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120</v>
      </c>
      <c r="B128" s="7"/>
      <c r="C128" s="7"/>
      <c r="D128" s="7">
        <f t="shared" si="1"/>
        <v>0</v>
      </c>
    </row>
    <row r="129" spans="1:4" ht="18.75" hidden="1" x14ac:dyDescent="0.25">
      <c r="A129" s="11" t="s">
        <v>121</v>
      </c>
      <c r="B129" s="7"/>
      <c r="C129" s="7"/>
      <c r="D129" s="7">
        <f t="shared" si="1"/>
        <v>0</v>
      </c>
    </row>
    <row r="130" spans="1:4" ht="18.75" hidden="1" x14ac:dyDescent="0.25">
      <c r="A130" s="17" t="s">
        <v>382</v>
      </c>
      <c r="B130" s="7"/>
      <c r="C130" s="7"/>
      <c r="D130" s="7">
        <f t="shared" si="1"/>
        <v>0</v>
      </c>
    </row>
    <row r="131" spans="1:4" ht="18.75" hidden="1" x14ac:dyDescent="0.25">
      <c r="A131" s="13" t="s">
        <v>383</v>
      </c>
      <c r="B131" s="7"/>
      <c r="C131" s="7"/>
      <c r="D131" s="7">
        <f t="shared" si="1"/>
        <v>0</v>
      </c>
    </row>
    <row r="132" spans="1:4" ht="18.75" hidden="1" x14ac:dyDescent="0.25">
      <c r="A132" s="13" t="s">
        <v>384</v>
      </c>
      <c r="B132" s="7"/>
      <c r="C132" s="7"/>
      <c r="D132" s="7">
        <f t="shared" ref="D132:D195" si="2">B132*C132</f>
        <v>0</v>
      </c>
    </row>
    <row r="133" spans="1:4" ht="18.75" x14ac:dyDescent="0.25">
      <c r="A133" s="9" t="s">
        <v>122</v>
      </c>
      <c r="B133" s="7">
        <f>-20+95</f>
        <v>75</v>
      </c>
      <c r="C133" s="7">
        <v>13000</v>
      </c>
      <c r="D133" s="7">
        <f t="shared" si="2"/>
        <v>975000</v>
      </c>
    </row>
    <row r="134" spans="1:4" ht="18.75" hidden="1" x14ac:dyDescent="0.25">
      <c r="A134" s="9" t="s">
        <v>123</v>
      </c>
      <c r="B134" s="7"/>
      <c r="C134" s="7"/>
      <c r="D134" s="7">
        <f t="shared" si="2"/>
        <v>0</v>
      </c>
    </row>
    <row r="135" spans="1:4" ht="18.75" hidden="1" x14ac:dyDescent="0.25">
      <c r="A135" s="10" t="s">
        <v>124</v>
      </c>
      <c r="B135" s="7"/>
      <c r="C135" s="7"/>
      <c r="D135" s="7">
        <f t="shared" si="2"/>
        <v>0</v>
      </c>
    </row>
    <row r="136" spans="1:4" ht="18.75" hidden="1" x14ac:dyDescent="0.25">
      <c r="A136" s="13" t="s">
        <v>125</v>
      </c>
      <c r="B136" s="7"/>
      <c r="C136" s="7"/>
      <c r="D136" s="7">
        <f t="shared" si="2"/>
        <v>0</v>
      </c>
    </row>
    <row r="137" spans="1:4" ht="18.75" hidden="1" x14ac:dyDescent="0.25">
      <c r="A137" s="12" t="s">
        <v>126</v>
      </c>
      <c r="B137" s="16"/>
      <c r="C137" s="16"/>
      <c r="D137" s="7">
        <f t="shared" si="2"/>
        <v>0</v>
      </c>
    </row>
    <row r="138" spans="1:4" ht="18.75" hidden="1" x14ac:dyDescent="0.25">
      <c r="A138" s="12" t="s">
        <v>128</v>
      </c>
      <c r="B138" s="16"/>
      <c r="C138" s="16"/>
      <c r="D138" s="7">
        <f t="shared" si="2"/>
        <v>0</v>
      </c>
    </row>
    <row r="139" spans="1:4" ht="18.75" hidden="1" x14ac:dyDescent="0.25">
      <c r="A139" s="12" t="s">
        <v>129</v>
      </c>
      <c r="B139" s="27"/>
      <c r="C139" s="27"/>
      <c r="D139" s="7">
        <f t="shared" si="2"/>
        <v>0</v>
      </c>
    </row>
    <row r="140" spans="1:4" ht="18.75" hidden="1" x14ac:dyDescent="0.25">
      <c r="A140" s="28" t="s">
        <v>130</v>
      </c>
      <c r="B140" s="7"/>
      <c r="C140" s="7"/>
      <c r="D140" s="7">
        <f t="shared" si="2"/>
        <v>0</v>
      </c>
    </row>
    <row r="141" spans="1:4" ht="18.75" hidden="1" x14ac:dyDescent="0.25">
      <c r="A141" s="12" t="s">
        <v>131</v>
      </c>
      <c r="B141" s="16"/>
      <c r="C141" s="16"/>
      <c r="D141" s="7">
        <f t="shared" si="2"/>
        <v>0</v>
      </c>
    </row>
    <row r="142" spans="1:4" ht="18.75" hidden="1" x14ac:dyDescent="0.25">
      <c r="A142" s="9" t="s">
        <v>132</v>
      </c>
      <c r="B142" s="7"/>
      <c r="C142" s="7"/>
      <c r="D142" s="7">
        <f t="shared" si="2"/>
        <v>0</v>
      </c>
    </row>
    <row r="143" spans="1:4" ht="18.75" hidden="1" x14ac:dyDescent="0.25">
      <c r="A143" s="9" t="s">
        <v>133</v>
      </c>
      <c r="B143" s="7"/>
      <c r="C143" s="7"/>
      <c r="D143" s="7">
        <f t="shared" si="2"/>
        <v>0</v>
      </c>
    </row>
    <row r="144" spans="1:4" ht="18.75" hidden="1" x14ac:dyDescent="0.25">
      <c r="A144" s="9" t="s">
        <v>134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135</v>
      </c>
      <c r="B145" s="7"/>
      <c r="C145" s="7"/>
      <c r="D145" s="7">
        <f t="shared" si="2"/>
        <v>0</v>
      </c>
    </row>
    <row r="146" spans="1:4" ht="18.75" hidden="1" x14ac:dyDescent="0.25">
      <c r="A146" s="17" t="s">
        <v>136</v>
      </c>
      <c r="B146" s="7"/>
      <c r="C146" s="7"/>
      <c r="D146" s="7">
        <f t="shared" si="2"/>
        <v>0</v>
      </c>
    </row>
    <row r="147" spans="1:4" ht="18.75" hidden="1" x14ac:dyDescent="0.25">
      <c r="A147" s="12" t="s">
        <v>137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138</v>
      </c>
      <c r="B148" s="7"/>
      <c r="C148" s="7"/>
      <c r="D148" s="7">
        <f t="shared" si="2"/>
        <v>0</v>
      </c>
    </row>
    <row r="149" spans="1:4" ht="18.75" hidden="1" x14ac:dyDescent="0.25">
      <c r="A149" s="9" t="s">
        <v>139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140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141</v>
      </c>
      <c r="B151" s="16"/>
      <c r="C151" s="16"/>
      <c r="D151" s="7">
        <f t="shared" si="2"/>
        <v>0</v>
      </c>
    </row>
    <row r="152" spans="1:4" ht="18.75" hidden="1" x14ac:dyDescent="0.25">
      <c r="A152" s="9" t="s">
        <v>142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143</v>
      </c>
      <c r="B153" s="7"/>
      <c r="C153" s="7"/>
      <c r="D153" s="7">
        <f t="shared" si="2"/>
        <v>0</v>
      </c>
    </row>
    <row r="154" spans="1:4" ht="18.75" hidden="1" x14ac:dyDescent="0.25">
      <c r="A154" s="9" t="s">
        <v>144</v>
      </c>
      <c r="B154" s="16"/>
      <c r="C154" s="16"/>
      <c r="D154" s="7">
        <f t="shared" si="2"/>
        <v>0</v>
      </c>
    </row>
    <row r="155" spans="1:4" ht="18.75" hidden="1" x14ac:dyDescent="0.25">
      <c r="A155" s="9" t="s">
        <v>145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146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147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148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149</v>
      </c>
      <c r="B159" s="16"/>
      <c r="C159" s="16"/>
      <c r="D159" s="7">
        <f t="shared" si="2"/>
        <v>0</v>
      </c>
    </row>
    <row r="160" spans="1:4" ht="18.75" hidden="1" x14ac:dyDescent="0.25">
      <c r="A160" s="18" t="s">
        <v>150</v>
      </c>
      <c r="B160" s="16"/>
      <c r="C160" s="16"/>
      <c r="D160" s="7">
        <f t="shared" si="2"/>
        <v>0</v>
      </c>
    </row>
    <row r="161" spans="1:4" ht="18.75" hidden="1" x14ac:dyDescent="0.25">
      <c r="A161" s="9" t="s">
        <v>151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152</v>
      </c>
      <c r="B162" s="7"/>
      <c r="C162" s="7"/>
      <c r="D162" s="7">
        <f t="shared" si="2"/>
        <v>0</v>
      </c>
    </row>
    <row r="163" spans="1:4" ht="18.75" hidden="1" x14ac:dyDescent="0.25">
      <c r="A163" s="9" t="s">
        <v>153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154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155</v>
      </c>
      <c r="B165" s="7"/>
      <c r="C165" s="7"/>
      <c r="D165" s="7">
        <f t="shared" si="2"/>
        <v>0</v>
      </c>
    </row>
    <row r="166" spans="1:4" ht="18.75" hidden="1" x14ac:dyDescent="0.25">
      <c r="A166" s="17" t="s">
        <v>156</v>
      </c>
      <c r="B166" s="7"/>
      <c r="C166" s="7"/>
      <c r="D166" s="7">
        <f t="shared" si="2"/>
        <v>0</v>
      </c>
    </row>
    <row r="167" spans="1:4" ht="18.75" hidden="1" x14ac:dyDescent="0.25">
      <c r="A167" s="9" t="s">
        <v>157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158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159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160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161</v>
      </c>
      <c r="B171" s="16"/>
      <c r="C171" s="16"/>
      <c r="D171" s="7">
        <f t="shared" si="2"/>
        <v>0</v>
      </c>
    </row>
    <row r="172" spans="1:4" ht="18.75" hidden="1" x14ac:dyDescent="0.25">
      <c r="A172" s="9" t="s">
        <v>162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163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164</v>
      </c>
      <c r="B174" s="7"/>
      <c r="C174" s="7"/>
      <c r="D174" s="7">
        <f t="shared" si="2"/>
        <v>0</v>
      </c>
    </row>
    <row r="175" spans="1:4" ht="18.75" hidden="1" x14ac:dyDescent="0.25">
      <c r="A175" s="9" t="s">
        <v>165</v>
      </c>
      <c r="B175" s="7"/>
      <c r="C175" s="7"/>
      <c r="D175" s="7">
        <f t="shared" si="2"/>
        <v>0</v>
      </c>
    </row>
    <row r="176" spans="1:4" ht="18.75" hidden="1" x14ac:dyDescent="0.25">
      <c r="A176" s="17" t="s">
        <v>166</v>
      </c>
      <c r="B176" s="7"/>
      <c r="C176" s="7"/>
      <c r="D176" s="7">
        <f t="shared" si="2"/>
        <v>0</v>
      </c>
    </row>
    <row r="177" spans="1:4" ht="18.75" hidden="1" x14ac:dyDescent="0.25">
      <c r="A177" s="12" t="s">
        <v>167</v>
      </c>
      <c r="B177" s="7"/>
      <c r="C177" s="7"/>
      <c r="D177" s="7">
        <f t="shared" si="2"/>
        <v>0</v>
      </c>
    </row>
    <row r="178" spans="1:4" ht="18.75" x14ac:dyDescent="0.25">
      <c r="A178" s="9" t="s">
        <v>168</v>
      </c>
      <c r="B178" s="7">
        <v>85</v>
      </c>
      <c r="C178" s="46">
        <v>7500</v>
      </c>
      <c r="D178" s="7">
        <f t="shared" si="2"/>
        <v>637500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hidden="1" x14ac:dyDescent="0.25">
      <c r="A180" s="9" t="s">
        <v>170</v>
      </c>
      <c r="B180" s="7"/>
      <c r="C180" s="7"/>
      <c r="D180" s="7">
        <f t="shared" si="2"/>
        <v>0</v>
      </c>
    </row>
    <row r="181" spans="1:4" ht="18.75" hidden="1" x14ac:dyDescent="0.25">
      <c r="A181" s="9" t="s">
        <v>171</v>
      </c>
      <c r="B181" s="7"/>
      <c r="C181" s="7"/>
      <c r="D181" s="7">
        <f t="shared" si="2"/>
        <v>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hidden="1" x14ac:dyDescent="0.25">
      <c r="A184" s="31" t="s">
        <v>174</v>
      </c>
      <c r="B184" s="33"/>
      <c r="C184" s="33"/>
      <c r="D184" s="7">
        <f t="shared" si="2"/>
        <v>0</v>
      </c>
    </row>
    <row r="185" spans="1:4" ht="18.75" hidden="1" x14ac:dyDescent="0.25">
      <c r="A185" s="11" t="s">
        <v>175</v>
      </c>
      <c r="B185" s="7"/>
      <c r="C185" s="7"/>
      <c r="D185" s="7">
        <f t="shared" si="2"/>
        <v>0</v>
      </c>
    </row>
    <row r="186" spans="1:4" ht="18.75" hidden="1" x14ac:dyDescent="0.25">
      <c r="A186" s="9" t="s">
        <v>176</v>
      </c>
      <c r="B186" s="7"/>
      <c r="C186" s="7"/>
      <c r="D186" s="7">
        <f t="shared" si="2"/>
        <v>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x14ac:dyDescent="0.25">
      <c r="A193" s="12" t="s">
        <v>183</v>
      </c>
      <c r="B193" s="7">
        <f>-500+210+1200</f>
        <v>910</v>
      </c>
      <c r="C193" s="7">
        <v>9000</v>
      </c>
      <c r="D193" s="7">
        <f t="shared" si="2"/>
        <v>8190000</v>
      </c>
    </row>
    <row r="194" spans="1:4" ht="18.75" x14ac:dyDescent="0.25">
      <c r="A194" s="9" t="s">
        <v>184</v>
      </c>
      <c r="B194" s="7">
        <v>300</v>
      </c>
      <c r="C194" s="7">
        <v>2100</v>
      </c>
      <c r="D194" s="7">
        <f t="shared" si="2"/>
        <v>630000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187</v>
      </c>
      <c r="B197" s="7"/>
      <c r="C197" s="7"/>
      <c r="D197" s="7">
        <f t="shared" si="3"/>
        <v>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hidden="1" x14ac:dyDescent="0.25">
      <c r="A199" s="17" t="s">
        <v>189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hidden="1" x14ac:dyDescent="0.25">
      <c r="A204" s="9" t="s">
        <v>194</v>
      </c>
      <c r="B204" s="7"/>
      <c r="C204" s="7"/>
      <c r="D204" s="7">
        <f t="shared" si="3"/>
        <v>0</v>
      </c>
    </row>
    <row r="205" spans="1:4" ht="18.75" hidden="1" x14ac:dyDescent="0.25">
      <c r="A205" s="34" t="s">
        <v>195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196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197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198</v>
      </c>
      <c r="B208" s="7"/>
      <c r="C208" s="7"/>
      <c r="D208" s="7">
        <f t="shared" si="3"/>
        <v>0</v>
      </c>
    </row>
    <row r="209" spans="1:4" ht="18.75" hidden="1" x14ac:dyDescent="0.25">
      <c r="A209" s="9" t="s">
        <v>199</v>
      </c>
      <c r="B209" s="7"/>
      <c r="C209" s="7"/>
      <c r="D209" s="7">
        <f t="shared" si="3"/>
        <v>0</v>
      </c>
    </row>
    <row r="210" spans="1:4" ht="18.75" hidden="1" x14ac:dyDescent="0.25">
      <c r="A210" s="35" t="s">
        <v>200</v>
      </c>
      <c r="B210" s="7"/>
      <c r="C210" s="7"/>
      <c r="D210" s="7">
        <f t="shared" si="3"/>
        <v>0</v>
      </c>
    </row>
    <row r="211" spans="1:4" ht="18.75" x14ac:dyDescent="0.25">
      <c r="A211" s="9" t="s">
        <v>201</v>
      </c>
      <c r="B211" s="7">
        <f>440+120</f>
        <v>560</v>
      </c>
      <c r="C211" s="7">
        <v>22000</v>
      </c>
      <c r="D211" s="7">
        <f t="shared" si="3"/>
        <v>12320000</v>
      </c>
    </row>
    <row r="212" spans="1:4" ht="18.75" x14ac:dyDescent="0.25">
      <c r="A212" s="12" t="s">
        <v>202</v>
      </c>
      <c r="B212" s="7">
        <f>250+200+120</f>
        <v>570</v>
      </c>
      <c r="C212" s="7">
        <v>22000</v>
      </c>
      <c r="D212" s="7">
        <f t="shared" si="3"/>
        <v>12540000</v>
      </c>
    </row>
    <row r="213" spans="1:4" ht="18.75" hidden="1" x14ac:dyDescent="0.25">
      <c r="A213" s="9" t="s">
        <v>203</v>
      </c>
      <c r="B213" s="7"/>
      <c r="C213" s="7"/>
      <c r="D213" s="7">
        <f t="shared" si="3"/>
        <v>0</v>
      </c>
    </row>
    <row r="214" spans="1:4" ht="18.75" x14ac:dyDescent="0.25">
      <c r="A214" s="9" t="s">
        <v>204</v>
      </c>
      <c r="B214" s="7">
        <f>-400+180+120+80+20+30+190</f>
        <v>220</v>
      </c>
      <c r="C214" s="7">
        <v>19000</v>
      </c>
      <c r="D214" s="7">
        <f t="shared" si="3"/>
        <v>4180000</v>
      </c>
    </row>
    <row r="215" spans="1:4" ht="18.75" hidden="1" x14ac:dyDescent="0.25">
      <c r="A215" s="36" t="s">
        <v>205</v>
      </c>
      <c r="B215" s="7"/>
      <c r="C215" s="7"/>
      <c r="D215" s="7">
        <f t="shared" si="3"/>
        <v>0</v>
      </c>
    </row>
    <row r="216" spans="1:4" ht="18.75" hidden="1" x14ac:dyDescent="0.25">
      <c r="A216" s="36" t="s">
        <v>206</v>
      </c>
      <c r="B216" s="7"/>
      <c r="C216" s="7"/>
      <c r="D216" s="7">
        <f t="shared" si="3"/>
        <v>0</v>
      </c>
    </row>
    <row r="217" spans="1:4" ht="18.75" hidden="1" x14ac:dyDescent="0.25">
      <c r="A217" s="9" t="s">
        <v>207</v>
      </c>
      <c r="B217" s="7"/>
      <c r="C217" s="7"/>
      <c r="D217" s="7">
        <f t="shared" si="3"/>
        <v>0</v>
      </c>
    </row>
    <row r="218" spans="1:4" ht="18.75" hidden="1" x14ac:dyDescent="0.25">
      <c r="A218" s="11" t="s">
        <v>208</v>
      </c>
      <c r="B218" s="7"/>
      <c r="C218" s="7"/>
      <c r="D218" s="7">
        <f t="shared" si="3"/>
        <v>0</v>
      </c>
    </row>
    <row r="219" spans="1:4" ht="18.75" hidden="1" x14ac:dyDescent="0.25">
      <c r="A219" s="9" t="s">
        <v>209</v>
      </c>
      <c r="B219" s="7"/>
      <c r="C219" s="7"/>
      <c r="D219" s="7">
        <f t="shared" si="3"/>
        <v>0</v>
      </c>
    </row>
    <row r="220" spans="1:4" ht="18.75" x14ac:dyDescent="0.25">
      <c r="A220" s="9" t="s">
        <v>210</v>
      </c>
      <c r="B220" s="7">
        <v>10</v>
      </c>
      <c r="C220" s="7">
        <v>12000</v>
      </c>
      <c r="D220" s="7">
        <f t="shared" si="3"/>
        <v>120000</v>
      </c>
    </row>
    <row r="221" spans="1:4" ht="18.75" hidden="1" x14ac:dyDescent="0.25">
      <c r="A221" s="9" t="s">
        <v>211</v>
      </c>
      <c r="B221" s="7"/>
      <c r="C221" s="7"/>
      <c r="D221" s="7">
        <f t="shared" si="3"/>
        <v>0</v>
      </c>
    </row>
    <row r="222" spans="1:4" ht="18.75" hidden="1" x14ac:dyDescent="0.25">
      <c r="A222" s="9" t="s">
        <v>212</v>
      </c>
      <c r="B222" s="7"/>
      <c r="C222" s="7"/>
      <c r="D222" s="7">
        <f t="shared" si="3"/>
        <v>0</v>
      </c>
    </row>
    <row r="223" spans="1:4" ht="18.75" hidden="1" x14ac:dyDescent="0.25">
      <c r="A223" s="37" t="s">
        <v>213</v>
      </c>
      <c r="B223" s="7"/>
      <c r="C223" s="7"/>
      <c r="D223" s="7">
        <f t="shared" si="3"/>
        <v>0</v>
      </c>
    </row>
    <row r="224" spans="1:4" ht="18.75" hidden="1" x14ac:dyDescent="0.25">
      <c r="A224" s="9" t="s">
        <v>214</v>
      </c>
      <c r="B224" s="7"/>
      <c r="C224" s="7"/>
      <c r="D224" s="7">
        <f t="shared" si="3"/>
        <v>0</v>
      </c>
    </row>
    <row r="225" spans="1:4" ht="18.75" x14ac:dyDescent="0.25">
      <c r="A225" s="9" t="s">
        <v>215</v>
      </c>
      <c r="B225" s="7">
        <f>-300+300+50+140</f>
        <v>190</v>
      </c>
      <c r="C225" s="7">
        <v>15000</v>
      </c>
      <c r="D225" s="7">
        <f t="shared" si="3"/>
        <v>2850000</v>
      </c>
    </row>
    <row r="226" spans="1:4" ht="18.75" hidden="1" x14ac:dyDescent="0.25">
      <c r="A226" s="9" t="s">
        <v>216</v>
      </c>
      <c r="B226" s="7"/>
      <c r="C226" s="7"/>
      <c r="D226" s="7">
        <f t="shared" si="3"/>
        <v>0</v>
      </c>
    </row>
    <row r="227" spans="1:4" ht="18.75" hidden="1" x14ac:dyDescent="0.25">
      <c r="A227" s="9" t="s">
        <v>217</v>
      </c>
      <c r="B227" s="7"/>
      <c r="C227" s="7"/>
      <c r="D227" s="7">
        <f t="shared" si="3"/>
        <v>0</v>
      </c>
    </row>
    <row r="228" spans="1:4" ht="18.75" hidden="1" x14ac:dyDescent="0.25">
      <c r="A228" s="17" t="s">
        <v>218</v>
      </c>
      <c r="B228" s="7"/>
      <c r="C228" s="7"/>
      <c r="D228" s="7">
        <f t="shared" si="3"/>
        <v>0</v>
      </c>
    </row>
    <row r="229" spans="1:4" ht="18.75" hidden="1" x14ac:dyDescent="0.25">
      <c r="A229" s="17" t="s">
        <v>219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220</v>
      </c>
      <c r="B230" s="7"/>
      <c r="C230" s="7"/>
      <c r="D230" s="7">
        <f t="shared" si="3"/>
        <v>0</v>
      </c>
    </row>
    <row r="231" spans="1:4" ht="18.75" hidden="1" x14ac:dyDescent="0.25">
      <c r="A231" s="17" t="s">
        <v>221</v>
      </c>
      <c r="B231" s="7"/>
      <c r="C231" s="7"/>
      <c r="D231" s="7">
        <f t="shared" si="3"/>
        <v>0</v>
      </c>
    </row>
    <row r="232" spans="1:4" ht="18.75" hidden="1" x14ac:dyDescent="0.25">
      <c r="A232" s="9" t="s">
        <v>222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223</v>
      </c>
      <c r="B233" s="7"/>
      <c r="C233" s="7"/>
      <c r="D233" s="7">
        <f t="shared" si="3"/>
        <v>0</v>
      </c>
    </row>
    <row r="234" spans="1:4" ht="18.75" hidden="1" x14ac:dyDescent="0.25">
      <c r="A234" s="17" t="s">
        <v>224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225</v>
      </c>
      <c r="B235" s="7"/>
      <c r="C235" s="7"/>
      <c r="D235" s="7">
        <f t="shared" si="3"/>
        <v>0</v>
      </c>
    </row>
    <row r="236" spans="1:4" ht="18.75" hidden="1" x14ac:dyDescent="0.25">
      <c r="A236" s="11" t="s">
        <v>226</v>
      </c>
      <c r="B236" s="7"/>
      <c r="C236" s="7"/>
      <c r="D236" s="7">
        <f t="shared" si="3"/>
        <v>0</v>
      </c>
    </row>
    <row r="237" spans="1:4" ht="18.75" hidden="1" x14ac:dyDescent="0.25">
      <c r="A237" s="12" t="s">
        <v>227</v>
      </c>
      <c r="B237" s="7"/>
      <c r="C237" s="7"/>
      <c r="D237" s="7">
        <f t="shared" si="3"/>
        <v>0</v>
      </c>
    </row>
    <row r="238" spans="1:4" ht="18.75" hidden="1" x14ac:dyDescent="0.25">
      <c r="A238" s="11" t="s">
        <v>228</v>
      </c>
      <c r="B238" s="7"/>
      <c r="C238" s="7"/>
      <c r="D238" s="7">
        <f t="shared" si="3"/>
        <v>0</v>
      </c>
    </row>
    <row r="239" spans="1:4" ht="18.75" hidden="1" x14ac:dyDescent="0.25">
      <c r="A239" s="17" t="s">
        <v>229</v>
      </c>
      <c r="B239" s="7"/>
      <c r="C239" s="7"/>
      <c r="D239" s="7">
        <f t="shared" si="3"/>
        <v>0</v>
      </c>
    </row>
    <row r="240" spans="1:4" ht="18.75" hidden="1" x14ac:dyDescent="0.25">
      <c r="A240" s="11" t="s">
        <v>230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231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232</v>
      </c>
      <c r="B242" s="7"/>
      <c r="C242" s="7"/>
      <c r="D242" s="7">
        <f t="shared" si="3"/>
        <v>0</v>
      </c>
    </row>
    <row r="243" spans="1:4" ht="18.75" hidden="1" x14ac:dyDescent="0.25">
      <c r="A243" s="9" t="s">
        <v>233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234</v>
      </c>
      <c r="B244" s="7"/>
      <c r="C244" s="7"/>
      <c r="D244" s="7">
        <f t="shared" si="3"/>
        <v>0</v>
      </c>
    </row>
    <row r="245" spans="1:4" ht="18.75" hidden="1" x14ac:dyDescent="0.25">
      <c r="A245" s="11" t="s">
        <v>235</v>
      </c>
      <c r="B245" s="7"/>
      <c r="C245" s="7"/>
      <c r="D245" s="7">
        <f t="shared" si="3"/>
        <v>0</v>
      </c>
    </row>
    <row r="246" spans="1:4" ht="18.75" hidden="1" x14ac:dyDescent="0.25">
      <c r="A246" s="36" t="s">
        <v>236</v>
      </c>
      <c r="B246" s="7"/>
      <c r="C246" s="7"/>
      <c r="D246" s="7">
        <f t="shared" si="3"/>
        <v>0</v>
      </c>
    </row>
    <row r="247" spans="1:4" ht="18.75" hidden="1" x14ac:dyDescent="0.25">
      <c r="A247" s="9" t="s">
        <v>237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238</v>
      </c>
      <c r="B248" s="7"/>
      <c r="C248" s="7"/>
      <c r="D248" s="7">
        <f t="shared" si="3"/>
        <v>0</v>
      </c>
    </row>
    <row r="249" spans="1:4" ht="18.75" hidden="1" x14ac:dyDescent="0.25">
      <c r="A249" s="13" t="s">
        <v>239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240</v>
      </c>
      <c r="B250" s="7"/>
      <c r="C250" s="7"/>
      <c r="D250" s="7">
        <f t="shared" si="3"/>
        <v>0</v>
      </c>
    </row>
    <row r="251" spans="1:4" ht="18.75" hidden="1" x14ac:dyDescent="0.25">
      <c r="A251" s="34" t="s">
        <v>241</v>
      </c>
      <c r="B251" s="7"/>
      <c r="C251" s="7"/>
      <c r="D251" s="7">
        <f t="shared" si="3"/>
        <v>0</v>
      </c>
    </row>
    <row r="252" spans="1:4" ht="18.75" hidden="1" x14ac:dyDescent="0.25">
      <c r="A252" s="9" t="s">
        <v>242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243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244</v>
      </c>
      <c r="B254" s="16"/>
      <c r="C254" s="16"/>
      <c r="D254" s="7">
        <f t="shared" si="3"/>
        <v>0</v>
      </c>
    </row>
    <row r="255" spans="1:4" ht="18.75" hidden="1" x14ac:dyDescent="0.25">
      <c r="A255" s="34" t="s">
        <v>245</v>
      </c>
      <c r="B255" s="7"/>
      <c r="C255" s="7"/>
      <c r="D255" s="7">
        <f t="shared" si="3"/>
        <v>0</v>
      </c>
    </row>
    <row r="256" spans="1:4" ht="18.75" hidden="1" x14ac:dyDescent="0.25">
      <c r="A256" s="9" t="s">
        <v>246</v>
      </c>
      <c r="B256" s="16"/>
      <c r="C256" s="16"/>
      <c r="D256" s="7">
        <f t="shared" si="3"/>
        <v>0</v>
      </c>
    </row>
    <row r="257" spans="1:4" ht="18.75" x14ac:dyDescent="0.25">
      <c r="A257" s="9" t="s">
        <v>247</v>
      </c>
      <c r="B257" s="7">
        <v>3</v>
      </c>
      <c r="C257" s="7">
        <v>14000</v>
      </c>
      <c r="D257" s="7">
        <f t="shared" si="3"/>
        <v>42000</v>
      </c>
    </row>
    <row r="258" spans="1:4" ht="18.75" hidden="1" x14ac:dyDescent="0.25">
      <c r="A258" s="11" t="s">
        <v>248</v>
      </c>
      <c r="B258" s="7"/>
      <c r="C258" s="7"/>
      <c r="D258" s="7">
        <f t="shared" si="3"/>
        <v>0</v>
      </c>
    </row>
    <row r="259" spans="1:4" ht="18.75" hidden="1" x14ac:dyDescent="0.25">
      <c r="A259" s="11" t="s">
        <v>249</v>
      </c>
      <c r="B259" s="7"/>
      <c r="C259" s="7"/>
      <c r="D259" s="7">
        <f t="shared" si="3"/>
        <v>0</v>
      </c>
    </row>
    <row r="260" spans="1:4" ht="18.75" x14ac:dyDescent="0.25">
      <c r="A260" s="9" t="s">
        <v>250</v>
      </c>
      <c r="B260" s="7">
        <f>-20+110+41+41+24</f>
        <v>196</v>
      </c>
      <c r="C260" s="7">
        <v>23000</v>
      </c>
      <c r="D260" s="7">
        <f t="shared" ref="D260:D323" si="4">B260*C260</f>
        <v>4508000</v>
      </c>
    </row>
    <row r="261" spans="1:4" ht="18.75" hidden="1" x14ac:dyDescent="0.25">
      <c r="A261" s="9" t="s">
        <v>251</v>
      </c>
      <c r="B261" s="7"/>
      <c r="C261" s="7"/>
      <c r="D261" s="7">
        <f t="shared" si="4"/>
        <v>0</v>
      </c>
    </row>
    <row r="262" spans="1:4" ht="18.75" hidden="1" x14ac:dyDescent="0.25">
      <c r="A262" s="9" t="s">
        <v>252</v>
      </c>
      <c r="B262" s="7"/>
      <c r="C262" s="7"/>
      <c r="D262" s="7">
        <f t="shared" si="4"/>
        <v>0</v>
      </c>
    </row>
    <row r="263" spans="1:4" ht="18.75" x14ac:dyDescent="0.25">
      <c r="A263" s="9" t="s">
        <v>253</v>
      </c>
      <c r="B263" s="7">
        <v>10</v>
      </c>
      <c r="C263" s="7">
        <v>9000</v>
      </c>
      <c r="D263" s="7">
        <f t="shared" si="4"/>
        <v>90000</v>
      </c>
    </row>
    <row r="264" spans="1:4" ht="18.75" hidden="1" x14ac:dyDescent="0.25">
      <c r="A264" s="9" t="s">
        <v>254</v>
      </c>
      <c r="B264" s="7"/>
      <c r="C264" s="7"/>
      <c r="D264" s="7">
        <f t="shared" si="4"/>
        <v>0</v>
      </c>
    </row>
    <row r="265" spans="1:4" ht="18.75" hidden="1" x14ac:dyDescent="0.25">
      <c r="A265" s="17" t="s">
        <v>255</v>
      </c>
      <c r="B265" s="7"/>
      <c r="C265" s="7"/>
      <c r="D265" s="7">
        <f t="shared" si="4"/>
        <v>0</v>
      </c>
    </row>
    <row r="266" spans="1:4" ht="18.75" hidden="1" x14ac:dyDescent="0.25">
      <c r="A266" s="21" t="s">
        <v>256</v>
      </c>
      <c r="B266" s="7"/>
      <c r="C266" s="7"/>
      <c r="D266" s="7">
        <f t="shared" si="4"/>
        <v>0</v>
      </c>
    </row>
    <row r="267" spans="1:4" ht="18.75" x14ac:dyDescent="0.25">
      <c r="A267" s="9" t="s">
        <v>258</v>
      </c>
      <c r="B267" s="7">
        <f>-20+20+35+28</f>
        <v>63</v>
      </c>
      <c r="C267" s="7">
        <v>20000</v>
      </c>
      <c r="D267" s="7">
        <f t="shared" si="4"/>
        <v>1260000</v>
      </c>
    </row>
    <row r="268" spans="1:4" ht="18.75" x14ac:dyDescent="0.25">
      <c r="A268" s="9" t="s">
        <v>259</v>
      </c>
      <c r="B268" s="7">
        <v>30</v>
      </c>
      <c r="C268" s="7">
        <v>15000</v>
      </c>
      <c r="D268" s="7">
        <f t="shared" si="4"/>
        <v>450000</v>
      </c>
    </row>
    <row r="269" spans="1:4" ht="18.75" hidden="1" x14ac:dyDescent="0.25">
      <c r="A269" s="9" t="s">
        <v>260</v>
      </c>
      <c r="B269" s="7"/>
      <c r="C269" s="7"/>
      <c r="D269" s="7">
        <f t="shared" si="4"/>
        <v>0</v>
      </c>
    </row>
    <row r="270" spans="1:4" ht="18.75" hidden="1" x14ac:dyDescent="0.25">
      <c r="A270" s="9" t="s">
        <v>261</v>
      </c>
      <c r="B270" s="7"/>
      <c r="C270" s="7"/>
      <c r="D270" s="7">
        <f t="shared" si="4"/>
        <v>0</v>
      </c>
    </row>
    <row r="271" spans="1:4" ht="18.75" x14ac:dyDescent="0.25">
      <c r="A271" s="9" t="s">
        <v>262</v>
      </c>
      <c r="B271" s="7">
        <f>-20+15+60</f>
        <v>55</v>
      </c>
      <c r="C271" s="7">
        <v>20000</v>
      </c>
      <c r="D271" s="7">
        <f t="shared" si="4"/>
        <v>1100000</v>
      </c>
    </row>
    <row r="272" spans="1:4" ht="18.75" hidden="1" x14ac:dyDescent="0.25">
      <c r="A272" s="9" t="s">
        <v>263</v>
      </c>
      <c r="B272" s="7"/>
      <c r="C272" s="7"/>
      <c r="D272" s="7">
        <f t="shared" si="4"/>
        <v>0</v>
      </c>
    </row>
    <row r="273" spans="1:4" ht="18.75" hidden="1" x14ac:dyDescent="0.25">
      <c r="A273" s="9" t="s">
        <v>264</v>
      </c>
      <c r="B273" s="7"/>
      <c r="C273" s="7"/>
      <c r="D273" s="7">
        <f t="shared" si="4"/>
        <v>0</v>
      </c>
    </row>
    <row r="274" spans="1:4" ht="18.75" hidden="1" x14ac:dyDescent="0.25">
      <c r="A274" s="9" t="s">
        <v>265</v>
      </c>
      <c r="B274" s="16"/>
      <c r="C274" s="16"/>
      <c r="D274" s="7">
        <f t="shared" si="4"/>
        <v>0</v>
      </c>
    </row>
    <row r="275" spans="1:4" ht="18.75" hidden="1" x14ac:dyDescent="0.25">
      <c r="A275" s="13" t="s">
        <v>266</v>
      </c>
      <c r="B275" s="7"/>
      <c r="C275" s="7"/>
      <c r="D275" s="7">
        <f t="shared" si="4"/>
        <v>0</v>
      </c>
    </row>
    <row r="276" spans="1:4" ht="18.75" hidden="1" x14ac:dyDescent="0.25">
      <c r="A276" s="9" t="s">
        <v>267</v>
      </c>
      <c r="B276" s="7"/>
      <c r="C276" s="7"/>
      <c r="D276" s="7">
        <f t="shared" si="4"/>
        <v>0</v>
      </c>
    </row>
    <row r="277" spans="1:4" ht="18.75" x14ac:dyDescent="0.25">
      <c r="A277" s="11" t="s">
        <v>268</v>
      </c>
      <c r="B277" s="7">
        <v>20</v>
      </c>
      <c r="C277" s="7">
        <v>45000</v>
      </c>
      <c r="D277" s="7">
        <f t="shared" si="4"/>
        <v>900000</v>
      </c>
    </row>
    <row r="278" spans="1:4" ht="18.75" x14ac:dyDescent="0.25">
      <c r="A278" s="9" t="s">
        <v>269</v>
      </c>
      <c r="B278" s="7">
        <v>50</v>
      </c>
      <c r="C278" s="7">
        <v>14000</v>
      </c>
      <c r="D278" s="7">
        <f t="shared" si="4"/>
        <v>700000</v>
      </c>
    </row>
    <row r="279" spans="1:4" ht="18.75" hidden="1" x14ac:dyDescent="0.25">
      <c r="A279" s="9" t="s">
        <v>270</v>
      </c>
      <c r="B279" s="7"/>
      <c r="C279" s="7"/>
      <c r="D279" s="7">
        <f t="shared" si="4"/>
        <v>0</v>
      </c>
    </row>
    <row r="280" spans="1:4" ht="18.75" hidden="1" x14ac:dyDescent="0.25">
      <c r="A280" s="9" t="s">
        <v>271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272</v>
      </c>
      <c r="B281" s="7"/>
      <c r="C281" s="7"/>
      <c r="D281" s="7">
        <f t="shared" si="4"/>
        <v>0</v>
      </c>
    </row>
    <row r="282" spans="1:4" ht="18.75" x14ac:dyDescent="0.25">
      <c r="A282" s="9" t="s">
        <v>273</v>
      </c>
      <c r="B282" s="7">
        <v>15</v>
      </c>
      <c r="C282" s="7">
        <v>19000</v>
      </c>
      <c r="D282" s="7">
        <f t="shared" si="4"/>
        <v>285000</v>
      </c>
    </row>
    <row r="283" spans="1:4" ht="18.75" hidden="1" x14ac:dyDescent="0.25">
      <c r="A283" s="9" t="s">
        <v>274</v>
      </c>
      <c r="B283" s="7"/>
      <c r="C283" s="7"/>
      <c r="D283" s="7">
        <f t="shared" si="4"/>
        <v>0</v>
      </c>
    </row>
    <row r="284" spans="1:4" ht="18.75" hidden="1" x14ac:dyDescent="0.25">
      <c r="A284" s="9" t="s">
        <v>275</v>
      </c>
      <c r="B284" s="7"/>
      <c r="C284" s="7"/>
      <c r="D284" s="7">
        <f t="shared" si="4"/>
        <v>0</v>
      </c>
    </row>
    <row r="285" spans="1:4" ht="18.75" hidden="1" x14ac:dyDescent="0.25">
      <c r="A285" s="34" t="s">
        <v>276</v>
      </c>
      <c r="B285" s="7"/>
      <c r="C285" s="7"/>
      <c r="D285" s="7">
        <f t="shared" si="4"/>
        <v>0</v>
      </c>
    </row>
    <row r="286" spans="1:4" ht="18.75" hidden="1" x14ac:dyDescent="0.25">
      <c r="A286" s="9" t="s">
        <v>277</v>
      </c>
      <c r="B286" s="7"/>
      <c r="C286" s="7"/>
      <c r="D286" s="7">
        <f t="shared" si="4"/>
        <v>0</v>
      </c>
    </row>
    <row r="287" spans="1:4" ht="18.75" hidden="1" x14ac:dyDescent="0.25">
      <c r="A287" s="34" t="s">
        <v>278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279</v>
      </c>
      <c r="B288" s="7"/>
      <c r="C288" s="7"/>
      <c r="D288" s="7">
        <f t="shared" si="4"/>
        <v>0</v>
      </c>
    </row>
    <row r="289" spans="1:4" ht="18.75" hidden="1" x14ac:dyDescent="0.25">
      <c r="A289" s="12" t="s">
        <v>280</v>
      </c>
      <c r="B289" s="16"/>
      <c r="C289" s="16"/>
      <c r="D289" s="7">
        <f t="shared" si="4"/>
        <v>0</v>
      </c>
    </row>
    <row r="290" spans="1:4" ht="18.75" hidden="1" x14ac:dyDescent="0.25">
      <c r="A290" s="12" t="s">
        <v>281</v>
      </c>
      <c r="B290" s="7"/>
      <c r="C290" s="7"/>
      <c r="D290" s="7">
        <f t="shared" si="4"/>
        <v>0</v>
      </c>
    </row>
    <row r="291" spans="1:4" ht="18.75" hidden="1" x14ac:dyDescent="0.25">
      <c r="A291" s="11" t="s">
        <v>282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283</v>
      </c>
      <c r="B292" s="7"/>
      <c r="C292" s="7"/>
      <c r="D292" s="7">
        <f t="shared" si="4"/>
        <v>0</v>
      </c>
    </row>
    <row r="293" spans="1:4" ht="18.75" hidden="1" x14ac:dyDescent="0.25">
      <c r="A293" s="17" t="s">
        <v>284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285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286</v>
      </c>
      <c r="B295" s="7"/>
      <c r="C295" s="7"/>
      <c r="D295" s="7">
        <f t="shared" si="4"/>
        <v>0</v>
      </c>
    </row>
    <row r="296" spans="1:4" ht="18.75" x14ac:dyDescent="0.25">
      <c r="A296" s="9" t="s">
        <v>287</v>
      </c>
      <c r="B296" s="7">
        <v>30</v>
      </c>
      <c r="C296" s="7">
        <v>11000</v>
      </c>
      <c r="D296" s="7">
        <f t="shared" si="4"/>
        <v>330000</v>
      </c>
    </row>
    <row r="297" spans="1:4" ht="18.75" hidden="1" x14ac:dyDescent="0.25">
      <c r="A297" s="17" t="s">
        <v>288</v>
      </c>
      <c r="B297" s="7"/>
      <c r="C297" s="7"/>
      <c r="D297" s="7">
        <f t="shared" si="4"/>
        <v>0</v>
      </c>
    </row>
    <row r="298" spans="1:4" ht="18.75" hidden="1" x14ac:dyDescent="0.25">
      <c r="A298" s="9" t="s">
        <v>289</v>
      </c>
      <c r="B298" s="7"/>
      <c r="C298" s="7"/>
      <c r="D298" s="7">
        <f t="shared" si="4"/>
        <v>0</v>
      </c>
    </row>
    <row r="299" spans="1:4" ht="18.75" x14ac:dyDescent="0.25">
      <c r="A299" s="9" t="s">
        <v>290</v>
      </c>
      <c r="B299" s="7">
        <v>35</v>
      </c>
      <c r="C299" s="7">
        <v>8000</v>
      </c>
      <c r="D299" s="7">
        <f t="shared" si="4"/>
        <v>280000</v>
      </c>
    </row>
    <row r="300" spans="1:4" ht="18.75" hidden="1" x14ac:dyDescent="0.25">
      <c r="A300" s="17" t="s">
        <v>291</v>
      </c>
      <c r="B300" s="7"/>
      <c r="C300" s="7"/>
      <c r="D300" s="7">
        <f t="shared" si="4"/>
        <v>0</v>
      </c>
    </row>
    <row r="301" spans="1:4" ht="18.75" hidden="1" x14ac:dyDescent="0.25">
      <c r="A301" s="25" t="s">
        <v>292</v>
      </c>
      <c r="B301" s="7"/>
      <c r="C301" s="7"/>
      <c r="D301" s="7">
        <f t="shared" si="4"/>
        <v>0</v>
      </c>
    </row>
    <row r="302" spans="1:4" ht="18.75" hidden="1" x14ac:dyDescent="0.25">
      <c r="A302" s="9" t="s">
        <v>293</v>
      </c>
      <c r="B302" s="7"/>
      <c r="C302" s="7"/>
      <c r="D302" s="7">
        <f t="shared" si="4"/>
        <v>0</v>
      </c>
    </row>
    <row r="303" spans="1:4" ht="18.75" hidden="1" x14ac:dyDescent="0.25">
      <c r="A303" s="13" t="s">
        <v>294</v>
      </c>
      <c r="B303" s="7"/>
      <c r="C303" s="7"/>
      <c r="D303" s="7">
        <f t="shared" si="4"/>
        <v>0</v>
      </c>
    </row>
    <row r="304" spans="1:4" ht="18.75" hidden="1" x14ac:dyDescent="0.25">
      <c r="A304" s="35" t="s">
        <v>385</v>
      </c>
      <c r="B304" s="7"/>
      <c r="C304" s="7"/>
      <c r="D304" s="7">
        <f t="shared" si="4"/>
        <v>0</v>
      </c>
    </row>
    <row r="305" spans="1:4" ht="18.75" hidden="1" x14ac:dyDescent="0.25">
      <c r="A305" s="13" t="s">
        <v>295</v>
      </c>
      <c r="B305" s="7"/>
      <c r="C305" s="7"/>
      <c r="D305" s="7">
        <f t="shared" si="4"/>
        <v>0</v>
      </c>
    </row>
    <row r="306" spans="1:4" ht="18.75" hidden="1" x14ac:dyDescent="0.25">
      <c r="A306" s="21" t="s">
        <v>377</v>
      </c>
      <c r="B306" s="7"/>
      <c r="C306" s="7"/>
      <c r="D306" s="7">
        <f t="shared" si="4"/>
        <v>0</v>
      </c>
    </row>
    <row r="307" spans="1:4" ht="18.75" hidden="1" x14ac:dyDescent="0.25">
      <c r="A307" s="12" t="s">
        <v>296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297</v>
      </c>
      <c r="B308" s="7"/>
      <c r="C308" s="7"/>
      <c r="D308" s="7">
        <f t="shared" si="4"/>
        <v>0</v>
      </c>
    </row>
    <row r="309" spans="1:4" ht="18.75" hidden="1" x14ac:dyDescent="0.25">
      <c r="A309" s="13" t="s">
        <v>298</v>
      </c>
      <c r="B309" s="7"/>
      <c r="C309" s="7"/>
      <c r="D309" s="7">
        <f t="shared" si="4"/>
        <v>0</v>
      </c>
    </row>
    <row r="310" spans="1:4" ht="18.75" hidden="1" x14ac:dyDescent="0.25">
      <c r="A310" s="9" t="s">
        <v>299</v>
      </c>
      <c r="B310" s="7"/>
      <c r="C310" s="7"/>
      <c r="D310" s="7">
        <f t="shared" si="4"/>
        <v>0</v>
      </c>
    </row>
    <row r="311" spans="1:4" ht="18.75" hidden="1" x14ac:dyDescent="0.25">
      <c r="A311" s="17" t="s">
        <v>300</v>
      </c>
      <c r="B311" s="7"/>
      <c r="C311" s="7"/>
      <c r="D311" s="7">
        <f t="shared" si="4"/>
        <v>0</v>
      </c>
    </row>
    <row r="312" spans="1:4" ht="18.75" hidden="1" x14ac:dyDescent="0.25">
      <c r="A312" s="9" t="s">
        <v>301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302</v>
      </c>
      <c r="B313" s="7"/>
      <c r="C313" s="7"/>
      <c r="D313" s="7">
        <f t="shared" si="4"/>
        <v>0</v>
      </c>
    </row>
    <row r="314" spans="1:4" ht="18.75" hidden="1" x14ac:dyDescent="0.25">
      <c r="A314" s="11" t="s">
        <v>303</v>
      </c>
      <c r="B314" s="7"/>
      <c r="C314" s="7"/>
      <c r="D314" s="7">
        <f t="shared" si="4"/>
        <v>0</v>
      </c>
    </row>
    <row r="315" spans="1:4" ht="18.75" hidden="1" x14ac:dyDescent="0.25">
      <c r="A315" s="12" t="s">
        <v>304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305</v>
      </c>
      <c r="B316" s="7"/>
      <c r="C316" s="7"/>
      <c r="D316" s="7">
        <f t="shared" si="4"/>
        <v>0</v>
      </c>
    </row>
    <row r="317" spans="1:4" ht="18.75" hidden="1" x14ac:dyDescent="0.25">
      <c r="A317" s="9" t="s">
        <v>306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307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308</v>
      </c>
      <c r="B319" s="7"/>
      <c r="C319" s="7"/>
      <c r="D319" s="7">
        <f t="shared" si="4"/>
        <v>0</v>
      </c>
    </row>
    <row r="320" spans="1:4" ht="18.75" x14ac:dyDescent="0.25">
      <c r="A320" s="13" t="s">
        <v>309</v>
      </c>
      <c r="B320" s="7">
        <v>19</v>
      </c>
      <c r="C320" s="7">
        <v>16000</v>
      </c>
      <c r="D320" s="7">
        <f t="shared" si="4"/>
        <v>304000</v>
      </c>
    </row>
    <row r="321" spans="1:4" ht="18.75" hidden="1" x14ac:dyDescent="0.25">
      <c r="A321" s="13" t="s">
        <v>310</v>
      </c>
      <c r="B321" s="7"/>
      <c r="C321" s="7"/>
      <c r="D321" s="7">
        <f t="shared" si="4"/>
        <v>0</v>
      </c>
    </row>
    <row r="322" spans="1:4" ht="18.75" hidden="1" x14ac:dyDescent="0.25">
      <c r="A322" s="21" t="s">
        <v>311</v>
      </c>
      <c r="B322" s="7"/>
      <c r="C322" s="7"/>
      <c r="D322" s="7">
        <f t="shared" si="4"/>
        <v>0</v>
      </c>
    </row>
    <row r="323" spans="1:4" ht="18.75" hidden="1" x14ac:dyDescent="0.25">
      <c r="A323" s="13" t="s">
        <v>312</v>
      </c>
      <c r="B323" s="7"/>
      <c r="C323" s="7"/>
      <c r="D323" s="7">
        <f t="shared" si="4"/>
        <v>0</v>
      </c>
    </row>
    <row r="324" spans="1:4" ht="18.75" hidden="1" x14ac:dyDescent="0.25">
      <c r="A324" s="9" t="s">
        <v>313</v>
      </c>
      <c r="B324" s="7"/>
      <c r="C324" s="7"/>
      <c r="D324" s="7">
        <f t="shared" ref="D324:D387" si="5">B324*C324</f>
        <v>0</v>
      </c>
    </row>
    <row r="325" spans="1:4" ht="18.75" x14ac:dyDescent="0.25">
      <c r="A325" s="9" t="s">
        <v>314</v>
      </c>
      <c r="B325" s="7">
        <v>20</v>
      </c>
      <c r="C325" s="7">
        <v>6800</v>
      </c>
      <c r="D325" s="7">
        <f t="shared" si="5"/>
        <v>136000</v>
      </c>
    </row>
    <row r="326" spans="1:4" ht="18.75" hidden="1" x14ac:dyDescent="0.25">
      <c r="A326" s="9" t="s">
        <v>315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316</v>
      </c>
      <c r="B327" s="7"/>
      <c r="C327" s="7"/>
      <c r="D327" s="7">
        <f t="shared" si="5"/>
        <v>0</v>
      </c>
    </row>
    <row r="328" spans="1:4" ht="18.75" hidden="1" x14ac:dyDescent="0.25">
      <c r="A328" s="21" t="s">
        <v>317</v>
      </c>
      <c r="B328" s="7"/>
      <c r="C328" s="7"/>
      <c r="D328" s="7">
        <f t="shared" si="5"/>
        <v>0</v>
      </c>
    </row>
    <row r="329" spans="1:4" ht="18.75" hidden="1" x14ac:dyDescent="0.25">
      <c r="A329" s="9" t="s">
        <v>318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319</v>
      </c>
      <c r="B330" s="7"/>
      <c r="C330" s="7"/>
      <c r="D330" s="7">
        <f t="shared" si="5"/>
        <v>0</v>
      </c>
    </row>
    <row r="331" spans="1:4" ht="18.75" hidden="1" x14ac:dyDescent="0.25">
      <c r="A331" s="12" t="s">
        <v>320</v>
      </c>
      <c r="B331" s="7"/>
      <c r="C331" s="7"/>
      <c r="D331" s="7">
        <f t="shared" si="5"/>
        <v>0</v>
      </c>
    </row>
    <row r="332" spans="1:4" ht="18.75" hidden="1" x14ac:dyDescent="0.25">
      <c r="A332" s="9" t="s">
        <v>321</v>
      </c>
      <c r="B332" s="39"/>
      <c r="C332" s="39"/>
      <c r="D332" s="7">
        <f t="shared" si="5"/>
        <v>0</v>
      </c>
    </row>
    <row r="333" spans="1:4" ht="18.75" hidden="1" x14ac:dyDescent="0.25">
      <c r="A333" s="9" t="s">
        <v>322</v>
      </c>
      <c r="B333" s="7"/>
      <c r="C333" s="7"/>
      <c r="D333" s="7">
        <f t="shared" si="5"/>
        <v>0</v>
      </c>
    </row>
    <row r="334" spans="1:4" ht="18.75" hidden="1" x14ac:dyDescent="0.25">
      <c r="A334" s="9" t="s">
        <v>323</v>
      </c>
      <c r="B334" s="7"/>
      <c r="C334" s="7"/>
      <c r="D334" s="7">
        <f t="shared" si="5"/>
        <v>0</v>
      </c>
    </row>
    <row r="335" spans="1:4" ht="18.75" hidden="1" x14ac:dyDescent="0.25">
      <c r="A335" s="21" t="s">
        <v>324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325</v>
      </c>
      <c r="B336" s="7"/>
      <c r="C336" s="7"/>
      <c r="D336" s="7">
        <f t="shared" si="5"/>
        <v>0</v>
      </c>
    </row>
    <row r="337" spans="1:4" ht="18.75" hidden="1" x14ac:dyDescent="0.25">
      <c r="A337" s="9" t="s">
        <v>326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327</v>
      </c>
      <c r="B338" s="7"/>
      <c r="C338" s="7"/>
      <c r="D338" s="7">
        <f t="shared" si="5"/>
        <v>0</v>
      </c>
    </row>
    <row r="339" spans="1:4" ht="18.75" hidden="1" x14ac:dyDescent="0.25">
      <c r="A339" s="21" t="s">
        <v>328</v>
      </c>
      <c r="B339" s="7"/>
      <c r="C339" s="7"/>
      <c r="D339" s="7">
        <f t="shared" si="5"/>
        <v>0</v>
      </c>
    </row>
    <row r="340" spans="1:4" ht="18.75" hidden="1" x14ac:dyDescent="0.25">
      <c r="A340" s="9" t="s">
        <v>329</v>
      </c>
      <c r="B340" s="7"/>
      <c r="C340" s="7"/>
      <c r="D340" s="7">
        <f t="shared" si="5"/>
        <v>0</v>
      </c>
    </row>
    <row r="341" spans="1:4" ht="18.75" x14ac:dyDescent="0.25">
      <c r="A341" s="9" t="s">
        <v>330</v>
      </c>
      <c r="B341" s="7">
        <v>80</v>
      </c>
      <c r="C341" s="7">
        <v>6800</v>
      </c>
      <c r="D341" s="7">
        <f t="shared" si="5"/>
        <v>544000</v>
      </c>
    </row>
    <row r="342" spans="1:4" ht="18.75" hidden="1" x14ac:dyDescent="0.25">
      <c r="A342" s="9" t="s">
        <v>331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332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333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334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335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336</v>
      </c>
      <c r="B347" s="7"/>
      <c r="C347" s="7"/>
      <c r="D347" s="7">
        <f t="shared" si="5"/>
        <v>0</v>
      </c>
    </row>
    <row r="348" spans="1:4" ht="18.75" hidden="1" x14ac:dyDescent="0.25">
      <c r="A348" s="11" t="s">
        <v>337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338</v>
      </c>
      <c r="B349" s="7"/>
      <c r="C349" s="7"/>
      <c r="D349" s="7">
        <f t="shared" si="5"/>
        <v>0</v>
      </c>
    </row>
    <row r="350" spans="1:4" ht="18.75" x14ac:dyDescent="0.25">
      <c r="A350" s="40"/>
      <c r="B350" s="43">
        <f>SUM(B3:B349)</f>
        <v>4928</v>
      </c>
      <c r="C350" s="43"/>
      <c r="D350" s="7">
        <f>SUM(D12:D341)</f>
        <v>74939600</v>
      </c>
    </row>
    <row r="351" spans="1:4" ht="18.75" hidden="1" x14ac:dyDescent="0.25">
      <c r="D351" s="7">
        <f t="shared" si="5"/>
        <v>0</v>
      </c>
    </row>
    <row r="352" spans="1:4" ht="18.75" x14ac:dyDescent="0.25">
      <c r="A352" s="1" t="s">
        <v>394</v>
      </c>
      <c r="B352" s="2"/>
      <c r="C352" s="2"/>
      <c r="D352" s="7"/>
    </row>
    <row r="353" spans="1:4" ht="25.5" x14ac:dyDescent="0.25">
      <c r="A353" s="88" t="s">
        <v>0</v>
      </c>
      <c r="B353" s="3" t="s">
        <v>1</v>
      </c>
      <c r="C353" s="3" t="s">
        <v>368</v>
      </c>
      <c r="D353" s="7" t="s">
        <v>369</v>
      </c>
    </row>
    <row r="354" spans="1:4" ht="18.75" hidden="1" x14ac:dyDescent="0.25">
      <c r="A354" s="89"/>
      <c r="B354" s="4"/>
      <c r="C354" s="4"/>
      <c r="D354" s="7">
        <f t="shared" si="5"/>
        <v>0</v>
      </c>
    </row>
    <row r="355" spans="1:4" ht="18.75" hidden="1" x14ac:dyDescent="0.25">
      <c r="A355" s="5" t="s">
        <v>2</v>
      </c>
      <c r="B355" s="7"/>
      <c r="C355" s="7"/>
      <c r="D355" s="7">
        <f t="shared" si="5"/>
        <v>0</v>
      </c>
    </row>
    <row r="356" spans="1:4" ht="18.75" hidden="1" x14ac:dyDescent="0.25">
      <c r="A356" s="8" t="s">
        <v>3</v>
      </c>
      <c r="B356" s="7"/>
      <c r="C356" s="7"/>
      <c r="D356" s="7">
        <f t="shared" si="5"/>
        <v>0</v>
      </c>
    </row>
    <row r="357" spans="1:4" ht="18.75" hidden="1" x14ac:dyDescent="0.25">
      <c r="A357" s="5" t="s">
        <v>4</v>
      </c>
      <c r="B357" s="7"/>
      <c r="C357" s="7"/>
      <c r="D357" s="7">
        <f t="shared" si="5"/>
        <v>0</v>
      </c>
    </row>
    <row r="358" spans="1:4" ht="18.75" x14ac:dyDescent="0.25">
      <c r="A358" s="5" t="s">
        <v>5</v>
      </c>
      <c r="B358" s="7">
        <v>140</v>
      </c>
      <c r="C358" s="7">
        <v>7300</v>
      </c>
      <c r="D358" s="7">
        <f t="shared" si="5"/>
        <v>1022000</v>
      </c>
    </row>
    <row r="359" spans="1:4" ht="18.75" hidden="1" x14ac:dyDescent="0.25">
      <c r="A359" s="9" t="s">
        <v>6</v>
      </c>
      <c r="B359" s="7"/>
      <c r="C359" s="7"/>
      <c r="D359" s="7">
        <f t="shared" si="5"/>
        <v>0</v>
      </c>
    </row>
    <row r="360" spans="1:4" ht="18.75" hidden="1" x14ac:dyDescent="0.25">
      <c r="A360" s="10" t="s">
        <v>7</v>
      </c>
      <c r="B360" s="7"/>
      <c r="C360" s="7"/>
      <c r="D360" s="7">
        <f t="shared" si="5"/>
        <v>0</v>
      </c>
    </row>
    <row r="361" spans="1:4" ht="18.75" hidden="1" x14ac:dyDescent="0.25">
      <c r="A361" s="5" t="s">
        <v>8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9</v>
      </c>
      <c r="B362" s="7"/>
      <c r="C362" s="7"/>
      <c r="D362" s="7">
        <f t="shared" si="5"/>
        <v>0</v>
      </c>
    </row>
    <row r="363" spans="1:4" ht="18.75" hidden="1" x14ac:dyDescent="0.25">
      <c r="A363" s="11" t="s">
        <v>339</v>
      </c>
      <c r="B363" s="7"/>
      <c r="C363" s="7"/>
      <c r="D363" s="7">
        <f t="shared" si="5"/>
        <v>0</v>
      </c>
    </row>
    <row r="364" spans="1:4" ht="18.75" hidden="1" x14ac:dyDescent="0.25">
      <c r="A364" s="9" t="s">
        <v>11</v>
      </c>
      <c r="B364" s="7"/>
      <c r="C364" s="7"/>
      <c r="D364" s="7">
        <f t="shared" si="5"/>
        <v>0</v>
      </c>
    </row>
    <row r="365" spans="1:4" ht="18.75" x14ac:dyDescent="0.25">
      <c r="A365" s="9" t="s">
        <v>12</v>
      </c>
      <c r="B365" s="7">
        <v>15</v>
      </c>
      <c r="C365" s="7">
        <v>8000</v>
      </c>
      <c r="D365" s="7">
        <f t="shared" si="5"/>
        <v>120000</v>
      </c>
    </row>
    <row r="366" spans="1:4" ht="18.75" hidden="1" x14ac:dyDescent="0.25">
      <c r="A366" s="12" t="s">
        <v>13</v>
      </c>
      <c r="B366" s="7"/>
      <c r="C366" s="7"/>
      <c r="D366" s="7">
        <f t="shared" si="5"/>
        <v>0</v>
      </c>
    </row>
    <row r="367" spans="1:4" ht="18.75" hidden="1" x14ac:dyDescent="0.25">
      <c r="A367" s="12" t="s">
        <v>14</v>
      </c>
      <c r="B367" s="7"/>
      <c r="C367" s="7"/>
      <c r="D367" s="7">
        <f t="shared" si="5"/>
        <v>0</v>
      </c>
    </row>
    <row r="368" spans="1:4" ht="18.75" hidden="1" x14ac:dyDescent="0.25">
      <c r="A368" s="9" t="s">
        <v>15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16</v>
      </c>
      <c r="B369" s="7"/>
      <c r="C369" s="7"/>
      <c r="D369" s="7">
        <f t="shared" si="5"/>
        <v>0</v>
      </c>
    </row>
    <row r="370" spans="1:4" ht="18.75" hidden="1" x14ac:dyDescent="0.25">
      <c r="A370" s="13" t="s">
        <v>17</v>
      </c>
      <c r="B370" s="7"/>
      <c r="C370" s="7"/>
      <c r="D370" s="7">
        <f t="shared" si="5"/>
        <v>0</v>
      </c>
    </row>
    <row r="371" spans="1:4" ht="18.75" hidden="1" x14ac:dyDescent="0.25">
      <c r="A371" s="11" t="s">
        <v>18</v>
      </c>
      <c r="B371" s="7"/>
      <c r="C371" s="7"/>
      <c r="D371" s="7">
        <f t="shared" si="5"/>
        <v>0</v>
      </c>
    </row>
    <row r="372" spans="1:4" ht="18.75" hidden="1" x14ac:dyDescent="0.25">
      <c r="A372" s="9" t="s">
        <v>19</v>
      </c>
      <c r="B372" s="7"/>
      <c r="C372" s="7"/>
      <c r="D372" s="7">
        <f t="shared" si="5"/>
        <v>0</v>
      </c>
    </row>
    <row r="373" spans="1:4" ht="18.75" hidden="1" x14ac:dyDescent="0.25">
      <c r="A373" s="12" t="s">
        <v>20</v>
      </c>
      <c r="B373" s="7"/>
      <c r="C373" s="7"/>
      <c r="D373" s="7">
        <f t="shared" si="5"/>
        <v>0</v>
      </c>
    </row>
    <row r="374" spans="1:4" ht="18.75" hidden="1" x14ac:dyDescent="0.25">
      <c r="A374" s="12" t="s">
        <v>21</v>
      </c>
      <c r="B374" s="7"/>
      <c r="C374" s="7"/>
      <c r="D374" s="7">
        <f t="shared" si="5"/>
        <v>0</v>
      </c>
    </row>
    <row r="375" spans="1:4" ht="18.75" hidden="1" x14ac:dyDescent="0.25">
      <c r="A375" s="9" t="s">
        <v>22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23</v>
      </c>
      <c r="B376" s="7"/>
      <c r="C376" s="7"/>
      <c r="D376" s="7">
        <f t="shared" si="5"/>
        <v>0</v>
      </c>
    </row>
    <row r="377" spans="1:4" ht="18.75" x14ac:dyDescent="0.25">
      <c r="A377" s="9" t="s">
        <v>24</v>
      </c>
      <c r="B377" s="7">
        <v>30</v>
      </c>
      <c r="C377" s="7">
        <v>15000</v>
      </c>
      <c r="D377" s="7">
        <f t="shared" si="5"/>
        <v>450000</v>
      </c>
    </row>
    <row r="378" spans="1:4" ht="18.75" hidden="1" x14ac:dyDescent="0.25">
      <c r="A378" s="9" t="s">
        <v>25</v>
      </c>
      <c r="B378" s="7"/>
      <c r="C378" s="7"/>
      <c r="D378" s="7">
        <f t="shared" si="5"/>
        <v>0</v>
      </c>
    </row>
    <row r="379" spans="1:4" ht="18.75" hidden="1" x14ac:dyDescent="0.25">
      <c r="A379" s="9" t="s">
        <v>26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27</v>
      </c>
      <c r="B380" s="7"/>
      <c r="C380" s="7"/>
      <c r="D380" s="7">
        <f t="shared" si="5"/>
        <v>0</v>
      </c>
    </row>
    <row r="381" spans="1:4" ht="18.75" hidden="1" x14ac:dyDescent="0.25">
      <c r="A381" s="12" t="s">
        <v>29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37</v>
      </c>
      <c r="B382" s="7"/>
      <c r="C382" s="7"/>
      <c r="D382" s="7">
        <f t="shared" si="5"/>
        <v>0</v>
      </c>
    </row>
    <row r="383" spans="1:4" ht="18.75" hidden="1" x14ac:dyDescent="0.25">
      <c r="A383" s="9" t="s">
        <v>38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39</v>
      </c>
      <c r="B384" s="7"/>
      <c r="C384" s="7"/>
      <c r="D384" s="7">
        <f t="shared" si="5"/>
        <v>0</v>
      </c>
    </row>
    <row r="385" spans="1:4" ht="18.75" hidden="1" x14ac:dyDescent="0.25">
      <c r="A385" s="11" t="s">
        <v>340</v>
      </c>
      <c r="B385" s="16"/>
      <c r="C385" s="16"/>
      <c r="D385" s="7">
        <f t="shared" si="5"/>
        <v>0</v>
      </c>
    </row>
    <row r="386" spans="1:4" ht="18.75" hidden="1" x14ac:dyDescent="0.25">
      <c r="A386" s="11" t="s">
        <v>40</v>
      </c>
      <c r="B386" s="16"/>
      <c r="C386" s="16"/>
      <c r="D386" s="7">
        <f t="shared" si="5"/>
        <v>0</v>
      </c>
    </row>
    <row r="387" spans="1:4" ht="18.75" hidden="1" x14ac:dyDescent="0.25">
      <c r="A387" s="9" t="s">
        <v>41</v>
      </c>
      <c r="B387" s="7"/>
      <c r="C387" s="7"/>
      <c r="D387" s="7">
        <f t="shared" si="5"/>
        <v>0</v>
      </c>
    </row>
    <row r="388" spans="1:4" ht="18.75" hidden="1" x14ac:dyDescent="0.25">
      <c r="A388" s="9" t="s">
        <v>42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17" t="s">
        <v>43</v>
      </c>
      <c r="B389" s="7"/>
      <c r="C389" s="7"/>
      <c r="D389" s="7">
        <f t="shared" si="6"/>
        <v>0</v>
      </c>
    </row>
    <row r="390" spans="1:4" ht="18.75" hidden="1" x14ac:dyDescent="0.25">
      <c r="A390" s="9" t="s">
        <v>44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45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46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47</v>
      </c>
      <c r="B393" s="7"/>
      <c r="C393" s="7"/>
      <c r="D393" s="7">
        <f t="shared" si="6"/>
        <v>0</v>
      </c>
    </row>
    <row r="394" spans="1:4" ht="18.75" hidden="1" x14ac:dyDescent="0.25">
      <c r="A394" s="13" t="s">
        <v>48</v>
      </c>
      <c r="B394" s="7"/>
      <c r="C394" s="7"/>
      <c r="D394" s="7">
        <f t="shared" si="6"/>
        <v>0</v>
      </c>
    </row>
    <row r="395" spans="1:4" ht="18.75" hidden="1" x14ac:dyDescent="0.25">
      <c r="A395" s="11" t="s">
        <v>49</v>
      </c>
      <c r="B395" s="7"/>
      <c r="C395" s="7"/>
      <c r="D395" s="7">
        <f t="shared" si="6"/>
        <v>0</v>
      </c>
    </row>
    <row r="396" spans="1:4" ht="18.75" hidden="1" x14ac:dyDescent="0.25">
      <c r="A396" s="13" t="s">
        <v>50</v>
      </c>
      <c r="B396" s="7"/>
      <c r="C396" s="7"/>
      <c r="D396" s="7">
        <f t="shared" si="6"/>
        <v>0</v>
      </c>
    </row>
    <row r="397" spans="1:4" ht="18.75" hidden="1" x14ac:dyDescent="0.25">
      <c r="A397" s="9" t="s">
        <v>51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52</v>
      </c>
      <c r="B398" s="7"/>
      <c r="C398" s="7"/>
      <c r="D398" s="7">
        <f t="shared" si="6"/>
        <v>0</v>
      </c>
    </row>
    <row r="399" spans="1:4" ht="18.75" x14ac:dyDescent="0.25">
      <c r="A399" s="12" t="s">
        <v>53</v>
      </c>
      <c r="B399" s="7">
        <v>300</v>
      </c>
      <c r="C399" s="7">
        <v>23000</v>
      </c>
      <c r="D399" s="7">
        <f t="shared" si="6"/>
        <v>6900000</v>
      </c>
    </row>
    <row r="400" spans="1:4" ht="18.75" hidden="1" x14ac:dyDescent="0.25">
      <c r="A400" s="18" t="s">
        <v>54</v>
      </c>
      <c r="B400" s="7"/>
      <c r="C400" s="7"/>
      <c r="D400" s="7">
        <f t="shared" si="6"/>
        <v>0</v>
      </c>
    </row>
    <row r="401" spans="1:4" ht="18.75" hidden="1" x14ac:dyDescent="0.25">
      <c r="A401" s="17" t="s">
        <v>55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56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57</v>
      </c>
      <c r="B403" s="7"/>
      <c r="C403" s="7"/>
      <c r="D403" s="7">
        <f t="shared" si="6"/>
        <v>0</v>
      </c>
    </row>
    <row r="404" spans="1:4" ht="18.75" hidden="1" x14ac:dyDescent="0.25">
      <c r="A404" s="9" t="s">
        <v>58</v>
      </c>
      <c r="B404" s="7"/>
      <c r="C404" s="7"/>
      <c r="D404" s="7">
        <f t="shared" si="6"/>
        <v>0</v>
      </c>
    </row>
    <row r="405" spans="1:4" ht="18.75" hidden="1" x14ac:dyDescent="0.25">
      <c r="A405" s="11" t="s">
        <v>59</v>
      </c>
      <c r="B405" s="7"/>
      <c r="C405" s="7"/>
      <c r="D405" s="7">
        <f t="shared" si="6"/>
        <v>0</v>
      </c>
    </row>
    <row r="406" spans="1:4" ht="18.75" hidden="1" x14ac:dyDescent="0.25">
      <c r="A406" s="9" t="s">
        <v>60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61</v>
      </c>
      <c r="B407" s="7"/>
      <c r="C407" s="7"/>
      <c r="D407" s="7">
        <f t="shared" si="6"/>
        <v>0</v>
      </c>
    </row>
    <row r="408" spans="1:4" ht="18.75" hidden="1" x14ac:dyDescent="0.25">
      <c r="A408" s="17" t="s">
        <v>62</v>
      </c>
      <c r="B408" s="7"/>
      <c r="C408" s="7"/>
      <c r="D408" s="7">
        <f t="shared" si="6"/>
        <v>0</v>
      </c>
    </row>
    <row r="409" spans="1:4" ht="18.75" hidden="1" x14ac:dyDescent="0.25">
      <c r="A409" s="9" t="s">
        <v>63</v>
      </c>
      <c r="B409" s="7"/>
      <c r="C409" s="7"/>
      <c r="D409" s="7">
        <f t="shared" si="6"/>
        <v>0</v>
      </c>
    </row>
    <row r="410" spans="1:4" ht="18.75" hidden="1" x14ac:dyDescent="0.25">
      <c r="A410" s="19" t="s">
        <v>64</v>
      </c>
      <c r="B410" s="7"/>
      <c r="C410" s="7"/>
      <c r="D410" s="7">
        <f t="shared" si="6"/>
        <v>0</v>
      </c>
    </row>
    <row r="411" spans="1:4" ht="18.75" hidden="1" x14ac:dyDescent="0.25">
      <c r="A411" s="9" t="s">
        <v>65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66</v>
      </c>
      <c r="B412" s="7"/>
      <c r="C412" s="7"/>
      <c r="D412" s="7">
        <f t="shared" si="6"/>
        <v>0</v>
      </c>
    </row>
    <row r="413" spans="1:4" ht="18.75" hidden="1" x14ac:dyDescent="0.25">
      <c r="A413" s="20" t="s">
        <v>67</v>
      </c>
      <c r="B413" s="7"/>
      <c r="C413" s="7"/>
      <c r="D413" s="7">
        <f t="shared" si="6"/>
        <v>0</v>
      </c>
    </row>
    <row r="414" spans="1:4" ht="18.75" hidden="1" x14ac:dyDescent="0.25">
      <c r="A414" s="42" t="s">
        <v>68</v>
      </c>
      <c r="B414" s="7"/>
      <c r="C414" s="7"/>
      <c r="D414" s="7">
        <f t="shared" si="6"/>
        <v>0</v>
      </c>
    </row>
    <row r="415" spans="1:4" ht="18.75" hidden="1" x14ac:dyDescent="0.25">
      <c r="A415" s="12" t="s">
        <v>69</v>
      </c>
      <c r="B415" s="7"/>
      <c r="C415" s="7"/>
      <c r="D415" s="7">
        <f t="shared" si="6"/>
        <v>0</v>
      </c>
    </row>
    <row r="416" spans="1:4" ht="18.75" hidden="1" x14ac:dyDescent="0.25">
      <c r="A416" s="11" t="s">
        <v>70</v>
      </c>
      <c r="B416" s="7"/>
      <c r="C416" s="7"/>
      <c r="D416" s="7">
        <f t="shared" si="6"/>
        <v>0</v>
      </c>
    </row>
    <row r="417" spans="1:4" ht="18.75" hidden="1" x14ac:dyDescent="0.25">
      <c r="A417" s="12" t="s">
        <v>71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72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73</v>
      </c>
      <c r="B419" s="7"/>
      <c r="C419" s="7"/>
      <c r="D419" s="7">
        <f t="shared" si="6"/>
        <v>0</v>
      </c>
    </row>
    <row r="420" spans="1:4" ht="18.75" hidden="1" x14ac:dyDescent="0.25">
      <c r="A420" s="20" t="s">
        <v>74</v>
      </c>
      <c r="B420" s="7"/>
      <c r="C420" s="7"/>
      <c r="D420" s="7">
        <f t="shared" si="6"/>
        <v>0</v>
      </c>
    </row>
    <row r="421" spans="1:4" ht="18.75" hidden="1" x14ac:dyDescent="0.25">
      <c r="A421" s="9" t="s">
        <v>75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76</v>
      </c>
      <c r="B422" s="7"/>
      <c r="C422" s="7"/>
      <c r="D422" s="7">
        <f t="shared" si="6"/>
        <v>0</v>
      </c>
    </row>
    <row r="423" spans="1:4" ht="18.75" hidden="1" x14ac:dyDescent="0.25">
      <c r="A423" s="12" t="s">
        <v>341</v>
      </c>
      <c r="B423" s="7"/>
      <c r="C423" s="7"/>
      <c r="D423" s="7">
        <f t="shared" si="6"/>
        <v>0</v>
      </c>
    </row>
    <row r="424" spans="1:4" ht="18.75" x14ac:dyDescent="0.25">
      <c r="A424" s="9" t="s">
        <v>77</v>
      </c>
      <c r="B424" s="7">
        <v>100</v>
      </c>
      <c r="C424" s="7">
        <v>26000</v>
      </c>
      <c r="D424" s="7">
        <f t="shared" si="6"/>
        <v>2600000</v>
      </c>
    </row>
    <row r="425" spans="1:4" ht="18.75" hidden="1" x14ac:dyDescent="0.25">
      <c r="A425" s="13" t="s">
        <v>78</v>
      </c>
      <c r="B425" s="7"/>
      <c r="C425" s="7"/>
      <c r="D425" s="7">
        <f t="shared" si="6"/>
        <v>0</v>
      </c>
    </row>
    <row r="426" spans="1:4" ht="18.75" hidden="1" x14ac:dyDescent="0.25">
      <c r="A426" s="9" t="s">
        <v>79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80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81</v>
      </c>
      <c r="B428" s="7"/>
      <c r="C428" s="7"/>
      <c r="D428" s="7">
        <f t="shared" si="6"/>
        <v>0</v>
      </c>
    </row>
    <row r="429" spans="1:4" ht="18.75" hidden="1" x14ac:dyDescent="0.25">
      <c r="A429" s="12" t="s">
        <v>82</v>
      </c>
      <c r="B429" s="16"/>
      <c r="C429" s="16"/>
      <c r="D429" s="7">
        <f t="shared" si="6"/>
        <v>0</v>
      </c>
    </row>
    <row r="430" spans="1:4" ht="18.75" hidden="1" x14ac:dyDescent="0.25">
      <c r="A430" s="12" t="s">
        <v>83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84</v>
      </c>
      <c r="B431" s="16"/>
      <c r="C431" s="16"/>
      <c r="D431" s="7">
        <f t="shared" si="6"/>
        <v>0</v>
      </c>
    </row>
    <row r="432" spans="1:4" ht="18.75" hidden="1" x14ac:dyDescent="0.25">
      <c r="A432" s="9" t="s">
        <v>85</v>
      </c>
      <c r="B432" s="7"/>
      <c r="C432" s="7"/>
      <c r="D432" s="7">
        <f t="shared" si="6"/>
        <v>0</v>
      </c>
    </row>
    <row r="433" spans="1:4" ht="18.75" hidden="1" x14ac:dyDescent="0.25">
      <c r="A433" s="9" t="s">
        <v>86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87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88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89</v>
      </c>
      <c r="B436" s="7"/>
      <c r="C436" s="7"/>
      <c r="D436" s="7">
        <f t="shared" si="6"/>
        <v>0</v>
      </c>
    </row>
    <row r="437" spans="1:4" ht="18.75" x14ac:dyDescent="0.25">
      <c r="A437" s="9" t="s">
        <v>90</v>
      </c>
      <c r="B437" s="7">
        <v>30</v>
      </c>
      <c r="C437" s="7">
        <v>9000</v>
      </c>
      <c r="D437" s="7">
        <f t="shared" si="6"/>
        <v>270000</v>
      </c>
    </row>
    <row r="438" spans="1:4" ht="18.75" hidden="1" x14ac:dyDescent="0.25">
      <c r="A438" s="21" t="s">
        <v>91</v>
      </c>
      <c r="B438" s="7"/>
      <c r="C438" s="7"/>
      <c r="D438" s="7">
        <f t="shared" si="6"/>
        <v>0</v>
      </c>
    </row>
    <row r="439" spans="1:4" ht="18.75" hidden="1" x14ac:dyDescent="0.25">
      <c r="A439" s="21" t="s">
        <v>92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93</v>
      </c>
      <c r="B440" s="7"/>
      <c r="C440" s="7"/>
      <c r="D440" s="7">
        <f t="shared" si="6"/>
        <v>0</v>
      </c>
    </row>
    <row r="441" spans="1:4" ht="18.75" hidden="1" x14ac:dyDescent="0.25">
      <c r="A441" s="11" t="s">
        <v>94</v>
      </c>
      <c r="B441" s="7"/>
      <c r="C441" s="7"/>
      <c r="D441" s="7">
        <f t="shared" si="6"/>
        <v>0</v>
      </c>
    </row>
    <row r="442" spans="1:4" ht="18.75" hidden="1" x14ac:dyDescent="0.25">
      <c r="A442" s="13" t="s">
        <v>95</v>
      </c>
      <c r="B442" s="7"/>
      <c r="C442" s="7"/>
      <c r="D442" s="7">
        <f t="shared" si="6"/>
        <v>0</v>
      </c>
    </row>
    <row r="443" spans="1:4" ht="18.75" hidden="1" x14ac:dyDescent="0.25">
      <c r="A443" s="11" t="s">
        <v>342</v>
      </c>
      <c r="B443" s="7"/>
      <c r="C443" s="7"/>
      <c r="D443" s="7">
        <f t="shared" si="6"/>
        <v>0</v>
      </c>
    </row>
    <row r="444" spans="1:4" ht="18.75" hidden="1" x14ac:dyDescent="0.25">
      <c r="A444" s="9" t="s">
        <v>96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97</v>
      </c>
      <c r="B445" s="7"/>
      <c r="C445" s="7"/>
      <c r="D445" s="7">
        <f t="shared" si="6"/>
        <v>0</v>
      </c>
    </row>
    <row r="446" spans="1:4" ht="18.75" hidden="1" x14ac:dyDescent="0.25">
      <c r="A446" s="11" t="s">
        <v>343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344</v>
      </c>
      <c r="B447" s="7"/>
      <c r="C447" s="7"/>
      <c r="D447" s="7">
        <f t="shared" si="6"/>
        <v>0</v>
      </c>
    </row>
    <row r="448" spans="1:4" ht="18.75" hidden="1" x14ac:dyDescent="0.25">
      <c r="A448" s="9" t="s">
        <v>99</v>
      </c>
      <c r="B448" s="16"/>
      <c r="C448" s="16"/>
      <c r="D448" s="7">
        <f t="shared" si="6"/>
        <v>0</v>
      </c>
    </row>
    <row r="449" spans="1:4" ht="18.75" hidden="1" x14ac:dyDescent="0.25">
      <c r="A449" s="21" t="s">
        <v>101</v>
      </c>
      <c r="B449" s="7"/>
      <c r="C449" s="7"/>
      <c r="D449" s="7">
        <f t="shared" si="6"/>
        <v>0</v>
      </c>
    </row>
    <row r="450" spans="1:4" ht="18.75" hidden="1" x14ac:dyDescent="0.25">
      <c r="A450" s="11" t="s">
        <v>102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345</v>
      </c>
      <c r="B451" s="7"/>
      <c r="C451" s="7"/>
      <c r="D451" s="7">
        <f t="shared" si="6"/>
        <v>0</v>
      </c>
    </row>
    <row r="452" spans="1:4" ht="18.75" hidden="1" x14ac:dyDescent="0.25">
      <c r="A452" s="9" t="s">
        <v>103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17" t="s">
        <v>104</v>
      </c>
      <c r="B453" s="7"/>
      <c r="C453" s="7"/>
      <c r="D453" s="7">
        <f t="shared" si="7"/>
        <v>0</v>
      </c>
    </row>
    <row r="454" spans="1:4" ht="18.75" hidden="1" x14ac:dyDescent="0.25">
      <c r="A454" s="24" t="s">
        <v>105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106</v>
      </c>
      <c r="B455" s="7"/>
      <c r="C455" s="7"/>
      <c r="D455" s="7">
        <f t="shared" si="7"/>
        <v>0</v>
      </c>
    </row>
    <row r="456" spans="1:4" ht="18.75" hidden="1" x14ac:dyDescent="0.25">
      <c r="A456" s="23" t="s">
        <v>107</v>
      </c>
      <c r="B456" s="7"/>
      <c r="C456" s="7"/>
      <c r="D456" s="7">
        <f t="shared" si="7"/>
        <v>0</v>
      </c>
    </row>
    <row r="457" spans="1:4" ht="18.75" hidden="1" x14ac:dyDescent="0.25">
      <c r="A457" s="25" t="s">
        <v>108</v>
      </c>
      <c r="B457" s="7"/>
      <c r="C457" s="7"/>
      <c r="D457" s="7">
        <f t="shared" si="7"/>
        <v>0</v>
      </c>
    </row>
    <row r="458" spans="1:4" ht="18.75" hidden="1" x14ac:dyDescent="0.25">
      <c r="A458" s="9" t="s">
        <v>109</v>
      </c>
      <c r="B458" s="7"/>
      <c r="C458" s="7"/>
      <c r="D458" s="7">
        <f t="shared" si="7"/>
        <v>0</v>
      </c>
    </row>
    <row r="459" spans="1:4" ht="18.75" x14ac:dyDescent="0.25">
      <c r="A459" s="9" t="s">
        <v>110</v>
      </c>
      <c r="B459" s="7">
        <v>3</v>
      </c>
      <c r="C459" s="7">
        <v>23000</v>
      </c>
      <c r="D459" s="7">
        <f t="shared" si="7"/>
        <v>69000</v>
      </c>
    </row>
    <row r="460" spans="1:4" ht="18.75" hidden="1" x14ac:dyDescent="0.25">
      <c r="A460" s="9" t="s">
        <v>111</v>
      </c>
      <c r="B460" s="7"/>
      <c r="C460" s="7"/>
      <c r="D460" s="7">
        <f t="shared" si="7"/>
        <v>0</v>
      </c>
    </row>
    <row r="461" spans="1:4" ht="18.75" hidden="1" x14ac:dyDescent="0.25">
      <c r="A461" s="9" t="s">
        <v>112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114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115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346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116</v>
      </c>
      <c r="B465" s="7"/>
      <c r="C465" s="7"/>
      <c r="D465" s="7">
        <f t="shared" si="7"/>
        <v>0</v>
      </c>
    </row>
    <row r="466" spans="1:4" ht="18.75" hidden="1" x14ac:dyDescent="0.25">
      <c r="A466" s="11" t="s">
        <v>117</v>
      </c>
      <c r="B466" s="7"/>
      <c r="C466" s="7"/>
      <c r="D466" s="7">
        <f t="shared" si="7"/>
        <v>0</v>
      </c>
    </row>
    <row r="467" spans="1:4" ht="18.75" hidden="1" x14ac:dyDescent="0.25">
      <c r="A467" s="21" t="s">
        <v>118</v>
      </c>
      <c r="B467" s="7"/>
      <c r="C467" s="7"/>
      <c r="D467" s="7">
        <f t="shared" si="7"/>
        <v>0</v>
      </c>
    </row>
    <row r="468" spans="1:4" ht="18.75" hidden="1" x14ac:dyDescent="0.25">
      <c r="A468" s="9" t="s">
        <v>119</v>
      </c>
      <c r="B468" s="7"/>
      <c r="C468" s="7"/>
      <c r="D468" s="7">
        <f t="shared" si="7"/>
        <v>0</v>
      </c>
    </row>
    <row r="469" spans="1:4" ht="18.75" hidden="1" x14ac:dyDescent="0.25">
      <c r="A469" s="11" t="s">
        <v>120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121</v>
      </c>
      <c r="B470" s="7"/>
      <c r="C470" s="7"/>
      <c r="D470" s="7">
        <f t="shared" si="7"/>
        <v>0</v>
      </c>
    </row>
    <row r="471" spans="1:4" ht="18.75" x14ac:dyDescent="0.25">
      <c r="A471" s="9" t="s">
        <v>122</v>
      </c>
      <c r="B471" s="7">
        <v>20</v>
      </c>
      <c r="C471" s="7">
        <v>13500</v>
      </c>
      <c r="D471" s="7">
        <f t="shared" si="7"/>
        <v>270000</v>
      </c>
    </row>
    <row r="472" spans="1:4" ht="18.75" hidden="1" x14ac:dyDescent="0.25">
      <c r="A472" s="10" t="s">
        <v>124</v>
      </c>
      <c r="B472" s="7"/>
      <c r="C472" s="7"/>
      <c r="D472" s="7">
        <f t="shared" si="7"/>
        <v>0</v>
      </c>
    </row>
    <row r="473" spans="1:4" ht="18.75" hidden="1" x14ac:dyDescent="0.25">
      <c r="A473" s="13" t="s">
        <v>125</v>
      </c>
      <c r="B473" s="7"/>
      <c r="C473" s="7"/>
      <c r="D473" s="7">
        <f t="shared" si="7"/>
        <v>0</v>
      </c>
    </row>
    <row r="474" spans="1:4" ht="18.75" hidden="1" x14ac:dyDescent="0.25">
      <c r="A474" s="12" t="s">
        <v>126</v>
      </c>
      <c r="B474" s="16"/>
      <c r="C474" s="16"/>
      <c r="D474" s="7">
        <f t="shared" si="7"/>
        <v>0</v>
      </c>
    </row>
    <row r="475" spans="1:4" ht="18.75" hidden="1" x14ac:dyDescent="0.25">
      <c r="A475" s="12" t="s">
        <v>127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128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129</v>
      </c>
      <c r="B477" s="27"/>
      <c r="C477" s="27"/>
      <c r="D477" s="7">
        <f t="shared" si="7"/>
        <v>0</v>
      </c>
    </row>
    <row r="478" spans="1:4" ht="18.75" hidden="1" x14ac:dyDescent="0.25">
      <c r="A478" s="28" t="s">
        <v>130</v>
      </c>
      <c r="B478" s="7"/>
      <c r="C478" s="7"/>
      <c r="D478" s="7">
        <f t="shared" si="7"/>
        <v>0</v>
      </c>
    </row>
    <row r="479" spans="1:4" ht="18.75" hidden="1" x14ac:dyDescent="0.25">
      <c r="A479" s="12" t="s">
        <v>131</v>
      </c>
      <c r="B479" s="16"/>
      <c r="C479" s="16"/>
      <c r="D479" s="7">
        <f t="shared" si="7"/>
        <v>0</v>
      </c>
    </row>
    <row r="480" spans="1:4" ht="18.75" hidden="1" x14ac:dyDescent="0.25">
      <c r="A480" s="9" t="s">
        <v>132</v>
      </c>
      <c r="B480" s="7"/>
      <c r="C480" s="7"/>
      <c r="D480" s="7">
        <f t="shared" si="7"/>
        <v>0</v>
      </c>
    </row>
    <row r="481" spans="1:4" ht="18.75" hidden="1" x14ac:dyDescent="0.25">
      <c r="A481" s="9" t="s">
        <v>133</v>
      </c>
      <c r="B481" s="7"/>
      <c r="C481" s="7"/>
      <c r="D481" s="7">
        <f t="shared" si="7"/>
        <v>0</v>
      </c>
    </row>
    <row r="482" spans="1:4" ht="18.75" x14ac:dyDescent="0.25">
      <c r="A482" s="9" t="s">
        <v>135</v>
      </c>
      <c r="B482" s="7">
        <v>52</v>
      </c>
      <c r="C482" s="7">
        <v>18000</v>
      </c>
      <c r="D482" s="7">
        <f t="shared" si="7"/>
        <v>936000</v>
      </c>
    </row>
    <row r="483" spans="1:4" ht="18.75" hidden="1" x14ac:dyDescent="0.25">
      <c r="A483" s="17" t="s">
        <v>136</v>
      </c>
      <c r="B483" s="7"/>
      <c r="C483" s="7"/>
      <c r="D483" s="7">
        <f t="shared" si="7"/>
        <v>0</v>
      </c>
    </row>
    <row r="484" spans="1:4" ht="18.75" hidden="1" x14ac:dyDescent="0.25">
      <c r="A484" s="12" t="s">
        <v>137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138</v>
      </c>
      <c r="B485" s="7"/>
      <c r="C485" s="7"/>
      <c r="D485" s="7">
        <f t="shared" si="7"/>
        <v>0</v>
      </c>
    </row>
    <row r="486" spans="1:4" ht="18.75" hidden="1" x14ac:dyDescent="0.25">
      <c r="A486" s="9" t="s">
        <v>139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347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141</v>
      </c>
      <c r="B488" s="16"/>
      <c r="C488" s="16"/>
      <c r="D488" s="7">
        <f t="shared" si="7"/>
        <v>0</v>
      </c>
    </row>
    <row r="489" spans="1:4" ht="18.75" hidden="1" x14ac:dyDescent="0.25">
      <c r="A489" s="9" t="s">
        <v>142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143</v>
      </c>
      <c r="B490" s="7"/>
      <c r="C490" s="7"/>
      <c r="D490" s="7">
        <f t="shared" si="7"/>
        <v>0</v>
      </c>
    </row>
    <row r="491" spans="1:4" ht="18.75" hidden="1" x14ac:dyDescent="0.25">
      <c r="A491" s="9" t="s">
        <v>144</v>
      </c>
      <c r="B491" s="16"/>
      <c r="C491" s="16"/>
      <c r="D491" s="7">
        <f t="shared" si="7"/>
        <v>0</v>
      </c>
    </row>
    <row r="492" spans="1:4" ht="18.75" hidden="1" x14ac:dyDescent="0.25">
      <c r="A492" s="9" t="s">
        <v>145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146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147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148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149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150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151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152</v>
      </c>
      <c r="B499" s="7"/>
      <c r="C499" s="7"/>
      <c r="D499" s="7">
        <f t="shared" si="7"/>
        <v>0</v>
      </c>
    </row>
    <row r="500" spans="1:4" ht="18.75" hidden="1" x14ac:dyDescent="0.25">
      <c r="A500" s="9" t="s">
        <v>348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153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154</v>
      </c>
      <c r="B502" s="7"/>
      <c r="C502" s="7"/>
      <c r="D502" s="7">
        <f t="shared" si="7"/>
        <v>0</v>
      </c>
    </row>
    <row r="503" spans="1:4" ht="18.75" hidden="1" x14ac:dyDescent="0.25">
      <c r="A503" s="9" t="s">
        <v>155</v>
      </c>
      <c r="B503" s="7"/>
      <c r="C503" s="7"/>
      <c r="D503" s="7">
        <f t="shared" si="7"/>
        <v>0</v>
      </c>
    </row>
    <row r="504" spans="1:4" ht="18.75" hidden="1" x14ac:dyDescent="0.25">
      <c r="A504" s="17" t="s">
        <v>156</v>
      </c>
      <c r="B504" s="7"/>
      <c r="C504" s="7"/>
      <c r="D504" s="7">
        <f t="shared" si="7"/>
        <v>0</v>
      </c>
    </row>
    <row r="505" spans="1:4" ht="18.75" hidden="1" x14ac:dyDescent="0.25">
      <c r="A505" s="9" t="s">
        <v>157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158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159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160</v>
      </c>
      <c r="B508" s="7"/>
      <c r="C508" s="7"/>
      <c r="D508" s="7">
        <f t="shared" si="7"/>
        <v>0</v>
      </c>
    </row>
    <row r="509" spans="1:4" ht="18.75" hidden="1" x14ac:dyDescent="0.25">
      <c r="A509" s="9" t="s">
        <v>161</v>
      </c>
      <c r="B509" s="16"/>
      <c r="C509" s="16"/>
      <c r="D509" s="7">
        <f t="shared" si="7"/>
        <v>0</v>
      </c>
    </row>
    <row r="510" spans="1:4" ht="18.75" hidden="1" x14ac:dyDescent="0.25">
      <c r="A510" s="18" t="s">
        <v>162</v>
      </c>
      <c r="B510" s="16"/>
      <c r="C510" s="16"/>
      <c r="D510" s="7">
        <f t="shared" si="7"/>
        <v>0</v>
      </c>
    </row>
    <row r="511" spans="1:4" ht="18.75" hidden="1" x14ac:dyDescent="0.25">
      <c r="A511" s="9" t="s">
        <v>163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165</v>
      </c>
      <c r="B512" s="7"/>
      <c r="C512" s="7"/>
      <c r="D512" s="7">
        <f t="shared" si="7"/>
        <v>0</v>
      </c>
    </row>
    <row r="513" spans="1:4" ht="18.75" hidden="1" x14ac:dyDescent="0.25">
      <c r="A513" s="17" t="s">
        <v>166</v>
      </c>
      <c r="B513" s="7"/>
      <c r="C513" s="7"/>
      <c r="D513" s="7">
        <f t="shared" si="7"/>
        <v>0</v>
      </c>
    </row>
    <row r="514" spans="1:4" ht="18.75" x14ac:dyDescent="0.25">
      <c r="A514" s="9" t="s">
        <v>349</v>
      </c>
      <c r="B514" s="7">
        <v>29</v>
      </c>
      <c r="C514" s="7">
        <v>7500</v>
      </c>
      <c r="D514" s="7">
        <f t="shared" si="7"/>
        <v>217500</v>
      </c>
    </row>
    <row r="515" spans="1:4" ht="18.75" hidden="1" x14ac:dyDescent="0.25">
      <c r="A515" s="12" t="s">
        <v>167</v>
      </c>
      <c r="B515" s="7"/>
      <c r="C515" s="7"/>
      <c r="D515" s="7">
        <f t="shared" si="7"/>
        <v>0</v>
      </c>
    </row>
    <row r="516" spans="1:4" ht="18.75" hidden="1" x14ac:dyDescent="0.25">
      <c r="A516" s="9" t="s">
        <v>168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170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171</v>
      </c>
      <c r="B518" s="7"/>
      <c r="C518" s="7"/>
      <c r="D518" s="7">
        <f t="shared" si="8"/>
        <v>0</v>
      </c>
    </row>
    <row r="519" spans="1:4" ht="18.75" hidden="1" x14ac:dyDescent="0.25">
      <c r="A519" s="20" t="s">
        <v>172</v>
      </c>
      <c r="B519" s="7"/>
      <c r="C519" s="7"/>
      <c r="D519" s="7">
        <f t="shared" si="8"/>
        <v>0</v>
      </c>
    </row>
    <row r="520" spans="1:4" ht="18.75" hidden="1" x14ac:dyDescent="0.25">
      <c r="A520" s="9" t="s">
        <v>173</v>
      </c>
      <c r="B520" s="7"/>
      <c r="C520" s="7"/>
      <c r="D520" s="7">
        <f t="shared" si="8"/>
        <v>0</v>
      </c>
    </row>
    <row r="521" spans="1:4" ht="18.75" hidden="1" x14ac:dyDescent="0.25">
      <c r="A521" s="31" t="s">
        <v>174</v>
      </c>
      <c r="B521" s="33"/>
      <c r="C521" s="33"/>
      <c r="D521" s="7">
        <f t="shared" si="8"/>
        <v>0</v>
      </c>
    </row>
    <row r="522" spans="1:4" ht="18.75" hidden="1" x14ac:dyDescent="0.25">
      <c r="A522" s="11" t="s">
        <v>175</v>
      </c>
      <c r="B522" s="7"/>
      <c r="C522" s="7"/>
      <c r="D522" s="7">
        <f t="shared" si="8"/>
        <v>0</v>
      </c>
    </row>
    <row r="523" spans="1:4" ht="18.75" hidden="1" x14ac:dyDescent="0.25">
      <c r="A523" s="9" t="s">
        <v>176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350</v>
      </c>
      <c r="B524" s="7"/>
      <c r="C524" s="7"/>
      <c r="D524" s="7">
        <f t="shared" si="8"/>
        <v>0</v>
      </c>
    </row>
    <row r="525" spans="1:4" ht="18.75" hidden="1" x14ac:dyDescent="0.25">
      <c r="A525" s="12" t="s">
        <v>178</v>
      </c>
      <c r="B525" s="7"/>
      <c r="C525" s="7"/>
      <c r="D525" s="7">
        <f t="shared" si="8"/>
        <v>0</v>
      </c>
    </row>
    <row r="526" spans="1:4" ht="18.75" hidden="1" x14ac:dyDescent="0.25">
      <c r="A526" s="9" t="s">
        <v>179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180</v>
      </c>
      <c r="B527" s="7"/>
      <c r="C527" s="7"/>
      <c r="D527" s="7">
        <f t="shared" si="8"/>
        <v>0</v>
      </c>
    </row>
    <row r="528" spans="1:4" ht="18.75" hidden="1" x14ac:dyDescent="0.25">
      <c r="A528" s="12" t="s">
        <v>181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182</v>
      </c>
      <c r="B529" s="7"/>
      <c r="C529" s="7"/>
      <c r="D529" s="7">
        <f t="shared" si="8"/>
        <v>0</v>
      </c>
    </row>
    <row r="530" spans="1:4" ht="18.75" x14ac:dyDescent="0.25">
      <c r="A530" s="12" t="s">
        <v>183</v>
      </c>
      <c r="B530" s="7">
        <v>500</v>
      </c>
      <c r="C530" s="7">
        <v>9000</v>
      </c>
      <c r="D530" s="7">
        <f t="shared" si="8"/>
        <v>4500000</v>
      </c>
    </row>
    <row r="531" spans="1:4" ht="18.75" hidden="1" x14ac:dyDescent="0.25">
      <c r="A531" s="9" t="s">
        <v>184</v>
      </c>
      <c r="B531" s="7"/>
      <c r="C531" s="7"/>
      <c r="D531" s="7">
        <f t="shared" si="8"/>
        <v>0</v>
      </c>
    </row>
    <row r="532" spans="1:4" ht="18.75" hidden="1" x14ac:dyDescent="0.25">
      <c r="A532" s="12" t="s">
        <v>186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187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188</v>
      </c>
      <c r="B534" s="7"/>
      <c r="C534" s="7"/>
      <c r="D534" s="7">
        <f t="shared" si="8"/>
        <v>0</v>
      </c>
    </row>
    <row r="535" spans="1:4" ht="18.75" hidden="1" x14ac:dyDescent="0.25">
      <c r="A535" s="9" t="s">
        <v>351</v>
      </c>
      <c r="B535" s="7"/>
      <c r="C535" s="7"/>
      <c r="D535" s="7">
        <f t="shared" si="8"/>
        <v>0</v>
      </c>
    </row>
    <row r="536" spans="1:4" ht="18.75" hidden="1" x14ac:dyDescent="0.25">
      <c r="A536" s="17" t="s">
        <v>189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190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191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192</v>
      </c>
      <c r="B539" s="7"/>
      <c r="C539" s="7"/>
      <c r="D539" s="7">
        <f t="shared" si="8"/>
        <v>0</v>
      </c>
    </row>
    <row r="540" spans="1:4" ht="18.75" hidden="1" x14ac:dyDescent="0.25">
      <c r="A540" s="12" t="s">
        <v>193</v>
      </c>
      <c r="B540" s="7"/>
      <c r="C540" s="7"/>
      <c r="D540" s="7">
        <f t="shared" si="8"/>
        <v>0</v>
      </c>
    </row>
    <row r="541" spans="1:4" ht="18.75" hidden="1" x14ac:dyDescent="0.25">
      <c r="A541" s="9" t="s">
        <v>194</v>
      </c>
      <c r="B541" s="7"/>
      <c r="C541" s="7"/>
      <c r="D541" s="7">
        <f t="shared" si="8"/>
        <v>0</v>
      </c>
    </row>
    <row r="542" spans="1:4" ht="18.75" hidden="1" x14ac:dyDescent="0.25">
      <c r="A542" s="34" t="s">
        <v>195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196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197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198</v>
      </c>
      <c r="B545" s="7"/>
      <c r="C545" s="7"/>
      <c r="D545" s="7">
        <f t="shared" si="8"/>
        <v>0</v>
      </c>
    </row>
    <row r="546" spans="1:4" ht="18.75" hidden="1" x14ac:dyDescent="0.25">
      <c r="A546" s="9" t="s">
        <v>199</v>
      </c>
      <c r="B546" s="7"/>
      <c r="C546" s="7"/>
      <c r="D546" s="7">
        <f t="shared" si="8"/>
        <v>0</v>
      </c>
    </row>
    <row r="547" spans="1:4" ht="18.75" hidden="1" x14ac:dyDescent="0.25">
      <c r="A547" s="35" t="s">
        <v>352</v>
      </c>
      <c r="B547" s="7"/>
      <c r="C547" s="7"/>
      <c r="D547" s="7">
        <f t="shared" si="8"/>
        <v>0</v>
      </c>
    </row>
    <row r="548" spans="1:4" ht="18.75" hidden="1" x14ac:dyDescent="0.25">
      <c r="A548" s="9" t="s">
        <v>201</v>
      </c>
      <c r="B548" s="7"/>
      <c r="C548" s="7"/>
      <c r="D548" s="7">
        <f t="shared" si="8"/>
        <v>0</v>
      </c>
    </row>
    <row r="549" spans="1:4" ht="18.75" hidden="1" x14ac:dyDescent="0.25">
      <c r="A549" s="12" t="s">
        <v>202</v>
      </c>
      <c r="B549" s="7"/>
      <c r="C549" s="7"/>
      <c r="D549" s="7">
        <f t="shared" si="8"/>
        <v>0</v>
      </c>
    </row>
    <row r="550" spans="1:4" ht="18.75" x14ac:dyDescent="0.25">
      <c r="A550" s="9" t="s">
        <v>353</v>
      </c>
      <c r="B550" s="7">
        <v>11</v>
      </c>
      <c r="C550" s="7">
        <v>13000</v>
      </c>
      <c r="D550" s="7">
        <f t="shared" si="8"/>
        <v>143000</v>
      </c>
    </row>
    <row r="551" spans="1:4" ht="18.75" hidden="1" x14ac:dyDescent="0.25">
      <c r="A551" s="9" t="s">
        <v>203</v>
      </c>
      <c r="B551" s="7"/>
      <c r="C551" s="7"/>
      <c r="D551" s="7">
        <f t="shared" si="8"/>
        <v>0</v>
      </c>
    </row>
    <row r="552" spans="1:4" ht="18.75" x14ac:dyDescent="0.25">
      <c r="A552" s="9" t="s">
        <v>204</v>
      </c>
      <c r="B552" s="7">
        <v>400</v>
      </c>
      <c r="C552" s="7">
        <v>19000</v>
      </c>
      <c r="D552" s="7">
        <f t="shared" si="8"/>
        <v>7600000</v>
      </c>
    </row>
    <row r="553" spans="1:4" ht="18.75" hidden="1" x14ac:dyDescent="0.25">
      <c r="A553" s="36" t="s">
        <v>205</v>
      </c>
      <c r="B553" s="7"/>
      <c r="C553" s="7"/>
      <c r="D553" s="7">
        <f t="shared" si="8"/>
        <v>0</v>
      </c>
    </row>
    <row r="554" spans="1:4" ht="18.75" hidden="1" x14ac:dyDescent="0.25">
      <c r="A554" s="36" t="s">
        <v>206</v>
      </c>
      <c r="B554" s="7"/>
      <c r="C554" s="7"/>
      <c r="D554" s="7">
        <f t="shared" si="8"/>
        <v>0</v>
      </c>
    </row>
    <row r="555" spans="1:4" ht="18.75" hidden="1" x14ac:dyDescent="0.25">
      <c r="A555" s="9" t="s">
        <v>207</v>
      </c>
      <c r="B555" s="7"/>
      <c r="C555" s="7"/>
      <c r="D555" s="7">
        <f t="shared" si="8"/>
        <v>0</v>
      </c>
    </row>
    <row r="556" spans="1:4" ht="18.75" hidden="1" x14ac:dyDescent="0.25">
      <c r="A556" s="11" t="s">
        <v>208</v>
      </c>
      <c r="B556" s="7"/>
      <c r="C556" s="7"/>
      <c r="D556" s="7">
        <f t="shared" si="8"/>
        <v>0</v>
      </c>
    </row>
    <row r="557" spans="1:4" ht="18.75" hidden="1" x14ac:dyDescent="0.25">
      <c r="A557" s="9" t="s">
        <v>209</v>
      </c>
      <c r="B557" s="7"/>
      <c r="C557" s="7"/>
      <c r="D557" s="7">
        <f t="shared" si="8"/>
        <v>0</v>
      </c>
    </row>
    <row r="558" spans="1:4" ht="18.75" hidden="1" x14ac:dyDescent="0.25">
      <c r="A558" s="11" t="s">
        <v>354</v>
      </c>
      <c r="B558" s="7"/>
      <c r="C558" s="7"/>
      <c r="D558" s="7">
        <f t="shared" si="8"/>
        <v>0</v>
      </c>
    </row>
    <row r="559" spans="1:4" ht="18.75" hidden="1" x14ac:dyDescent="0.25">
      <c r="A559" s="9" t="s">
        <v>210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211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355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356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212</v>
      </c>
      <c r="B563" s="7"/>
      <c r="C563" s="7"/>
      <c r="D563" s="7">
        <f t="shared" si="8"/>
        <v>0</v>
      </c>
    </row>
    <row r="564" spans="1:4" ht="18.75" hidden="1" x14ac:dyDescent="0.25">
      <c r="A564" s="37" t="s">
        <v>213</v>
      </c>
      <c r="B564" s="7"/>
      <c r="C564" s="7"/>
      <c r="D564" s="7">
        <f t="shared" si="8"/>
        <v>0</v>
      </c>
    </row>
    <row r="565" spans="1:4" ht="18.75" hidden="1" x14ac:dyDescent="0.25">
      <c r="A565" s="9" t="s">
        <v>214</v>
      </c>
      <c r="B565" s="7"/>
      <c r="C565" s="7"/>
      <c r="D565" s="7">
        <f t="shared" si="8"/>
        <v>0</v>
      </c>
    </row>
    <row r="566" spans="1:4" ht="18.75" x14ac:dyDescent="0.25">
      <c r="A566" s="9" t="s">
        <v>215</v>
      </c>
      <c r="B566" s="7">
        <v>300</v>
      </c>
      <c r="C566" s="7">
        <v>15000</v>
      </c>
      <c r="D566" s="7">
        <f t="shared" si="8"/>
        <v>4500000</v>
      </c>
    </row>
    <row r="567" spans="1:4" ht="18.75" hidden="1" x14ac:dyDescent="0.25">
      <c r="A567" s="9" t="s">
        <v>216</v>
      </c>
      <c r="B567" s="7"/>
      <c r="C567" s="7"/>
      <c r="D567" s="7">
        <f t="shared" si="8"/>
        <v>0</v>
      </c>
    </row>
    <row r="568" spans="1:4" ht="18.75" hidden="1" x14ac:dyDescent="0.25">
      <c r="A568" s="9" t="s">
        <v>357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217</v>
      </c>
      <c r="B569" s="7"/>
      <c r="C569" s="7"/>
      <c r="D569" s="7">
        <f t="shared" si="8"/>
        <v>0</v>
      </c>
    </row>
    <row r="570" spans="1:4" ht="18.75" hidden="1" x14ac:dyDescent="0.25">
      <c r="A570" s="17" t="s">
        <v>218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219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220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221</v>
      </c>
      <c r="B573" s="7"/>
      <c r="C573" s="7"/>
      <c r="D573" s="7">
        <f t="shared" si="8"/>
        <v>0</v>
      </c>
    </row>
    <row r="574" spans="1:4" ht="18.75" hidden="1" x14ac:dyDescent="0.25">
      <c r="A574" s="9" t="s">
        <v>222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223</v>
      </c>
      <c r="B575" s="7"/>
      <c r="C575" s="7"/>
      <c r="D575" s="7">
        <f t="shared" si="8"/>
        <v>0</v>
      </c>
    </row>
    <row r="576" spans="1:4" ht="18.75" hidden="1" x14ac:dyDescent="0.25">
      <c r="A576" s="17" t="s">
        <v>224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225</v>
      </c>
      <c r="B577" s="7"/>
      <c r="C577" s="7"/>
      <c r="D577" s="7">
        <f t="shared" si="8"/>
        <v>0</v>
      </c>
    </row>
    <row r="578" spans="1:4" ht="18.75" hidden="1" x14ac:dyDescent="0.25">
      <c r="A578" s="11" t="s">
        <v>226</v>
      </c>
      <c r="B578" s="7"/>
      <c r="C578" s="7"/>
      <c r="D578" s="7">
        <f t="shared" si="8"/>
        <v>0</v>
      </c>
    </row>
    <row r="579" spans="1:4" ht="18.75" hidden="1" x14ac:dyDescent="0.25">
      <c r="A579" s="12" t="s">
        <v>227</v>
      </c>
      <c r="B579" s="7"/>
      <c r="C579" s="7"/>
      <c r="D579" s="7">
        <f t="shared" si="8"/>
        <v>0</v>
      </c>
    </row>
    <row r="580" spans="1:4" ht="18.75" hidden="1" x14ac:dyDescent="0.25">
      <c r="A580" s="21" t="s">
        <v>358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359</v>
      </c>
      <c r="B581" s="7"/>
      <c r="C581" s="7"/>
      <c r="D581" s="7">
        <f t="shared" si="9"/>
        <v>0</v>
      </c>
    </row>
    <row r="582" spans="1:4" ht="18.75" hidden="1" x14ac:dyDescent="0.25">
      <c r="A582" s="11" t="s">
        <v>232</v>
      </c>
      <c r="B582" s="7"/>
      <c r="C582" s="7"/>
      <c r="D582" s="7">
        <f t="shared" si="9"/>
        <v>0</v>
      </c>
    </row>
    <row r="583" spans="1:4" ht="18.75" hidden="1" x14ac:dyDescent="0.25">
      <c r="A583" s="9" t="s">
        <v>237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238</v>
      </c>
      <c r="B584" s="7"/>
      <c r="C584" s="7"/>
      <c r="D584" s="7">
        <f t="shared" si="9"/>
        <v>0</v>
      </c>
    </row>
    <row r="585" spans="1:4" ht="18.75" hidden="1" x14ac:dyDescent="0.25">
      <c r="A585" s="13" t="s">
        <v>239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240</v>
      </c>
      <c r="B586" s="7"/>
      <c r="C586" s="7"/>
      <c r="D586" s="7">
        <f t="shared" si="9"/>
        <v>0</v>
      </c>
    </row>
    <row r="587" spans="1:4" ht="18.75" hidden="1" x14ac:dyDescent="0.25">
      <c r="A587" s="34" t="s">
        <v>241</v>
      </c>
      <c r="B587" s="7"/>
      <c r="C587" s="7"/>
      <c r="D587" s="7">
        <f t="shared" si="9"/>
        <v>0</v>
      </c>
    </row>
    <row r="588" spans="1:4" ht="18.75" hidden="1" x14ac:dyDescent="0.25">
      <c r="A588" s="9" t="s">
        <v>242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243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244</v>
      </c>
      <c r="B590" s="16"/>
      <c r="C590" s="16"/>
      <c r="D590" s="7">
        <f t="shared" si="9"/>
        <v>0</v>
      </c>
    </row>
    <row r="591" spans="1:4" ht="18.75" hidden="1" x14ac:dyDescent="0.25">
      <c r="A591" s="34" t="s">
        <v>245</v>
      </c>
      <c r="B591" s="7"/>
      <c r="C591" s="7"/>
      <c r="D591" s="7">
        <f t="shared" si="9"/>
        <v>0</v>
      </c>
    </row>
    <row r="592" spans="1:4" ht="18.75" hidden="1" x14ac:dyDescent="0.25">
      <c r="A592" s="9" t="s">
        <v>246</v>
      </c>
      <c r="B592" s="16"/>
      <c r="C592" s="16"/>
      <c r="D592" s="7">
        <f t="shared" si="9"/>
        <v>0</v>
      </c>
    </row>
    <row r="593" spans="1:4" ht="18.75" hidden="1" x14ac:dyDescent="0.25">
      <c r="A593" s="9" t="s">
        <v>247</v>
      </c>
      <c r="B593" s="7"/>
      <c r="C593" s="7"/>
      <c r="D593" s="7">
        <f t="shared" si="9"/>
        <v>0</v>
      </c>
    </row>
    <row r="594" spans="1:4" ht="18.75" hidden="1" x14ac:dyDescent="0.25">
      <c r="A594" s="11" t="s">
        <v>249</v>
      </c>
      <c r="B594" s="7"/>
      <c r="C594" s="7"/>
      <c r="D594" s="7">
        <f t="shared" si="9"/>
        <v>0</v>
      </c>
    </row>
    <row r="595" spans="1:4" ht="18.75" x14ac:dyDescent="0.25">
      <c r="A595" s="9" t="s">
        <v>250</v>
      </c>
      <c r="B595" s="7">
        <v>20</v>
      </c>
      <c r="C595" s="7">
        <v>23000</v>
      </c>
      <c r="D595" s="7">
        <f t="shared" si="9"/>
        <v>460000</v>
      </c>
    </row>
    <row r="596" spans="1:4" ht="18.75" hidden="1" x14ac:dyDescent="0.25">
      <c r="A596" s="9" t="s">
        <v>251</v>
      </c>
      <c r="B596" s="7"/>
      <c r="C596" s="7"/>
      <c r="D596" s="7">
        <f t="shared" si="9"/>
        <v>0</v>
      </c>
    </row>
    <row r="597" spans="1:4" ht="18.75" hidden="1" x14ac:dyDescent="0.25">
      <c r="A597" s="9" t="s">
        <v>252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253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254</v>
      </c>
      <c r="B599" s="7"/>
      <c r="C599" s="7"/>
      <c r="D599" s="7">
        <f t="shared" si="9"/>
        <v>0</v>
      </c>
    </row>
    <row r="600" spans="1:4" ht="18.75" hidden="1" x14ac:dyDescent="0.25">
      <c r="A600" s="17" t="s">
        <v>255</v>
      </c>
      <c r="B600" s="7"/>
      <c r="C600" s="7"/>
      <c r="D600" s="7">
        <f t="shared" si="9"/>
        <v>0</v>
      </c>
    </row>
    <row r="601" spans="1:4" ht="18.75" hidden="1" x14ac:dyDescent="0.25">
      <c r="A601" s="21" t="s">
        <v>256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257</v>
      </c>
      <c r="B602" s="7"/>
      <c r="C602" s="7"/>
      <c r="D602" s="7">
        <f t="shared" si="9"/>
        <v>0</v>
      </c>
    </row>
    <row r="603" spans="1:4" ht="18.75" x14ac:dyDescent="0.25">
      <c r="A603" s="9" t="s">
        <v>258</v>
      </c>
      <c r="B603" s="7">
        <v>20</v>
      </c>
      <c r="C603" s="7">
        <v>20000</v>
      </c>
      <c r="D603" s="7">
        <f t="shared" si="9"/>
        <v>400000</v>
      </c>
    </row>
    <row r="604" spans="1:4" ht="18.75" hidden="1" x14ac:dyDescent="0.25">
      <c r="A604" s="9" t="s">
        <v>259</v>
      </c>
      <c r="B604" s="7"/>
      <c r="C604" s="7"/>
      <c r="D604" s="7">
        <f t="shared" si="9"/>
        <v>0</v>
      </c>
    </row>
    <row r="605" spans="1:4" ht="18.75" hidden="1" x14ac:dyDescent="0.25">
      <c r="A605" s="9" t="s">
        <v>260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261</v>
      </c>
      <c r="B606" s="7"/>
      <c r="C606" s="7"/>
      <c r="D606" s="7">
        <f t="shared" si="9"/>
        <v>0</v>
      </c>
    </row>
    <row r="607" spans="1:4" ht="18.75" x14ac:dyDescent="0.25">
      <c r="A607" s="9" t="s">
        <v>262</v>
      </c>
      <c r="B607" s="7">
        <v>20</v>
      </c>
      <c r="C607" s="7">
        <v>20000</v>
      </c>
      <c r="D607" s="7">
        <f t="shared" si="9"/>
        <v>400000</v>
      </c>
    </row>
    <row r="608" spans="1:4" ht="18.75" hidden="1" x14ac:dyDescent="0.25">
      <c r="A608" s="9" t="s">
        <v>263</v>
      </c>
      <c r="B608" s="7"/>
      <c r="C608" s="7"/>
      <c r="D608" s="7">
        <f t="shared" si="9"/>
        <v>0</v>
      </c>
    </row>
    <row r="609" spans="1:4" ht="18.75" hidden="1" x14ac:dyDescent="0.25">
      <c r="A609" s="9" t="s">
        <v>264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265</v>
      </c>
      <c r="B610" s="16"/>
      <c r="C610" s="16"/>
      <c r="D610" s="7">
        <f t="shared" si="9"/>
        <v>0</v>
      </c>
    </row>
    <row r="611" spans="1:4" ht="18.75" hidden="1" x14ac:dyDescent="0.25">
      <c r="A611" s="13" t="s">
        <v>266</v>
      </c>
      <c r="B611" s="7"/>
      <c r="C611" s="7"/>
      <c r="D611" s="7">
        <f t="shared" si="9"/>
        <v>0</v>
      </c>
    </row>
    <row r="612" spans="1:4" ht="18.75" hidden="1" x14ac:dyDescent="0.25">
      <c r="A612" s="9" t="s">
        <v>267</v>
      </c>
      <c r="B612" s="7"/>
      <c r="C612" s="7"/>
      <c r="D612" s="7">
        <f t="shared" si="9"/>
        <v>0</v>
      </c>
    </row>
    <row r="613" spans="1:4" ht="18.75" hidden="1" x14ac:dyDescent="0.25">
      <c r="A613" s="11" t="s">
        <v>360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268</v>
      </c>
      <c r="B614" s="7"/>
      <c r="C614" s="7"/>
      <c r="D614" s="7">
        <f t="shared" si="9"/>
        <v>0</v>
      </c>
    </row>
    <row r="615" spans="1:4" ht="18.75" hidden="1" x14ac:dyDescent="0.25">
      <c r="A615" s="9" t="s">
        <v>269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361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270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362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272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273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274</v>
      </c>
      <c r="B621" s="7"/>
      <c r="C621" s="7"/>
      <c r="D621" s="7">
        <f t="shared" si="9"/>
        <v>0</v>
      </c>
    </row>
    <row r="622" spans="1:4" ht="18.75" hidden="1" x14ac:dyDescent="0.25">
      <c r="A622" s="34" t="s">
        <v>276</v>
      </c>
      <c r="B622" s="7"/>
      <c r="C622" s="7"/>
      <c r="D622" s="7">
        <f t="shared" si="9"/>
        <v>0</v>
      </c>
    </row>
    <row r="623" spans="1:4" ht="18.75" hidden="1" x14ac:dyDescent="0.25">
      <c r="A623" s="9" t="s">
        <v>277</v>
      </c>
      <c r="B623" s="7"/>
      <c r="C623" s="7"/>
      <c r="D623" s="7">
        <f t="shared" si="9"/>
        <v>0</v>
      </c>
    </row>
    <row r="624" spans="1:4" ht="18.75" hidden="1" x14ac:dyDescent="0.25">
      <c r="A624" s="34" t="s">
        <v>278</v>
      </c>
      <c r="B624" s="7"/>
      <c r="C624" s="7"/>
      <c r="D624" s="7">
        <f t="shared" si="9"/>
        <v>0</v>
      </c>
    </row>
    <row r="625" spans="1:4" ht="18.75" hidden="1" x14ac:dyDescent="0.25">
      <c r="A625" s="11" t="s">
        <v>363</v>
      </c>
      <c r="B625" s="7"/>
      <c r="C625" s="7"/>
      <c r="D625" s="7">
        <f t="shared" si="9"/>
        <v>0</v>
      </c>
    </row>
    <row r="626" spans="1:4" ht="18.75" hidden="1" x14ac:dyDescent="0.25">
      <c r="A626" s="34" t="s">
        <v>279</v>
      </c>
      <c r="B626" s="7"/>
      <c r="C626" s="7"/>
      <c r="D626" s="7">
        <f t="shared" si="9"/>
        <v>0</v>
      </c>
    </row>
    <row r="627" spans="1:4" ht="18.75" hidden="1" x14ac:dyDescent="0.25">
      <c r="A627" s="12" t="s">
        <v>280</v>
      </c>
      <c r="B627" s="16"/>
      <c r="C627" s="16"/>
      <c r="D627" s="7">
        <f t="shared" si="9"/>
        <v>0</v>
      </c>
    </row>
    <row r="628" spans="1:4" ht="18.75" hidden="1" x14ac:dyDescent="0.25">
      <c r="A628" s="17" t="s">
        <v>284</v>
      </c>
      <c r="B628" s="7"/>
      <c r="C628" s="7"/>
      <c r="D628" s="7">
        <f t="shared" si="9"/>
        <v>0</v>
      </c>
    </row>
    <row r="629" spans="1:4" ht="18.75" hidden="1" x14ac:dyDescent="0.25">
      <c r="A629" s="17" t="s">
        <v>285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286</v>
      </c>
      <c r="B630" s="7"/>
      <c r="C630" s="7"/>
      <c r="D630" s="7">
        <f t="shared" si="9"/>
        <v>0</v>
      </c>
    </row>
    <row r="631" spans="1:4" ht="18.75" hidden="1" x14ac:dyDescent="0.25">
      <c r="A631" s="9" t="s">
        <v>287</v>
      </c>
      <c r="B631" s="7"/>
      <c r="C631" s="7"/>
      <c r="D631" s="7">
        <f t="shared" si="9"/>
        <v>0</v>
      </c>
    </row>
    <row r="632" spans="1:4" ht="18.75" hidden="1" x14ac:dyDescent="0.25">
      <c r="A632" s="17" t="s">
        <v>288</v>
      </c>
      <c r="B632" s="7"/>
      <c r="C632" s="7"/>
      <c r="D632" s="7">
        <f t="shared" si="9"/>
        <v>0</v>
      </c>
    </row>
    <row r="633" spans="1:4" ht="18.75" hidden="1" x14ac:dyDescent="0.25">
      <c r="A633" s="9" t="s">
        <v>289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290</v>
      </c>
      <c r="B634" s="7"/>
      <c r="C634" s="7"/>
      <c r="D634" s="7">
        <f t="shared" si="9"/>
        <v>0</v>
      </c>
    </row>
    <row r="635" spans="1:4" ht="18.75" hidden="1" x14ac:dyDescent="0.25">
      <c r="A635" s="17" t="s">
        <v>291</v>
      </c>
      <c r="B635" s="7"/>
      <c r="C635" s="7"/>
      <c r="D635" s="7">
        <f t="shared" si="9"/>
        <v>0</v>
      </c>
    </row>
    <row r="636" spans="1:4" ht="18.75" hidden="1" x14ac:dyDescent="0.25">
      <c r="A636" s="25" t="s">
        <v>292</v>
      </c>
      <c r="B636" s="7"/>
      <c r="C636" s="7"/>
      <c r="D636" s="7">
        <f t="shared" si="9"/>
        <v>0</v>
      </c>
    </row>
    <row r="637" spans="1:4" ht="18.75" hidden="1" x14ac:dyDescent="0.25">
      <c r="A637" s="9" t="s">
        <v>293</v>
      </c>
      <c r="B637" s="7"/>
      <c r="C637" s="7"/>
      <c r="D637" s="7">
        <f t="shared" si="9"/>
        <v>0</v>
      </c>
    </row>
    <row r="638" spans="1:4" ht="18.75" hidden="1" x14ac:dyDescent="0.25">
      <c r="A638" s="13" t="s">
        <v>294</v>
      </c>
      <c r="B638" s="7"/>
      <c r="C638" s="7"/>
      <c r="D638" s="7">
        <f t="shared" si="9"/>
        <v>0</v>
      </c>
    </row>
    <row r="639" spans="1:4" ht="18.75" hidden="1" x14ac:dyDescent="0.25">
      <c r="A639" s="12" t="s">
        <v>296</v>
      </c>
      <c r="B639" s="7"/>
      <c r="C639" s="7"/>
      <c r="D639" s="7">
        <f t="shared" si="9"/>
        <v>0</v>
      </c>
    </row>
    <row r="640" spans="1:4" ht="18.75" hidden="1" x14ac:dyDescent="0.25">
      <c r="A640" s="17" t="s">
        <v>297</v>
      </c>
      <c r="B640" s="7"/>
      <c r="C640" s="7"/>
      <c r="D640" s="7">
        <f t="shared" si="9"/>
        <v>0</v>
      </c>
    </row>
    <row r="641" spans="1:4" ht="18.75" hidden="1" x14ac:dyDescent="0.25">
      <c r="A641" s="13" t="s">
        <v>298</v>
      </c>
      <c r="B641" s="7"/>
      <c r="C641" s="7"/>
      <c r="D641" s="7">
        <f t="shared" si="9"/>
        <v>0</v>
      </c>
    </row>
    <row r="642" spans="1:4" ht="18.75" hidden="1" x14ac:dyDescent="0.25">
      <c r="A642" s="9" t="s">
        <v>299</v>
      </c>
      <c r="B642" s="7"/>
      <c r="C642" s="7"/>
      <c r="D642" s="7">
        <f t="shared" si="9"/>
        <v>0</v>
      </c>
    </row>
    <row r="643" spans="1:4" ht="18.75" hidden="1" x14ac:dyDescent="0.25">
      <c r="A643" s="17" t="s">
        <v>300</v>
      </c>
      <c r="B643" s="7"/>
      <c r="C643" s="7"/>
      <c r="D643" s="7">
        <f t="shared" si="9"/>
        <v>0</v>
      </c>
    </row>
    <row r="644" spans="1:4" ht="18.75" hidden="1" x14ac:dyDescent="0.25">
      <c r="A644" s="12" t="s">
        <v>364</v>
      </c>
      <c r="B644" s="7"/>
      <c r="C644" s="7"/>
      <c r="D644" s="7">
        <f t="shared" ref="D644:D681" si="10">B644*C644</f>
        <v>0</v>
      </c>
    </row>
    <row r="645" spans="1:4" ht="18.75" hidden="1" x14ac:dyDescent="0.25">
      <c r="A645" s="9" t="s">
        <v>365</v>
      </c>
      <c r="B645" s="7"/>
      <c r="C645" s="7"/>
      <c r="D645" s="7">
        <f t="shared" si="10"/>
        <v>0</v>
      </c>
    </row>
    <row r="646" spans="1:4" ht="18.75" hidden="1" x14ac:dyDescent="0.25">
      <c r="A646" s="11" t="s">
        <v>303</v>
      </c>
      <c r="B646" s="7"/>
      <c r="C646" s="7"/>
      <c r="D646" s="7">
        <f t="shared" si="10"/>
        <v>0</v>
      </c>
    </row>
    <row r="647" spans="1:4" ht="18.75" hidden="1" x14ac:dyDescent="0.25">
      <c r="A647" s="9" t="s">
        <v>366</v>
      </c>
      <c r="B647" s="7"/>
      <c r="C647" s="7"/>
      <c r="D647" s="7">
        <f t="shared" si="10"/>
        <v>0</v>
      </c>
    </row>
    <row r="648" spans="1:4" ht="18.75" hidden="1" x14ac:dyDescent="0.25">
      <c r="A648" s="12" t="s">
        <v>304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305</v>
      </c>
      <c r="B649" s="7"/>
      <c r="C649" s="7"/>
      <c r="D649" s="7">
        <f t="shared" si="10"/>
        <v>0</v>
      </c>
    </row>
    <row r="650" spans="1:4" ht="18.75" hidden="1" x14ac:dyDescent="0.25">
      <c r="A650" s="9" t="s">
        <v>306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307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308</v>
      </c>
      <c r="B652" s="7"/>
      <c r="C652" s="7"/>
      <c r="D652" s="7">
        <f t="shared" si="10"/>
        <v>0</v>
      </c>
    </row>
    <row r="653" spans="1:4" ht="18.75" hidden="1" x14ac:dyDescent="0.25">
      <c r="A653" s="13" t="s">
        <v>309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310</v>
      </c>
      <c r="B654" s="7"/>
      <c r="C654" s="7"/>
      <c r="D654" s="7">
        <f t="shared" si="10"/>
        <v>0</v>
      </c>
    </row>
    <row r="655" spans="1:4" ht="18.75" hidden="1" x14ac:dyDescent="0.25">
      <c r="A655" s="21" t="s">
        <v>311</v>
      </c>
      <c r="B655" s="7"/>
      <c r="C655" s="7"/>
      <c r="D655" s="7">
        <f t="shared" si="10"/>
        <v>0</v>
      </c>
    </row>
    <row r="656" spans="1:4" ht="18.75" hidden="1" x14ac:dyDescent="0.25">
      <c r="A656" s="13" t="s">
        <v>312</v>
      </c>
      <c r="B656" s="7"/>
      <c r="C656" s="7"/>
      <c r="D656" s="7">
        <f t="shared" si="10"/>
        <v>0</v>
      </c>
    </row>
    <row r="657" spans="1:4" ht="18.75" hidden="1" x14ac:dyDescent="0.25">
      <c r="A657" s="9" t="s">
        <v>313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314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315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316</v>
      </c>
      <c r="B660" s="7"/>
      <c r="C660" s="7"/>
      <c r="D660" s="7">
        <f t="shared" si="10"/>
        <v>0</v>
      </c>
    </row>
    <row r="661" spans="1:4" ht="18.75" hidden="1" x14ac:dyDescent="0.25">
      <c r="A661" s="21" t="s">
        <v>317</v>
      </c>
      <c r="B661" s="7"/>
      <c r="C661" s="7"/>
      <c r="D661" s="7">
        <f t="shared" si="10"/>
        <v>0</v>
      </c>
    </row>
    <row r="662" spans="1:4" ht="18.75" hidden="1" x14ac:dyDescent="0.25">
      <c r="A662" s="9" t="s">
        <v>318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319</v>
      </c>
      <c r="B663" s="7"/>
      <c r="C663" s="7"/>
      <c r="D663" s="7">
        <f t="shared" si="10"/>
        <v>0</v>
      </c>
    </row>
    <row r="664" spans="1:4" ht="18.75" hidden="1" x14ac:dyDescent="0.25">
      <c r="A664" s="12" t="s">
        <v>320</v>
      </c>
      <c r="B664" s="7"/>
      <c r="C664" s="7"/>
      <c r="D664" s="7">
        <f t="shared" si="10"/>
        <v>0</v>
      </c>
    </row>
    <row r="665" spans="1:4" ht="18.75" hidden="1" x14ac:dyDescent="0.25">
      <c r="A665" s="9" t="s">
        <v>321</v>
      </c>
      <c r="B665" s="39"/>
      <c r="C665" s="39"/>
      <c r="D665" s="7">
        <f t="shared" si="10"/>
        <v>0</v>
      </c>
    </row>
    <row r="666" spans="1:4" ht="18.75" hidden="1" x14ac:dyDescent="0.25">
      <c r="A666" s="9" t="s">
        <v>322</v>
      </c>
      <c r="B666" s="7"/>
      <c r="C666" s="7"/>
      <c r="D666" s="7">
        <f t="shared" si="10"/>
        <v>0</v>
      </c>
    </row>
    <row r="667" spans="1:4" ht="18.75" hidden="1" x14ac:dyDescent="0.25">
      <c r="A667" s="9" t="s">
        <v>323</v>
      </c>
      <c r="B667" s="7"/>
      <c r="C667" s="7"/>
      <c r="D667" s="7">
        <f t="shared" si="10"/>
        <v>0</v>
      </c>
    </row>
    <row r="668" spans="1:4" ht="18.75" hidden="1" x14ac:dyDescent="0.25">
      <c r="A668" s="21" t="s">
        <v>324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325</v>
      </c>
      <c r="B669" s="7"/>
      <c r="C669" s="7"/>
      <c r="D669" s="7">
        <f t="shared" si="10"/>
        <v>0</v>
      </c>
    </row>
    <row r="670" spans="1:4" ht="18.75" hidden="1" x14ac:dyDescent="0.25">
      <c r="A670" s="9" t="s">
        <v>326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327</v>
      </c>
      <c r="B671" s="7"/>
      <c r="C671" s="7"/>
      <c r="D671" s="7">
        <f t="shared" si="10"/>
        <v>0</v>
      </c>
    </row>
    <row r="672" spans="1:4" ht="18.75" hidden="1" x14ac:dyDescent="0.25">
      <c r="A672" s="21" t="s">
        <v>328</v>
      </c>
      <c r="B672" s="7"/>
      <c r="C672" s="7"/>
      <c r="D672" s="7">
        <f t="shared" si="10"/>
        <v>0</v>
      </c>
    </row>
    <row r="673" spans="1:4" ht="18.75" hidden="1" x14ac:dyDescent="0.25">
      <c r="A673" s="9" t="s">
        <v>329</v>
      </c>
      <c r="B673" s="7"/>
      <c r="C673" s="7"/>
      <c r="D673" s="7">
        <f t="shared" si="10"/>
        <v>0</v>
      </c>
    </row>
    <row r="674" spans="1:4" ht="18.75" hidden="1" x14ac:dyDescent="0.25">
      <c r="A674" s="9" t="s">
        <v>330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331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332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333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334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335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336</v>
      </c>
      <c r="B680" s="7"/>
      <c r="C680" s="7"/>
      <c r="D680" s="7">
        <f t="shared" si="10"/>
        <v>0</v>
      </c>
    </row>
    <row r="681" spans="1:4" ht="18.75" hidden="1" x14ac:dyDescent="0.25">
      <c r="A681" s="11" t="s">
        <v>338</v>
      </c>
      <c r="B681" s="7"/>
      <c r="C681" s="7"/>
      <c r="D681" s="7">
        <f t="shared" si="10"/>
        <v>0</v>
      </c>
    </row>
    <row r="682" spans="1:4" ht="18.75" x14ac:dyDescent="0.25">
      <c r="A682" s="40"/>
      <c r="B682" s="43">
        <f>SUM(B355:B681)</f>
        <v>1990</v>
      </c>
      <c r="C682" s="43"/>
      <c r="D682" s="43">
        <f t="shared" ref="D682" si="11">SUM(D355:D681)</f>
        <v>30857500</v>
      </c>
    </row>
    <row r="684" spans="1:4" x14ac:dyDescent="0.25">
      <c r="D684" s="53">
        <f>D682+D350</f>
        <v>105797100</v>
      </c>
    </row>
  </sheetData>
  <protectedRanges>
    <protectedRange password="CF71" sqref="B3:C349 B1:D2" name="tho"/>
    <protectedRange password="CF71" sqref="D3:D681" name="tho_2"/>
    <protectedRange password="CF71" sqref="B352:C352 C353:C681" name="tho_1"/>
    <protectedRange password="CF71" sqref="B353:B681" name="tho_2_1"/>
  </protectedRanges>
  <autoFilter ref="A2:D682" xr:uid="{00000000-0009-0000-0000-000006000000}">
    <filterColumn colId="1">
      <customFilters>
        <customFilter operator="notEqual" val=" "/>
      </customFilters>
    </filterColumn>
  </autoFilter>
  <mergeCells count="1">
    <mergeCell ref="A353:A3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685"/>
  <sheetViews>
    <sheetView topLeftCell="A359" workbookViewId="0">
      <selection activeCell="D685" sqref="D685"/>
    </sheetView>
  </sheetViews>
  <sheetFormatPr defaultRowHeight="15" x14ac:dyDescent="0.25"/>
  <cols>
    <col min="1" max="1" width="32.7109375" customWidth="1"/>
    <col min="2" max="2" width="10" customWidth="1"/>
    <col min="3" max="3" width="14.140625" customWidth="1"/>
    <col min="4" max="4" width="20.7109375" customWidth="1"/>
  </cols>
  <sheetData>
    <row r="1" spans="1:4" x14ac:dyDescent="0.25">
      <c r="A1" s="1" t="s">
        <v>396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x14ac:dyDescent="0.25">
      <c r="A3" s="5" t="s">
        <v>2</v>
      </c>
      <c r="B3" s="7">
        <v>7</v>
      </c>
      <c r="C3" s="7">
        <v>24000</v>
      </c>
      <c r="D3" s="7">
        <f>B3*C3</f>
        <v>168000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hidden="1" x14ac:dyDescent="0.25">
      <c r="A7" s="5" t="s">
        <v>5</v>
      </c>
      <c r="B7" s="7"/>
      <c r="C7" s="7"/>
      <c r="D7" s="7">
        <f t="shared" si="0"/>
        <v>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45</v>
      </c>
      <c r="C17" s="7">
        <v>11000</v>
      </c>
      <c r="D17" s="7">
        <f t="shared" si="0"/>
        <v>495000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f>10+12+14</f>
        <v>36</v>
      </c>
      <c r="C21" s="45">
        <v>11000</v>
      </c>
      <c r="D21" s="7">
        <f t="shared" si="0"/>
        <v>396000</v>
      </c>
    </row>
    <row r="22" spans="1:4" ht="18.75" hidden="1" x14ac:dyDescent="0.25">
      <c r="A22" s="9" t="s">
        <v>19</v>
      </c>
      <c r="B22" s="7"/>
      <c r="C22" s="7"/>
      <c r="D22" s="7">
        <f t="shared" si="0"/>
        <v>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-30+114+30</f>
        <v>114</v>
      </c>
      <c r="C27" s="7">
        <v>16000</v>
      </c>
      <c r="D27" s="7">
        <f t="shared" si="0"/>
        <v>1824000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x14ac:dyDescent="0.25">
      <c r="A32" s="12" t="s">
        <v>29</v>
      </c>
      <c r="B32" s="7">
        <v>56</v>
      </c>
      <c r="C32" s="7">
        <v>15500</v>
      </c>
      <c r="D32" s="7">
        <f t="shared" si="0"/>
        <v>868000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hidden="1" x14ac:dyDescent="0.25">
      <c r="A41" s="9" t="s">
        <v>38</v>
      </c>
      <c r="B41" s="7"/>
      <c r="C41" s="7"/>
      <c r="D41" s="7">
        <f t="shared" si="0"/>
        <v>0</v>
      </c>
    </row>
    <row r="42" spans="1:4" ht="18.75" x14ac:dyDescent="0.25">
      <c r="A42" s="9" t="s">
        <v>39</v>
      </c>
      <c r="B42" s="7">
        <v>32</v>
      </c>
      <c r="C42" s="7">
        <v>11200</v>
      </c>
      <c r="D42" s="7">
        <f t="shared" si="0"/>
        <v>358400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-300+80+160+180+240+160+200+160</f>
        <v>880</v>
      </c>
      <c r="C56" s="7">
        <v>22000</v>
      </c>
      <c r="D56" s="7">
        <f t="shared" si="0"/>
        <v>19360000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v>20</v>
      </c>
      <c r="C59" s="7">
        <v>8100</v>
      </c>
      <c r="D59" s="7">
        <f t="shared" si="0"/>
        <v>162000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x14ac:dyDescent="0.25">
      <c r="A63" s="9" t="s">
        <v>60</v>
      </c>
      <c r="B63" s="7">
        <v>1</v>
      </c>
      <c r="C63" s="7">
        <v>13500</v>
      </c>
      <c r="D63" s="7">
        <f t="shared" si="0"/>
        <v>13500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x14ac:dyDescent="0.25">
      <c r="A65" s="17" t="s">
        <v>62</v>
      </c>
      <c r="B65" s="7">
        <v>12</v>
      </c>
      <c r="C65" s="7">
        <v>14500</v>
      </c>
      <c r="D65" s="7">
        <f t="shared" si="0"/>
        <v>174000</v>
      </c>
    </row>
    <row r="66" spans="1:4" ht="18.75" x14ac:dyDescent="0.25">
      <c r="A66" s="9" t="s">
        <v>63</v>
      </c>
      <c r="B66" s="7">
        <v>95</v>
      </c>
      <c r="C66" s="7">
        <v>19000</v>
      </c>
      <c r="D66" s="7">
        <f t="shared" si="0"/>
        <v>1805000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x14ac:dyDescent="0.25">
      <c r="A72" s="12" t="s">
        <v>69</v>
      </c>
      <c r="B72" s="7">
        <v>40</v>
      </c>
      <c r="C72" s="7">
        <v>6500</v>
      </c>
      <c r="D72" s="7">
        <f t="shared" si="1"/>
        <v>260000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hidden="1" x14ac:dyDescent="0.25">
      <c r="A74" s="12" t="s">
        <v>71</v>
      </c>
      <c r="B74" s="7"/>
      <c r="C74" s="7"/>
      <c r="D74" s="7">
        <f t="shared" si="1"/>
        <v>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f>-100+10+35+70+100</f>
        <v>115</v>
      </c>
      <c r="C80" s="7">
        <v>26000</v>
      </c>
      <c r="D80" s="7">
        <f t="shared" si="1"/>
        <v>2990000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hidden="1" x14ac:dyDescent="0.25">
      <c r="A82" s="9" t="s">
        <v>79</v>
      </c>
      <c r="B82" s="7"/>
      <c r="C82" s="7"/>
      <c r="D82" s="7">
        <f t="shared" si="1"/>
        <v>0</v>
      </c>
    </row>
    <row r="83" spans="1:4" ht="18.75" x14ac:dyDescent="0.25">
      <c r="A83" s="9" t="s">
        <v>80</v>
      </c>
      <c r="B83" s="7">
        <f>27+2</f>
        <v>29</v>
      </c>
      <c r="C83" s="7">
        <v>22000</v>
      </c>
      <c r="D83" s="7">
        <f t="shared" si="1"/>
        <v>638000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v>18</v>
      </c>
      <c r="C90" s="7">
        <v>28000</v>
      </c>
      <c r="D90" s="7">
        <f t="shared" si="1"/>
        <v>504000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x14ac:dyDescent="0.25">
      <c r="A99" s="13" t="s">
        <v>95</v>
      </c>
      <c r="B99" s="7">
        <v>5</v>
      </c>
      <c r="C99" s="7">
        <v>30000</v>
      </c>
      <c r="D99" s="7">
        <f t="shared" si="1"/>
        <v>150000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hidden="1" x14ac:dyDescent="0.25">
      <c r="A107" s="9" t="s">
        <v>103</v>
      </c>
      <c r="B107" s="7"/>
      <c r="C107" s="7"/>
      <c r="D107" s="7">
        <f t="shared" si="1"/>
        <v>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x14ac:dyDescent="0.25">
      <c r="A116" s="9" t="s">
        <v>110</v>
      </c>
      <c r="B116" s="7">
        <v>22</v>
      </c>
      <c r="C116" s="7">
        <v>23000</v>
      </c>
      <c r="D116" s="7">
        <f t="shared" si="1"/>
        <v>506000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11" t="s">
        <v>117</v>
      </c>
      <c r="B123" s="7"/>
      <c r="C123" s="7"/>
      <c r="D123" s="7">
        <f t="shared" si="1"/>
        <v>0</v>
      </c>
    </row>
    <row r="124" spans="1:4" ht="18.75" hidden="1" x14ac:dyDescent="0.25">
      <c r="A124" s="21" t="s">
        <v>118</v>
      </c>
      <c r="B124" s="7"/>
      <c r="C124" s="7"/>
      <c r="D124" s="7">
        <f t="shared" si="1"/>
        <v>0</v>
      </c>
    </row>
    <row r="125" spans="1:4" ht="18.75" hidden="1" x14ac:dyDescent="0.25">
      <c r="A125" s="13" t="s">
        <v>395</v>
      </c>
      <c r="B125" s="7"/>
      <c r="C125" s="7"/>
      <c r="D125" s="7">
        <f t="shared" si="1"/>
        <v>0</v>
      </c>
    </row>
    <row r="126" spans="1:4" ht="18.75" hidden="1" x14ac:dyDescent="0.25">
      <c r="A126" s="9" t="s">
        <v>391</v>
      </c>
      <c r="B126" s="7"/>
      <c r="C126" s="7"/>
      <c r="D126" s="7">
        <f t="shared" si="1"/>
        <v>0</v>
      </c>
    </row>
    <row r="127" spans="1:4" ht="18.75" x14ac:dyDescent="0.25">
      <c r="A127" s="11" t="s">
        <v>392</v>
      </c>
      <c r="B127" s="7">
        <v>22</v>
      </c>
      <c r="C127" s="7">
        <v>20000</v>
      </c>
      <c r="D127" s="7">
        <f t="shared" si="1"/>
        <v>440000</v>
      </c>
    </row>
    <row r="128" spans="1:4" ht="18.75" hidden="1" x14ac:dyDescent="0.25">
      <c r="A128" s="9" t="s">
        <v>119</v>
      </c>
      <c r="B128" s="7"/>
      <c r="C128" s="7"/>
      <c r="D128" s="7">
        <f t="shared" si="1"/>
        <v>0</v>
      </c>
    </row>
    <row r="129" spans="1:4" ht="18.75" hidden="1" x14ac:dyDescent="0.25">
      <c r="A129" s="11" t="s">
        <v>120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121</v>
      </c>
      <c r="B130" s="7"/>
      <c r="C130" s="7"/>
      <c r="D130" s="7">
        <f t="shared" si="1"/>
        <v>0</v>
      </c>
    </row>
    <row r="131" spans="1:4" ht="18.75" x14ac:dyDescent="0.25">
      <c r="A131" s="17" t="s">
        <v>382</v>
      </c>
      <c r="B131" s="7">
        <v>26</v>
      </c>
      <c r="C131" s="7">
        <v>20000</v>
      </c>
      <c r="D131" s="7">
        <f t="shared" si="1"/>
        <v>520000</v>
      </c>
    </row>
    <row r="132" spans="1:4" ht="18.75" hidden="1" x14ac:dyDescent="0.25">
      <c r="A132" s="13" t="s">
        <v>383</v>
      </c>
      <c r="B132" s="7"/>
      <c r="C132" s="7"/>
      <c r="D132" s="7">
        <f t="shared" ref="D132:D195" si="2">B132*C132</f>
        <v>0</v>
      </c>
    </row>
    <row r="133" spans="1:4" ht="18.75" x14ac:dyDescent="0.25">
      <c r="A133" s="13" t="s">
        <v>384</v>
      </c>
      <c r="B133" s="7">
        <v>2</v>
      </c>
      <c r="C133" s="7">
        <v>30000</v>
      </c>
      <c r="D133" s="7">
        <f t="shared" si="2"/>
        <v>60000</v>
      </c>
    </row>
    <row r="134" spans="1:4" ht="18.75" x14ac:dyDescent="0.25">
      <c r="A134" s="9" t="s">
        <v>122</v>
      </c>
      <c r="B134" s="7">
        <f>-20+30+10+5</f>
        <v>25</v>
      </c>
      <c r="C134" s="7">
        <v>13500</v>
      </c>
      <c r="D134" s="7">
        <f t="shared" si="2"/>
        <v>337500</v>
      </c>
    </row>
    <row r="135" spans="1:4" ht="18.75" hidden="1" x14ac:dyDescent="0.25">
      <c r="A135" s="9" t="s">
        <v>123</v>
      </c>
      <c r="B135" s="7"/>
      <c r="C135" s="7"/>
      <c r="D135" s="7">
        <f t="shared" si="2"/>
        <v>0</v>
      </c>
    </row>
    <row r="136" spans="1:4" ht="18.75" hidden="1" x14ac:dyDescent="0.25">
      <c r="A136" s="10" t="s">
        <v>124</v>
      </c>
      <c r="B136" s="7"/>
      <c r="C136" s="7"/>
      <c r="D136" s="7">
        <f t="shared" si="2"/>
        <v>0</v>
      </c>
    </row>
    <row r="137" spans="1:4" ht="18.75" hidden="1" x14ac:dyDescent="0.25">
      <c r="A137" s="13" t="s">
        <v>125</v>
      </c>
      <c r="B137" s="7"/>
      <c r="C137" s="7"/>
      <c r="D137" s="7">
        <f t="shared" si="2"/>
        <v>0</v>
      </c>
    </row>
    <row r="138" spans="1:4" ht="18.75" hidden="1" x14ac:dyDescent="0.25">
      <c r="A138" s="12" t="s">
        <v>126</v>
      </c>
      <c r="B138" s="16"/>
      <c r="C138" s="16"/>
      <c r="D138" s="7">
        <f t="shared" si="2"/>
        <v>0</v>
      </c>
    </row>
    <row r="139" spans="1:4" ht="18.75" hidden="1" x14ac:dyDescent="0.25">
      <c r="A139" s="12" t="s">
        <v>128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129</v>
      </c>
      <c r="B140" s="27"/>
      <c r="C140" s="27"/>
      <c r="D140" s="7">
        <f t="shared" si="2"/>
        <v>0</v>
      </c>
    </row>
    <row r="141" spans="1:4" ht="18.75" hidden="1" x14ac:dyDescent="0.25">
      <c r="A141" s="28" t="s">
        <v>130</v>
      </c>
      <c r="B141" s="7"/>
      <c r="C141" s="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132</v>
      </c>
      <c r="B143" s="7"/>
      <c r="C143" s="7"/>
      <c r="D143" s="7">
        <f t="shared" si="2"/>
        <v>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-60+80</f>
        <v>20</v>
      </c>
      <c r="C146" s="7">
        <v>18000</v>
      </c>
      <c r="D146" s="7">
        <f t="shared" si="2"/>
        <v>360000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hidden="1" x14ac:dyDescent="0.25">
      <c r="A178" s="12" t="s">
        <v>167</v>
      </c>
      <c r="B178" s="7"/>
      <c r="C178" s="7"/>
      <c r="D178" s="7">
        <f t="shared" si="2"/>
        <v>0</v>
      </c>
    </row>
    <row r="179" spans="1:4" ht="18.75" hidden="1" x14ac:dyDescent="0.25">
      <c r="A179" s="9" t="s">
        <v>168</v>
      </c>
      <c r="B179" s="7"/>
      <c r="C179" s="46"/>
      <c r="D179" s="7">
        <f t="shared" si="2"/>
        <v>0</v>
      </c>
    </row>
    <row r="180" spans="1:4" ht="18.75" hidden="1" x14ac:dyDescent="0.25">
      <c r="A180" s="30" t="s">
        <v>169</v>
      </c>
      <c r="B180" s="7"/>
      <c r="C180" s="7"/>
      <c r="D180" s="7">
        <f t="shared" si="2"/>
        <v>0</v>
      </c>
    </row>
    <row r="181" spans="1:4" ht="18.75" x14ac:dyDescent="0.25">
      <c r="A181" s="9" t="s">
        <v>170</v>
      </c>
      <c r="B181" s="7">
        <v>85</v>
      </c>
      <c r="C181" s="7">
        <v>11000</v>
      </c>
      <c r="D181" s="7">
        <f t="shared" si="2"/>
        <v>935000</v>
      </c>
    </row>
    <row r="182" spans="1:4" ht="18.75" x14ac:dyDescent="0.25">
      <c r="A182" s="9" t="s">
        <v>171</v>
      </c>
      <c r="B182" s="7">
        <v>5</v>
      </c>
      <c r="C182" s="7">
        <v>11000</v>
      </c>
      <c r="D182" s="7">
        <f t="shared" si="2"/>
        <v>55000</v>
      </c>
    </row>
    <row r="183" spans="1:4" ht="18.75" hidden="1" x14ac:dyDescent="0.25">
      <c r="A183" s="20" t="s">
        <v>172</v>
      </c>
      <c r="B183" s="7"/>
      <c r="C183" s="7"/>
      <c r="D183" s="7">
        <f t="shared" si="2"/>
        <v>0</v>
      </c>
    </row>
    <row r="184" spans="1:4" ht="18.75" hidden="1" x14ac:dyDescent="0.25">
      <c r="A184" s="9" t="s">
        <v>173</v>
      </c>
      <c r="B184" s="7"/>
      <c r="C184" s="7"/>
      <c r="D184" s="7">
        <f t="shared" si="2"/>
        <v>0</v>
      </c>
    </row>
    <row r="185" spans="1:4" ht="18.75" hidden="1" x14ac:dyDescent="0.25">
      <c r="A185" s="31" t="s">
        <v>174</v>
      </c>
      <c r="B185" s="33"/>
      <c r="C185" s="33"/>
      <c r="D185" s="7">
        <f t="shared" si="2"/>
        <v>0</v>
      </c>
    </row>
    <row r="186" spans="1:4" ht="18.75" hidden="1" x14ac:dyDescent="0.25">
      <c r="A186" s="11" t="s">
        <v>175</v>
      </c>
      <c r="B186" s="7"/>
      <c r="C186" s="7"/>
      <c r="D186" s="7">
        <f t="shared" si="2"/>
        <v>0</v>
      </c>
    </row>
    <row r="187" spans="1:4" ht="18.75" x14ac:dyDescent="0.25">
      <c r="A187" s="9" t="s">
        <v>176</v>
      </c>
      <c r="B187" s="7">
        <v>2</v>
      </c>
      <c r="C187" s="7">
        <v>43000</v>
      </c>
      <c r="D187" s="7">
        <f t="shared" si="2"/>
        <v>86000</v>
      </c>
    </row>
    <row r="188" spans="1:4" ht="18.75" hidden="1" x14ac:dyDescent="0.25">
      <c r="A188" s="9" t="s">
        <v>177</v>
      </c>
      <c r="B188" s="7"/>
      <c r="C188" s="7"/>
      <c r="D188" s="7">
        <f t="shared" si="2"/>
        <v>0</v>
      </c>
    </row>
    <row r="189" spans="1:4" ht="18.75" hidden="1" x14ac:dyDescent="0.25">
      <c r="A189" s="12" t="s">
        <v>178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179</v>
      </c>
      <c r="B190" s="7"/>
      <c r="C190" s="7"/>
      <c r="D190" s="7">
        <f t="shared" si="2"/>
        <v>0</v>
      </c>
    </row>
    <row r="191" spans="1:4" ht="18.75" hidden="1" x14ac:dyDescent="0.25">
      <c r="A191" s="9" t="s">
        <v>180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181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182</v>
      </c>
      <c r="B193" s="7"/>
      <c r="C193" s="7"/>
      <c r="D193" s="7">
        <f t="shared" si="2"/>
        <v>0</v>
      </c>
    </row>
    <row r="194" spans="1:4" ht="18.75" x14ac:dyDescent="0.25">
      <c r="A194" s="12" t="s">
        <v>183</v>
      </c>
      <c r="B194" s="7">
        <f>-500+760</f>
        <v>260</v>
      </c>
      <c r="C194" s="7">
        <v>9000</v>
      </c>
      <c r="D194" s="7">
        <f t="shared" si="2"/>
        <v>2340000</v>
      </c>
    </row>
    <row r="195" spans="1:4" ht="18.75" x14ac:dyDescent="0.25">
      <c r="A195" s="9" t="s">
        <v>184</v>
      </c>
      <c r="B195" s="7">
        <f>37/0.3</f>
        <v>123.33333333333334</v>
      </c>
      <c r="C195" s="7">
        <v>2100</v>
      </c>
      <c r="D195" s="7">
        <f t="shared" si="2"/>
        <v>259000.00000000003</v>
      </c>
    </row>
    <row r="196" spans="1:4" ht="18.75" hidden="1" x14ac:dyDescent="0.25">
      <c r="A196" s="9" t="s">
        <v>185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186</v>
      </c>
      <c r="B197" s="7"/>
      <c r="C197" s="7"/>
      <c r="D197" s="7">
        <f t="shared" si="3"/>
        <v>0</v>
      </c>
    </row>
    <row r="198" spans="1:4" ht="18.75" hidden="1" x14ac:dyDescent="0.25">
      <c r="A198" s="12" t="s">
        <v>187</v>
      </c>
      <c r="B198" s="7"/>
      <c r="C198" s="7"/>
      <c r="D198" s="7">
        <f t="shared" si="3"/>
        <v>0</v>
      </c>
    </row>
    <row r="199" spans="1:4" ht="18.75" hidden="1" x14ac:dyDescent="0.25">
      <c r="A199" s="12" t="s">
        <v>188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189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190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191</v>
      </c>
      <c r="B202" s="7"/>
      <c r="C202" s="7"/>
      <c r="D202" s="7">
        <f t="shared" si="3"/>
        <v>0</v>
      </c>
    </row>
    <row r="203" spans="1:4" ht="18.75" hidden="1" x14ac:dyDescent="0.25">
      <c r="A203" s="17" t="s">
        <v>192</v>
      </c>
      <c r="B203" s="7"/>
      <c r="C203" s="7"/>
      <c r="D203" s="7">
        <f t="shared" si="3"/>
        <v>0</v>
      </c>
    </row>
    <row r="204" spans="1:4" ht="18.75" hidden="1" x14ac:dyDescent="0.25">
      <c r="A204" s="12" t="s">
        <v>193</v>
      </c>
      <c r="B204" s="7"/>
      <c r="C204" s="7"/>
      <c r="D204" s="7">
        <f t="shared" si="3"/>
        <v>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f>275+210</f>
        <v>485</v>
      </c>
      <c r="C212" s="7">
        <v>22000</v>
      </c>
      <c r="D212" s="7">
        <f t="shared" si="3"/>
        <v>10670000</v>
      </c>
    </row>
    <row r="213" spans="1:4" ht="18.75" x14ac:dyDescent="0.25">
      <c r="A213" s="12" t="s">
        <v>202</v>
      </c>
      <c r="B213" s="7">
        <v>425</v>
      </c>
      <c r="C213" s="7">
        <v>22000</v>
      </c>
      <c r="D213" s="7">
        <f t="shared" si="3"/>
        <v>9350000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-400+420+40+200+50+40</f>
        <v>350</v>
      </c>
      <c r="C215" s="7">
        <v>19000</v>
      </c>
      <c r="D215" s="7">
        <f t="shared" si="3"/>
        <v>6650000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x14ac:dyDescent="0.25">
      <c r="A221" s="9" t="s">
        <v>210</v>
      </c>
      <c r="B221" s="7">
        <v>15</v>
      </c>
      <c r="C221" s="7">
        <v>12000</v>
      </c>
      <c r="D221" s="7">
        <f t="shared" si="3"/>
        <v>180000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-300+20+30+60+20+60+105+50+120+15</f>
        <v>180</v>
      </c>
      <c r="C226" s="7">
        <v>15000</v>
      </c>
      <c r="D226" s="7">
        <f t="shared" si="3"/>
        <v>2700000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x14ac:dyDescent="0.25">
      <c r="A228" s="9" t="s">
        <v>217</v>
      </c>
      <c r="B228" s="7">
        <f>130/0.5</f>
        <v>260</v>
      </c>
      <c r="C228" s="7">
        <v>7500</v>
      </c>
      <c r="D228" s="7">
        <f t="shared" si="3"/>
        <v>1950000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x14ac:dyDescent="0.25">
      <c r="A231" s="17" t="s">
        <v>220</v>
      </c>
      <c r="B231" s="16">
        <v>1.5</v>
      </c>
      <c r="C231" s="7">
        <v>45000</v>
      </c>
      <c r="D231" s="7">
        <f t="shared" si="3"/>
        <v>67500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hidden="1" x14ac:dyDescent="0.25">
      <c r="A258" s="9" t="s">
        <v>247</v>
      </c>
      <c r="B258" s="7"/>
      <c r="C258" s="7"/>
      <c r="D258" s="7">
        <f t="shared" si="3"/>
        <v>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-20+17+15+35+10+40+60</f>
        <v>157</v>
      </c>
      <c r="C261" s="7">
        <v>23000</v>
      </c>
      <c r="D261" s="7">
        <f t="shared" si="4"/>
        <v>3611000</v>
      </c>
    </row>
    <row r="262" spans="1:4" ht="18.75" x14ac:dyDescent="0.25">
      <c r="A262" s="9" t="s">
        <v>251</v>
      </c>
      <c r="B262" s="7">
        <v>30</v>
      </c>
      <c r="C262" s="7">
        <v>17000</v>
      </c>
      <c r="D262" s="7">
        <f t="shared" si="4"/>
        <v>510000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x14ac:dyDescent="0.25">
      <c r="A264" s="9" t="s">
        <v>253</v>
      </c>
      <c r="B264" s="7">
        <v>10</v>
      </c>
      <c r="C264" s="7">
        <v>9000</v>
      </c>
      <c r="D264" s="7">
        <f t="shared" si="4"/>
        <v>90000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-20+10+60+40</f>
        <v>90</v>
      </c>
      <c r="C268" s="7">
        <v>21000</v>
      </c>
      <c r="D268" s="7">
        <f t="shared" si="4"/>
        <v>1890000</v>
      </c>
    </row>
    <row r="269" spans="1:4" ht="18.75" x14ac:dyDescent="0.25">
      <c r="A269" s="9" t="s">
        <v>259</v>
      </c>
      <c r="B269" s="7">
        <v>18</v>
      </c>
      <c r="C269" s="7">
        <v>17000</v>
      </c>
      <c r="D269" s="7">
        <f t="shared" si="4"/>
        <v>306000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-20+30+30+60</f>
        <v>100</v>
      </c>
      <c r="C272" s="7">
        <v>20000</v>
      </c>
      <c r="D272" s="7">
        <f t="shared" si="4"/>
        <v>2000000</v>
      </c>
    </row>
    <row r="273" spans="1:4" ht="18.75" x14ac:dyDescent="0.25">
      <c r="A273" s="9" t="s">
        <v>263</v>
      </c>
      <c r="B273" s="7">
        <v>8</v>
      </c>
      <c r="C273" s="7">
        <v>15000</v>
      </c>
      <c r="D273" s="7">
        <f t="shared" si="4"/>
        <v>120000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x14ac:dyDescent="0.25">
      <c r="A278" s="11" t="s">
        <v>268</v>
      </c>
      <c r="B278" s="7">
        <v>20</v>
      </c>
      <c r="C278" s="7">
        <v>45000</v>
      </c>
      <c r="D278" s="7">
        <f t="shared" si="4"/>
        <v>900000</v>
      </c>
    </row>
    <row r="279" spans="1:4" ht="18.75" hidden="1" x14ac:dyDescent="0.25">
      <c r="A279" s="9" t="s">
        <v>269</v>
      </c>
      <c r="B279" s="7"/>
      <c r="C279" s="7"/>
      <c r="D279" s="7">
        <f t="shared" si="4"/>
        <v>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20</v>
      </c>
      <c r="C283" s="7">
        <v>19000</v>
      </c>
      <c r="D283" s="7">
        <f t="shared" si="4"/>
        <v>380000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f>52+25</f>
        <v>77</v>
      </c>
      <c r="C297" s="7">
        <v>11000</v>
      </c>
      <c r="D297" s="7">
        <f t="shared" si="4"/>
        <v>847000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v>15</v>
      </c>
      <c r="C300" s="7">
        <v>8000</v>
      </c>
      <c r="D300" s="7">
        <f t="shared" si="4"/>
        <v>120000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v>30</v>
      </c>
      <c r="C303" s="7">
        <v>12000</v>
      </c>
      <c r="D303" s="7">
        <f t="shared" si="4"/>
        <v>360000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x14ac:dyDescent="0.25">
      <c r="A305" s="35" t="s">
        <v>385</v>
      </c>
      <c r="B305" s="7">
        <v>10</v>
      </c>
      <c r="C305" s="7">
        <v>16000</v>
      </c>
      <c r="D305" s="7">
        <f t="shared" si="4"/>
        <v>160000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2" t="s">
        <v>296</v>
      </c>
      <c r="B308" s="7"/>
      <c r="C308" s="7"/>
      <c r="D308" s="7">
        <f t="shared" si="4"/>
        <v>0</v>
      </c>
    </row>
    <row r="309" spans="1:4" ht="18.75" hidden="1" x14ac:dyDescent="0.25">
      <c r="A309" s="17" t="s">
        <v>297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x14ac:dyDescent="0.25">
      <c r="A321" s="13" t="s">
        <v>309</v>
      </c>
      <c r="B321" s="7">
        <v>27</v>
      </c>
      <c r="C321" s="7">
        <v>18000</v>
      </c>
      <c r="D321" s="7">
        <f t="shared" si="4"/>
        <v>486000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x14ac:dyDescent="0.25">
      <c r="A338" s="9" t="s">
        <v>326</v>
      </c>
      <c r="B338" s="7">
        <v>11</v>
      </c>
      <c r="C338" s="7">
        <v>30000</v>
      </c>
      <c r="D338" s="7">
        <f t="shared" si="5"/>
        <v>330000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x14ac:dyDescent="0.25">
      <c r="A342" s="9" t="s">
        <v>330</v>
      </c>
      <c r="B342" s="7">
        <v>23</v>
      </c>
      <c r="C342" s="7">
        <v>6800</v>
      </c>
      <c r="D342" s="7">
        <f t="shared" si="5"/>
        <v>156400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x14ac:dyDescent="0.25">
      <c r="A345" s="9" t="s">
        <v>333</v>
      </c>
      <c r="B345" s="7">
        <v>34</v>
      </c>
      <c r="C345" s="7">
        <v>6800</v>
      </c>
      <c r="D345" s="7">
        <f t="shared" si="5"/>
        <v>231200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4493.8333333333339</v>
      </c>
      <c r="C351" s="43"/>
      <c r="D351" s="7">
        <f>SUM(D3:D345)</f>
        <v>80129500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397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398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v>330</v>
      </c>
      <c r="C359" s="7">
        <v>7300</v>
      </c>
      <c r="D359" s="7">
        <f t="shared" si="5"/>
        <v>2409000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x14ac:dyDescent="0.25">
      <c r="A366" s="9" t="s">
        <v>12</v>
      </c>
      <c r="B366" s="7">
        <f>15+20</f>
        <v>35</v>
      </c>
      <c r="C366" s="7">
        <v>8000</v>
      </c>
      <c r="D366" s="7">
        <f t="shared" si="5"/>
        <v>280000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hidden="1" x14ac:dyDescent="0.25">
      <c r="A373" s="9" t="s">
        <v>19</v>
      </c>
      <c r="B373" s="7"/>
      <c r="C373" s="7"/>
      <c r="D373" s="7">
        <f t="shared" si="5"/>
        <v>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x14ac:dyDescent="0.25">
      <c r="A378" s="9" t="s">
        <v>24</v>
      </c>
      <c r="B378" s="7">
        <v>30</v>
      </c>
      <c r="C378" s="7">
        <v>16000</v>
      </c>
      <c r="D378" s="7">
        <f t="shared" si="5"/>
        <v>480000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51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22000</v>
      </c>
      <c r="D400" s="7">
        <f t="shared" si="6"/>
        <v>6600000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100</v>
      </c>
      <c r="C425" s="7">
        <v>26000</v>
      </c>
      <c r="D425" s="7">
        <f t="shared" si="6"/>
        <v>2600000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90</v>
      </c>
      <c r="B438" s="7"/>
      <c r="C438" s="7"/>
      <c r="D438" s="7">
        <f t="shared" si="6"/>
        <v>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103</v>
      </c>
      <c r="B453" s="7"/>
      <c r="C453" s="7"/>
      <c r="D453" s="7">
        <f t="shared" si="7"/>
        <v>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hidden="1" x14ac:dyDescent="0.25">
      <c r="A457" s="23" t="s">
        <v>107</v>
      </c>
      <c r="B457" s="7"/>
      <c r="C457" s="7"/>
      <c r="D457" s="7">
        <f t="shared" si="7"/>
        <v>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hidden="1" x14ac:dyDescent="0.25">
      <c r="A460" s="9" t="s">
        <v>110</v>
      </c>
      <c r="B460" s="7"/>
      <c r="C460" s="7"/>
      <c r="D460" s="7">
        <f t="shared" si="7"/>
        <v>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346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x14ac:dyDescent="0.25">
      <c r="A472" s="9" t="s">
        <v>122</v>
      </c>
      <c r="B472" s="7">
        <v>20</v>
      </c>
      <c r="C472" s="7">
        <v>13500</v>
      </c>
      <c r="D472" s="7">
        <f t="shared" si="7"/>
        <v>270000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18000</v>
      </c>
      <c r="D483" s="7">
        <f t="shared" si="7"/>
        <v>1080000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x14ac:dyDescent="0.25">
      <c r="A503" s="9" t="s">
        <v>154</v>
      </c>
      <c r="B503" s="7">
        <v>73</v>
      </c>
      <c r="C503" s="7">
        <v>9500</v>
      </c>
      <c r="D503" s="7">
        <f t="shared" si="7"/>
        <v>693500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x14ac:dyDescent="0.25">
      <c r="A508" s="9" t="s">
        <v>159</v>
      </c>
      <c r="B508" s="7">
        <v>15</v>
      </c>
      <c r="C508" s="7">
        <v>8000</v>
      </c>
      <c r="D508" s="7">
        <f t="shared" si="7"/>
        <v>120000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x14ac:dyDescent="0.25">
      <c r="A515" s="9" t="s">
        <v>349</v>
      </c>
      <c r="B515" s="7">
        <f>162+108+487</f>
        <v>757</v>
      </c>
      <c r="C515" s="7">
        <v>5000</v>
      </c>
      <c r="D515" s="7">
        <f t="shared" si="7"/>
        <v>3785000</v>
      </c>
    </row>
    <row r="516" spans="1:4" ht="18.75" hidden="1" x14ac:dyDescent="0.25">
      <c r="A516" s="12" t="s">
        <v>167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x14ac:dyDescent="0.25">
      <c r="A531" s="12" t="s">
        <v>183</v>
      </c>
      <c r="B531" s="7">
        <v>500</v>
      </c>
      <c r="C531" s="7">
        <v>9000</v>
      </c>
      <c r="D531" s="7">
        <f t="shared" si="8"/>
        <v>4500000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400</v>
      </c>
      <c r="C553" s="7">
        <v>19000</v>
      </c>
      <c r="D553" s="7">
        <f t="shared" si="8"/>
        <v>7600000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212</v>
      </c>
      <c r="B564" s="7"/>
      <c r="C564" s="7"/>
      <c r="D564" s="7">
        <f t="shared" si="8"/>
        <v>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300</v>
      </c>
      <c r="C567" s="7">
        <v>15000</v>
      </c>
      <c r="D567" s="7">
        <f t="shared" si="8"/>
        <v>4500000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23000</v>
      </c>
      <c r="D596" s="7">
        <f t="shared" si="9"/>
        <v>460000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21000</v>
      </c>
      <c r="D604" s="7">
        <f t="shared" si="9"/>
        <v>420000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20000</v>
      </c>
      <c r="D608" s="7">
        <f t="shared" si="9"/>
        <v>400000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hidden="1" x14ac:dyDescent="0.25">
      <c r="A674" s="9" t="s">
        <v>329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2980</v>
      </c>
      <c r="C683" s="43"/>
      <c r="D683" s="43">
        <f t="shared" ref="D683" si="11">SUM(D356:D682)</f>
        <v>36197500</v>
      </c>
    </row>
    <row r="685" spans="1:4" x14ac:dyDescent="0.25">
      <c r="D685" s="53">
        <f>D683+D351</f>
        <v>116327000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07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399"/>
  <sheetViews>
    <sheetView topLeftCell="A198" workbookViewId="0">
      <selection activeCell="D399" sqref="D399"/>
    </sheetView>
  </sheetViews>
  <sheetFormatPr defaultRowHeight="15" x14ac:dyDescent="0.25"/>
  <cols>
    <col min="1" max="1" width="39" customWidth="1"/>
    <col min="3" max="3" width="15.85546875" customWidth="1"/>
    <col min="4" max="4" width="22.42578125" customWidth="1"/>
  </cols>
  <sheetData>
    <row r="1" spans="1:4" x14ac:dyDescent="0.25">
      <c r="A1" s="1" t="s">
        <v>399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x14ac:dyDescent="0.25">
      <c r="A3" s="5" t="s">
        <v>2</v>
      </c>
      <c r="B3" s="7">
        <v>20</v>
      </c>
      <c r="C3" s="7">
        <v>24000</v>
      </c>
      <c r="D3" s="7">
        <f>B3*C3</f>
        <v>480000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hidden="1" x14ac:dyDescent="0.25">
      <c r="A7" s="5" t="s">
        <v>5</v>
      </c>
      <c r="B7" s="7"/>
      <c r="C7" s="7"/>
      <c r="D7" s="7">
        <f t="shared" si="0"/>
        <v>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hidden="1" x14ac:dyDescent="0.25">
      <c r="A17" s="12" t="s">
        <v>14</v>
      </c>
      <c r="B17" s="7"/>
      <c r="C17" s="7"/>
      <c r="D17" s="7">
        <f t="shared" si="0"/>
        <v>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v>18</v>
      </c>
      <c r="C21" s="45">
        <v>10500</v>
      </c>
      <c r="D21" s="7">
        <f t="shared" si="0"/>
        <v>189000</v>
      </c>
    </row>
    <row r="22" spans="1:4" ht="18.75" x14ac:dyDescent="0.25">
      <c r="A22" s="9" t="s">
        <v>19</v>
      </c>
      <c r="B22" s="7">
        <v>70</v>
      </c>
      <c r="C22" s="7">
        <v>14500</v>
      </c>
      <c r="D22" s="7">
        <f t="shared" si="0"/>
        <v>1015000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54" t="s">
        <v>24</v>
      </c>
      <c r="B27" s="52">
        <f>-30+87+7+20</f>
        <v>84</v>
      </c>
      <c r="C27" s="52">
        <v>16000</v>
      </c>
      <c r="D27" s="7">
        <f t="shared" si="0"/>
        <v>1344000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x14ac:dyDescent="0.25">
      <c r="A32" s="12" t="s">
        <v>29</v>
      </c>
      <c r="B32" s="7">
        <v>30</v>
      </c>
      <c r="C32" s="7">
        <v>15500</v>
      </c>
      <c r="D32" s="7">
        <f t="shared" si="0"/>
        <v>465000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x14ac:dyDescent="0.25">
      <c r="A41" s="9" t="s">
        <v>38</v>
      </c>
      <c r="B41" s="7">
        <v>2</v>
      </c>
      <c r="C41" s="7">
        <v>32000</v>
      </c>
      <c r="D41" s="7">
        <f t="shared" si="0"/>
        <v>64000</v>
      </c>
    </row>
    <row r="42" spans="1:4" ht="18.75" x14ac:dyDescent="0.25">
      <c r="A42" s="9" t="s">
        <v>39</v>
      </c>
      <c r="B42" s="7">
        <f>16+18</f>
        <v>34</v>
      </c>
      <c r="C42" s="7">
        <v>11200</v>
      </c>
      <c r="D42" s="7">
        <f t="shared" si="0"/>
        <v>380800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-300+80+260+240+260+170+20</f>
        <v>730</v>
      </c>
      <c r="C56" s="7">
        <v>22000</v>
      </c>
      <c r="D56" s="7">
        <f t="shared" si="0"/>
        <v>16060000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v>30</v>
      </c>
      <c r="C59" s="7">
        <v>8100</v>
      </c>
      <c r="D59" s="7">
        <f t="shared" si="0"/>
        <v>243000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v>100</v>
      </c>
      <c r="C66" s="7">
        <v>19000</v>
      </c>
      <c r="D66" s="7">
        <f t="shared" si="0"/>
        <v>1900000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hidden="1" x14ac:dyDescent="0.25">
      <c r="A72" s="12" t="s">
        <v>69</v>
      </c>
      <c r="B72" s="7"/>
      <c r="C72" s="7"/>
      <c r="D72" s="7">
        <f t="shared" si="1"/>
        <v>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x14ac:dyDescent="0.25">
      <c r="A74" s="12" t="s">
        <v>71</v>
      </c>
      <c r="B74" s="7">
        <v>2</v>
      </c>
      <c r="C74" s="7">
        <v>6500</v>
      </c>
      <c r="D74" s="7">
        <f t="shared" si="1"/>
        <v>13000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x14ac:dyDescent="0.25">
      <c r="A76" s="12" t="s">
        <v>73</v>
      </c>
      <c r="B76" s="7">
        <v>40</v>
      </c>
      <c r="C76" s="7">
        <v>7200</v>
      </c>
      <c r="D76" s="7">
        <f t="shared" si="1"/>
        <v>288000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hidden="1" x14ac:dyDescent="0.25">
      <c r="A80" s="9" t="s">
        <v>77</v>
      </c>
      <c r="B80" s="7"/>
      <c r="C80" s="7"/>
      <c r="D80" s="7">
        <f t="shared" si="1"/>
        <v>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hidden="1" x14ac:dyDescent="0.25">
      <c r="A82" s="9" t="s">
        <v>79</v>
      </c>
      <c r="B82" s="7"/>
      <c r="C82" s="7"/>
      <c r="D82" s="7">
        <f t="shared" si="1"/>
        <v>0</v>
      </c>
    </row>
    <row r="83" spans="1:4" ht="18.75" x14ac:dyDescent="0.25">
      <c r="A83" s="9" t="s">
        <v>80</v>
      </c>
      <c r="B83" s="7">
        <v>7</v>
      </c>
      <c r="C83" s="7">
        <v>22000</v>
      </c>
      <c r="D83" s="7">
        <f t="shared" si="1"/>
        <v>154000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x14ac:dyDescent="0.25">
      <c r="A85" s="17" t="s">
        <v>380</v>
      </c>
      <c r="B85" s="7">
        <v>24</v>
      </c>
      <c r="C85" s="7">
        <v>24000</v>
      </c>
      <c r="D85" s="7">
        <f t="shared" si="1"/>
        <v>576000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hidden="1" x14ac:dyDescent="0.25">
      <c r="A90" s="9" t="s">
        <v>86</v>
      </c>
      <c r="B90" s="7"/>
      <c r="C90" s="7"/>
      <c r="D90" s="7">
        <f t="shared" si="1"/>
        <v>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hidden="1" x14ac:dyDescent="0.25">
      <c r="A107" s="9" t="s">
        <v>103</v>
      </c>
      <c r="B107" s="7"/>
      <c r="C107" s="7"/>
      <c r="D107" s="7">
        <f t="shared" si="1"/>
        <v>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11" t="s">
        <v>117</v>
      </c>
      <c r="B123" s="7"/>
      <c r="C123" s="7"/>
      <c r="D123" s="7">
        <f t="shared" si="1"/>
        <v>0</v>
      </c>
    </row>
    <row r="124" spans="1:4" ht="18.75" hidden="1" x14ac:dyDescent="0.25">
      <c r="A124" s="21" t="s">
        <v>118</v>
      </c>
      <c r="B124" s="7"/>
      <c r="C124" s="7"/>
      <c r="D124" s="7">
        <f t="shared" si="1"/>
        <v>0</v>
      </c>
    </row>
    <row r="125" spans="1:4" ht="18.75" hidden="1" x14ac:dyDescent="0.25">
      <c r="A125" s="11" t="s">
        <v>395</v>
      </c>
      <c r="B125" s="7"/>
      <c r="C125" s="7"/>
      <c r="D125" s="7">
        <f t="shared" si="1"/>
        <v>0</v>
      </c>
    </row>
    <row r="126" spans="1:4" ht="18.75" hidden="1" x14ac:dyDescent="0.25">
      <c r="A126" s="9" t="s">
        <v>391</v>
      </c>
      <c r="B126" s="7"/>
      <c r="C126" s="7"/>
      <c r="D126" s="7">
        <f t="shared" si="1"/>
        <v>0</v>
      </c>
    </row>
    <row r="127" spans="1:4" ht="18.75" hidden="1" x14ac:dyDescent="0.25">
      <c r="A127" s="11" t="s">
        <v>392</v>
      </c>
      <c r="B127" s="7"/>
      <c r="C127" s="7"/>
      <c r="D127" s="7">
        <f t="shared" si="1"/>
        <v>0</v>
      </c>
    </row>
    <row r="128" spans="1:4" ht="18.75" hidden="1" x14ac:dyDescent="0.25">
      <c r="A128" s="9" t="s">
        <v>119</v>
      </c>
      <c r="B128" s="7"/>
      <c r="C128" s="7"/>
      <c r="D128" s="7">
        <f t="shared" si="1"/>
        <v>0</v>
      </c>
    </row>
    <row r="129" spans="1:4" ht="18.75" hidden="1" x14ac:dyDescent="0.25">
      <c r="A129" s="11" t="s">
        <v>120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121</v>
      </c>
      <c r="B130" s="7"/>
      <c r="C130" s="7"/>
      <c r="D130" s="7">
        <f t="shared" si="1"/>
        <v>0</v>
      </c>
    </row>
    <row r="131" spans="1:4" ht="18.75" hidden="1" x14ac:dyDescent="0.25">
      <c r="A131" s="17" t="s">
        <v>382</v>
      </c>
      <c r="B131" s="7"/>
      <c r="C131" s="7"/>
      <c r="D131" s="7">
        <f t="shared" si="1"/>
        <v>0</v>
      </c>
    </row>
    <row r="132" spans="1:4" ht="18.75" hidden="1" x14ac:dyDescent="0.25">
      <c r="A132" s="13" t="s">
        <v>383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384</v>
      </c>
      <c r="B133" s="7"/>
      <c r="C133" s="7"/>
      <c r="D133" s="7">
        <f t="shared" si="2"/>
        <v>0</v>
      </c>
    </row>
    <row r="134" spans="1:4" ht="18.75" hidden="1" x14ac:dyDescent="0.25">
      <c r="A134" s="9" t="s">
        <v>122</v>
      </c>
      <c r="B134" s="7"/>
      <c r="C134" s="7"/>
      <c r="D134" s="7">
        <f t="shared" si="2"/>
        <v>0</v>
      </c>
    </row>
    <row r="135" spans="1:4" ht="18.75" hidden="1" x14ac:dyDescent="0.25">
      <c r="A135" s="9" t="s">
        <v>123</v>
      </c>
      <c r="B135" s="7"/>
      <c r="C135" s="7"/>
      <c r="D135" s="7">
        <f t="shared" si="2"/>
        <v>0</v>
      </c>
    </row>
    <row r="136" spans="1:4" ht="18.75" hidden="1" x14ac:dyDescent="0.25">
      <c r="A136" s="10" t="s">
        <v>124</v>
      </c>
      <c r="B136" s="7"/>
      <c r="C136" s="7"/>
      <c r="D136" s="7">
        <f t="shared" si="2"/>
        <v>0</v>
      </c>
    </row>
    <row r="137" spans="1:4" ht="18.75" hidden="1" x14ac:dyDescent="0.25">
      <c r="A137" s="13" t="s">
        <v>125</v>
      </c>
      <c r="B137" s="7"/>
      <c r="C137" s="7"/>
      <c r="D137" s="7">
        <f t="shared" si="2"/>
        <v>0</v>
      </c>
    </row>
    <row r="138" spans="1:4" ht="18.75" hidden="1" x14ac:dyDescent="0.25">
      <c r="A138" s="12" t="s">
        <v>126</v>
      </c>
      <c r="B138" s="16"/>
      <c r="C138" s="16"/>
      <c r="D138" s="7">
        <f t="shared" si="2"/>
        <v>0</v>
      </c>
    </row>
    <row r="139" spans="1:4" ht="18.75" hidden="1" x14ac:dyDescent="0.25">
      <c r="A139" s="12" t="s">
        <v>128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129</v>
      </c>
      <c r="B140" s="27"/>
      <c r="C140" s="27"/>
      <c r="D140" s="7">
        <f t="shared" si="2"/>
        <v>0</v>
      </c>
    </row>
    <row r="141" spans="1:4" ht="18.75" hidden="1" x14ac:dyDescent="0.25">
      <c r="A141" s="28" t="s">
        <v>130</v>
      </c>
      <c r="B141" s="7"/>
      <c r="C141" s="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132</v>
      </c>
      <c r="B143" s="7"/>
      <c r="C143" s="7"/>
      <c r="D143" s="7">
        <f t="shared" si="2"/>
        <v>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hidden="1" x14ac:dyDescent="0.25">
      <c r="A146" s="9" t="s">
        <v>135</v>
      </c>
      <c r="B146" s="7"/>
      <c r="C146" s="7"/>
      <c r="D146" s="7">
        <f t="shared" si="2"/>
        <v>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x14ac:dyDescent="0.25">
      <c r="A148" s="12" t="s">
        <v>137</v>
      </c>
      <c r="B148" s="7">
        <v>3</v>
      </c>
      <c r="C148" s="7">
        <v>45000</v>
      </c>
      <c r="D148" s="7">
        <f t="shared" si="2"/>
        <v>135000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x14ac:dyDescent="0.25">
      <c r="A166" s="9" t="s">
        <v>155</v>
      </c>
      <c r="B166" s="7">
        <v>15</v>
      </c>
      <c r="C166" s="7">
        <v>9000</v>
      </c>
      <c r="D166" s="7">
        <f t="shared" si="2"/>
        <v>135000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hidden="1" x14ac:dyDescent="0.25">
      <c r="A178" s="12" t="s">
        <v>167</v>
      </c>
      <c r="B178" s="7"/>
      <c r="C178" s="7"/>
      <c r="D178" s="7">
        <f t="shared" si="2"/>
        <v>0</v>
      </c>
    </row>
    <row r="179" spans="1:4" ht="18.75" hidden="1" x14ac:dyDescent="0.25">
      <c r="A179" s="9" t="s">
        <v>168</v>
      </c>
      <c r="B179" s="7"/>
      <c r="C179" s="46"/>
      <c r="D179" s="7">
        <f t="shared" si="2"/>
        <v>0</v>
      </c>
    </row>
    <row r="180" spans="1:4" ht="18.75" hidden="1" x14ac:dyDescent="0.25">
      <c r="A180" s="30" t="s">
        <v>169</v>
      </c>
      <c r="B180" s="7"/>
      <c r="C180" s="7"/>
      <c r="D180" s="7">
        <f t="shared" si="2"/>
        <v>0</v>
      </c>
    </row>
    <row r="181" spans="1:4" ht="18.75" x14ac:dyDescent="0.25">
      <c r="A181" s="9" t="s">
        <v>170</v>
      </c>
      <c r="B181" s="7">
        <v>30</v>
      </c>
      <c r="C181" s="7">
        <v>6500</v>
      </c>
      <c r="D181" s="7">
        <f t="shared" si="2"/>
        <v>195000</v>
      </c>
    </row>
    <row r="182" spans="1:4" ht="18.75" hidden="1" x14ac:dyDescent="0.25">
      <c r="A182" s="9" t="s">
        <v>171</v>
      </c>
      <c r="B182" s="7"/>
      <c r="C182" s="7"/>
      <c r="D182" s="7">
        <f t="shared" si="2"/>
        <v>0</v>
      </c>
    </row>
    <row r="183" spans="1:4" ht="18.75" hidden="1" x14ac:dyDescent="0.25">
      <c r="A183" s="20" t="s">
        <v>172</v>
      </c>
      <c r="B183" s="7"/>
      <c r="C183" s="7"/>
      <c r="D183" s="7">
        <f t="shared" si="2"/>
        <v>0</v>
      </c>
    </row>
    <row r="184" spans="1:4" ht="18.75" hidden="1" x14ac:dyDescent="0.25">
      <c r="A184" s="9" t="s">
        <v>173</v>
      </c>
      <c r="B184" s="7"/>
      <c r="C184" s="7"/>
      <c r="D184" s="7">
        <f t="shared" si="2"/>
        <v>0</v>
      </c>
    </row>
    <row r="185" spans="1:4" ht="18.75" hidden="1" x14ac:dyDescent="0.25">
      <c r="A185" s="31" t="s">
        <v>174</v>
      </c>
      <c r="B185" s="33"/>
      <c r="C185" s="33"/>
      <c r="D185" s="7">
        <f t="shared" si="2"/>
        <v>0</v>
      </c>
    </row>
    <row r="186" spans="1:4" ht="18.75" hidden="1" x14ac:dyDescent="0.25">
      <c r="A186" s="11" t="s">
        <v>175</v>
      </c>
      <c r="B186" s="7"/>
      <c r="C186" s="7"/>
      <c r="D186" s="7">
        <f t="shared" si="2"/>
        <v>0</v>
      </c>
    </row>
    <row r="187" spans="1:4" ht="18.75" x14ac:dyDescent="0.25">
      <c r="A187" s="9" t="s">
        <v>176</v>
      </c>
      <c r="B187" s="7">
        <v>1</v>
      </c>
      <c r="C187" s="7">
        <v>43000</v>
      </c>
      <c r="D187" s="7">
        <f t="shared" si="2"/>
        <v>43000</v>
      </c>
    </row>
    <row r="188" spans="1:4" ht="18.75" hidden="1" x14ac:dyDescent="0.25">
      <c r="A188" s="9" t="s">
        <v>177</v>
      </c>
      <c r="B188" s="7"/>
      <c r="C188" s="7"/>
      <c r="D188" s="7">
        <f t="shared" si="2"/>
        <v>0</v>
      </c>
    </row>
    <row r="189" spans="1:4" ht="18.75" hidden="1" x14ac:dyDescent="0.25">
      <c r="A189" s="12" t="s">
        <v>178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179</v>
      </c>
      <c r="B190" s="7"/>
      <c r="C190" s="7"/>
      <c r="D190" s="7">
        <f t="shared" si="2"/>
        <v>0</v>
      </c>
    </row>
    <row r="191" spans="1:4" ht="18.75" hidden="1" x14ac:dyDescent="0.25">
      <c r="A191" s="9" t="s">
        <v>180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181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182</v>
      </c>
      <c r="B193" s="7"/>
      <c r="C193" s="7"/>
      <c r="D193" s="7">
        <f t="shared" si="2"/>
        <v>0</v>
      </c>
    </row>
    <row r="194" spans="1:4" ht="18.75" x14ac:dyDescent="0.25">
      <c r="A194" s="12" t="s">
        <v>183</v>
      </c>
      <c r="B194" s="7">
        <f>-500+80+640</f>
        <v>220</v>
      </c>
      <c r="C194" s="7">
        <v>12000</v>
      </c>
      <c r="D194" s="7">
        <f t="shared" si="2"/>
        <v>2640000</v>
      </c>
    </row>
    <row r="195" spans="1:4" ht="18.75" x14ac:dyDescent="0.25">
      <c r="A195" s="9" t="s">
        <v>184</v>
      </c>
      <c r="B195" s="7">
        <v>30</v>
      </c>
      <c r="C195" s="7">
        <v>2100</v>
      </c>
      <c r="D195" s="7">
        <f t="shared" si="2"/>
        <v>63000</v>
      </c>
    </row>
    <row r="196" spans="1:4" ht="18.75" hidden="1" x14ac:dyDescent="0.25">
      <c r="A196" s="9" t="s">
        <v>185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186</v>
      </c>
      <c r="B197" s="7"/>
      <c r="C197" s="7"/>
      <c r="D197" s="7">
        <f t="shared" si="3"/>
        <v>0</v>
      </c>
    </row>
    <row r="198" spans="1:4" ht="18.75" x14ac:dyDescent="0.25">
      <c r="A198" s="12" t="s">
        <v>187</v>
      </c>
      <c r="B198" s="7">
        <v>20</v>
      </c>
      <c r="C198" s="7">
        <v>20000</v>
      </c>
      <c r="D198" s="7">
        <f t="shared" si="3"/>
        <v>400000</v>
      </c>
    </row>
    <row r="199" spans="1:4" ht="18.75" hidden="1" x14ac:dyDescent="0.25">
      <c r="A199" s="12" t="s">
        <v>188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189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190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191</v>
      </c>
      <c r="B202" s="7"/>
      <c r="C202" s="7"/>
      <c r="D202" s="7">
        <f t="shared" si="3"/>
        <v>0</v>
      </c>
    </row>
    <row r="203" spans="1:4" ht="18.75" hidden="1" x14ac:dyDescent="0.25">
      <c r="A203" s="17" t="s">
        <v>192</v>
      </c>
      <c r="B203" s="7"/>
      <c r="C203" s="7"/>
      <c r="D203" s="7">
        <f t="shared" si="3"/>
        <v>0</v>
      </c>
    </row>
    <row r="204" spans="1:4" ht="18.75" hidden="1" x14ac:dyDescent="0.25">
      <c r="A204" s="12" t="s">
        <v>193</v>
      </c>
      <c r="B204" s="7"/>
      <c r="C204" s="7"/>
      <c r="D204" s="7">
        <f t="shared" si="3"/>
        <v>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v>80</v>
      </c>
      <c r="C212" s="7">
        <v>22000</v>
      </c>
      <c r="D212" s="7">
        <f t="shared" si="3"/>
        <v>1760000</v>
      </c>
    </row>
    <row r="213" spans="1:4" ht="18.75" x14ac:dyDescent="0.25">
      <c r="A213" s="12" t="s">
        <v>202</v>
      </c>
      <c r="B213" s="7">
        <f>100+120+110+325</f>
        <v>655</v>
      </c>
      <c r="C213" s="7">
        <v>22000</v>
      </c>
      <c r="D213" s="7">
        <f t="shared" si="3"/>
        <v>14410000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-400+120+40+450</f>
        <v>210</v>
      </c>
      <c r="C215" s="7">
        <v>19000</v>
      </c>
      <c r="D215" s="7">
        <f t="shared" si="3"/>
        <v>3990000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x14ac:dyDescent="0.25">
      <c r="A221" s="9" t="s">
        <v>210</v>
      </c>
      <c r="B221" s="7">
        <v>2</v>
      </c>
      <c r="C221" s="7">
        <v>12000</v>
      </c>
      <c r="D221" s="7">
        <f t="shared" si="3"/>
        <v>24000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hidden="1" x14ac:dyDescent="0.25">
      <c r="A226" s="9" t="s">
        <v>215</v>
      </c>
      <c r="B226" s="7"/>
      <c r="C226" s="7"/>
      <c r="D226" s="7">
        <f t="shared" si="3"/>
        <v>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x14ac:dyDescent="0.25">
      <c r="A228" s="9" t="s">
        <v>217</v>
      </c>
      <c r="B228" s="7">
        <v>140</v>
      </c>
      <c r="C228" s="7">
        <v>6500</v>
      </c>
      <c r="D228" s="7">
        <f t="shared" si="3"/>
        <v>910000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hidden="1" x14ac:dyDescent="0.25">
      <c r="A231" s="17" t="s">
        <v>220</v>
      </c>
      <c r="B231" s="7"/>
      <c r="C231" s="7"/>
      <c r="D231" s="7">
        <f t="shared" si="3"/>
        <v>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hidden="1" x14ac:dyDescent="0.25">
      <c r="A258" s="9" t="s">
        <v>247</v>
      </c>
      <c r="B258" s="7"/>
      <c r="C258" s="7"/>
      <c r="D258" s="7">
        <f t="shared" si="3"/>
        <v>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-20+30+15+20+20</f>
        <v>65</v>
      </c>
      <c r="C261" s="7">
        <v>25000</v>
      </c>
      <c r="D261" s="7">
        <f t="shared" si="4"/>
        <v>1625000</v>
      </c>
    </row>
    <row r="262" spans="1:4" ht="18.75" x14ac:dyDescent="0.25">
      <c r="A262" s="9" t="s">
        <v>251</v>
      </c>
      <c r="B262" s="7">
        <v>20</v>
      </c>
      <c r="C262" s="7">
        <v>17000</v>
      </c>
      <c r="D262" s="7">
        <f t="shared" si="4"/>
        <v>340000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x14ac:dyDescent="0.25">
      <c r="A264" s="9" t="s">
        <v>253</v>
      </c>
      <c r="B264" s="7">
        <v>10</v>
      </c>
      <c r="C264" s="7">
        <v>10000</v>
      </c>
      <c r="D264" s="7">
        <f t="shared" si="4"/>
        <v>100000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-20+30+20</f>
        <v>30</v>
      </c>
      <c r="C268" s="7">
        <v>21000</v>
      </c>
      <c r="D268" s="7">
        <f t="shared" si="4"/>
        <v>630000</v>
      </c>
    </row>
    <row r="269" spans="1:4" ht="18.75" x14ac:dyDescent="0.25">
      <c r="A269" s="9" t="s">
        <v>259</v>
      </c>
      <c r="B269" s="7">
        <f>18+13+15</f>
        <v>46</v>
      </c>
      <c r="C269" s="7">
        <v>17000</v>
      </c>
      <c r="D269" s="7">
        <f t="shared" si="4"/>
        <v>782000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-20+10+38</f>
        <v>28</v>
      </c>
      <c r="C272" s="7">
        <v>20000</v>
      </c>
      <c r="D272" s="7">
        <f t="shared" si="4"/>
        <v>560000</v>
      </c>
    </row>
    <row r="273" spans="1:4" ht="18.75" x14ac:dyDescent="0.25">
      <c r="A273" s="9" t="s">
        <v>263</v>
      </c>
      <c r="B273" s="7">
        <v>28</v>
      </c>
      <c r="C273" s="7">
        <v>15000</v>
      </c>
      <c r="D273" s="7">
        <f t="shared" si="4"/>
        <v>420000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x14ac:dyDescent="0.25">
      <c r="A279" s="9" t="s">
        <v>269</v>
      </c>
      <c r="B279" s="7">
        <v>7</v>
      </c>
      <c r="C279" s="7">
        <v>14000</v>
      </c>
      <c r="D279" s="7">
        <f t="shared" si="4"/>
        <v>98000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14</v>
      </c>
      <c r="C283" s="7">
        <v>19000</v>
      </c>
      <c r="D283" s="7">
        <f t="shared" si="4"/>
        <v>266000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21</v>
      </c>
      <c r="C297" s="7">
        <v>11000</v>
      </c>
      <c r="D297" s="7">
        <f t="shared" si="4"/>
        <v>231000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hidden="1" x14ac:dyDescent="0.25">
      <c r="A300" s="9" t="s">
        <v>290</v>
      </c>
      <c r="B300" s="7"/>
      <c r="C300" s="7"/>
      <c r="D300" s="7">
        <f t="shared" si="4"/>
        <v>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v>47</v>
      </c>
      <c r="C303" s="7">
        <v>13000</v>
      </c>
      <c r="D303" s="7">
        <f t="shared" si="4"/>
        <v>611000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2" t="s">
        <v>296</v>
      </c>
      <c r="B308" s="7"/>
      <c r="C308" s="7"/>
      <c r="D308" s="7">
        <f t="shared" si="4"/>
        <v>0</v>
      </c>
    </row>
    <row r="309" spans="1:4" ht="18.75" hidden="1" x14ac:dyDescent="0.25">
      <c r="A309" s="17" t="s">
        <v>297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x14ac:dyDescent="0.25">
      <c r="A321" s="13" t="s">
        <v>309</v>
      </c>
      <c r="B321" s="7">
        <v>37</v>
      </c>
      <c r="C321" s="7">
        <v>18000</v>
      </c>
      <c r="D321" s="7">
        <f t="shared" si="4"/>
        <v>666000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x14ac:dyDescent="0.25">
      <c r="A342" s="9" t="s">
        <v>330</v>
      </c>
      <c r="B342" s="7">
        <v>18</v>
      </c>
      <c r="C342" s="7">
        <v>7000</v>
      </c>
      <c r="D342" s="7">
        <f t="shared" si="5"/>
        <v>126000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x14ac:dyDescent="0.25">
      <c r="A345" s="54" t="s">
        <v>333</v>
      </c>
      <c r="B345" s="52">
        <v>32</v>
      </c>
      <c r="C345" s="52">
        <v>6800</v>
      </c>
      <c r="D345" s="7">
        <f t="shared" si="5"/>
        <v>217600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3000</v>
      </c>
      <c r="C351" s="43"/>
      <c r="D351" s="7">
        <f>SUM(D3:D345)</f>
        <v>54549400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400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x14ac:dyDescent="0.25">
      <c r="A356" s="9" t="s">
        <v>110</v>
      </c>
      <c r="B356" s="7">
        <v>8</v>
      </c>
      <c r="C356" s="7">
        <v>23000</v>
      </c>
      <c r="D356" s="7">
        <f t="shared" si="5"/>
        <v>184000</v>
      </c>
    </row>
    <row r="357" spans="1:4" ht="18.75" x14ac:dyDescent="0.25">
      <c r="A357" s="9" t="s">
        <v>250</v>
      </c>
      <c r="B357" s="7">
        <v>20</v>
      </c>
      <c r="C357" s="7">
        <v>25000</v>
      </c>
      <c r="D357" s="7">
        <f t="shared" si="5"/>
        <v>500000</v>
      </c>
    </row>
    <row r="358" spans="1:4" ht="18.75" x14ac:dyDescent="0.25">
      <c r="A358" s="9" t="s">
        <v>258</v>
      </c>
      <c r="B358" s="7">
        <v>20</v>
      </c>
      <c r="C358" s="7">
        <v>21000</v>
      </c>
      <c r="D358" s="7">
        <f t="shared" si="5"/>
        <v>420000</v>
      </c>
    </row>
    <row r="359" spans="1:4" ht="18.75" x14ac:dyDescent="0.25">
      <c r="A359" s="9" t="s">
        <v>262</v>
      </c>
      <c r="B359" s="7">
        <v>20</v>
      </c>
      <c r="C359" s="7">
        <v>20000</v>
      </c>
      <c r="D359" s="7">
        <f t="shared" si="5"/>
        <v>400000</v>
      </c>
    </row>
    <row r="360" spans="1:4" ht="18.75" x14ac:dyDescent="0.25">
      <c r="A360" s="9" t="s">
        <v>135</v>
      </c>
      <c r="B360" s="7">
        <v>28</v>
      </c>
      <c r="C360" s="7">
        <v>18000</v>
      </c>
      <c r="D360" s="7">
        <f t="shared" si="5"/>
        <v>504000</v>
      </c>
    </row>
    <row r="361" spans="1:4" ht="18.75" hidden="1" x14ac:dyDescent="0.25">
      <c r="A361" s="12" t="s">
        <v>193</v>
      </c>
      <c r="B361" s="7"/>
      <c r="C361" s="7"/>
      <c r="D361" s="7">
        <f t="shared" si="5"/>
        <v>0</v>
      </c>
    </row>
    <row r="362" spans="1:4" ht="18.75" hidden="1" x14ac:dyDescent="0.25">
      <c r="A362" s="9" t="s">
        <v>212</v>
      </c>
      <c r="B362" s="7"/>
      <c r="C362" s="7"/>
      <c r="D362" s="7">
        <f t="shared" si="5"/>
        <v>0</v>
      </c>
    </row>
    <row r="363" spans="1:4" ht="18.75" x14ac:dyDescent="0.25">
      <c r="A363" s="9" t="s">
        <v>215</v>
      </c>
      <c r="B363" s="7">
        <v>285</v>
      </c>
      <c r="C363" s="7">
        <v>15000</v>
      </c>
      <c r="D363" s="7">
        <f t="shared" si="5"/>
        <v>4275000</v>
      </c>
    </row>
    <row r="364" spans="1:4" ht="18.75" hidden="1" x14ac:dyDescent="0.25">
      <c r="A364" s="9" t="s">
        <v>103</v>
      </c>
      <c r="B364" s="7"/>
      <c r="C364" s="7"/>
      <c r="D364" s="7">
        <f t="shared" si="5"/>
        <v>0</v>
      </c>
    </row>
    <row r="365" spans="1:4" ht="18.75" x14ac:dyDescent="0.25">
      <c r="A365" s="11" t="s">
        <v>107</v>
      </c>
      <c r="B365" s="7">
        <v>150</v>
      </c>
      <c r="C365" s="7">
        <v>7500</v>
      </c>
      <c r="D365" s="7">
        <f t="shared" si="5"/>
        <v>1125000</v>
      </c>
    </row>
    <row r="366" spans="1:4" ht="18.75" x14ac:dyDescent="0.25">
      <c r="A366" s="9" t="s">
        <v>12</v>
      </c>
      <c r="B366" s="7">
        <v>5</v>
      </c>
      <c r="C366" s="7">
        <v>8000</v>
      </c>
      <c r="D366" s="7">
        <f t="shared" si="5"/>
        <v>40000</v>
      </c>
    </row>
    <row r="367" spans="1:4" ht="18.75" hidden="1" x14ac:dyDescent="0.25">
      <c r="A367" s="9" t="s">
        <v>353</v>
      </c>
      <c r="B367" s="7"/>
      <c r="C367" s="7"/>
      <c r="D367" s="7">
        <f t="shared" si="5"/>
        <v>0</v>
      </c>
    </row>
    <row r="368" spans="1:4" ht="18.75" hidden="1" x14ac:dyDescent="0.25">
      <c r="A368" s="9" t="s">
        <v>273</v>
      </c>
      <c r="B368" s="7"/>
      <c r="C368" s="7"/>
      <c r="D368" s="7">
        <f t="shared" si="5"/>
        <v>0</v>
      </c>
    </row>
    <row r="369" spans="1:4" ht="18.75" hidden="1" x14ac:dyDescent="0.25">
      <c r="A369" s="5" t="s">
        <v>2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86</v>
      </c>
      <c r="B370" s="7"/>
      <c r="C370" s="7"/>
      <c r="D370" s="7">
        <f t="shared" si="5"/>
        <v>0</v>
      </c>
    </row>
    <row r="371" spans="1:4" ht="18.75" x14ac:dyDescent="0.25">
      <c r="A371" s="9" t="s">
        <v>122</v>
      </c>
      <c r="B371" s="7">
        <v>5</v>
      </c>
      <c r="C371" s="7">
        <v>13500</v>
      </c>
      <c r="D371" s="7">
        <f t="shared" si="5"/>
        <v>67500</v>
      </c>
    </row>
    <row r="372" spans="1:4" ht="18.75" hidden="1" x14ac:dyDescent="0.25">
      <c r="A372" s="9" t="s">
        <v>44</v>
      </c>
      <c r="B372" s="7"/>
      <c r="C372" s="7"/>
      <c r="D372" s="7">
        <f t="shared" si="5"/>
        <v>0</v>
      </c>
    </row>
    <row r="373" spans="1:4" ht="18.75" x14ac:dyDescent="0.25">
      <c r="A373" s="12" t="s">
        <v>53</v>
      </c>
      <c r="B373" s="7">
        <v>300</v>
      </c>
      <c r="C373" s="7">
        <v>22000</v>
      </c>
      <c r="D373" s="7">
        <f t="shared" si="5"/>
        <v>6600000</v>
      </c>
    </row>
    <row r="374" spans="1:4" ht="18.75" x14ac:dyDescent="0.25">
      <c r="A374" s="9" t="s">
        <v>19</v>
      </c>
      <c r="B374" s="7">
        <v>500</v>
      </c>
      <c r="C374" s="7">
        <v>14500</v>
      </c>
      <c r="D374" s="7">
        <f t="shared" si="5"/>
        <v>7250000</v>
      </c>
    </row>
    <row r="375" spans="1:4" ht="18.75" hidden="1" x14ac:dyDescent="0.25">
      <c r="A375" s="9" t="s">
        <v>293</v>
      </c>
      <c r="B375" s="7"/>
      <c r="C375" s="7"/>
      <c r="D375" s="7">
        <f t="shared" si="5"/>
        <v>0</v>
      </c>
    </row>
    <row r="376" spans="1:4" ht="18.75" x14ac:dyDescent="0.25">
      <c r="A376" s="9" t="s">
        <v>204</v>
      </c>
      <c r="B376" s="7">
        <v>400</v>
      </c>
      <c r="C376" s="7">
        <v>19000</v>
      </c>
      <c r="D376" s="7">
        <f t="shared" si="5"/>
        <v>7600000</v>
      </c>
    </row>
    <row r="377" spans="1:4" ht="18.75" hidden="1" x14ac:dyDescent="0.25">
      <c r="A377" s="9" t="s">
        <v>154</v>
      </c>
      <c r="B377" s="7"/>
      <c r="C377" s="7"/>
      <c r="D377" s="7">
        <f t="shared" si="5"/>
        <v>0</v>
      </c>
    </row>
    <row r="378" spans="1:4" ht="18.75" x14ac:dyDescent="0.25">
      <c r="A378" s="9" t="s">
        <v>77</v>
      </c>
      <c r="B378" s="7">
        <v>55</v>
      </c>
      <c r="C378" s="7">
        <v>26000</v>
      </c>
      <c r="D378" s="7">
        <f t="shared" si="5"/>
        <v>1430000</v>
      </c>
    </row>
    <row r="379" spans="1:4" ht="18.75" x14ac:dyDescent="0.25">
      <c r="A379" s="12" t="s">
        <v>183</v>
      </c>
      <c r="B379" s="7">
        <v>500</v>
      </c>
      <c r="C379" s="7">
        <v>12000</v>
      </c>
      <c r="D379" s="7">
        <f t="shared" si="5"/>
        <v>6000000</v>
      </c>
    </row>
    <row r="380" spans="1:4" ht="18.75" hidden="1" x14ac:dyDescent="0.25">
      <c r="A380" s="9" t="s">
        <v>355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105</v>
      </c>
      <c r="B381" s="7"/>
      <c r="C381" s="7"/>
      <c r="D381" s="7">
        <f t="shared" si="5"/>
        <v>0</v>
      </c>
    </row>
    <row r="382" spans="1:4" ht="18.75" hidden="1" x14ac:dyDescent="0.25">
      <c r="A382" s="9" t="s">
        <v>90</v>
      </c>
      <c r="B382" s="7"/>
      <c r="C382" s="7"/>
      <c r="D382" s="7">
        <f t="shared" si="5"/>
        <v>0</v>
      </c>
    </row>
    <row r="383" spans="1:4" ht="18.75" x14ac:dyDescent="0.25">
      <c r="A383" s="5" t="s">
        <v>5</v>
      </c>
      <c r="B383" s="7">
        <v>58</v>
      </c>
      <c r="C383" s="7">
        <v>7300</v>
      </c>
      <c r="D383" s="7">
        <f t="shared" si="5"/>
        <v>423400</v>
      </c>
    </row>
    <row r="384" spans="1:4" ht="18.75" x14ac:dyDescent="0.25">
      <c r="A384" s="9" t="s">
        <v>349</v>
      </c>
      <c r="B384" s="7">
        <v>560</v>
      </c>
      <c r="C384" s="7">
        <v>6500</v>
      </c>
      <c r="D384" s="7">
        <f t="shared" si="5"/>
        <v>3640000</v>
      </c>
    </row>
    <row r="385" spans="1:4" ht="18.75" hidden="1" x14ac:dyDescent="0.25">
      <c r="A385" s="9" t="s">
        <v>346</v>
      </c>
      <c r="B385" s="7"/>
      <c r="C385" s="7"/>
      <c r="D385" s="7">
        <f t="shared" si="5"/>
        <v>0</v>
      </c>
    </row>
    <row r="386" spans="1:4" ht="18.75" hidden="1" x14ac:dyDescent="0.25">
      <c r="A386" s="9" t="s">
        <v>313</v>
      </c>
      <c r="B386" s="7"/>
      <c r="C386" s="7"/>
      <c r="D386" s="7">
        <f t="shared" si="5"/>
        <v>0</v>
      </c>
    </row>
    <row r="387" spans="1:4" ht="18.75" x14ac:dyDescent="0.25">
      <c r="A387" s="9" t="s">
        <v>329</v>
      </c>
      <c r="B387" s="7">
        <v>8</v>
      </c>
      <c r="C387" s="7">
        <v>7000</v>
      </c>
      <c r="D387" s="7">
        <f t="shared" si="5"/>
        <v>56000</v>
      </c>
    </row>
    <row r="388" spans="1:4" ht="18.75" hidden="1" x14ac:dyDescent="0.25">
      <c r="A388" s="9" t="s">
        <v>332</v>
      </c>
      <c r="B388" s="7"/>
      <c r="C388" s="7"/>
      <c r="D388" s="7">
        <f t="shared" ref="D388:D396" si="6">B388*C388</f>
        <v>0</v>
      </c>
    </row>
    <row r="389" spans="1:4" ht="18.75" hidden="1" x14ac:dyDescent="0.25">
      <c r="A389" s="9" t="s">
        <v>287</v>
      </c>
      <c r="B389" s="7"/>
      <c r="C389" s="7"/>
      <c r="D389" s="7">
        <f t="shared" si="6"/>
        <v>0</v>
      </c>
    </row>
    <row r="390" spans="1:4" ht="18.75" hidden="1" x14ac:dyDescent="0.25">
      <c r="A390" s="9" t="s">
        <v>22</v>
      </c>
      <c r="B390" s="7"/>
      <c r="C390" s="7"/>
      <c r="D390" s="7">
        <f t="shared" si="6"/>
        <v>0</v>
      </c>
    </row>
    <row r="391" spans="1:4" ht="18.75" x14ac:dyDescent="0.25">
      <c r="A391" s="9" t="s">
        <v>24</v>
      </c>
      <c r="B391" s="7">
        <v>30</v>
      </c>
      <c r="C391" s="7">
        <v>16000</v>
      </c>
      <c r="D391" s="7">
        <f t="shared" si="6"/>
        <v>480000</v>
      </c>
    </row>
    <row r="392" spans="1:4" ht="18.75" hidden="1" x14ac:dyDescent="0.25">
      <c r="A392" s="9" t="s">
        <v>51</v>
      </c>
      <c r="B392" s="7"/>
      <c r="C392" s="7"/>
      <c r="D392" s="7">
        <f t="shared" si="6"/>
        <v>0</v>
      </c>
    </row>
    <row r="393" spans="1:4" ht="18.75" hidden="1" x14ac:dyDescent="0.25">
      <c r="A393" s="28" t="s">
        <v>130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132</v>
      </c>
      <c r="B394" s="7"/>
      <c r="C394" s="7"/>
      <c r="D394" s="7">
        <f t="shared" si="6"/>
        <v>0</v>
      </c>
    </row>
    <row r="395" spans="1:4" ht="18.75" hidden="1" x14ac:dyDescent="0.25">
      <c r="A395" s="9" t="s">
        <v>290</v>
      </c>
      <c r="B395" s="7"/>
      <c r="C395" s="7"/>
      <c r="D395" s="7">
        <f t="shared" si="6"/>
        <v>0</v>
      </c>
    </row>
    <row r="396" spans="1:4" ht="18.75" x14ac:dyDescent="0.25">
      <c r="A396" s="9" t="s">
        <v>159</v>
      </c>
      <c r="B396" s="7">
        <v>26</v>
      </c>
      <c r="C396" s="7">
        <v>7000</v>
      </c>
      <c r="D396" s="7">
        <f t="shared" si="6"/>
        <v>182000</v>
      </c>
    </row>
    <row r="397" spans="1:4" ht="18.75" x14ac:dyDescent="0.25">
      <c r="A397" s="40"/>
      <c r="B397" s="43">
        <v>2988</v>
      </c>
      <c r="C397" s="43"/>
      <c r="D397" s="7">
        <f>SUM(D357:D391)</f>
        <v>40810900</v>
      </c>
    </row>
    <row r="399" spans="1:4" x14ac:dyDescent="0.25">
      <c r="D399" s="53">
        <f>D397+D351</f>
        <v>95360300</v>
      </c>
    </row>
  </sheetData>
  <protectedRanges>
    <protectedRange password="CF71" sqref="B3:C350 B1:D2" name="tho"/>
    <protectedRange password="CF71" sqref="D3:D397" name="tho_2"/>
    <protectedRange password="CF71" sqref="B353:C353 C354:C355" name="tho_1"/>
    <protectedRange password="CF71" sqref="B354:B355" name="tho_2_1"/>
    <protectedRange password="CF71" sqref="C356" name="tho_3"/>
    <protectedRange password="CF71" sqref="B356" name="tho_2_2"/>
    <protectedRange password="CF71" sqref="C357" name="tho_4"/>
    <protectedRange password="CF71" sqref="B357" name="tho_2_3"/>
    <protectedRange password="CF71" sqref="C358" name="tho_5"/>
    <protectedRange password="CF71" sqref="B358" name="tho_2_4"/>
    <protectedRange password="CF71" sqref="C359" name="tho_6"/>
    <protectedRange password="CF71" sqref="B359" name="tho_2_5"/>
    <protectedRange password="CF71" sqref="C360" name="tho_7"/>
    <protectedRange password="CF71" sqref="B360" name="tho_2_6"/>
    <protectedRange password="CF71" sqref="C361" name="tho_8"/>
    <protectedRange password="CF71" sqref="B361" name="tho_2_7"/>
    <protectedRange password="CF71" sqref="C362" name="tho_9"/>
    <protectedRange password="CF71" sqref="B362" name="tho_2_8"/>
    <protectedRange password="CF71" sqref="C363" name="tho_10"/>
    <protectedRange password="CF71" sqref="B363" name="tho_2_9"/>
    <protectedRange password="CF71" sqref="C364" name="tho_11"/>
    <protectedRange password="CF71" sqref="B364" name="tho_2_10"/>
    <protectedRange password="CF71" sqref="C365" name="tho_12"/>
    <protectedRange password="CF71" sqref="B365" name="tho_2_11"/>
    <protectedRange password="CF71" sqref="C366" name="tho_13"/>
    <protectedRange password="CF71" sqref="B366" name="tho_2_12"/>
    <protectedRange password="CF71" sqref="C367" name="tho_14"/>
    <protectedRange password="CF71" sqref="B367" name="tho_2_13"/>
    <protectedRange password="CF71" sqref="C368" name="tho_15"/>
    <protectedRange password="CF71" sqref="B368" name="tho_2_14"/>
    <protectedRange password="CF71" sqref="C369" name="tho_16"/>
    <protectedRange password="CF71" sqref="B369" name="tho_2_15"/>
    <protectedRange password="CF71" sqref="C370" name="tho_17"/>
    <protectedRange password="CF71" sqref="B370" name="tho_2_16"/>
    <protectedRange password="CF71" sqref="C371" name="tho_18"/>
    <protectedRange password="CF71" sqref="B371" name="tho_2_17"/>
    <protectedRange password="CF71" sqref="C372" name="tho_19"/>
    <protectedRange password="CF71" sqref="B372" name="tho_2_18"/>
    <protectedRange password="CF71" sqref="C373" name="tho_20"/>
    <protectedRange password="CF71" sqref="B373" name="tho_2_19"/>
    <protectedRange password="CF71" sqref="C374" name="tho_21"/>
    <protectedRange password="CF71" sqref="B374" name="tho_2_20"/>
    <protectedRange password="CF71" sqref="C375" name="tho_22"/>
    <protectedRange password="CF71" sqref="B375" name="tho_2_21"/>
    <protectedRange password="CF71" sqref="C376" name="tho_23"/>
    <protectedRange password="CF71" sqref="B376" name="tho_2_22"/>
    <protectedRange password="CF71" sqref="C377" name="tho_24"/>
    <protectedRange password="CF71" sqref="B377" name="tho_2_23"/>
    <protectedRange password="CF71" sqref="C378" name="tho_25"/>
    <protectedRange password="CF71" sqref="B378" name="tho_2_24"/>
    <protectedRange password="CF71" sqref="C379" name="tho_26"/>
    <protectedRange password="CF71" sqref="B379" name="tho_2_25"/>
    <protectedRange password="CF71" sqref="C380" name="tho_27"/>
    <protectedRange password="CF71" sqref="B380" name="tho_2_26"/>
    <protectedRange password="CF71" sqref="C381" name="tho_28"/>
    <protectedRange password="CF71" sqref="B381" name="tho_2_27"/>
    <protectedRange password="CF71" sqref="C382" name="tho_29"/>
    <protectedRange password="CF71" sqref="B382" name="tho_2_28"/>
    <protectedRange password="CF71" sqref="C383" name="tho_30"/>
    <protectedRange password="CF71" sqref="B383" name="tho_2_29"/>
    <protectedRange password="CF71" sqref="C384" name="tho_31"/>
    <protectedRange password="CF71" sqref="B384" name="tho_2_30"/>
    <protectedRange password="CF71" sqref="C385" name="tho_32"/>
    <protectedRange password="CF71" sqref="B385" name="tho_2_31"/>
    <protectedRange password="CF71" sqref="C386" name="tho_33"/>
    <protectedRange password="CF71" sqref="B386" name="tho_2_32"/>
    <protectedRange password="CF71" sqref="C387" name="tho_34"/>
    <protectedRange password="CF71" sqref="B387" name="tho_2_33"/>
    <protectedRange password="CF71" sqref="C388" name="tho_35"/>
    <protectedRange password="CF71" sqref="B388" name="tho_2_34"/>
    <protectedRange password="CF71" sqref="C389" name="tho_36"/>
    <protectedRange password="CF71" sqref="B389" name="tho_2_35"/>
    <protectedRange password="CF71" sqref="C390" name="tho_37"/>
    <protectedRange password="CF71" sqref="B390" name="tho_2_36"/>
    <protectedRange password="CF71" sqref="C391" name="tho_38"/>
    <protectedRange password="CF71" sqref="B391" name="tho_2_37"/>
    <protectedRange password="CF71" sqref="C392" name="tho_39"/>
    <protectedRange password="CF71" sqref="B392" name="tho_2_38"/>
    <protectedRange password="CF71" sqref="C393" name="tho_40"/>
    <protectedRange password="CF71" sqref="B393" name="tho_2_39"/>
    <protectedRange password="CF71" sqref="C394" name="tho_41"/>
    <protectedRange password="CF71" sqref="B394" name="tho_2_40"/>
    <protectedRange password="CF71" sqref="C395" name="tho_42"/>
    <protectedRange password="CF71" sqref="B395" name="tho_2_41"/>
    <protectedRange password="CF71" sqref="C396" name="tho_43"/>
    <protectedRange password="CF71" sqref="B396" name="tho_2_42"/>
  </protectedRanges>
  <autoFilter ref="A2:D397" xr:uid="{00000000-0009-0000-0000-000008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685"/>
  <sheetViews>
    <sheetView workbookViewId="0">
      <selection activeCell="A457" sqref="A457:D457"/>
    </sheetView>
  </sheetViews>
  <sheetFormatPr defaultRowHeight="15" x14ac:dyDescent="0.25"/>
  <cols>
    <col min="1" max="1" width="39.85546875" customWidth="1"/>
    <col min="2" max="2" width="15.42578125" customWidth="1"/>
    <col min="3" max="3" width="12.5703125" customWidth="1"/>
    <col min="4" max="4" width="23.140625" customWidth="1"/>
  </cols>
  <sheetData>
    <row r="1" spans="1:4" x14ac:dyDescent="0.25">
      <c r="A1" s="1" t="s">
        <v>401</v>
      </c>
      <c r="B1" s="2"/>
      <c r="C1" s="2"/>
      <c r="D1" s="2"/>
    </row>
    <row r="2" spans="1:4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x14ac:dyDescent="0.25">
      <c r="A3" s="5" t="s">
        <v>2</v>
      </c>
      <c r="B3" s="7">
        <f>55+15</f>
        <v>70</v>
      </c>
      <c r="C3" s="7">
        <v>24000</v>
      </c>
      <c r="D3" s="7">
        <f>B3*C3</f>
        <v>1680000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hidden="1" x14ac:dyDescent="0.25">
      <c r="A7" s="5" t="s">
        <v>5</v>
      </c>
      <c r="B7" s="7"/>
      <c r="C7" s="7"/>
      <c r="D7" s="7">
        <f t="shared" si="0"/>
        <v>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hidden="1" x14ac:dyDescent="0.25">
      <c r="A17" s="12" t="s">
        <v>14</v>
      </c>
      <c r="B17" s="7"/>
      <c r="C17" s="7"/>
      <c r="D17" s="7">
        <f t="shared" si="0"/>
        <v>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x14ac:dyDescent="0.25">
      <c r="A20" s="13" t="s">
        <v>17</v>
      </c>
      <c r="B20" s="7">
        <v>13</v>
      </c>
      <c r="C20" s="7">
        <v>3500</v>
      </c>
      <c r="D20" s="7">
        <f t="shared" si="0"/>
        <v>45500</v>
      </c>
    </row>
    <row r="21" spans="1:4" ht="18.75" x14ac:dyDescent="0.25">
      <c r="A21" s="11" t="s">
        <v>18</v>
      </c>
      <c r="B21" s="7">
        <v>10</v>
      </c>
      <c r="C21" s="45">
        <v>10500</v>
      </c>
      <c r="D21" s="7">
        <f t="shared" si="0"/>
        <v>105000</v>
      </c>
    </row>
    <row r="22" spans="1:4" ht="18.75" x14ac:dyDescent="0.25">
      <c r="A22" s="9" t="s">
        <v>19</v>
      </c>
      <c r="B22" s="7">
        <v>130</v>
      </c>
      <c r="C22" s="7">
        <v>14500</v>
      </c>
      <c r="D22" s="7">
        <f t="shared" si="0"/>
        <v>1885000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-30+50+75</f>
        <v>95</v>
      </c>
      <c r="C27" s="7">
        <v>16000</v>
      </c>
      <c r="D27" s="7">
        <f t="shared" si="0"/>
        <v>1520000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hidden="1" x14ac:dyDescent="0.25">
      <c r="A32" s="12" t="s">
        <v>29</v>
      </c>
      <c r="B32" s="7"/>
      <c r="C32" s="7"/>
      <c r="D32" s="7">
        <f t="shared" si="0"/>
        <v>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x14ac:dyDescent="0.25">
      <c r="A41" s="9" t="s">
        <v>38</v>
      </c>
      <c r="B41" s="7">
        <v>10</v>
      </c>
      <c r="C41" s="7">
        <v>32000</v>
      </c>
      <c r="D41" s="7">
        <f t="shared" si="0"/>
        <v>320000</v>
      </c>
    </row>
    <row r="42" spans="1:4" ht="18.75" hidden="1" x14ac:dyDescent="0.25">
      <c r="A42" s="9" t="s">
        <v>39</v>
      </c>
      <c r="B42" s="7"/>
      <c r="C42" s="7"/>
      <c r="D42" s="7">
        <f t="shared" si="0"/>
        <v>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-300+420+80+300+160</f>
        <v>660</v>
      </c>
      <c r="C56" s="7">
        <v>19000</v>
      </c>
      <c r="D56" s="7">
        <f t="shared" si="0"/>
        <v>12540000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v>30</v>
      </c>
      <c r="C59" s="7">
        <v>8100</v>
      </c>
      <c r="D59" s="7">
        <f t="shared" si="0"/>
        <v>243000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v>10</v>
      </c>
      <c r="C66" s="7">
        <v>16000</v>
      </c>
      <c r="D66" s="7">
        <f t="shared" si="0"/>
        <v>160000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x14ac:dyDescent="0.25">
      <c r="A72" s="12" t="s">
        <v>69</v>
      </c>
      <c r="B72" s="7">
        <v>70</v>
      </c>
      <c r="C72" s="7">
        <v>6500</v>
      </c>
      <c r="D72" s="7">
        <f t="shared" si="1"/>
        <v>455000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hidden="1" x14ac:dyDescent="0.25">
      <c r="A74" s="12" t="s">
        <v>71</v>
      </c>
      <c r="B74" s="7"/>
      <c r="C74" s="7"/>
      <c r="D74" s="7">
        <f t="shared" si="1"/>
        <v>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hidden="1" x14ac:dyDescent="0.25">
      <c r="A80" s="9" t="s">
        <v>77</v>
      </c>
      <c r="B80" s="7"/>
      <c r="C80" s="7"/>
      <c r="D80" s="7">
        <f t="shared" si="1"/>
        <v>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x14ac:dyDescent="0.25">
      <c r="A82" s="9" t="s">
        <v>79</v>
      </c>
      <c r="B82" s="7">
        <v>60</v>
      </c>
      <c r="C82" s="7">
        <v>27000</v>
      </c>
      <c r="D82" s="7">
        <f t="shared" si="1"/>
        <v>1620000</v>
      </c>
    </row>
    <row r="83" spans="1:4" ht="18.75" x14ac:dyDescent="0.25">
      <c r="A83" s="9" t="s">
        <v>80</v>
      </c>
      <c r="B83" s="7">
        <f>7+31+32+5</f>
        <v>75</v>
      </c>
      <c r="C83" s="7">
        <v>24000</v>
      </c>
      <c r="D83" s="7">
        <f t="shared" si="1"/>
        <v>1800000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v>35</v>
      </c>
      <c r="C90" s="7">
        <v>28000</v>
      </c>
      <c r="D90" s="7">
        <f t="shared" si="1"/>
        <v>980000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hidden="1" x14ac:dyDescent="0.25">
      <c r="A107" s="9" t="s">
        <v>103</v>
      </c>
      <c r="B107" s="7"/>
      <c r="C107" s="7"/>
      <c r="D107" s="7">
        <f t="shared" si="1"/>
        <v>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11" t="s">
        <v>117</v>
      </c>
      <c r="B123" s="7"/>
      <c r="C123" s="7"/>
      <c r="D123" s="7">
        <f t="shared" si="1"/>
        <v>0</v>
      </c>
    </row>
    <row r="124" spans="1:4" ht="18.75" hidden="1" x14ac:dyDescent="0.25">
      <c r="A124" s="21" t="s">
        <v>118</v>
      </c>
      <c r="B124" s="7"/>
      <c r="C124" s="7"/>
      <c r="D124" s="7">
        <f t="shared" si="1"/>
        <v>0</v>
      </c>
    </row>
    <row r="125" spans="1:4" ht="18.75" hidden="1" x14ac:dyDescent="0.25">
      <c r="A125" s="11" t="s">
        <v>395</v>
      </c>
      <c r="B125" s="7"/>
      <c r="C125" s="7"/>
      <c r="D125" s="7">
        <f t="shared" si="1"/>
        <v>0</v>
      </c>
    </row>
    <row r="126" spans="1:4" ht="18.75" hidden="1" x14ac:dyDescent="0.25">
      <c r="A126" s="9" t="s">
        <v>391</v>
      </c>
      <c r="B126" s="7"/>
      <c r="C126" s="7"/>
      <c r="D126" s="7">
        <f t="shared" si="1"/>
        <v>0</v>
      </c>
    </row>
    <row r="127" spans="1:4" ht="18.75" hidden="1" x14ac:dyDescent="0.25">
      <c r="A127" s="11" t="s">
        <v>392</v>
      </c>
      <c r="B127" s="7"/>
      <c r="C127" s="7"/>
      <c r="D127" s="7">
        <f t="shared" si="1"/>
        <v>0</v>
      </c>
    </row>
    <row r="128" spans="1:4" ht="18.75" hidden="1" x14ac:dyDescent="0.25">
      <c r="A128" s="9" t="s">
        <v>119</v>
      </c>
      <c r="B128" s="7"/>
      <c r="C128" s="7"/>
      <c r="D128" s="7">
        <f t="shared" si="1"/>
        <v>0</v>
      </c>
    </row>
    <row r="129" spans="1:4" ht="18.75" hidden="1" x14ac:dyDescent="0.25">
      <c r="A129" s="11" t="s">
        <v>120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121</v>
      </c>
      <c r="B130" s="7"/>
      <c r="C130" s="7"/>
      <c r="D130" s="7">
        <f t="shared" si="1"/>
        <v>0</v>
      </c>
    </row>
    <row r="131" spans="1:4" ht="18.75" hidden="1" x14ac:dyDescent="0.25">
      <c r="A131" s="17" t="s">
        <v>382</v>
      </c>
      <c r="B131" s="7"/>
      <c r="C131" s="7"/>
      <c r="D131" s="7">
        <f t="shared" si="1"/>
        <v>0</v>
      </c>
    </row>
    <row r="132" spans="1:4" ht="18.75" hidden="1" x14ac:dyDescent="0.25">
      <c r="A132" s="13" t="s">
        <v>383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384</v>
      </c>
      <c r="B133" s="7"/>
      <c r="C133" s="7"/>
      <c r="D133" s="7">
        <f t="shared" si="2"/>
        <v>0</v>
      </c>
    </row>
    <row r="134" spans="1:4" ht="18.75" x14ac:dyDescent="0.25">
      <c r="A134" s="9" t="s">
        <v>122</v>
      </c>
      <c r="B134" s="7">
        <v>-20</v>
      </c>
      <c r="C134" s="7">
        <v>14000</v>
      </c>
      <c r="D134" s="7">
        <f t="shared" si="2"/>
        <v>-280000</v>
      </c>
    </row>
    <row r="135" spans="1:4" ht="18.75" hidden="1" x14ac:dyDescent="0.25">
      <c r="A135" s="9" t="s">
        <v>123</v>
      </c>
      <c r="B135" s="7"/>
      <c r="C135" s="7"/>
      <c r="D135" s="7">
        <f t="shared" si="2"/>
        <v>0</v>
      </c>
    </row>
    <row r="136" spans="1:4" ht="18.75" hidden="1" x14ac:dyDescent="0.25">
      <c r="A136" s="10" t="s">
        <v>124</v>
      </c>
      <c r="B136" s="7"/>
      <c r="C136" s="7"/>
      <c r="D136" s="7">
        <f t="shared" si="2"/>
        <v>0</v>
      </c>
    </row>
    <row r="137" spans="1:4" ht="18.75" hidden="1" x14ac:dyDescent="0.25">
      <c r="A137" s="13" t="s">
        <v>125</v>
      </c>
      <c r="B137" s="7"/>
      <c r="C137" s="7"/>
      <c r="D137" s="7">
        <f t="shared" si="2"/>
        <v>0</v>
      </c>
    </row>
    <row r="138" spans="1:4" ht="18.75" hidden="1" x14ac:dyDescent="0.25">
      <c r="A138" s="12" t="s">
        <v>126</v>
      </c>
      <c r="B138" s="16"/>
      <c r="C138" s="16"/>
      <c r="D138" s="7">
        <f t="shared" si="2"/>
        <v>0</v>
      </c>
    </row>
    <row r="139" spans="1:4" ht="18.75" hidden="1" x14ac:dyDescent="0.25">
      <c r="A139" s="12" t="s">
        <v>128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129</v>
      </c>
      <c r="B140" s="27"/>
      <c r="C140" s="27"/>
      <c r="D140" s="7">
        <f t="shared" si="2"/>
        <v>0</v>
      </c>
    </row>
    <row r="141" spans="1:4" ht="18.75" hidden="1" x14ac:dyDescent="0.25">
      <c r="A141" s="28" t="s">
        <v>130</v>
      </c>
      <c r="B141" s="7"/>
      <c r="C141" s="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132</v>
      </c>
      <c r="B143" s="7"/>
      <c r="C143" s="7"/>
      <c r="D143" s="7">
        <f t="shared" si="2"/>
        <v>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-60+14+23+50</f>
        <v>27</v>
      </c>
      <c r="C146" s="7">
        <v>18000</v>
      </c>
      <c r="D146" s="7">
        <f t="shared" si="2"/>
        <v>486000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x14ac:dyDescent="0.25">
      <c r="A148" s="12" t="s">
        <v>137</v>
      </c>
      <c r="B148" s="7">
        <v>2.5</v>
      </c>
      <c r="C148" s="7">
        <v>45000</v>
      </c>
      <c r="D148" s="7">
        <f t="shared" si="2"/>
        <v>112500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hidden="1" x14ac:dyDescent="0.25">
      <c r="A178" s="12" t="s">
        <v>167</v>
      </c>
      <c r="B178" s="7"/>
      <c r="C178" s="7"/>
      <c r="D178" s="7">
        <f t="shared" si="2"/>
        <v>0</v>
      </c>
    </row>
    <row r="179" spans="1:4" ht="18.75" hidden="1" x14ac:dyDescent="0.25">
      <c r="A179" s="9" t="s">
        <v>168</v>
      </c>
      <c r="B179" s="7"/>
      <c r="C179" s="46"/>
      <c r="D179" s="7">
        <f t="shared" si="2"/>
        <v>0</v>
      </c>
    </row>
    <row r="180" spans="1:4" ht="18.75" hidden="1" x14ac:dyDescent="0.25">
      <c r="A180" s="30" t="s">
        <v>169</v>
      </c>
      <c r="B180" s="7"/>
      <c r="C180" s="7"/>
      <c r="D180" s="7">
        <f t="shared" si="2"/>
        <v>0</v>
      </c>
    </row>
    <row r="181" spans="1:4" ht="18.75" hidden="1" x14ac:dyDescent="0.25">
      <c r="A181" s="9" t="s">
        <v>170</v>
      </c>
      <c r="B181" s="7"/>
      <c r="C181" s="7"/>
      <c r="D181" s="7">
        <f t="shared" si="2"/>
        <v>0</v>
      </c>
    </row>
    <row r="182" spans="1:4" ht="18.75" hidden="1" x14ac:dyDescent="0.25">
      <c r="A182" s="9" t="s">
        <v>171</v>
      </c>
      <c r="B182" s="7"/>
      <c r="C182" s="7"/>
      <c r="D182" s="7">
        <f t="shared" si="2"/>
        <v>0</v>
      </c>
    </row>
    <row r="183" spans="1:4" ht="18.75" hidden="1" x14ac:dyDescent="0.25">
      <c r="A183" s="20" t="s">
        <v>172</v>
      </c>
      <c r="B183" s="7"/>
      <c r="C183" s="7"/>
      <c r="D183" s="7">
        <f t="shared" si="2"/>
        <v>0</v>
      </c>
    </row>
    <row r="184" spans="1:4" ht="18.75" hidden="1" x14ac:dyDescent="0.25">
      <c r="A184" s="9" t="s">
        <v>173</v>
      </c>
      <c r="B184" s="7"/>
      <c r="C184" s="7"/>
      <c r="D184" s="7">
        <f t="shared" si="2"/>
        <v>0</v>
      </c>
    </row>
    <row r="185" spans="1:4" ht="18.75" x14ac:dyDescent="0.25">
      <c r="A185" s="31" t="s">
        <v>174</v>
      </c>
      <c r="B185" s="33">
        <v>17</v>
      </c>
      <c r="C185" s="33">
        <v>16000</v>
      </c>
      <c r="D185" s="7">
        <f t="shared" si="2"/>
        <v>272000</v>
      </c>
    </row>
    <row r="186" spans="1:4" ht="18.75" hidden="1" x14ac:dyDescent="0.25">
      <c r="A186" s="11" t="s">
        <v>175</v>
      </c>
      <c r="B186" s="7"/>
      <c r="C186" s="7"/>
      <c r="D186" s="7">
        <f t="shared" si="2"/>
        <v>0</v>
      </c>
    </row>
    <row r="187" spans="1:4" ht="18.75" x14ac:dyDescent="0.25">
      <c r="A187" s="9" t="s">
        <v>176</v>
      </c>
      <c r="B187" s="7">
        <v>1</v>
      </c>
      <c r="C187" s="7">
        <v>43000</v>
      </c>
      <c r="D187" s="7">
        <f t="shared" si="2"/>
        <v>43000</v>
      </c>
    </row>
    <row r="188" spans="1:4" ht="18.75" hidden="1" x14ac:dyDescent="0.25">
      <c r="A188" s="9" t="s">
        <v>177</v>
      </c>
      <c r="B188" s="7"/>
      <c r="C188" s="7"/>
      <c r="D188" s="7">
        <f t="shared" si="2"/>
        <v>0</v>
      </c>
    </row>
    <row r="189" spans="1:4" ht="18.75" hidden="1" x14ac:dyDescent="0.25">
      <c r="A189" s="12" t="s">
        <v>178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179</v>
      </c>
      <c r="B190" s="7"/>
      <c r="C190" s="7"/>
      <c r="D190" s="7">
        <f t="shared" si="2"/>
        <v>0</v>
      </c>
    </row>
    <row r="191" spans="1:4" ht="18.75" hidden="1" x14ac:dyDescent="0.25">
      <c r="A191" s="9" t="s">
        <v>180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181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182</v>
      </c>
      <c r="B193" s="7"/>
      <c r="C193" s="7"/>
      <c r="D193" s="7">
        <f t="shared" si="2"/>
        <v>0</v>
      </c>
    </row>
    <row r="194" spans="1:4" ht="18.75" x14ac:dyDescent="0.25">
      <c r="A194" s="12" t="s">
        <v>183</v>
      </c>
      <c r="B194" s="7">
        <f>-500+480+340+50</f>
        <v>370</v>
      </c>
      <c r="C194" s="7">
        <v>12000</v>
      </c>
      <c r="D194" s="7">
        <f t="shared" si="2"/>
        <v>4440000</v>
      </c>
    </row>
    <row r="195" spans="1:4" ht="18.75" x14ac:dyDescent="0.25">
      <c r="A195" s="9" t="s">
        <v>184</v>
      </c>
      <c r="B195" s="7">
        <v>150</v>
      </c>
      <c r="C195" s="7">
        <v>2100</v>
      </c>
      <c r="D195" s="7">
        <f t="shared" si="2"/>
        <v>315000</v>
      </c>
    </row>
    <row r="196" spans="1:4" ht="18.75" hidden="1" x14ac:dyDescent="0.25">
      <c r="A196" s="9" t="s">
        <v>185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186</v>
      </c>
      <c r="B197" s="7"/>
      <c r="C197" s="7"/>
      <c r="D197" s="7">
        <f t="shared" si="3"/>
        <v>0</v>
      </c>
    </row>
    <row r="198" spans="1:4" ht="18.75" hidden="1" x14ac:dyDescent="0.25">
      <c r="A198" s="12" t="s">
        <v>187</v>
      </c>
      <c r="B198" s="7"/>
      <c r="C198" s="7"/>
      <c r="D198" s="7">
        <f t="shared" si="3"/>
        <v>0</v>
      </c>
    </row>
    <row r="199" spans="1:4" ht="18.75" hidden="1" x14ac:dyDescent="0.25">
      <c r="A199" s="12" t="s">
        <v>188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189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190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191</v>
      </c>
      <c r="B202" s="7"/>
      <c r="C202" s="7"/>
      <c r="D202" s="7">
        <f t="shared" si="3"/>
        <v>0</v>
      </c>
    </row>
    <row r="203" spans="1:4" ht="18.75" hidden="1" x14ac:dyDescent="0.25">
      <c r="A203" s="17" t="s">
        <v>192</v>
      </c>
      <c r="B203" s="7"/>
      <c r="C203" s="7"/>
      <c r="D203" s="7">
        <f t="shared" si="3"/>
        <v>0</v>
      </c>
    </row>
    <row r="204" spans="1:4" ht="18.75" hidden="1" x14ac:dyDescent="0.25">
      <c r="A204" s="12" t="s">
        <v>193</v>
      </c>
      <c r="B204" s="7"/>
      <c r="C204" s="7"/>
      <c r="D204" s="7">
        <f t="shared" si="3"/>
        <v>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x14ac:dyDescent="0.25">
      <c r="A211" s="35" t="s">
        <v>200</v>
      </c>
      <c r="B211" s="7">
        <v>1.5</v>
      </c>
      <c r="C211" s="7">
        <v>18000</v>
      </c>
      <c r="D211" s="7">
        <f t="shared" si="3"/>
        <v>27000</v>
      </c>
    </row>
    <row r="212" spans="1:4" ht="18.75" x14ac:dyDescent="0.25">
      <c r="A212" s="9" t="s">
        <v>201</v>
      </c>
      <c r="B212" s="7">
        <f>180+200+50</f>
        <v>430</v>
      </c>
      <c r="C212" s="7">
        <v>22000</v>
      </c>
      <c r="D212" s="7">
        <f t="shared" si="3"/>
        <v>9460000</v>
      </c>
    </row>
    <row r="213" spans="1:4" ht="18.75" x14ac:dyDescent="0.25">
      <c r="A213" s="12" t="s">
        <v>202</v>
      </c>
      <c r="B213" s="7">
        <f>110+100+100</f>
        <v>310</v>
      </c>
      <c r="C213" s="7">
        <v>22000</v>
      </c>
      <c r="D213" s="7">
        <f t="shared" si="3"/>
        <v>6820000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-400+700</f>
        <v>300</v>
      </c>
      <c r="C215" s="7">
        <v>19000</v>
      </c>
      <c r="D215" s="7">
        <f t="shared" si="3"/>
        <v>5700000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x14ac:dyDescent="0.25">
      <c r="A218" s="9" t="s">
        <v>207</v>
      </c>
      <c r="B218" s="7">
        <v>28</v>
      </c>
      <c r="C218" s="7">
        <v>24000</v>
      </c>
      <c r="D218" s="7">
        <f t="shared" si="3"/>
        <v>672000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x14ac:dyDescent="0.25">
      <c r="A221" s="9" t="s">
        <v>210</v>
      </c>
      <c r="B221" s="7">
        <v>5</v>
      </c>
      <c r="C221" s="7">
        <v>12000</v>
      </c>
      <c r="D221" s="7">
        <f t="shared" si="3"/>
        <v>60000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-300+30+80+340+70+15</f>
        <v>235</v>
      </c>
      <c r="C226" s="7">
        <v>15000</v>
      </c>
      <c r="D226" s="7">
        <f t="shared" si="3"/>
        <v>3525000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x14ac:dyDescent="0.25">
      <c r="A228" s="9" t="s">
        <v>217</v>
      </c>
      <c r="B228" s="7">
        <v>70</v>
      </c>
      <c r="C228" s="7">
        <v>6500</v>
      </c>
      <c r="D228" s="7">
        <f t="shared" si="3"/>
        <v>455000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hidden="1" x14ac:dyDescent="0.25">
      <c r="A231" s="17" t="s">
        <v>220</v>
      </c>
      <c r="B231" s="7"/>
      <c r="C231" s="7"/>
      <c r="D231" s="7">
        <f t="shared" si="3"/>
        <v>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x14ac:dyDescent="0.25">
      <c r="A258" s="9" t="s">
        <v>247</v>
      </c>
      <c r="B258" s="7">
        <v>10</v>
      </c>
      <c r="C258" s="7">
        <v>14000</v>
      </c>
      <c r="D258" s="7">
        <f t="shared" si="3"/>
        <v>140000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-20+45</f>
        <v>25</v>
      </c>
      <c r="C261" s="7">
        <v>24000</v>
      </c>
      <c r="D261" s="7">
        <f t="shared" si="4"/>
        <v>600000</v>
      </c>
    </row>
    <row r="262" spans="1:4" ht="18.75" hidden="1" x14ac:dyDescent="0.25">
      <c r="A262" s="9" t="s">
        <v>251</v>
      </c>
      <c r="B262" s="7"/>
      <c r="C262" s="7"/>
      <c r="D262" s="7">
        <f t="shared" si="4"/>
        <v>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-20+32</f>
        <v>12</v>
      </c>
      <c r="C268" s="7">
        <v>22000</v>
      </c>
      <c r="D268" s="7">
        <f t="shared" si="4"/>
        <v>264000</v>
      </c>
    </row>
    <row r="269" spans="1:4" ht="18.75" x14ac:dyDescent="0.25">
      <c r="A269" s="9" t="s">
        <v>259</v>
      </c>
      <c r="B269" s="7">
        <v>18</v>
      </c>
      <c r="C269" s="7">
        <v>17000</v>
      </c>
      <c r="D269" s="7">
        <f t="shared" si="4"/>
        <v>306000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-20+6+50+15</f>
        <v>51</v>
      </c>
      <c r="C272" s="7">
        <v>20000</v>
      </c>
      <c r="D272" s="7">
        <f t="shared" si="4"/>
        <v>1020000</v>
      </c>
    </row>
    <row r="273" spans="1:4" ht="18.75" x14ac:dyDescent="0.25">
      <c r="A273" s="9" t="s">
        <v>263</v>
      </c>
      <c r="B273" s="7">
        <v>38</v>
      </c>
      <c r="C273" s="7">
        <v>15000</v>
      </c>
      <c r="D273" s="7">
        <f t="shared" si="4"/>
        <v>570000</v>
      </c>
    </row>
    <row r="274" spans="1:4" ht="18.75" hidden="1" x14ac:dyDescent="0.25">
      <c r="A274" s="55" t="s">
        <v>264</v>
      </c>
      <c r="B274" s="56"/>
      <c r="C274" s="56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x14ac:dyDescent="0.25">
      <c r="A279" s="9" t="s">
        <v>269</v>
      </c>
      <c r="B279" s="7">
        <v>10</v>
      </c>
      <c r="C279" s="7">
        <v>14000</v>
      </c>
      <c r="D279" s="7">
        <f t="shared" si="4"/>
        <v>140000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6</v>
      </c>
      <c r="C283" s="7">
        <v>19000</v>
      </c>
      <c r="D283" s="7">
        <f t="shared" si="4"/>
        <v>114000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20</v>
      </c>
      <c r="C297" s="7">
        <v>12000</v>
      </c>
      <c r="D297" s="7">
        <f t="shared" si="4"/>
        <v>240000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v>6</v>
      </c>
      <c r="C300" s="7">
        <v>7500</v>
      </c>
      <c r="D300" s="7">
        <f t="shared" si="4"/>
        <v>45000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hidden="1" x14ac:dyDescent="0.25">
      <c r="A303" s="9" t="s">
        <v>293</v>
      </c>
      <c r="B303" s="7"/>
      <c r="C303" s="7"/>
      <c r="D303" s="7">
        <f t="shared" si="4"/>
        <v>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2" t="s">
        <v>296</v>
      </c>
      <c r="B308" s="7"/>
      <c r="C308" s="7"/>
      <c r="D308" s="7">
        <f t="shared" si="4"/>
        <v>0</v>
      </c>
    </row>
    <row r="309" spans="1:4" ht="18.75" hidden="1" x14ac:dyDescent="0.25">
      <c r="A309" s="17" t="s">
        <v>297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x14ac:dyDescent="0.25">
      <c r="A321" s="13" t="s">
        <v>309</v>
      </c>
      <c r="B321" s="7">
        <v>21</v>
      </c>
      <c r="C321" s="7">
        <v>19000</v>
      </c>
      <c r="D321" s="7">
        <f t="shared" si="4"/>
        <v>399000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x14ac:dyDescent="0.25">
      <c r="A338" s="9" t="s">
        <v>326</v>
      </c>
      <c r="B338" s="7">
        <v>24</v>
      </c>
      <c r="C338" s="7">
        <v>30000</v>
      </c>
      <c r="D338" s="7">
        <f t="shared" si="5"/>
        <v>720000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x14ac:dyDescent="0.25">
      <c r="A342" s="9" t="s">
        <v>330</v>
      </c>
      <c r="B342" s="7">
        <v>30</v>
      </c>
      <c r="C342" s="7">
        <v>7000</v>
      </c>
      <c r="D342" s="7">
        <f t="shared" si="5"/>
        <v>210000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3466</v>
      </c>
      <c r="C351" s="43"/>
      <c r="D351" s="7">
        <f>SUM(D3:D342)</f>
        <v>60229000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402</v>
      </c>
      <c r="B353" s="2"/>
      <c r="C353" s="2"/>
      <c r="D353" s="7"/>
    </row>
    <row r="354" spans="1:4" ht="18.7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v>360</v>
      </c>
      <c r="C359" s="7">
        <v>7300</v>
      </c>
      <c r="D359" s="7">
        <f t="shared" si="5"/>
        <v>2628000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hidden="1" x14ac:dyDescent="0.25">
      <c r="A366" s="9" t="s">
        <v>12</v>
      </c>
      <c r="B366" s="7"/>
      <c r="C366" s="7"/>
      <c r="D366" s="7">
        <f t="shared" si="5"/>
        <v>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v>170</v>
      </c>
      <c r="C373" s="7">
        <v>14500</v>
      </c>
      <c r="D373" s="7">
        <f t="shared" si="5"/>
        <v>2465000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x14ac:dyDescent="0.25">
      <c r="A378" s="9" t="s">
        <v>24</v>
      </c>
      <c r="B378" s="7">
        <v>30</v>
      </c>
      <c r="C378" s="7">
        <v>16000</v>
      </c>
      <c r="D378" s="7">
        <f t="shared" si="5"/>
        <v>480000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51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19000</v>
      </c>
      <c r="D400" s="7">
        <f t="shared" si="6"/>
        <v>5700000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f>28+90</f>
        <v>118</v>
      </c>
      <c r="C425" s="7">
        <v>26000</v>
      </c>
      <c r="D425" s="7">
        <f t="shared" si="6"/>
        <v>3068000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x14ac:dyDescent="0.25">
      <c r="A438" s="9" t="s">
        <v>90</v>
      </c>
      <c r="B438" s="7">
        <v>33</v>
      </c>
      <c r="C438" s="7">
        <v>9000</v>
      </c>
      <c r="D438" s="7">
        <f t="shared" si="6"/>
        <v>297000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103</v>
      </c>
      <c r="B453" s="7"/>
      <c r="C453" s="7"/>
      <c r="D453" s="7">
        <f t="shared" si="7"/>
        <v>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x14ac:dyDescent="0.25">
      <c r="A457" s="60" t="s">
        <v>107</v>
      </c>
      <c r="B457" s="56">
        <v>400</v>
      </c>
      <c r="C457" s="56">
        <v>7500</v>
      </c>
      <c r="D457" s="56">
        <f t="shared" si="7"/>
        <v>3000000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x14ac:dyDescent="0.25">
      <c r="A460" s="9" t="s">
        <v>110</v>
      </c>
      <c r="B460" s="7">
        <f>5+13+8</f>
        <v>26</v>
      </c>
      <c r="C460" s="7">
        <v>23000</v>
      </c>
      <c r="D460" s="7">
        <f t="shared" si="7"/>
        <v>598000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346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x14ac:dyDescent="0.25">
      <c r="A472" s="9" t="s">
        <v>122</v>
      </c>
      <c r="B472" s="7">
        <v>20</v>
      </c>
      <c r="C472" s="7">
        <v>14000</v>
      </c>
      <c r="D472" s="7">
        <f t="shared" si="7"/>
        <v>280000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18000</v>
      </c>
      <c r="D483" s="7">
        <f t="shared" si="7"/>
        <v>1080000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x14ac:dyDescent="0.25">
      <c r="A503" s="9" t="s">
        <v>154</v>
      </c>
      <c r="B503" s="7">
        <v>18</v>
      </c>
      <c r="C503" s="7">
        <v>9000</v>
      </c>
      <c r="D503" s="7">
        <f t="shared" si="7"/>
        <v>162000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x14ac:dyDescent="0.25">
      <c r="A508" s="9" t="s">
        <v>159</v>
      </c>
      <c r="B508" s="7">
        <v>24</v>
      </c>
      <c r="C508" s="7">
        <v>8000</v>
      </c>
      <c r="D508" s="7">
        <f t="shared" si="7"/>
        <v>192000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x14ac:dyDescent="0.25">
      <c r="A515" s="9" t="s">
        <v>349</v>
      </c>
      <c r="B515" s="7">
        <f>108+350-160</f>
        <v>298</v>
      </c>
      <c r="C515" s="7">
        <v>6500</v>
      </c>
      <c r="D515" s="7">
        <f t="shared" si="7"/>
        <v>1937000</v>
      </c>
    </row>
    <row r="516" spans="1:4" ht="18.75" x14ac:dyDescent="0.25">
      <c r="A516" s="12" t="s">
        <v>167</v>
      </c>
      <c r="B516" s="7">
        <v>80</v>
      </c>
      <c r="C516" s="7">
        <v>11000</v>
      </c>
      <c r="D516" s="7">
        <f t="shared" ref="D516:D579" si="8">B516*C516</f>
        <v>880000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x14ac:dyDescent="0.25">
      <c r="A531" s="12" t="s">
        <v>183</v>
      </c>
      <c r="B531" s="7">
        <v>500</v>
      </c>
      <c r="C531" s="7">
        <v>12000</v>
      </c>
      <c r="D531" s="7">
        <f t="shared" si="8"/>
        <v>6000000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400</v>
      </c>
      <c r="C553" s="7">
        <v>19000</v>
      </c>
      <c r="D553" s="7">
        <f t="shared" si="8"/>
        <v>7600000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212</v>
      </c>
      <c r="B564" s="7"/>
      <c r="C564" s="7"/>
      <c r="D564" s="7">
        <f t="shared" si="8"/>
        <v>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300</v>
      </c>
      <c r="C567" s="7">
        <v>15000</v>
      </c>
      <c r="D567" s="7">
        <f t="shared" si="8"/>
        <v>4500000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24000</v>
      </c>
      <c r="D596" s="7">
        <f t="shared" si="9"/>
        <v>480000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22000</v>
      </c>
      <c r="D604" s="7">
        <f t="shared" si="9"/>
        <v>440000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20000</v>
      </c>
      <c r="D608" s="7">
        <f t="shared" si="9"/>
        <v>400000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x14ac:dyDescent="0.25">
      <c r="A658" s="9" t="s">
        <v>313</v>
      </c>
      <c r="B658" s="7">
        <v>10</v>
      </c>
      <c r="C658" s="7">
        <v>6800</v>
      </c>
      <c r="D658" s="7">
        <f t="shared" si="10"/>
        <v>68000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hidden="1" x14ac:dyDescent="0.25">
      <c r="A674" s="9" t="s">
        <v>329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3207</v>
      </c>
      <c r="C683" s="43"/>
      <c r="D683" s="43">
        <f t="shared" ref="D683" si="11">SUM(D356:D682)</f>
        <v>42255000</v>
      </c>
    </row>
    <row r="685" spans="1:4" x14ac:dyDescent="0.25">
      <c r="D685" s="53">
        <f>D683+D351</f>
        <v>102484000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09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D684"/>
  <sheetViews>
    <sheetView topLeftCell="A27" workbookViewId="0">
      <selection activeCell="L359" sqref="L359"/>
    </sheetView>
  </sheetViews>
  <sheetFormatPr defaultRowHeight="15" x14ac:dyDescent="0.25"/>
  <cols>
    <col min="1" max="1" width="33.42578125" customWidth="1"/>
    <col min="3" max="3" width="15.28515625" customWidth="1"/>
    <col min="4" max="4" width="20.42578125" customWidth="1"/>
  </cols>
  <sheetData>
    <row r="1" spans="1:4" x14ac:dyDescent="0.25">
      <c r="A1" s="1" t="s">
        <v>405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x14ac:dyDescent="0.25">
      <c r="A3" s="5" t="s">
        <v>2</v>
      </c>
      <c r="B3" s="7">
        <f>75+30</f>
        <v>105</v>
      </c>
      <c r="C3" s="7">
        <v>24000</v>
      </c>
      <c r="D3" s="7">
        <f>B3*C3</f>
        <v>2520000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hidden="1" x14ac:dyDescent="0.25">
      <c r="A7" s="5" t="s">
        <v>5</v>
      </c>
      <c r="B7" s="7"/>
      <c r="C7" s="7"/>
      <c r="D7" s="7">
        <f t="shared" si="0"/>
        <v>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20</v>
      </c>
      <c r="C17" s="7">
        <v>9000</v>
      </c>
      <c r="D17" s="7">
        <f t="shared" si="0"/>
        <v>180000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f>8+22-11</f>
        <v>19</v>
      </c>
      <c r="C21" s="45">
        <v>12000</v>
      </c>
      <c r="D21" s="7">
        <f t="shared" si="0"/>
        <v>228000</v>
      </c>
    </row>
    <row r="22" spans="1:4" ht="18.75" x14ac:dyDescent="0.25">
      <c r="A22" s="9" t="s">
        <v>19</v>
      </c>
      <c r="B22" s="7">
        <v>130</v>
      </c>
      <c r="C22" s="7">
        <v>14500</v>
      </c>
      <c r="D22" s="7">
        <f t="shared" si="0"/>
        <v>1885000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-30+24+150+20+10</f>
        <v>174</v>
      </c>
      <c r="C27" s="7">
        <v>16000</v>
      </c>
      <c r="D27" s="7">
        <f t="shared" si="0"/>
        <v>2784000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x14ac:dyDescent="0.25">
      <c r="A30" s="9" t="s">
        <v>27</v>
      </c>
      <c r="B30" s="7">
        <v>17</v>
      </c>
      <c r="C30" s="7">
        <v>20000</v>
      </c>
      <c r="D30" s="7">
        <f t="shared" si="0"/>
        <v>340000</v>
      </c>
    </row>
    <row r="31" spans="1:4" ht="18.75" x14ac:dyDescent="0.25">
      <c r="A31" s="11" t="s">
        <v>28</v>
      </c>
      <c r="B31" s="16">
        <v>78</v>
      </c>
      <c r="C31" s="16">
        <v>22000</v>
      </c>
      <c r="D31" s="7">
        <f t="shared" si="0"/>
        <v>1716000</v>
      </c>
    </row>
    <row r="32" spans="1:4" ht="18.75" x14ac:dyDescent="0.25">
      <c r="A32" s="12" t="s">
        <v>29</v>
      </c>
      <c r="B32" s="7">
        <v>22</v>
      </c>
      <c r="C32" s="7">
        <v>15500</v>
      </c>
      <c r="D32" s="7">
        <f t="shared" si="0"/>
        <v>341000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x14ac:dyDescent="0.25">
      <c r="A41" s="9" t="s">
        <v>38</v>
      </c>
      <c r="B41" s="7">
        <v>2</v>
      </c>
      <c r="C41" s="7">
        <v>32000</v>
      </c>
      <c r="D41" s="7">
        <f t="shared" si="0"/>
        <v>64000</v>
      </c>
    </row>
    <row r="42" spans="1:4" ht="18.75" hidden="1" x14ac:dyDescent="0.25">
      <c r="A42" s="9" t="s">
        <v>39</v>
      </c>
      <c r="B42" s="7"/>
      <c r="C42" s="7"/>
      <c r="D42" s="7">
        <f t="shared" si="0"/>
        <v>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-300+360+50+80+115+50+20</f>
        <v>375</v>
      </c>
      <c r="C56" s="7">
        <v>19000</v>
      </c>
      <c r="D56" s="7">
        <f t="shared" si="0"/>
        <v>7125000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v>8</v>
      </c>
      <c r="C59" s="7">
        <v>8100</v>
      </c>
      <c r="D59" s="7">
        <f t="shared" si="0"/>
        <v>64800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x14ac:dyDescent="0.25">
      <c r="A65" s="17" t="s">
        <v>62</v>
      </c>
      <c r="B65" s="7">
        <v>9</v>
      </c>
      <c r="C65" s="7">
        <v>14000</v>
      </c>
      <c r="D65" s="7">
        <f t="shared" si="0"/>
        <v>126000</v>
      </c>
    </row>
    <row r="66" spans="1:4" ht="18.75" x14ac:dyDescent="0.25">
      <c r="A66" s="9" t="s">
        <v>63</v>
      </c>
      <c r="B66" s="7">
        <v>40</v>
      </c>
      <c r="C66" s="7">
        <v>16000</v>
      </c>
      <c r="D66" s="7">
        <f t="shared" si="0"/>
        <v>640000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x14ac:dyDescent="0.25">
      <c r="A72" s="12" t="s">
        <v>69</v>
      </c>
      <c r="B72" s="7">
        <f>19+40</f>
        <v>59</v>
      </c>
      <c r="C72" s="7">
        <v>6000</v>
      </c>
      <c r="D72" s="7">
        <f t="shared" si="1"/>
        <v>354000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x14ac:dyDescent="0.25">
      <c r="A74" s="12" t="s">
        <v>71</v>
      </c>
      <c r="B74" s="7">
        <v>9</v>
      </c>
      <c r="C74" s="7">
        <v>24000</v>
      </c>
      <c r="D74" s="7">
        <f t="shared" si="1"/>
        <v>216000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f>90+20+57-100+7</f>
        <v>74</v>
      </c>
      <c r="C80" s="7">
        <v>26000</v>
      </c>
      <c r="D80" s="7">
        <f t="shared" si="1"/>
        <v>1924000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hidden="1" x14ac:dyDescent="0.25">
      <c r="A82" s="9" t="s">
        <v>79</v>
      </c>
      <c r="B82" s="7"/>
      <c r="C82" s="7"/>
      <c r="D82" s="7">
        <f t="shared" si="1"/>
        <v>0</v>
      </c>
    </row>
    <row r="83" spans="1:4" ht="18.75" x14ac:dyDescent="0.25">
      <c r="A83" s="9" t="s">
        <v>80</v>
      </c>
      <c r="B83" s="7">
        <f>21+5+18+20+6+5</f>
        <v>75</v>
      </c>
      <c r="C83" s="7">
        <v>22000</v>
      </c>
      <c r="D83" s="7">
        <f t="shared" si="1"/>
        <v>1650000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x14ac:dyDescent="0.25">
      <c r="A85" s="17" t="s">
        <v>380</v>
      </c>
      <c r="B85" s="7">
        <v>5</v>
      </c>
      <c r="C85" s="7">
        <v>23000</v>
      </c>
      <c r="D85" s="7">
        <f t="shared" si="1"/>
        <v>115000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f>6+10+10+20</f>
        <v>46</v>
      </c>
      <c r="C90" s="7">
        <v>28000</v>
      </c>
      <c r="D90" s="7">
        <f t="shared" si="1"/>
        <v>1288000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hidden="1" x14ac:dyDescent="0.25">
      <c r="A107" s="9" t="s">
        <v>103</v>
      </c>
      <c r="B107" s="7"/>
      <c r="C107" s="7"/>
      <c r="D107" s="7">
        <f t="shared" si="1"/>
        <v>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x14ac:dyDescent="0.25">
      <c r="A115" s="12" t="s">
        <v>386</v>
      </c>
      <c r="B115" s="16">
        <v>90</v>
      </c>
      <c r="C115" s="16">
        <v>22000</v>
      </c>
      <c r="D115" s="7">
        <f t="shared" si="1"/>
        <v>1980000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11" t="s">
        <v>117</v>
      </c>
      <c r="B123" s="7"/>
      <c r="C123" s="7"/>
      <c r="D123" s="7">
        <f t="shared" si="1"/>
        <v>0</v>
      </c>
    </row>
    <row r="124" spans="1:4" ht="18.75" hidden="1" x14ac:dyDescent="0.25">
      <c r="A124" s="21" t="s">
        <v>118</v>
      </c>
      <c r="B124" s="7"/>
      <c r="C124" s="7"/>
      <c r="D124" s="7">
        <f t="shared" si="1"/>
        <v>0</v>
      </c>
    </row>
    <row r="125" spans="1:4" ht="18.75" x14ac:dyDescent="0.25">
      <c r="A125" s="11" t="s">
        <v>395</v>
      </c>
      <c r="B125" s="7">
        <v>68</v>
      </c>
      <c r="C125" s="7">
        <v>5100</v>
      </c>
      <c r="D125" s="7">
        <f t="shared" si="1"/>
        <v>346800</v>
      </c>
    </row>
    <row r="126" spans="1:4" ht="18.75" hidden="1" x14ac:dyDescent="0.25">
      <c r="A126" s="9" t="s">
        <v>391</v>
      </c>
      <c r="B126" s="7"/>
      <c r="C126" s="7"/>
      <c r="D126" s="7">
        <f t="shared" si="1"/>
        <v>0</v>
      </c>
    </row>
    <row r="127" spans="1:4" ht="18.75" hidden="1" x14ac:dyDescent="0.25">
      <c r="A127" s="11" t="s">
        <v>392</v>
      </c>
      <c r="B127" s="7"/>
      <c r="C127" s="7"/>
      <c r="D127" s="7">
        <f t="shared" si="1"/>
        <v>0</v>
      </c>
    </row>
    <row r="128" spans="1:4" ht="18.75" hidden="1" x14ac:dyDescent="0.25">
      <c r="A128" s="9" t="s">
        <v>119</v>
      </c>
      <c r="B128" s="7"/>
      <c r="C128" s="7"/>
      <c r="D128" s="7">
        <f t="shared" si="1"/>
        <v>0</v>
      </c>
    </row>
    <row r="129" spans="1:4" ht="18.75" hidden="1" x14ac:dyDescent="0.25">
      <c r="A129" s="11" t="s">
        <v>120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121</v>
      </c>
      <c r="B130" s="7"/>
      <c r="C130" s="7"/>
      <c r="D130" s="7">
        <f t="shared" si="1"/>
        <v>0</v>
      </c>
    </row>
    <row r="131" spans="1:4" ht="18.75" hidden="1" x14ac:dyDescent="0.25">
      <c r="A131" s="17" t="s">
        <v>382</v>
      </c>
      <c r="B131" s="7"/>
      <c r="C131" s="7"/>
      <c r="D131" s="7">
        <f t="shared" si="1"/>
        <v>0</v>
      </c>
    </row>
    <row r="132" spans="1:4" ht="18.75" hidden="1" x14ac:dyDescent="0.25">
      <c r="A132" s="13" t="s">
        <v>383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384</v>
      </c>
      <c r="B133" s="7"/>
      <c r="C133" s="7"/>
      <c r="D133" s="7">
        <f t="shared" si="2"/>
        <v>0</v>
      </c>
    </row>
    <row r="134" spans="1:4" ht="18.75" hidden="1" x14ac:dyDescent="0.25">
      <c r="A134" s="9" t="s">
        <v>122</v>
      </c>
      <c r="B134" s="7"/>
      <c r="C134" s="7"/>
      <c r="D134" s="7">
        <f t="shared" si="2"/>
        <v>0</v>
      </c>
    </row>
    <row r="135" spans="1:4" ht="18.75" hidden="1" x14ac:dyDescent="0.25">
      <c r="A135" s="9" t="s">
        <v>123</v>
      </c>
      <c r="B135" s="7"/>
      <c r="C135" s="7"/>
      <c r="D135" s="7">
        <f t="shared" si="2"/>
        <v>0</v>
      </c>
    </row>
    <row r="136" spans="1:4" ht="18.75" hidden="1" x14ac:dyDescent="0.25">
      <c r="A136" s="10" t="s">
        <v>124</v>
      </c>
      <c r="B136" s="7"/>
      <c r="C136" s="7"/>
      <c r="D136" s="7">
        <f t="shared" si="2"/>
        <v>0</v>
      </c>
    </row>
    <row r="137" spans="1:4" ht="18.75" hidden="1" x14ac:dyDescent="0.25">
      <c r="A137" s="13" t="s">
        <v>125</v>
      </c>
      <c r="B137" s="7"/>
      <c r="C137" s="7"/>
      <c r="D137" s="7">
        <f t="shared" si="2"/>
        <v>0</v>
      </c>
    </row>
    <row r="138" spans="1:4" ht="18.75" hidden="1" x14ac:dyDescent="0.25">
      <c r="A138" s="12" t="s">
        <v>126</v>
      </c>
      <c r="B138" s="16"/>
      <c r="C138" s="16"/>
      <c r="D138" s="7">
        <f t="shared" si="2"/>
        <v>0</v>
      </c>
    </row>
    <row r="139" spans="1:4" ht="18.75" hidden="1" x14ac:dyDescent="0.25">
      <c r="A139" s="12" t="s">
        <v>128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129</v>
      </c>
      <c r="B140" s="27"/>
      <c r="C140" s="27"/>
      <c r="D140" s="7">
        <f t="shared" si="2"/>
        <v>0</v>
      </c>
    </row>
    <row r="141" spans="1:4" ht="18.75" hidden="1" x14ac:dyDescent="0.25">
      <c r="A141" s="28" t="s">
        <v>130</v>
      </c>
      <c r="B141" s="7"/>
      <c r="C141" s="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132</v>
      </c>
      <c r="B143" s="7"/>
      <c r="C143" s="7"/>
      <c r="D143" s="7">
        <f t="shared" si="2"/>
        <v>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-60+120</f>
        <v>60</v>
      </c>
      <c r="C146" s="7">
        <v>18000</v>
      </c>
      <c r="D146" s="7">
        <f t="shared" si="2"/>
        <v>1080000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x14ac:dyDescent="0.25">
      <c r="A148" s="12" t="s">
        <v>137</v>
      </c>
      <c r="B148" s="7">
        <v>2.5</v>
      </c>
      <c r="C148" s="7">
        <v>45000</v>
      </c>
      <c r="D148" s="7">
        <f t="shared" si="2"/>
        <v>112500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403</v>
      </c>
      <c r="B152" s="7"/>
      <c r="C152" s="7"/>
      <c r="D152" s="7">
        <f t="shared" si="2"/>
        <v>0</v>
      </c>
    </row>
    <row r="153" spans="1:4" ht="18.75" hidden="1" x14ac:dyDescent="0.25">
      <c r="A153" s="9" t="s">
        <v>141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142</v>
      </c>
      <c r="B154" s="16"/>
      <c r="C154" s="16"/>
      <c r="D154" s="7">
        <f t="shared" si="2"/>
        <v>0</v>
      </c>
    </row>
    <row r="155" spans="1:4" ht="18.75" hidden="1" x14ac:dyDescent="0.25">
      <c r="A155" s="9" t="s">
        <v>143</v>
      </c>
      <c r="B155" s="7"/>
      <c r="C155" s="7"/>
      <c r="D155" s="7">
        <f t="shared" si="2"/>
        <v>0</v>
      </c>
    </row>
    <row r="156" spans="1:4" ht="18.75" hidden="1" x14ac:dyDescent="0.25">
      <c r="A156" s="9" t="s">
        <v>144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145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146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147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148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149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150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151</v>
      </c>
      <c r="B163" s="16"/>
      <c r="C163" s="16"/>
      <c r="D163" s="7">
        <f t="shared" si="2"/>
        <v>0</v>
      </c>
    </row>
    <row r="164" spans="1:4" ht="18.75" hidden="1" x14ac:dyDescent="0.25">
      <c r="A164" s="9" t="s">
        <v>152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153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154</v>
      </c>
      <c r="B166" s="7"/>
      <c r="C166" s="7"/>
      <c r="D166" s="7">
        <f t="shared" si="2"/>
        <v>0</v>
      </c>
    </row>
    <row r="167" spans="1:4" ht="18.75" x14ac:dyDescent="0.25">
      <c r="A167" s="9" t="s">
        <v>155</v>
      </c>
      <c r="B167" s="7">
        <v>7</v>
      </c>
      <c r="C167" s="7">
        <v>9000</v>
      </c>
      <c r="D167" s="7">
        <f t="shared" si="2"/>
        <v>63000</v>
      </c>
    </row>
    <row r="168" spans="1:4" ht="18.75" hidden="1" x14ac:dyDescent="0.25">
      <c r="A168" s="17" t="s">
        <v>156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hidden="1" x14ac:dyDescent="0.25">
      <c r="A178" s="12" t="s">
        <v>167</v>
      </c>
      <c r="B178" s="7"/>
      <c r="C178" s="7"/>
      <c r="D178" s="7">
        <f t="shared" si="2"/>
        <v>0</v>
      </c>
    </row>
    <row r="179" spans="1:4" ht="18.75" x14ac:dyDescent="0.25">
      <c r="A179" s="9" t="s">
        <v>168</v>
      </c>
      <c r="B179" s="7">
        <v>57</v>
      </c>
      <c r="C179" s="46">
        <v>6500</v>
      </c>
      <c r="D179" s="7">
        <f t="shared" si="2"/>
        <v>370500</v>
      </c>
    </row>
    <row r="180" spans="1:4" ht="18.75" hidden="1" x14ac:dyDescent="0.25">
      <c r="A180" s="30" t="s">
        <v>169</v>
      </c>
      <c r="B180" s="7"/>
      <c r="C180" s="7"/>
      <c r="D180" s="7">
        <f t="shared" si="2"/>
        <v>0</v>
      </c>
    </row>
    <row r="181" spans="1:4" ht="18.75" x14ac:dyDescent="0.25">
      <c r="A181" s="9" t="s">
        <v>170</v>
      </c>
      <c r="B181" s="7">
        <v>30</v>
      </c>
      <c r="C181" s="7">
        <v>6500</v>
      </c>
      <c r="D181" s="7">
        <f t="shared" si="2"/>
        <v>195000</v>
      </c>
    </row>
    <row r="182" spans="1:4" ht="18.75" hidden="1" x14ac:dyDescent="0.25">
      <c r="A182" s="9" t="s">
        <v>171</v>
      </c>
      <c r="B182" s="7"/>
      <c r="C182" s="7"/>
      <c r="D182" s="7">
        <f t="shared" si="2"/>
        <v>0</v>
      </c>
    </row>
    <row r="183" spans="1:4" ht="18.75" hidden="1" x14ac:dyDescent="0.25">
      <c r="A183" s="20" t="s">
        <v>172</v>
      </c>
      <c r="B183" s="7"/>
      <c r="C183" s="7"/>
      <c r="D183" s="7">
        <f t="shared" si="2"/>
        <v>0</v>
      </c>
    </row>
    <row r="184" spans="1:4" ht="18.75" hidden="1" x14ac:dyDescent="0.25">
      <c r="A184" s="9" t="s">
        <v>173</v>
      </c>
      <c r="B184" s="7"/>
      <c r="C184" s="7"/>
      <c r="D184" s="7">
        <f t="shared" si="2"/>
        <v>0</v>
      </c>
    </row>
    <row r="185" spans="1:4" ht="18.75" hidden="1" x14ac:dyDescent="0.25">
      <c r="A185" s="31" t="s">
        <v>174</v>
      </c>
      <c r="B185" s="33"/>
      <c r="C185" s="33"/>
      <c r="D185" s="7">
        <f t="shared" si="2"/>
        <v>0</v>
      </c>
    </row>
    <row r="186" spans="1:4" ht="18.75" hidden="1" x14ac:dyDescent="0.25">
      <c r="A186" s="11" t="s">
        <v>175</v>
      </c>
      <c r="B186" s="7"/>
      <c r="C186" s="7"/>
      <c r="D186" s="7">
        <f t="shared" si="2"/>
        <v>0</v>
      </c>
    </row>
    <row r="187" spans="1:4" ht="18.75" x14ac:dyDescent="0.25">
      <c r="A187" s="9" t="s">
        <v>176</v>
      </c>
      <c r="B187" s="7">
        <v>2</v>
      </c>
      <c r="C187" s="7">
        <v>43000</v>
      </c>
      <c r="D187" s="7">
        <f t="shared" si="2"/>
        <v>86000</v>
      </c>
    </row>
    <row r="188" spans="1:4" ht="18.75" hidden="1" x14ac:dyDescent="0.25">
      <c r="A188" s="9" t="s">
        <v>177</v>
      </c>
      <c r="B188" s="7"/>
      <c r="C188" s="7"/>
      <c r="D188" s="7">
        <f t="shared" si="2"/>
        <v>0</v>
      </c>
    </row>
    <row r="189" spans="1:4" ht="18.75" hidden="1" x14ac:dyDescent="0.25">
      <c r="A189" s="12" t="s">
        <v>178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179</v>
      </c>
      <c r="B190" s="7"/>
      <c r="C190" s="7"/>
      <c r="D190" s="7">
        <f t="shared" si="2"/>
        <v>0</v>
      </c>
    </row>
    <row r="191" spans="1:4" ht="18.75" hidden="1" x14ac:dyDescent="0.25">
      <c r="A191" s="9" t="s">
        <v>180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181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182</v>
      </c>
      <c r="B193" s="7"/>
      <c r="C193" s="7"/>
      <c r="D193" s="7">
        <f t="shared" si="2"/>
        <v>0</v>
      </c>
    </row>
    <row r="194" spans="1:4" ht="18.75" x14ac:dyDescent="0.25">
      <c r="A194" s="12" t="s">
        <v>183</v>
      </c>
      <c r="B194" s="7">
        <f>-500+540</f>
        <v>40</v>
      </c>
      <c r="C194" s="7">
        <v>12000</v>
      </c>
      <c r="D194" s="7">
        <f t="shared" si="2"/>
        <v>480000</v>
      </c>
    </row>
    <row r="195" spans="1:4" ht="18.75" x14ac:dyDescent="0.25">
      <c r="A195" s="9" t="s">
        <v>184</v>
      </c>
      <c r="B195" s="7">
        <v>24</v>
      </c>
      <c r="C195" s="7">
        <v>21000</v>
      </c>
      <c r="D195" s="7">
        <f t="shared" si="2"/>
        <v>504000</v>
      </c>
    </row>
    <row r="196" spans="1:4" ht="18.75" hidden="1" x14ac:dyDescent="0.25">
      <c r="A196" s="9" t="s">
        <v>185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186</v>
      </c>
      <c r="B197" s="7"/>
      <c r="C197" s="7"/>
      <c r="D197" s="7">
        <f t="shared" si="3"/>
        <v>0</v>
      </c>
    </row>
    <row r="198" spans="1:4" ht="18.75" hidden="1" x14ac:dyDescent="0.25">
      <c r="A198" s="12" t="s">
        <v>187</v>
      </c>
      <c r="B198" s="7"/>
      <c r="C198" s="7"/>
      <c r="D198" s="7">
        <f t="shared" si="3"/>
        <v>0</v>
      </c>
    </row>
    <row r="199" spans="1:4" ht="18.75" hidden="1" x14ac:dyDescent="0.25">
      <c r="A199" s="12" t="s">
        <v>188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189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190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191</v>
      </c>
      <c r="B202" s="7"/>
      <c r="C202" s="7"/>
      <c r="D202" s="7">
        <f t="shared" si="3"/>
        <v>0</v>
      </c>
    </row>
    <row r="203" spans="1:4" ht="18.75" hidden="1" x14ac:dyDescent="0.25">
      <c r="A203" s="17" t="s">
        <v>192</v>
      </c>
      <c r="B203" s="7"/>
      <c r="C203" s="7"/>
      <c r="D203" s="7">
        <f t="shared" si="3"/>
        <v>0</v>
      </c>
    </row>
    <row r="204" spans="1:4" ht="18.75" hidden="1" x14ac:dyDescent="0.25">
      <c r="A204" s="12" t="s">
        <v>193</v>
      </c>
      <c r="B204" s="7"/>
      <c r="C204" s="7"/>
      <c r="D204" s="7">
        <f t="shared" si="3"/>
        <v>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x14ac:dyDescent="0.25">
      <c r="A211" s="35" t="s">
        <v>200</v>
      </c>
      <c r="B211" s="7">
        <v>2</v>
      </c>
      <c r="C211" s="7">
        <v>18000</v>
      </c>
      <c r="D211" s="7">
        <f t="shared" si="3"/>
        <v>36000</v>
      </c>
    </row>
    <row r="212" spans="1:4" ht="18.75" x14ac:dyDescent="0.25">
      <c r="A212" s="9" t="s">
        <v>201</v>
      </c>
      <c r="B212" s="7">
        <f>230+15+75+120</f>
        <v>440</v>
      </c>
      <c r="C212" s="7">
        <v>21000</v>
      </c>
      <c r="D212" s="7">
        <f t="shared" si="3"/>
        <v>9240000</v>
      </c>
    </row>
    <row r="213" spans="1:4" ht="18.75" x14ac:dyDescent="0.25">
      <c r="A213" s="12" t="s">
        <v>202</v>
      </c>
      <c r="B213" s="7">
        <v>100</v>
      </c>
      <c r="C213" s="7">
        <v>21000</v>
      </c>
      <c r="D213" s="7">
        <f t="shared" si="3"/>
        <v>2100000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-400+680</f>
        <v>280</v>
      </c>
      <c r="C215" s="7">
        <v>19000</v>
      </c>
      <c r="D215" s="7">
        <f t="shared" si="3"/>
        <v>5320000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x14ac:dyDescent="0.25">
      <c r="A221" s="9" t="s">
        <v>210</v>
      </c>
      <c r="B221" s="7">
        <v>5</v>
      </c>
      <c r="C221" s="7">
        <v>12000</v>
      </c>
      <c r="D221" s="7">
        <f t="shared" si="3"/>
        <v>60000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hidden="1" x14ac:dyDescent="0.25">
      <c r="A226" s="9" t="s">
        <v>215</v>
      </c>
      <c r="B226" s="7"/>
      <c r="C226" s="7"/>
      <c r="D226" s="7">
        <f t="shared" si="3"/>
        <v>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x14ac:dyDescent="0.25">
      <c r="A228" s="9" t="s">
        <v>217</v>
      </c>
      <c r="B228" s="7">
        <v>60</v>
      </c>
      <c r="C228" s="7">
        <v>6500</v>
      </c>
      <c r="D228" s="7">
        <f t="shared" si="3"/>
        <v>390000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x14ac:dyDescent="0.25">
      <c r="A231" s="17" t="s">
        <v>220</v>
      </c>
      <c r="B231" s="7">
        <v>0.5</v>
      </c>
      <c r="C231" s="7">
        <v>45000</v>
      </c>
      <c r="D231" s="7">
        <f t="shared" si="3"/>
        <v>22500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x14ac:dyDescent="0.25">
      <c r="A258" s="9" t="s">
        <v>247</v>
      </c>
      <c r="B258" s="7">
        <v>10</v>
      </c>
      <c r="C258" s="7">
        <v>14000</v>
      </c>
      <c r="D258" s="7">
        <f t="shared" si="3"/>
        <v>140000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-20+20+3+40+20</f>
        <v>63</v>
      </c>
      <c r="C261" s="7">
        <v>24000</v>
      </c>
      <c r="D261" s="7">
        <f t="shared" si="4"/>
        <v>1512000</v>
      </c>
    </row>
    <row r="262" spans="1:4" ht="18.75" hidden="1" x14ac:dyDescent="0.25">
      <c r="A262" s="9" t="s">
        <v>251</v>
      </c>
      <c r="B262" s="7"/>
      <c r="C262" s="7"/>
      <c r="D262" s="7">
        <f t="shared" si="4"/>
        <v>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x14ac:dyDescent="0.25">
      <c r="A264" s="9" t="s">
        <v>253</v>
      </c>
      <c r="B264" s="7">
        <v>9</v>
      </c>
      <c r="C264" s="7">
        <v>10000</v>
      </c>
      <c r="D264" s="7">
        <f t="shared" si="4"/>
        <v>90000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-20+55+5+30+20</f>
        <v>90</v>
      </c>
      <c r="C268" s="7">
        <v>22000</v>
      </c>
      <c r="D268" s="7">
        <f t="shared" si="4"/>
        <v>1980000</v>
      </c>
    </row>
    <row r="269" spans="1:4" ht="18.75" hidden="1" x14ac:dyDescent="0.25">
      <c r="A269" s="9" t="s">
        <v>259</v>
      </c>
      <c r="B269" s="7"/>
      <c r="C269" s="7"/>
      <c r="D269" s="7">
        <f t="shared" si="4"/>
        <v>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-20+30+40</f>
        <v>50</v>
      </c>
      <c r="C272" s="7">
        <v>20000</v>
      </c>
      <c r="D272" s="7">
        <f t="shared" si="4"/>
        <v>1000000</v>
      </c>
    </row>
    <row r="273" spans="1:4" ht="18.75" x14ac:dyDescent="0.25">
      <c r="A273" s="9" t="s">
        <v>263</v>
      </c>
      <c r="B273" s="7">
        <v>25</v>
      </c>
      <c r="C273" s="7">
        <v>15000</v>
      </c>
      <c r="D273" s="7">
        <f t="shared" si="4"/>
        <v>375000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x14ac:dyDescent="0.25">
      <c r="A279" s="9" t="s">
        <v>269</v>
      </c>
      <c r="B279" s="7">
        <v>8</v>
      </c>
      <c r="C279" s="7">
        <v>14000</v>
      </c>
      <c r="D279" s="7">
        <f t="shared" si="4"/>
        <v>112000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3</v>
      </c>
      <c r="C283" s="7">
        <v>20000</v>
      </c>
      <c r="D283" s="7">
        <f t="shared" si="4"/>
        <v>60000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3</v>
      </c>
      <c r="C297" s="7">
        <v>12000</v>
      </c>
      <c r="D297" s="7">
        <f t="shared" si="4"/>
        <v>36000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v>30</v>
      </c>
      <c r="C300" s="7">
        <v>7500</v>
      </c>
      <c r="D300" s="7">
        <f t="shared" si="4"/>
        <v>225000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hidden="1" x14ac:dyDescent="0.25">
      <c r="A303" s="9" t="s">
        <v>293</v>
      </c>
      <c r="B303" s="7"/>
      <c r="C303" s="7"/>
      <c r="D303" s="7">
        <f t="shared" si="4"/>
        <v>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x14ac:dyDescent="0.25">
      <c r="A308" s="17" t="s">
        <v>404</v>
      </c>
      <c r="B308" s="7">
        <v>56</v>
      </c>
      <c r="C308" s="7">
        <v>23000</v>
      </c>
      <c r="D308" s="7">
        <f t="shared" si="4"/>
        <v>1288000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x14ac:dyDescent="0.25">
      <c r="A321" s="13" t="s">
        <v>309</v>
      </c>
      <c r="B321" s="7">
        <v>10</v>
      </c>
      <c r="C321" s="7">
        <v>18000</v>
      </c>
      <c r="D321" s="7">
        <f t="shared" si="4"/>
        <v>180000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52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x14ac:dyDescent="0.25">
      <c r="A338" s="9" t="s">
        <v>326</v>
      </c>
      <c r="B338" s="7">
        <v>1</v>
      </c>
      <c r="C338" s="7">
        <v>30000</v>
      </c>
      <c r="D338" s="7">
        <f t="shared" si="5"/>
        <v>30000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2893</v>
      </c>
      <c r="C351" s="43"/>
      <c r="D351" s="7">
        <f>SUM(D3:D338)</f>
        <v>52975100</v>
      </c>
    </row>
    <row r="352" spans="1:4" ht="18.75" hidden="1" x14ac:dyDescent="0.25">
      <c r="D352" s="7">
        <f t="shared" si="5"/>
        <v>0</v>
      </c>
    </row>
    <row r="353" spans="1:4" ht="18.75" hidden="1" x14ac:dyDescent="0.25">
      <c r="A353" s="1" t="s">
        <v>406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>B355*C355</f>
        <v>0</v>
      </c>
    </row>
    <row r="356" spans="1:4" ht="18.75" hidden="1" x14ac:dyDescent="0.25">
      <c r="A356" s="5" t="s">
        <v>2</v>
      </c>
      <c r="B356" s="7"/>
      <c r="C356" s="7"/>
      <c r="D356" s="7">
        <f t="shared" ref="D356:D419" si="6">B356*C356</f>
        <v>0</v>
      </c>
    </row>
    <row r="357" spans="1:4" ht="18.75" hidden="1" x14ac:dyDescent="0.25">
      <c r="A357" s="8" t="s">
        <v>3</v>
      </c>
      <c r="B357" s="7"/>
      <c r="C357" s="7"/>
      <c r="D357" s="7">
        <f t="shared" si="6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6"/>
        <v>0</v>
      </c>
    </row>
    <row r="359" spans="1:4" ht="18.75" x14ac:dyDescent="0.25">
      <c r="A359" s="5" t="s">
        <v>5</v>
      </c>
      <c r="B359" s="7">
        <v>160</v>
      </c>
      <c r="C359" s="7">
        <v>7300</v>
      </c>
      <c r="D359" s="7">
        <f t="shared" si="6"/>
        <v>1168000</v>
      </c>
    </row>
    <row r="360" spans="1:4" ht="18.75" hidden="1" x14ac:dyDescent="0.25">
      <c r="A360" s="9" t="s">
        <v>6</v>
      </c>
      <c r="B360" s="7"/>
      <c r="C360" s="7"/>
      <c r="D360" s="7">
        <f t="shared" si="6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6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6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6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6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6"/>
        <v>0</v>
      </c>
    </row>
    <row r="366" spans="1:4" ht="18.75" x14ac:dyDescent="0.25">
      <c r="A366" s="9" t="s">
        <v>12</v>
      </c>
      <c r="B366" s="7">
        <v>25</v>
      </c>
      <c r="C366" s="7">
        <v>8000</v>
      </c>
      <c r="D366" s="7">
        <f t="shared" si="6"/>
        <v>200000</v>
      </c>
    </row>
    <row r="367" spans="1:4" ht="18.75" hidden="1" x14ac:dyDescent="0.25">
      <c r="A367" s="12" t="s">
        <v>13</v>
      </c>
      <c r="B367" s="7"/>
      <c r="C367" s="7"/>
      <c r="D367" s="7">
        <f t="shared" si="6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6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6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6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6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6"/>
        <v>0</v>
      </c>
    </row>
    <row r="373" spans="1:4" ht="18.75" hidden="1" x14ac:dyDescent="0.25">
      <c r="A373" s="9" t="s">
        <v>19</v>
      </c>
      <c r="B373" s="7"/>
      <c r="C373" s="7"/>
      <c r="D373" s="7">
        <f t="shared" si="6"/>
        <v>0</v>
      </c>
    </row>
    <row r="374" spans="1:4" ht="18.75" hidden="1" x14ac:dyDescent="0.25">
      <c r="A374" s="12" t="s">
        <v>20</v>
      </c>
      <c r="B374" s="7"/>
      <c r="C374" s="7"/>
      <c r="D374" s="7">
        <f t="shared" si="6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6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6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6"/>
        <v>0</v>
      </c>
    </row>
    <row r="378" spans="1:4" ht="18.75" x14ac:dyDescent="0.25">
      <c r="A378" s="9" t="s">
        <v>24</v>
      </c>
      <c r="B378" s="7">
        <v>30</v>
      </c>
      <c r="C378" s="7">
        <v>16000</v>
      </c>
      <c r="D378" s="7">
        <f t="shared" si="6"/>
        <v>480000</v>
      </c>
    </row>
    <row r="379" spans="1:4" ht="18.75" hidden="1" x14ac:dyDescent="0.25">
      <c r="A379" s="9" t="s">
        <v>25</v>
      </c>
      <c r="B379" s="7"/>
      <c r="C379" s="7"/>
      <c r="D379" s="7">
        <f t="shared" si="6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6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6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6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6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6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6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6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6"/>
        <v>0</v>
      </c>
    </row>
    <row r="388" spans="1:4" ht="18.75" hidden="1" x14ac:dyDescent="0.25">
      <c r="A388" s="9" t="s">
        <v>41</v>
      </c>
      <c r="B388" s="7"/>
      <c r="C388" s="7"/>
      <c r="D388" s="7">
        <f t="shared" si="6"/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51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19000</v>
      </c>
      <c r="D400" s="7">
        <f t="shared" si="6"/>
        <v>5700000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ref="D420:D482" si="7">B420*C420</f>
        <v>0</v>
      </c>
    </row>
    <row r="421" spans="1:4" ht="18.75" hidden="1" x14ac:dyDescent="0.25">
      <c r="A421" s="9" t="s">
        <v>75</v>
      </c>
      <c r="B421" s="7"/>
      <c r="C421" s="7"/>
      <c r="D421" s="7">
        <f t="shared" si="7"/>
        <v>0</v>
      </c>
    </row>
    <row r="422" spans="1:4" ht="18.75" hidden="1" x14ac:dyDescent="0.25">
      <c r="A422" s="9" t="s">
        <v>76</v>
      </c>
      <c r="B422" s="7"/>
      <c r="C422" s="7"/>
      <c r="D422" s="7">
        <f t="shared" si="7"/>
        <v>0</v>
      </c>
    </row>
    <row r="423" spans="1:4" ht="18.75" hidden="1" x14ac:dyDescent="0.25">
      <c r="A423" s="12" t="s">
        <v>341</v>
      </c>
      <c r="B423" s="7"/>
      <c r="C423" s="7"/>
      <c r="D423" s="7">
        <f t="shared" si="7"/>
        <v>0</v>
      </c>
    </row>
    <row r="424" spans="1:4" ht="18.75" x14ac:dyDescent="0.25">
      <c r="A424" s="9" t="s">
        <v>77</v>
      </c>
      <c r="B424" s="7">
        <v>100</v>
      </c>
      <c r="C424" s="7">
        <v>26000</v>
      </c>
      <c r="D424" s="7">
        <f t="shared" si="7"/>
        <v>2600000</v>
      </c>
    </row>
    <row r="425" spans="1:4" ht="18.75" hidden="1" x14ac:dyDescent="0.25">
      <c r="A425" s="13" t="s">
        <v>78</v>
      </c>
      <c r="B425" s="7"/>
      <c r="C425" s="7"/>
      <c r="D425" s="7">
        <f t="shared" si="7"/>
        <v>0</v>
      </c>
    </row>
    <row r="426" spans="1:4" ht="18.75" hidden="1" x14ac:dyDescent="0.25">
      <c r="A426" s="9" t="s">
        <v>79</v>
      </c>
      <c r="B426" s="7"/>
      <c r="C426" s="7"/>
      <c r="D426" s="7">
        <f t="shared" si="7"/>
        <v>0</v>
      </c>
    </row>
    <row r="427" spans="1:4" ht="18.75" hidden="1" x14ac:dyDescent="0.25">
      <c r="A427" s="9" t="s">
        <v>80</v>
      </c>
      <c r="B427" s="7"/>
      <c r="C427" s="7"/>
      <c r="D427" s="7">
        <f t="shared" si="7"/>
        <v>0</v>
      </c>
    </row>
    <row r="428" spans="1:4" ht="18.75" hidden="1" x14ac:dyDescent="0.25">
      <c r="A428" s="9" t="s">
        <v>81</v>
      </c>
      <c r="B428" s="7"/>
      <c r="C428" s="7"/>
      <c r="D428" s="7">
        <f t="shared" si="7"/>
        <v>0</v>
      </c>
    </row>
    <row r="429" spans="1:4" ht="18.75" hidden="1" x14ac:dyDescent="0.25">
      <c r="A429" s="12" t="s">
        <v>82</v>
      </c>
      <c r="B429" s="16"/>
      <c r="C429" s="16"/>
      <c r="D429" s="7">
        <f t="shared" si="7"/>
        <v>0</v>
      </c>
    </row>
    <row r="430" spans="1:4" ht="18.75" hidden="1" x14ac:dyDescent="0.25">
      <c r="A430" s="12" t="s">
        <v>83</v>
      </c>
      <c r="B430" s="16"/>
      <c r="C430" s="16"/>
      <c r="D430" s="7">
        <f t="shared" si="7"/>
        <v>0</v>
      </c>
    </row>
    <row r="431" spans="1:4" ht="18.75" hidden="1" x14ac:dyDescent="0.25">
      <c r="A431" s="12" t="s">
        <v>84</v>
      </c>
      <c r="B431" s="16"/>
      <c r="C431" s="16"/>
      <c r="D431" s="7">
        <f t="shared" si="7"/>
        <v>0</v>
      </c>
    </row>
    <row r="432" spans="1:4" ht="18.75" hidden="1" x14ac:dyDescent="0.25">
      <c r="A432" s="9" t="s">
        <v>85</v>
      </c>
      <c r="B432" s="7"/>
      <c r="C432" s="7"/>
      <c r="D432" s="7">
        <f t="shared" si="7"/>
        <v>0</v>
      </c>
    </row>
    <row r="433" spans="1:4" ht="18.75" hidden="1" x14ac:dyDescent="0.25">
      <c r="A433" s="9" t="s">
        <v>86</v>
      </c>
      <c r="B433" s="7"/>
      <c r="C433" s="7"/>
      <c r="D433" s="7">
        <f t="shared" si="7"/>
        <v>0</v>
      </c>
    </row>
    <row r="434" spans="1:4" ht="18.75" hidden="1" x14ac:dyDescent="0.25">
      <c r="A434" s="9" t="s">
        <v>87</v>
      </c>
      <c r="B434" s="7"/>
      <c r="C434" s="7"/>
      <c r="D434" s="7">
        <f t="shared" si="7"/>
        <v>0</v>
      </c>
    </row>
    <row r="435" spans="1:4" ht="18.75" hidden="1" x14ac:dyDescent="0.25">
      <c r="A435" s="9" t="s">
        <v>88</v>
      </c>
      <c r="B435" s="7"/>
      <c r="C435" s="7"/>
      <c r="D435" s="7">
        <f t="shared" si="7"/>
        <v>0</v>
      </c>
    </row>
    <row r="436" spans="1:4" ht="18.75" hidden="1" x14ac:dyDescent="0.25">
      <c r="A436" s="9" t="s">
        <v>89</v>
      </c>
      <c r="B436" s="7"/>
      <c r="C436" s="7"/>
      <c r="D436" s="7">
        <f t="shared" si="7"/>
        <v>0</v>
      </c>
    </row>
    <row r="437" spans="1:4" ht="18.75" x14ac:dyDescent="0.25">
      <c r="A437" s="9" t="s">
        <v>90</v>
      </c>
      <c r="B437" s="7">
        <v>9</v>
      </c>
      <c r="C437" s="7">
        <v>10000</v>
      </c>
      <c r="D437" s="7">
        <f t="shared" si="7"/>
        <v>90000</v>
      </c>
    </row>
    <row r="438" spans="1:4" ht="18.75" hidden="1" x14ac:dyDescent="0.25">
      <c r="A438" s="21" t="s">
        <v>91</v>
      </c>
      <c r="B438" s="7"/>
      <c r="C438" s="7"/>
      <c r="D438" s="7">
        <f t="shared" si="7"/>
        <v>0</v>
      </c>
    </row>
    <row r="439" spans="1:4" ht="18.75" hidden="1" x14ac:dyDescent="0.25">
      <c r="A439" s="21" t="s">
        <v>92</v>
      </c>
      <c r="B439" s="7"/>
      <c r="C439" s="7"/>
      <c r="D439" s="7">
        <f t="shared" si="7"/>
        <v>0</v>
      </c>
    </row>
    <row r="440" spans="1:4" ht="18.75" hidden="1" x14ac:dyDescent="0.25">
      <c r="A440" s="21" t="s">
        <v>93</v>
      </c>
      <c r="B440" s="7"/>
      <c r="C440" s="7"/>
      <c r="D440" s="7">
        <f t="shared" si="7"/>
        <v>0</v>
      </c>
    </row>
    <row r="441" spans="1:4" ht="18.75" hidden="1" x14ac:dyDescent="0.25">
      <c r="A441" s="11" t="s">
        <v>94</v>
      </c>
      <c r="B441" s="7"/>
      <c r="C441" s="7"/>
      <c r="D441" s="7">
        <f t="shared" si="7"/>
        <v>0</v>
      </c>
    </row>
    <row r="442" spans="1:4" ht="18.75" hidden="1" x14ac:dyDescent="0.25">
      <c r="A442" s="13" t="s">
        <v>95</v>
      </c>
      <c r="B442" s="7"/>
      <c r="C442" s="7"/>
      <c r="D442" s="7">
        <f t="shared" si="7"/>
        <v>0</v>
      </c>
    </row>
    <row r="443" spans="1:4" ht="18.75" hidden="1" x14ac:dyDescent="0.25">
      <c r="A443" s="11" t="s">
        <v>342</v>
      </c>
      <c r="B443" s="7"/>
      <c r="C443" s="7"/>
      <c r="D443" s="7">
        <f t="shared" si="7"/>
        <v>0</v>
      </c>
    </row>
    <row r="444" spans="1:4" ht="18.75" hidden="1" x14ac:dyDescent="0.25">
      <c r="A444" s="9" t="s">
        <v>96</v>
      </c>
      <c r="B444" s="7"/>
      <c r="C444" s="7"/>
      <c r="D444" s="7">
        <f t="shared" si="7"/>
        <v>0</v>
      </c>
    </row>
    <row r="445" spans="1:4" ht="18.75" hidden="1" x14ac:dyDescent="0.25">
      <c r="A445" s="9" t="s">
        <v>97</v>
      </c>
      <c r="B445" s="7"/>
      <c r="C445" s="7"/>
      <c r="D445" s="7">
        <f t="shared" si="7"/>
        <v>0</v>
      </c>
    </row>
    <row r="446" spans="1:4" ht="18.75" hidden="1" x14ac:dyDescent="0.25">
      <c r="A446" s="11" t="s">
        <v>343</v>
      </c>
      <c r="B446" s="7"/>
      <c r="C446" s="7"/>
      <c r="D446" s="7">
        <f t="shared" si="7"/>
        <v>0</v>
      </c>
    </row>
    <row r="447" spans="1:4" ht="18.75" hidden="1" x14ac:dyDescent="0.25">
      <c r="A447" s="11" t="s">
        <v>344</v>
      </c>
      <c r="B447" s="7"/>
      <c r="C447" s="7"/>
      <c r="D447" s="7">
        <f t="shared" si="7"/>
        <v>0</v>
      </c>
    </row>
    <row r="448" spans="1:4" ht="18.75" hidden="1" x14ac:dyDescent="0.25">
      <c r="A448" s="9" t="s">
        <v>99</v>
      </c>
      <c r="B448" s="16"/>
      <c r="C448" s="16"/>
      <c r="D448" s="7">
        <f t="shared" si="7"/>
        <v>0</v>
      </c>
    </row>
    <row r="449" spans="1:4" ht="18.75" hidden="1" x14ac:dyDescent="0.25">
      <c r="A449" s="21" t="s">
        <v>101</v>
      </c>
      <c r="B449" s="7"/>
      <c r="C449" s="7"/>
      <c r="D449" s="7">
        <f t="shared" si="7"/>
        <v>0</v>
      </c>
    </row>
    <row r="450" spans="1:4" ht="18.75" hidden="1" x14ac:dyDescent="0.25">
      <c r="A450" s="11" t="s">
        <v>102</v>
      </c>
      <c r="B450" s="7"/>
      <c r="C450" s="7"/>
      <c r="D450" s="7">
        <f t="shared" si="7"/>
        <v>0</v>
      </c>
    </row>
    <row r="451" spans="1:4" ht="18.75" hidden="1" x14ac:dyDescent="0.25">
      <c r="A451" s="11" t="s">
        <v>345</v>
      </c>
      <c r="B451" s="7"/>
      <c r="C451" s="7"/>
      <c r="D451" s="7">
        <f t="shared" si="7"/>
        <v>0</v>
      </c>
    </row>
    <row r="452" spans="1:4" ht="18.75" hidden="1" x14ac:dyDescent="0.25">
      <c r="A452" s="9" t="s">
        <v>103</v>
      </c>
      <c r="B452" s="7"/>
      <c r="C452" s="7"/>
      <c r="D452" s="7">
        <f t="shared" si="7"/>
        <v>0</v>
      </c>
    </row>
    <row r="453" spans="1:4" ht="18.75" hidden="1" x14ac:dyDescent="0.25">
      <c r="A453" s="17" t="s">
        <v>104</v>
      </c>
      <c r="B453" s="7"/>
      <c r="C453" s="7"/>
      <c r="D453" s="7">
        <f t="shared" si="7"/>
        <v>0</v>
      </c>
    </row>
    <row r="454" spans="1:4" ht="18.75" x14ac:dyDescent="0.25">
      <c r="A454" s="24" t="s">
        <v>105</v>
      </c>
      <c r="B454" s="7">
        <v>1.5</v>
      </c>
      <c r="C454" s="7">
        <v>15000</v>
      </c>
      <c r="D454" s="7">
        <f t="shared" si="7"/>
        <v>22500</v>
      </c>
    </row>
    <row r="455" spans="1:4" ht="18.75" hidden="1" x14ac:dyDescent="0.25">
      <c r="A455" s="24" t="s">
        <v>106</v>
      </c>
      <c r="B455" s="7"/>
      <c r="C455" s="7"/>
      <c r="D455" s="7">
        <f t="shared" si="7"/>
        <v>0</v>
      </c>
    </row>
    <row r="456" spans="1:4" ht="18.75" hidden="1" x14ac:dyDescent="0.25">
      <c r="A456" s="23" t="s">
        <v>107</v>
      </c>
      <c r="B456" s="7"/>
      <c r="C456" s="7"/>
      <c r="D456" s="7">
        <f t="shared" si="7"/>
        <v>0</v>
      </c>
    </row>
    <row r="457" spans="1:4" ht="18.75" hidden="1" x14ac:dyDescent="0.25">
      <c r="A457" s="25" t="s">
        <v>108</v>
      </c>
      <c r="B457" s="7"/>
      <c r="C457" s="7"/>
      <c r="D457" s="7">
        <f t="shared" si="7"/>
        <v>0</v>
      </c>
    </row>
    <row r="458" spans="1:4" ht="18.75" hidden="1" x14ac:dyDescent="0.25">
      <c r="A458" s="9" t="s">
        <v>109</v>
      </c>
      <c r="B458" s="7"/>
      <c r="C458" s="7"/>
      <c r="D458" s="7">
        <f t="shared" si="7"/>
        <v>0</v>
      </c>
    </row>
    <row r="459" spans="1:4" ht="18.75" x14ac:dyDescent="0.25">
      <c r="A459" s="9" t="s">
        <v>110</v>
      </c>
      <c r="B459" s="7">
        <v>18</v>
      </c>
      <c r="C459" s="7">
        <v>22000</v>
      </c>
      <c r="D459" s="7">
        <f t="shared" si="7"/>
        <v>396000</v>
      </c>
    </row>
    <row r="460" spans="1:4" ht="18.75" hidden="1" x14ac:dyDescent="0.25">
      <c r="A460" s="9" t="s">
        <v>111</v>
      </c>
      <c r="B460" s="7"/>
      <c r="C460" s="7"/>
      <c r="D460" s="7">
        <f t="shared" si="7"/>
        <v>0</v>
      </c>
    </row>
    <row r="461" spans="1:4" ht="18.75" hidden="1" x14ac:dyDescent="0.25">
      <c r="A461" s="9" t="s">
        <v>112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114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115</v>
      </c>
      <c r="B463" s="7"/>
      <c r="C463" s="7"/>
      <c r="D463" s="7">
        <f t="shared" si="7"/>
        <v>0</v>
      </c>
    </row>
    <row r="464" spans="1:4" ht="18.75" x14ac:dyDescent="0.25">
      <c r="A464" s="9" t="s">
        <v>346</v>
      </c>
      <c r="B464" s="7">
        <v>2.5</v>
      </c>
      <c r="C464" s="7">
        <v>22000</v>
      </c>
      <c r="D464" s="7">
        <f t="shared" si="7"/>
        <v>55000</v>
      </c>
    </row>
    <row r="465" spans="1:4" ht="18.75" hidden="1" x14ac:dyDescent="0.25">
      <c r="A465" s="9" t="s">
        <v>116</v>
      </c>
      <c r="B465" s="7"/>
      <c r="C465" s="7"/>
      <c r="D465" s="7">
        <f t="shared" si="7"/>
        <v>0</v>
      </c>
    </row>
    <row r="466" spans="1:4" ht="18.75" hidden="1" x14ac:dyDescent="0.25">
      <c r="A466" s="11" t="s">
        <v>117</v>
      </c>
      <c r="B466" s="7"/>
      <c r="C466" s="7"/>
      <c r="D466" s="7">
        <f t="shared" si="7"/>
        <v>0</v>
      </c>
    </row>
    <row r="467" spans="1:4" ht="18.75" hidden="1" x14ac:dyDescent="0.25">
      <c r="A467" s="21" t="s">
        <v>118</v>
      </c>
      <c r="B467" s="7"/>
      <c r="C467" s="7"/>
      <c r="D467" s="7">
        <f t="shared" si="7"/>
        <v>0</v>
      </c>
    </row>
    <row r="468" spans="1:4" ht="18.75" hidden="1" x14ac:dyDescent="0.25">
      <c r="A468" s="9" t="s">
        <v>119</v>
      </c>
      <c r="B468" s="7"/>
      <c r="C468" s="7"/>
      <c r="D468" s="7">
        <f t="shared" si="7"/>
        <v>0</v>
      </c>
    </row>
    <row r="469" spans="1:4" ht="18.75" hidden="1" x14ac:dyDescent="0.25">
      <c r="A469" s="11" t="s">
        <v>120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121</v>
      </c>
      <c r="B470" s="7"/>
      <c r="C470" s="7"/>
      <c r="D470" s="7">
        <f t="shared" si="7"/>
        <v>0</v>
      </c>
    </row>
    <row r="471" spans="1:4" ht="18.75" x14ac:dyDescent="0.25">
      <c r="A471" s="9" t="s">
        <v>122</v>
      </c>
      <c r="B471" s="7">
        <v>3</v>
      </c>
      <c r="C471" s="7">
        <v>14000</v>
      </c>
      <c r="D471" s="7">
        <f t="shared" si="7"/>
        <v>42000</v>
      </c>
    </row>
    <row r="472" spans="1:4" ht="18.75" hidden="1" x14ac:dyDescent="0.25">
      <c r="A472" s="10" t="s">
        <v>124</v>
      </c>
      <c r="B472" s="7"/>
      <c r="C472" s="7"/>
      <c r="D472" s="7">
        <f t="shared" si="7"/>
        <v>0</v>
      </c>
    </row>
    <row r="473" spans="1:4" ht="18.75" hidden="1" x14ac:dyDescent="0.25">
      <c r="A473" s="13" t="s">
        <v>125</v>
      </c>
      <c r="B473" s="7"/>
      <c r="C473" s="7"/>
      <c r="D473" s="7">
        <f t="shared" si="7"/>
        <v>0</v>
      </c>
    </row>
    <row r="474" spans="1:4" ht="18.75" hidden="1" x14ac:dyDescent="0.25">
      <c r="A474" s="12" t="s">
        <v>126</v>
      </c>
      <c r="B474" s="16"/>
      <c r="C474" s="16"/>
      <c r="D474" s="7">
        <f t="shared" si="7"/>
        <v>0</v>
      </c>
    </row>
    <row r="475" spans="1:4" ht="18.75" hidden="1" x14ac:dyDescent="0.25">
      <c r="A475" s="12" t="s">
        <v>127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128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129</v>
      </c>
      <c r="B477" s="27"/>
      <c r="C477" s="27"/>
      <c r="D477" s="7">
        <f t="shared" si="7"/>
        <v>0</v>
      </c>
    </row>
    <row r="478" spans="1:4" ht="18.75" hidden="1" x14ac:dyDescent="0.25">
      <c r="A478" s="28" t="s">
        <v>130</v>
      </c>
      <c r="B478" s="7"/>
      <c r="C478" s="7"/>
      <c r="D478" s="7">
        <f t="shared" si="7"/>
        <v>0</v>
      </c>
    </row>
    <row r="479" spans="1:4" ht="18.75" hidden="1" x14ac:dyDescent="0.25">
      <c r="A479" s="12" t="s">
        <v>131</v>
      </c>
      <c r="B479" s="16"/>
      <c r="C479" s="16"/>
      <c r="D479" s="7">
        <f t="shared" si="7"/>
        <v>0</v>
      </c>
    </row>
    <row r="480" spans="1:4" ht="18.75" hidden="1" x14ac:dyDescent="0.25">
      <c r="A480" s="9" t="s">
        <v>132</v>
      </c>
      <c r="B480" s="7"/>
      <c r="C480" s="7"/>
      <c r="D480" s="7">
        <f t="shared" si="7"/>
        <v>0</v>
      </c>
    </row>
    <row r="481" spans="1:4" ht="18.75" hidden="1" x14ac:dyDescent="0.25">
      <c r="A481" s="9" t="s">
        <v>133</v>
      </c>
      <c r="B481" s="7"/>
      <c r="C481" s="7"/>
      <c r="D481" s="7">
        <f t="shared" si="7"/>
        <v>0</v>
      </c>
    </row>
    <row r="482" spans="1:4" ht="18.75" x14ac:dyDescent="0.25">
      <c r="A482" s="9" t="s">
        <v>135</v>
      </c>
      <c r="B482" s="7">
        <v>60</v>
      </c>
      <c r="C482" s="7">
        <v>18000</v>
      </c>
      <c r="D482" s="7">
        <f t="shared" si="7"/>
        <v>1080000</v>
      </c>
    </row>
    <row r="483" spans="1:4" ht="18.75" hidden="1" x14ac:dyDescent="0.25">
      <c r="A483" s="17" t="s">
        <v>136</v>
      </c>
      <c r="B483" s="7"/>
      <c r="C483" s="7"/>
      <c r="D483" s="7">
        <f t="shared" ref="D483:D546" si="8">B483*C483</f>
        <v>0</v>
      </c>
    </row>
    <row r="484" spans="1:4" ht="18.75" hidden="1" x14ac:dyDescent="0.25">
      <c r="A484" s="12" t="s">
        <v>137</v>
      </c>
      <c r="B484" s="7"/>
      <c r="C484" s="7"/>
      <c r="D484" s="7">
        <f t="shared" si="8"/>
        <v>0</v>
      </c>
    </row>
    <row r="485" spans="1:4" ht="18.75" hidden="1" x14ac:dyDescent="0.25">
      <c r="A485" s="12" t="s">
        <v>138</v>
      </c>
      <c r="B485" s="7"/>
      <c r="C485" s="7"/>
      <c r="D485" s="7">
        <f t="shared" si="8"/>
        <v>0</v>
      </c>
    </row>
    <row r="486" spans="1:4" ht="18.75" hidden="1" x14ac:dyDescent="0.25">
      <c r="A486" s="9" t="s">
        <v>139</v>
      </c>
      <c r="B486" s="7"/>
      <c r="C486" s="7"/>
      <c r="D486" s="7">
        <f t="shared" si="8"/>
        <v>0</v>
      </c>
    </row>
    <row r="487" spans="1:4" ht="18.75" hidden="1" x14ac:dyDescent="0.25">
      <c r="A487" s="9" t="s">
        <v>347</v>
      </c>
      <c r="B487" s="7"/>
      <c r="C487" s="7"/>
      <c r="D487" s="7">
        <f t="shared" si="8"/>
        <v>0</v>
      </c>
    </row>
    <row r="488" spans="1:4" ht="18.75" hidden="1" x14ac:dyDescent="0.25">
      <c r="A488" s="9" t="s">
        <v>141</v>
      </c>
      <c r="B488" s="16"/>
      <c r="C488" s="16"/>
      <c r="D488" s="7">
        <f t="shared" si="8"/>
        <v>0</v>
      </c>
    </row>
    <row r="489" spans="1:4" ht="18.75" hidden="1" x14ac:dyDescent="0.25">
      <c r="A489" s="9" t="s">
        <v>142</v>
      </c>
      <c r="B489" s="16"/>
      <c r="C489" s="16"/>
      <c r="D489" s="7">
        <f t="shared" si="8"/>
        <v>0</v>
      </c>
    </row>
    <row r="490" spans="1:4" ht="18.75" hidden="1" x14ac:dyDescent="0.25">
      <c r="A490" s="9" t="s">
        <v>143</v>
      </c>
      <c r="B490" s="7"/>
      <c r="C490" s="7"/>
      <c r="D490" s="7">
        <f t="shared" si="8"/>
        <v>0</v>
      </c>
    </row>
    <row r="491" spans="1:4" ht="18.75" hidden="1" x14ac:dyDescent="0.25">
      <c r="A491" s="9" t="s">
        <v>144</v>
      </c>
      <c r="B491" s="16"/>
      <c r="C491" s="16"/>
      <c r="D491" s="7">
        <f t="shared" si="8"/>
        <v>0</v>
      </c>
    </row>
    <row r="492" spans="1:4" ht="18.75" hidden="1" x14ac:dyDescent="0.25">
      <c r="A492" s="9" t="s">
        <v>145</v>
      </c>
      <c r="B492" s="16"/>
      <c r="C492" s="16"/>
      <c r="D492" s="7">
        <f t="shared" si="8"/>
        <v>0</v>
      </c>
    </row>
    <row r="493" spans="1:4" ht="18.75" hidden="1" x14ac:dyDescent="0.25">
      <c r="A493" s="9" t="s">
        <v>146</v>
      </c>
      <c r="B493" s="16"/>
      <c r="C493" s="16"/>
      <c r="D493" s="7">
        <f t="shared" si="8"/>
        <v>0</v>
      </c>
    </row>
    <row r="494" spans="1:4" ht="18.75" hidden="1" x14ac:dyDescent="0.25">
      <c r="A494" s="9" t="s">
        <v>147</v>
      </c>
      <c r="B494" s="16"/>
      <c r="C494" s="16"/>
      <c r="D494" s="7">
        <f t="shared" si="8"/>
        <v>0</v>
      </c>
    </row>
    <row r="495" spans="1:4" ht="18.75" hidden="1" x14ac:dyDescent="0.25">
      <c r="A495" s="9" t="s">
        <v>148</v>
      </c>
      <c r="B495" s="16"/>
      <c r="C495" s="16"/>
      <c r="D495" s="7">
        <f t="shared" si="8"/>
        <v>0</v>
      </c>
    </row>
    <row r="496" spans="1:4" ht="18.75" hidden="1" x14ac:dyDescent="0.25">
      <c r="A496" s="9" t="s">
        <v>149</v>
      </c>
      <c r="B496" s="16"/>
      <c r="C496" s="16"/>
      <c r="D496" s="7">
        <f t="shared" si="8"/>
        <v>0</v>
      </c>
    </row>
    <row r="497" spans="1:4" ht="18.75" hidden="1" x14ac:dyDescent="0.25">
      <c r="A497" s="9" t="s">
        <v>150</v>
      </c>
      <c r="B497" s="16"/>
      <c r="C497" s="16"/>
      <c r="D497" s="7">
        <f t="shared" si="8"/>
        <v>0</v>
      </c>
    </row>
    <row r="498" spans="1:4" ht="18.75" hidden="1" x14ac:dyDescent="0.25">
      <c r="A498" s="9" t="s">
        <v>151</v>
      </c>
      <c r="B498" s="16"/>
      <c r="C498" s="16"/>
      <c r="D498" s="7">
        <f t="shared" si="8"/>
        <v>0</v>
      </c>
    </row>
    <row r="499" spans="1:4" ht="18.75" hidden="1" x14ac:dyDescent="0.25">
      <c r="A499" s="9" t="s">
        <v>152</v>
      </c>
      <c r="B499" s="7"/>
      <c r="C499" s="7"/>
      <c r="D499" s="7">
        <f t="shared" si="8"/>
        <v>0</v>
      </c>
    </row>
    <row r="500" spans="1:4" ht="18.75" hidden="1" x14ac:dyDescent="0.25">
      <c r="A500" s="9" t="s">
        <v>348</v>
      </c>
      <c r="B500" s="7"/>
      <c r="C500" s="7"/>
      <c r="D500" s="7">
        <f t="shared" si="8"/>
        <v>0</v>
      </c>
    </row>
    <row r="501" spans="1:4" ht="18.75" hidden="1" x14ac:dyDescent="0.25">
      <c r="A501" s="9" t="s">
        <v>153</v>
      </c>
      <c r="B501" s="7"/>
      <c r="C501" s="7"/>
      <c r="D501" s="7">
        <f t="shared" si="8"/>
        <v>0</v>
      </c>
    </row>
    <row r="502" spans="1:4" ht="18.75" hidden="1" x14ac:dyDescent="0.25">
      <c r="A502" s="9" t="s">
        <v>154</v>
      </c>
      <c r="B502" s="7"/>
      <c r="C502" s="7"/>
      <c r="D502" s="7">
        <f t="shared" si="8"/>
        <v>0</v>
      </c>
    </row>
    <row r="503" spans="1:4" ht="18.75" hidden="1" x14ac:dyDescent="0.25">
      <c r="A503" s="9" t="s">
        <v>155</v>
      </c>
      <c r="B503" s="7"/>
      <c r="C503" s="7"/>
      <c r="D503" s="7">
        <f t="shared" si="8"/>
        <v>0</v>
      </c>
    </row>
    <row r="504" spans="1:4" ht="18.75" hidden="1" x14ac:dyDescent="0.25">
      <c r="A504" s="17" t="s">
        <v>156</v>
      </c>
      <c r="B504" s="7"/>
      <c r="C504" s="7"/>
      <c r="D504" s="7">
        <f t="shared" si="8"/>
        <v>0</v>
      </c>
    </row>
    <row r="505" spans="1:4" ht="18.75" hidden="1" x14ac:dyDescent="0.25">
      <c r="A505" s="9" t="s">
        <v>157</v>
      </c>
      <c r="B505" s="7"/>
      <c r="C505" s="7"/>
      <c r="D505" s="7">
        <f t="shared" si="8"/>
        <v>0</v>
      </c>
    </row>
    <row r="506" spans="1:4" ht="18.75" hidden="1" x14ac:dyDescent="0.25">
      <c r="A506" s="9" t="s">
        <v>158</v>
      </c>
      <c r="B506" s="7"/>
      <c r="C506" s="7"/>
      <c r="D506" s="7">
        <f t="shared" si="8"/>
        <v>0</v>
      </c>
    </row>
    <row r="507" spans="1:4" ht="18.75" x14ac:dyDescent="0.25">
      <c r="A507" s="9" t="s">
        <v>159</v>
      </c>
      <c r="B507" s="7">
        <v>11</v>
      </c>
      <c r="C507" s="7">
        <v>8000</v>
      </c>
      <c r="D507" s="7">
        <f t="shared" si="8"/>
        <v>88000</v>
      </c>
    </row>
    <row r="508" spans="1:4" ht="18.75" hidden="1" x14ac:dyDescent="0.25">
      <c r="A508" s="9" t="s">
        <v>160</v>
      </c>
      <c r="B508" s="7"/>
      <c r="C508" s="7"/>
      <c r="D508" s="7">
        <f t="shared" si="8"/>
        <v>0</v>
      </c>
    </row>
    <row r="509" spans="1:4" ht="18.75" hidden="1" x14ac:dyDescent="0.25">
      <c r="A509" s="9" t="s">
        <v>161</v>
      </c>
      <c r="B509" s="16"/>
      <c r="C509" s="16"/>
      <c r="D509" s="7">
        <f t="shared" si="8"/>
        <v>0</v>
      </c>
    </row>
    <row r="510" spans="1:4" ht="18.75" hidden="1" x14ac:dyDescent="0.25">
      <c r="A510" s="18" t="s">
        <v>162</v>
      </c>
      <c r="B510" s="16"/>
      <c r="C510" s="16"/>
      <c r="D510" s="7">
        <f t="shared" si="8"/>
        <v>0</v>
      </c>
    </row>
    <row r="511" spans="1:4" ht="18.75" hidden="1" x14ac:dyDescent="0.25">
      <c r="A511" s="9" t="s">
        <v>163</v>
      </c>
      <c r="B511" s="16"/>
      <c r="C511" s="16"/>
      <c r="D511" s="7">
        <f t="shared" si="8"/>
        <v>0</v>
      </c>
    </row>
    <row r="512" spans="1:4" ht="18.75" hidden="1" x14ac:dyDescent="0.25">
      <c r="A512" s="9" t="s">
        <v>165</v>
      </c>
      <c r="B512" s="7"/>
      <c r="C512" s="7"/>
      <c r="D512" s="7">
        <f t="shared" si="8"/>
        <v>0</v>
      </c>
    </row>
    <row r="513" spans="1:4" ht="18.75" hidden="1" x14ac:dyDescent="0.25">
      <c r="A513" s="17" t="s">
        <v>166</v>
      </c>
      <c r="B513" s="7"/>
      <c r="C513" s="7"/>
      <c r="D513" s="7">
        <f t="shared" si="8"/>
        <v>0</v>
      </c>
    </row>
    <row r="514" spans="1:4" ht="18.75" x14ac:dyDescent="0.25">
      <c r="A514" s="9" t="s">
        <v>349</v>
      </c>
      <c r="B514" s="7">
        <f>68+45</f>
        <v>113</v>
      </c>
      <c r="C514" s="7">
        <v>6500</v>
      </c>
      <c r="D514" s="7">
        <f t="shared" si="8"/>
        <v>734500</v>
      </c>
    </row>
    <row r="515" spans="1:4" ht="18.75" hidden="1" x14ac:dyDescent="0.25">
      <c r="A515" s="12" t="s">
        <v>167</v>
      </c>
      <c r="B515" s="7"/>
      <c r="C515" s="7"/>
      <c r="D515" s="7">
        <f t="shared" si="8"/>
        <v>0</v>
      </c>
    </row>
    <row r="516" spans="1:4" ht="18.75" hidden="1" x14ac:dyDescent="0.25">
      <c r="A516" s="9" t="s">
        <v>168</v>
      </c>
      <c r="B516" s="7"/>
      <c r="C516" s="7"/>
      <c r="D516" s="7">
        <f t="shared" si="8"/>
        <v>0</v>
      </c>
    </row>
    <row r="517" spans="1:4" ht="18.75" hidden="1" x14ac:dyDescent="0.25">
      <c r="A517" s="9" t="s">
        <v>170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171</v>
      </c>
      <c r="B518" s="7"/>
      <c r="C518" s="7"/>
      <c r="D518" s="7">
        <f t="shared" si="8"/>
        <v>0</v>
      </c>
    </row>
    <row r="519" spans="1:4" ht="18.75" hidden="1" x14ac:dyDescent="0.25">
      <c r="A519" s="20" t="s">
        <v>172</v>
      </c>
      <c r="B519" s="7"/>
      <c r="C519" s="7"/>
      <c r="D519" s="7">
        <f t="shared" si="8"/>
        <v>0</v>
      </c>
    </row>
    <row r="520" spans="1:4" ht="18.75" hidden="1" x14ac:dyDescent="0.25">
      <c r="A520" s="9" t="s">
        <v>173</v>
      </c>
      <c r="B520" s="7"/>
      <c r="C520" s="7"/>
      <c r="D520" s="7">
        <f t="shared" si="8"/>
        <v>0</v>
      </c>
    </row>
    <row r="521" spans="1:4" ht="18.75" hidden="1" x14ac:dyDescent="0.25">
      <c r="A521" s="31" t="s">
        <v>174</v>
      </c>
      <c r="B521" s="33"/>
      <c r="C521" s="33"/>
      <c r="D521" s="7">
        <f t="shared" si="8"/>
        <v>0</v>
      </c>
    </row>
    <row r="522" spans="1:4" ht="18.75" hidden="1" x14ac:dyDescent="0.25">
      <c r="A522" s="11" t="s">
        <v>175</v>
      </c>
      <c r="B522" s="7"/>
      <c r="C522" s="7"/>
      <c r="D522" s="7">
        <f t="shared" si="8"/>
        <v>0</v>
      </c>
    </row>
    <row r="523" spans="1:4" ht="18.75" hidden="1" x14ac:dyDescent="0.25">
      <c r="A523" s="9" t="s">
        <v>176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350</v>
      </c>
      <c r="B524" s="7"/>
      <c r="C524" s="7"/>
      <c r="D524" s="7">
        <f t="shared" si="8"/>
        <v>0</v>
      </c>
    </row>
    <row r="525" spans="1:4" ht="18.75" hidden="1" x14ac:dyDescent="0.25">
      <c r="A525" s="12" t="s">
        <v>178</v>
      </c>
      <c r="B525" s="7"/>
      <c r="C525" s="7"/>
      <c r="D525" s="7">
        <f t="shared" si="8"/>
        <v>0</v>
      </c>
    </row>
    <row r="526" spans="1:4" ht="18.75" hidden="1" x14ac:dyDescent="0.25">
      <c r="A526" s="9" t="s">
        <v>179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180</v>
      </c>
      <c r="B527" s="7"/>
      <c r="C527" s="7"/>
      <c r="D527" s="7">
        <f t="shared" si="8"/>
        <v>0</v>
      </c>
    </row>
    <row r="528" spans="1:4" ht="18.75" hidden="1" x14ac:dyDescent="0.25">
      <c r="A528" s="12" t="s">
        <v>181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182</v>
      </c>
      <c r="B529" s="7"/>
      <c r="C529" s="7"/>
      <c r="D529" s="7">
        <f t="shared" si="8"/>
        <v>0</v>
      </c>
    </row>
    <row r="530" spans="1:4" ht="18.75" x14ac:dyDescent="0.25">
      <c r="A530" s="12" t="s">
        <v>183</v>
      </c>
      <c r="B530" s="7">
        <v>500</v>
      </c>
      <c r="C530" s="7">
        <v>12000</v>
      </c>
      <c r="D530" s="7">
        <f t="shared" si="8"/>
        <v>6000000</v>
      </c>
    </row>
    <row r="531" spans="1:4" ht="18.75" hidden="1" x14ac:dyDescent="0.25">
      <c r="A531" s="9" t="s">
        <v>184</v>
      </c>
      <c r="B531" s="7"/>
      <c r="C531" s="7"/>
      <c r="D531" s="7">
        <f t="shared" si="8"/>
        <v>0</v>
      </c>
    </row>
    <row r="532" spans="1:4" ht="18.75" hidden="1" x14ac:dyDescent="0.25">
      <c r="A532" s="12" t="s">
        <v>186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187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188</v>
      </c>
      <c r="B534" s="7"/>
      <c r="C534" s="7"/>
      <c r="D534" s="7">
        <f t="shared" si="8"/>
        <v>0</v>
      </c>
    </row>
    <row r="535" spans="1:4" ht="18.75" hidden="1" x14ac:dyDescent="0.25">
      <c r="A535" s="9" t="s">
        <v>351</v>
      </c>
      <c r="B535" s="7"/>
      <c r="C535" s="7"/>
      <c r="D535" s="7">
        <f t="shared" si="8"/>
        <v>0</v>
      </c>
    </row>
    <row r="536" spans="1:4" ht="18.75" hidden="1" x14ac:dyDescent="0.25">
      <c r="A536" s="17" t="s">
        <v>189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190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191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192</v>
      </c>
      <c r="B539" s="7"/>
      <c r="C539" s="7"/>
      <c r="D539" s="7">
        <f t="shared" si="8"/>
        <v>0</v>
      </c>
    </row>
    <row r="540" spans="1:4" ht="18.75" hidden="1" x14ac:dyDescent="0.25">
      <c r="A540" s="12" t="s">
        <v>193</v>
      </c>
      <c r="B540" s="7"/>
      <c r="C540" s="7"/>
      <c r="D540" s="7">
        <f t="shared" si="8"/>
        <v>0</v>
      </c>
    </row>
    <row r="541" spans="1:4" ht="18.75" hidden="1" x14ac:dyDescent="0.25">
      <c r="A541" s="9" t="s">
        <v>194</v>
      </c>
      <c r="B541" s="7"/>
      <c r="C541" s="7"/>
      <c r="D541" s="7">
        <f t="shared" si="8"/>
        <v>0</v>
      </c>
    </row>
    <row r="542" spans="1:4" ht="18.75" hidden="1" x14ac:dyDescent="0.25">
      <c r="A542" s="34" t="s">
        <v>195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196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197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198</v>
      </c>
      <c r="B545" s="7"/>
      <c r="C545" s="7"/>
      <c r="D545" s="7">
        <f t="shared" si="8"/>
        <v>0</v>
      </c>
    </row>
    <row r="546" spans="1:4" ht="18.75" hidden="1" x14ac:dyDescent="0.25">
      <c r="A546" s="9" t="s">
        <v>199</v>
      </c>
      <c r="B546" s="7"/>
      <c r="C546" s="7"/>
      <c r="D546" s="7">
        <f t="shared" si="8"/>
        <v>0</v>
      </c>
    </row>
    <row r="547" spans="1:4" ht="18.75" hidden="1" x14ac:dyDescent="0.25">
      <c r="A547" s="35" t="s">
        <v>352</v>
      </c>
      <c r="B547" s="7"/>
      <c r="C547" s="7"/>
      <c r="D547" s="7">
        <f t="shared" ref="D547:D610" si="9">B547*C547</f>
        <v>0</v>
      </c>
    </row>
    <row r="548" spans="1:4" ht="18.75" hidden="1" x14ac:dyDescent="0.25">
      <c r="A548" s="9" t="s">
        <v>201</v>
      </c>
      <c r="B548" s="7"/>
      <c r="C548" s="7"/>
      <c r="D548" s="7">
        <f t="shared" si="9"/>
        <v>0</v>
      </c>
    </row>
    <row r="549" spans="1:4" ht="18.75" hidden="1" x14ac:dyDescent="0.25">
      <c r="A549" s="12" t="s">
        <v>202</v>
      </c>
      <c r="B549" s="7"/>
      <c r="C549" s="7"/>
      <c r="D549" s="7">
        <f t="shared" si="9"/>
        <v>0</v>
      </c>
    </row>
    <row r="550" spans="1:4" ht="18.75" hidden="1" x14ac:dyDescent="0.25">
      <c r="A550" s="9" t="s">
        <v>353</v>
      </c>
      <c r="B550" s="7"/>
      <c r="C550" s="7"/>
      <c r="D550" s="7">
        <f t="shared" si="9"/>
        <v>0</v>
      </c>
    </row>
    <row r="551" spans="1:4" ht="18.75" hidden="1" x14ac:dyDescent="0.25">
      <c r="A551" s="9" t="s">
        <v>203</v>
      </c>
      <c r="B551" s="7"/>
      <c r="C551" s="7"/>
      <c r="D551" s="7">
        <f t="shared" si="9"/>
        <v>0</v>
      </c>
    </row>
    <row r="552" spans="1:4" ht="18.75" x14ac:dyDescent="0.25">
      <c r="A552" s="9" t="s">
        <v>204</v>
      </c>
      <c r="B552" s="7">
        <v>400</v>
      </c>
      <c r="C552" s="7">
        <v>19000</v>
      </c>
      <c r="D552" s="7">
        <f t="shared" si="9"/>
        <v>7600000</v>
      </c>
    </row>
    <row r="553" spans="1:4" ht="18.75" hidden="1" x14ac:dyDescent="0.25">
      <c r="A553" s="36" t="s">
        <v>205</v>
      </c>
      <c r="B553" s="7"/>
      <c r="C553" s="7"/>
      <c r="D553" s="7">
        <f t="shared" si="9"/>
        <v>0</v>
      </c>
    </row>
    <row r="554" spans="1:4" ht="18.75" hidden="1" x14ac:dyDescent="0.25">
      <c r="A554" s="36" t="s">
        <v>206</v>
      </c>
      <c r="B554" s="7"/>
      <c r="C554" s="7"/>
      <c r="D554" s="7">
        <f t="shared" si="9"/>
        <v>0</v>
      </c>
    </row>
    <row r="555" spans="1:4" ht="18.75" hidden="1" x14ac:dyDescent="0.25">
      <c r="A555" s="9" t="s">
        <v>207</v>
      </c>
      <c r="B555" s="7"/>
      <c r="C555" s="7"/>
      <c r="D555" s="7">
        <f t="shared" si="9"/>
        <v>0</v>
      </c>
    </row>
    <row r="556" spans="1:4" ht="18.75" hidden="1" x14ac:dyDescent="0.25">
      <c r="A556" s="11" t="s">
        <v>208</v>
      </c>
      <c r="B556" s="7"/>
      <c r="C556" s="7"/>
      <c r="D556" s="7">
        <f t="shared" si="9"/>
        <v>0</v>
      </c>
    </row>
    <row r="557" spans="1:4" ht="18.75" hidden="1" x14ac:dyDescent="0.25">
      <c r="A557" s="9" t="s">
        <v>209</v>
      </c>
      <c r="B557" s="7"/>
      <c r="C557" s="7"/>
      <c r="D557" s="7">
        <f t="shared" si="9"/>
        <v>0</v>
      </c>
    </row>
    <row r="558" spans="1:4" ht="18.75" hidden="1" x14ac:dyDescent="0.25">
      <c r="A558" s="11" t="s">
        <v>354</v>
      </c>
      <c r="B558" s="7"/>
      <c r="C558" s="7"/>
      <c r="D558" s="7">
        <f t="shared" si="9"/>
        <v>0</v>
      </c>
    </row>
    <row r="559" spans="1:4" ht="18.75" hidden="1" x14ac:dyDescent="0.25">
      <c r="A559" s="9" t="s">
        <v>210</v>
      </c>
      <c r="B559" s="7"/>
      <c r="C559" s="7"/>
      <c r="D559" s="7">
        <f t="shared" si="9"/>
        <v>0</v>
      </c>
    </row>
    <row r="560" spans="1:4" ht="18.75" hidden="1" x14ac:dyDescent="0.25">
      <c r="A560" s="9" t="s">
        <v>211</v>
      </c>
      <c r="B560" s="7"/>
      <c r="C560" s="7"/>
      <c r="D560" s="7">
        <f t="shared" si="9"/>
        <v>0</v>
      </c>
    </row>
    <row r="561" spans="1:4" ht="18.75" hidden="1" x14ac:dyDescent="0.25">
      <c r="A561" s="9" t="s">
        <v>355</v>
      </c>
      <c r="B561" s="7"/>
      <c r="C561" s="7"/>
      <c r="D561" s="7">
        <f t="shared" si="9"/>
        <v>0</v>
      </c>
    </row>
    <row r="562" spans="1:4" ht="18.75" hidden="1" x14ac:dyDescent="0.25">
      <c r="A562" s="9" t="s">
        <v>356</v>
      </c>
      <c r="B562" s="7"/>
      <c r="C562" s="7"/>
      <c r="D562" s="7">
        <f t="shared" si="9"/>
        <v>0</v>
      </c>
    </row>
    <row r="563" spans="1:4" ht="18.75" hidden="1" x14ac:dyDescent="0.25">
      <c r="A563" s="9" t="s">
        <v>212</v>
      </c>
      <c r="B563" s="7"/>
      <c r="C563" s="7"/>
      <c r="D563" s="7">
        <f t="shared" si="9"/>
        <v>0</v>
      </c>
    </row>
    <row r="564" spans="1:4" ht="18.75" hidden="1" x14ac:dyDescent="0.25">
      <c r="A564" s="37" t="s">
        <v>213</v>
      </c>
      <c r="B564" s="7"/>
      <c r="C564" s="7"/>
      <c r="D564" s="7">
        <f t="shared" si="9"/>
        <v>0</v>
      </c>
    </row>
    <row r="565" spans="1:4" ht="18.75" hidden="1" x14ac:dyDescent="0.25">
      <c r="A565" s="9" t="s">
        <v>214</v>
      </c>
      <c r="B565" s="7"/>
      <c r="C565" s="7"/>
      <c r="D565" s="7">
        <f t="shared" si="9"/>
        <v>0</v>
      </c>
    </row>
    <row r="566" spans="1:4" ht="18.75" x14ac:dyDescent="0.25">
      <c r="A566" s="9" t="s">
        <v>215</v>
      </c>
      <c r="B566" s="7">
        <v>200</v>
      </c>
      <c r="C566" s="7">
        <v>15000</v>
      </c>
      <c r="D566" s="7">
        <f t="shared" si="9"/>
        <v>3000000</v>
      </c>
    </row>
    <row r="567" spans="1:4" ht="18.75" hidden="1" x14ac:dyDescent="0.25">
      <c r="A567" s="9" t="s">
        <v>216</v>
      </c>
      <c r="B567" s="7"/>
      <c r="C567" s="7"/>
      <c r="D567" s="7">
        <f t="shared" si="9"/>
        <v>0</v>
      </c>
    </row>
    <row r="568" spans="1:4" ht="18.75" hidden="1" x14ac:dyDescent="0.25">
      <c r="A568" s="9" t="s">
        <v>357</v>
      </c>
      <c r="B568" s="7"/>
      <c r="C568" s="7"/>
      <c r="D568" s="7">
        <f t="shared" si="9"/>
        <v>0</v>
      </c>
    </row>
    <row r="569" spans="1:4" ht="18.75" hidden="1" x14ac:dyDescent="0.25">
      <c r="A569" s="9" t="s">
        <v>217</v>
      </c>
      <c r="B569" s="7"/>
      <c r="C569" s="7"/>
      <c r="D569" s="7">
        <f t="shared" si="9"/>
        <v>0</v>
      </c>
    </row>
    <row r="570" spans="1:4" ht="18.75" hidden="1" x14ac:dyDescent="0.25">
      <c r="A570" s="17" t="s">
        <v>218</v>
      </c>
      <c r="B570" s="7"/>
      <c r="C570" s="7"/>
      <c r="D570" s="7">
        <f t="shared" si="9"/>
        <v>0</v>
      </c>
    </row>
    <row r="571" spans="1:4" ht="18.75" hidden="1" x14ac:dyDescent="0.25">
      <c r="A571" s="17" t="s">
        <v>219</v>
      </c>
      <c r="B571" s="7"/>
      <c r="C571" s="7"/>
      <c r="D571" s="7">
        <f t="shared" si="9"/>
        <v>0</v>
      </c>
    </row>
    <row r="572" spans="1:4" ht="18.75" hidden="1" x14ac:dyDescent="0.25">
      <c r="A572" s="17" t="s">
        <v>220</v>
      </c>
      <c r="B572" s="7"/>
      <c r="C572" s="7"/>
      <c r="D572" s="7">
        <f t="shared" si="9"/>
        <v>0</v>
      </c>
    </row>
    <row r="573" spans="1:4" ht="18.75" hidden="1" x14ac:dyDescent="0.25">
      <c r="A573" s="17" t="s">
        <v>221</v>
      </c>
      <c r="B573" s="7"/>
      <c r="C573" s="7"/>
      <c r="D573" s="7">
        <f t="shared" si="9"/>
        <v>0</v>
      </c>
    </row>
    <row r="574" spans="1:4" ht="18.75" hidden="1" x14ac:dyDescent="0.25">
      <c r="A574" s="9" t="s">
        <v>222</v>
      </c>
      <c r="B574" s="7"/>
      <c r="C574" s="7"/>
      <c r="D574" s="7">
        <f t="shared" si="9"/>
        <v>0</v>
      </c>
    </row>
    <row r="575" spans="1:4" ht="18.75" hidden="1" x14ac:dyDescent="0.25">
      <c r="A575" s="9" t="s">
        <v>223</v>
      </c>
      <c r="B575" s="7"/>
      <c r="C575" s="7"/>
      <c r="D575" s="7">
        <f t="shared" si="9"/>
        <v>0</v>
      </c>
    </row>
    <row r="576" spans="1:4" ht="18.75" hidden="1" x14ac:dyDescent="0.25">
      <c r="A576" s="17" t="s">
        <v>224</v>
      </c>
      <c r="B576" s="7"/>
      <c r="C576" s="7"/>
      <c r="D576" s="7">
        <f t="shared" si="9"/>
        <v>0</v>
      </c>
    </row>
    <row r="577" spans="1:4" ht="18.75" hidden="1" x14ac:dyDescent="0.25">
      <c r="A577" s="17" t="s">
        <v>225</v>
      </c>
      <c r="B577" s="7"/>
      <c r="C577" s="7"/>
      <c r="D577" s="7">
        <f t="shared" si="9"/>
        <v>0</v>
      </c>
    </row>
    <row r="578" spans="1:4" ht="18.75" hidden="1" x14ac:dyDescent="0.25">
      <c r="A578" s="11" t="s">
        <v>226</v>
      </c>
      <c r="B578" s="7"/>
      <c r="C578" s="7"/>
      <c r="D578" s="7">
        <f t="shared" si="9"/>
        <v>0</v>
      </c>
    </row>
    <row r="579" spans="1:4" ht="18.75" hidden="1" x14ac:dyDescent="0.25">
      <c r="A579" s="12" t="s">
        <v>227</v>
      </c>
      <c r="B579" s="7"/>
      <c r="C579" s="7"/>
      <c r="D579" s="7">
        <f t="shared" si="9"/>
        <v>0</v>
      </c>
    </row>
    <row r="580" spans="1:4" ht="18.75" hidden="1" x14ac:dyDescent="0.25">
      <c r="A580" s="21" t="s">
        <v>358</v>
      </c>
      <c r="B580" s="7"/>
      <c r="C580" s="7"/>
      <c r="D580" s="7">
        <f t="shared" si="9"/>
        <v>0</v>
      </c>
    </row>
    <row r="581" spans="1:4" ht="18.75" hidden="1" x14ac:dyDescent="0.25">
      <c r="A581" s="21" t="s">
        <v>359</v>
      </c>
      <c r="B581" s="7"/>
      <c r="C581" s="7"/>
      <c r="D581" s="7">
        <f t="shared" si="9"/>
        <v>0</v>
      </c>
    </row>
    <row r="582" spans="1:4" ht="18.75" hidden="1" x14ac:dyDescent="0.25">
      <c r="A582" s="11" t="s">
        <v>232</v>
      </c>
      <c r="B582" s="7"/>
      <c r="C582" s="7"/>
      <c r="D582" s="7">
        <f t="shared" si="9"/>
        <v>0</v>
      </c>
    </row>
    <row r="583" spans="1:4" ht="18.75" hidden="1" x14ac:dyDescent="0.25">
      <c r="A583" s="9" t="s">
        <v>237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238</v>
      </c>
      <c r="B584" s="7"/>
      <c r="C584" s="7"/>
      <c r="D584" s="7">
        <f t="shared" si="9"/>
        <v>0</v>
      </c>
    </row>
    <row r="585" spans="1:4" ht="18.75" hidden="1" x14ac:dyDescent="0.25">
      <c r="A585" s="13" t="s">
        <v>239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240</v>
      </c>
      <c r="B586" s="7"/>
      <c r="C586" s="7"/>
      <c r="D586" s="7">
        <f t="shared" si="9"/>
        <v>0</v>
      </c>
    </row>
    <row r="587" spans="1:4" ht="18.75" hidden="1" x14ac:dyDescent="0.25">
      <c r="A587" s="34" t="s">
        <v>241</v>
      </c>
      <c r="B587" s="7"/>
      <c r="C587" s="7"/>
      <c r="D587" s="7">
        <f t="shared" si="9"/>
        <v>0</v>
      </c>
    </row>
    <row r="588" spans="1:4" ht="18.75" hidden="1" x14ac:dyDescent="0.25">
      <c r="A588" s="9" t="s">
        <v>242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243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244</v>
      </c>
      <c r="B590" s="16"/>
      <c r="C590" s="16"/>
      <c r="D590" s="7">
        <f t="shared" si="9"/>
        <v>0</v>
      </c>
    </row>
    <row r="591" spans="1:4" ht="18.75" hidden="1" x14ac:dyDescent="0.25">
      <c r="A591" s="34" t="s">
        <v>245</v>
      </c>
      <c r="B591" s="7"/>
      <c r="C591" s="7"/>
      <c r="D591" s="7">
        <f t="shared" si="9"/>
        <v>0</v>
      </c>
    </row>
    <row r="592" spans="1:4" ht="18.75" hidden="1" x14ac:dyDescent="0.25">
      <c r="A592" s="9" t="s">
        <v>246</v>
      </c>
      <c r="B592" s="16"/>
      <c r="C592" s="16"/>
      <c r="D592" s="7">
        <f t="shared" si="9"/>
        <v>0</v>
      </c>
    </row>
    <row r="593" spans="1:4" ht="18.75" hidden="1" x14ac:dyDescent="0.25">
      <c r="A593" s="9" t="s">
        <v>247</v>
      </c>
      <c r="B593" s="7"/>
      <c r="C593" s="7"/>
      <c r="D593" s="7">
        <f t="shared" si="9"/>
        <v>0</v>
      </c>
    </row>
    <row r="594" spans="1:4" ht="18.75" hidden="1" x14ac:dyDescent="0.25">
      <c r="A594" s="11" t="s">
        <v>249</v>
      </c>
      <c r="B594" s="7"/>
      <c r="C594" s="7"/>
      <c r="D594" s="7">
        <f t="shared" si="9"/>
        <v>0</v>
      </c>
    </row>
    <row r="595" spans="1:4" ht="18.75" x14ac:dyDescent="0.25">
      <c r="A595" s="9" t="s">
        <v>250</v>
      </c>
      <c r="B595" s="7">
        <v>20</v>
      </c>
      <c r="C595" s="7">
        <v>24000</v>
      </c>
      <c r="D595" s="7">
        <f t="shared" si="9"/>
        <v>480000</v>
      </c>
    </row>
    <row r="596" spans="1:4" ht="18.75" hidden="1" x14ac:dyDescent="0.25">
      <c r="A596" s="9" t="s">
        <v>251</v>
      </c>
      <c r="B596" s="7"/>
      <c r="C596" s="7"/>
      <c r="D596" s="7">
        <f t="shared" si="9"/>
        <v>0</v>
      </c>
    </row>
    <row r="597" spans="1:4" ht="18.75" hidden="1" x14ac:dyDescent="0.25">
      <c r="A597" s="9" t="s">
        <v>252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253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254</v>
      </c>
      <c r="B599" s="7"/>
      <c r="C599" s="7"/>
      <c r="D599" s="7">
        <f t="shared" si="9"/>
        <v>0</v>
      </c>
    </row>
    <row r="600" spans="1:4" ht="18.75" hidden="1" x14ac:dyDescent="0.25">
      <c r="A600" s="17" t="s">
        <v>255</v>
      </c>
      <c r="B600" s="7"/>
      <c r="C600" s="7"/>
      <c r="D600" s="7">
        <f t="shared" si="9"/>
        <v>0</v>
      </c>
    </row>
    <row r="601" spans="1:4" ht="18.75" hidden="1" x14ac:dyDescent="0.25">
      <c r="A601" s="21" t="s">
        <v>256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257</v>
      </c>
      <c r="B602" s="7"/>
      <c r="C602" s="7"/>
      <c r="D602" s="7">
        <f t="shared" si="9"/>
        <v>0</v>
      </c>
    </row>
    <row r="603" spans="1:4" ht="18.75" x14ac:dyDescent="0.25">
      <c r="A603" s="9" t="s">
        <v>258</v>
      </c>
      <c r="B603" s="7">
        <v>20</v>
      </c>
      <c r="C603" s="7">
        <v>22000</v>
      </c>
      <c r="D603" s="7">
        <f t="shared" si="9"/>
        <v>440000</v>
      </c>
    </row>
    <row r="604" spans="1:4" ht="18.75" hidden="1" x14ac:dyDescent="0.25">
      <c r="A604" s="9" t="s">
        <v>259</v>
      </c>
      <c r="B604" s="7"/>
      <c r="C604" s="7"/>
      <c r="D604" s="7">
        <f t="shared" si="9"/>
        <v>0</v>
      </c>
    </row>
    <row r="605" spans="1:4" ht="18.75" hidden="1" x14ac:dyDescent="0.25">
      <c r="A605" s="9" t="s">
        <v>260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261</v>
      </c>
      <c r="B606" s="7"/>
      <c r="C606" s="7"/>
      <c r="D606" s="7">
        <f t="shared" si="9"/>
        <v>0</v>
      </c>
    </row>
    <row r="607" spans="1:4" ht="18.75" x14ac:dyDescent="0.25">
      <c r="A607" s="9" t="s">
        <v>262</v>
      </c>
      <c r="B607" s="7">
        <v>20</v>
      </c>
      <c r="C607" s="7">
        <v>20000</v>
      </c>
      <c r="D607" s="7">
        <f t="shared" si="9"/>
        <v>400000</v>
      </c>
    </row>
    <row r="608" spans="1:4" ht="18.75" hidden="1" x14ac:dyDescent="0.25">
      <c r="A608" s="9" t="s">
        <v>263</v>
      </c>
      <c r="B608" s="7"/>
      <c r="C608" s="7"/>
      <c r="D608" s="7">
        <f t="shared" si="9"/>
        <v>0</v>
      </c>
    </row>
    <row r="609" spans="1:4" ht="18.75" hidden="1" x14ac:dyDescent="0.25">
      <c r="A609" s="9" t="s">
        <v>264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265</v>
      </c>
      <c r="B610" s="16"/>
      <c r="C610" s="16"/>
      <c r="D610" s="7">
        <f t="shared" si="9"/>
        <v>0</v>
      </c>
    </row>
    <row r="611" spans="1:4" ht="18.75" hidden="1" x14ac:dyDescent="0.25">
      <c r="A611" s="13" t="s">
        <v>266</v>
      </c>
      <c r="B611" s="7"/>
      <c r="C611" s="7"/>
      <c r="D611" s="7">
        <f t="shared" ref="D611:D674" si="10">B611*C611</f>
        <v>0</v>
      </c>
    </row>
    <row r="612" spans="1:4" ht="18.75" hidden="1" x14ac:dyDescent="0.25">
      <c r="A612" s="9" t="s">
        <v>267</v>
      </c>
      <c r="B612" s="7"/>
      <c r="C612" s="7"/>
      <c r="D612" s="7">
        <f t="shared" si="10"/>
        <v>0</v>
      </c>
    </row>
    <row r="613" spans="1:4" ht="18.75" hidden="1" x14ac:dyDescent="0.25">
      <c r="A613" s="11" t="s">
        <v>360</v>
      </c>
      <c r="B613" s="7"/>
      <c r="C613" s="7"/>
      <c r="D613" s="7">
        <f t="shared" si="10"/>
        <v>0</v>
      </c>
    </row>
    <row r="614" spans="1:4" ht="18.75" hidden="1" x14ac:dyDescent="0.25">
      <c r="A614" s="11" t="s">
        <v>268</v>
      </c>
      <c r="B614" s="7"/>
      <c r="C614" s="7"/>
      <c r="D614" s="7">
        <f t="shared" si="10"/>
        <v>0</v>
      </c>
    </row>
    <row r="615" spans="1:4" ht="18.75" hidden="1" x14ac:dyDescent="0.25">
      <c r="A615" s="9" t="s">
        <v>269</v>
      </c>
      <c r="B615" s="7"/>
      <c r="C615" s="7"/>
      <c r="D615" s="7">
        <f t="shared" si="10"/>
        <v>0</v>
      </c>
    </row>
    <row r="616" spans="1:4" ht="18.75" hidden="1" x14ac:dyDescent="0.25">
      <c r="A616" s="9" t="s">
        <v>361</v>
      </c>
      <c r="B616" s="7"/>
      <c r="C616" s="7"/>
      <c r="D616" s="7">
        <f t="shared" si="10"/>
        <v>0</v>
      </c>
    </row>
    <row r="617" spans="1:4" ht="18.75" hidden="1" x14ac:dyDescent="0.25">
      <c r="A617" s="9" t="s">
        <v>270</v>
      </c>
      <c r="B617" s="7"/>
      <c r="C617" s="7"/>
      <c r="D617" s="7">
        <f t="shared" si="10"/>
        <v>0</v>
      </c>
    </row>
    <row r="618" spans="1:4" ht="18.75" hidden="1" x14ac:dyDescent="0.25">
      <c r="A618" s="9" t="s">
        <v>362</v>
      </c>
      <c r="B618" s="7"/>
      <c r="C618" s="7"/>
      <c r="D618" s="7">
        <f t="shared" si="10"/>
        <v>0</v>
      </c>
    </row>
    <row r="619" spans="1:4" ht="18.75" hidden="1" x14ac:dyDescent="0.25">
      <c r="A619" s="9" t="s">
        <v>272</v>
      </c>
      <c r="B619" s="7"/>
      <c r="C619" s="7"/>
      <c r="D619" s="7">
        <f t="shared" si="10"/>
        <v>0</v>
      </c>
    </row>
    <row r="620" spans="1:4" ht="18.75" hidden="1" x14ac:dyDescent="0.25">
      <c r="A620" s="9" t="s">
        <v>273</v>
      </c>
      <c r="B620" s="7"/>
      <c r="C620" s="7"/>
      <c r="D620" s="7">
        <f t="shared" si="10"/>
        <v>0</v>
      </c>
    </row>
    <row r="621" spans="1:4" ht="18.75" hidden="1" x14ac:dyDescent="0.25">
      <c r="A621" s="9" t="s">
        <v>274</v>
      </c>
      <c r="B621" s="7"/>
      <c r="C621" s="7"/>
      <c r="D621" s="7">
        <f t="shared" si="10"/>
        <v>0</v>
      </c>
    </row>
    <row r="622" spans="1:4" ht="18.75" hidden="1" x14ac:dyDescent="0.25">
      <c r="A622" s="34" t="s">
        <v>276</v>
      </c>
      <c r="B622" s="7"/>
      <c r="C622" s="7"/>
      <c r="D622" s="7">
        <f t="shared" si="10"/>
        <v>0</v>
      </c>
    </row>
    <row r="623" spans="1:4" ht="18.75" hidden="1" x14ac:dyDescent="0.25">
      <c r="A623" s="9" t="s">
        <v>277</v>
      </c>
      <c r="B623" s="7"/>
      <c r="C623" s="7"/>
      <c r="D623" s="7">
        <f t="shared" si="10"/>
        <v>0</v>
      </c>
    </row>
    <row r="624" spans="1:4" ht="18.75" hidden="1" x14ac:dyDescent="0.25">
      <c r="A624" s="34" t="s">
        <v>278</v>
      </c>
      <c r="B624" s="7"/>
      <c r="C624" s="7"/>
      <c r="D624" s="7">
        <f t="shared" si="10"/>
        <v>0</v>
      </c>
    </row>
    <row r="625" spans="1:4" ht="18.75" hidden="1" x14ac:dyDescent="0.25">
      <c r="A625" s="11" t="s">
        <v>363</v>
      </c>
      <c r="B625" s="7"/>
      <c r="C625" s="7"/>
      <c r="D625" s="7">
        <f t="shared" si="10"/>
        <v>0</v>
      </c>
    </row>
    <row r="626" spans="1:4" ht="18.75" hidden="1" x14ac:dyDescent="0.25">
      <c r="A626" s="34" t="s">
        <v>279</v>
      </c>
      <c r="B626" s="7"/>
      <c r="C626" s="7"/>
      <c r="D626" s="7">
        <f t="shared" si="10"/>
        <v>0</v>
      </c>
    </row>
    <row r="627" spans="1:4" ht="18.75" hidden="1" x14ac:dyDescent="0.25">
      <c r="A627" s="12" t="s">
        <v>280</v>
      </c>
      <c r="B627" s="16"/>
      <c r="C627" s="16"/>
      <c r="D627" s="7">
        <f t="shared" si="10"/>
        <v>0</v>
      </c>
    </row>
    <row r="628" spans="1:4" ht="18.75" hidden="1" x14ac:dyDescent="0.25">
      <c r="A628" s="17" t="s">
        <v>284</v>
      </c>
      <c r="B628" s="7"/>
      <c r="C628" s="7"/>
      <c r="D628" s="7">
        <f t="shared" si="10"/>
        <v>0</v>
      </c>
    </row>
    <row r="629" spans="1:4" ht="18.75" hidden="1" x14ac:dyDescent="0.25">
      <c r="A629" s="17" t="s">
        <v>285</v>
      </c>
      <c r="B629" s="7"/>
      <c r="C629" s="7"/>
      <c r="D629" s="7">
        <f t="shared" si="10"/>
        <v>0</v>
      </c>
    </row>
    <row r="630" spans="1:4" ht="18.75" hidden="1" x14ac:dyDescent="0.25">
      <c r="A630" s="17" t="s">
        <v>286</v>
      </c>
      <c r="B630" s="7"/>
      <c r="C630" s="7"/>
      <c r="D630" s="7">
        <f t="shared" si="10"/>
        <v>0</v>
      </c>
    </row>
    <row r="631" spans="1:4" ht="18.75" hidden="1" x14ac:dyDescent="0.25">
      <c r="A631" s="9" t="s">
        <v>287</v>
      </c>
      <c r="B631" s="7"/>
      <c r="C631" s="7"/>
      <c r="D631" s="7">
        <f t="shared" si="10"/>
        <v>0</v>
      </c>
    </row>
    <row r="632" spans="1:4" ht="18.75" hidden="1" x14ac:dyDescent="0.25">
      <c r="A632" s="17" t="s">
        <v>288</v>
      </c>
      <c r="B632" s="7"/>
      <c r="C632" s="7"/>
      <c r="D632" s="7">
        <f t="shared" si="10"/>
        <v>0</v>
      </c>
    </row>
    <row r="633" spans="1:4" ht="18.75" hidden="1" x14ac:dyDescent="0.25">
      <c r="A633" s="9" t="s">
        <v>289</v>
      </c>
      <c r="B633" s="7"/>
      <c r="C633" s="7"/>
      <c r="D633" s="7">
        <f t="shared" si="10"/>
        <v>0</v>
      </c>
    </row>
    <row r="634" spans="1:4" ht="18.75" hidden="1" x14ac:dyDescent="0.25">
      <c r="A634" s="9" t="s">
        <v>290</v>
      </c>
      <c r="B634" s="7"/>
      <c r="C634" s="7"/>
      <c r="D634" s="7">
        <f t="shared" si="10"/>
        <v>0</v>
      </c>
    </row>
    <row r="635" spans="1:4" ht="18.75" hidden="1" x14ac:dyDescent="0.25">
      <c r="A635" s="17" t="s">
        <v>291</v>
      </c>
      <c r="B635" s="7"/>
      <c r="C635" s="7"/>
      <c r="D635" s="7">
        <f t="shared" si="10"/>
        <v>0</v>
      </c>
    </row>
    <row r="636" spans="1:4" ht="18.75" hidden="1" x14ac:dyDescent="0.25">
      <c r="A636" s="25" t="s">
        <v>292</v>
      </c>
      <c r="B636" s="7"/>
      <c r="C636" s="7"/>
      <c r="D636" s="7">
        <f t="shared" si="10"/>
        <v>0</v>
      </c>
    </row>
    <row r="637" spans="1:4" ht="18.75" hidden="1" x14ac:dyDescent="0.25">
      <c r="A637" s="9" t="s">
        <v>293</v>
      </c>
      <c r="B637" s="7"/>
      <c r="C637" s="7"/>
      <c r="D637" s="7">
        <f t="shared" si="10"/>
        <v>0</v>
      </c>
    </row>
    <row r="638" spans="1:4" ht="18.75" hidden="1" x14ac:dyDescent="0.25">
      <c r="A638" s="13" t="s">
        <v>294</v>
      </c>
      <c r="B638" s="7"/>
      <c r="C638" s="7"/>
      <c r="D638" s="7">
        <f t="shared" si="10"/>
        <v>0</v>
      </c>
    </row>
    <row r="639" spans="1:4" ht="18.75" hidden="1" x14ac:dyDescent="0.25">
      <c r="A639" s="12" t="s">
        <v>296</v>
      </c>
      <c r="B639" s="7"/>
      <c r="C639" s="7"/>
      <c r="D639" s="7">
        <f t="shared" si="10"/>
        <v>0</v>
      </c>
    </row>
    <row r="640" spans="1:4" ht="18.75" hidden="1" x14ac:dyDescent="0.25">
      <c r="A640" s="17" t="s">
        <v>297</v>
      </c>
      <c r="B640" s="7"/>
      <c r="C640" s="7"/>
      <c r="D640" s="7">
        <f t="shared" si="10"/>
        <v>0</v>
      </c>
    </row>
    <row r="641" spans="1:4" ht="18.75" hidden="1" x14ac:dyDescent="0.25">
      <c r="A641" s="13" t="s">
        <v>298</v>
      </c>
      <c r="B641" s="7"/>
      <c r="C641" s="7"/>
      <c r="D641" s="7">
        <f t="shared" si="10"/>
        <v>0</v>
      </c>
    </row>
    <row r="642" spans="1:4" ht="18.75" hidden="1" x14ac:dyDescent="0.25">
      <c r="A642" s="9" t="s">
        <v>299</v>
      </c>
      <c r="B642" s="7"/>
      <c r="C642" s="7"/>
      <c r="D642" s="7">
        <f t="shared" si="10"/>
        <v>0</v>
      </c>
    </row>
    <row r="643" spans="1:4" ht="18.75" hidden="1" x14ac:dyDescent="0.25">
      <c r="A643" s="17" t="s">
        <v>300</v>
      </c>
      <c r="B643" s="7"/>
      <c r="C643" s="7"/>
      <c r="D643" s="7">
        <f t="shared" si="10"/>
        <v>0</v>
      </c>
    </row>
    <row r="644" spans="1:4" ht="18.75" hidden="1" x14ac:dyDescent="0.25">
      <c r="A644" s="12" t="s">
        <v>364</v>
      </c>
      <c r="B644" s="7"/>
      <c r="C644" s="7"/>
      <c r="D644" s="7">
        <f t="shared" si="10"/>
        <v>0</v>
      </c>
    </row>
    <row r="645" spans="1:4" ht="18.75" hidden="1" x14ac:dyDescent="0.25">
      <c r="A645" s="9" t="s">
        <v>365</v>
      </c>
      <c r="B645" s="7"/>
      <c r="C645" s="7"/>
      <c r="D645" s="7">
        <f t="shared" si="10"/>
        <v>0</v>
      </c>
    </row>
    <row r="646" spans="1:4" ht="18.75" hidden="1" x14ac:dyDescent="0.25">
      <c r="A646" s="11" t="s">
        <v>303</v>
      </c>
      <c r="B646" s="7"/>
      <c r="C646" s="7"/>
      <c r="D646" s="7">
        <f t="shared" si="10"/>
        <v>0</v>
      </c>
    </row>
    <row r="647" spans="1:4" ht="18.75" hidden="1" x14ac:dyDescent="0.25">
      <c r="A647" s="9" t="s">
        <v>366</v>
      </c>
      <c r="B647" s="7"/>
      <c r="C647" s="7"/>
      <c r="D647" s="7">
        <f t="shared" si="10"/>
        <v>0</v>
      </c>
    </row>
    <row r="648" spans="1:4" ht="18.75" hidden="1" x14ac:dyDescent="0.25">
      <c r="A648" s="12" t="s">
        <v>304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305</v>
      </c>
      <c r="B649" s="7"/>
      <c r="C649" s="7"/>
      <c r="D649" s="7">
        <f t="shared" si="10"/>
        <v>0</v>
      </c>
    </row>
    <row r="650" spans="1:4" ht="18.75" hidden="1" x14ac:dyDescent="0.25">
      <c r="A650" s="9" t="s">
        <v>306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307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308</v>
      </c>
      <c r="B652" s="7"/>
      <c r="C652" s="7"/>
      <c r="D652" s="7">
        <f t="shared" si="10"/>
        <v>0</v>
      </c>
    </row>
    <row r="653" spans="1:4" ht="18.75" hidden="1" x14ac:dyDescent="0.25">
      <c r="A653" s="13" t="s">
        <v>309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310</v>
      </c>
      <c r="B654" s="7"/>
      <c r="C654" s="7"/>
      <c r="D654" s="7">
        <f t="shared" si="10"/>
        <v>0</v>
      </c>
    </row>
    <row r="655" spans="1:4" ht="18.75" hidden="1" x14ac:dyDescent="0.25">
      <c r="A655" s="21" t="s">
        <v>311</v>
      </c>
      <c r="B655" s="7"/>
      <c r="C655" s="7"/>
      <c r="D655" s="7">
        <f t="shared" si="10"/>
        <v>0</v>
      </c>
    </row>
    <row r="656" spans="1:4" ht="18.75" hidden="1" x14ac:dyDescent="0.25">
      <c r="A656" s="13" t="s">
        <v>312</v>
      </c>
      <c r="B656" s="7"/>
      <c r="C656" s="7"/>
      <c r="D656" s="7">
        <f t="shared" si="10"/>
        <v>0</v>
      </c>
    </row>
    <row r="657" spans="1:4" ht="18.75" hidden="1" x14ac:dyDescent="0.25">
      <c r="A657" s="9" t="s">
        <v>313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314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315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316</v>
      </c>
      <c r="B660" s="7"/>
      <c r="C660" s="7"/>
      <c r="D660" s="7">
        <f t="shared" si="10"/>
        <v>0</v>
      </c>
    </row>
    <row r="661" spans="1:4" ht="18.75" hidden="1" x14ac:dyDescent="0.25">
      <c r="A661" s="21" t="s">
        <v>317</v>
      </c>
      <c r="B661" s="7"/>
      <c r="C661" s="7"/>
      <c r="D661" s="7">
        <f t="shared" si="10"/>
        <v>0</v>
      </c>
    </row>
    <row r="662" spans="1:4" ht="18.75" hidden="1" x14ac:dyDescent="0.25">
      <c r="A662" s="9" t="s">
        <v>318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319</v>
      </c>
      <c r="B663" s="7"/>
      <c r="C663" s="7"/>
      <c r="D663" s="7">
        <f t="shared" si="10"/>
        <v>0</v>
      </c>
    </row>
    <row r="664" spans="1:4" ht="18.75" hidden="1" x14ac:dyDescent="0.25">
      <c r="A664" s="12" t="s">
        <v>320</v>
      </c>
      <c r="B664" s="7"/>
      <c r="C664" s="7"/>
      <c r="D664" s="7">
        <f t="shared" si="10"/>
        <v>0</v>
      </c>
    </row>
    <row r="665" spans="1:4" ht="18.75" hidden="1" x14ac:dyDescent="0.25">
      <c r="A665" s="9" t="s">
        <v>321</v>
      </c>
      <c r="B665" s="39"/>
      <c r="C665" s="39"/>
      <c r="D665" s="7">
        <f t="shared" si="10"/>
        <v>0</v>
      </c>
    </row>
    <row r="666" spans="1:4" ht="18.75" hidden="1" x14ac:dyDescent="0.25">
      <c r="A666" s="9" t="s">
        <v>322</v>
      </c>
      <c r="B666" s="7"/>
      <c r="C666" s="7"/>
      <c r="D666" s="7">
        <f t="shared" si="10"/>
        <v>0</v>
      </c>
    </row>
    <row r="667" spans="1:4" ht="18.75" hidden="1" x14ac:dyDescent="0.25">
      <c r="A667" s="9" t="s">
        <v>323</v>
      </c>
      <c r="B667" s="7"/>
      <c r="C667" s="7"/>
      <c r="D667" s="7">
        <f t="shared" si="10"/>
        <v>0</v>
      </c>
    </row>
    <row r="668" spans="1:4" ht="18.75" hidden="1" x14ac:dyDescent="0.25">
      <c r="A668" s="21" t="s">
        <v>324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325</v>
      </c>
      <c r="B669" s="7"/>
      <c r="C669" s="7"/>
      <c r="D669" s="7">
        <f t="shared" si="10"/>
        <v>0</v>
      </c>
    </row>
    <row r="670" spans="1:4" ht="18.75" hidden="1" x14ac:dyDescent="0.25">
      <c r="A670" s="9" t="s">
        <v>326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327</v>
      </c>
      <c r="B671" s="7"/>
      <c r="C671" s="7"/>
      <c r="D671" s="7">
        <f t="shared" si="10"/>
        <v>0</v>
      </c>
    </row>
    <row r="672" spans="1:4" ht="18.75" hidden="1" x14ac:dyDescent="0.25">
      <c r="A672" s="21" t="s">
        <v>328</v>
      </c>
      <c r="B672" s="7"/>
      <c r="C672" s="7"/>
      <c r="D672" s="7">
        <f t="shared" si="10"/>
        <v>0</v>
      </c>
    </row>
    <row r="673" spans="1:4" ht="18.75" x14ac:dyDescent="0.25">
      <c r="A673" s="9" t="s">
        <v>329</v>
      </c>
      <c r="B673" s="7">
        <v>5</v>
      </c>
      <c r="C673" s="7">
        <v>7000</v>
      </c>
      <c r="D673" s="7">
        <f t="shared" si="10"/>
        <v>35000</v>
      </c>
    </row>
    <row r="674" spans="1:4" ht="18.75" hidden="1" x14ac:dyDescent="0.25">
      <c r="A674" s="9" t="s">
        <v>330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331</v>
      </c>
      <c r="B675" s="7"/>
      <c r="C675" s="7"/>
      <c r="D675" s="7">
        <f t="shared" ref="D675:D681" si="11">B675*C675</f>
        <v>0</v>
      </c>
    </row>
    <row r="676" spans="1:4" ht="18.75" hidden="1" x14ac:dyDescent="0.25">
      <c r="A676" s="9" t="s">
        <v>332</v>
      </c>
      <c r="B676" s="7"/>
      <c r="C676" s="7"/>
      <c r="D676" s="7">
        <f t="shared" si="11"/>
        <v>0</v>
      </c>
    </row>
    <row r="677" spans="1:4" ht="18.75" hidden="1" x14ac:dyDescent="0.25">
      <c r="A677" s="9" t="s">
        <v>333</v>
      </c>
      <c r="B677" s="7"/>
      <c r="C677" s="7"/>
      <c r="D677" s="7">
        <f t="shared" si="11"/>
        <v>0</v>
      </c>
    </row>
    <row r="678" spans="1:4" ht="18.75" hidden="1" x14ac:dyDescent="0.25">
      <c r="A678" s="9" t="s">
        <v>334</v>
      </c>
      <c r="B678" s="7"/>
      <c r="C678" s="7"/>
      <c r="D678" s="7">
        <f t="shared" si="11"/>
        <v>0</v>
      </c>
    </row>
    <row r="679" spans="1:4" ht="18.75" hidden="1" x14ac:dyDescent="0.25">
      <c r="A679" s="9" t="s">
        <v>335</v>
      </c>
      <c r="B679" s="7"/>
      <c r="C679" s="7"/>
      <c r="D679" s="7">
        <f t="shared" si="11"/>
        <v>0</v>
      </c>
    </row>
    <row r="680" spans="1:4" ht="18.75" hidden="1" x14ac:dyDescent="0.25">
      <c r="A680" s="9" t="s">
        <v>336</v>
      </c>
      <c r="B680" s="7"/>
      <c r="C680" s="7"/>
      <c r="D680" s="7">
        <f t="shared" si="11"/>
        <v>0</v>
      </c>
    </row>
    <row r="681" spans="1:4" ht="18.75" hidden="1" x14ac:dyDescent="0.25">
      <c r="A681" s="11" t="s">
        <v>338</v>
      </c>
      <c r="B681" s="7"/>
      <c r="C681" s="7"/>
      <c r="D681" s="7">
        <f t="shared" si="11"/>
        <v>0</v>
      </c>
    </row>
    <row r="682" spans="1:4" ht="18.75" x14ac:dyDescent="0.25">
      <c r="A682" s="40"/>
      <c r="B682" s="43">
        <f>SUM(B356:B681)</f>
        <v>1998</v>
      </c>
      <c r="C682" s="43"/>
      <c r="D682" s="43">
        <f>SUM(D359:D673)</f>
        <v>30611000</v>
      </c>
    </row>
    <row r="684" spans="1:4" x14ac:dyDescent="0.25">
      <c r="D684" s="53">
        <f>D682+D351</f>
        <v>83586100</v>
      </c>
    </row>
  </sheetData>
  <protectedRanges>
    <protectedRange password="CF71" sqref="B3:C350 B1:D2" name="tho"/>
    <protectedRange password="CF71" sqref="D3:D681" name="tho_2"/>
    <protectedRange password="CF71" sqref="B353:C353 C354:C681" name="tho_1"/>
    <protectedRange password="CF71" sqref="B354:B681" name="tho_2_1"/>
  </protectedRanges>
  <autoFilter ref="A2:D682" xr:uid="{00000000-0009-0000-0000-00000A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D685"/>
  <sheetViews>
    <sheetView topLeftCell="A308" workbookViewId="0">
      <selection activeCell="F687" sqref="F687"/>
    </sheetView>
  </sheetViews>
  <sheetFormatPr defaultRowHeight="15" x14ac:dyDescent="0.25"/>
  <cols>
    <col min="1" max="1" width="36.42578125" customWidth="1"/>
    <col min="2" max="2" width="13.42578125" customWidth="1"/>
    <col min="3" max="3" width="14.42578125" customWidth="1"/>
    <col min="4" max="4" width="19.42578125" customWidth="1"/>
  </cols>
  <sheetData>
    <row r="1" spans="1:4" x14ac:dyDescent="0.25">
      <c r="A1" s="1" t="s">
        <v>407</v>
      </c>
      <c r="B1" s="2"/>
      <c r="C1" s="2"/>
      <c r="D1" s="2"/>
    </row>
    <row r="2" spans="1:4" ht="34.9" customHeight="1" x14ac:dyDescent="0.25">
      <c r="A2" s="44" t="s">
        <v>0</v>
      </c>
      <c r="B2" s="3" t="s">
        <v>1</v>
      </c>
      <c r="C2" s="3" t="s">
        <v>368</v>
      </c>
      <c r="D2" s="3" t="s">
        <v>408</v>
      </c>
    </row>
    <row r="3" spans="1:4" ht="18.75" x14ac:dyDescent="0.25">
      <c r="A3" s="5" t="s">
        <v>2</v>
      </c>
      <c r="B3" s="7">
        <v>20</v>
      </c>
      <c r="C3" s="7">
        <v>24000</v>
      </c>
      <c r="D3" s="7">
        <f>B3*C3</f>
        <v>480000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hidden="1" x14ac:dyDescent="0.25">
      <c r="A7" s="5" t="s">
        <v>5</v>
      </c>
      <c r="B7" s="7"/>
      <c r="C7" s="7"/>
      <c r="D7" s="7">
        <f t="shared" si="0"/>
        <v>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10</v>
      </c>
      <c r="C17" s="7">
        <v>9000</v>
      </c>
      <c r="D17" s="7">
        <f t="shared" si="0"/>
        <v>90000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f>6+16+3+10</f>
        <v>35</v>
      </c>
      <c r="C21" s="45">
        <v>12000</v>
      </c>
      <c r="D21" s="7">
        <f t="shared" si="0"/>
        <v>420000</v>
      </c>
    </row>
    <row r="22" spans="1:4" ht="18.75" x14ac:dyDescent="0.25">
      <c r="A22" s="9" t="s">
        <v>19</v>
      </c>
      <c r="B22" s="7">
        <v>100</v>
      </c>
      <c r="C22" s="7">
        <v>15500</v>
      </c>
      <c r="D22" s="7">
        <f t="shared" si="0"/>
        <v>1550000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-30+15+170</f>
        <v>155</v>
      </c>
      <c r="C27" s="7">
        <v>16000</v>
      </c>
      <c r="D27" s="7">
        <f t="shared" si="0"/>
        <v>2480000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hidden="1" x14ac:dyDescent="0.25">
      <c r="A32" s="12" t="s">
        <v>29</v>
      </c>
      <c r="B32" s="7"/>
      <c r="C32" s="7"/>
      <c r="D32" s="7">
        <f t="shared" si="0"/>
        <v>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hidden="1" x14ac:dyDescent="0.25">
      <c r="A41" s="9" t="s">
        <v>38</v>
      </c>
      <c r="B41" s="7"/>
      <c r="C41" s="7"/>
      <c r="D41" s="7">
        <f t="shared" si="0"/>
        <v>0</v>
      </c>
    </row>
    <row r="42" spans="1:4" ht="18.75" x14ac:dyDescent="0.25">
      <c r="A42" s="9" t="s">
        <v>39</v>
      </c>
      <c r="B42" s="7">
        <v>6</v>
      </c>
      <c r="C42" s="7">
        <v>10500</v>
      </c>
      <c r="D42" s="7">
        <f t="shared" si="0"/>
        <v>63000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x14ac:dyDescent="0.25">
      <c r="A49" s="9" t="s">
        <v>46</v>
      </c>
      <c r="B49" s="7">
        <v>50</v>
      </c>
      <c r="C49" s="7">
        <v>27000</v>
      </c>
      <c r="D49" s="7">
        <f t="shared" si="0"/>
        <v>1350000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-300+160+220</f>
        <v>80</v>
      </c>
      <c r="C56" s="7">
        <v>18000</v>
      </c>
      <c r="D56" s="7">
        <f t="shared" si="0"/>
        <v>1440000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v>38</v>
      </c>
      <c r="C59" s="7">
        <v>9000</v>
      </c>
      <c r="D59" s="7">
        <f t="shared" si="0"/>
        <v>342000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x14ac:dyDescent="0.25">
      <c r="A65" s="17" t="s">
        <v>62</v>
      </c>
      <c r="B65" s="7">
        <v>10</v>
      </c>
      <c r="C65" s="7">
        <v>15000</v>
      </c>
      <c r="D65" s="7">
        <f t="shared" si="0"/>
        <v>150000</v>
      </c>
    </row>
    <row r="66" spans="1:4" ht="18.75" x14ac:dyDescent="0.25">
      <c r="A66" s="9" t="s">
        <v>63</v>
      </c>
      <c r="B66" s="7">
        <v>200</v>
      </c>
      <c r="C66" s="7">
        <v>18000</v>
      </c>
      <c r="D66" s="7">
        <f t="shared" si="0"/>
        <v>3600000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x14ac:dyDescent="0.25">
      <c r="A72" s="12" t="s">
        <v>69</v>
      </c>
      <c r="B72" s="7">
        <f>24+45+45+83-36-40</f>
        <v>121</v>
      </c>
      <c r="C72" s="7">
        <v>6500</v>
      </c>
      <c r="D72" s="7">
        <f t="shared" si="1"/>
        <v>786500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x14ac:dyDescent="0.25">
      <c r="A74" s="12" t="s">
        <v>71</v>
      </c>
      <c r="B74" s="7">
        <v>9</v>
      </c>
      <c r="C74" s="7">
        <v>24000</v>
      </c>
      <c r="D74" s="7">
        <f t="shared" si="1"/>
        <v>216000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v>50</v>
      </c>
      <c r="C80" s="7">
        <v>26000</v>
      </c>
      <c r="D80" s="7">
        <f t="shared" si="1"/>
        <v>1300000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x14ac:dyDescent="0.25">
      <c r="A82" s="9" t="s">
        <v>79</v>
      </c>
      <c r="B82" s="7">
        <v>40</v>
      </c>
      <c r="C82" s="7">
        <v>27000</v>
      </c>
      <c r="D82" s="7">
        <f t="shared" si="1"/>
        <v>1080000</v>
      </c>
    </row>
    <row r="83" spans="1:4" ht="18.75" x14ac:dyDescent="0.25">
      <c r="A83" s="9" t="s">
        <v>80</v>
      </c>
      <c r="B83" s="7">
        <f>40+10+6</f>
        <v>56</v>
      </c>
      <c r="C83" s="7">
        <v>24000</v>
      </c>
      <c r="D83" s="7">
        <f t="shared" si="1"/>
        <v>1344000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hidden="1" x14ac:dyDescent="0.25">
      <c r="A90" s="9" t="s">
        <v>86</v>
      </c>
      <c r="B90" s="7"/>
      <c r="C90" s="7"/>
      <c r="D90" s="7">
        <f t="shared" si="1"/>
        <v>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hidden="1" x14ac:dyDescent="0.25">
      <c r="A107" s="9" t="s">
        <v>103</v>
      </c>
      <c r="B107" s="7"/>
      <c r="C107" s="7"/>
      <c r="D107" s="7">
        <f t="shared" si="1"/>
        <v>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x14ac:dyDescent="0.25">
      <c r="A115" s="12" t="s">
        <v>386</v>
      </c>
      <c r="B115" s="16">
        <v>6</v>
      </c>
      <c r="C115" s="16">
        <v>22000</v>
      </c>
      <c r="D115" s="7">
        <f t="shared" si="1"/>
        <v>132000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11" t="s">
        <v>117</v>
      </c>
      <c r="B123" s="7"/>
      <c r="C123" s="7"/>
      <c r="D123" s="7">
        <f t="shared" si="1"/>
        <v>0</v>
      </c>
    </row>
    <row r="124" spans="1:4" ht="18.75" hidden="1" x14ac:dyDescent="0.25">
      <c r="A124" s="21" t="s">
        <v>118</v>
      </c>
      <c r="B124" s="7"/>
      <c r="C124" s="7"/>
      <c r="D124" s="7">
        <f t="shared" si="1"/>
        <v>0</v>
      </c>
    </row>
    <row r="125" spans="1:4" ht="18.75" x14ac:dyDescent="0.25">
      <c r="A125" s="11" t="s">
        <v>395</v>
      </c>
      <c r="B125" s="7">
        <v>68</v>
      </c>
      <c r="C125" s="7">
        <v>8000</v>
      </c>
      <c r="D125" s="7">
        <f t="shared" si="1"/>
        <v>544000</v>
      </c>
    </row>
    <row r="126" spans="1:4" ht="18.75" hidden="1" x14ac:dyDescent="0.25">
      <c r="A126" s="9" t="s">
        <v>391</v>
      </c>
      <c r="B126" s="7"/>
      <c r="C126" s="7"/>
      <c r="D126" s="7">
        <f t="shared" si="1"/>
        <v>0</v>
      </c>
    </row>
    <row r="127" spans="1:4" ht="18.75" hidden="1" x14ac:dyDescent="0.25">
      <c r="A127" s="11" t="s">
        <v>392</v>
      </c>
      <c r="B127" s="7"/>
      <c r="C127" s="7"/>
      <c r="D127" s="7">
        <f t="shared" si="1"/>
        <v>0</v>
      </c>
    </row>
    <row r="128" spans="1:4" ht="18.75" hidden="1" x14ac:dyDescent="0.25">
      <c r="A128" s="9" t="s">
        <v>119</v>
      </c>
      <c r="B128" s="7"/>
      <c r="C128" s="7"/>
      <c r="D128" s="7">
        <f t="shared" si="1"/>
        <v>0</v>
      </c>
    </row>
    <row r="129" spans="1:4" ht="18.75" hidden="1" x14ac:dyDescent="0.25">
      <c r="A129" s="11" t="s">
        <v>120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121</v>
      </c>
      <c r="B130" s="7"/>
      <c r="C130" s="7"/>
      <c r="D130" s="7">
        <f t="shared" si="1"/>
        <v>0</v>
      </c>
    </row>
    <row r="131" spans="1:4" ht="18.75" hidden="1" x14ac:dyDescent="0.25">
      <c r="A131" s="17" t="s">
        <v>382</v>
      </c>
      <c r="B131" s="7"/>
      <c r="C131" s="7"/>
      <c r="D131" s="7">
        <f t="shared" si="1"/>
        <v>0</v>
      </c>
    </row>
    <row r="132" spans="1:4" ht="18.75" hidden="1" x14ac:dyDescent="0.25">
      <c r="A132" s="13" t="s">
        <v>383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384</v>
      </c>
      <c r="B133" s="7"/>
      <c r="C133" s="7"/>
      <c r="D133" s="7">
        <f t="shared" si="2"/>
        <v>0</v>
      </c>
    </row>
    <row r="134" spans="1:4" ht="18.75" hidden="1" x14ac:dyDescent="0.25">
      <c r="A134" s="9" t="s">
        <v>122</v>
      </c>
      <c r="B134" s="7"/>
      <c r="C134" s="7"/>
      <c r="D134" s="7">
        <f t="shared" si="2"/>
        <v>0</v>
      </c>
    </row>
    <row r="135" spans="1:4" ht="18.75" hidden="1" x14ac:dyDescent="0.25">
      <c r="A135" s="9" t="s">
        <v>123</v>
      </c>
      <c r="B135" s="7"/>
      <c r="C135" s="7"/>
      <c r="D135" s="7">
        <f t="shared" si="2"/>
        <v>0</v>
      </c>
    </row>
    <row r="136" spans="1:4" ht="18.75" hidden="1" x14ac:dyDescent="0.25">
      <c r="A136" s="10" t="s">
        <v>124</v>
      </c>
      <c r="B136" s="7"/>
      <c r="C136" s="7"/>
      <c r="D136" s="7">
        <f t="shared" si="2"/>
        <v>0</v>
      </c>
    </row>
    <row r="137" spans="1:4" ht="18.75" hidden="1" x14ac:dyDescent="0.25">
      <c r="A137" s="13" t="s">
        <v>125</v>
      </c>
      <c r="B137" s="7"/>
      <c r="C137" s="7"/>
      <c r="D137" s="7">
        <f t="shared" si="2"/>
        <v>0</v>
      </c>
    </row>
    <row r="138" spans="1:4" ht="18.75" hidden="1" x14ac:dyDescent="0.25">
      <c r="A138" s="12" t="s">
        <v>126</v>
      </c>
      <c r="B138" s="16"/>
      <c r="C138" s="16"/>
      <c r="D138" s="7">
        <f t="shared" si="2"/>
        <v>0</v>
      </c>
    </row>
    <row r="139" spans="1:4" ht="18.75" hidden="1" x14ac:dyDescent="0.25">
      <c r="A139" s="12" t="s">
        <v>128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129</v>
      </c>
      <c r="B140" s="27"/>
      <c r="C140" s="27"/>
      <c r="D140" s="7">
        <f t="shared" si="2"/>
        <v>0</v>
      </c>
    </row>
    <row r="141" spans="1:4" ht="18.75" hidden="1" x14ac:dyDescent="0.25">
      <c r="A141" s="28" t="s">
        <v>130</v>
      </c>
      <c r="B141" s="7"/>
      <c r="C141" s="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x14ac:dyDescent="0.25">
      <c r="A143" s="9" t="s">
        <v>132</v>
      </c>
      <c r="B143" s="7">
        <v>11</v>
      </c>
      <c r="C143" s="7">
        <v>9500</v>
      </c>
      <c r="D143" s="7">
        <f t="shared" si="2"/>
        <v>104500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-60+5+20+48</f>
        <v>13</v>
      </c>
      <c r="C146" s="7">
        <v>18000</v>
      </c>
      <c r="D146" s="7">
        <f t="shared" si="2"/>
        <v>234000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x14ac:dyDescent="0.25">
      <c r="A171" s="9" t="s">
        <v>160</v>
      </c>
      <c r="B171" s="7">
        <v>4</v>
      </c>
      <c r="C171" s="7">
        <v>8000</v>
      </c>
      <c r="D171" s="7">
        <f t="shared" si="2"/>
        <v>32000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hidden="1" x14ac:dyDescent="0.25">
      <c r="A178" s="12" t="s">
        <v>167</v>
      </c>
      <c r="B178" s="7"/>
      <c r="C178" s="7"/>
      <c r="D178" s="7">
        <f t="shared" si="2"/>
        <v>0</v>
      </c>
    </row>
    <row r="179" spans="1:4" ht="18.75" hidden="1" x14ac:dyDescent="0.25">
      <c r="A179" s="9" t="s">
        <v>168</v>
      </c>
      <c r="B179" s="7"/>
      <c r="C179" s="46"/>
      <c r="D179" s="7">
        <f t="shared" si="2"/>
        <v>0</v>
      </c>
    </row>
    <row r="180" spans="1:4" ht="18.75" hidden="1" x14ac:dyDescent="0.25">
      <c r="A180" s="30" t="s">
        <v>169</v>
      </c>
      <c r="B180" s="7"/>
      <c r="C180" s="7"/>
      <c r="D180" s="7">
        <f t="shared" si="2"/>
        <v>0</v>
      </c>
    </row>
    <row r="181" spans="1:4" ht="18.75" hidden="1" x14ac:dyDescent="0.25">
      <c r="A181" s="9" t="s">
        <v>170</v>
      </c>
      <c r="B181" s="7"/>
      <c r="C181" s="7"/>
      <c r="D181" s="7">
        <f t="shared" si="2"/>
        <v>0</v>
      </c>
    </row>
    <row r="182" spans="1:4" ht="18.75" hidden="1" x14ac:dyDescent="0.25">
      <c r="A182" s="9" t="s">
        <v>171</v>
      </c>
      <c r="B182" s="7"/>
      <c r="C182" s="7"/>
      <c r="D182" s="7">
        <f t="shared" si="2"/>
        <v>0</v>
      </c>
    </row>
    <row r="183" spans="1:4" ht="18.75" hidden="1" x14ac:dyDescent="0.25">
      <c r="A183" s="20" t="s">
        <v>172</v>
      </c>
      <c r="B183" s="7"/>
      <c r="C183" s="7"/>
      <c r="D183" s="7">
        <f t="shared" si="2"/>
        <v>0</v>
      </c>
    </row>
    <row r="184" spans="1:4" ht="18.75" hidden="1" x14ac:dyDescent="0.25">
      <c r="A184" s="9" t="s">
        <v>173</v>
      </c>
      <c r="B184" s="7"/>
      <c r="C184" s="7"/>
      <c r="D184" s="7">
        <f t="shared" si="2"/>
        <v>0</v>
      </c>
    </row>
    <row r="185" spans="1:4" ht="18.75" x14ac:dyDescent="0.25">
      <c r="A185" s="31" t="s">
        <v>174</v>
      </c>
      <c r="B185" s="33">
        <v>7</v>
      </c>
      <c r="C185" s="33">
        <v>15000</v>
      </c>
      <c r="D185" s="7">
        <f t="shared" si="2"/>
        <v>105000</v>
      </c>
    </row>
    <row r="186" spans="1:4" ht="18.75" hidden="1" x14ac:dyDescent="0.25">
      <c r="A186" s="11" t="s">
        <v>175</v>
      </c>
      <c r="B186" s="7"/>
      <c r="C186" s="7"/>
      <c r="D186" s="7">
        <f t="shared" si="2"/>
        <v>0</v>
      </c>
    </row>
    <row r="187" spans="1:4" ht="18.75" x14ac:dyDescent="0.25">
      <c r="A187" s="9" t="s">
        <v>176</v>
      </c>
      <c r="B187" s="7">
        <v>1</v>
      </c>
      <c r="C187" s="7">
        <v>42000</v>
      </c>
      <c r="D187" s="7">
        <f t="shared" si="2"/>
        <v>42000</v>
      </c>
    </row>
    <row r="188" spans="1:4" ht="18.75" hidden="1" x14ac:dyDescent="0.25">
      <c r="A188" s="9" t="s">
        <v>177</v>
      </c>
      <c r="B188" s="7"/>
      <c r="C188" s="7"/>
      <c r="D188" s="7">
        <f t="shared" si="2"/>
        <v>0</v>
      </c>
    </row>
    <row r="189" spans="1:4" ht="18.75" hidden="1" x14ac:dyDescent="0.25">
      <c r="A189" s="12" t="s">
        <v>178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179</v>
      </c>
      <c r="B190" s="7"/>
      <c r="C190" s="7"/>
      <c r="D190" s="7">
        <f t="shared" si="2"/>
        <v>0</v>
      </c>
    </row>
    <row r="191" spans="1:4" ht="18.75" hidden="1" x14ac:dyDescent="0.25">
      <c r="A191" s="9" t="s">
        <v>180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181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182</v>
      </c>
      <c r="B193" s="7"/>
      <c r="C193" s="7"/>
      <c r="D193" s="7">
        <f t="shared" si="2"/>
        <v>0</v>
      </c>
    </row>
    <row r="194" spans="1:4" ht="18.75" x14ac:dyDescent="0.25">
      <c r="A194" s="12" t="s">
        <v>183</v>
      </c>
      <c r="B194" s="7">
        <v>200</v>
      </c>
      <c r="C194" s="7">
        <v>12000</v>
      </c>
      <c r="D194" s="7">
        <f t="shared" si="2"/>
        <v>2400000</v>
      </c>
    </row>
    <row r="195" spans="1:4" ht="18.75" x14ac:dyDescent="0.25">
      <c r="A195" s="9" t="s">
        <v>184</v>
      </c>
      <c r="B195" s="7">
        <v>60</v>
      </c>
      <c r="C195" s="7">
        <v>2100</v>
      </c>
      <c r="D195" s="7">
        <f t="shared" si="2"/>
        <v>126000</v>
      </c>
    </row>
    <row r="196" spans="1:4" ht="18.75" hidden="1" x14ac:dyDescent="0.25">
      <c r="A196" s="9" t="s">
        <v>185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186</v>
      </c>
      <c r="B197" s="7"/>
      <c r="C197" s="7"/>
      <c r="D197" s="7">
        <f t="shared" si="3"/>
        <v>0</v>
      </c>
    </row>
    <row r="198" spans="1:4" ht="18.75" x14ac:dyDescent="0.25">
      <c r="A198" s="12" t="s">
        <v>187</v>
      </c>
      <c r="B198" s="7">
        <v>5</v>
      </c>
      <c r="C198" s="7">
        <v>20000</v>
      </c>
      <c r="D198" s="7">
        <f t="shared" si="3"/>
        <v>100000</v>
      </c>
    </row>
    <row r="199" spans="1:4" ht="18.75" hidden="1" x14ac:dyDescent="0.25">
      <c r="A199" s="12" t="s">
        <v>188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189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190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191</v>
      </c>
      <c r="B202" s="7"/>
      <c r="C202" s="7"/>
      <c r="D202" s="7">
        <f t="shared" si="3"/>
        <v>0</v>
      </c>
    </row>
    <row r="203" spans="1:4" ht="18.75" hidden="1" x14ac:dyDescent="0.25">
      <c r="A203" s="17" t="s">
        <v>192</v>
      </c>
      <c r="B203" s="7"/>
      <c r="C203" s="7"/>
      <c r="D203" s="7">
        <f t="shared" si="3"/>
        <v>0</v>
      </c>
    </row>
    <row r="204" spans="1:4" ht="18.75" hidden="1" x14ac:dyDescent="0.25">
      <c r="A204" s="12" t="s">
        <v>193</v>
      </c>
      <c r="B204" s="7"/>
      <c r="C204" s="7"/>
      <c r="D204" s="7">
        <f t="shared" si="3"/>
        <v>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f>100+40+70+120</f>
        <v>330</v>
      </c>
      <c r="C212" s="7">
        <v>21000</v>
      </c>
      <c r="D212" s="7">
        <f t="shared" si="3"/>
        <v>6930000</v>
      </c>
    </row>
    <row r="213" spans="1:4" ht="18.75" x14ac:dyDescent="0.25">
      <c r="A213" s="12" t="s">
        <v>202</v>
      </c>
      <c r="B213" s="7">
        <v>200</v>
      </c>
      <c r="C213" s="7">
        <v>21000</v>
      </c>
      <c r="D213" s="7">
        <f t="shared" si="3"/>
        <v>4200000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-400+240+100+250+140-100</f>
        <v>230</v>
      </c>
      <c r="C215" s="7">
        <v>19000</v>
      </c>
      <c r="D215" s="7">
        <f t="shared" si="3"/>
        <v>4370000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x14ac:dyDescent="0.25">
      <c r="A221" s="9" t="s">
        <v>210</v>
      </c>
      <c r="B221" s="7">
        <v>5</v>
      </c>
      <c r="C221" s="7">
        <v>12000</v>
      </c>
      <c r="D221" s="7">
        <f t="shared" si="3"/>
        <v>60000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-300+415+80+25+10+120+20</f>
        <v>370</v>
      </c>
      <c r="C226" s="7">
        <v>15000</v>
      </c>
      <c r="D226" s="7">
        <f t="shared" si="3"/>
        <v>5550000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x14ac:dyDescent="0.25">
      <c r="A228" s="9" t="s">
        <v>217</v>
      </c>
      <c r="B228" s="7">
        <v>20</v>
      </c>
      <c r="C228" s="7">
        <v>6500</v>
      </c>
      <c r="D228" s="7">
        <f t="shared" si="3"/>
        <v>130000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x14ac:dyDescent="0.25">
      <c r="A231" s="17" t="s">
        <v>220</v>
      </c>
      <c r="B231" s="7">
        <v>0.5</v>
      </c>
      <c r="C231" s="7">
        <v>45000</v>
      </c>
      <c r="D231" s="7">
        <f t="shared" si="3"/>
        <v>22500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x14ac:dyDescent="0.25">
      <c r="A258" s="9" t="s">
        <v>247</v>
      </c>
      <c r="B258" s="7">
        <v>1</v>
      </c>
      <c r="C258" s="7">
        <v>14000</v>
      </c>
      <c r="D258" s="7">
        <f t="shared" si="3"/>
        <v>14000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-20+80</f>
        <v>60</v>
      </c>
      <c r="C261" s="7">
        <v>24000</v>
      </c>
      <c r="D261" s="7">
        <f t="shared" si="4"/>
        <v>1440000</v>
      </c>
    </row>
    <row r="262" spans="1:4" ht="18.75" x14ac:dyDescent="0.25">
      <c r="A262" s="9" t="s">
        <v>251</v>
      </c>
      <c r="B262" s="7">
        <v>20</v>
      </c>
      <c r="C262" s="7">
        <v>18000</v>
      </c>
      <c r="D262" s="7">
        <f t="shared" si="4"/>
        <v>360000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x14ac:dyDescent="0.25">
      <c r="A264" s="9" t="s">
        <v>253</v>
      </c>
      <c r="B264" s="7">
        <v>10</v>
      </c>
      <c r="C264" s="7">
        <v>10000</v>
      </c>
      <c r="D264" s="7">
        <f t="shared" si="4"/>
        <v>100000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hidden="1" x14ac:dyDescent="0.25">
      <c r="A268" s="9" t="s">
        <v>258</v>
      </c>
      <c r="B268" s="7"/>
      <c r="C268" s="7"/>
      <c r="D268" s="7">
        <f t="shared" si="4"/>
        <v>0</v>
      </c>
    </row>
    <row r="269" spans="1:4" ht="18.75" hidden="1" x14ac:dyDescent="0.25">
      <c r="A269" s="9" t="s">
        <v>259</v>
      </c>
      <c r="B269" s="7"/>
      <c r="C269" s="7"/>
      <c r="D269" s="7">
        <f t="shared" si="4"/>
        <v>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-20+30+30+25+23-15-25</f>
        <v>48</v>
      </c>
      <c r="C272" s="7">
        <v>18000</v>
      </c>
      <c r="D272" s="7">
        <f t="shared" si="4"/>
        <v>864000</v>
      </c>
    </row>
    <row r="273" spans="1:4" ht="18.75" x14ac:dyDescent="0.25">
      <c r="A273" s="9" t="s">
        <v>263</v>
      </c>
      <c r="B273" s="7">
        <v>50</v>
      </c>
      <c r="C273" s="7">
        <v>13000</v>
      </c>
      <c r="D273" s="7">
        <f t="shared" si="4"/>
        <v>650000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x14ac:dyDescent="0.25">
      <c r="A278" s="11" t="s">
        <v>268</v>
      </c>
      <c r="B278" s="7">
        <v>3</v>
      </c>
      <c r="C278" s="7">
        <v>44000</v>
      </c>
      <c r="D278" s="7">
        <f t="shared" si="4"/>
        <v>132000</v>
      </c>
    </row>
    <row r="279" spans="1:4" ht="18.75" hidden="1" x14ac:dyDescent="0.25">
      <c r="A279" s="9" t="s">
        <v>269</v>
      </c>
      <c r="B279" s="7"/>
      <c r="C279" s="7"/>
      <c r="D279" s="7">
        <f t="shared" si="4"/>
        <v>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2</v>
      </c>
      <c r="C283" s="7">
        <v>20000</v>
      </c>
      <c r="D283" s="7">
        <f t="shared" si="4"/>
        <v>40000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3</v>
      </c>
      <c r="C297" s="7">
        <v>12000</v>
      </c>
      <c r="D297" s="7">
        <f t="shared" si="4"/>
        <v>36000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hidden="1" x14ac:dyDescent="0.25">
      <c r="A300" s="9" t="s">
        <v>290</v>
      </c>
      <c r="B300" s="7"/>
      <c r="C300" s="7"/>
      <c r="D300" s="7">
        <f t="shared" si="4"/>
        <v>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v>100</v>
      </c>
      <c r="C303" s="7">
        <v>12000</v>
      </c>
      <c r="D303" s="7">
        <f t="shared" si="4"/>
        <v>1200000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x14ac:dyDescent="0.25">
      <c r="A308" s="17" t="s">
        <v>404</v>
      </c>
      <c r="B308" s="7">
        <v>23</v>
      </c>
      <c r="C308" s="7">
        <v>23000</v>
      </c>
      <c r="D308" s="7">
        <f t="shared" si="4"/>
        <v>529000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x14ac:dyDescent="0.25">
      <c r="A321" s="13" t="s">
        <v>309</v>
      </c>
      <c r="B321" s="7">
        <v>8</v>
      </c>
      <c r="C321" s="7">
        <v>18000</v>
      </c>
      <c r="D321" s="7">
        <f t="shared" si="4"/>
        <v>144000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2838.5</v>
      </c>
      <c r="C351" s="43"/>
      <c r="D351" s="7">
        <f>SUM(D3:D321)</f>
        <v>47282500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409</v>
      </c>
      <c r="B353" s="2"/>
      <c r="C353" s="2"/>
      <c r="D353" s="7"/>
    </row>
    <row r="354" spans="1:4" ht="18.7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v>70</v>
      </c>
      <c r="C359" s="7">
        <v>7300</v>
      </c>
      <c r="D359" s="7">
        <f t="shared" si="5"/>
        <v>511000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hidden="1" x14ac:dyDescent="0.25">
      <c r="A366" s="9" t="s">
        <v>12</v>
      </c>
      <c r="B366" s="7"/>
      <c r="C366" s="7"/>
      <c r="D366" s="7">
        <f t="shared" si="5"/>
        <v>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v>780</v>
      </c>
      <c r="C373" s="7">
        <v>15500</v>
      </c>
      <c r="D373" s="7">
        <f t="shared" si="5"/>
        <v>12090000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x14ac:dyDescent="0.25">
      <c r="A378" s="9" t="s">
        <v>24</v>
      </c>
      <c r="B378" s="7">
        <v>30</v>
      </c>
      <c r="C378" s="7">
        <v>16000</v>
      </c>
      <c r="D378" s="7">
        <f t="shared" si="5"/>
        <v>480000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51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18000</v>
      </c>
      <c r="D400" s="7">
        <f t="shared" si="6"/>
        <v>5400000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90</v>
      </c>
      <c r="C425" s="7">
        <v>26000</v>
      </c>
      <c r="D425" s="7">
        <f t="shared" si="6"/>
        <v>2340000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90</v>
      </c>
      <c r="B438" s="7"/>
      <c r="C438" s="7"/>
      <c r="D438" s="7">
        <f t="shared" si="6"/>
        <v>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103</v>
      </c>
      <c r="B453" s="7"/>
      <c r="C453" s="7"/>
      <c r="D453" s="7">
        <f t="shared" si="7"/>
        <v>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hidden="1" x14ac:dyDescent="0.25">
      <c r="A457" s="23" t="s">
        <v>107</v>
      </c>
      <c r="B457" s="7"/>
      <c r="C457" s="7"/>
      <c r="D457" s="7">
        <f t="shared" si="7"/>
        <v>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x14ac:dyDescent="0.25">
      <c r="A460" s="9" t="s">
        <v>110</v>
      </c>
      <c r="B460" s="7">
        <v>13</v>
      </c>
      <c r="C460" s="7">
        <v>18000</v>
      </c>
      <c r="D460" s="7">
        <f t="shared" si="7"/>
        <v>234000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346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hidden="1" x14ac:dyDescent="0.25">
      <c r="A472" s="9" t="s">
        <v>122</v>
      </c>
      <c r="B472" s="7"/>
      <c r="C472" s="7"/>
      <c r="D472" s="7">
        <f t="shared" si="7"/>
        <v>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18000</v>
      </c>
      <c r="D483" s="7">
        <f t="shared" si="7"/>
        <v>1080000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hidden="1" x14ac:dyDescent="0.25">
      <c r="A503" s="9" t="s">
        <v>154</v>
      </c>
      <c r="B503" s="7"/>
      <c r="C503" s="7"/>
      <c r="D503" s="7">
        <f t="shared" si="7"/>
        <v>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x14ac:dyDescent="0.25">
      <c r="A508" s="9" t="s">
        <v>159</v>
      </c>
      <c r="B508" s="7">
        <v>5</v>
      </c>
      <c r="C508" s="7">
        <v>8000</v>
      </c>
      <c r="D508" s="7">
        <f t="shared" si="7"/>
        <v>40000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hidden="1" x14ac:dyDescent="0.25">
      <c r="A515" s="9" t="s">
        <v>349</v>
      </c>
      <c r="B515" s="7"/>
      <c r="C515" s="7"/>
      <c r="D515" s="7">
        <f t="shared" si="7"/>
        <v>0</v>
      </c>
    </row>
    <row r="516" spans="1:4" ht="18.75" hidden="1" x14ac:dyDescent="0.25">
      <c r="A516" s="12" t="s">
        <v>167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x14ac:dyDescent="0.25">
      <c r="A531" s="12" t="s">
        <v>183</v>
      </c>
      <c r="B531" s="7">
        <v>225</v>
      </c>
      <c r="C531" s="7">
        <v>12000</v>
      </c>
      <c r="D531" s="7">
        <f t="shared" si="8"/>
        <v>2700000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400</v>
      </c>
      <c r="C553" s="7">
        <v>19000</v>
      </c>
      <c r="D553" s="7">
        <f t="shared" si="8"/>
        <v>7600000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x14ac:dyDescent="0.25">
      <c r="A564" s="9" t="s">
        <v>212</v>
      </c>
      <c r="B564" s="7">
        <v>2</v>
      </c>
      <c r="C564" s="7">
        <v>23000</v>
      </c>
      <c r="D564" s="7">
        <f t="shared" si="8"/>
        <v>46000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300</v>
      </c>
      <c r="C567" s="7">
        <v>15000</v>
      </c>
      <c r="D567" s="7">
        <f t="shared" si="8"/>
        <v>4500000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24000</v>
      </c>
      <c r="D596" s="7">
        <f t="shared" si="9"/>
        <v>480000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10</v>
      </c>
      <c r="C604" s="7">
        <v>22000</v>
      </c>
      <c r="D604" s="7">
        <f t="shared" si="9"/>
        <v>220000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18000</v>
      </c>
      <c r="D608" s="7">
        <f t="shared" si="9"/>
        <v>360000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hidden="1" x14ac:dyDescent="0.25">
      <c r="A674" s="9" t="s">
        <v>329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2325</v>
      </c>
      <c r="C683" s="43"/>
      <c r="D683" s="43">
        <f t="shared" ref="D683" si="11">SUM(D356:D682)</f>
        <v>38081000</v>
      </c>
    </row>
    <row r="685" spans="1:4" x14ac:dyDescent="0.25">
      <c r="D685" s="53">
        <f>D683+D351</f>
        <v>85363500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0B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D685"/>
  <sheetViews>
    <sheetView workbookViewId="0">
      <selection activeCell="D685" sqref="D685"/>
    </sheetView>
  </sheetViews>
  <sheetFormatPr defaultRowHeight="15" x14ac:dyDescent="0.25"/>
  <cols>
    <col min="1" max="1" width="34" customWidth="1"/>
    <col min="3" max="3" width="15.42578125" customWidth="1"/>
    <col min="4" max="4" width="22" customWidth="1"/>
  </cols>
  <sheetData>
    <row r="1" spans="1:4" x14ac:dyDescent="0.25">
      <c r="A1" s="1" t="s">
        <v>415</v>
      </c>
      <c r="B1" s="2"/>
      <c r="C1" s="2"/>
      <c r="D1" s="2"/>
    </row>
    <row r="2" spans="1:4" ht="39.6" customHeight="1" x14ac:dyDescent="0.25">
      <c r="A2" s="44" t="s">
        <v>0</v>
      </c>
      <c r="B2" s="3" t="s">
        <v>1</v>
      </c>
      <c r="C2" s="3" t="s">
        <v>410</v>
      </c>
      <c r="D2" s="3" t="s">
        <v>411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hidden="1" x14ac:dyDescent="0.25">
      <c r="A7" s="5" t="s">
        <v>5</v>
      </c>
      <c r="B7" s="7"/>
      <c r="C7" s="7"/>
      <c r="D7" s="7">
        <f t="shared" si="0"/>
        <v>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x14ac:dyDescent="0.25">
      <c r="A12" s="17" t="s">
        <v>379</v>
      </c>
      <c r="B12" s="7">
        <v>76</v>
      </c>
      <c r="C12" s="7">
        <v>5600</v>
      </c>
      <c r="D12" s="7">
        <f t="shared" si="0"/>
        <v>425600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hidden="1" x14ac:dyDescent="0.25">
      <c r="A17" s="12" t="s">
        <v>14</v>
      </c>
      <c r="B17" s="7"/>
      <c r="C17" s="7"/>
      <c r="D17" s="7">
        <f t="shared" si="0"/>
        <v>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f>5+30</f>
        <v>35</v>
      </c>
      <c r="C21" s="45">
        <v>10500</v>
      </c>
      <c r="D21" s="7">
        <f t="shared" si="0"/>
        <v>367500</v>
      </c>
    </row>
    <row r="22" spans="1:4" ht="18.75" x14ac:dyDescent="0.25">
      <c r="A22" s="9" t="s">
        <v>19</v>
      </c>
      <c r="B22" s="7">
        <v>20</v>
      </c>
      <c r="C22" s="7">
        <v>15500</v>
      </c>
      <c r="D22" s="7">
        <f t="shared" si="0"/>
        <v>310000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-30+75+30</f>
        <v>75</v>
      </c>
      <c r="C27" s="7">
        <v>15000</v>
      </c>
      <c r="D27" s="7">
        <f t="shared" si="0"/>
        <v>1125000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x14ac:dyDescent="0.25">
      <c r="A32" s="12" t="s">
        <v>29</v>
      </c>
      <c r="B32" s="7">
        <f>18+18+36</f>
        <v>72</v>
      </c>
      <c r="C32" s="7">
        <v>15000</v>
      </c>
      <c r="D32" s="7">
        <f t="shared" si="0"/>
        <v>1080000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hidden="1" x14ac:dyDescent="0.25">
      <c r="A41" s="9" t="s">
        <v>38</v>
      </c>
      <c r="B41" s="7"/>
      <c r="C41" s="7"/>
      <c r="D41" s="7">
        <f t="shared" si="0"/>
        <v>0</v>
      </c>
    </row>
    <row r="42" spans="1:4" ht="18.75" x14ac:dyDescent="0.25">
      <c r="A42" s="9" t="s">
        <v>39</v>
      </c>
      <c r="B42" s="7">
        <v>13</v>
      </c>
      <c r="C42" s="7">
        <v>10500</v>
      </c>
      <c r="D42" s="7">
        <f t="shared" si="0"/>
        <v>136500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-300+140+40+230+40</f>
        <v>150</v>
      </c>
      <c r="C56" s="7">
        <v>18000</v>
      </c>
      <c r="D56" s="7">
        <f t="shared" si="0"/>
        <v>2700000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hidden="1" x14ac:dyDescent="0.25">
      <c r="A59" s="17" t="s">
        <v>56</v>
      </c>
      <c r="B59" s="7"/>
      <c r="C59" s="7"/>
      <c r="D59" s="7">
        <f t="shared" si="0"/>
        <v>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57" t="s">
        <v>59</v>
      </c>
      <c r="B62" s="52"/>
      <c r="C62" s="52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f>50+80</f>
        <v>130</v>
      </c>
      <c r="C66" s="7">
        <v>16000</v>
      </c>
      <c r="D66" s="7">
        <f t="shared" si="0"/>
        <v>2080000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hidden="1" x14ac:dyDescent="0.25">
      <c r="A72" s="12" t="s">
        <v>69</v>
      </c>
      <c r="B72" s="7"/>
      <c r="C72" s="7"/>
      <c r="D72" s="7">
        <f t="shared" si="1"/>
        <v>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hidden="1" x14ac:dyDescent="0.25">
      <c r="A74" s="12" t="s">
        <v>71</v>
      </c>
      <c r="B74" s="7"/>
      <c r="C74" s="7"/>
      <c r="D74" s="7">
        <f t="shared" si="1"/>
        <v>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f>-100+60+60+120+100</f>
        <v>240</v>
      </c>
      <c r="C80" s="7">
        <v>26000</v>
      </c>
      <c r="D80" s="7">
        <f t="shared" si="1"/>
        <v>6240000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x14ac:dyDescent="0.25">
      <c r="A82" s="9" t="s">
        <v>79</v>
      </c>
      <c r="B82" s="7">
        <v>60</v>
      </c>
      <c r="C82" s="7">
        <v>27000</v>
      </c>
      <c r="D82" s="7">
        <f t="shared" si="1"/>
        <v>1620000</v>
      </c>
    </row>
    <row r="83" spans="1:4" ht="18.75" x14ac:dyDescent="0.25">
      <c r="A83" s="9" t="s">
        <v>80</v>
      </c>
      <c r="B83" s="7">
        <v>10</v>
      </c>
      <c r="C83" s="7">
        <v>24000</v>
      </c>
      <c r="D83" s="7">
        <f t="shared" si="1"/>
        <v>240000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hidden="1" x14ac:dyDescent="0.25">
      <c r="A90" s="9" t="s">
        <v>86</v>
      </c>
      <c r="B90" s="7"/>
      <c r="C90" s="7"/>
      <c r="D90" s="7">
        <f t="shared" si="1"/>
        <v>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x14ac:dyDescent="0.25">
      <c r="A94" s="9" t="s">
        <v>90</v>
      </c>
      <c r="B94" s="7">
        <v>25</v>
      </c>
      <c r="C94" s="7">
        <v>10000</v>
      </c>
      <c r="D94" s="7">
        <f t="shared" si="1"/>
        <v>250000</v>
      </c>
    </row>
    <row r="95" spans="1:4" ht="18.75" x14ac:dyDescent="0.25">
      <c r="A95" s="21" t="s">
        <v>91</v>
      </c>
      <c r="B95" s="7">
        <v>6</v>
      </c>
      <c r="C95" s="7">
        <v>6000</v>
      </c>
      <c r="D95" s="7">
        <f t="shared" si="1"/>
        <v>36000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hidden="1" x14ac:dyDescent="0.25">
      <c r="A107" s="9" t="s">
        <v>103</v>
      </c>
      <c r="B107" s="7"/>
      <c r="C107" s="7"/>
      <c r="D107" s="7">
        <f t="shared" si="1"/>
        <v>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x14ac:dyDescent="0.25">
      <c r="A115" s="12" t="s">
        <v>386</v>
      </c>
      <c r="B115" s="16">
        <v>8</v>
      </c>
      <c r="C115" s="16">
        <v>22000</v>
      </c>
      <c r="D115" s="7">
        <f t="shared" si="1"/>
        <v>176000</v>
      </c>
    </row>
    <row r="116" spans="1:4" ht="18.75" x14ac:dyDescent="0.25">
      <c r="A116" s="9" t="s">
        <v>110</v>
      </c>
      <c r="B116" s="7">
        <f>25+5</f>
        <v>30</v>
      </c>
      <c r="C116" s="7">
        <v>18000</v>
      </c>
      <c r="D116" s="7">
        <f t="shared" si="1"/>
        <v>540000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11" t="s">
        <v>117</v>
      </c>
      <c r="B123" s="7"/>
      <c r="C123" s="7"/>
      <c r="D123" s="7">
        <f t="shared" si="1"/>
        <v>0</v>
      </c>
    </row>
    <row r="124" spans="1:4" ht="18.75" hidden="1" x14ac:dyDescent="0.25">
      <c r="A124" s="21" t="s">
        <v>118</v>
      </c>
      <c r="B124" s="7"/>
      <c r="C124" s="7"/>
      <c r="D124" s="7">
        <f t="shared" si="1"/>
        <v>0</v>
      </c>
    </row>
    <row r="125" spans="1:4" ht="18.75" hidden="1" x14ac:dyDescent="0.25">
      <c r="A125" s="11" t="s">
        <v>395</v>
      </c>
      <c r="B125" s="7"/>
      <c r="C125" s="7"/>
      <c r="D125" s="7">
        <f t="shared" si="1"/>
        <v>0</v>
      </c>
    </row>
    <row r="126" spans="1:4" ht="18.75" hidden="1" x14ac:dyDescent="0.25">
      <c r="A126" s="9" t="s">
        <v>391</v>
      </c>
      <c r="B126" s="7"/>
      <c r="C126" s="7"/>
      <c r="D126" s="7">
        <f t="shared" si="1"/>
        <v>0</v>
      </c>
    </row>
    <row r="127" spans="1:4" ht="18.75" hidden="1" x14ac:dyDescent="0.25">
      <c r="A127" s="11" t="s">
        <v>392</v>
      </c>
      <c r="B127" s="7"/>
      <c r="C127" s="7"/>
      <c r="D127" s="7">
        <f t="shared" si="1"/>
        <v>0</v>
      </c>
    </row>
    <row r="128" spans="1:4" ht="18.75" hidden="1" x14ac:dyDescent="0.25">
      <c r="A128" s="9" t="s">
        <v>119</v>
      </c>
      <c r="B128" s="7"/>
      <c r="C128" s="7"/>
      <c r="D128" s="7">
        <f t="shared" si="1"/>
        <v>0</v>
      </c>
    </row>
    <row r="129" spans="1:4" ht="18.75" hidden="1" x14ac:dyDescent="0.25">
      <c r="A129" s="11" t="s">
        <v>120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121</v>
      </c>
      <c r="B130" s="7"/>
      <c r="C130" s="7"/>
      <c r="D130" s="7">
        <f t="shared" si="1"/>
        <v>0</v>
      </c>
    </row>
    <row r="131" spans="1:4" ht="18.75" hidden="1" x14ac:dyDescent="0.25">
      <c r="A131" s="17" t="s">
        <v>382</v>
      </c>
      <c r="B131" s="7"/>
      <c r="C131" s="7"/>
      <c r="D131" s="7">
        <f t="shared" si="1"/>
        <v>0</v>
      </c>
    </row>
    <row r="132" spans="1:4" ht="18.75" hidden="1" x14ac:dyDescent="0.25">
      <c r="A132" s="13" t="s">
        <v>383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384</v>
      </c>
      <c r="B133" s="7"/>
      <c r="C133" s="7"/>
      <c r="D133" s="7">
        <f t="shared" si="2"/>
        <v>0</v>
      </c>
    </row>
    <row r="134" spans="1:4" ht="18.75" x14ac:dyDescent="0.25">
      <c r="A134" s="9" t="s">
        <v>122</v>
      </c>
      <c r="B134" s="7">
        <f>-20+35</f>
        <v>15</v>
      </c>
      <c r="C134" s="7">
        <v>14000</v>
      </c>
      <c r="D134" s="7">
        <f t="shared" si="2"/>
        <v>210000</v>
      </c>
    </row>
    <row r="135" spans="1:4" ht="18.75" hidden="1" x14ac:dyDescent="0.25">
      <c r="A135" s="9" t="s">
        <v>123</v>
      </c>
      <c r="B135" s="7"/>
      <c r="C135" s="7"/>
      <c r="D135" s="7">
        <f t="shared" si="2"/>
        <v>0</v>
      </c>
    </row>
    <row r="136" spans="1:4" ht="18.75" hidden="1" x14ac:dyDescent="0.25">
      <c r="A136" s="10" t="s">
        <v>124</v>
      </c>
      <c r="B136" s="7"/>
      <c r="C136" s="7"/>
      <c r="D136" s="7">
        <f t="shared" si="2"/>
        <v>0</v>
      </c>
    </row>
    <row r="137" spans="1:4" ht="18.75" hidden="1" x14ac:dyDescent="0.25">
      <c r="A137" s="13" t="s">
        <v>125</v>
      </c>
      <c r="B137" s="7"/>
      <c r="C137" s="7"/>
      <c r="D137" s="7">
        <f t="shared" si="2"/>
        <v>0</v>
      </c>
    </row>
    <row r="138" spans="1:4" ht="18.75" hidden="1" x14ac:dyDescent="0.25">
      <c r="A138" s="12" t="s">
        <v>126</v>
      </c>
      <c r="B138" s="16"/>
      <c r="C138" s="16"/>
      <c r="D138" s="7">
        <f t="shared" si="2"/>
        <v>0</v>
      </c>
    </row>
    <row r="139" spans="1:4" ht="18.75" hidden="1" x14ac:dyDescent="0.25">
      <c r="A139" s="12" t="s">
        <v>128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129</v>
      </c>
      <c r="B140" s="27"/>
      <c r="C140" s="27"/>
      <c r="D140" s="7">
        <f t="shared" si="2"/>
        <v>0</v>
      </c>
    </row>
    <row r="141" spans="1:4" ht="18.75" hidden="1" x14ac:dyDescent="0.25">
      <c r="A141" s="28" t="s">
        <v>130</v>
      </c>
      <c r="B141" s="7"/>
      <c r="C141" s="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132</v>
      </c>
      <c r="B143" s="7"/>
      <c r="C143" s="7"/>
      <c r="D143" s="7">
        <f t="shared" si="2"/>
        <v>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-60+80+4</f>
        <v>24</v>
      </c>
      <c r="C146" s="7">
        <v>18000</v>
      </c>
      <c r="D146" s="7">
        <f t="shared" si="2"/>
        <v>432000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x14ac:dyDescent="0.25">
      <c r="A166" s="9" t="s">
        <v>155</v>
      </c>
      <c r="B166" s="7">
        <f>5+45</f>
        <v>50</v>
      </c>
      <c r="C166" s="7">
        <v>9000</v>
      </c>
      <c r="D166" s="7">
        <f t="shared" si="2"/>
        <v>450000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hidden="1" x14ac:dyDescent="0.25">
      <c r="A178" s="12" t="s">
        <v>167</v>
      </c>
      <c r="B178" s="7"/>
      <c r="C178" s="7"/>
      <c r="D178" s="7">
        <f t="shared" si="2"/>
        <v>0</v>
      </c>
    </row>
    <row r="179" spans="1:4" ht="18.75" x14ac:dyDescent="0.25">
      <c r="A179" s="9" t="s">
        <v>168</v>
      </c>
      <c r="B179" s="7">
        <v>50</v>
      </c>
      <c r="C179" s="46">
        <v>6500</v>
      </c>
      <c r="D179" s="7">
        <f t="shared" si="2"/>
        <v>325000</v>
      </c>
    </row>
    <row r="180" spans="1:4" ht="18.75" hidden="1" x14ac:dyDescent="0.25">
      <c r="A180" s="30" t="s">
        <v>169</v>
      </c>
      <c r="B180" s="7"/>
      <c r="C180" s="7"/>
      <c r="D180" s="7">
        <f t="shared" si="2"/>
        <v>0</v>
      </c>
    </row>
    <row r="181" spans="1:4" ht="18.75" x14ac:dyDescent="0.25">
      <c r="A181" s="9" t="s">
        <v>170</v>
      </c>
      <c r="B181" s="7">
        <f>108*0.5</f>
        <v>54</v>
      </c>
      <c r="C181" s="7">
        <v>11000</v>
      </c>
      <c r="D181" s="7">
        <f t="shared" si="2"/>
        <v>594000</v>
      </c>
    </row>
    <row r="182" spans="1:4" ht="18.75" hidden="1" x14ac:dyDescent="0.25">
      <c r="A182" s="9" t="s">
        <v>171</v>
      </c>
      <c r="B182" s="7"/>
      <c r="C182" s="7"/>
      <c r="D182" s="7">
        <f t="shared" si="2"/>
        <v>0</v>
      </c>
    </row>
    <row r="183" spans="1:4" ht="18.75" hidden="1" x14ac:dyDescent="0.25">
      <c r="A183" s="20" t="s">
        <v>172</v>
      </c>
      <c r="B183" s="7"/>
      <c r="C183" s="7"/>
      <c r="D183" s="7">
        <f t="shared" si="2"/>
        <v>0</v>
      </c>
    </row>
    <row r="184" spans="1:4" ht="18.75" hidden="1" x14ac:dyDescent="0.25">
      <c r="A184" s="9" t="s">
        <v>173</v>
      </c>
      <c r="B184" s="7"/>
      <c r="C184" s="7"/>
      <c r="D184" s="7">
        <f t="shared" si="2"/>
        <v>0</v>
      </c>
    </row>
    <row r="185" spans="1:4" ht="18.75" hidden="1" x14ac:dyDescent="0.25">
      <c r="A185" s="31" t="s">
        <v>174</v>
      </c>
      <c r="B185" s="33"/>
      <c r="C185" s="33"/>
      <c r="D185" s="7">
        <f t="shared" si="2"/>
        <v>0</v>
      </c>
    </row>
    <row r="186" spans="1:4" ht="18.75" hidden="1" x14ac:dyDescent="0.25">
      <c r="A186" s="11" t="s">
        <v>175</v>
      </c>
      <c r="B186" s="7"/>
      <c r="C186" s="7"/>
      <c r="D186" s="7">
        <f t="shared" si="2"/>
        <v>0</v>
      </c>
    </row>
    <row r="187" spans="1:4" ht="18.75" hidden="1" x14ac:dyDescent="0.25">
      <c r="A187" s="9" t="s">
        <v>176</v>
      </c>
      <c r="B187" s="7"/>
      <c r="C187" s="7"/>
      <c r="D187" s="7">
        <f t="shared" si="2"/>
        <v>0</v>
      </c>
    </row>
    <row r="188" spans="1:4" ht="18.75" hidden="1" x14ac:dyDescent="0.25">
      <c r="A188" s="9" t="s">
        <v>177</v>
      </c>
      <c r="B188" s="7"/>
      <c r="C188" s="7"/>
      <c r="D188" s="7">
        <f t="shared" si="2"/>
        <v>0</v>
      </c>
    </row>
    <row r="189" spans="1:4" ht="18.75" hidden="1" x14ac:dyDescent="0.25">
      <c r="A189" s="12" t="s">
        <v>178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179</v>
      </c>
      <c r="B190" s="7"/>
      <c r="C190" s="7"/>
      <c r="D190" s="7">
        <f t="shared" si="2"/>
        <v>0</v>
      </c>
    </row>
    <row r="191" spans="1:4" ht="18.75" hidden="1" x14ac:dyDescent="0.25">
      <c r="A191" s="9" t="s">
        <v>180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181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182</v>
      </c>
      <c r="B193" s="7"/>
      <c r="C193" s="7"/>
      <c r="D193" s="7">
        <f t="shared" si="2"/>
        <v>0</v>
      </c>
    </row>
    <row r="194" spans="1:4" ht="18.75" x14ac:dyDescent="0.25">
      <c r="A194" s="12" t="s">
        <v>183</v>
      </c>
      <c r="B194" s="7">
        <v>110</v>
      </c>
      <c r="C194" s="7">
        <v>12000</v>
      </c>
      <c r="D194" s="7">
        <f t="shared" si="2"/>
        <v>1320000</v>
      </c>
    </row>
    <row r="195" spans="1:4" ht="18.75" x14ac:dyDescent="0.25">
      <c r="A195" s="9" t="s">
        <v>184</v>
      </c>
      <c r="B195" s="7">
        <f>567+133</f>
        <v>700</v>
      </c>
      <c r="C195" s="7">
        <v>2100</v>
      </c>
      <c r="D195" s="7">
        <f t="shared" si="2"/>
        <v>1470000</v>
      </c>
    </row>
    <row r="196" spans="1:4" ht="18.75" hidden="1" x14ac:dyDescent="0.25">
      <c r="A196" s="9" t="s">
        <v>185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186</v>
      </c>
      <c r="B197" s="7"/>
      <c r="C197" s="7"/>
      <c r="D197" s="7">
        <f t="shared" si="3"/>
        <v>0</v>
      </c>
    </row>
    <row r="198" spans="1:4" ht="18.75" x14ac:dyDescent="0.25">
      <c r="A198" s="12" t="s">
        <v>187</v>
      </c>
      <c r="B198" s="7">
        <v>5</v>
      </c>
      <c r="C198" s="7">
        <v>20000</v>
      </c>
      <c r="D198" s="7">
        <f t="shared" si="3"/>
        <v>100000</v>
      </c>
    </row>
    <row r="199" spans="1:4" ht="18.75" hidden="1" x14ac:dyDescent="0.25">
      <c r="A199" s="12" t="s">
        <v>188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189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190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191</v>
      </c>
      <c r="B202" s="7"/>
      <c r="C202" s="7"/>
      <c r="D202" s="7">
        <f t="shared" si="3"/>
        <v>0</v>
      </c>
    </row>
    <row r="203" spans="1:4" ht="18.75" hidden="1" x14ac:dyDescent="0.25">
      <c r="A203" s="17" t="s">
        <v>192</v>
      </c>
      <c r="B203" s="7"/>
      <c r="C203" s="7"/>
      <c r="D203" s="7">
        <f t="shared" si="3"/>
        <v>0</v>
      </c>
    </row>
    <row r="204" spans="1:4" ht="18.75" hidden="1" x14ac:dyDescent="0.25">
      <c r="A204" s="12" t="s">
        <v>193</v>
      </c>
      <c r="B204" s="7"/>
      <c r="C204" s="7"/>
      <c r="D204" s="7">
        <f t="shared" si="3"/>
        <v>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f>80+125+40+175</f>
        <v>420</v>
      </c>
      <c r="C212" s="7">
        <v>21000</v>
      </c>
      <c r="D212" s="7">
        <f t="shared" si="3"/>
        <v>8820000</v>
      </c>
    </row>
    <row r="213" spans="1:4" ht="18.75" x14ac:dyDescent="0.25">
      <c r="A213" s="12" t="s">
        <v>202</v>
      </c>
      <c r="B213" s="7">
        <f>150+70</f>
        <v>220</v>
      </c>
      <c r="C213" s="7">
        <v>21000</v>
      </c>
      <c r="D213" s="7">
        <f t="shared" si="3"/>
        <v>4620000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-400+280+200+50+80</f>
        <v>210</v>
      </c>
      <c r="C215" s="7">
        <v>19000</v>
      </c>
      <c r="D215" s="7">
        <f t="shared" si="3"/>
        <v>3990000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x14ac:dyDescent="0.25">
      <c r="A221" s="9" t="s">
        <v>210</v>
      </c>
      <c r="B221" s="7">
        <v>28</v>
      </c>
      <c r="C221" s="7">
        <v>12000</v>
      </c>
      <c r="D221" s="7">
        <f t="shared" si="3"/>
        <v>336000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-300+40+20+480+25</f>
        <v>265</v>
      </c>
      <c r="C226" s="7">
        <v>15000</v>
      </c>
      <c r="D226" s="7">
        <f t="shared" si="3"/>
        <v>3975000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hidden="1" x14ac:dyDescent="0.25">
      <c r="A228" s="9" t="s">
        <v>217</v>
      </c>
      <c r="B228" s="7"/>
      <c r="C228" s="7"/>
      <c r="D228" s="7">
        <f t="shared" si="3"/>
        <v>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hidden="1" x14ac:dyDescent="0.25">
      <c r="A231" s="17" t="s">
        <v>220</v>
      </c>
      <c r="B231" s="7"/>
      <c r="C231" s="7"/>
      <c r="D231" s="7">
        <f t="shared" si="3"/>
        <v>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x14ac:dyDescent="0.25">
      <c r="A258" s="9" t="s">
        <v>247</v>
      </c>
      <c r="B258" s="7">
        <v>3</v>
      </c>
      <c r="C258" s="7">
        <v>14000</v>
      </c>
      <c r="D258" s="7">
        <f t="shared" si="3"/>
        <v>42000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-20+20+20+40</f>
        <v>60</v>
      </c>
      <c r="C261" s="7">
        <v>26000</v>
      </c>
      <c r="D261" s="7">
        <f t="shared" si="4"/>
        <v>1560000</v>
      </c>
    </row>
    <row r="262" spans="1:4" ht="18.75" x14ac:dyDescent="0.25">
      <c r="A262" s="9" t="s">
        <v>251</v>
      </c>
      <c r="B262" s="7">
        <v>10</v>
      </c>
      <c r="C262" s="7">
        <v>20000</v>
      </c>
      <c r="D262" s="7">
        <f t="shared" si="4"/>
        <v>200000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-20+40+4+8+20</f>
        <v>52</v>
      </c>
      <c r="C268" s="7">
        <v>25000</v>
      </c>
      <c r="D268" s="7">
        <f t="shared" si="4"/>
        <v>1300000</v>
      </c>
    </row>
    <row r="269" spans="1:4" ht="18.75" x14ac:dyDescent="0.25">
      <c r="A269" s="9" t="s">
        <v>259</v>
      </c>
      <c r="B269" s="7">
        <v>8</v>
      </c>
      <c r="C269" s="7">
        <v>20000</v>
      </c>
      <c r="D269" s="7">
        <f t="shared" si="4"/>
        <v>160000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-20+70+25</f>
        <v>75</v>
      </c>
      <c r="C272" s="7">
        <v>18000</v>
      </c>
      <c r="D272" s="7">
        <f t="shared" si="4"/>
        <v>1350000</v>
      </c>
    </row>
    <row r="273" spans="1:4" ht="18.75" x14ac:dyDescent="0.25">
      <c r="A273" s="9" t="s">
        <v>263</v>
      </c>
      <c r="B273" s="7">
        <v>15</v>
      </c>
      <c r="C273" s="7">
        <v>13000</v>
      </c>
      <c r="D273" s="7">
        <f t="shared" si="4"/>
        <v>195000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x14ac:dyDescent="0.25">
      <c r="A278" s="11" t="s">
        <v>268</v>
      </c>
      <c r="B278" s="7">
        <v>60</v>
      </c>
      <c r="C278" s="7">
        <v>45000</v>
      </c>
      <c r="D278" s="7">
        <f t="shared" si="4"/>
        <v>2700000</v>
      </c>
    </row>
    <row r="279" spans="1:4" ht="18.75" hidden="1" x14ac:dyDescent="0.25">
      <c r="A279" s="9" t="s">
        <v>269</v>
      </c>
      <c r="B279" s="7"/>
      <c r="C279" s="7"/>
      <c r="D279" s="7">
        <f t="shared" si="4"/>
        <v>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3</v>
      </c>
      <c r="C283" s="7">
        <v>22000</v>
      </c>
      <c r="D283" s="7">
        <f t="shared" si="4"/>
        <v>66000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30</v>
      </c>
      <c r="C297" s="7">
        <v>12000</v>
      </c>
      <c r="D297" s="7">
        <f t="shared" si="4"/>
        <v>360000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hidden="1" x14ac:dyDescent="0.25">
      <c r="A300" s="9" t="s">
        <v>290</v>
      </c>
      <c r="B300" s="7"/>
      <c r="C300" s="7"/>
      <c r="D300" s="7">
        <f t="shared" si="4"/>
        <v>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v>40</v>
      </c>
      <c r="C303" s="7">
        <v>12000</v>
      </c>
      <c r="D303" s="7">
        <f t="shared" si="4"/>
        <v>480000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x14ac:dyDescent="0.25">
      <c r="A308" s="17" t="s">
        <v>404</v>
      </c>
      <c r="B308" s="7">
        <v>18</v>
      </c>
      <c r="C308" s="7">
        <v>43500</v>
      </c>
      <c r="D308" s="7">
        <f t="shared" si="4"/>
        <v>783000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hidden="1" x14ac:dyDescent="0.25">
      <c r="A321" s="13" t="s">
        <v>309</v>
      </c>
      <c r="B321" s="7"/>
      <c r="C321" s="7"/>
      <c r="D321" s="7">
        <f t="shared" si="4"/>
        <v>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3475</v>
      </c>
      <c r="C351" s="43"/>
      <c r="D351" s="7">
        <f>SUM(D12:D308)</f>
        <v>53164600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416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v>80</v>
      </c>
      <c r="C359" s="7">
        <v>7300</v>
      </c>
      <c r="D359" s="7">
        <f t="shared" si="5"/>
        <v>584000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x14ac:dyDescent="0.25">
      <c r="A366" s="9" t="s">
        <v>12</v>
      </c>
      <c r="B366" s="7">
        <v>7</v>
      </c>
      <c r="C366" s="7">
        <v>8000</v>
      </c>
      <c r="D366" s="7">
        <f t="shared" si="5"/>
        <v>56000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f>1640-20</f>
        <v>1620</v>
      </c>
      <c r="C373" s="7">
        <v>15500</v>
      </c>
      <c r="D373" s="7">
        <f t="shared" si="5"/>
        <v>25110000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x14ac:dyDescent="0.25">
      <c r="A378" s="9" t="s">
        <v>24</v>
      </c>
      <c r="B378" s="7">
        <v>30</v>
      </c>
      <c r="C378" s="7">
        <v>15000</v>
      </c>
      <c r="D378" s="7">
        <f t="shared" si="5"/>
        <v>450000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51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18000</v>
      </c>
      <c r="D400" s="7">
        <f t="shared" si="6"/>
        <v>5400000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100</v>
      </c>
      <c r="C425" s="7">
        <v>26000</v>
      </c>
      <c r="D425" s="7">
        <f t="shared" si="6"/>
        <v>2600000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90</v>
      </c>
      <c r="B438" s="7"/>
      <c r="C438" s="7"/>
      <c r="D438" s="7">
        <f t="shared" si="6"/>
        <v>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103</v>
      </c>
      <c r="B453" s="7"/>
      <c r="C453" s="7"/>
      <c r="D453" s="7">
        <f t="shared" si="7"/>
        <v>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hidden="1" x14ac:dyDescent="0.25">
      <c r="A457" s="23" t="s">
        <v>107</v>
      </c>
      <c r="B457" s="7"/>
      <c r="C457" s="7"/>
      <c r="D457" s="7">
        <f t="shared" si="7"/>
        <v>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hidden="1" x14ac:dyDescent="0.25">
      <c r="A460" s="9" t="s">
        <v>110</v>
      </c>
      <c r="B460" s="7"/>
      <c r="C460" s="7"/>
      <c r="D460" s="7">
        <f t="shared" si="7"/>
        <v>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x14ac:dyDescent="0.25">
      <c r="A465" s="9" t="s">
        <v>346</v>
      </c>
      <c r="B465" s="7">
        <v>3</v>
      </c>
      <c r="C465" s="7">
        <v>22000</v>
      </c>
      <c r="D465" s="7">
        <f t="shared" si="7"/>
        <v>66000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x14ac:dyDescent="0.25">
      <c r="A472" s="9" t="s">
        <v>122</v>
      </c>
      <c r="B472" s="7">
        <v>20</v>
      </c>
      <c r="C472" s="7">
        <v>14000</v>
      </c>
      <c r="D472" s="7">
        <f t="shared" si="7"/>
        <v>280000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18000</v>
      </c>
      <c r="D483" s="7">
        <f t="shared" si="7"/>
        <v>1080000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hidden="1" x14ac:dyDescent="0.25">
      <c r="A503" s="9" t="s">
        <v>154</v>
      </c>
      <c r="B503" s="7"/>
      <c r="C503" s="7"/>
      <c r="D503" s="7">
        <f t="shared" si="7"/>
        <v>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x14ac:dyDescent="0.25">
      <c r="A508" s="9" t="s">
        <v>159</v>
      </c>
      <c r="B508" s="7">
        <v>18</v>
      </c>
      <c r="C508" s="7">
        <v>8000</v>
      </c>
      <c r="D508" s="7">
        <f t="shared" si="7"/>
        <v>144000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x14ac:dyDescent="0.25">
      <c r="A515" s="9" t="s">
        <v>349</v>
      </c>
      <c r="B515" s="7">
        <v>70</v>
      </c>
      <c r="C515" s="7">
        <v>6500</v>
      </c>
      <c r="D515" s="7">
        <f t="shared" si="7"/>
        <v>455000</v>
      </c>
    </row>
    <row r="516" spans="1:4" ht="18.75" hidden="1" x14ac:dyDescent="0.25">
      <c r="A516" s="12" t="s">
        <v>167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x14ac:dyDescent="0.25">
      <c r="A531" s="12" t="s">
        <v>183</v>
      </c>
      <c r="B531" s="7">
        <v>500</v>
      </c>
      <c r="C531" s="7">
        <v>12000</v>
      </c>
      <c r="D531" s="7">
        <f t="shared" si="8"/>
        <v>6000000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400</v>
      </c>
      <c r="C553" s="7">
        <v>19000</v>
      </c>
      <c r="D553" s="7">
        <f t="shared" si="8"/>
        <v>7600000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x14ac:dyDescent="0.25">
      <c r="A564" s="9" t="s">
        <v>212</v>
      </c>
      <c r="B564" s="7">
        <v>3</v>
      </c>
      <c r="C564" s="7">
        <v>23000</v>
      </c>
      <c r="D564" s="7">
        <f t="shared" si="8"/>
        <v>69000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300</v>
      </c>
      <c r="C567" s="7">
        <v>15000</v>
      </c>
      <c r="D567" s="7">
        <f t="shared" si="8"/>
        <v>4500000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26000</v>
      </c>
      <c r="D596" s="7">
        <f t="shared" si="9"/>
        <v>520000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25000</v>
      </c>
      <c r="D604" s="7">
        <f t="shared" si="9"/>
        <v>500000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18000</v>
      </c>
      <c r="D608" s="7">
        <f t="shared" si="9"/>
        <v>360000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hidden="1" x14ac:dyDescent="0.25">
      <c r="A674" s="9" t="s">
        <v>329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3571</v>
      </c>
      <c r="C683" s="43"/>
      <c r="D683" s="43">
        <f t="shared" ref="D683" si="11">SUM(D356:D682)</f>
        <v>55774000</v>
      </c>
    </row>
    <row r="685" spans="1:4" x14ac:dyDescent="0.25">
      <c r="D685" s="53">
        <f>D683+D351</f>
        <v>108938600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0C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D685"/>
  <sheetViews>
    <sheetView topLeftCell="A20" workbookViewId="0">
      <selection activeCell="D685" sqref="D685"/>
    </sheetView>
  </sheetViews>
  <sheetFormatPr defaultRowHeight="15" x14ac:dyDescent="0.25"/>
  <cols>
    <col min="1" max="1" width="35.5703125" customWidth="1"/>
    <col min="3" max="3" width="16.42578125" customWidth="1"/>
    <col min="4" max="4" width="24" customWidth="1"/>
  </cols>
  <sheetData>
    <row r="1" spans="1:4" x14ac:dyDescent="0.25">
      <c r="A1" s="1" t="s">
        <v>417</v>
      </c>
      <c r="B1" s="2"/>
      <c r="C1" s="2"/>
      <c r="D1" s="2"/>
    </row>
    <row r="2" spans="1:4" ht="39.6" customHeight="1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x14ac:dyDescent="0.25">
      <c r="A7" s="5" t="s">
        <v>5</v>
      </c>
      <c r="B7" s="7">
        <v>480</v>
      </c>
      <c r="C7" s="7">
        <v>7300</v>
      </c>
      <c r="D7" s="7">
        <f t="shared" si="0"/>
        <v>3504000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hidden="1" x14ac:dyDescent="0.25">
      <c r="A17" s="12" t="s">
        <v>14</v>
      </c>
      <c r="B17" s="7"/>
      <c r="C17" s="7"/>
      <c r="D17" s="7">
        <f t="shared" si="0"/>
        <v>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x14ac:dyDescent="0.25">
      <c r="A20" s="13" t="s">
        <v>17</v>
      </c>
      <c r="B20" s="7">
        <v>20</v>
      </c>
      <c r="C20" s="7">
        <v>3500</v>
      </c>
      <c r="D20" s="7">
        <f t="shared" si="0"/>
        <v>70000</v>
      </c>
    </row>
    <row r="21" spans="1:4" ht="18.75" x14ac:dyDescent="0.25">
      <c r="A21" s="11" t="s">
        <v>18</v>
      </c>
      <c r="B21" s="7">
        <v>15</v>
      </c>
      <c r="C21" s="45">
        <v>10500</v>
      </c>
      <c r="D21" s="7">
        <f t="shared" si="0"/>
        <v>157500</v>
      </c>
    </row>
    <row r="22" spans="1:4" ht="18.75" x14ac:dyDescent="0.25">
      <c r="A22" s="9" t="s">
        <v>19</v>
      </c>
      <c r="B22" s="7">
        <v>1500</v>
      </c>
      <c r="C22" s="7">
        <v>15500</v>
      </c>
      <c r="D22" s="7">
        <f t="shared" si="0"/>
        <v>23250000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-30+20+120+70+20</f>
        <v>200</v>
      </c>
      <c r="C27" s="7">
        <v>15000</v>
      </c>
      <c r="D27" s="7">
        <f t="shared" si="0"/>
        <v>3000000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x14ac:dyDescent="0.25">
      <c r="A32" s="12" t="s">
        <v>29</v>
      </c>
      <c r="B32" s="7">
        <v>30</v>
      </c>
      <c r="C32" s="7">
        <v>15000</v>
      </c>
      <c r="D32" s="7">
        <f t="shared" si="0"/>
        <v>450000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x14ac:dyDescent="0.25">
      <c r="A41" s="9" t="s">
        <v>38</v>
      </c>
      <c r="B41" s="7">
        <v>9</v>
      </c>
      <c r="C41" s="7">
        <v>32000</v>
      </c>
      <c r="D41" s="7">
        <f t="shared" si="0"/>
        <v>288000</v>
      </c>
    </row>
    <row r="42" spans="1:4" ht="18.75" hidden="1" x14ac:dyDescent="0.25">
      <c r="A42" s="9" t="s">
        <v>39</v>
      </c>
      <c r="B42" s="7"/>
      <c r="C42" s="7"/>
      <c r="D42" s="7">
        <f t="shared" si="0"/>
        <v>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-300+240+500+50+120+110</f>
        <v>720</v>
      </c>
      <c r="C56" s="7">
        <v>19000</v>
      </c>
      <c r="D56" s="7">
        <f t="shared" si="0"/>
        <v>13680000</v>
      </c>
    </row>
    <row r="57" spans="1:4" ht="18.75" x14ac:dyDescent="0.25">
      <c r="A57" s="9" t="s">
        <v>54</v>
      </c>
      <c r="B57" s="7">
        <v>11</v>
      </c>
      <c r="C57" s="7">
        <v>30000</v>
      </c>
      <c r="D57" s="7">
        <f t="shared" si="0"/>
        <v>330000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f>24+83</f>
        <v>107</v>
      </c>
      <c r="C59" s="7">
        <v>7000</v>
      </c>
      <c r="D59" s="7">
        <f t="shared" si="0"/>
        <v>749000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hidden="1" x14ac:dyDescent="0.25">
      <c r="A66" s="9" t="s">
        <v>63</v>
      </c>
      <c r="B66" s="7"/>
      <c r="C66" s="7"/>
      <c r="D66" s="7">
        <f t="shared" si="0"/>
        <v>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x14ac:dyDescent="0.25">
      <c r="A72" s="12" t="s">
        <v>69</v>
      </c>
      <c r="B72" s="7">
        <f>191+12</f>
        <v>203</v>
      </c>
      <c r="C72" s="7">
        <v>6500</v>
      </c>
      <c r="D72" s="7">
        <f t="shared" si="1"/>
        <v>1319500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hidden="1" x14ac:dyDescent="0.25">
      <c r="A74" s="12" t="s">
        <v>71</v>
      </c>
      <c r="B74" s="7"/>
      <c r="C74" s="7"/>
      <c r="D74" s="7">
        <f t="shared" si="1"/>
        <v>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f>-100+180+60+20+80</f>
        <v>240</v>
      </c>
      <c r="C80" s="7">
        <v>26000</v>
      </c>
      <c r="D80" s="7">
        <f t="shared" si="1"/>
        <v>6240000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x14ac:dyDescent="0.25">
      <c r="A82" s="9" t="s">
        <v>79</v>
      </c>
      <c r="B82" s="7">
        <v>80</v>
      </c>
      <c r="C82" s="7">
        <v>27000</v>
      </c>
      <c r="D82" s="7">
        <f t="shared" si="1"/>
        <v>2160000</v>
      </c>
    </row>
    <row r="83" spans="1:4" ht="18.75" x14ac:dyDescent="0.25">
      <c r="A83" s="9" t="s">
        <v>80</v>
      </c>
      <c r="B83" s="7">
        <v>15</v>
      </c>
      <c r="C83" s="7">
        <v>24000</v>
      </c>
      <c r="D83" s="7">
        <f t="shared" si="1"/>
        <v>360000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v>180</v>
      </c>
      <c r="C90" s="7">
        <v>28000</v>
      </c>
      <c r="D90" s="7">
        <f t="shared" si="1"/>
        <v>5040000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x14ac:dyDescent="0.25">
      <c r="A107" s="9" t="s">
        <v>103</v>
      </c>
      <c r="B107" s="7">
        <v>500</v>
      </c>
      <c r="C107" s="7">
        <v>8000</v>
      </c>
      <c r="D107" s="7">
        <f t="shared" si="1"/>
        <v>4000000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x14ac:dyDescent="0.25">
      <c r="A135" s="9" t="s">
        <v>122</v>
      </c>
      <c r="B135" s="7">
        <v>50</v>
      </c>
      <c r="C135" s="7">
        <v>14000</v>
      </c>
      <c r="D135" s="7">
        <f t="shared" si="2"/>
        <v>700000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18.7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x14ac:dyDescent="0.25">
      <c r="A143" s="9" t="s">
        <v>132</v>
      </c>
      <c r="B143" s="7">
        <v>80</v>
      </c>
      <c r="C143" s="7">
        <v>9500</v>
      </c>
      <c r="D143" s="7">
        <f t="shared" si="2"/>
        <v>760000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-60+40+10+30+10+20+30+15</f>
        <v>95</v>
      </c>
      <c r="C146" s="7">
        <v>18000</v>
      </c>
      <c r="D146" s="7">
        <f t="shared" si="2"/>
        <v>1710000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x14ac:dyDescent="0.25">
      <c r="A157" s="9" t="s">
        <v>146</v>
      </c>
      <c r="B157" s="16">
        <v>1</v>
      </c>
      <c r="C157" s="16">
        <v>80000</v>
      </c>
      <c r="D157" s="7">
        <f t="shared" si="2"/>
        <v>80000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x14ac:dyDescent="0.25">
      <c r="A161" s="18" t="s">
        <v>150</v>
      </c>
      <c r="B161" s="16">
        <v>1</v>
      </c>
      <c r="C161" s="16">
        <v>70000</v>
      </c>
      <c r="D161" s="7">
        <f t="shared" si="2"/>
        <v>70000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x14ac:dyDescent="0.25">
      <c r="A173" s="9" t="s">
        <v>162</v>
      </c>
      <c r="B173" s="16">
        <v>1</v>
      </c>
      <c r="C173" s="16">
        <v>70000</v>
      </c>
      <c r="D173" s="7">
        <f t="shared" si="2"/>
        <v>70000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hidden="1" x14ac:dyDescent="0.25">
      <c r="A178" s="12" t="s">
        <v>167</v>
      </c>
      <c r="B178" s="7"/>
      <c r="C178" s="7"/>
      <c r="D178" s="7">
        <f t="shared" si="2"/>
        <v>0</v>
      </c>
    </row>
    <row r="179" spans="1:4" ht="18.75" x14ac:dyDescent="0.25">
      <c r="A179" s="9" t="s">
        <v>168</v>
      </c>
      <c r="B179" s="7">
        <f>300+110+50-70</f>
        <v>390</v>
      </c>
      <c r="C179" s="46">
        <v>6500</v>
      </c>
      <c r="D179" s="7">
        <f t="shared" si="2"/>
        <v>2535000</v>
      </c>
    </row>
    <row r="180" spans="1:4" ht="18.75" hidden="1" x14ac:dyDescent="0.25">
      <c r="A180" s="30" t="s">
        <v>169</v>
      </c>
      <c r="B180" s="7"/>
      <c r="C180" s="7"/>
      <c r="D180" s="7">
        <f t="shared" si="2"/>
        <v>0</v>
      </c>
    </row>
    <row r="181" spans="1:4" ht="18.75" x14ac:dyDescent="0.25">
      <c r="A181" s="9" t="s">
        <v>170</v>
      </c>
      <c r="B181" s="7">
        <v>35</v>
      </c>
      <c r="C181" s="7">
        <v>11000</v>
      </c>
      <c r="D181" s="7">
        <f t="shared" si="2"/>
        <v>385000</v>
      </c>
    </row>
    <row r="182" spans="1:4" ht="18.75" hidden="1" x14ac:dyDescent="0.25">
      <c r="A182" s="9" t="s">
        <v>171</v>
      </c>
      <c r="B182" s="7"/>
      <c r="C182" s="7"/>
      <c r="D182" s="7">
        <f t="shared" si="2"/>
        <v>0</v>
      </c>
    </row>
    <row r="183" spans="1:4" ht="18.75" hidden="1" x14ac:dyDescent="0.25">
      <c r="A183" s="20" t="s">
        <v>172</v>
      </c>
      <c r="B183" s="7"/>
      <c r="C183" s="7"/>
      <c r="D183" s="7">
        <f t="shared" si="2"/>
        <v>0</v>
      </c>
    </row>
    <row r="184" spans="1:4" ht="18.75" hidden="1" x14ac:dyDescent="0.25">
      <c r="A184" s="9" t="s">
        <v>173</v>
      </c>
      <c r="B184" s="7"/>
      <c r="C184" s="7"/>
      <c r="D184" s="7">
        <f t="shared" si="2"/>
        <v>0</v>
      </c>
    </row>
    <row r="185" spans="1:4" ht="18.75" hidden="1" x14ac:dyDescent="0.25">
      <c r="A185" s="31" t="s">
        <v>174</v>
      </c>
      <c r="B185" s="33"/>
      <c r="C185" s="33"/>
      <c r="D185" s="7">
        <f t="shared" si="2"/>
        <v>0</v>
      </c>
    </row>
    <row r="186" spans="1:4" ht="18.75" hidden="1" x14ac:dyDescent="0.25">
      <c r="A186" s="11" t="s">
        <v>175</v>
      </c>
      <c r="B186" s="7"/>
      <c r="C186" s="7"/>
      <c r="D186" s="7">
        <f t="shared" si="2"/>
        <v>0</v>
      </c>
    </row>
    <row r="187" spans="1:4" ht="18.75" hidden="1" x14ac:dyDescent="0.25">
      <c r="A187" s="9" t="s">
        <v>176</v>
      </c>
      <c r="B187" s="7"/>
      <c r="C187" s="7"/>
      <c r="D187" s="7">
        <f t="shared" si="2"/>
        <v>0</v>
      </c>
    </row>
    <row r="188" spans="1:4" ht="18.75" hidden="1" x14ac:dyDescent="0.25">
      <c r="A188" s="9" t="s">
        <v>177</v>
      </c>
      <c r="B188" s="7"/>
      <c r="C188" s="7"/>
      <c r="D188" s="7">
        <f t="shared" si="2"/>
        <v>0</v>
      </c>
    </row>
    <row r="189" spans="1:4" ht="18.75" hidden="1" x14ac:dyDescent="0.25">
      <c r="A189" s="12" t="s">
        <v>178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179</v>
      </c>
      <c r="B190" s="7"/>
      <c r="C190" s="7"/>
      <c r="D190" s="7">
        <f t="shared" si="2"/>
        <v>0</v>
      </c>
    </row>
    <row r="191" spans="1:4" ht="18.75" hidden="1" x14ac:dyDescent="0.25">
      <c r="A191" s="9" t="s">
        <v>180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181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182</v>
      </c>
      <c r="B193" s="7"/>
      <c r="C193" s="7"/>
      <c r="D193" s="7">
        <f t="shared" si="2"/>
        <v>0</v>
      </c>
    </row>
    <row r="194" spans="1:4" ht="18.75" hidden="1" x14ac:dyDescent="0.25">
      <c r="A194" s="12" t="s">
        <v>183</v>
      </c>
      <c r="B194" s="7"/>
      <c r="C194" s="7"/>
      <c r="D194" s="7">
        <f t="shared" si="2"/>
        <v>0</v>
      </c>
    </row>
    <row r="195" spans="1:4" ht="18.75" x14ac:dyDescent="0.25">
      <c r="A195" s="9" t="s">
        <v>184</v>
      </c>
      <c r="B195" s="7">
        <f>200/0.3</f>
        <v>666.66666666666674</v>
      </c>
      <c r="C195" s="7">
        <v>2100</v>
      </c>
      <c r="D195" s="7">
        <f t="shared" si="2"/>
        <v>1400000.0000000002</v>
      </c>
    </row>
    <row r="196" spans="1:4" ht="18.75" hidden="1" x14ac:dyDescent="0.25">
      <c r="A196" s="9" t="s">
        <v>185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186</v>
      </c>
      <c r="B197" s="7"/>
      <c r="C197" s="7"/>
      <c r="D197" s="7">
        <f t="shared" si="3"/>
        <v>0</v>
      </c>
    </row>
    <row r="198" spans="1:4" ht="18.75" hidden="1" x14ac:dyDescent="0.25">
      <c r="A198" s="12" t="s">
        <v>187</v>
      </c>
      <c r="B198" s="7"/>
      <c r="C198" s="7"/>
      <c r="D198" s="7">
        <f t="shared" si="3"/>
        <v>0</v>
      </c>
    </row>
    <row r="199" spans="1:4" ht="18.75" hidden="1" x14ac:dyDescent="0.25">
      <c r="A199" s="12" t="s">
        <v>188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189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190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191</v>
      </c>
      <c r="B202" s="7"/>
      <c r="C202" s="7"/>
      <c r="D202" s="7">
        <f t="shared" si="3"/>
        <v>0</v>
      </c>
    </row>
    <row r="203" spans="1:4" ht="18.75" hidden="1" x14ac:dyDescent="0.25">
      <c r="A203" s="17" t="s">
        <v>192</v>
      </c>
      <c r="B203" s="7"/>
      <c r="C203" s="7"/>
      <c r="D203" s="7">
        <f t="shared" si="3"/>
        <v>0</v>
      </c>
    </row>
    <row r="204" spans="1:4" ht="18.75" hidden="1" x14ac:dyDescent="0.25">
      <c r="A204" s="12" t="s">
        <v>193</v>
      </c>
      <c r="B204" s="7"/>
      <c r="C204" s="7"/>
      <c r="D204" s="7">
        <f t="shared" si="3"/>
        <v>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v>100</v>
      </c>
      <c r="C212" s="7">
        <v>21000</v>
      </c>
      <c r="D212" s="7">
        <f t="shared" si="3"/>
        <v>2100000</v>
      </c>
    </row>
    <row r="213" spans="1:4" ht="18.75" x14ac:dyDescent="0.25">
      <c r="A213" s="12" t="s">
        <v>202</v>
      </c>
      <c r="B213" s="7">
        <f>170+30+140+80</f>
        <v>420</v>
      </c>
      <c r="C213" s="7">
        <v>17500</v>
      </c>
      <c r="D213" s="7">
        <f t="shared" si="3"/>
        <v>7350000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-400+80+20+140+100+140+200+100</f>
        <v>380</v>
      </c>
      <c r="C215" s="7">
        <v>19000</v>
      </c>
      <c r="D215" s="7">
        <f t="shared" si="3"/>
        <v>7220000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hidden="1" x14ac:dyDescent="0.25">
      <c r="A221" s="9" t="s">
        <v>210</v>
      </c>
      <c r="B221" s="7"/>
      <c r="C221" s="7"/>
      <c r="D221" s="7">
        <f t="shared" si="3"/>
        <v>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-300+420</f>
        <v>120</v>
      </c>
      <c r="C226" s="7">
        <v>15000</v>
      </c>
      <c r="D226" s="7">
        <f t="shared" si="3"/>
        <v>1800000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hidden="1" x14ac:dyDescent="0.25">
      <c r="A228" s="9" t="s">
        <v>217</v>
      </c>
      <c r="B228" s="7"/>
      <c r="C228" s="7"/>
      <c r="D228" s="7">
        <f t="shared" si="3"/>
        <v>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hidden="1" x14ac:dyDescent="0.25">
      <c r="A231" s="17" t="s">
        <v>220</v>
      </c>
      <c r="B231" s="7"/>
      <c r="C231" s="7"/>
      <c r="D231" s="7">
        <f t="shared" si="3"/>
        <v>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hidden="1" x14ac:dyDescent="0.25">
      <c r="A258" s="9" t="s">
        <v>247</v>
      </c>
      <c r="B258" s="7"/>
      <c r="C258" s="7"/>
      <c r="D258" s="7">
        <f t="shared" si="3"/>
        <v>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-20+5+20+20+30</f>
        <v>55</v>
      </c>
      <c r="C261" s="7">
        <v>26000</v>
      </c>
      <c r="D261" s="7">
        <f t="shared" si="4"/>
        <v>1430000</v>
      </c>
    </row>
    <row r="262" spans="1:4" ht="18.75" x14ac:dyDescent="0.25">
      <c r="A262" s="9" t="s">
        <v>251</v>
      </c>
      <c r="B262" s="7">
        <v>20</v>
      </c>
      <c r="C262" s="7">
        <v>20000</v>
      </c>
      <c r="D262" s="7">
        <f t="shared" si="4"/>
        <v>400000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-20+20+10+35+20</f>
        <v>65</v>
      </c>
      <c r="C268" s="7">
        <v>25000</v>
      </c>
      <c r="D268" s="7">
        <f t="shared" si="4"/>
        <v>1625000</v>
      </c>
    </row>
    <row r="269" spans="1:4" ht="18.75" x14ac:dyDescent="0.25">
      <c r="A269" s="9" t="s">
        <v>259</v>
      </c>
      <c r="B269" s="7">
        <v>20</v>
      </c>
      <c r="C269" s="7">
        <v>20000</v>
      </c>
      <c r="D269" s="7">
        <f t="shared" si="4"/>
        <v>400000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-20+35+40</f>
        <v>55</v>
      </c>
      <c r="C272" s="7">
        <v>18000</v>
      </c>
      <c r="D272" s="7">
        <f t="shared" si="4"/>
        <v>990000</v>
      </c>
    </row>
    <row r="273" spans="1:4" ht="18.75" x14ac:dyDescent="0.25">
      <c r="A273" s="9" t="s">
        <v>263</v>
      </c>
      <c r="B273" s="7">
        <v>18</v>
      </c>
      <c r="C273" s="7">
        <v>13000</v>
      </c>
      <c r="D273" s="7">
        <f t="shared" si="4"/>
        <v>234000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x14ac:dyDescent="0.25">
      <c r="A279" s="9" t="s">
        <v>269</v>
      </c>
      <c r="B279" s="7">
        <v>45</v>
      </c>
      <c r="C279" s="7">
        <v>14000</v>
      </c>
      <c r="D279" s="7">
        <f t="shared" si="4"/>
        <v>630000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16</v>
      </c>
      <c r="C283" s="7">
        <v>22000</v>
      </c>
      <c r="D283" s="7">
        <f t="shared" si="4"/>
        <v>352000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f>30+10+12</f>
        <v>52</v>
      </c>
      <c r="C297" s="7">
        <v>12000</v>
      </c>
      <c r="D297" s="7">
        <f t="shared" si="4"/>
        <v>624000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f>40+40+10</f>
        <v>90</v>
      </c>
      <c r="C300" s="7">
        <v>9000</v>
      </c>
      <c r="D300" s="7">
        <f t="shared" si="4"/>
        <v>810000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v>40</v>
      </c>
      <c r="C303" s="7">
        <v>12000</v>
      </c>
      <c r="D303" s="7">
        <f t="shared" si="4"/>
        <v>480000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x14ac:dyDescent="0.25">
      <c r="A321" s="13" t="s">
        <v>309</v>
      </c>
      <c r="B321" s="7">
        <v>15</v>
      </c>
      <c r="C321" s="7">
        <v>20000</v>
      </c>
      <c r="D321" s="7">
        <f t="shared" si="4"/>
        <v>300000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7140.666666666667</v>
      </c>
      <c r="C351" s="43"/>
      <c r="D351" s="7">
        <f>SUM(D7:D321)</f>
        <v>99053000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418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f>400+250</f>
        <v>650</v>
      </c>
      <c r="C359" s="7">
        <v>7300</v>
      </c>
      <c r="D359" s="7">
        <f t="shared" si="5"/>
        <v>4745000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x14ac:dyDescent="0.25">
      <c r="A366" s="9" t="s">
        <v>12</v>
      </c>
      <c r="B366" s="7">
        <f>5+10+45</f>
        <v>60</v>
      </c>
      <c r="C366" s="7">
        <v>8000</v>
      </c>
      <c r="D366" s="7">
        <f t="shared" si="5"/>
        <v>480000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f>640+150+1000+1200-1500</f>
        <v>1490</v>
      </c>
      <c r="C373" s="7">
        <v>15500</v>
      </c>
      <c r="D373" s="7">
        <f t="shared" si="5"/>
        <v>23095000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x14ac:dyDescent="0.25">
      <c r="A378" s="9" t="s">
        <v>24</v>
      </c>
      <c r="B378" s="7">
        <v>30</v>
      </c>
      <c r="C378" s="7">
        <v>16000</v>
      </c>
      <c r="D378" s="7">
        <f t="shared" si="5"/>
        <v>480000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51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19000</v>
      </c>
      <c r="D400" s="7">
        <f t="shared" si="6"/>
        <v>5700000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100</v>
      </c>
      <c r="C425" s="7">
        <v>26000</v>
      </c>
      <c r="D425" s="7">
        <f t="shared" si="6"/>
        <v>2600000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x14ac:dyDescent="0.25">
      <c r="A438" s="9" t="s">
        <v>90</v>
      </c>
      <c r="B438" s="7">
        <v>60</v>
      </c>
      <c r="C438" s="7">
        <v>10000</v>
      </c>
      <c r="D438" s="7">
        <f t="shared" si="6"/>
        <v>600000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x14ac:dyDescent="0.25">
      <c r="A453" s="9" t="s">
        <v>103</v>
      </c>
      <c r="B453" s="7">
        <v>500</v>
      </c>
      <c r="C453" s="7">
        <v>8000</v>
      </c>
      <c r="D453" s="7">
        <f t="shared" si="7"/>
        <v>4000000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hidden="1" x14ac:dyDescent="0.25">
      <c r="A457" s="23" t="s">
        <v>107</v>
      </c>
      <c r="B457" s="7"/>
      <c r="C457" s="7"/>
      <c r="D457" s="7">
        <f t="shared" si="7"/>
        <v>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x14ac:dyDescent="0.25">
      <c r="A460" s="9" t="s">
        <v>110</v>
      </c>
      <c r="B460" s="7">
        <v>30</v>
      </c>
      <c r="C460" s="7">
        <v>22000</v>
      </c>
      <c r="D460" s="7">
        <f t="shared" si="7"/>
        <v>660000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346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x14ac:dyDescent="0.25">
      <c r="A472" s="9" t="s">
        <v>122</v>
      </c>
      <c r="B472" s="7">
        <v>170</v>
      </c>
      <c r="C472" s="7">
        <v>14000</v>
      </c>
      <c r="D472" s="7">
        <f t="shared" si="7"/>
        <v>2380000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18000</v>
      </c>
      <c r="D483" s="7">
        <f t="shared" si="7"/>
        <v>1080000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x14ac:dyDescent="0.25">
      <c r="A503" s="9" t="s">
        <v>154</v>
      </c>
      <c r="B503" s="7">
        <f>23+16</f>
        <v>39</v>
      </c>
      <c r="C503" s="7">
        <v>9000</v>
      </c>
      <c r="D503" s="7">
        <f t="shared" si="7"/>
        <v>351000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159</v>
      </c>
      <c r="B508" s="7"/>
      <c r="C508" s="7"/>
      <c r="D508" s="7">
        <f t="shared" si="7"/>
        <v>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x14ac:dyDescent="0.25">
      <c r="A515" s="9" t="s">
        <v>349</v>
      </c>
      <c r="B515" s="7">
        <v>200</v>
      </c>
      <c r="C515" s="7">
        <v>6500</v>
      </c>
      <c r="D515" s="7">
        <f t="shared" si="7"/>
        <v>1300000</v>
      </c>
    </row>
    <row r="516" spans="1:4" ht="18.75" hidden="1" x14ac:dyDescent="0.25">
      <c r="A516" s="12" t="s">
        <v>167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x14ac:dyDescent="0.25">
      <c r="A531" s="12" t="s">
        <v>183</v>
      </c>
      <c r="B531" s="7">
        <v>210</v>
      </c>
      <c r="C531" s="7">
        <v>12000</v>
      </c>
      <c r="D531" s="7">
        <f t="shared" si="8"/>
        <v>2520000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400</v>
      </c>
      <c r="C553" s="7">
        <v>19000</v>
      </c>
      <c r="D553" s="7">
        <f t="shared" si="8"/>
        <v>7600000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212</v>
      </c>
      <c r="B564" s="7"/>
      <c r="C564" s="7"/>
      <c r="D564" s="7">
        <f t="shared" si="8"/>
        <v>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300</v>
      </c>
      <c r="C567" s="7">
        <v>15000</v>
      </c>
      <c r="D567" s="7">
        <f t="shared" si="8"/>
        <v>4500000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26000</v>
      </c>
      <c r="D596" s="7">
        <f t="shared" si="9"/>
        <v>520000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27000</v>
      </c>
      <c r="D604" s="7">
        <f t="shared" si="9"/>
        <v>540000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18000</v>
      </c>
      <c r="D608" s="7">
        <f t="shared" si="9"/>
        <v>360000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hidden="1" x14ac:dyDescent="0.25">
      <c r="A674" s="9" t="s">
        <v>329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4659</v>
      </c>
      <c r="C683" s="43"/>
      <c r="D683" s="43">
        <f t="shared" ref="D683" si="11">SUM(D356:D682)</f>
        <v>63511000</v>
      </c>
    </row>
    <row r="685" spans="1:4" x14ac:dyDescent="0.25">
      <c r="D685" s="53">
        <f>D683+D351</f>
        <v>162564000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0D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685"/>
  <sheetViews>
    <sheetView workbookViewId="0">
      <selection activeCell="A107" sqref="A107:D107"/>
    </sheetView>
  </sheetViews>
  <sheetFormatPr defaultRowHeight="15" x14ac:dyDescent="0.25"/>
  <cols>
    <col min="1" max="1" width="39.7109375" customWidth="1"/>
    <col min="3" max="3" width="15.85546875" customWidth="1"/>
    <col min="4" max="4" width="19.5703125" customWidth="1"/>
  </cols>
  <sheetData>
    <row r="1" spans="1:4" x14ac:dyDescent="0.25">
      <c r="A1" s="1" t="s">
        <v>413</v>
      </c>
      <c r="B1" s="2"/>
      <c r="C1" s="2"/>
      <c r="D1" s="2"/>
    </row>
    <row r="2" spans="1:4" ht="39.6" customHeight="1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hidden="1" x14ac:dyDescent="0.25">
      <c r="A7" s="5" t="s">
        <v>5</v>
      </c>
      <c r="B7" s="7"/>
      <c r="C7" s="7"/>
      <c r="D7" s="7">
        <f t="shared" si="0"/>
        <v>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x14ac:dyDescent="0.25">
      <c r="A12" s="17" t="s">
        <v>379</v>
      </c>
      <c r="B12" s="7">
        <v>90</v>
      </c>
      <c r="C12" s="7">
        <v>5600</v>
      </c>
      <c r="D12" s="7">
        <f t="shared" si="0"/>
        <v>504000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hidden="1" x14ac:dyDescent="0.25">
      <c r="A17" s="12" t="s">
        <v>14</v>
      </c>
      <c r="B17" s="7"/>
      <c r="C17" s="7"/>
      <c r="D17" s="7">
        <f t="shared" si="0"/>
        <v>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f>8+10+13</f>
        <v>31</v>
      </c>
      <c r="C21" s="45">
        <v>10500</v>
      </c>
      <c r="D21" s="7">
        <f t="shared" si="0"/>
        <v>325500</v>
      </c>
    </row>
    <row r="22" spans="1:4" ht="18.75" x14ac:dyDescent="0.25">
      <c r="A22" s="9" t="s">
        <v>19</v>
      </c>
      <c r="B22" s="7">
        <v>20</v>
      </c>
      <c r="C22" s="7">
        <v>15500</v>
      </c>
      <c r="D22" s="7">
        <f t="shared" si="0"/>
        <v>310000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-30+5+10+40+15+45</f>
        <v>85</v>
      </c>
      <c r="C27" s="7">
        <v>16000</v>
      </c>
      <c r="D27" s="7">
        <f t="shared" si="0"/>
        <v>1360000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x14ac:dyDescent="0.25">
      <c r="A30" s="9" t="s">
        <v>27</v>
      </c>
      <c r="B30" s="7">
        <v>30</v>
      </c>
      <c r="C30" s="7">
        <v>26000</v>
      </c>
      <c r="D30" s="7">
        <f t="shared" si="0"/>
        <v>780000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x14ac:dyDescent="0.25">
      <c r="A32" s="12" t="s">
        <v>29</v>
      </c>
      <c r="B32" s="7">
        <v>36</v>
      </c>
      <c r="C32" s="7">
        <v>15000</v>
      </c>
      <c r="D32" s="7">
        <f t="shared" si="0"/>
        <v>540000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hidden="1" x14ac:dyDescent="0.25">
      <c r="A41" s="9" t="s">
        <v>38</v>
      </c>
      <c r="B41" s="7"/>
      <c r="C41" s="7"/>
      <c r="D41" s="7">
        <f t="shared" si="0"/>
        <v>0</v>
      </c>
    </row>
    <row r="42" spans="1:4" ht="18.75" hidden="1" x14ac:dyDescent="0.25">
      <c r="A42" s="9" t="s">
        <v>39</v>
      </c>
      <c r="B42" s="7"/>
      <c r="C42" s="7"/>
      <c r="D42" s="7">
        <f t="shared" si="0"/>
        <v>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x14ac:dyDescent="0.25">
      <c r="A49" s="9" t="s">
        <v>46</v>
      </c>
      <c r="B49" s="7">
        <v>8</v>
      </c>
      <c r="C49" s="7">
        <v>27000</v>
      </c>
      <c r="D49" s="7">
        <f t="shared" si="0"/>
        <v>216000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-300+20+80+40+140+40+100+50+150</f>
        <v>320</v>
      </c>
      <c r="C56" s="7">
        <v>21000</v>
      </c>
      <c r="D56" s="7">
        <f t="shared" si="0"/>
        <v>6720000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f>29+60</f>
        <v>89</v>
      </c>
      <c r="C59" s="7">
        <v>9000</v>
      </c>
      <c r="D59" s="7">
        <f t="shared" si="0"/>
        <v>801000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f>70+100</f>
        <v>170</v>
      </c>
      <c r="C66" s="7">
        <v>18000</v>
      </c>
      <c r="D66" s="7">
        <f t="shared" si="0"/>
        <v>3060000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x14ac:dyDescent="0.25">
      <c r="A72" s="12" t="s">
        <v>69</v>
      </c>
      <c r="B72" s="7">
        <v>115</v>
      </c>
      <c r="C72" s="7">
        <v>6500</v>
      </c>
      <c r="D72" s="7">
        <f t="shared" si="1"/>
        <v>747500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hidden="1" x14ac:dyDescent="0.25">
      <c r="A74" s="12" t="s">
        <v>71</v>
      </c>
      <c r="B74" s="7"/>
      <c r="C74" s="7"/>
      <c r="D74" s="7">
        <f t="shared" si="1"/>
        <v>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f>-100+50+30+70+20</f>
        <v>70</v>
      </c>
      <c r="C80" s="7">
        <v>26000</v>
      </c>
      <c r="D80" s="7">
        <f t="shared" si="1"/>
        <v>1820000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hidden="1" x14ac:dyDescent="0.25">
      <c r="A82" s="9" t="s">
        <v>79</v>
      </c>
      <c r="B82" s="7"/>
      <c r="C82" s="7"/>
      <c r="D82" s="7">
        <f t="shared" si="1"/>
        <v>0</v>
      </c>
    </row>
    <row r="83" spans="1:4" ht="18.75" x14ac:dyDescent="0.25">
      <c r="A83" s="9" t="s">
        <v>80</v>
      </c>
      <c r="B83" s="7">
        <v>22</v>
      </c>
      <c r="C83" s="7">
        <v>24000</v>
      </c>
      <c r="D83" s="7">
        <f t="shared" si="1"/>
        <v>528000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hidden="1" x14ac:dyDescent="0.25">
      <c r="A90" s="9" t="s">
        <v>86</v>
      </c>
      <c r="B90" s="7"/>
      <c r="C90" s="7"/>
      <c r="D90" s="7">
        <f t="shared" si="1"/>
        <v>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x14ac:dyDescent="0.25">
      <c r="A94" s="9" t="s">
        <v>90</v>
      </c>
      <c r="B94" s="7">
        <v>90</v>
      </c>
      <c r="C94" s="7">
        <v>10000</v>
      </c>
      <c r="D94" s="7">
        <f t="shared" si="1"/>
        <v>900000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x14ac:dyDescent="0.25">
      <c r="A107" s="55" t="s">
        <v>103</v>
      </c>
      <c r="B107" s="56">
        <v>500</v>
      </c>
      <c r="C107" s="56">
        <v>8000</v>
      </c>
      <c r="D107" s="56">
        <f t="shared" si="1"/>
        <v>4000000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x14ac:dyDescent="0.25">
      <c r="A114" s="9" t="s">
        <v>381</v>
      </c>
      <c r="B114" s="7">
        <v>100</v>
      </c>
      <c r="C114" s="7">
        <v>8000</v>
      </c>
      <c r="D114" s="7">
        <f t="shared" si="1"/>
        <v>800000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x14ac:dyDescent="0.25">
      <c r="A116" s="9" t="s">
        <v>110</v>
      </c>
      <c r="B116" s="7">
        <v>25</v>
      </c>
      <c r="C116" s="7">
        <v>21000</v>
      </c>
      <c r="D116" s="7">
        <f t="shared" si="1"/>
        <v>525000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x14ac:dyDescent="0.25">
      <c r="A135" s="9" t="s">
        <v>122</v>
      </c>
      <c r="B135" s="7">
        <f>-20+10+30+40+5+10</f>
        <v>75</v>
      </c>
      <c r="C135" s="7">
        <v>14000</v>
      </c>
      <c r="D135" s="7">
        <f t="shared" si="2"/>
        <v>1050000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18.7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x14ac:dyDescent="0.25">
      <c r="A142" s="12" t="s">
        <v>131</v>
      </c>
      <c r="B142" s="16">
        <v>1</v>
      </c>
      <c r="C142" s="16">
        <v>16000</v>
      </c>
      <c r="D142" s="7">
        <f t="shared" si="2"/>
        <v>16000</v>
      </c>
    </row>
    <row r="143" spans="1:4" ht="18.75" x14ac:dyDescent="0.25">
      <c r="A143" s="9" t="s">
        <v>132</v>
      </c>
      <c r="B143" s="7">
        <v>30</v>
      </c>
      <c r="C143" s="7">
        <v>9500</v>
      </c>
      <c r="D143" s="7">
        <f t="shared" si="2"/>
        <v>285000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-60+15+50+10+20</f>
        <v>35</v>
      </c>
      <c r="C146" s="7">
        <v>18000</v>
      </c>
      <c r="D146" s="7">
        <f t="shared" si="2"/>
        <v>630000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x14ac:dyDescent="0.25">
      <c r="A166" s="9" t="s">
        <v>155</v>
      </c>
      <c r="B166" s="7">
        <v>8</v>
      </c>
      <c r="C166" s="7">
        <v>10000</v>
      </c>
      <c r="D166" s="7">
        <f t="shared" si="2"/>
        <v>80000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x14ac:dyDescent="0.25">
      <c r="A178" s="9" t="s">
        <v>168</v>
      </c>
      <c r="B178" s="7">
        <f>310+500+130+60+10-80-20</f>
        <v>910</v>
      </c>
      <c r="C178" s="46">
        <v>6500</v>
      </c>
      <c r="D178" s="7">
        <f t="shared" si="2"/>
        <v>5915000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x14ac:dyDescent="0.25">
      <c r="A180" s="9" t="s">
        <v>170</v>
      </c>
      <c r="B180" s="7">
        <v>40</v>
      </c>
      <c r="C180" s="7">
        <v>11000</v>
      </c>
      <c r="D180" s="7">
        <f t="shared" si="2"/>
        <v>440000</v>
      </c>
    </row>
    <row r="181" spans="1:4" ht="18.75" x14ac:dyDescent="0.25">
      <c r="A181" s="9" t="s">
        <v>171</v>
      </c>
      <c r="B181" s="7">
        <v>8</v>
      </c>
      <c r="C181" s="7">
        <v>11000</v>
      </c>
      <c r="D181" s="7">
        <f t="shared" si="2"/>
        <v>88000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hidden="1" x14ac:dyDescent="0.25">
      <c r="A184" s="31" t="s">
        <v>174</v>
      </c>
      <c r="B184" s="33"/>
      <c r="C184" s="33"/>
      <c r="D184" s="7">
        <f t="shared" si="2"/>
        <v>0</v>
      </c>
    </row>
    <row r="185" spans="1:4" ht="18.75" hidden="1" x14ac:dyDescent="0.25">
      <c r="A185" s="11" t="s">
        <v>175</v>
      </c>
      <c r="B185" s="7"/>
      <c r="C185" s="7"/>
      <c r="D185" s="7">
        <f t="shared" si="2"/>
        <v>0</v>
      </c>
    </row>
    <row r="186" spans="1:4" ht="18.75" hidden="1" x14ac:dyDescent="0.25">
      <c r="A186" s="9" t="s">
        <v>176</v>
      </c>
      <c r="B186" s="7"/>
      <c r="C186" s="7"/>
      <c r="D186" s="7">
        <f t="shared" si="2"/>
        <v>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x14ac:dyDescent="0.25">
      <c r="A193" s="12" t="s">
        <v>183</v>
      </c>
      <c r="B193" s="7">
        <v>110</v>
      </c>
      <c r="C193" s="7">
        <v>12000</v>
      </c>
      <c r="D193" s="7">
        <f t="shared" si="2"/>
        <v>1320000</v>
      </c>
    </row>
    <row r="194" spans="1:4" ht="18.75" x14ac:dyDescent="0.25">
      <c r="A194" s="9" t="s">
        <v>184</v>
      </c>
      <c r="B194" s="7">
        <f>300/0.3</f>
        <v>1000</v>
      </c>
      <c r="C194" s="7">
        <v>210</v>
      </c>
      <c r="D194" s="7">
        <f t="shared" si="2"/>
        <v>210000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187</v>
      </c>
      <c r="B197" s="7"/>
      <c r="C197" s="7"/>
      <c r="D197" s="7">
        <f t="shared" si="3"/>
        <v>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hidden="1" x14ac:dyDescent="0.25">
      <c r="A199" s="17" t="s">
        <v>189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hidden="1" x14ac:dyDescent="0.25">
      <c r="A204" s="12" t="s">
        <v>414</v>
      </c>
      <c r="B204" s="7"/>
      <c r="C204" s="7"/>
      <c r="D204" s="7">
        <f t="shared" si="3"/>
        <v>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f>110+320</f>
        <v>430</v>
      </c>
      <c r="C212" s="7">
        <v>17500</v>
      </c>
      <c r="D212" s="7">
        <f t="shared" si="3"/>
        <v>7525000</v>
      </c>
    </row>
    <row r="213" spans="1:4" ht="18.75" x14ac:dyDescent="0.25">
      <c r="A213" s="12" t="s">
        <v>202</v>
      </c>
      <c r="B213" s="7">
        <f>120+100</f>
        <v>220</v>
      </c>
      <c r="C213" s="7">
        <v>17500</v>
      </c>
      <c r="D213" s="7">
        <f t="shared" si="3"/>
        <v>3850000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-400+40+400+30+30</f>
        <v>100</v>
      </c>
      <c r="C215" s="7">
        <v>19000</v>
      </c>
      <c r="D215" s="7">
        <f t="shared" si="3"/>
        <v>1900000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x14ac:dyDescent="0.25">
      <c r="A221" s="9" t="s">
        <v>210</v>
      </c>
      <c r="B221" s="7">
        <v>5</v>
      </c>
      <c r="C221" s="7">
        <v>12000</v>
      </c>
      <c r="D221" s="7">
        <f t="shared" si="3"/>
        <v>60000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-300+250+200+30</f>
        <v>180</v>
      </c>
      <c r="C226" s="7">
        <v>16000</v>
      </c>
      <c r="D226" s="7">
        <f t="shared" si="3"/>
        <v>2880000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hidden="1" x14ac:dyDescent="0.25">
      <c r="A228" s="9" t="s">
        <v>217</v>
      </c>
      <c r="B228" s="7"/>
      <c r="C228" s="7"/>
      <c r="D228" s="7">
        <f t="shared" si="3"/>
        <v>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hidden="1" x14ac:dyDescent="0.25">
      <c r="A231" s="17" t="s">
        <v>220</v>
      </c>
      <c r="B231" s="7"/>
      <c r="C231" s="7"/>
      <c r="D231" s="7">
        <f t="shared" si="3"/>
        <v>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x14ac:dyDescent="0.25">
      <c r="A258" s="9" t="s">
        <v>247</v>
      </c>
      <c r="B258" s="7">
        <v>5</v>
      </c>
      <c r="C258" s="7">
        <v>14000</v>
      </c>
      <c r="D258" s="7">
        <f t="shared" si="3"/>
        <v>70000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-20+100+20</f>
        <v>100</v>
      </c>
      <c r="C261" s="7">
        <v>26000</v>
      </c>
      <c r="D261" s="7">
        <f t="shared" si="4"/>
        <v>2600000</v>
      </c>
    </row>
    <row r="262" spans="1:4" ht="18.75" x14ac:dyDescent="0.25">
      <c r="A262" s="9" t="s">
        <v>251</v>
      </c>
      <c r="B262" s="7">
        <v>10</v>
      </c>
      <c r="C262" s="7">
        <v>20000</v>
      </c>
      <c r="D262" s="7">
        <f t="shared" si="4"/>
        <v>200000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-20+20+40+20+10</f>
        <v>70</v>
      </c>
      <c r="C268" s="7">
        <v>25000</v>
      </c>
      <c r="D268" s="7">
        <f t="shared" si="4"/>
        <v>1750000</v>
      </c>
    </row>
    <row r="269" spans="1:4" ht="18.75" x14ac:dyDescent="0.25">
      <c r="A269" s="9" t="s">
        <v>259</v>
      </c>
      <c r="B269" s="7">
        <v>18</v>
      </c>
      <c r="C269" s="7">
        <v>20000</v>
      </c>
      <c r="D269" s="7">
        <f t="shared" si="4"/>
        <v>360000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-20+38+30-30</f>
        <v>18</v>
      </c>
      <c r="C272" s="7">
        <v>18000</v>
      </c>
      <c r="D272" s="7">
        <f t="shared" si="4"/>
        <v>324000</v>
      </c>
    </row>
    <row r="273" spans="1:4" ht="18.75" x14ac:dyDescent="0.25">
      <c r="A273" s="9" t="s">
        <v>263</v>
      </c>
      <c r="B273" s="7">
        <v>10</v>
      </c>
      <c r="C273" s="7">
        <v>13000</v>
      </c>
      <c r="D273" s="7">
        <f t="shared" si="4"/>
        <v>130000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x14ac:dyDescent="0.25">
      <c r="A279" s="9" t="s">
        <v>269</v>
      </c>
      <c r="B279" s="7">
        <v>9</v>
      </c>
      <c r="C279" s="7">
        <v>14000</v>
      </c>
      <c r="D279" s="7">
        <f t="shared" si="4"/>
        <v>126000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13</v>
      </c>
      <c r="C283" s="7">
        <v>24000</v>
      </c>
      <c r="D283" s="7">
        <f t="shared" si="4"/>
        <v>312000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10</v>
      </c>
      <c r="C297" s="7">
        <v>12000</v>
      </c>
      <c r="D297" s="7">
        <f t="shared" si="4"/>
        <v>120000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f>100+15+50+15</f>
        <v>180</v>
      </c>
      <c r="C300" s="7">
        <v>9000</v>
      </c>
      <c r="D300" s="7">
        <f t="shared" si="4"/>
        <v>1620000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f>15+50</f>
        <v>65</v>
      </c>
      <c r="C303" s="7">
        <v>12000</v>
      </c>
      <c r="D303" s="7">
        <f t="shared" si="4"/>
        <v>780000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x14ac:dyDescent="0.25">
      <c r="A321" s="13" t="s">
        <v>309</v>
      </c>
      <c r="B321" s="7">
        <v>12</v>
      </c>
      <c r="C321" s="7">
        <v>20000</v>
      </c>
      <c r="D321" s="7">
        <f t="shared" si="4"/>
        <v>240000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5473</v>
      </c>
      <c r="C351" s="43"/>
      <c r="D351" s="7">
        <f>SUM(D12:D321)</f>
        <v>58818000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419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f>600+140</f>
        <v>740</v>
      </c>
      <c r="C359" s="7">
        <v>7300</v>
      </c>
      <c r="D359" s="7">
        <f t="shared" si="5"/>
        <v>5402000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x14ac:dyDescent="0.25">
      <c r="A366" s="9" t="s">
        <v>12</v>
      </c>
      <c r="B366" s="7">
        <f>10+10+10</f>
        <v>30</v>
      </c>
      <c r="C366" s="7">
        <v>8000</v>
      </c>
      <c r="D366" s="7">
        <f t="shared" si="5"/>
        <v>240000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f>1400+600+180-20</f>
        <v>2160</v>
      </c>
      <c r="C373" s="7">
        <v>15500</v>
      </c>
      <c r="D373" s="7">
        <f t="shared" si="5"/>
        <v>33480000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x14ac:dyDescent="0.25">
      <c r="A378" s="9" t="s">
        <v>24</v>
      </c>
      <c r="B378" s="7">
        <v>30</v>
      </c>
      <c r="C378" s="7">
        <v>16000</v>
      </c>
      <c r="D378" s="7">
        <f t="shared" si="5"/>
        <v>480000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x14ac:dyDescent="0.25">
      <c r="A398" s="9" t="s">
        <v>51</v>
      </c>
      <c r="B398" s="7">
        <v>5</v>
      </c>
      <c r="C398" s="7">
        <v>24000</v>
      </c>
      <c r="D398" s="7">
        <f t="shared" si="6"/>
        <v>120000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21000</v>
      </c>
      <c r="D400" s="7">
        <f t="shared" si="6"/>
        <v>6300000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100</v>
      </c>
      <c r="C425" s="7">
        <v>26000</v>
      </c>
      <c r="D425" s="7">
        <f t="shared" si="6"/>
        <v>2600000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90</v>
      </c>
      <c r="B438" s="7"/>
      <c r="C438" s="7"/>
      <c r="D438" s="7">
        <f t="shared" si="6"/>
        <v>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x14ac:dyDescent="0.25">
      <c r="A453" s="55" t="s">
        <v>103</v>
      </c>
      <c r="B453" s="56">
        <f>500+3000-180-500</f>
        <v>2820</v>
      </c>
      <c r="C453" s="56">
        <v>8000</v>
      </c>
      <c r="D453" s="56">
        <f t="shared" si="7"/>
        <v>22560000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hidden="1" x14ac:dyDescent="0.25">
      <c r="A457" s="23" t="s">
        <v>107</v>
      </c>
      <c r="B457" s="7"/>
      <c r="C457" s="7"/>
      <c r="D457" s="7">
        <f t="shared" si="7"/>
        <v>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hidden="1" x14ac:dyDescent="0.25">
      <c r="A460" s="9" t="s">
        <v>110</v>
      </c>
      <c r="B460" s="7"/>
      <c r="C460" s="7"/>
      <c r="D460" s="7">
        <f t="shared" si="7"/>
        <v>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346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x14ac:dyDescent="0.25">
      <c r="A472" s="9" t="s">
        <v>122</v>
      </c>
      <c r="B472" s="7">
        <v>20</v>
      </c>
      <c r="C472" s="7">
        <v>14000</v>
      </c>
      <c r="D472" s="7">
        <f t="shared" si="7"/>
        <v>280000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18000</v>
      </c>
      <c r="D483" s="7">
        <f t="shared" si="7"/>
        <v>1080000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x14ac:dyDescent="0.25">
      <c r="A503" s="9" t="s">
        <v>154</v>
      </c>
      <c r="B503" s="7">
        <v>12</v>
      </c>
      <c r="C503" s="7">
        <v>10000</v>
      </c>
      <c r="D503" s="7">
        <f t="shared" si="7"/>
        <v>120000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x14ac:dyDescent="0.25">
      <c r="A508" s="9" t="s">
        <v>159</v>
      </c>
      <c r="B508" s="7">
        <v>10</v>
      </c>
      <c r="C508" s="7">
        <v>8000</v>
      </c>
      <c r="D508" s="7">
        <f t="shared" si="7"/>
        <v>80000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hidden="1" x14ac:dyDescent="0.25">
      <c r="A515" s="9" t="s">
        <v>349</v>
      </c>
      <c r="B515" s="7"/>
      <c r="C515" s="7"/>
      <c r="D515" s="7">
        <f t="shared" si="7"/>
        <v>0</v>
      </c>
    </row>
    <row r="516" spans="1:4" ht="18.75" hidden="1" x14ac:dyDescent="0.25">
      <c r="A516" s="12" t="s">
        <v>167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x14ac:dyDescent="0.25">
      <c r="A531" s="12" t="s">
        <v>183</v>
      </c>
      <c r="B531" s="7">
        <v>500</v>
      </c>
      <c r="C531" s="7">
        <v>12000</v>
      </c>
      <c r="D531" s="7">
        <f t="shared" si="8"/>
        <v>6000000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400</v>
      </c>
      <c r="C553" s="7">
        <v>19000</v>
      </c>
      <c r="D553" s="7">
        <f t="shared" si="8"/>
        <v>7600000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212</v>
      </c>
      <c r="B564" s="7"/>
      <c r="C564" s="7"/>
      <c r="D564" s="7">
        <f t="shared" si="8"/>
        <v>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300</v>
      </c>
      <c r="C567" s="7">
        <v>15000</v>
      </c>
      <c r="D567" s="7">
        <f t="shared" si="8"/>
        <v>4500000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26000</v>
      </c>
      <c r="D596" s="7">
        <f t="shared" si="9"/>
        <v>520000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25000</v>
      </c>
      <c r="D604" s="7">
        <f t="shared" si="9"/>
        <v>500000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18000</v>
      </c>
      <c r="D608" s="7">
        <f t="shared" si="9"/>
        <v>360000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hidden="1" x14ac:dyDescent="0.25">
      <c r="A674" s="9" t="s">
        <v>329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7547</v>
      </c>
      <c r="C683" s="43"/>
      <c r="D683" s="43">
        <f t="shared" ref="D683" si="11">SUM(D356:D682)</f>
        <v>92222000</v>
      </c>
    </row>
    <row r="685" spans="1:4" x14ac:dyDescent="0.25">
      <c r="D685" s="53">
        <f>D683+D351</f>
        <v>151040000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0E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685"/>
  <sheetViews>
    <sheetView topLeftCell="A41" workbookViewId="0">
      <selection activeCell="A453" sqref="A453:D453"/>
    </sheetView>
  </sheetViews>
  <sheetFormatPr defaultRowHeight="15" x14ac:dyDescent="0.25"/>
  <cols>
    <col min="1" max="1" width="34.85546875" customWidth="1"/>
    <col min="3" max="3" width="13.42578125" customWidth="1"/>
    <col min="4" max="4" width="23.140625" customWidth="1"/>
  </cols>
  <sheetData>
    <row r="1" spans="1:4" x14ac:dyDescent="0.25">
      <c r="A1" s="1" t="s">
        <v>420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x14ac:dyDescent="0.25">
      <c r="A3" s="5" t="s">
        <v>2</v>
      </c>
      <c r="B3" s="7">
        <v>6</v>
      </c>
      <c r="C3" s="7">
        <v>16000</v>
      </c>
      <c r="D3" s="7">
        <f>B3*C3</f>
        <v>96000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x14ac:dyDescent="0.25">
      <c r="A7" s="5" t="s">
        <v>5</v>
      </c>
      <c r="B7" s="7">
        <v>190</v>
      </c>
      <c r="C7" s="7">
        <v>6800</v>
      </c>
      <c r="D7" s="7">
        <f t="shared" si="0"/>
        <v>1292000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23</v>
      </c>
      <c r="C17" s="7">
        <v>8500</v>
      </c>
      <c r="D17" s="7">
        <f t="shared" si="0"/>
        <v>195500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v>15</v>
      </c>
      <c r="C21" s="45">
        <v>10000</v>
      </c>
      <c r="D21" s="7">
        <f t="shared" si="0"/>
        <v>150000</v>
      </c>
    </row>
    <row r="22" spans="1:4" ht="18.75" x14ac:dyDescent="0.25">
      <c r="A22" s="9" t="s">
        <v>19</v>
      </c>
      <c r="B22" s="7">
        <v>1500</v>
      </c>
      <c r="C22" s="7">
        <v>13500</v>
      </c>
      <c r="D22" s="7">
        <f t="shared" si="0"/>
        <v>20250000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hidden="1" x14ac:dyDescent="0.25">
      <c r="A27" s="9" t="s">
        <v>24</v>
      </c>
      <c r="B27" s="7"/>
      <c r="C27" s="7"/>
      <c r="D27" s="7">
        <f t="shared" si="0"/>
        <v>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x14ac:dyDescent="0.25">
      <c r="A32" s="12" t="s">
        <v>29</v>
      </c>
      <c r="B32" s="7">
        <f>25+17</f>
        <v>42</v>
      </c>
      <c r="C32" s="7">
        <v>15000</v>
      </c>
      <c r="D32" s="7">
        <f t="shared" si="0"/>
        <v>630000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x14ac:dyDescent="0.25">
      <c r="A41" s="9" t="s">
        <v>38</v>
      </c>
      <c r="B41" s="7">
        <v>5</v>
      </c>
      <c r="C41" s="7">
        <v>32000</v>
      </c>
      <c r="D41" s="7">
        <f t="shared" si="0"/>
        <v>160000</v>
      </c>
    </row>
    <row r="42" spans="1:4" ht="18.75" x14ac:dyDescent="0.25">
      <c r="A42" s="9" t="s">
        <v>39</v>
      </c>
      <c r="B42" s="7">
        <v>17</v>
      </c>
      <c r="C42" s="7">
        <v>10500</v>
      </c>
      <c r="D42" s="7">
        <f t="shared" si="0"/>
        <v>178500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-300+120+40+240</f>
        <v>100</v>
      </c>
      <c r="C56" s="7">
        <v>21000</v>
      </c>
      <c r="D56" s="7">
        <f t="shared" si="0"/>
        <v>2100000</v>
      </c>
    </row>
    <row r="57" spans="1:4" ht="18.75" x14ac:dyDescent="0.25">
      <c r="A57" s="9" t="s">
        <v>54</v>
      </c>
      <c r="B57" s="7">
        <v>10</v>
      </c>
      <c r="C57" s="7">
        <v>15000</v>
      </c>
      <c r="D57" s="7">
        <f t="shared" si="0"/>
        <v>150000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v>113</v>
      </c>
      <c r="C59" s="7">
        <v>9000</v>
      </c>
      <c r="D59" s="7">
        <f t="shared" si="0"/>
        <v>1017000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v>110</v>
      </c>
      <c r="C66" s="7">
        <v>18000</v>
      </c>
      <c r="D66" s="7">
        <f t="shared" si="0"/>
        <v>1980000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hidden="1" x14ac:dyDescent="0.25">
      <c r="A72" s="12" t="s">
        <v>69</v>
      </c>
      <c r="B72" s="7"/>
      <c r="C72" s="7"/>
      <c r="D72" s="7">
        <f t="shared" si="1"/>
        <v>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hidden="1" x14ac:dyDescent="0.25">
      <c r="A74" s="12" t="s">
        <v>71</v>
      </c>
      <c r="B74" s="7"/>
      <c r="C74" s="7"/>
      <c r="D74" s="7">
        <f t="shared" si="1"/>
        <v>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f>-100+110</f>
        <v>10</v>
      </c>
      <c r="C80" s="7">
        <v>25000</v>
      </c>
      <c r="D80" s="7">
        <f t="shared" si="1"/>
        <v>250000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hidden="1" x14ac:dyDescent="0.25">
      <c r="A82" s="9" t="s">
        <v>79</v>
      </c>
      <c r="B82" s="7"/>
      <c r="C82" s="7"/>
      <c r="D82" s="7">
        <f t="shared" si="1"/>
        <v>0</v>
      </c>
    </row>
    <row r="83" spans="1:4" ht="18.75" x14ac:dyDescent="0.25">
      <c r="A83" s="9" t="s">
        <v>80</v>
      </c>
      <c r="B83" s="7">
        <f>73+10-35</f>
        <v>48</v>
      </c>
      <c r="C83" s="7">
        <v>24000</v>
      </c>
      <c r="D83" s="7">
        <f t="shared" si="1"/>
        <v>1152000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v>45</v>
      </c>
      <c r="C90" s="7">
        <v>29000</v>
      </c>
      <c r="D90" s="7">
        <f t="shared" si="1"/>
        <v>1305000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x14ac:dyDescent="0.25">
      <c r="A94" s="9" t="s">
        <v>90</v>
      </c>
      <c r="B94" s="7">
        <v>45</v>
      </c>
      <c r="C94" s="7">
        <v>10000</v>
      </c>
      <c r="D94" s="7">
        <f t="shared" si="1"/>
        <v>450000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x14ac:dyDescent="0.25">
      <c r="A107" s="55" t="s">
        <v>103</v>
      </c>
      <c r="B107" s="56">
        <v>2000</v>
      </c>
      <c r="C107" s="56">
        <v>8000</v>
      </c>
      <c r="D107" s="56">
        <f t="shared" si="1"/>
        <v>16000000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x14ac:dyDescent="0.25">
      <c r="A135" s="9" t="s">
        <v>122</v>
      </c>
      <c r="B135" s="7">
        <v>30</v>
      </c>
      <c r="C135" s="7">
        <v>14000</v>
      </c>
      <c r="D135" s="7">
        <f t="shared" si="2"/>
        <v>420000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18.7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132</v>
      </c>
      <c r="B143" s="7"/>
      <c r="C143" s="7"/>
      <c r="D143" s="7">
        <f t="shared" si="2"/>
        <v>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-60+55+17+38</f>
        <v>50</v>
      </c>
      <c r="C146" s="7">
        <v>18000</v>
      </c>
      <c r="D146" s="7">
        <f t="shared" si="2"/>
        <v>900000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155</v>
      </c>
      <c r="B166" s="7"/>
      <c r="C166" s="7"/>
      <c r="D166" s="7">
        <f t="shared" si="2"/>
        <v>0</v>
      </c>
    </row>
    <row r="167" spans="1:4" ht="18.75" x14ac:dyDescent="0.25">
      <c r="A167" s="17" t="s">
        <v>156</v>
      </c>
      <c r="B167" s="7">
        <v>10</v>
      </c>
      <c r="C167" s="7">
        <v>7500</v>
      </c>
      <c r="D167" s="7">
        <f t="shared" si="2"/>
        <v>75000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x14ac:dyDescent="0.25">
      <c r="A178" s="9" t="s">
        <v>168</v>
      </c>
      <c r="B178" s="7">
        <f>40+18+275-80+20</f>
        <v>273</v>
      </c>
      <c r="C178" s="46">
        <v>6000</v>
      </c>
      <c r="D178" s="7">
        <f t="shared" si="2"/>
        <v>1638000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x14ac:dyDescent="0.25">
      <c r="A180" s="9" t="s">
        <v>170</v>
      </c>
      <c r="B180" s="7">
        <v>40</v>
      </c>
      <c r="C180" s="7">
        <v>6000</v>
      </c>
      <c r="D180" s="7">
        <f t="shared" si="2"/>
        <v>240000</v>
      </c>
    </row>
    <row r="181" spans="1:4" ht="18.75" hidden="1" x14ac:dyDescent="0.25">
      <c r="A181" s="9" t="s">
        <v>171</v>
      </c>
      <c r="B181" s="7"/>
      <c r="C181" s="7"/>
      <c r="D181" s="7">
        <f t="shared" si="2"/>
        <v>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hidden="1" x14ac:dyDescent="0.25">
      <c r="A184" s="31" t="s">
        <v>174</v>
      </c>
      <c r="B184" s="33"/>
      <c r="C184" s="33"/>
      <c r="D184" s="7">
        <f t="shared" si="2"/>
        <v>0</v>
      </c>
    </row>
    <row r="185" spans="1:4" ht="18.75" x14ac:dyDescent="0.25">
      <c r="A185" s="11" t="s">
        <v>175</v>
      </c>
      <c r="B185" s="7">
        <v>12</v>
      </c>
      <c r="C185" s="7">
        <v>10000</v>
      </c>
      <c r="D185" s="7">
        <f t="shared" si="2"/>
        <v>120000</v>
      </c>
    </row>
    <row r="186" spans="1:4" ht="18.75" hidden="1" x14ac:dyDescent="0.25">
      <c r="A186" s="9" t="s">
        <v>176</v>
      </c>
      <c r="B186" s="7"/>
      <c r="C186" s="7"/>
      <c r="D186" s="7">
        <f t="shared" si="2"/>
        <v>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183</v>
      </c>
      <c r="B193" s="7"/>
      <c r="C193" s="7"/>
      <c r="D193" s="7">
        <f t="shared" si="2"/>
        <v>0</v>
      </c>
    </row>
    <row r="194" spans="1:4" ht="18.75" x14ac:dyDescent="0.25">
      <c r="A194" s="9" t="s">
        <v>184</v>
      </c>
      <c r="B194" s="7">
        <f>220*3</f>
        <v>660</v>
      </c>
      <c r="C194" s="7">
        <v>2100</v>
      </c>
      <c r="D194" s="7">
        <f t="shared" si="2"/>
        <v>1386000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187</v>
      </c>
      <c r="B197" s="7"/>
      <c r="C197" s="7"/>
      <c r="D197" s="7">
        <f t="shared" si="3"/>
        <v>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hidden="1" x14ac:dyDescent="0.25">
      <c r="A199" s="17" t="s">
        <v>189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x14ac:dyDescent="0.25">
      <c r="A204" s="58" t="s">
        <v>414</v>
      </c>
      <c r="B204" s="56">
        <v>280</v>
      </c>
      <c r="C204" s="56">
        <v>35000</v>
      </c>
      <c r="D204" s="56">
        <f t="shared" si="3"/>
        <v>9800000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v>80</v>
      </c>
      <c r="C212" s="7">
        <v>21000</v>
      </c>
      <c r="D212" s="7">
        <f t="shared" si="3"/>
        <v>1680000</v>
      </c>
    </row>
    <row r="213" spans="1:4" ht="18.75" x14ac:dyDescent="0.25">
      <c r="A213" s="12" t="s">
        <v>202</v>
      </c>
      <c r="B213" s="7">
        <f>500+140+160</f>
        <v>800</v>
      </c>
      <c r="C213" s="7">
        <v>17500</v>
      </c>
      <c r="D213" s="7">
        <f t="shared" si="3"/>
        <v>14000000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hidden="1" x14ac:dyDescent="0.25">
      <c r="A215" s="9" t="s">
        <v>204</v>
      </c>
      <c r="B215" s="7"/>
      <c r="C215" s="7"/>
      <c r="D215" s="7">
        <f t="shared" si="3"/>
        <v>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x14ac:dyDescent="0.25">
      <c r="A218" s="9" t="s">
        <v>207</v>
      </c>
      <c r="B218" s="7">
        <v>2</v>
      </c>
      <c r="C218" s="7">
        <v>24000</v>
      </c>
      <c r="D218" s="7">
        <f t="shared" si="3"/>
        <v>48000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hidden="1" x14ac:dyDescent="0.25">
      <c r="A221" s="9" t="s">
        <v>210</v>
      </c>
      <c r="B221" s="7"/>
      <c r="C221" s="7"/>
      <c r="D221" s="7">
        <f t="shared" si="3"/>
        <v>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hidden="1" x14ac:dyDescent="0.25">
      <c r="A226" s="9" t="s">
        <v>215</v>
      </c>
      <c r="B226" s="7"/>
      <c r="C226" s="7"/>
      <c r="D226" s="7">
        <f t="shared" si="3"/>
        <v>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x14ac:dyDescent="0.25">
      <c r="A228" s="9" t="s">
        <v>217</v>
      </c>
      <c r="B228" s="7">
        <v>80</v>
      </c>
      <c r="C228" s="7">
        <v>6500</v>
      </c>
      <c r="D228" s="7">
        <f t="shared" si="3"/>
        <v>520000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hidden="1" x14ac:dyDescent="0.25">
      <c r="A231" s="17" t="s">
        <v>220</v>
      </c>
      <c r="B231" s="7"/>
      <c r="C231" s="7"/>
      <c r="D231" s="7">
        <f t="shared" si="3"/>
        <v>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x14ac:dyDescent="0.25">
      <c r="A258" s="9" t="s">
        <v>247</v>
      </c>
      <c r="B258" s="7">
        <v>8</v>
      </c>
      <c r="C258" s="7">
        <v>14000</v>
      </c>
      <c r="D258" s="7">
        <f t="shared" si="3"/>
        <v>112000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-20+50+155+22+15</f>
        <v>222</v>
      </c>
      <c r="C261" s="7">
        <v>26000</v>
      </c>
      <c r="D261" s="7">
        <f t="shared" si="4"/>
        <v>5772000</v>
      </c>
    </row>
    <row r="262" spans="1:4" ht="18.75" hidden="1" x14ac:dyDescent="0.25">
      <c r="A262" s="9" t="s">
        <v>251</v>
      </c>
      <c r="B262" s="7"/>
      <c r="C262" s="7"/>
      <c r="D262" s="7">
        <f t="shared" si="4"/>
        <v>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-20+20+30+30+40</f>
        <v>100</v>
      </c>
      <c r="C268" s="7">
        <v>25000</v>
      </c>
      <c r="D268" s="7">
        <f t="shared" si="4"/>
        <v>2500000</v>
      </c>
    </row>
    <row r="269" spans="1:4" ht="18.75" x14ac:dyDescent="0.25">
      <c r="A269" s="9" t="s">
        <v>259</v>
      </c>
      <c r="B269" s="7">
        <v>15</v>
      </c>
      <c r="C269" s="7">
        <v>20000</v>
      </c>
      <c r="D269" s="7">
        <f t="shared" si="4"/>
        <v>300000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-20+25</f>
        <v>5</v>
      </c>
      <c r="C272" s="7">
        <v>20000</v>
      </c>
      <c r="D272" s="7">
        <f t="shared" si="4"/>
        <v>100000</v>
      </c>
    </row>
    <row r="273" spans="1:4" ht="18.75" hidden="1" x14ac:dyDescent="0.25">
      <c r="A273" s="9" t="s">
        <v>263</v>
      </c>
      <c r="B273" s="7"/>
      <c r="C273" s="7"/>
      <c r="D273" s="7">
        <f t="shared" si="4"/>
        <v>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hidden="1" x14ac:dyDescent="0.25">
      <c r="A279" s="9" t="s">
        <v>269</v>
      </c>
      <c r="B279" s="7"/>
      <c r="C279" s="7"/>
      <c r="D279" s="7">
        <f t="shared" si="4"/>
        <v>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hidden="1" x14ac:dyDescent="0.25">
      <c r="A283" s="9" t="s">
        <v>273</v>
      </c>
      <c r="B283" s="7"/>
      <c r="C283" s="7"/>
      <c r="D283" s="7">
        <f t="shared" si="4"/>
        <v>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hidden="1" x14ac:dyDescent="0.25">
      <c r="A297" s="9" t="s">
        <v>287</v>
      </c>
      <c r="B297" s="7"/>
      <c r="C297" s="7"/>
      <c r="D297" s="7">
        <f t="shared" si="4"/>
        <v>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v>100</v>
      </c>
      <c r="C300" s="7">
        <v>9000</v>
      </c>
      <c r="D300" s="7">
        <f t="shared" si="4"/>
        <v>900000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v>110</v>
      </c>
      <c r="C303" s="7">
        <v>12000</v>
      </c>
      <c r="D303" s="7">
        <f t="shared" si="4"/>
        <v>1320000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hidden="1" x14ac:dyDescent="0.25">
      <c r="A321" s="13" t="s">
        <v>309</v>
      </c>
      <c r="B321" s="7"/>
      <c r="C321" s="7"/>
      <c r="D321" s="7">
        <f t="shared" si="4"/>
        <v>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x14ac:dyDescent="0.25">
      <c r="A346" s="9" t="s">
        <v>334</v>
      </c>
      <c r="B346" s="7">
        <v>2</v>
      </c>
      <c r="C346" s="7">
        <v>28000</v>
      </c>
      <c r="D346" s="7">
        <f t="shared" si="5"/>
        <v>56000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7158</v>
      </c>
      <c r="C351" s="43"/>
      <c r="D351" s="7">
        <f>SUM(D3:D346)</f>
        <v>89243000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422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v>420</v>
      </c>
      <c r="C359" s="7">
        <v>6800</v>
      </c>
      <c r="D359" s="7">
        <f t="shared" si="5"/>
        <v>2856000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x14ac:dyDescent="0.25">
      <c r="A366" s="9" t="s">
        <v>12</v>
      </c>
      <c r="B366" s="7">
        <f>30+10+10+10</f>
        <v>60</v>
      </c>
      <c r="C366" s="7">
        <v>8000</v>
      </c>
      <c r="D366" s="7">
        <f t="shared" si="5"/>
        <v>480000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v>1500</v>
      </c>
      <c r="C373" s="7">
        <v>15500</v>
      </c>
      <c r="D373" s="7">
        <f t="shared" si="5"/>
        <v>23250000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x14ac:dyDescent="0.25">
      <c r="A378" s="9" t="s">
        <v>24</v>
      </c>
      <c r="B378" s="7">
        <v>10</v>
      </c>
      <c r="C378" s="7">
        <v>16000</v>
      </c>
      <c r="D378" s="7">
        <f t="shared" si="5"/>
        <v>160000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x14ac:dyDescent="0.25">
      <c r="A398" s="9" t="s">
        <v>51</v>
      </c>
      <c r="B398" s="7">
        <v>14</v>
      </c>
      <c r="C398" s="7">
        <v>24000</v>
      </c>
      <c r="D398" s="7">
        <f t="shared" si="6"/>
        <v>336000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21000</v>
      </c>
      <c r="D400" s="7">
        <f t="shared" si="6"/>
        <v>6300000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100</v>
      </c>
      <c r="C425" s="7">
        <v>25000</v>
      </c>
      <c r="D425" s="7">
        <f t="shared" si="6"/>
        <v>2500000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x14ac:dyDescent="0.25">
      <c r="A438" s="9" t="s">
        <v>90</v>
      </c>
      <c r="B438" s="7">
        <f>30+8+50+6+30-45</f>
        <v>79</v>
      </c>
      <c r="C438" s="7">
        <v>10000</v>
      </c>
      <c r="D438" s="7">
        <f t="shared" si="6"/>
        <v>790000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x14ac:dyDescent="0.25">
      <c r="A453" s="55" t="s">
        <v>103</v>
      </c>
      <c r="B453" s="56">
        <v>2890</v>
      </c>
      <c r="C453" s="56">
        <v>8000</v>
      </c>
      <c r="D453" s="56">
        <f t="shared" si="7"/>
        <v>23120000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hidden="1" x14ac:dyDescent="0.25">
      <c r="A457" s="23" t="s">
        <v>107</v>
      </c>
      <c r="B457" s="7"/>
      <c r="C457" s="7"/>
      <c r="D457" s="7">
        <f t="shared" si="7"/>
        <v>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x14ac:dyDescent="0.25">
      <c r="A460" s="9" t="s">
        <v>110</v>
      </c>
      <c r="B460" s="7">
        <v>6</v>
      </c>
      <c r="C460" s="7">
        <v>20000</v>
      </c>
      <c r="D460" s="7">
        <f t="shared" si="7"/>
        <v>120000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346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x14ac:dyDescent="0.25">
      <c r="A472" s="9" t="s">
        <v>122</v>
      </c>
      <c r="B472" s="7">
        <f>110-30</f>
        <v>80</v>
      </c>
      <c r="C472" s="7">
        <v>14000</v>
      </c>
      <c r="D472" s="7">
        <f t="shared" si="7"/>
        <v>1120000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18000</v>
      </c>
      <c r="D483" s="7">
        <f t="shared" si="7"/>
        <v>1080000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x14ac:dyDescent="0.25">
      <c r="A503" s="9" t="s">
        <v>154</v>
      </c>
      <c r="B503" s="7">
        <v>5</v>
      </c>
      <c r="C503" s="7">
        <v>12000</v>
      </c>
      <c r="D503" s="7">
        <f t="shared" si="7"/>
        <v>60000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159</v>
      </c>
      <c r="B508" s="7"/>
      <c r="C508" s="7"/>
      <c r="D508" s="7">
        <f t="shared" si="7"/>
        <v>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x14ac:dyDescent="0.25">
      <c r="A515" s="9" t="s">
        <v>349</v>
      </c>
      <c r="B515" s="7">
        <v>200</v>
      </c>
      <c r="C515" s="7">
        <v>6000</v>
      </c>
      <c r="D515" s="7">
        <f t="shared" si="7"/>
        <v>1200000</v>
      </c>
    </row>
    <row r="516" spans="1:4" ht="18.75" hidden="1" x14ac:dyDescent="0.25">
      <c r="A516" s="12" t="s">
        <v>167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x14ac:dyDescent="0.25">
      <c r="A531" s="12" t="s">
        <v>183</v>
      </c>
      <c r="B531" s="7">
        <v>160</v>
      </c>
      <c r="C531" s="7">
        <v>12000</v>
      </c>
      <c r="D531" s="7">
        <f t="shared" si="8"/>
        <v>1920000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390</v>
      </c>
      <c r="C553" s="7">
        <v>19000</v>
      </c>
      <c r="D553" s="7">
        <f t="shared" si="8"/>
        <v>7410000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212</v>
      </c>
      <c r="B564" s="7"/>
      <c r="C564" s="7"/>
      <c r="D564" s="7">
        <f t="shared" si="8"/>
        <v>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292</v>
      </c>
      <c r="C567" s="7">
        <v>15000</v>
      </c>
      <c r="D567" s="7">
        <f t="shared" si="8"/>
        <v>4380000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27000</v>
      </c>
      <c r="D596" s="7">
        <f t="shared" si="9"/>
        <v>540000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25000</v>
      </c>
      <c r="D604" s="7">
        <f t="shared" si="9"/>
        <v>500000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20000</v>
      </c>
      <c r="D608" s="7">
        <f t="shared" si="9"/>
        <v>400000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hidden="1" x14ac:dyDescent="0.25">
      <c r="A674" s="9" t="s">
        <v>329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6626</v>
      </c>
      <c r="C683" s="43"/>
      <c r="D683" s="43">
        <f t="shared" ref="D683" si="11">SUM(D356:D682)</f>
        <v>78522000</v>
      </c>
    </row>
    <row r="685" spans="1:4" x14ac:dyDescent="0.25">
      <c r="D685" s="53">
        <f>D683+D351</f>
        <v>167765000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0F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D685"/>
  <sheetViews>
    <sheetView topLeftCell="A80" workbookViewId="0">
      <selection activeCell="A453" sqref="A453:D453"/>
    </sheetView>
  </sheetViews>
  <sheetFormatPr defaultRowHeight="15" x14ac:dyDescent="0.25"/>
  <cols>
    <col min="1" max="1" width="43.5703125" customWidth="1"/>
    <col min="3" max="3" width="12.42578125" customWidth="1"/>
    <col min="4" max="4" width="22.42578125" customWidth="1"/>
  </cols>
  <sheetData>
    <row r="1" spans="1:4" x14ac:dyDescent="0.25">
      <c r="A1" s="1" t="s">
        <v>421</v>
      </c>
      <c r="B1" s="2"/>
      <c r="C1" s="2"/>
      <c r="D1" s="2"/>
    </row>
    <row r="2" spans="1:4" ht="39.6" customHeight="1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hidden="1" x14ac:dyDescent="0.25">
      <c r="A7" s="5" t="s">
        <v>5</v>
      </c>
      <c r="B7" s="7"/>
      <c r="C7" s="7"/>
      <c r="D7" s="7">
        <f t="shared" si="0"/>
        <v>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18</v>
      </c>
      <c r="C17" s="7">
        <v>8500</v>
      </c>
      <c r="D17" s="7">
        <f t="shared" si="0"/>
        <v>153000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v>38</v>
      </c>
      <c r="C21" s="45">
        <v>10000</v>
      </c>
      <c r="D21" s="7">
        <f t="shared" si="0"/>
        <v>380000</v>
      </c>
    </row>
    <row r="22" spans="1:4" ht="18.75" x14ac:dyDescent="0.25">
      <c r="A22" s="9" t="s">
        <v>19</v>
      </c>
      <c r="B22" s="7">
        <v>1000</v>
      </c>
      <c r="C22" s="7">
        <v>13500</v>
      </c>
      <c r="D22" s="7">
        <f t="shared" si="0"/>
        <v>13500000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hidden="1" x14ac:dyDescent="0.25">
      <c r="A27" s="9" t="s">
        <v>24</v>
      </c>
      <c r="B27" s="7"/>
      <c r="C27" s="7"/>
      <c r="D27" s="7">
        <f t="shared" si="0"/>
        <v>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hidden="1" x14ac:dyDescent="0.25">
      <c r="A32" s="12" t="s">
        <v>29</v>
      </c>
      <c r="B32" s="7"/>
      <c r="C32" s="7"/>
      <c r="D32" s="7">
        <f t="shared" si="0"/>
        <v>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hidden="1" x14ac:dyDescent="0.25">
      <c r="A41" s="9" t="s">
        <v>38</v>
      </c>
      <c r="B41" s="7"/>
      <c r="C41" s="7"/>
      <c r="D41" s="7">
        <f t="shared" si="0"/>
        <v>0</v>
      </c>
    </row>
    <row r="42" spans="1:4" ht="18.75" hidden="1" x14ac:dyDescent="0.25">
      <c r="A42" s="9" t="s">
        <v>39</v>
      </c>
      <c r="B42" s="7"/>
      <c r="C42" s="7"/>
      <c r="D42" s="7">
        <f t="shared" si="0"/>
        <v>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-300+40+250+60+40+70</f>
        <v>160</v>
      </c>
      <c r="C56" s="7">
        <v>21000</v>
      </c>
      <c r="D56" s="7">
        <f t="shared" si="0"/>
        <v>3360000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f>120+23</f>
        <v>143</v>
      </c>
      <c r="C59" s="7">
        <v>9000</v>
      </c>
      <c r="D59" s="7">
        <f t="shared" si="0"/>
        <v>1287000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hidden="1" x14ac:dyDescent="0.25">
      <c r="A66" s="9" t="s">
        <v>63</v>
      </c>
      <c r="B66" s="7"/>
      <c r="C66" s="7"/>
      <c r="D66" s="7">
        <f t="shared" si="0"/>
        <v>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x14ac:dyDescent="0.25">
      <c r="A72" s="12" t="s">
        <v>69</v>
      </c>
      <c r="B72" s="7">
        <v>65</v>
      </c>
      <c r="C72" s="7">
        <v>6500</v>
      </c>
      <c r="D72" s="7">
        <f t="shared" si="1"/>
        <v>422500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hidden="1" x14ac:dyDescent="0.25">
      <c r="A74" s="12" t="s">
        <v>71</v>
      </c>
      <c r="B74" s="7"/>
      <c r="C74" s="7"/>
      <c r="D74" s="7">
        <f t="shared" si="1"/>
        <v>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f>-100+100</f>
        <v>0</v>
      </c>
      <c r="C80" s="7">
        <v>25000</v>
      </c>
      <c r="D80" s="7">
        <f t="shared" si="1"/>
        <v>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x14ac:dyDescent="0.25">
      <c r="A82" s="9" t="s">
        <v>79</v>
      </c>
      <c r="B82" s="7">
        <v>45</v>
      </c>
      <c r="C82" s="7">
        <v>26000</v>
      </c>
      <c r="D82" s="7">
        <f t="shared" si="1"/>
        <v>1170000</v>
      </c>
    </row>
    <row r="83" spans="1:4" ht="18.75" x14ac:dyDescent="0.25">
      <c r="A83" s="9" t="s">
        <v>80</v>
      </c>
      <c r="B83" s="7">
        <v>7</v>
      </c>
      <c r="C83" s="7">
        <v>22000</v>
      </c>
      <c r="D83" s="7">
        <f t="shared" si="1"/>
        <v>154000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v>40</v>
      </c>
      <c r="C90" s="7">
        <v>29000</v>
      </c>
      <c r="D90" s="7">
        <f t="shared" si="1"/>
        <v>1160000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x14ac:dyDescent="0.25">
      <c r="A107" s="55" t="s">
        <v>103</v>
      </c>
      <c r="B107" s="56">
        <v>500</v>
      </c>
      <c r="C107" s="56">
        <v>8000</v>
      </c>
      <c r="D107" s="56">
        <f t="shared" si="1"/>
        <v>4000000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x14ac:dyDescent="0.25">
      <c r="A135" s="9" t="s">
        <v>122</v>
      </c>
      <c r="B135" s="7">
        <v>30</v>
      </c>
      <c r="C135" s="7">
        <v>14000</v>
      </c>
      <c r="D135" s="7">
        <f t="shared" si="2"/>
        <v>420000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18.7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132</v>
      </c>
      <c r="B143" s="7"/>
      <c r="C143" s="7"/>
      <c r="D143" s="7">
        <f t="shared" si="2"/>
        <v>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-60+60</f>
        <v>0</v>
      </c>
      <c r="C146" s="7">
        <v>18000</v>
      </c>
      <c r="D146" s="7">
        <f t="shared" si="2"/>
        <v>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155</v>
      </c>
      <c r="B166" s="7"/>
      <c r="C166" s="7"/>
      <c r="D166" s="7">
        <f t="shared" si="2"/>
        <v>0</v>
      </c>
    </row>
    <row r="167" spans="1:4" ht="18.75" x14ac:dyDescent="0.25">
      <c r="A167" s="17" t="s">
        <v>156</v>
      </c>
      <c r="B167" s="7">
        <f>41/0.3</f>
        <v>136.66666666666669</v>
      </c>
      <c r="C167" s="7">
        <v>7500</v>
      </c>
      <c r="D167" s="7">
        <f t="shared" si="2"/>
        <v>1025000.0000000001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x14ac:dyDescent="0.25">
      <c r="A176" s="9" t="s">
        <v>165</v>
      </c>
      <c r="B176" s="7">
        <v>3</v>
      </c>
      <c r="C176" s="7">
        <v>10000</v>
      </c>
      <c r="D176" s="7">
        <f t="shared" si="2"/>
        <v>30000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x14ac:dyDescent="0.25">
      <c r="A178" s="9" t="s">
        <v>168</v>
      </c>
      <c r="B178" s="7">
        <f>1100-60-405</f>
        <v>635</v>
      </c>
      <c r="C178" s="46">
        <v>4000</v>
      </c>
      <c r="D178" s="7">
        <f t="shared" si="2"/>
        <v>2540000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x14ac:dyDescent="0.25">
      <c r="A180" s="9" t="s">
        <v>170</v>
      </c>
      <c r="B180" s="7">
        <v>30</v>
      </c>
      <c r="C180" s="7">
        <v>11000</v>
      </c>
      <c r="D180" s="7">
        <f t="shared" si="2"/>
        <v>330000</v>
      </c>
    </row>
    <row r="181" spans="1:4" ht="18.75" hidden="1" x14ac:dyDescent="0.25">
      <c r="A181" s="9" t="s">
        <v>171</v>
      </c>
      <c r="B181" s="7"/>
      <c r="C181" s="7"/>
      <c r="D181" s="7">
        <f t="shared" si="2"/>
        <v>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hidden="1" x14ac:dyDescent="0.25">
      <c r="A184" s="31" t="s">
        <v>174</v>
      </c>
      <c r="B184" s="33"/>
      <c r="C184" s="33"/>
      <c r="D184" s="7">
        <f t="shared" si="2"/>
        <v>0</v>
      </c>
    </row>
    <row r="185" spans="1:4" ht="18.75" hidden="1" x14ac:dyDescent="0.25">
      <c r="A185" s="11" t="s">
        <v>175</v>
      </c>
      <c r="B185" s="7"/>
      <c r="C185" s="7"/>
      <c r="D185" s="7">
        <f t="shared" si="2"/>
        <v>0</v>
      </c>
    </row>
    <row r="186" spans="1:4" ht="18.75" x14ac:dyDescent="0.25">
      <c r="A186" s="9" t="s">
        <v>176</v>
      </c>
      <c r="B186" s="7">
        <v>7</v>
      </c>
      <c r="C186" s="7">
        <v>43000</v>
      </c>
      <c r="D186" s="7">
        <f t="shared" si="2"/>
        <v>301000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183</v>
      </c>
      <c r="B193" s="7"/>
      <c r="C193" s="7"/>
      <c r="D193" s="7">
        <f t="shared" si="2"/>
        <v>0</v>
      </c>
    </row>
    <row r="194" spans="1:4" ht="18.75" x14ac:dyDescent="0.25">
      <c r="A194" s="9" t="s">
        <v>184</v>
      </c>
      <c r="B194" s="7">
        <f>180*3</f>
        <v>540</v>
      </c>
      <c r="C194" s="7">
        <v>2100</v>
      </c>
      <c r="D194" s="7">
        <f t="shared" si="2"/>
        <v>1134000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187</v>
      </c>
      <c r="B197" s="7"/>
      <c r="C197" s="7"/>
      <c r="D197" s="7">
        <f t="shared" si="3"/>
        <v>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hidden="1" x14ac:dyDescent="0.25">
      <c r="A199" s="17" t="s">
        <v>189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x14ac:dyDescent="0.25">
      <c r="A204" s="58" t="s">
        <v>414</v>
      </c>
      <c r="B204" s="56">
        <f>380+60</f>
        <v>440</v>
      </c>
      <c r="C204" s="56">
        <v>35000</v>
      </c>
      <c r="D204" s="56">
        <f t="shared" si="3"/>
        <v>15400000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v>300</v>
      </c>
      <c r="C212" s="7">
        <v>21000</v>
      </c>
      <c r="D212" s="7">
        <f t="shared" si="3"/>
        <v>6300000</v>
      </c>
    </row>
    <row r="213" spans="1:4" ht="18.75" x14ac:dyDescent="0.25">
      <c r="A213" s="12" t="s">
        <v>202</v>
      </c>
      <c r="B213" s="7">
        <f>260+380</f>
        <v>640</v>
      </c>
      <c r="C213" s="7">
        <v>17500</v>
      </c>
      <c r="D213" s="7">
        <f t="shared" si="3"/>
        <v>11200000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-400+570+20</f>
        <v>190</v>
      </c>
      <c r="C215" s="7">
        <v>19000</v>
      </c>
      <c r="D215" s="7">
        <f t="shared" si="3"/>
        <v>3610000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x14ac:dyDescent="0.25">
      <c r="A221" s="9" t="s">
        <v>210</v>
      </c>
      <c r="B221" s="7">
        <v>5</v>
      </c>
      <c r="C221" s="7">
        <v>12000</v>
      </c>
      <c r="D221" s="7">
        <f t="shared" si="3"/>
        <v>60000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-300+40+100+110+40+80</f>
        <v>70</v>
      </c>
      <c r="C226" s="7">
        <v>15000</v>
      </c>
      <c r="D226" s="7">
        <f t="shared" si="3"/>
        <v>1050000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hidden="1" x14ac:dyDescent="0.25">
      <c r="A228" s="9" t="s">
        <v>217</v>
      </c>
      <c r="B228" s="7"/>
      <c r="C228" s="7"/>
      <c r="D228" s="7">
        <f t="shared" si="3"/>
        <v>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hidden="1" x14ac:dyDescent="0.25">
      <c r="A231" s="17" t="s">
        <v>220</v>
      </c>
      <c r="B231" s="7"/>
      <c r="C231" s="7"/>
      <c r="D231" s="7">
        <f t="shared" si="3"/>
        <v>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x14ac:dyDescent="0.25">
      <c r="A258" s="9" t="s">
        <v>247</v>
      </c>
      <c r="B258" s="7">
        <v>20</v>
      </c>
      <c r="C258" s="7">
        <v>14000</v>
      </c>
      <c r="D258" s="7">
        <f t="shared" si="3"/>
        <v>280000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-20+60+20+20+10+10+15+20</f>
        <v>135</v>
      </c>
      <c r="C261" s="7">
        <v>27000</v>
      </c>
      <c r="D261" s="7">
        <f t="shared" si="4"/>
        <v>3645000</v>
      </c>
    </row>
    <row r="262" spans="1:4" ht="18.75" x14ac:dyDescent="0.25">
      <c r="A262" s="9" t="s">
        <v>251</v>
      </c>
      <c r="B262" s="7">
        <v>46</v>
      </c>
      <c r="C262" s="7">
        <v>20000</v>
      </c>
      <c r="D262" s="7">
        <f t="shared" si="4"/>
        <v>920000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-20+30+12+10+35</f>
        <v>67</v>
      </c>
      <c r="C268" s="7">
        <v>25000</v>
      </c>
      <c r="D268" s="7">
        <f t="shared" si="4"/>
        <v>1675000</v>
      </c>
    </row>
    <row r="269" spans="1:4" ht="18.75" x14ac:dyDescent="0.25">
      <c r="A269" s="9" t="s">
        <v>259</v>
      </c>
      <c r="B269" s="7">
        <v>35</v>
      </c>
      <c r="C269" s="7">
        <v>20000</v>
      </c>
      <c r="D269" s="7">
        <f t="shared" si="4"/>
        <v>700000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-20+25+25+12</f>
        <v>42</v>
      </c>
      <c r="C272" s="7">
        <v>20000</v>
      </c>
      <c r="D272" s="7">
        <f t="shared" si="4"/>
        <v>840000</v>
      </c>
    </row>
    <row r="273" spans="1:4" ht="18.75" x14ac:dyDescent="0.25">
      <c r="A273" s="9" t="s">
        <v>263</v>
      </c>
      <c r="B273" s="7">
        <f>25+18</f>
        <v>43</v>
      </c>
      <c r="C273" s="7">
        <v>15000</v>
      </c>
      <c r="D273" s="7">
        <f t="shared" si="4"/>
        <v>645000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x14ac:dyDescent="0.25">
      <c r="A279" s="9" t="s">
        <v>269</v>
      </c>
      <c r="B279" s="7">
        <v>9</v>
      </c>
      <c r="C279" s="7">
        <v>14500</v>
      </c>
      <c r="D279" s="7">
        <f t="shared" si="4"/>
        <v>130500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40</v>
      </c>
      <c r="C283" s="7">
        <v>28000</v>
      </c>
      <c r="D283" s="7">
        <f t="shared" si="4"/>
        <v>1120000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20</v>
      </c>
      <c r="C297" s="7">
        <v>12000</v>
      </c>
      <c r="D297" s="7">
        <f t="shared" si="4"/>
        <v>240000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v>130</v>
      </c>
      <c r="C300" s="7">
        <v>10000</v>
      </c>
      <c r="D300" s="7">
        <f t="shared" si="4"/>
        <v>1300000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v>100</v>
      </c>
      <c r="C303" s="7">
        <v>12000</v>
      </c>
      <c r="D303" s="7">
        <f t="shared" si="4"/>
        <v>1200000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hidden="1" x14ac:dyDescent="0.25">
      <c r="A321" s="13" t="s">
        <v>309</v>
      </c>
      <c r="B321" s="7"/>
      <c r="C321" s="7"/>
      <c r="D321" s="7">
        <f t="shared" si="4"/>
        <v>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x14ac:dyDescent="0.25">
      <c r="A342" s="9" t="s">
        <v>330</v>
      </c>
      <c r="B342" s="7">
        <v>8</v>
      </c>
      <c r="C342" s="7">
        <v>7000</v>
      </c>
      <c r="D342" s="7">
        <f t="shared" si="5"/>
        <v>56000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5737.6666666666661</v>
      </c>
      <c r="C351" s="43"/>
      <c r="D351" s="7">
        <f>SUM(D17:D342)</f>
        <v>81738000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423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v>450</v>
      </c>
      <c r="C359" s="7">
        <v>6800</v>
      </c>
      <c r="D359" s="7">
        <f t="shared" si="5"/>
        <v>3060000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x14ac:dyDescent="0.25">
      <c r="A366" s="9" t="s">
        <v>12</v>
      </c>
      <c r="B366" s="7">
        <v>40</v>
      </c>
      <c r="C366" s="7">
        <v>7000</v>
      </c>
      <c r="D366" s="7">
        <f t="shared" si="5"/>
        <v>280000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v>1650</v>
      </c>
      <c r="C373" s="7">
        <v>15500</v>
      </c>
      <c r="D373" s="7">
        <f t="shared" si="5"/>
        <v>25575000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hidden="1" x14ac:dyDescent="0.25">
      <c r="A378" s="9" t="s">
        <v>24</v>
      </c>
      <c r="B378" s="7"/>
      <c r="C378" s="7"/>
      <c r="D378" s="7">
        <f t="shared" si="5"/>
        <v>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x14ac:dyDescent="0.25">
      <c r="A398" s="9" t="s">
        <v>51</v>
      </c>
      <c r="B398" s="7">
        <v>10</v>
      </c>
      <c r="C398" s="7">
        <v>24000</v>
      </c>
      <c r="D398" s="7">
        <f t="shared" si="6"/>
        <v>240000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21000</v>
      </c>
      <c r="D400" s="7">
        <f t="shared" si="6"/>
        <v>6300000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100</v>
      </c>
      <c r="C425" s="7">
        <v>25000</v>
      </c>
      <c r="D425" s="7">
        <f t="shared" si="6"/>
        <v>2500000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x14ac:dyDescent="0.25">
      <c r="A438" s="9" t="s">
        <v>90</v>
      </c>
      <c r="B438" s="7">
        <v>100</v>
      </c>
      <c r="C438" s="7">
        <v>10000</v>
      </c>
      <c r="D438" s="7">
        <f t="shared" si="6"/>
        <v>1000000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x14ac:dyDescent="0.25">
      <c r="A453" s="55" t="s">
        <v>103</v>
      </c>
      <c r="B453" s="56">
        <f>2870+320-500</f>
        <v>2690</v>
      </c>
      <c r="C453" s="56">
        <v>8000</v>
      </c>
      <c r="D453" s="56">
        <f t="shared" si="7"/>
        <v>21520000</v>
      </c>
    </row>
    <row r="454" spans="1:4" ht="23.25" hidden="1" x14ac:dyDescent="0.25">
      <c r="A454" s="17" t="s">
        <v>104</v>
      </c>
      <c r="B454" s="4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x14ac:dyDescent="0.25">
      <c r="A457" s="23" t="s">
        <v>107</v>
      </c>
      <c r="B457" s="7">
        <v>280</v>
      </c>
      <c r="C457" s="7">
        <v>8000</v>
      </c>
      <c r="D457" s="7">
        <f t="shared" si="7"/>
        <v>2240000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hidden="1" x14ac:dyDescent="0.25">
      <c r="A460" s="9" t="s">
        <v>110</v>
      </c>
      <c r="B460" s="7"/>
      <c r="C460" s="7"/>
      <c r="D460" s="7">
        <f t="shared" si="7"/>
        <v>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346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x14ac:dyDescent="0.25">
      <c r="A472" s="9" t="s">
        <v>122</v>
      </c>
      <c r="B472" s="7">
        <v>80</v>
      </c>
      <c r="C472" s="7">
        <v>14000</v>
      </c>
      <c r="D472" s="7">
        <f t="shared" si="7"/>
        <v>1120000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18000</v>
      </c>
      <c r="D483" s="7">
        <f t="shared" si="7"/>
        <v>1080000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hidden="1" x14ac:dyDescent="0.25">
      <c r="A503" s="9" t="s">
        <v>154</v>
      </c>
      <c r="B503" s="7"/>
      <c r="C503" s="7"/>
      <c r="D503" s="7">
        <f t="shared" si="7"/>
        <v>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x14ac:dyDescent="0.25">
      <c r="A508" s="9" t="s">
        <v>159</v>
      </c>
      <c r="B508" s="7">
        <v>20</v>
      </c>
      <c r="C508" s="7">
        <v>8000</v>
      </c>
      <c r="D508" s="7">
        <f t="shared" si="7"/>
        <v>160000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x14ac:dyDescent="0.25">
      <c r="A515" s="9" t="s">
        <v>349</v>
      </c>
      <c r="B515" s="7">
        <v>405</v>
      </c>
      <c r="C515" s="7">
        <v>4000</v>
      </c>
      <c r="D515" s="7">
        <f t="shared" si="7"/>
        <v>1620000</v>
      </c>
    </row>
    <row r="516" spans="1:4" ht="18.75" hidden="1" x14ac:dyDescent="0.25">
      <c r="A516" s="12" t="s">
        <v>167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hidden="1" x14ac:dyDescent="0.25">
      <c r="A531" s="12" t="s">
        <v>183</v>
      </c>
      <c r="B531" s="7"/>
      <c r="C531" s="7"/>
      <c r="D531" s="7">
        <f t="shared" si="8"/>
        <v>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400</v>
      </c>
      <c r="C553" s="7">
        <v>19000</v>
      </c>
      <c r="D553" s="7">
        <f t="shared" si="8"/>
        <v>7600000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212</v>
      </c>
      <c r="B564" s="7"/>
      <c r="C564" s="7"/>
      <c r="D564" s="7">
        <f t="shared" si="8"/>
        <v>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300</v>
      </c>
      <c r="C567" s="7">
        <v>15000</v>
      </c>
      <c r="D567" s="7">
        <f t="shared" si="8"/>
        <v>4500000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27000</v>
      </c>
      <c r="D596" s="7">
        <f t="shared" si="9"/>
        <v>540000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25000</v>
      </c>
      <c r="D604" s="7">
        <f t="shared" si="9"/>
        <v>500000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20000</v>
      </c>
      <c r="D608" s="7">
        <f t="shared" si="9"/>
        <v>400000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hidden="1" x14ac:dyDescent="0.25">
      <c r="A674" s="9" t="s">
        <v>329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6945</v>
      </c>
      <c r="C683" s="43"/>
      <c r="D683" s="43">
        <f t="shared" ref="D683" si="11">SUM(D356:D682)</f>
        <v>80235000</v>
      </c>
    </row>
    <row r="685" spans="1:4" x14ac:dyDescent="0.25">
      <c r="D685" s="53">
        <f>D683+D351</f>
        <v>161973000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453 B455:B682" name="tho_2_1"/>
  </protectedRanges>
  <autoFilter ref="A2:D683" xr:uid="{00000000-0009-0000-0000-000010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D685"/>
  <sheetViews>
    <sheetView topLeftCell="A300" workbookViewId="0">
      <selection activeCell="A453" sqref="A453:D453"/>
    </sheetView>
  </sheetViews>
  <sheetFormatPr defaultRowHeight="15" x14ac:dyDescent="0.25"/>
  <cols>
    <col min="1" max="1" width="36.42578125" customWidth="1"/>
    <col min="3" max="3" width="13.7109375" customWidth="1"/>
    <col min="4" max="4" width="19" customWidth="1"/>
  </cols>
  <sheetData>
    <row r="1" spans="1:4" x14ac:dyDescent="0.25">
      <c r="A1" s="1" t="s">
        <v>424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425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x14ac:dyDescent="0.25">
      <c r="A7" s="5" t="s">
        <v>5</v>
      </c>
      <c r="B7" s="7">
        <v>300</v>
      </c>
      <c r="C7" s="7">
        <v>6800</v>
      </c>
      <c r="D7" s="7">
        <f t="shared" si="0"/>
        <v>2040000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10</v>
      </c>
      <c r="C17" s="7">
        <v>8500</v>
      </c>
      <c r="D17" s="7">
        <f t="shared" si="0"/>
        <v>85000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f>10+22+80</f>
        <v>112</v>
      </c>
      <c r="C21" s="45">
        <v>11000</v>
      </c>
      <c r="D21" s="7">
        <f t="shared" si="0"/>
        <v>1232000</v>
      </c>
    </row>
    <row r="22" spans="1:4" ht="18.75" x14ac:dyDescent="0.25">
      <c r="A22" s="9" t="s">
        <v>19</v>
      </c>
      <c r="B22" s="7">
        <v>1000</v>
      </c>
      <c r="C22" s="7">
        <v>13500</v>
      </c>
      <c r="D22" s="7">
        <f t="shared" si="0"/>
        <v>13500000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-30+100</f>
        <v>70</v>
      </c>
      <c r="C27" s="7">
        <v>16000</v>
      </c>
      <c r="D27" s="7">
        <f t="shared" si="0"/>
        <v>1120000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hidden="1" x14ac:dyDescent="0.25">
      <c r="A32" s="12" t="s">
        <v>29</v>
      </c>
      <c r="B32" s="7"/>
      <c r="C32" s="7"/>
      <c r="D32" s="7">
        <f t="shared" si="0"/>
        <v>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hidden="1" x14ac:dyDescent="0.25">
      <c r="A41" s="9" t="s">
        <v>38</v>
      </c>
      <c r="B41" s="7"/>
      <c r="C41" s="7"/>
      <c r="D41" s="7">
        <f t="shared" si="0"/>
        <v>0</v>
      </c>
    </row>
    <row r="42" spans="1:4" ht="18.75" hidden="1" x14ac:dyDescent="0.25">
      <c r="A42" s="9" t="s">
        <v>39</v>
      </c>
      <c r="B42" s="7"/>
      <c r="C42" s="7"/>
      <c r="D42" s="7">
        <f t="shared" si="0"/>
        <v>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x14ac:dyDescent="0.25">
      <c r="A49" s="9" t="s">
        <v>46</v>
      </c>
      <c r="B49" s="7">
        <v>55</v>
      </c>
      <c r="C49" s="7">
        <v>27000</v>
      </c>
      <c r="D49" s="7">
        <f t="shared" si="0"/>
        <v>1485000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-300+520</f>
        <v>220</v>
      </c>
      <c r="C56" s="7">
        <v>20000</v>
      </c>
      <c r="D56" s="7">
        <f t="shared" si="0"/>
        <v>4400000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v>12</v>
      </c>
      <c r="C59" s="7">
        <v>9000</v>
      </c>
      <c r="D59" s="7">
        <f t="shared" si="0"/>
        <v>108000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x14ac:dyDescent="0.25">
      <c r="A65" s="17" t="s">
        <v>62</v>
      </c>
      <c r="B65" s="7">
        <v>10</v>
      </c>
      <c r="C65" s="7">
        <v>14000</v>
      </c>
      <c r="D65" s="7">
        <f t="shared" si="0"/>
        <v>140000</v>
      </c>
    </row>
    <row r="66" spans="1:4" ht="18.75" x14ac:dyDescent="0.25">
      <c r="A66" s="9" t="s">
        <v>63</v>
      </c>
      <c r="B66" s="7">
        <v>120</v>
      </c>
      <c r="C66" s="7">
        <v>17000</v>
      </c>
      <c r="D66" s="7">
        <f t="shared" si="0"/>
        <v>2040000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x14ac:dyDescent="0.25">
      <c r="A72" s="12" t="s">
        <v>69</v>
      </c>
      <c r="B72" s="7">
        <v>43</v>
      </c>
      <c r="C72" s="7">
        <v>6500</v>
      </c>
      <c r="D72" s="7">
        <f t="shared" si="1"/>
        <v>279500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hidden="1" x14ac:dyDescent="0.25">
      <c r="A74" s="12" t="s">
        <v>71</v>
      </c>
      <c r="B74" s="7"/>
      <c r="C74" s="7"/>
      <c r="D74" s="7">
        <f t="shared" si="1"/>
        <v>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hidden="1" x14ac:dyDescent="0.25">
      <c r="A80" s="9" t="s">
        <v>77</v>
      </c>
      <c r="B80" s="7"/>
      <c r="C80" s="7"/>
      <c r="D80" s="7">
        <f t="shared" si="1"/>
        <v>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hidden="1" x14ac:dyDescent="0.25">
      <c r="A82" s="9" t="s">
        <v>79</v>
      </c>
      <c r="B82" s="7"/>
      <c r="C82" s="7"/>
      <c r="D82" s="7">
        <f t="shared" si="1"/>
        <v>0</v>
      </c>
    </row>
    <row r="83" spans="1:4" ht="18.75" hidden="1" x14ac:dyDescent="0.25">
      <c r="A83" s="9" t="s">
        <v>80</v>
      </c>
      <c r="B83" s="7"/>
      <c r="C83" s="7"/>
      <c r="D83" s="7">
        <f t="shared" si="1"/>
        <v>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v>20</v>
      </c>
      <c r="C90" s="7">
        <v>29000</v>
      </c>
      <c r="D90" s="7">
        <f t="shared" si="1"/>
        <v>580000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x14ac:dyDescent="0.25">
      <c r="A107" s="55" t="s">
        <v>103</v>
      </c>
      <c r="B107" s="56">
        <v>400</v>
      </c>
      <c r="C107" s="56">
        <v>8000</v>
      </c>
      <c r="D107" s="56">
        <f t="shared" si="1"/>
        <v>3200000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x14ac:dyDescent="0.25">
      <c r="A135" s="9" t="s">
        <v>122</v>
      </c>
      <c r="B135" s="7">
        <v>30</v>
      </c>
      <c r="C135" s="7">
        <v>14000</v>
      </c>
      <c r="D135" s="7">
        <f t="shared" si="2"/>
        <v>420000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18.7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x14ac:dyDescent="0.25">
      <c r="A143" s="9" t="s">
        <v>132</v>
      </c>
      <c r="B143" s="7">
        <v>5</v>
      </c>
      <c r="C143" s="7">
        <v>9500</v>
      </c>
      <c r="D143" s="7">
        <f t="shared" si="2"/>
        <v>47500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-60+15+50+20</f>
        <v>25</v>
      </c>
      <c r="C146" s="7">
        <v>17000</v>
      </c>
      <c r="D146" s="7">
        <f t="shared" si="2"/>
        <v>425000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x14ac:dyDescent="0.25">
      <c r="A166" s="9" t="s">
        <v>155</v>
      </c>
      <c r="B166" s="7">
        <v>20</v>
      </c>
      <c r="C166" s="7">
        <v>14000</v>
      </c>
      <c r="D166" s="7">
        <f t="shared" si="2"/>
        <v>280000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x14ac:dyDescent="0.25">
      <c r="A171" s="9" t="s">
        <v>160</v>
      </c>
      <c r="B171" s="7">
        <v>11</v>
      </c>
      <c r="C171" s="7">
        <v>8000</v>
      </c>
      <c r="D171" s="7">
        <f t="shared" si="2"/>
        <v>88000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x14ac:dyDescent="0.25">
      <c r="A178" s="9" t="s">
        <v>168</v>
      </c>
      <c r="B178" s="7">
        <f>140+500+215-60-180</f>
        <v>615</v>
      </c>
      <c r="C178" s="46">
        <v>4000</v>
      </c>
      <c r="D178" s="7">
        <f t="shared" si="2"/>
        <v>2460000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x14ac:dyDescent="0.25">
      <c r="A180" s="9" t="s">
        <v>170</v>
      </c>
      <c r="B180" s="7">
        <v>30</v>
      </c>
      <c r="C180" s="7">
        <v>11000</v>
      </c>
      <c r="D180" s="7">
        <f t="shared" si="2"/>
        <v>330000</v>
      </c>
    </row>
    <row r="181" spans="1:4" ht="18.75" hidden="1" x14ac:dyDescent="0.25">
      <c r="A181" s="9" t="s">
        <v>171</v>
      </c>
      <c r="B181" s="7"/>
      <c r="C181" s="7"/>
      <c r="D181" s="7">
        <f t="shared" si="2"/>
        <v>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x14ac:dyDescent="0.25">
      <c r="A184" s="31" t="s">
        <v>174</v>
      </c>
      <c r="B184" s="33">
        <v>5</v>
      </c>
      <c r="C184" s="33">
        <v>15000</v>
      </c>
      <c r="D184" s="7">
        <f t="shared" si="2"/>
        <v>75000</v>
      </c>
    </row>
    <row r="185" spans="1:4" ht="18.75" hidden="1" x14ac:dyDescent="0.25">
      <c r="A185" s="11" t="s">
        <v>175</v>
      </c>
      <c r="B185" s="7"/>
      <c r="C185" s="7"/>
      <c r="D185" s="7">
        <f t="shared" si="2"/>
        <v>0</v>
      </c>
    </row>
    <row r="186" spans="1:4" ht="18.75" x14ac:dyDescent="0.25">
      <c r="A186" s="9" t="s">
        <v>176</v>
      </c>
      <c r="B186" s="7">
        <v>4</v>
      </c>
      <c r="C186" s="7">
        <v>43000</v>
      </c>
      <c r="D186" s="7">
        <f t="shared" si="2"/>
        <v>172000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183</v>
      </c>
      <c r="B193" s="7"/>
      <c r="C193" s="7"/>
      <c r="D193" s="7">
        <f t="shared" si="2"/>
        <v>0</v>
      </c>
    </row>
    <row r="194" spans="1:4" ht="18.75" x14ac:dyDescent="0.25">
      <c r="A194" s="9" t="s">
        <v>184</v>
      </c>
      <c r="B194" s="7">
        <f>140*3</f>
        <v>420</v>
      </c>
      <c r="C194" s="7">
        <v>2100</v>
      </c>
      <c r="D194" s="7">
        <f t="shared" si="2"/>
        <v>882000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187</v>
      </c>
      <c r="B197" s="7"/>
      <c r="C197" s="7"/>
      <c r="D197" s="7">
        <f t="shared" si="3"/>
        <v>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hidden="1" x14ac:dyDescent="0.25">
      <c r="A199" s="17" t="s">
        <v>189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x14ac:dyDescent="0.25">
      <c r="A204" s="58" t="s">
        <v>414</v>
      </c>
      <c r="B204" s="56">
        <f>490+300</f>
        <v>790</v>
      </c>
      <c r="C204" s="56">
        <v>35000</v>
      </c>
      <c r="D204" s="56">
        <f t="shared" si="3"/>
        <v>27650000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v>280</v>
      </c>
      <c r="C212" s="7">
        <v>21000</v>
      </c>
      <c r="D212" s="7">
        <f t="shared" si="3"/>
        <v>5880000</v>
      </c>
    </row>
    <row r="213" spans="1:4" ht="18.75" x14ac:dyDescent="0.25">
      <c r="A213" s="12" t="s">
        <v>202</v>
      </c>
      <c r="B213" s="7">
        <f>240+250+15</f>
        <v>505</v>
      </c>
      <c r="C213" s="7">
        <v>17500</v>
      </c>
      <c r="D213" s="7">
        <f t="shared" si="3"/>
        <v>8837500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hidden="1" x14ac:dyDescent="0.25">
      <c r="A215" s="9" t="s">
        <v>204</v>
      </c>
      <c r="B215" s="7"/>
      <c r="C215" s="7"/>
      <c r="D215" s="7">
        <f t="shared" si="3"/>
        <v>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x14ac:dyDescent="0.25">
      <c r="A221" s="9" t="s">
        <v>210</v>
      </c>
      <c r="B221" s="7">
        <v>10</v>
      </c>
      <c r="C221" s="7">
        <v>12000</v>
      </c>
      <c r="D221" s="7">
        <f t="shared" si="3"/>
        <v>120000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-300+240+80</f>
        <v>20</v>
      </c>
      <c r="C226" s="7">
        <v>15000</v>
      </c>
      <c r="D226" s="7">
        <f t="shared" si="3"/>
        <v>300000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x14ac:dyDescent="0.25">
      <c r="A228" s="9" t="s">
        <v>217</v>
      </c>
      <c r="B228" s="7">
        <v>40</v>
      </c>
      <c r="C228" s="7">
        <v>6500</v>
      </c>
      <c r="D228" s="7">
        <f t="shared" si="3"/>
        <v>260000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hidden="1" x14ac:dyDescent="0.25">
      <c r="A231" s="17" t="s">
        <v>220</v>
      </c>
      <c r="B231" s="7"/>
      <c r="C231" s="7"/>
      <c r="D231" s="7">
        <f t="shared" si="3"/>
        <v>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x14ac:dyDescent="0.25">
      <c r="A258" s="9" t="s">
        <v>247</v>
      </c>
      <c r="B258" s="7">
        <v>10</v>
      </c>
      <c r="C258" s="7">
        <v>14000</v>
      </c>
      <c r="D258" s="7">
        <f t="shared" si="3"/>
        <v>140000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-20+20+20+10+30+15+36+20+40+10</f>
        <v>181</v>
      </c>
      <c r="C261" s="7">
        <v>27000</v>
      </c>
      <c r="D261" s="7">
        <f t="shared" si="4"/>
        <v>4887000</v>
      </c>
    </row>
    <row r="262" spans="1:4" ht="18.75" x14ac:dyDescent="0.25">
      <c r="A262" s="9" t="s">
        <v>251</v>
      </c>
      <c r="B262" s="7">
        <v>40</v>
      </c>
      <c r="C262" s="7">
        <v>20000</v>
      </c>
      <c r="D262" s="7">
        <f t="shared" si="4"/>
        <v>800000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-20+15+12+5+50+10+10</f>
        <v>82</v>
      </c>
      <c r="C268" s="7">
        <v>25000</v>
      </c>
      <c r="D268" s="7">
        <f t="shared" si="4"/>
        <v>2050000</v>
      </c>
    </row>
    <row r="269" spans="1:4" ht="18.75" x14ac:dyDescent="0.25">
      <c r="A269" s="9" t="s">
        <v>259</v>
      </c>
      <c r="B269" s="7">
        <v>50</v>
      </c>
      <c r="C269" s="7">
        <v>20000</v>
      </c>
      <c r="D269" s="7">
        <f t="shared" si="4"/>
        <v>1000000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-20+10+75+18+10</f>
        <v>93</v>
      </c>
      <c r="C272" s="7">
        <v>23000</v>
      </c>
      <c r="D272" s="7">
        <f t="shared" si="4"/>
        <v>2139000</v>
      </c>
    </row>
    <row r="273" spans="1:4" ht="18.75" x14ac:dyDescent="0.25">
      <c r="A273" s="9" t="s">
        <v>263</v>
      </c>
      <c r="B273" s="7">
        <v>25</v>
      </c>
      <c r="C273" s="7">
        <v>18000</v>
      </c>
      <c r="D273" s="7">
        <f t="shared" si="4"/>
        <v>450000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x14ac:dyDescent="0.25">
      <c r="A279" s="9" t="s">
        <v>269</v>
      </c>
      <c r="B279" s="7">
        <v>7</v>
      </c>
      <c r="C279" s="7">
        <v>14000</v>
      </c>
      <c r="D279" s="7">
        <f t="shared" si="4"/>
        <v>98000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45</v>
      </c>
      <c r="C283" s="7">
        <v>28000</v>
      </c>
      <c r="D283" s="7">
        <f t="shared" si="4"/>
        <v>1260000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17</v>
      </c>
      <c r="C297" s="7">
        <v>12000</v>
      </c>
      <c r="D297" s="7">
        <f t="shared" si="4"/>
        <v>204000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v>75</v>
      </c>
      <c r="C300" s="7">
        <v>10000</v>
      </c>
      <c r="D300" s="7">
        <f t="shared" si="4"/>
        <v>750000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v>30</v>
      </c>
      <c r="C303" s="7">
        <v>12000</v>
      </c>
      <c r="D303" s="7">
        <f t="shared" si="4"/>
        <v>360000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hidden="1" x14ac:dyDescent="0.25">
      <c r="A321" s="13" t="s">
        <v>309</v>
      </c>
      <c r="B321" s="7"/>
      <c r="C321" s="7"/>
      <c r="D321" s="7">
        <f t="shared" si="4"/>
        <v>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5837</v>
      </c>
      <c r="C351" s="43"/>
      <c r="D351" s="7">
        <f>SUM(D7:D303)</f>
        <v>92574500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426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425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f>120+40+60+1500-300</f>
        <v>1420</v>
      </c>
      <c r="C359" s="7">
        <v>6800</v>
      </c>
      <c r="D359" s="7">
        <f t="shared" si="5"/>
        <v>9656000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x14ac:dyDescent="0.25">
      <c r="A366" s="9" t="s">
        <v>12</v>
      </c>
      <c r="B366" s="7">
        <v>50</v>
      </c>
      <c r="C366" s="7">
        <v>6000</v>
      </c>
      <c r="D366" s="7">
        <f t="shared" si="5"/>
        <v>300000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v>1180</v>
      </c>
      <c r="C373" s="7">
        <v>15500</v>
      </c>
      <c r="D373" s="7">
        <f t="shared" si="5"/>
        <v>18290000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x14ac:dyDescent="0.25">
      <c r="A378" s="9" t="s">
        <v>24</v>
      </c>
      <c r="B378" s="7">
        <v>30</v>
      </c>
      <c r="C378" s="7">
        <v>16000</v>
      </c>
      <c r="D378" s="7">
        <f t="shared" si="5"/>
        <v>480000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51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20000</v>
      </c>
      <c r="D400" s="7">
        <f t="shared" si="6"/>
        <v>6000000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100</v>
      </c>
      <c r="C425" s="7">
        <v>25000</v>
      </c>
      <c r="D425" s="7">
        <f t="shared" si="6"/>
        <v>2500000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x14ac:dyDescent="0.25">
      <c r="A438" s="9" t="s">
        <v>90</v>
      </c>
      <c r="B438" s="7">
        <v>70</v>
      </c>
      <c r="C438" s="7">
        <v>10000</v>
      </c>
      <c r="D438" s="7">
        <f t="shared" si="6"/>
        <v>700000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x14ac:dyDescent="0.25">
      <c r="A453" s="55" t="s">
        <v>103</v>
      </c>
      <c r="B453" s="56">
        <v>320</v>
      </c>
      <c r="C453" s="56">
        <v>8000</v>
      </c>
      <c r="D453" s="56">
        <f t="shared" si="7"/>
        <v>2560000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hidden="1" x14ac:dyDescent="0.25">
      <c r="A457" s="23" t="s">
        <v>107</v>
      </c>
      <c r="B457" s="7"/>
      <c r="C457" s="7"/>
      <c r="D457" s="7">
        <f t="shared" si="7"/>
        <v>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x14ac:dyDescent="0.25">
      <c r="A460" s="9" t="s">
        <v>110</v>
      </c>
      <c r="B460" s="7">
        <v>54</v>
      </c>
      <c r="C460" s="7">
        <v>20000</v>
      </c>
      <c r="D460" s="7">
        <f t="shared" si="7"/>
        <v>1080000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346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x14ac:dyDescent="0.25">
      <c r="A472" s="9" t="s">
        <v>122</v>
      </c>
      <c r="B472" s="7">
        <f>20+50+40-30</f>
        <v>80</v>
      </c>
      <c r="C472" s="7">
        <v>14000</v>
      </c>
      <c r="D472" s="7">
        <f t="shared" si="7"/>
        <v>1120000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17000</v>
      </c>
      <c r="D483" s="7">
        <f t="shared" si="7"/>
        <v>1020000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x14ac:dyDescent="0.25">
      <c r="A503" s="9" t="s">
        <v>154</v>
      </c>
      <c r="B503" s="7">
        <v>20</v>
      </c>
      <c r="C503" s="7">
        <v>14000</v>
      </c>
      <c r="D503" s="7">
        <f t="shared" si="7"/>
        <v>280000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159</v>
      </c>
      <c r="B508" s="7"/>
      <c r="C508" s="7"/>
      <c r="D508" s="7">
        <f t="shared" si="7"/>
        <v>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x14ac:dyDescent="0.25">
      <c r="A515" s="9" t="s">
        <v>349</v>
      </c>
      <c r="B515" s="7">
        <v>180</v>
      </c>
      <c r="C515" s="7">
        <v>6000</v>
      </c>
      <c r="D515" s="7">
        <f t="shared" si="7"/>
        <v>1080000</v>
      </c>
    </row>
    <row r="516" spans="1:4" ht="18.75" hidden="1" x14ac:dyDescent="0.25">
      <c r="A516" s="12" t="s">
        <v>167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x14ac:dyDescent="0.25">
      <c r="A531" s="12" t="s">
        <v>183</v>
      </c>
      <c r="B531" s="7">
        <v>260</v>
      </c>
      <c r="C531" s="7">
        <v>12000</v>
      </c>
      <c r="D531" s="7">
        <f t="shared" si="8"/>
        <v>3120000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400</v>
      </c>
      <c r="C553" s="7">
        <v>19000</v>
      </c>
      <c r="D553" s="7">
        <f t="shared" si="8"/>
        <v>7600000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212</v>
      </c>
      <c r="B564" s="7"/>
      <c r="C564" s="7"/>
      <c r="D564" s="7">
        <f t="shared" si="8"/>
        <v>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300</v>
      </c>
      <c r="C567" s="7">
        <v>15000</v>
      </c>
      <c r="D567" s="7">
        <f t="shared" si="8"/>
        <v>4500000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27000</v>
      </c>
      <c r="D596" s="7">
        <f t="shared" si="9"/>
        <v>540000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25000</v>
      </c>
      <c r="D604" s="7">
        <f t="shared" si="9"/>
        <v>500000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23000</v>
      </c>
      <c r="D608" s="7">
        <f t="shared" si="9"/>
        <v>460000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x14ac:dyDescent="0.25">
      <c r="A674" s="9" t="s">
        <v>329</v>
      </c>
      <c r="B674" s="7">
        <v>17</v>
      </c>
      <c r="C674" s="7">
        <v>7000</v>
      </c>
      <c r="D674" s="7">
        <f t="shared" si="10"/>
        <v>119000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4901</v>
      </c>
      <c r="C683" s="43"/>
      <c r="D683" s="43">
        <f t="shared" ref="D683" si="11">SUM(D356:D682)</f>
        <v>61905000</v>
      </c>
    </row>
    <row r="685" spans="1:4" x14ac:dyDescent="0.25">
      <c r="D685" s="53">
        <f>D683+D351</f>
        <v>154479500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11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686"/>
  <sheetViews>
    <sheetView topLeftCell="A272" workbookViewId="0">
      <selection activeCell="B178" sqref="B178"/>
    </sheetView>
  </sheetViews>
  <sheetFormatPr defaultRowHeight="15" x14ac:dyDescent="0.25"/>
  <cols>
    <col min="1" max="1" width="35.28515625" customWidth="1"/>
    <col min="2" max="2" width="11.28515625" customWidth="1"/>
    <col min="3" max="3" width="14.28515625" customWidth="1"/>
    <col min="4" max="4" width="21.42578125" customWidth="1"/>
  </cols>
  <sheetData>
    <row r="1" spans="1:4" x14ac:dyDescent="0.25">
      <c r="A1" s="1" t="s">
        <v>427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x14ac:dyDescent="0.25">
      <c r="A7" s="5" t="s">
        <v>5</v>
      </c>
      <c r="B7" s="7">
        <v>150</v>
      </c>
      <c r="C7" s="7">
        <v>6800</v>
      </c>
      <c r="D7" s="7">
        <f t="shared" si="0"/>
        <v>1020000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x14ac:dyDescent="0.25">
      <c r="A10" s="5" t="s">
        <v>8</v>
      </c>
      <c r="B10" s="7">
        <v>40</v>
      </c>
      <c r="C10" s="7">
        <v>6800</v>
      </c>
      <c r="D10" s="7">
        <f t="shared" si="0"/>
        <v>272000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10</v>
      </c>
      <c r="C17" s="7">
        <v>8500</v>
      </c>
      <c r="D17" s="7">
        <f t="shared" si="0"/>
        <v>85000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f>10+8+10</f>
        <v>28</v>
      </c>
      <c r="C21" s="45">
        <v>11000</v>
      </c>
      <c r="D21" s="7">
        <f t="shared" si="0"/>
        <v>308000</v>
      </c>
    </row>
    <row r="22" spans="1:4" ht="18.75" x14ac:dyDescent="0.25">
      <c r="A22" s="9" t="s">
        <v>19</v>
      </c>
      <c r="B22" s="7">
        <v>110</v>
      </c>
      <c r="C22" s="7">
        <v>12500</v>
      </c>
      <c r="D22" s="7">
        <f t="shared" si="0"/>
        <v>1375000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-30+90</f>
        <v>60</v>
      </c>
      <c r="C27" s="7">
        <v>16000</v>
      </c>
      <c r="D27" s="7">
        <f t="shared" si="0"/>
        <v>960000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hidden="1" x14ac:dyDescent="0.25">
      <c r="A32" s="12" t="s">
        <v>29</v>
      </c>
      <c r="B32" s="7"/>
      <c r="C32" s="7"/>
      <c r="D32" s="7">
        <f t="shared" si="0"/>
        <v>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hidden="1" x14ac:dyDescent="0.25">
      <c r="A41" s="9" t="s">
        <v>38</v>
      </c>
      <c r="B41" s="7"/>
      <c r="C41" s="7"/>
      <c r="D41" s="7">
        <f t="shared" si="0"/>
        <v>0</v>
      </c>
    </row>
    <row r="42" spans="1:4" ht="18.75" hidden="1" x14ac:dyDescent="0.25">
      <c r="A42" s="9" t="s">
        <v>39</v>
      </c>
      <c r="B42" s="7"/>
      <c r="C42" s="7"/>
      <c r="D42" s="7">
        <f t="shared" si="0"/>
        <v>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x14ac:dyDescent="0.25">
      <c r="A49" s="9" t="s">
        <v>46</v>
      </c>
      <c r="B49" s="7">
        <v>40</v>
      </c>
      <c r="C49" s="7">
        <v>27000</v>
      </c>
      <c r="D49" s="7">
        <f t="shared" si="0"/>
        <v>1080000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-300+160+20+40+150+20</f>
        <v>90</v>
      </c>
      <c r="C56" s="7">
        <v>20000</v>
      </c>
      <c r="D56" s="7">
        <f t="shared" si="0"/>
        <v>1800000</v>
      </c>
    </row>
    <row r="57" spans="1:4" ht="18.75" x14ac:dyDescent="0.25">
      <c r="A57" s="9" t="s">
        <v>54</v>
      </c>
      <c r="B57" s="7">
        <v>5</v>
      </c>
      <c r="C57" s="7">
        <v>33000</v>
      </c>
      <c r="D57" s="7">
        <f t="shared" si="0"/>
        <v>165000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f>10+40+40</f>
        <v>90</v>
      </c>
      <c r="C59" s="7">
        <v>10000</v>
      </c>
      <c r="D59" s="7">
        <f t="shared" si="0"/>
        <v>900000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hidden="1" x14ac:dyDescent="0.25">
      <c r="A66" s="9" t="s">
        <v>63</v>
      </c>
      <c r="B66" s="7"/>
      <c r="C66" s="7"/>
      <c r="D66" s="7">
        <f t="shared" si="0"/>
        <v>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x14ac:dyDescent="0.25">
      <c r="A72" s="12" t="s">
        <v>69</v>
      </c>
      <c r="B72" s="7">
        <v>20</v>
      </c>
      <c r="C72" s="7">
        <v>6000</v>
      </c>
      <c r="D72" s="7">
        <f t="shared" si="1"/>
        <v>120000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hidden="1" x14ac:dyDescent="0.25">
      <c r="A74" s="12" t="s">
        <v>71</v>
      </c>
      <c r="B74" s="7"/>
      <c r="C74" s="7"/>
      <c r="D74" s="7">
        <f t="shared" si="1"/>
        <v>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f>-100+100</f>
        <v>0</v>
      </c>
      <c r="C80" s="7">
        <v>25000</v>
      </c>
      <c r="D80" s="7">
        <f t="shared" si="1"/>
        <v>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hidden="1" x14ac:dyDescent="0.25">
      <c r="A82" s="9" t="s">
        <v>79</v>
      </c>
      <c r="B82" s="7"/>
      <c r="C82" s="7"/>
      <c r="D82" s="7">
        <f t="shared" si="1"/>
        <v>0</v>
      </c>
    </row>
    <row r="83" spans="1:4" ht="18.75" x14ac:dyDescent="0.25">
      <c r="A83" s="9" t="s">
        <v>80</v>
      </c>
      <c r="B83" s="7">
        <v>45</v>
      </c>
      <c r="C83" s="7">
        <v>22000</v>
      </c>
      <c r="D83" s="7">
        <f t="shared" si="1"/>
        <v>990000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f>10+25+10</f>
        <v>45</v>
      </c>
      <c r="C90" s="7">
        <v>29000</v>
      </c>
      <c r="D90" s="7">
        <f t="shared" si="1"/>
        <v>1305000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x14ac:dyDescent="0.25">
      <c r="A94" s="9" t="s">
        <v>90</v>
      </c>
      <c r="B94" s="7">
        <f>15+110</f>
        <v>125</v>
      </c>
      <c r="C94" s="7">
        <v>10000</v>
      </c>
      <c r="D94" s="7">
        <f t="shared" si="1"/>
        <v>1250000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x14ac:dyDescent="0.25">
      <c r="A107" s="55" t="s">
        <v>103</v>
      </c>
      <c r="B107" s="56">
        <v>350</v>
      </c>
      <c r="C107" s="56">
        <v>8000</v>
      </c>
      <c r="D107" s="56">
        <f t="shared" si="1"/>
        <v>2800000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x14ac:dyDescent="0.25">
      <c r="A135" s="9" t="s">
        <v>122</v>
      </c>
      <c r="B135" s="7">
        <f>-20+30+30+10</f>
        <v>50</v>
      </c>
      <c r="C135" s="7">
        <v>14000</v>
      </c>
      <c r="D135" s="7">
        <f t="shared" si="2"/>
        <v>700000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18.7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x14ac:dyDescent="0.25">
      <c r="A143" s="9" t="s">
        <v>132</v>
      </c>
      <c r="B143" s="7">
        <v>20</v>
      </c>
      <c r="C143" s="7">
        <v>9500</v>
      </c>
      <c r="D143" s="7">
        <f t="shared" si="2"/>
        <v>190000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-60+90+20+10</f>
        <v>60</v>
      </c>
      <c r="C146" s="7">
        <v>18000</v>
      </c>
      <c r="D146" s="7">
        <f t="shared" si="2"/>
        <v>1080000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x14ac:dyDescent="0.25">
      <c r="A178" s="55" t="s">
        <v>168</v>
      </c>
      <c r="B178" s="56">
        <v>1250</v>
      </c>
      <c r="C178" s="61">
        <v>6000</v>
      </c>
      <c r="D178" s="56">
        <f t="shared" si="2"/>
        <v>7500000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hidden="1" x14ac:dyDescent="0.25">
      <c r="A180" s="9" t="s">
        <v>170</v>
      </c>
      <c r="B180" s="7"/>
      <c r="C180" s="7"/>
      <c r="D180" s="7">
        <f t="shared" si="2"/>
        <v>0</v>
      </c>
    </row>
    <row r="181" spans="1:4" ht="18.75" hidden="1" x14ac:dyDescent="0.25">
      <c r="A181" s="9" t="s">
        <v>171</v>
      </c>
      <c r="B181" s="7"/>
      <c r="C181" s="7"/>
      <c r="D181" s="7">
        <f t="shared" si="2"/>
        <v>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hidden="1" x14ac:dyDescent="0.25">
      <c r="A184" s="31" t="s">
        <v>174</v>
      </c>
      <c r="B184" s="33"/>
      <c r="C184" s="33"/>
      <c r="D184" s="7">
        <f t="shared" si="2"/>
        <v>0</v>
      </c>
    </row>
    <row r="185" spans="1:4" ht="18.75" hidden="1" x14ac:dyDescent="0.25">
      <c r="A185" s="11" t="s">
        <v>175</v>
      </c>
      <c r="B185" s="7"/>
      <c r="C185" s="7"/>
      <c r="D185" s="7">
        <f t="shared" si="2"/>
        <v>0</v>
      </c>
    </row>
    <row r="186" spans="1:4" ht="18.75" hidden="1" x14ac:dyDescent="0.25">
      <c r="A186" s="9" t="s">
        <v>176</v>
      </c>
      <c r="B186" s="7"/>
      <c r="C186" s="7"/>
      <c r="D186" s="7">
        <f t="shared" si="2"/>
        <v>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x14ac:dyDescent="0.25">
      <c r="A193" s="12" t="s">
        <v>183</v>
      </c>
      <c r="B193" s="7">
        <v>200</v>
      </c>
      <c r="C193" s="7">
        <v>12000</v>
      </c>
      <c r="D193" s="7">
        <f t="shared" si="2"/>
        <v>2400000</v>
      </c>
    </row>
    <row r="194" spans="1:4" ht="18.75" x14ac:dyDescent="0.25">
      <c r="A194" s="9" t="s">
        <v>184</v>
      </c>
      <c r="B194" s="7">
        <f>70/0.3</f>
        <v>233.33333333333334</v>
      </c>
      <c r="C194" s="7">
        <v>2100</v>
      </c>
      <c r="D194" s="7">
        <f t="shared" si="2"/>
        <v>490000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187</v>
      </c>
      <c r="B197" s="7"/>
      <c r="C197" s="7"/>
      <c r="D197" s="7">
        <f t="shared" si="3"/>
        <v>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hidden="1" x14ac:dyDescent="0.25">
      <c r="A199" s="17" t="s">
        <v>189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hidden="1" x14ac:dyDescent="0.25">
      <c r="A204" s="12" t="s">
        <v>414</v>
      </c>
      <c r="B204" s="7"/>
      <c r="C204" s="7"/>
      <c r="D204" s="7">
        <f t="shared" si="3"/>
        <v>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f>400+100</f>
        <v>500</v>
      </c>
      <c r="C212" s="7">
        <v>21000</v>
      </c>
      <c r="D212" s="7">
        <f t="shared" si="3"/>
        <v>10500000</v>
      </c>
    </row>
    <row r="213" spans="1:4" ht="18.75" x14ac:dyDescent="0.25">
      <c r="A213" s="12" t="s">
        <v>202</v>
      </c>
      <c r="B213" s="7">
        <f>220+40</f>
        <v>260</v>
      </c>
      <c r="C213" s="7">
        <v>21000</v>
      </c>
      <c r="D213" s="7">
        <f t="shared" si="3"/>
        <v>5460000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v>210</v>
      </c>
      <c r="C215" s="7">
        <v>19000</v>
      </c>
      <c r="D215" s="7">
        <f t="shared" si="3"/>
        <v>3990000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hidden="1" x14ac:dyDescent="0.25">
      <c r="A221" s="9" t="s">
        <v>210</v>
      </c>
      <c r="B221" s="7"/>
      <c r="C221" s="7"/>
      <c r="D221" s="7">
        <f t="shared" si="3"/>
        <v>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-300+200+200</f>
        <v>100</v>
      </c>
      <c r="C226" s="7">
        <v>15000</v>
      </c>
      <c r="D226" s="7">
        <f t="shared" si="3"/>
        <v>1500000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hidden="1" x14ac:dyDescent="0.25">
      <c r="A228" s="9" t="s">
        <v>217</v>
      </c>
      <c r="B228" s="7"/>
      <c r="C228" s="7"/>
      <c r="D228" s="7">
        <f t="shared" si="3"/>
        <v>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hidden="1" x14ac:dyDescent="0.25">
      <c r="A231" s="17" t="s">
        <v>220</v>
      </c>
      <c r="B231" s="7"/>
      <c r="C231" s="7"/>
      <c r="D231" s="7">
        <f t="shared" si="3"/>
        <v>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hidden="1" x14ac:dyDescent="0.25">
      <c r="A258" s="9" t="s">
        <v>247</v>
      </c>
      <c r="B258" s="7"/>
      <c r="C258" s="7"/>
      <c r="D258" s="7">
        <f t="shared" si="3"/>
        <v>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-20+80+10+40+30</f>
        <v>140</v>
      </c>
      <c r="C261" s="7">
        <v>27000</v>
      </c>
      <c r="D261" s="7">
        <f t="shared" si="4"/>
        <v>3780000</v>
      </c>
    </row>
    <row r="262" spans="1:4" ht="18.75" x14ac:dyDescent="0.25">
      <c r="A262" s="9" t="s">
        <v>251</v>
      </c>
      <c r="B262" s="7">
        <v>20</v>
      </c>
      <c r="C262" s="7">
        <v>20000</v>
      </c>
      <c r="D262" s="7">
        <f t="shared" si="4"/>
        <v>400000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-20+15+20+40</f>
        <v>55</v>
      </c>
      <c r="C268" s="7">
        <v>25000</v>
      </c>
      <c r="D268" s="7">
        <f t="shared" si="4"/>
        <v>1375000</v>
      </c>
    </row>
    <row r="269" spans="1:4" ht="18.75" x14ac:dyDescent="0.25">
      <c r="A269" s="9" t="s">
        <v>259</v>
      </c>
      <c r="B269" s="7">
        <v>60</v>
      </c>
      <c r="C269" s="7">
        <v>20000</v>
      </c>
      <c r="D269" s="7">
        <f t="shared" si="4"/>
        <v>1200000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-20+20+10+20+20</f>
        <v>50</v>
      </c>
      <c r="C272" s="7">
        <v>23000</v>
      </c>
      <c r="D272" s="7">
        <f t="shared" si="4"/>
        <v>1150000</v>
      </c>
    </row>
    <row r="273" spans="1:4" ht="18.75" x14ac:dyDescent="0.25">
      <c r="A273" s="9" t="s">
        <v>263</v>
      </c>
      <c r="B273" s="7">
        <v>20</v>
      </c>
      <c r="C273" s="7">
        <v>18000</v>
      </c>
      <c r="D273" s="7">
        <f t="shared" si="4"/>
        <v>360000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hidden="1" x14ac:dyDescent="0.25">
      <c r="A279" s="9" t="s">
        <v>269</v>
      </c>
      <c r="B279" s="7"/>
      <c r="C279" s="7"/>
      <c r="D279" s="7">
        <f t="shared" si="4"/>
        <v>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40</v>
      </c>
      <c r="C283" s="7">
        <v>28000</v>
      </c>
      <c r="D283" s="7">
        <f t="shared" si="4"/>
        <v>1120000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6</v>
      </c>
      <c r="C297" s="7">
        <v>12000</v>
      </c>
      <c r="D297" s="7">
        <f t="shared" si="4"/>
        <v>72000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f>15+40+100+5</f>
        <v>160</v>
      </c>
      <c r="C300" s="7">
        <v>10000</v>
      </c>
      <c r="D300" s="7">
        <f t="shared" si="4"/>
        <v>1600000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hidden="1" x14ac:dyDescent="0.25">
      <c r="A303" s="9" t="s">
        <v>293</v>
      </c>
      <c r="B303" s="7"/>
      <c r="C303" s="7"/>
      <c r="D303" s="7">
        <f t="shared" si="4"/>
        <v>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hidden="1" x14ac:dyDescent="0.25">
      <c r="A321" s="13" t="s">
        <v>309</v>
      </c>
      <c r="B321" s="7"/>
      <c r="C321" s="7"/>
      <c r="D321" s="7">
        <f t="shared" si="4"/>
        <v>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8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59" t="s">
        <v>414</v>
      </c>
      <c r="B351" s="56">
        <v>910</v>
      </c>
      <c r="C351" s="56">
        <v>35000</v>
      </c>
      <c r="D351" s="56">
        <f t="shared" si="5"/>
        <v>31850000</v>
      </c>
    </row>
    <row r="352" spans="1:4" ht="18.75" x14ac:dyDescent="0.25">
      <c r="A352" s="40"/>
      <c r="B352" s="43">
        <f>SUM(B3:B351)</f>
        <v>5552.3333333333339</v>
      </c>
      <c r="C352" s="43"/>
      <c r="D352" s="7">
        <f>SUM(D7:D351)</f>
        <v>91147000</v>
      </c>
    </row>
    <row r="353" spans="1:4" ht="18.75" hidden="1" x14ac:dyDescent="0.25">
      <c r="D353" s="7">
        <f t="shared" si="5"/>
        <v>0</v>
      </c>
    </row>
    <row r="354" spans="1:4" ht="18.75" hidden="1" x14ac:dyDescent="0.25">
      <c r="A354" s="1" t="s">
        <v>428</v>
      </c>
      <c r="B354" s="2"/>
      <c r="C354" s="2"/>
      <c r="D354" s="7"/>
    </row>
    <row r="355" spans="1:4" ht="25.5" x14ac:dyDescent="0.25">
      <c r="A355" s="88" t="s">
        <v>0</v>
      </c>
      <c r="B355" s="3" t="s">
        <v>1</v>
      </c>
      <c r="C355" s="3" t="s">
        <v>368</v>
      </c>
      <c r="D355" s="7" t="s">
        <v>369</v>
      </c>
    </row>
    <row r="356" spans="1:4" ht="18.75" hidden="1" x14ac:dyDescent="0.25">
      <c r="A356" s="89"/>
      <c r="B356" s="4"/>
      <c r="C356" s="4"/>
      <c r="D356" s="7">
        <f t="shared" si="5"/>
        <v>0</v>
      </c>
    </row>
    <row r="357" spans="1:4" ht="18.75" hidden="1" x14ac:dyDescent="0.25">
      <c r="A357" s="5" t="s">
        <v>2</v>
      </c>
      <c r="B357" s="7"/>
      <c r="C357" s="7"/>
      <c r="D357" s="7">
        <f t="shared" si="5"/>
        <v>0</v>
      </c>
    </row>
    <row r="358" spans="1:4" ht="18.75" hidden="1" x14ac:dyDescent="0.25">
      <c r="A358" s="8" t="s">
        <v>3</v>
      </c>
      <c r="B358" s="7"/>
      <c r="C358" s="7"/>
      <c r="D358" s="7">
        <f t="shared" si="5"/>
        <v>0</v>
      </c>
    </row>
    <row r="359" spans="1:4" ht="18.75" hidden="1" x14ac:dyDescent="0.25">
      <c r="A359" s="5" t="s">
        <v>4</v>
      </c>
      <c r="B359" s="7"/>
      <c r="C359" s="7"/>
      <c r="D359" s="7">
        <f t="shared" si="5"/>
        <v>0</v>
      </c>
    </row>
    <row r="360" spans="1:4" ht="18.75" x14ac:dyDescent="0.25">
      <c r="A360" s="5" t="s">
        <v>5</v>
      </c>
      <c r="B360" s="7">
        <f>2950-150-40</f>
        <v>2760</v>
      </c>
      <c r="C360" s="7">
        <v>6800</v>
      </c>
      <c r="D360" s="7">
        <f t="shared" si="5"/>
        <v>18768000</v>
      </c>
    </row>
    <row r="361" spans="1:4" ht="18.75" hidden="1" x14ac:dyDescent="0.25">
      <c r="A361" s="9" t="s">
        <v>6</v>
      </c>
      <c r="B361" s="7"/>
      <c r="C361" s="7"/>
      <c r="D361" s="7">
        <f t="shared" si="5"/>
        <v>0</v>
      </c>
    </row>
    <row r="362" spans="1:4" ht="18.75" hidden="1" x14ac:dyDescent="0.25">
      <c r="A362" s="10" t="s">
        <v>7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8</v>
      </c>
      <c r="B363" s="7"/>
      <c r="C363" s="7"/>
      <c r="D363" s="7">
        <f t="shared" si="5"/>
        <v>0</v>
      </c>
    </row>
    <row r="364" spans="1:4" ht="18.75" hidden="1" x14ac:dyDescent="0.25">
      <c r="A364" s="5" t="s">
        <v>9</v>
      </c>
      <c r="B364" s="7"/>
      <c r="C364" s="7"/>
      <c r="D364" s="7">
        <f t="shared" si="5"/>
        <v>0</v>
      </c>
    </row>
    <row r="365" spans="1:4" ht="18.75" hidden="1" x14ac:dyDescent="0.25">
      <c r="A365" s="11" t="s">
        <v>339</v>
      </c>
      <c r="B365" s="7"/>
      <c r="C365" s="7"/>
      <c r="D365" s="7">
        <f t="shared" si="5"/>
        <v>0</v>
      </c>
    </row>
    <row r="366" spans="1:4" ht="18.75" hidden="1" x14ac:dyDescent="0.25">
      <c r="A366" s="9" t="s">
        <v>11</v>
      </c>
      <c r="B366" s="7"/>
      <c r="C366" s="7"/>
      <c r="D366" s="7">
        <f t="shared" si="5"/>
        <v>0</v>
      </c>
    </row>
    <row r="367" spans="1:4" ht="18.75" x14ac:dyDescent="0.25">
      <c r="A367" s="9" t="s">
        <v>12</v>
      </c>
      <c r="B367" s="7">
        <f>10+10+10</f>
        <v>30</v>
      </c>
      <c r="C367" s="7">
        <v>8000</v>
      </c>
      <c r="D367" s="7">
        <f t="shared" si="5"/>
        <v>240000</v>
      </c>
    </row>
    <row r="368" spans="1:4" ht="18.75" hidden="1" x14ac:dyDescent="0.25">
      <c r="A368" s="12" t="s">
        <v>13</v>
      </c>
      <c r="B368" s="7"/>
      <c r="C368" s="7"/>
      <c r="D368" s="7">
        <f t="shared" si="5"/>
        <v>0</v>
      </c>
    </row>
    <row r="369" spans="1:4" ht="18.75" hidden="1" x14ac:dyDescent="0.25">
      <c r="A369" s="12" t="s">
        <v>14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15</v>
      </c>
      <c r="B370" s="7"/>
      <c r="C370" s="7"/>
      <c r="D370" s="7">
        <f t="shared" si="5"/>
        <v>0</v>
      </c>
    </row>
    <row r="371" spans="1:4" ht="18.75" hidden="1" x14ac:dyDescent="0.25">
      <c r="A371" s="9" t="s">
        <v>16</v>
      </c>
      <c r="B371" s="7"/>
      <c r="C371" s="7"/>
      <c r="D371" s="7">
        <f t="shared" si="5"/>
        <v>0</v>
      </c>
    </row>
    <row r="372" spans="1:4" ht="18.75" hidden="1" x14ac:dyDescent="0.25">
      <c r="A372" s="13" t="s">
        <v>17</v>
      </c>
      <c r="B372" s="7"/>
      <c r="C372" s="7"/>
      <c r="D372" s="7">
        <f t="shared" si="5"/>
        <v>0</v>
      </c>
    </row>
    <row r="373" spans="1:4" ht="18.75" hidden="1" x14ac:dyDescent="0.25">
      <c r="A373" s="11" t="s">
        <v>18</v>
      </c>
      <c r="B373" s="7"/>
      <c r="C373" s="7"/>
      <c r="D373" s="7">
        <f t="shared" si="5"/>
        <v>0</v>
      </c>
    </row>
    <row r="374" spans="1:4" ht="18.75" x14ac:dyDescent="0.25">
      <c r="A374" s="55" t="s">
        <v>19</v>
      </c>
      <c r="B374" s="56">
        <f>2000-110</f>
        <v>1890</v>
      </c>
      <c r="C374" s="56">
        <v>13500</v>
      </c>
      <c r="D374" s="56">
        <f t="shared" si="5"/>
        <v>25515000</v>
      </c>
    </row>
    <row r="375" spans="1:4" ht="18.75" hidden="1" x14ac:dyDescent="0.25">
      <c r="A375" s="12" t="s">
        <v>20</v>
      </c>
      <c r="B375" s="7"/>
      <c r="C375" s="7"/>
      <c r="D375" s="7">
        <f t="shared" si="5"/>
        <v>0</v>
      </c>
    </row>
    <row r="376" spans="1:4" ht="18.75" hidden="1" x14ac:dyDescent="0.25">
      <c r="A376" s="12" t="s">
        <v>21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22</v>
      </c>
      <c r="B377" s="7"/>
      <c r="C377" s="7"/>
      <c r="D377" s="7">
        <f t="shared" si="5"/>
        <v>0</v>
      </c>
    </row>
    <row r="378" spans="1:4" ht="18.75" hidden="1" x14ac:dyDescent="0.25">
      <c r="A378" s="9" t="s">
        <v>23</v>
      </c>
      <c r="B378" s="7"/>
      <c r="C378" s="7"/>
      <c r="D378" s="7">
        <f t="shared" si="5"/>
        <v>0</v>
      </c>
    </row>
    <row r="379" spans="1:4" ht="18.75" x14ac:dyDescent="0.25">
      <c r="A379" s="9" t="s">
        <v>24</v>
      </c>
      <c r="B379" s="7">
        <v>30</v>
      </c>
      <c r="C379" s="7">
        <v>16000</v>
      </c>
      <c r="D379" s="7">
        <f t="shared" si="5"/>
        <v>480000</v>
      </c>
    </row>
    <row r="380" spans="1:4" ht="18.75" hidden="1" x14ac:dyDescent="0.25">
      <c r="A380" s="9" t="s">
        <v>25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26</v>
      </c>
      <c r="B381" s="7"/>
      <c r="C381" s="7"/>
      <c r="D381" s="7">
        <f t="shared" si="5"/>
        <v>0</v>
      </c>
    </row>
    <row r="382" spans="1:4" ht="18.75" hidden="1" x14ac:dyDescent="0.25">
      <c r="A382" s="9" t="s">
        <v>27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29</v>
      </c>
      <c r="B383" s="7"/>
      <c r="C383" s="7"/>
      <c r="D383" s="7">
        <f t="shared" si="5"/>
        <v>0</v>
      </c>
    </row>
    <row r="384" spans="1:4" ht="18.75" hidden="1" x14ac:dyDescent="0.25">
      <c r="A384" s="12" t="s">
        <v>37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38</v>
      </c>
      <c r="B385" s="7"/>
      <c r="C385" s="7"/>
      <c r="D385" s="7">
        <f t="shared" si="5"/>
        <v>0</v>
      </c>
    </row>
    <row r="386" spans="1:4" ht="18.75" hidden="1" x14ac:dyDescent="0.25">
      <c r="A386" s="9" t="s">
        <v>39</v>
      </c>
      <c r="B386" s="7"/>
      <c r="C386" s="7"/>
      <c r="D386" s="7">
        <f t="shared" si="5"/>
        <v>0</v>
      </c>
    </row>
    <row r="387" spans="1:4" ht="18.75" hidden="1" x14ac:dyDescent="0.25">
      <c r="A387" s="11" t="s">
        <v>340</v>
      </c>
      <c r="B387" s="16"/>
      <c r="C387" s="16"/>
      <c r="D387" s="7">
        <f t="shared" si="5"/>
        <v>0</v>
      </c>
    </row>
    <row r="388" spans="1:4" ht="18.75" hidden="1" x14ac:dyDescent="0.25">
      <c r="A388" s="11" t="s">
        <v>40</v>
      </c>
      <c r="B388" s="16"/>
      <c r="C388" s="16"/>
      <c r="D388" s="7">
        <f t="shared" si="5"/>
        <v>0</v>
      </c>
    </row>
    <row r="389" spans="1:4" ht="18.75" hidden="1" x14ac:dyDescent="0.25">
      <c r="A389" s="9" t="s">
        <v>41</v>
      </c>
      <c r="B389" s="7"/>
      <c r="C389" s="7"/>
      <c r="D389" s="7">
        <f t="shared" ref="D389:D452" si="6">B389*C389</f>
        <v>0</v>
      </c>
    </row>
    <row r="390" spans="1:4" ht="18.75" hidden="1" x14ac:dyDescent="0.25">
      <c r="A390" s="9" t="s">
        <v>42</v>
      </c>
      <c r="B390" s="7"/>
      <c r="C390" s="7"/>
      <c r="D390" s="7">
        <f t="shared" si="6"/>
        <v>0</v>
      </c>
    </row>
    <row r="391" spans="1:4" ht="18.75" hidden="1" x14ac:dyDescent="0.25">
      <c r="A391" s="17" t="s">
        <v>43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44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45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46</v>
      </c>
      <c r="B394" s="7"/>
      <c r="C394" s="7"/>
      <c r="D394" s="7">
        <f t="shared" si="6"/>
        <v>0</v>
      </c>
    </row>
    <row r="395" spans="1:4" ht="18.75" hidden="1" x14ac:dyDescent="0.25">
      <c r="A395" s="9" t="s">
        <v>47</v>
      </c>
      <c r="B395" s="7"/>
      <c r="C395" s="7"/>
      <c r="D395" s="7">
        <f t="shared" si="6"/>
        <v>0</v>
      </c>
    </row>
    <row r="396" spans="1:4" ht="18.75" hidden="1" x14ac:dyDescent="0.25">
      <c r="A396" s="13" t="s">
        <v>48</v>
      </c>
      <c r="B396" s="7"/>
      <c r="C396" s="7"/>
      <c r="D396" s="7">
        <f t="shared" si="6"/>
        <v>0</v>
      </c>
    </row>
    <row r="397" spans="1:4" ht="18.75" hidden="1" x14ac:dyDescent="0.25">
      <c r="A397" s="11" t="s">
        <v>49</v>
      </c>
      <c r="B397" s="7"/>
      <c r="C397" s="7"/>
      <c r="D397" s="7">
        <f t="shared" si="6"/>
        <v>0</v>
      </c>
    </row>
    <row r="398" spans="1:4" ht="18.75" hidden="1" x14ac:dyDescent="0.25">
      <c r="A398" s="13" t="s">
        <v>50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51</v>
      </c>
      <c r="B399" s="7"/>
      <c r="C399" s="7"/>
      <c r="D399" s="7">
        <f t="shared" si="6"/>
        <v>0</v>
      </c>
    </row>
    <row r="400" spans="1:4" ht="18.75" hidden="1" x14ac:dyDescent="0.25">
      <c r="A400" s="9" t="s">
        <v>52</v>
      </c>
      <c r="B400" s="7"/>
      <c r="C400" s="7"/>
      <c r="D400" s="7">
        <f t="shared" si="6"/>
        <v>0</v>
      </c>
    </row>
    <row r="401" spans="1:4" ht="18.75" x14ac:dyDescent="0.25">
      <c r="A401" s="12" t="s">
        <v>53</v>
      </c>
      <c r="B401" s="7">
        <v>300</v>
      </c>
      <c r="C401" s="7">
        <v>20000</v>
      </c>
      <c r="D401" s="7">
        <f t="shared" si="6"/>
        <v>6000000</v>
      </c>
    </row>
    <row r="402" spans="1:4" ht="18.75" hidden="1" x14ac:dyDescent="0.25">
      <c r="A402" s="18" t="s">
        <v>54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55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56</v>
      </c>
      <c r="B404" s="7"/>
      <c r="C404" s="7"/>
      <c r="D404" s="7">
        <f t="shared" si="6"/>
        <v>0</v>
      </c>
    </row>
    <row r="405" spans="1:4" ht="18.75" hidden="1" x14ac:dyDescent="0.25">
      <c r="A405" s="17" t="s">
        <v>57</v>
      </c>
      <c r="B405" s="7"/>
      <c r="C405" s="7"/>
      <c r="D405" s="7">
        <f t="shared" si="6"/>
        <v>0</v>
      </c>
    </row>
    <row r="406" spans="1:4" ht="18.75" hidden="1" x14ac:dyDescent="0.25">
      <c r="A406" s="9" t="s">
        <v>58</v>
      </c>
      <c r="B406" s="7"/>
      <c r="C406" s="7"/>
      <c r="D406" s="7">
        <f t="shared" si="6"/>
        <v>0</v>
      </c>
    </row>
    <row r="407" spans="1:4" ht="18.75" hidden="1" x14ac:dyDescent="0.25">
      <c r="A407" s="11" t="s">
        <v>59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60</v>
      </c>
      <c r="B408" s="7"/>
      <c r="C408" s="7"/>
      <c r="D408" s="7">
        <f t="shared" si="6"/>
        <v>0</v>
      </c>
    </row>
    <row r="409" spans="1:4" ht="18.75" hidden="1" x14ac:dyDescent="0.25">
      <c r="A409" s="9" t="s">
        <v>61</v>
      </c>
      <c r="B409" s="7"/>
      <c r="C409" s="7"/>
      <c r="D409" s="7">
        <f t="shared" si="6"/>
        <v>0</v>
      </c>
    </row>
    <row r="410" spans="1:4" ht="18.75" hidden="1" x14ac:dyDescent="0.25">
      <c r="A410" s="17" t="s">
        <v>62</v>
      </c>
      <c r="B410" s="7"/>
      <c r="C410" s="7"/>
      <c r="D410" s="7">
        <f t="shared" si="6"/>
        <v>0</v>
      </c>
    </row>
    <row r="411" spans="1:4" ht="18.75" hidden="1" x14ac:dyDescent="0.25">
      <c r="A411" s="9" t="s">
        <v>63</v>
      </c>
      <c r="B411" s="7"/>
      <c r="C411" s="7"/>
      <c r="D411" s="7">
        <f t="shared" si="6"/>
        <v>0</v>
      </c>
    </row>
    <row r="412" spans="1:4" ht="18.75" hidden="1" x14ac:dyDescent="0.25">
      <c r="A412" s="19" t="s">
        <v>64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65</v>
      </c>
      <c r="B413" s="7"/>
      <c r="C413" s="7"/>
      <c r="D413" s="7">
        <f t="shared" si="6"/>
        <v>0</v>
      </c>
    </row>
    <row r="414" spans="1:4" ht="18.75" hidden="1" x14ac:dyDescent="0.25">
      <c r="A414" s="9" t="s">
        <v>66</v>
      </c>
      <c r="B414" s="7"/>
      <c r="C414" s="7"/>
      <c r="D414" s="7">
        <f t="shared" si="6"/>
        <v>0</v>
      </c>
    </row>
    <row r="415" spans="1:4" ht="18.75" hidden="1" x14ac:dyDescent="0.25">
      <c r="A415" s="20" t="s">
        <v>67</v>
      </c>
      <c r="B415" s="7"/>
      <c r="C415" s="7"/>
      <c r="D415" s="7">
        <f t="shared" si="6"/>
        <v>0</v>
      </c>
    </row>
    <row r="416" spans="1:4" ht="18.75" hidden="1" x14ac:dyDescent="0.25">
      <c r="A416" s="42" t="s">
        <v>68</v>
      </c>
      <c r="B416" s="7"/>
      <c r="C416" s="7"/>
      <c r="D416" s="7">
        <f t="shared" si="6"/>
        <v>0</v>
      </c>
    </row>
    <row r="417" spans="1:4" ht="18.75" hidden="1" x14ac:dyDescent="0.25">
      <c r="A417" s="12" t="s">
        <v>69</v>
      </c>
      <c r="B417" s="7"/>
      <c r="C417" s="7"/>
      <c r="D417" s="7">
        <f t="shared" si="6"/>
        <v>0</v>
      </c>
    </row>
    <row r="418" spans="1:4" ht="18.75" hidden="1" x14ac:dyDescent="0.25">
      <c r="A418" s="11" t="s">
        <v>70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71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72</v>
      </c>
      <c r="B420" s="7"/>
      <c r="C420" s="7"/>
      <c r="D420" s="7">
        <f t="shared" si="6"/>
        <v>0</v>
      </c>
    </row>
    <row r="421" spans="1:4" ht="18.75" hidden="1" x14ac:dyDescent="0.25">
      <c r="A421" s="12" t="s">
        <v>73</v>
      </c>
      <c r="B421" s="7"/>
      <c r="C421" s="7"/>
      <c r="D421" s="7">
        <f t="shared" si="6"/>
        <v>0</v>
      </c>
    </row>
    <row r="422" spans="1:4" ht="18.75" hidden="1" x14ac:dyDescent="0.25">
      <c r="A422" s="20" t="s">
        <v>74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75</v>
      </c>
      <c r="B423" s="7"/>
      <c r="C423" s="7"/>
      <c r="D423" s="7">
        <f t="shared" si="6"/>
        <v>0</v>
      </c>
    </row>
    <row r="424" spans="1:4" ht="18.75" hidden="1" x14ac:dyDescent="0.25">
      <c r="A424" s="9" t="s">
        <v>76</v>
      </c>
      <c r="B424" s="7"/>
      <c r="C424" s="7"/>
      <c r="D424" s="7">
        <f t="shared" si="6"/>
        <v>0</v>
      </c>
    </row>
    <row r="425" spans="1:4" ht="18.75" hidden="1" x14ac:dyDescent="0.25">
      <c r="A425" s="12" t="s">
        <v>341</v>
      </c>
      <c r="B425" s="7"/>
      <c r="C425" s="7"/>
      <c r="D425" s="7">
        <f t="shared" si="6"/>
        <v>0</v>
      </c>
    </row>
    <row r="426" spans="1:4" ht="18.75" x14ac:dyDescent="0.25">
      <c r="A426" s="9" t="s">
        <v>77</v>
      </c>
      <c r="B426" s="7">
        <v>100</v>
      </c>
      <c r="C426" s="7">
        <v>23000</v>
      </c>
      <c r="D426" s="7">
        <f t="shared" si="6"/>
        <v>2300000</v>
      </c>
    </row>
    <row r="427" spans="1:4" ht="18.75" hidden="1" x14ac:dyDescent="0.25">
      <c r="A427" s="13" t="s">
        <v>78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79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80</v>
      </c>
      <c r="B429" s="7"/>
      <c r="C429" s="7"/>
      <c r="D429" s="7">
        <f t="shared" si="6"/>
        <v>0</v>
      </c>
    </row>
    <row r="430" spans="1:4" ht="18.75" hidden="1" x14ac:dyDescent="0.25">
      <c r="A430" s="9" t="s">
        <v>81</v>
      </c>
      <c r="B430" s="7"/>
      <c r="C430" s="7"/>
      <c r="D430" s="7">
        <f t="shared" si="6"/>
        <v>0</v>
      </c>
    </row>
    <row r="431" spans="1:4" ht="18.75" hidden="1" x14ac:dyDescent="0.25">
      <c r="A431" s="12" t="s">
        <v>82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83</v>
      </c>
      <c r="B432" s="16"/>
      <c r="C432" s="16"/>
      <c r="D432" s="7">
        <f t="shared" si="6"/>
        <v>0</v>
      </c>
    </row>
    <row r="433" spans="1:4" ht="18.75" hidden="1" x14ac:dyDescent="0.25">
      <c r="A433" s="12" t="s">
        <v>84</v>
      </c>
      <c r="B433" s="16"/>
      <c r="C433" s="16"/>
      <c r="D433" s="7">
        <f t="shared" si="6"/>
        <v>0</v>
      </c>
    </row>
    <row r="434" spans="1:4" ht="18.75" hidden="1" x14ac:dyDescent="0.25">
      <c r="A434" s="9" t="s">
        <v>85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86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87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88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89</v>
      </c>
      <c r="B438" s="7"/>
      <c r="C438" s="7"/>
      <c r="D438" s="7">
        <f t="shared" si="6"/>
        <v>0</v>
      </c>
    </row>
    <row r="439" spans="1:4" ht="18.75" hidden="1" x14ac:dyDescent="0.25">
      <c r="A439" s="9" t="s">
        <v>90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91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92</v>
      </c>
      <c r="B441" s="7"/>
      <c r="C441" s="7"/>
      <c r="D441" s="7">
        <f t="shared" si="6"/>
        <v>0</v>
      </c>
    </row>
    <row r="442" spans="1:4" ht="18.75" hidden="1" x14ac:dyDescent="0.25">
      <c r="A442" s="21" t="s">
        <v>93</v>
      </c>
      <c r="B442" s="7"/>
      <c r="C442" s="7"/>
      <c r="D442" s="7">
        <f t="shared" si="6"/>
        <v>0</v>
      </c>
    </row>
    <row r="443" spans="1:4" ht="18.75" hidden="1" x14ac:dyDescent="0.25">
      <c r="A443" s="11" t="s">
        <v>94</v>
      </c>
      <c r="B443" s="7"/>
      <c r="C443" s="7"/>
      <c r="D443" s="7">
        <f t="shared" si="6"/>
        <v>0</v>
      </c>
    </row>
    <row r="444" spans="1:4" ht="18.75" hidden="1" x14ac:dyDescent="0.25">
      <c r="A444" s="13" t="s">
        <v>95</v>
      </c>
      <c r="B444" s="7"/>
      <c r="C444" s="7"/>
      <c r="D444" s="7">
        <f t="shared" si="6"/>
        <v>0</v>
      </c>
    </row>
    <row r="445" spans="1:4" ht="18.75" hidden="1" x14ac:dyDescent="0.25">
      <c r="A445" s="11" t="s">
        <v>342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96</v>
      </c>
      <c r="B446" s="7"/>
      <c r="C446" s="7"/>
      <c r="D446" s="7">
        <f t="shared" si="6"/>
        <v>0</v>
      </c>
    </row>
    <row r="447" spans="1:4" ht="18.75" hidden="1" x14ac:dyDescent="0.25">
      <c r="A447" s="9" t="s">
        <v>97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343</v>
      </c>
      <c r="B448" s="7"/>
      <c r="C448" s="7"/>
      <c r="D448" s="7">
        <f t="shared" si="6"/>
        <v>0</v>
      </c>
    </row>
    <row r="449" spans="1:4" ht="18.75" hidden="1" x14ac:dyDescent="0.25">
      <c r="A449" s="11" t="s">
        <v>344</v>
      </c>
      <c r="B449" s="7"/>
      <c r="C449" s="7"/>
      <c r="D449" s="7">
        <f t="shared" si="6"/>
        <v>0</v>
      </c>
    </row>
    <row r="450" spans="1:4" ht="18.75" hidden="1" x14ac:dyDescent="0.25">
      <c r="A450" s="9" t="s">
        <v>99</v>
      </c>
      <c r="B450" s="16"/>
      <c r="C450" s="16"/>
      <c r="D450" s="7">
        <f t="shared" si="6"/>
        <v>0</v>
      </c>
    </row>
    <row r="451" spans="1:4" ht="18.75" hidden="1" x14ac:dyDescent="0.25">
      <c r="A451" s="21" t="s">
        <v>101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102</v>
      </c>
      <c r="B452" s="7"/>
      <c r="C452" s="7"/>
      <c r="D452" s="7">
        <f t="shared" si="6"/>
        <v>0</v>
      </c>
    </row>
    <row r="453" spans="1:4" ht="18.75" hidden="1" x14ac:dyDescent="0.25">
      <c r="A453" s="11" t="s">
        <v>345</v>
      </c>
      <c r="B453" s="7"/>
      <c r="C453" s="7"/>
      <c r="D453" s="7">
        <f t="shared" ref="D453:D516" si="7">B453*C453</f>
        <v>0</v>
      </c>
    </row>
    <row r="454" spans="1:4" ht="18.75" x14ac:dyDescent="0.25">
      <c r="A454" s="55" t="s">
        <v>103</v>
      </c>
      <c r="B454" s="56">
        <f>5800-350</f>
        <v>5450</v>
      </c>
      <c r="C454" s="56">
        <v>8000</v>
      </c>
      <c r="D454" s="56">
        <f t="shared" si="7"/>
        <v>43600000</v>
      </c>
    </row>
    <row r="455" spans="1:4" ht="18.75" hidden="1" x14ac:dyDescent="0.25">
      <c r="A455" s="17" t="s">
        <v>104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105</v>
      </c>
      <c r="B456" s="7"/>
      <c r="C456" s="7"/>
      <c r="D456" s="7">
        <f t="shared" si="7"/>
        <v>0</v>
      </c>
    </row>
    <row r="457" spans="1:4" ht="18.75" hidden="1" x14ac:dyDescent="0.25">
      <c r="A457" s="24" t="s">
        <v>106</v>
      </c>
      <c r="B457" s="7"/>
      <c r="C457" s="7"/>
      <c r="D457" s="7">
        <f t="shared" si="7"/>
        <v>0</v>
      </c>
    </row>
    <row r="458" spans="1:4" ht="18.75" hidden="1" x14ac:dyDescent="0.25">
      <c r="A458" s="23" t="s">
        <v>107</v>
      </c>
      <c r="B458" s="7"/>
      <c r="C458" s="7"/>
      <c r="D458" s="7">
        <f t="shared" si="7"/>
        <v>0</v>
      </c>
    </row>
    <row r="459" spans="1:4" ht="18.75" hidden="1" x14ac:dyDescent="0.25">
      <c r="A459" s="25" t="s">
        <v>108</v>
      </c>
      <c r="B459" s="7"/>
      <c r="C459" s="7"/>
      <c r="D459" s="7">
        <f t="shared" si="7"/>
        <v>0</v>
      </c>
    </row>
    <row r="460" spans="1:4" ht="18.75" hidden="1" x14ac:dyDescent="0.25">
      <c r="A460" s="9" t="s">
        <v>109</v>
      </c>
      <c r="B460" s="7"/>
      <c r="C460" s="7"/>
      <c r="D460" s="7">
        <f t="shared" si="7"/>
        <v>0</v>
      </c>
    </row>
    <row r="461" spans="1:4" ht="18.75" hidden="1" x14ac:dyDescent="0.25">
      <c r="A461" s="9" t="s">
        <v>110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111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112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114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115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346</v>
      </c>
      <c r="B466" s="7"/>
      <c r="C466" s="7"/>
      <c r="D466" s="7">
        <f t="shared" si="7"/>
        <v>0</v>
      </c>
    </row>
    <row r="467" spans="1:4" ht="18.75" hidden="1" x14ac:dyDescent="0.25">
      <c r="A467" s="9" t="s">
        <v>116</v>
      </c>
      <c r="B467" s="7"/>
      <c r="C467" s="7"/>
      <c r="D467" s="7">
        <f t="shared" si="7"/>
        <v>0</v>
      </c>
    </row>
    <row r="468" spans="1:4" ht="18.75" hidden="1" x14ac:dyDescent="0.25">
      <c r="A468" s="11" t="s">
        <v>117</v>
      </c>
      <c r="B468" s="7"/>
      <c r="C468" s="7"/>
      <c r="D468" s="7">
        <f t="shared" si="7"/>
        <v>0</v>
      </c>
    </row>
    <row r="469" spans="1:4" ht="18.75" hidden="1" x14ac:dyDescent="0.25">
      <c r="A469" s="21" t="s">
        <v>118</v>
      </c>
      <c r="B469" s="7"/>
      <c r="C469" s="7"/>
      <c r="D469" s="7">
        <f t="shared" si="7"/>
        <v>0</v>
      </c>
    </row>
    <row r="470" spans="1:4" ht="18.75" hidden="1" x14ac:dyDescent="0.25">
      <c r="A470" s="9" t="s">
        <v>119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120</v>
      </c>
      <c r="B471" s="7"/>
      <c r="C471" s="7"/>
      <c r="D471" s="7">
        <f t="shared" si="7"/>
        <v>0</v>
      </c>
    </row>
    <row r="472" spans="1:4" ht="18.75" hidden="1" x14ac:dyDescent="0.25">
      <c r="A472" s="11" t="s">
        <v>121</v>
      </c>
      <c r="B472" s="7"/>
      <c r="C472" s="7"/>
      <c r="D472" s="7">
        <f t="shared" si="7"/>
        <v>0</v>
      </c>
    </row>
    <row r="473" spans="1:4" ht="18.75" x14ac:dyDescent="0.25">
      <c r="A473" s="9" t="s">
        <v>122</v>
      </c>
      <c r="B473" s="7">
        <v>20</v>
      </c>
      <c r="C473" s="7">
        <v>14000</v>
      </c>
      <c r="D473" s="7">
        <f t="shared" si="7"/>
        <v>280000</v>
      </c>
    </row>
    <row r="474" spans="1:4" ht="18.75" hidden="1" x14ac:dyDescent="0.25">
      <c r="A474" s="10" t="s">
        <v>124</v>
      </c>
      <c r="B474" s="7"/>
      <c r="C474" s="7"/>
      <c r="D474" s="7">
        <f t="shared" si="7"/>
        <v>0</v>
      </c>
    </row>
    <row r="475" spans="1:4" ht="18.75" hidden="1" x14ac:dyDescent="0.25">
      <c r="A475" s="13" t="s">
        <v>125</v>
      </c>
      <c r="B475" s="7"/>
      <c r="C475" s="7"/>
      <c r="D475" s="7">
        <f t="shared" si="7"/>
        <v>0</v>
      </c>
    </row>
    <row r="476" spans="1:4" ht="18.75" hidden="1" x14ac:dyDescent="0.25">
      <c r="A476" s="12" t="s">
        <v>126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127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128</v>
      </c>
      <c r="B478" s="16"/>
      <c r="C478" s="16"/>
      <c r="D478" s="7">
        <f t="shared" si="7"/>
        <v>0</v>
      </c>
    </row>
    <row r="479" spans="1:4" ht="18.75" hidden="1" x14ac:dyDescent="0.25">
      <c r="A479" s="12" t="s">
        <v>129</v>
      </c>
      <c r="B479" s="27"/>
      <c r="C479" s="27"/>
      <c r="D479" s="7">
        <f t="shared" si="7"/>
        <v>0</v>
      </c>
    </row>
    <row r="480" spans="1:4" ht="18.75" hidden="1" x14ac:dyDescent="0.25">
      <c r="A480" s="28" t="s">
        <v>130</v>
      </c>
      <c r="B480" s="7"/>
      <c r="C480" s="7"/>
      <c r="D480" s="7">
        <f t="shared" si="7"/>
        <v>0</v>
      </c>
    </row>
    <row r="481" spans="1:4" ht="18.75" hidden="1" x14ac:dyDescent="0.25">
      <c r="A481" s="12" t="s">
        <v>131</v>
      </c>
      <c r="B481" s="16"/>
      <c r="C481" s="16"/>
      <c r="D481" s="7">
        <f t="shared" si="7"/>
        <v>0</v>
      </c>
    </row>
    <row r="482" spans="1:4" ht="18.75" hidden="1" x14ac:dyDescent="0.25">
      <c r="A482" s="9" t="s">
        <v>132</v>
      </c>
      <c r="B482" s="7"/>
      <c r="C482" s="7"/>
      <c r="D482" s="7">
        <f t="shared" si="7"/>
        <v>0</v>
      </c>
    </row>
    <row r="483" spans="1:4" ht="18.75" hidden="1" x14ac:dyDescent="0.25">
      <c r="A483" s="9" t="s">
        <v>133</v>
      </c>
      <c r="B483" s="7"/>
      <c r="C483" s="7"/>
      <c r="D483" s="7">
        <f t="shared" si="7"/>
        <v>0</v>
      </c>
    </row>
    <row r="484" spans="1:4" ht="18.75" x14ac:dyDescent="0.25">
      <c r="A484" s="9" t="s">
        <v>135</v>
      </c>
      <c r="B484" s="7">
        <v>60</v>
      </c>
      <c r="C484" s="7">
        <v>18000</v>
      </c>
      <c r="D484" s="7">
        <f t="shared" si="7"/>
        <v>1080000</v>
      </c>
    </row>
    <row r="485" spans="1:4" ht="18.75" hidden="1" x14ac:dyDescent="0.25">
      <c r="A485" s="17" t="s">
        <v>136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137</v>
      </c>
      <c r="B486" s="7"/>
      <c r="C486" s="7"/>
      <c r="D486" s="7">
        <f t="shared" si="7"/>
        <v>0</v>
      </c>
    </row>
    <row r="487" spans="1:4" ht="18.75" hidden="1" x14ac:dyDescent="0.25">
      <c r="A487" s="12" t="s">
        <v>138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139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347</v>
      </c>
      <c r="B489" s="7"/>
      <c r="C489" s="7"/>
      <c r="D489" s="7">
        <f t="shared" si="7"/>
        <v>0</v>
      </c>
    </row>
    <row r="490" spans="1:4" ht="18.75" hidden="1" x14ac:dyDescent="0.25">
      <c r="A490" s="9" t="s">
        <v>141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142</v>
      </c>
      <c r="B491" s="16"/>
      <c r="C491" s="16"/>
      <c r="D491" s="7">
        <f t="shared" si="7"/>
        <v>0</v>
      </c>
    </row>
    <row r="492" spans="1:4" ht="18.75" hidden="1" x14ac:dyDescent="0.25">
      <c r="A492" s="9" t="s">
        <v>143</v>
      </c>
      <c r="B492" s="7"/>
      <c r="C492" s="7"/>
      <c r="D492" s="7">
        <f t="shared" si="7"/>
        <v>0</v>
      </c>
    </row>
    <row r="493" spans="1:4" ht="18.75" hidden="1" x14ac:dyDescent="0.25">
      <c r="A493" s="9" t="s">
        <v>144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145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146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147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148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149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150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151</v>
      </c>
      <c r="B500" s="16"/>
      <c r="C500" s="16"/>
      <c r="D500" s="7">
        <f t="shared" si="7"/>
        <v>0</v>
      </c>
    </row>
    <row r="501" spans="1:4" ht="18.75" hidden="1" x14ac:dyDescent="0.25">
      <c r="A501" s="9" t="s">
        <v>152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348</v>
      </c>
      <c r="B502" s="7"/>
      <c r="C502" s="7"/>
      <c r="D502" s="7">
        <f t="shared" si="7"/>
        <v>0</v>
      </c>
    </row>
    <row r="503" spans="1:4" ht="18.75" hidden="1" x14ac:dyDescent="0.25">
      <c r="A503" s="9" t="s">
        <v>153</v>
      </c>
      <c r="B503" s="7"/>
      <c r="C503" s="7"/>
      <c r="D503" s="7">
        <f t="shared" si="7"/>
        <v>0</v>
      </c>
    </row>
    <row r="504" spans="1:4" ht="18.75" x14ac:dyDescent="0.25">
      <c r="A504" s="9" t="s">
        <v>154</v>
      </c>
      <c r="B504" s="7">
        <v>28</v>
      </c>
      <c r="C504" s="7">
        <v>14000</v>
      </c>
      <c r="D504" s="7">
        <f t="shared" si="7"/>
        <v>392000</v>
      </c>
    </row>
    <row r="505" spans="1:4" ht="18.75" hidden="1" x14ac:dyDescent="0.25">
      <c r="A505" s="9" t="s">
        <v>155</v>
      </c>
      <c r="B505" s="7"/>
      <c r="C505" s="7"/>
      <c r="D505" s="7">
        <f t="shared" si="7"/>
        <v>0</v>
      </c>
    </row>
    <row r="506" spans="1:4" ht="18.75" hidden="1" x14ac:dyDescent="0.25">
      <c r="A506" s="17" t="s">
        <v>156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157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158</v>
      </c>
      <c r="B508" s="7"/>
      <c r="C508" s="7"/>
      <c r="D508" s="7">
        <f t="shared" si="7"/>
        <v>0</v>
      </c>
    </row>
    <row r="509" spans="1:4" ht="18.75" hidden="1" x14ac:dyDescent="0.25">
      <c r="A509" s="9" t="s">
        <v>159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160</v>
      </c>
      <c r="B510" s="7"/>
      <c r="C510" s="7"/>
      <c r="D510" s="7">
        <f t="shared" si="7"/>
        <v>0</v>
      </c>
    </row>
    <row r="511" spans="1:4" ht="18.75" hidden="1" x14ac:dyDescent="0.25">
      <c r="A511" s="9" t="s">
        <v>161</v>
      </c>
      <c r="B511" s="16"/>
      <c r="C511" s="16"/>
      <c r="D511" s="7">
        <f t="shared" si="7"/>
        <v>0</v>
      </c>
    </row>
    <row r="512" spans="1:4" ht="18.75" hidden="1" x14ac:dyDescent="0.25">
      <c r="A512" s="18" t="s">
        <v>162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163</v>
      </c>
      <c r="B513" s="16"/>
      <c r="C513" s="16"/>
      <c r="D513" s="7">
        <f t="shared" si="7"/>
        <v>0</v>
      </c>
    </row>
    <row r="514" spans="1:4" ht="18.75" hidden="1" x14ac:dyDescent="0.25">
      <c r="A514" s="9" t="s">
        <v>165</v>
      </c>
      <c r="B514" s="7"/>
      <c r="C514" s="7"/>
      <c r="D514" s="7">
        <f t="shared" si="7"/>
        <v>0</v>
      </c>
    </row>
    <row r="515" spans="1:4" ht="18.75" hidden="1" x14ac:dyDescent="0.25">
      <c r="A515" s="17" t="s">
        <v>166</v>
      </c>
      <c r="B515" s="7"/>
      <c r="C515" s="7"/>
      <c r="D515" s="7">
        <f t="shared" si="7"/>
        <v>0</v>
      </c>
    </row>
    <row r="516" spans="1:4" ht="18.75" hidden="1" x14ac:dyDescent="0.25">
      <c r="A516" s="9" t="s">
        <v>349</v>
      </c>
      <c r="B516" s="7"/>
      <c r="C516" s="7"/>
      <c r="D516" s="7">
        <f t="shared" si="7"/>
        <v>0</v>
      </c>
    </row>
    <row r="517" spans="1:4" ht="18.75" hidden="1" x14ac:dyDescent="0.25">
      <c r="A517" s="12" t="s">
        <v>167</v>
      </c>
      <c r="B517" s="7"/>
      <c r="C517" s="7"/>
      <c r="D517" s="7">
        <f t="shared" ref="D517:D580" si="8">B517*C517</f>
        <v>0</v>
      </c>
    </row>
    <row r="518" spans="1:4" ht="18.75" hidden="1" x14ac:dyDescent="0.25">
      <c r="A518" s="9" t="s">
        <v>168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170</v>
      </c>
      <c r="B519" s="7"/>
      <c r="C519" s="7"/>
      <c r="D519" s="7">
        <f t="shared" si="8"/>
        <v>0</v>
      </c>
    </row>
    <row r="520" spans="1:4" ht="18.75" hidden="1" x14ac:dyDescent="0.25">
      <c r="A520" s="9" t="s">
        <v>171</v>
      </c>
      <c r="B520" s="7"/>
      <c r="C520" s="7"/>
      <c r="D520" s="7">
        <f t="shared" si="8"/>
        <v>0</v>
      </c>
    </row>
    <row r="521" spans="1:4" ht="18.75" hidden="1" x14ac:dyDescent="0.25">
      <c r="A521" s="20" t="s">
        <v>172</v>
      </c>
      <c r="B521" s="7"/>
      <c r="C521" s="7"/>
      <c r="D521" s="7">
        <f t="shared" si="8"/>
        <v>0</v>
      </c>
    </row>
    <row r="522" spans="1:4" ht="18.75" hidden="1" x14ac:dyDescent="0.25">
      <c r="A522" s="9" t="s">
        <v>173</v>
      </c>
      <c r="B522" s="7"/>
      <c r="C522" s="7"/>
      <c r="D522" s="7">
        <f t="shared" si="8"/>
        <v>0</v>
      </c>
    </row>
    <row r="523" spans="1:4" ht="18.75" hidden="1" x14ac:dyDescent="0.25">
      <c r="A523" s="31" t="s">
        <v>174</v>
      </c>
      <c r="B523" s="33"/>
      <c r="C523" s="33"/>
      <c r="D523" s="7">
        <f t="shared" si="8"/>
        <v>0</v>
      </c>
    </row>
    <row r="524" spans="1:4" ht="18.75" hidden="1" x14ac:dyDescent="0.25">
      <c r="A524" s="11" t="s">
        <v>175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176</v>
      </c>
      <c r="B525" s="7"/>
      <c r="C525" s="7"/>
      <c r="D525" s="7">
        <f t="shared" si="8"/>
        <v>0</v>
      </c>
    </row>
    <row r="526" spans="1:4" ht="18.75" hidden="1" x14ac:dyDescent="0.25">
      <c r="A526" s="9" t="s">
        <v>350</v>
      </c>
      <c r="B526" s="7"/>
      <c r="C526" s="7"/>
      <c r="D526" s="7">
        <f t="shared" si="8"/>
        <v>0</v>
      </c>
    </row>
    <row r="527" spans="1:4" ht="18.75" hidden="1" x14ac:dyDescent="0.25">
      <c r="A527" s="12" t="s">
        <v>178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179</v>
      </c>
      <c r="B528" s="7"/>
      <c r="C528" s="7"/>
      <c r="D528" s="7">
        <f t="shared" si="8"/>
        <v>0</v>
      </c>
    </row>
    <row r="529" spans="1:4" ht="18.75" hidden="1" x14ac:dyDescent="0.25">
      <c r="A529" s="9" t="s">
        <v>180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181</v>
      </c>
      <c r="B530" s="7"/>
      <c r="C530" s="7"/>
      <c r="D530" s="7">
        <f t="shared" si="8"/>
        <v>0</v>
      </c>
    </row>
    <row r="531" spans="1:4" ht="18.75" hidden="1" x14ac:dyDescent="0.25">
      <c r="A531" s="12" t="s">
        <v>182</v>
      </c>
      <c r="B531" s="7"/>
      <c r="C531" s="7"/>
      <c r="D531" s="7">
        <f t="shared" si="8"/>
        <v>0</v>
      </c>
    </row>
    <row r="532" spans="1:4" ht="18.75" x14ac:dyDescent="0.25">
      <c r="A532" s="12" t="s">
        <v>183</v>
      </c>
      <c r="B532" s="7">
        <v>500</v>
      </c>
      <c r="C532" s="7">
        <v>12000</v>
      </c>
      <c r="D532" s="7">
        <f t="shared" si="8"/>
        <v>6000000</v>
      </c>
    </row>
    <row r="533" spans="1:4" ht="18.75" hidden="1" x14ac:dyDescent="0.25">
      <c r="A533" s="9" t="s">
        <v>184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186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187</v>
      </c>
      <c r="B535" s="7"/>
      <c r="C535" s="7"/>
      <c r="D535" s="7">
        <f t="shared" si="8"/>
        <v>0</v>
      </c>
    </row>
    <row r="536" spans="1:4" ht="18.75" hidden="1" x14ac:dyDescent="0.25">
      <c r="A536" s="12" t="s">
        <v>188</v>
      </c>
      <c r="B536" s="7"/>
      <c r="C536" s="7"/>
      <c r="D536" s="7">
        <f t="shared" si="8"/>
        <v>0</v>
      </c>
    </row>
    <row r="537" spans="1:4" ht="18.75" hidden="1" x14ac:dyDescent="0.25">
      <c r="A537" s="9" t="s">
        <v>351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189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190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191</v>
      </c>
      <c r="B540" s="7"/>
      <c r="C540" s="7"/>
      <c r="D540" s="7">
        <f t="shared" si="8"/>
        <v>0</v>
      </c>
    </row>
    <row r="541" spans="1:4" ht="18.75" hidden="1" x14ac:dyDescent="0.25">
      <c r="A541" s="17" t="s">
        <v>192</v>
      </c>
      <c r="B541" s="7"/>
      <c r="C541" s="7"/>
      <c r="D541" s="7">
        <f t="shared" si="8"/>
        <v>0</v>
      </c>
    </row>
    <row r="542" spans="1:4" ht="18.75" hidden="1" x14ac:dyDescent="0.25">
      <c r="A542" s="12" t="s">
        <v>193</v>
      </c>
      <c r="B542" s="7"/>
      <c r="C542" s="7"/>
      <c r="D542" s="7">
        <f t="shared" si="8"/>
        <v>0</v>
      </c>
    </row>
    <row r="543" spans="1:4" ht="18.75" hidden="1" x14ac:dyDescent="0.25">
      <c r="A543" s="9" t="s">
        <v>194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195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196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197</v>
      </c>
      <c r="B546" s="7"/>
      <c r="C546" s="7"/>
      <c r="D546" s="7">
        <f t="shared" si="8"/>
        <v>0</v>
      </c>
    </row>
    <row r="547" spans="1:4" ht="18.75" hidden="1" x14ac:dyDescent="0.25">
      <c r="A547" s="34" t="s">
        <v>198</v>
      </c>
      <c r="B547" s="7"/>
      <c r="C547" s="7"/>
      <c r="D547" s="7">
        <f t="shared" si="8"/>
        <v>0</v>
      </c>
    </row>
    <row r="548" spans="1:4" ht="18.75" hidden="1" x14ac:dyDescent="0.25">
      <c r="A548" s="9" t="s">
        <v>199</v>
      </c>
      <c r="B548" s="7"/>
      <c r="C548" s="7"/>
      <c r="D548" s="7">
        <f t="shared" si="8"/>
        <v>0</v>
      </c>
    </row>
    <row r="549" spans="1:4" ht="18.75" hidden="1" x14ac:dyDescent="0.25">
      <c r="A549" s="35" t="s">
        <v>352</v>
      </c>
      <c r="B549" s="7"/>
      <c r="C549" s="7"/>
      <c r="D549" s="7">
        <f t="shared" si="8"/>
        <v>0</v>
      </c>
    </row>
    <row r="550" spans="1:4" ht="18.75" hidden="1" x14ac:dyDescent="0.25">
      <c r="A550" s="9" t="s">
        <v>201</v>
      </c>
      <c r="B550" s="7"/>
      <c r="C550" s="7"/>
      <c r="D550" s="7">
        <f t="shared" si="8"/>
        <v>0</v>
      </c>
    </row>
    <row r="551" spans="1:4" ht="18.75" hidden="1" x14ac:dyDescent="0.25">
      <c r="A551" s="12" t="s">
        <v>202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353</v>
      </c>
      <c r="B552" s="7"/>
      <c r="C552" s="7"/>
      <c r="D552" s="7">
        <f t="shared" si="8"/>
        <v>0</v>
      </c>
    </row>
    <row r="553" spans="1:4" ht="18.75" hidden="1" x14ac:dyDescent="0.25">
      <c r="A553" s="9" t="s">
        <v>203</v>
      </c>
      <c r="B553" s="7"/>
      <c r="C553" s="7"/>
      <c r="D553" s="7">
        <f t="shared" si="8"/>
        <v>0</v>
      </c>
    </row>
    <row r="554" spans="1:4" ht="18.75" x14ac:dyDescent="0.25">
      <c r="A554" s="9" t="s">
        <v>204</v>
      </c>
      <c r="B554" s="7">
        <v>400</v>
      </c>
      <c r="C554" s="7">
        <v>19000</v>
      </c>
      <c r="D554" s="7">
        <f t="shared" si="8"/>
        <v>7600000</v>
      </c>
    </row>
    <row r="555" spans="1:4" ht="18.75" hidden="1" x14ac:dyDescent="0.25">
      <c r="A555" s="36" t="s">
        <v>205</v>
      </c>
      <c r="B555" s="7"/>
      <c r="C555" s="7"/>
      <c r="D555" s="7">
        <f t="shared" si="8"/>
        <v>0</v>
      </c>
    </row>
    <row r="556" spans="1:4" ht="18.75" hidden="1" x14ac:dyDescent="0.25">
      <c r="A556" s="36" t="s">
        <v>206</v>
      </c>
      <c r="B556" s="7"/>
      <c r="C556" s="7"/>
      <c r="D556" s="7">
        <f t="shared" si="8"/>
        <v>0</v>
      </c>
    </row>
    <row r="557" spans="1:4" ht="18.75" hidden="1" x14ac:dyDescent="0.25">
      <c r="A557" s="9" t="s">
        <v>207</v>
      </c>
      <c r="B557" s="7"/>
      <c r="C557" s="7"/>
      <c r="D557" s="7">
        <f t="shared" si="8"/>
        <v>0</v>
      </c>
    </row>
    <row r="558" spans="1:4" ht="18.75" hidden="1" x14ac:dyDescent="0.25">
      <c r="A558" s="11" t="s">
        <v>208</v>
      </c>
      <c r="B558" s="7"/>
      <c r="C558" s="7"/>
      <c r="D558" s="7">
        <f t="shared" si="8"/>
        <v>0</v>
      </c>
    </row>
    <row r="559" spans="1:4" ht="18.75" hidden="1" x14ac:dyDescent="0.25">
      <c r="A559" s="9" t="s">
        <v>209</v>
      </c>
      <c r="B559" s="7"/>
      <c r="C559" s="7"/>
      <c r="D559" s="7">
        <f t="shared" si="8"/>
        <v>0</v>
      </c>
    </row>
    <row r="560" spans="1:4" ht="18.75" hidden="1" x14ac:dyDescent="0.25">
      <c r="A560" s="11" t="s">
        <v>354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210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211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355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356</v>
      </c>
      <c r="B564" s="7"/>
      <c r="C564" s="7"/>
      <c r="D564" s="7">
        <f t="shared" si="8"/>
        <v>0</v>
      </c>
    </row>
    <row r="565" spans="1:4" ht="18.75" hidden="1" x14ac:dyDescent="0.25">
      <c r="A565" s="9" t="s">
        <v>212</v>
      </c>
      <c r="B565" s="7"/>
      <c r="C565" s="7"/>
      <c r="D565" s="7">
        <f t="shared" si="8"/>
        <v>0</v>
      </c>
    </row>
    <row r="566" spans="1:4" ht="18.75" hidden="1" x14ac:dyDescent="0.25">
      <c r="A566" s="37" t="s">
        <v>213</v>
      </c>
      <c r="B566" s="7"/>
      <c r="C566" s="7"/>
      <c r="D566" s="7">
        <f t="shared" si="8"/>
        <v>0</v>
      </c>
    </row>
    <row r="567" spans="1:4" ht="18.75" hidden="1" x14ac:dyDescent="0.25">
      <c r="A567" s="9" t="s">
        <v>214</v>
      </c>
      <c r="B567" s="7"/>
      <c r="C567" s="7"/>
      <c r="D567" s="7">
        <f t="shared" si="8"/>
        <v>0</v>
      </c>
    </row>
    <row r="568" spans="1:4" ht="18.75" x14ac:dyDescent="0.25">
      <c r="A568" s="9" t="s">
        <v>215</v>
      </c>
      <c r="B568" s="7">
        <v>300</v>
      </c>
      <c r="C568" s="7">
        <v>16000</v>
      </c>
      <c r="D568" s="7">
        <f t="shared" si="8"/>
        <v>4800000</v>
      </c>
    </row>
    <row r="569" spans="1:4" ht="18.75" hidden="1" x14ac:dyDescent="0.25">
      <c r="A569" s="9" t="s">
        <v>216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357</v>
      </c>
      <c r="B570" s="7"/>
      <c r="C570" s="7"/>
      <c r="D570" s="7">
        <f t="shared" si="8"/>
        <v>0</v>
      </c>
    </row>
    <row r="571" spans="1:4" ht="18.75" hidden="1" x14ac:dyDescent="0.25">
      <c r="A571" s="9" t="s">
        <v>217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218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219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220</v>
      </c>
      <c r="B574" s="7"/>
      <c r="C574" s="7"/>
      <c r="D574" s="7">
        <f t="shared" si="8"/>
        <v>0</v>
      </c>
    </row>
    <row r="575" spans="1:4" ht="18.75" hidden="1" x14ac:dyDescent="0.25">
      <c r="A575" s="17" t="s">
        <v>221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222</v>
      </c>
      <c r="B576" s="7"/>
      <c r="C576" s="7"/>
      <c r="D576" s="7">
        <f t="shared" si="8"/>
        <v>0</v>
      </c>
    </row>
    <row r="577" spans="1:4" ht="18.75" hidden="1" x14ac:dyDescent="0.25">
      <c r="A577" s="9" t="s">
        <v>223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224</v>
      </c>
      <c r="B578" s="7"/>
      <c r="C578" s="7"/>
      <c r="D578" s="7">
        <f t="shared" si="8"/>
        <v>0</v>
      </c>
    </row>
    <row r="579" spans="1:4" ht="18.75" hidden="1" x14ac:dyDescent="0.25">
      <c r="A579" s="17" t="s">
        <v>225</v>
      </c>
      <c r="B579" s="7"/>
      <c r="C579" s="7"/>
      <c r="D579" s="7">
        <f t="shared" si="8"/>
        <v>0</v>
      </c>
    </row>
    <row r="580" spans="1:4" ht="18.75" hidden="1" x14ac:dyDescent="0.25">
      <c r="A580" s="11" t="s">
        <v>226</v>
      </c>
      <c r="B580" s="7"/>
      <c r="C580" s="7"/>
      <c r="D580" s="7">
        <f t="shared" si="8"/>
        <v>0</v>
      </c>
    </row>
    <row r="581" spans="1:4" ht="18.75" hidden="1" x14ac:dyDescent="0.25">
      <c r="A581" s="12" t="s">
        <v>227</v>
      </c>
      <c r="B581" s="7"/>
      <c r="C581" s="7"/>
      <c r="D581" s="7">
        <f t="shared" ref="D581:D644" si="9">B581*C581</f>
        <v>0</v>
      </c>
    </row>
    <row r="582" spans="1:4" ht="18.75" hidden="1" x14ac:dyDescent="0.25">
      <c r="A582" s="21" t="s">
        <v>358</v>
      </c>
      <c r="B582" s="7"/>
      <c r="C582" s="7"/>
      <c r="D582" s="7">
        <f t="shared" si="9"/>
        <v>0</v>
      </c>
    </row>
    <row r="583" spans="1:4" ht="18.75" hidden="1" x14ac:dyDescent="0.25">
      <c r="A583" s="21" t="s">
        <v>359</v>
      </c>
      <c r="B583" s="7"/>
      <c r="C583" s="7"/>
      <c r="D583" s="7">
        <f t="shared" si="9"/>
        <v>0</v>
      </c>
    </row>
    <row r="584" spans="1:4" ht="18.75" hidden="1" x14ac:dyDescent="0.25">
      <c r="A584" s="11" t="s">
        <v>232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237</v>
      </c>
      <c r="B585" s="7"/>
      <c r="C585" s="7"/>
      <c r="D585" s="7">
        <f t="shared" si="9"/>
        <v>0</v>
      </c>
    </row>
    <row r="586" spans="1:4" ht="18.75" hidden="1" x14ac:dyDescent="0.25">
      <c r="A586" s="9" t="s">
        <v>238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239</v>
      </c>
      <c r="B587" s="7"/>
      <c r="C587" s="7"/>
      <c r="D587" s="7">
        <f t="shared" si="9"/>
        <v>0</v>
      </c>
    </row>
    <row r="588" spans="1:4" ht="18.75" hidden="1" x14ac:dyDescent="0.25">
      <c r="A588" s="13" t="s">
        <v>240</v>
      </c>
      <c r="B588" s="7"/>
      <c r="C588" s="7"/>
      <c r="D588" s="7">
        <f t="shared" si="9"/>
        <v>0</v>
      </c>
    </row>
    <row r="589" spans="1:4" ht="18.75" hidden="1" x14ac:dyDescent="0.25">
      <c r="A589" s="34" t="s">
        <v>241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242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243</v>
      </c>
      <c r="B591" s="7"/>
      <c r="C591" s="7"/>
      <c r="D591" s="7">
        <f t="shared" si="9"/>
        <v>0</v>
      </c>
    </row>
    <row r="592" spans="1:4" ht="18.75" hidden="1" x14ac:dyDescent="0.25">
      <c r="A592" s="9" t="s">
        <v>244</v>
      </c>
      <c r="B592" s="16"/>
      <c r="C592" s="16"/>
      <c r="D592" s="7">
        <f t="shared" si="9"/>
        <v>0</v>
      </c>
    </row>
    <row r="593" spans="1:4" ht="18.75" hidden="1" x14ac:dyDescent="0.25">
      <c r="A593" s="34" t="s">
        <v>245</v>
      </c>
      <c r="B593" s="7"/>
      <c r="C593" s="7"/>
      <c r="D593" s="7">
        <f t="shared" si="9"/>
        <v>0</v>
      </c>
    </row>
    <row r="594" spans="1:4" ht="18.75" hidden="1" x14ac:dyDescent="0.25">
      <c r="A594" s="9" t="s">
        <v>246</v>
      </c>
      <c r="B594" s="16"/>
      <c r="C594" s="16"/>
      <c r="D594" s="7">
        <f t="shared" si="9"/>
        <v>0</v>
      </c>
    </row>
    <row r="595" spans="1:4" ht="18.75" hidden="1" x14ac:dyDescent="0.25">
      <c r="A595" s="9" t="s">
        <v>247</v>
      </c>
      <c r="B595" s="7"/>
      <c r="C595" s="7"/>
      <c r="D595" s="7">
        <f t="shared" si="9"/>
        <v>0</v>
      </c>
    </row>
    <row r="596" spans="1:4" ht="18.75" hidden="1" x14ac:dyDescent="0.25">
      <c r="A596" s="11" t="s">
        <v>249</v>
      </c>
      <c r="B596" s="7"/>
      <c r="C596" s="7"/>
      <c r="D596" s="7">
        <f t="shared" si="9"/>
        <v>0</v>
      </c>
    </row>
    <row r="597" spans="1:4" ht="18.75" x14ac:dyDescent="0.25">
      <c r="A597" s="9" t="s">
        <v>250</v>
      </c>
      <c r="B597" s="7">
        <v>20</v>
      </c>
      <c r="C597" s="7">
        <v>27000</v>
      </c>
      <c r="D597" s="7">
        <f t="shared" si="9"/>
        <v>540000</v>
      </c>
    </row>
    <row r="598" spans="1:4" ht="18.75" hidden="1" x14ac:dyDescent="0.25">
      <c r="A598" s="9" t="s">
        <v>251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252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253</v>
      </c>
      <c r="B600" s="7"/>
      <c r="C600" s="7"/>
      <c r="D600" s="7">
        <f t="shared" si="9"/>
        <v>0</v>
      </c>
    </row>
    <row r="601" spans="1:4" ht="18.75" hidden="1" x14ac:dyDescent="0.25">
      <c r="A601" s="9" t="s">
        <v>254</v>
      </c>
      <c r="B601" s="7"/>
      <c r="C601" s="7"/>
      <c r="D601" s="7">
        <f t="shared" si="9"/>
        <v>0</v>
      </c>
    </row>
    <row r="602" spans="1:4" ht="18.75" hidden="1" x14ac:dyDescent="0.25">
      <c r="A602" s="17" t="s">
        <v>255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256</v>
      </c>
      <c r="B603" s="7"/>
      <c r="C603" s="7"/>
      <c r="D603" s="7">
        <f t="shared" si="9"/>
        <v>0</v>
      </c>
    </row>
    <row r="604" spans="1:4" ht="18.75" hidden="1" x14ac:dyDescent="0.25">
      <c r="A604" s="21" t="s">
        <v>257</v>
      </c>
      <c r="B604" s="7"/>
      <c r="C604" s="7"/>
      <c r="D604" s="7">
        <f t="shared" si="9"/>
        <v>0</v>
      </c>
    </row>
    <row r="605" spans="1:4" ht="18.75" x14ac:dyDescent="0.25">
      <c r="A605" s="9" t="s">
        <v>258</v>
      </c>
      <c r="B605" s="7">
        <v>20</v>
      </c>
      <c r="C605" s="7">
        <v>25000</v>
      </c>
      <c r="D605" s="7">
        <f t="shared" si="9"/>
        <v>500000</v>
      </c>
    </row>
    <row r="606" spans="1:4" ht="18.75" hidden="1" x14ac:dyDescent="0.25">
      <c r="A606" s="9" t="s">
        <v>259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260</v>
      </c>
      <c r="B607" s="7"/>
      <c r="C607" s="7"/>
      <c r="D607" s="7">
        <f t="shared" si="9"/>
        <v>0</v>
      </c>
    </row>
    <row r="608" spans="1:4" ht="18.75" hidden="1" x14ac:dyDescent="0.25">
      <c r="A608" s="9" t="s">
        <v>261</v>
      </c>
      <c r="B608" s="7"/>
      <c r="C608" s="7"/>
      <c r="D608" s="7">
        <f t="shared" si="9"/>
        <v>0</v>
      </c>
    </row>
    <row r="609" spans="1:4" ht="18.75" x14ac:dyDescent="0.25">
      <c r="A609" s="9" t="s">
        <v>262</v>
      </c>
      <c r="B609" s="7">
        <v>20</v>
      </c>
      <c r="C609" s="7">
        <v>23000</v>
      </c>
      <c r="D609" s="7">
        <f t="shared" si="9"/>
        <v>460000</v>
      </c>
    </row>
    <row r="610" spans="1:4" ht="18.75" hidden="1" x14ac:dyDescent="0.25">
      <c r="A610" s="9" t="s">
        <v>263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264</v>
      </c>
      <c r="B611" s="7"/>
      <c r="C611" s="7"/>
      <c r="D611" s="7">
        <f t="shared" si="9"/>
        <v>0</v>
      </c>
    </row>
    <row r="612" spans="1:4" ht="18.75" hidden="1" x14ac:dyDescent="0.25">
      <c r="A612" s="9" t="s">
        <v>265</v>
      </c>
      <c r="B612" s="16"/>
      <c r="C612" s="16"/>
      <c r="D612" s="7">
        <f t="shared" si="9"/>
        <v>0</v>
      </c>
    </row>
    <row r="613" spans="1:4" ht="18.75" hidden="1" x14ac:dyDescent="0.25">
      <c r="A613" s="13" t="s">
        <v>266</v>
      </c>
      <c r="B613" s="7"/>
      <c r="C613" s="7"/>
      <c r="D613" s="7">
        <f t="shared" si="9"/>
        <v>0</v>
      </c>
    </row>
    <row r="614" spans="1:4" ht="18.75" hidden="1" x14ac:dyDescent="0.25">
      <c r="A614" s="9" t="s">
        <v>267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360</v>
      </c>
      <c r="B615" s="7"/>
      <c r="C615" s="7"/>
      <c r="D615" s="7">
        <f t="shared" si="9"/>
        <v>0</v>
      </c>
    </row>
    <row r="616" spans="1:4" ht="18.75" hidden="1" x14ac:dyDescent="0.25">
      <c r="A616" s="11" t="s">
        <v>268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269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361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270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362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272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273</v>
      </c>
      <c r="B622" s="7"/>
      <c r="C622" s="7"/>
      <c r="D622" s="7">
        <f t="shared" si="9"/>
        <v>0</v>
      </c>
    </row>
    <row r="623" spans="1:4" ht="18.75" hidden="1" x14ac:dyDescent="0.25">
      <c r="A623" s="9" t="s">
        <v>274</v>
      </c>
      <c r="B623" s="7"/>
      <c r="C623" s="7"/>
      <c r="D623" s="7">
        <f t="shared" si="9"/>
        <v>0</v>
      </c>
    </row>
    <row r="624" spans="1:4" ht="18.75" hidden="1" x14ac:dyDescent="0.25">
      <c r="A624" s="34" t="s">
        <v>276</v>
      </c>
      <c r="B624" s="7"/>
      <c r="C624" s="7"/>
      <c r="D624" s="7">
        <f t="shared" si="9"/>
        <v>0</v>
      </c>
    </row>
    <row r="625" spans="1:4" ht="18.75" hidden="1" x14ac:dyDescent="0.25">
      <c r="A625" s="9" t="s">
        <v>277</v>
      </c>
      <c r="B625" s="7"/>
      <c r="C625" s="7"/>
      <c r="D625" s="7">
        <f t="shared" si="9"/>
        <v>0</v>
      </c>
    </row>
    <row r="626" spans="1:4" ht="18.75" hidden="1" x14ac:dyDescent="0.25">
      <c r="A626" s="34" t="s">
        <v>278</v>
      </c>
      <c r="B626" s="7"/>
      <c r="C626" s="7"/>
      <c r="D626" s="7">
        <f t="shared" si="9"/>
        <v>0</v>
      </c>
    </row>
    <row r="627" spans="1:4" ht="18.75" hidden="1" x14ac:dyDescent="0.25">
      <c r="A627" s="11" t="s">
        <v>363</v>
      </c>
      <c r="B627" s="7"/>
      <c r="C627" s="7"/>
      <c r="D627" s="7">
        <f t="shared" si="9"/>
        <v>0</v>
      </c>
    </row>
    <row r="628" spans="1:4" ht="18.75" hidden="1" x14ac:dyDescent="0.25">
      <c r="A628" s="34" t="s">
        <v>279</v>
      </c>
      <c r="B628" s="7"/>
      <c r="C628" s="7"/>
      <c r="D628" s="7">
        <f t="shared" si="9"/>
        <v>0</v>
      </c>
    </row>
    <row r="629" spans="1:4" ht="18.75" hidden="1" x14ac:dyDescent="0.25">
      <c r="A629" s="12" t="s">
        <v>280</v>
      </c>
      <c r="B629" s="16"/>
      <c r="C629" s="16"/>
      <c r="D629" s="7">
        <f t="shared" si="9"/>
        <v>0</v>
      </c>
    </row>
    <row r="630" spans="1:4" ht="18.75" hidden="1" x14ac:dyDescent="0.25">
      <c r="A630" s="17" t="s">
        <v>284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285</v>
      </c>
      <c r="B631" s="7"/>
      <c r="C631" s="7"/>
      <c r="D631" s="7">
        <f t="shared" si="9"/>
        <v>0</v>
      </c>
    </row>
    <row r="632" spans="1:4" ht="18.75" hidden="1" x14ac:dyDescent="0.25">
      <c r="A632" s="17" t="s">
        <v>286</v>
      </c>
      <c r="B632" s="7"/>
      <c r="C632" s="7"/>
      <c r="D632" s="7">
        <f t="shared" si="9"/>
        <v>0</v>
      </c>
    </row>
    <row r="633" spans="1:4" ht="18.75" hidden="1" x14ac:dyDescent="0.25">
      <c r="A633" s="9" t="s">
        <v>287</v>
      </c>
      <c r="B633" s="7"/>
      <c r="C633" s="7"/>
      <c r="D633" s="7">
        <f t="shared" si="9"/>
        <v>0</v>
      </c>
    </row>
    <row r="634" spans="1:4" ht="18.75" hidden="1" x14ac:dyDescent="0.25">
      <c r="A634" s="17" t="s">
        <v>288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289</v>
      </c>
      <c r="B635" s="7"/>
      <c r="C635" s="7"/>
      <c r="D635" s="7">
        <f t="shared" si="9"/>
        <v>0</v>
      </c>
    </row>
    <row r="636" spans="1:4" ht="18.75" hidden="1" x14ac:dyDescent="0.25">
      <c r="A636" s="9" t="s">
        <v>290</v>
      </c>
      <c r="B636" s="7"/>
      <c r="C636" s="7"/>
      <c r="D636" s="7">
        <f t="shared" si="9"/>
        <v>0</v>
      </c>
    </row>
    <row r="637" spans="1:4" ht="18.75" hidden="1" x14ac:dyDescent="0.25">
      <c r="A637" s="17" t="s">
        <v>291</v>
      </c>
      <c r="B637" s="7"/>
      <c r="C637" s="7"/>
      <c r="D637" s="7">
        <f t="shared" si="9"/>
        <v>0</v>
      </c>
    </row>
    <row r="638" spans="1:4" ht="18.75" hidden="1" x14ac:dyDescent="0.25">
      <c r="A638" s="25" t="s">
        <v>292</v>
      </c>
      <c r="B638" s="7"/>
      <c r="C638" s="7"/>
      <c r="D638" s="7">
        <f t="shared" si="9"/>
        <v>0</v>
      </c>
    </row>
    <row r="639" spans="1:4" ht="18.75" hidden="1" x14ac:dyDescent="0.25">
      <c r="A639" s="9" t="s">
        <v>293</v>
      </c>
      <c r="B639" s="7"/>
      <c r="C639" s="7"/>
      <c r="D639" s="7">
        <f t="shared" si="9"/>
        <v>0</v>
      </c>
    </row>
    <row r="640" spans="1:4" ht="18.75" hidden="1" x14ac:dyDescent="0.25">
      <c r="A640" s="13" t="s">
        <v>294</v>
      </c>
      <c r="B640" s="7"/>
      <c r="C640" s="7"/>
      <c r="D640" s="7">
        <f t="shared" si="9"/>
        <v>0</v>
      </c>
    </row>
    <row r="641" spans="1:4" ht="18.75" hidden="1" x14ac:dyDescent="0.25">
      <c r="A641" s="12" t="s">
        <v>296</v>
      </c>
      <c r="B641" s="7"/>
      <c r="C641" s="7"/>
      <c r="D641" s="7">
        <f t="shared" si="9"/>
        <v>0</v>
      </c>
    </row>
    <row r="642" spans="1:4" ht="18.75" hidden="1" x14ac:dyDescent="0.25">
      <c r="A642" s="17" t="s">
        <v>297</v>
      </c>
      <c r="B642" s="7"/>
      <c r="C642" s="7"/>
      <c r="D642" s="7">
        <f t="shared" si="9"/>
        <v>0</v>
      </c>
    </row>
    <row r="643" spans="1:4" ht="18.75" hidden="1" x14ac:dyDescent="0.25">
      <c r="A643" s="13" t="s">
        <v>298</v>
      </c>
      <c r="B643" s="7"/>
      <c r="C643" s="7"/>
      <c r="D643" s="7">
        <f t="shared" si="9"/>
        <v>0</v>
      </c>
    </row>
    <row r="644" spans="1:4" ht="18.75" hidden="1" x14ac:dyDescent="0.25">
      <c r="A644" s="9" t="s">
        <v>299</v>
      </c>
      <c r="B644" s="7"/>
      <c r="C644" s="7"/>
      <c r="D644" s="7">
        <f t="shared" si="9"/>
        <v>0</v>
      </c>
    </row>
    <row r="645" spans="1:4" ht="18.75" hidden="1" x14ac:dyDescent="0.25">
      <c r="A645" s="17" t="s">
        <v>300</v>
      </c>
      <c r="B645" s="7"/>
      <c r="C645" s="7"/>
      <c r="D645" s="7">
        <f t="shared" ref="D645:D683" si="10">B645*C645</f>
        <v>0</v>
      </c>
    </row>
    <row r="646" spans="1:4" ht="18.75" hidden="1" x14ac:dyDescent="0.25">
      <c r="A646" s="12" t="s">
        <v>364</v>
      </c>
      <c r="B646" s="7"/>
      <c r="C646" s="7"/>
      <c r="D646" s="7">
        <f t="shared" si="10"/>
        <v>0</v>
      </c>
    </row>
    <row r="647" spans="1:4" ht="18.75" hidden="1" x14ac:dyDescent="0.25">
      <c r="A647" s="9" t="s">
        <v>365</v>
      </c>
      <c r="B647" s="7"/>
      <c r="C647" s="7"/>
      <c r="D647" s="7">
        <f t="shared" si="10"/>
        <v>0</v>
      </c>
    </row>
    <row r="648" spans="1:4" ht="18.75" hidden="1" x14ac:dyDescent="0.25">
      <c r="A648" s="11" t="s">
        <v>303</v>
      </c>
      <c r="B648" s="7"/>
      <c r="C648" s="7"/>
      <c r="D648" s="7">
        <f t="shared" si="10"/>
        <v>0</v>
      </c>
    </row>
    <row r="649" spans="1:4" ht="18.75" hidden="1" x14ac:dyDescent="0.25">
      <c r="A649" s="9" t="s">
        <v>366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304</v>
      </c>
      <c r="B650" s="7"/>
      <c r="C650" s="7"/>
      <c r="D650" s="7">
        <f t="shared" si="10"/>
        <v>0</v>
      </c>
    </row>
    <row r="651" spans="1:4" ht="18.75" hidden="1" x14ac:dyDescent="0.25">
      <c r="A651" s="12" t="s">
        <v>305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306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307</v>
      </c>
      <c r="B653" s="7"/>
      <c r="C653" s="7"/>
      <c r="D653" s="7">
        <f t="shared" si="10"/>
        <v>0</v>
      </c>
    </row>
    <row r="654" spans="1:4" ht="18.75" hidden="1" x14ac:dyDescent="0.25">
      <c r="A654" s="9" t="s">
        <v>308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309</v>
      </c>
      <c r="B655" s="7"/>
      <c r="C655" s="7"/>
      <c r="D655" s="7">
        <f t="shared" si="10"/>
        <v>0</v>
      </c>
    </row>
    <row r="656" spans="1:4" ht="18.75" hidden="1" x14ac:dyDescent="0.25">
      <c r="A656" s="13" t="s">
        <v>310</v>
      </c>
      <c r="B656" s="7"/>
      <c r="C656" s="7"/>
      <c r="D656" s="7">
        <f t="shared" si="10"/>
        <v>0</v>
      </c>
    </row>
    <row r="657" spans="1:4" ht="18.75" hidden="1" x14ac:dyDescent="0.25">
      <c r="A657" s="21" t="s">
        <v>311</v>
      </c>
      <c r="B657" s="7"/>
      <c r="C657" s="7"/>
      <c r="D657" s="7">
        <f t="shared" si="10"/>
        <v>0</v>
      </c>
    </row>
    <row r="658" spans="1:4" ht="18.75" hidden="1" x14ac:dyDescent="0.25">
      <c r="A658" s="13" t="s">
        <v>312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313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314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315</v>
      </c>
      <c r="B661" s="7"/>
      <c r="C661" s="7"/>
      <c r="D661" s="7">
        <f t="shared" si="10"/>
        <v>0</v>
      </c>
    </row>
    <row r="662" spans="1:4" ht="18.75" hidden="1" x14ac:dyDescent="0.25">
      <c r="A662" s="9" t="s">
        <v>316</v>
      </c>
      <c r="B662" s="7"/>
      <c r="C662" s="7"/>
      <c r="D662" s="7">
        <f t="shared" si="10"/>
        <v>0</v>
      </c>
    </row>
    <row r="663" spans="1:4" ht="18.75" hidden="1" x14ac:dyDescent="0.25">
      <c r="A663" s="21" t="s">
        <v>317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318</v>
      </c>
      <c r="B664" s="7"/>
      <c r="C664" s="7"/>
      <c r="D664" s="7">
        <f t="shared" si="10"/>
        <v>0</v>
      </c>
    </row>
    <row r="665" spans="1:4" ht="18.75" hidden="1" x14ac:dyDescent="0.25">
      <c r="A665" s="9" t="s">
        <v>319</v>
      </c>
      <c r="B665" s="7"/>
      <c r="C665" s="7"/>
      <c r="D665" s="7">
        <f t="shared" si="10"/>
        <v>0</v>
      </c>
    </row>
    <row r="666" spans="1:4" ht="18.75" hidden="1" x14ac:dyDescent="0.25">
      <c r="A666" s="12" t="s">
        <v>320</v>
      </c>
      <c r="B666" s="7"/>
      <c r="C666" s="7"/>
      <c r="D666" s="7">
        <f t="shared" si="10"/>
        <v>0</v>
      </c>
    </row>
    <row r="667" spans="1:4" ht="18.75" hidden="1" x14ac:dyDescent="0.25">
      <c r="A667" s="9" t="s">
        <v>321</v>
      </c>
      <c r="B667" s="39"/>
      <c r="C667" s="39"/>
      <c r="D667" s="7">
        <f t="shared" si="10"/>
        <v>0</v>
      </c>
    </row>
    <row r="668" spans="1:4" ht="18.75" hidden="1" x14ac:dyDescent="0.25">
      <c r="A668" s="9" t="s">
        <v>322</v>
      </c>
      <c r="B668" s="7"/>
      <c r="C668" s="7"/>
      <c r="D668" s="7">
        <f t="shared" si="10"/>
        <v>0</v>
      </c>
    </row>
    <row r="669" spans="1:4" ht="18.75" hidden="1" x14ac:dyDescent="0.25">
      <c r="A669" s="9" t="s">
        <v>323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324</v>
      </c>
      <c r="B670" s="7"/>
      <c r="C670" s="7"/>
      <c r="D670" s="7">
        <f t="shared" si="10"/>
        <v>0</v>
      </c>
    </row>
    <row r="671" spans="1:4" ht="18.75" hidden="1" x14ac:dyDescent="0.25">
      <c r="A671" s="21" t="s">
        <v>325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326</v>
      </c>
      <c r="B672" s="7"/>
      <c r="C672" s="7"/>
      <c r="D672" s="7">
        <f t="shared" si="10"/>
        <v>0</v>
      </c>
    </row>
    <row r="673" spans="1:4" ht="18.75" x14ac:dyDescent="0.25">
      <c r="A673" s="9" t="s">
        <v>327</v>
      </c>
      <c r="B673" s="7">
        <v>5</v>
      </c>
      <c r="C673" s="7">
        <v>30000</v>
      </c>
      <c r="D673" s="7">
        <f t="shared" si="10"/>
        <v>150000</v>
      </c>
    </row>
    <row r="674" spans="1:4" ht="18.75" hidden="1" x14ac:dyDescent="0.25">
      <c r="A674" s="21" t="s">
        <v>328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329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330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331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332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333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334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335</v>
      </c>
      <c r="B681" s="7"/>
      <c r="C681" s="7"/>
      <c r="D681" s="7">
        <f t="shared" si="10"/>
        <v>0</v>
      </c>
    </row>
    <row r="682" spans="1:4" ht="18.75" hidden="1" x14ac:dyDescent="0.25">
      <c r="A682" s="9" t="s">
        <v>336</v>
      </c>
      <c r="B682" s="7"/>
      <c r="C682" s="7"/>
      <c r="D682" s="7">
        <f t="shared" si="10"/>
        <v>0</v>
      </c>
    </row>
    <row r="683" spans="1:4" ht="18.75" hidden="1" x14ac:dyDescent="0.25">
      <c r="A683" s="11" t="s">
        <v>338</v>
      </c>
      <c r="B683" s="7"/>
      <c r="C683" s="7"/>
      <c r="D683" s="7">
        <f t="shared" si="10"/>
        <v>0</v>
      </c>
    </row>
    <row r="684" spans="1:4" ht="18.75" x14ac:dyDescent="0.25">
      <c r="A684" s="40"/>
      <c r="B684" s="43">
        <f>SUM(B357:B683)</f>
        <v>11933</v>
      </c>
      <c r="C684" s="43"/>
      <c r="D684" s="43">
        <f t="shared" ref="D684" si="11">SUM(D357:D683)</f>
        <v>118705000</v>
      </c>
    </row>
    <row r="686" spans="1:4" x14ac:dyDescent="0.25">
      <c r="D686" s="53">
        <f>D684+D352</f>
        <v>209852000</v>
      </c>
    </row>
  </sheetData>
  <protectedRanges>
    <protectedRange password="CF71" sqref="B3:C351 B1:D2" name="tho"/>
    <protectedRange password="CF71" sqref="D3:D683" name="tho_2"/>
    <protectedRange password="CF71" sqref="B354:C354 C355:C683" name="tho_1"/>
    <protectedRange password="CF71" sqref="B355:B683" name="tho_2_1"/>
  </protectedRanges>
  <autoFilter ref="A2:D684" xr:uid="{00000000-0009-0000-0000-000012000000}">
    <filterColumn colId="1">
      <customFilters>
        <customFilter operator="notEqual" val=" "/>
      </customFilters>
    </filterColumn>
  </autoFilter>
  <mergeCells count="1">
    <mergeCell ref="A355:A35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D685"/>
  <sheetViews>
    <sheetView topLeftCell="A515" workbookViewId="0">
      <selection activeCell="I596" sqref="I596:I604"/>
    </sheetView>
  </sheetViews>
  <sheetFormatPr defaultRowHeight="15" x14ac:dyDescent="0.25"/>
  <cols>
    <col min="1" max="1" width="40.85546875" customWidth="1"/>
    <col min="3" max="3" width="15.42578125" customWidth="1"/>
    <col min="4" max="4" width="22.42578125" customWidth="1"/>
  </cols>
  <sheetData>
    <row r="1" spans="1:4" x14ac:dyDescent="0.25">
      <c r="A1" s="1" t="s">
        <v>429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x14ac:dyDescent="0.25">
      <c r="A3" s="5" t="s">
        <v>2</v>
      </c>
      <c r="B3" s="7">
        <v>30</v>
      </c>
      <c r="C3" s="7">
        <v>14000</v>
      </c>
      <c r="D3" s="7">
        <f>B3*C3</f>
        <v>420000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x14ac:dyDescent="0.25">
      <c r="A7" s="5" t="s">
        <v>5</v>
      </c>
      <c r="B7" s="7">
        <v>600</v>
      </c>
      <c r="C7" s="7">
        <v>6800</v>
      </c>
      <c r="D7" s="7">
        <f t="shared" si="0"/>
        <v>4080000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hidden="1" x14ac:dyDescent="0.25">
      <c r="A17" s="12" t="s">
        <v>14</v>
      </c>
      <c r="B17" s="7"/>
      <c r="C17" s="7"/>
      <c r="D17" s="7">
        <f t="shared" si="0"/>
        <v>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x14ac:dyDescent="0.25">
      <c r="A20" s="13" t="s">
        <v>17</v>
      </c>
      <c r="B20" s="7">
        <v>30</v>
      </c>
      <c r="C20" s="7">
        <v>3500</v>
      </c>
      <c r="D20" s="7">
        <f t="shared" si="0"/>
        <v>105000</v>
      </c>
    </row>
    <row r="21" spans="1:4" ht="18.75" x14ac:dyDescent="0.25">
      <c r="A21" s="11" t="s">
        <v>18</v>
      </c>
      <c r="B21" s="7">
        <f>14+8+15</f>
        <v>37</v>
      </c>
      <c r="C21" s="45">
        <v>11000</v>
      </c>
      <c r="D21" s="7">
        <f t="shared" si="0"/>
        <v>407000</v>
      </c>
    </row>
    <row r="22" spans="1:4" ht="18.75" x14ac:dyDescent="0.25">
      <c r="A22" s="9" t="s">
        <v>19</v>
      </c>
      <c r="B22" s="7">
        <v>1000</v>
      </c>
      <c r="C22" s="7">
        <v>13500</v>
      </c>
      <c r="D22" s="7">
        <f t="shared" si="0"/>
        <v>13500000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-30+18+70</f>
        <v>58</v>
      </c>
      <c r="C27" s="7">
        <v>16000</v>
      </c>
      <c r="D27" s="7">
        <f t="shared" si="0"/>
        <v>928000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x14ac:dyDescent="0.25">
      <c r="A30" s="9" t="s">
        <v>27</v>
      </c>
      <c r="B30" s="7">
        <v>10</v>
      </c>
      <c r="C30" s="7">
        <v>20000</v>
      </c>
      <c r="D30" s="7">
        <f t="shared" si="0"/>
        <v>200000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hidden="1" x14ac:dyDescent="0.25">
      <c r="A32" s="12" t="s">
        <v>29</v>
      </c>
      <c r="B32" s="7"/>
      <c r="C32" s="7"/>
      <c r="D32" s="7">
        <f t="shared" si="0"/>
        <v>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hidden="1" x14ac:dyDescent="0.25">
      <c r="A41" s="9" t="s">
        <v>38</v>
      </c>
      <c r="B41" s="7"/>
      <c r="C41" s="7"/>
      <c r="D41" s="7">
        <f t="shared" si="0"/>
        <v>0</v>
      </c>
    </row>
    <row r="42" spans="1:4" ht="18.75" x14ac:dyDescent="0.25">
      <c r="A42" s="9" t="s">
        <v>39</v>
      </c>
      <c r="B42" s="7">
        <v>17</v>
      </c>
      <c r="C42" s="7">
        <v>10500</v>
      </c>
      <c r="D42" s="7">
        <f t="shared" si="0"/>
        <v>178500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-300+40+140+380+60</f>
        <v>320</v>
      </c>
      <c r="C56" s="7">
        <v>19000</v>
      </c>
      <c r="D56" s="7">
        <f t="shared" si="0"/>
        <v>6080000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f>64+9</f>
        <v>73</v>
      </c>
      <c r="C59" s="7">
        <v>10000</v>
      </c>
      <c r="D59" s="7">
        <f t="shared" si="0"/>
        <v>730000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x14ac:dyDescent="0.25">
      <c r="A63" s="9" t="s">
        <v>60</v>
      </c>
      <c r="B63" s="7">
        <v>25</v>
      </c>
      <c r="C63" s="7">
        <v>16500</v>
      </c>
      <c r="D63" s="7">
        <f t="shared" si="0"/>
        <v>412500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v>60</v>
      </c>
      <c r="C66" s="7">
        <v>17000</v>
      </c>
      <c r="D66" s="7">
        <f t="shared" si="0"/>
        <v>1020000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hidden="1" x14ac:dyDescent="0.25">
      <c r="A72" s="12" t="s">
        <v>69</v>
      </c>
      <c r="B72" s="7"/>
      <c r="C72" s="7"/>
      <c r="D72" s="7">
        <f t="shared" si="1"/>
        <v>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hidden="1" x14ac:dyDescent="0.25">
      <c r="A74" s="12" t="s">
        <v>71</v>
      </c>
      <c r="B74" s="7"/>
      <c r="C74" s="7"/>
      <c r="D74" s="7">
        <f t="shared" si="1"/>
        <v>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hidden="1" x14ac:dyDescent="0.25">
      <c r="A80" s="9" t="s">
        <v>77</v>
      </c>
      <c r="B80" s="7"/>
      <c r="C80" s="7"/>
      <c r="D80" s="7">
        <f t="shared" si="1"/>
        <v>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x14ac:dyDescent="0.25">
      <c r="A82" s="9" t="s">
        <v>79</v>
      </c>
      <c r="B82" s="7">
        <v>8</v>
      </c>
      <c r="C82" s="7">
        <v>24000</v>
      </c>
      <c r="D82" s="7">
        <f t="shared" si="1"/>
        <v>192000</v>
      </c>
    </row>
    <row r="83" spans="1:4" ht="18.75" x14ac:dyDescent="0.25">
      <c r="A83" s="9" t="s">
        <v>80</v>
      </c>
      <c r="B83" s="7">
        <v>25</v>
      </c>
      <c r="C83" s="7">
        <v>22000</v>
      </c>
      <c r="D83" s="7">
        <f t="shared" si="1"/>
        <v>550000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v>50</v>
      </c>
      <c r="C90" s="7">
        <v>29000</v>
      </c>
      <c r="D90" s="7">
        <f t="shared" si="1"/>
        <v>1450000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hidden="1" x14ac:dyDescent="0.25">
      <c r="A107" s="9" t="s">
        <v>103</v>
      </c>
      <c r="B107" s="7"/>
      <c r="C107" s="7"/>
      <c r="D107" s="7">
        <f t="shared" si="1"/>
        <v>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x14ac:dyDescent="0.25">
      <c r="A135" s="9" t="s">
        <v>122</v>
      </c>
      <c r="B135" s="7">
        <f>-20+50</f>
        <v>30</v>
      </c>
      <c r="C135" s="7">
        <v>14000</v>
      </c>
      <c r="D135" s="7">
        <f t="shared" si="2"/>
        <v>420000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18.7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132</v>
      </c>
      <c r="B143" s="7"/>
      <c r="C143" s="7"/>
      <c r="D143" s="7">
        <f t="shared" si="2"/>
        <v>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-60+15+30+10+10+30+10+18</f>
        <v>63</v>
      </c>
      <c r="C146" s="7">
        <v>18000</v>
      </c>
      <c r="D146" s="7">
        <f t="shared" si="2"/>
        <v>1134000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x14ac:dyDescent="0.25">
      <c r="A166" s="9" t="s">
        <v>155</v>
      </c>
      <c r="B166" s="7">
        <v>21</v>
      </c>
      <c r="C166" s="7">
        <v>14000</v>
      </c>
      <c r="D166" s="7">
        <f t="shared" si="2"/>
        <v>294000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hidden="1" x14ac:dyDescent="0.25">
      <c r="A178" s="9" t="s">
        <v>168</v>
      </c>
      <c r="B178" s="7"/>
      <c r="C178" s="46"/>
      <c r="D178" s="7">
        <f t="shared" si="2"/>
        <v>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x14ac:dyDescent="0.25">
      <c r="A180" s="9" t="s">
        <v>170</v>
      </c>
      <c r="B180" s="7">
        <v>67</v>
      </c>
      <c r="C180" s="7">
        <v>6000</v>
      </c>
      <c r="D180" s="7">
        <f t="shared" si="2"/>
        <v>402000</v>
      </c>
    </row>
    <row r="181" spans="1:4" ht="18.75" hidden="1" x14ac:dyDescent="0.25">
      <c r="A181" s="9" t="s">
        <v>171</v>
      </c>
      <c r="B181" s="7"/>
      <c r="C181" s="7"/>
      <c r="D181" s="7">
        <f t="shared" si="2"/>
        <v>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x14ac:dyDescent="0.25">
      <c r="A184" s="31" t="s">
        <v>174</v>
      </c>
      <c r="B184" s="33">
        <v>20</v>
      </c>
      <c r="C184" s="33">
        <v>15000</v>
      </c>
      <c r="D184" s="7">
        <f t="shared" si="2"/>
        <v>300000</v>
      </c>
    </row>
    <row r="185" spans="1:4" ht="18.75" hidden="1" x14ac:dyDescent="0.25">
      <c r="A185" s="11" t="s">
        <v>175</v>
      </c>
      <c r="B185" s="7"/>
      <c r="C185" s="7"/>
      <c r="D185" s="7">
        <f t="shared" si="2"/>
        <v>0</v>
      </c>
    </row>
    <row r="186" spans="1:4" ht="18.75" hidden="1" x14ac:dyDescent="0.25">
      <c r="A186" s="9" t="s">
        <v>176</v>
      </c>
      <c r="B186" s="7"/>
      <c r="C186" s="7"/>
      <c r="D186" s="7">
        <f t="shared" si="2"/>
        <v>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183</v>
      </c>
      <c r="B193" s="7"/>
      <c r="C193" s="7"/>
      <c r="D193" s="7">
        <f t="shared" si="2"/>
        <v>0</v>
      </c>
    </row>
    <row r="194" spans="1:4" ht="18.75" x14ac:dyDescent="0.25">
      <c r="A194" s="9" t="s">
        <v>184</v>
      </c>
      <c r="B194" s="7">
        <v>240</v>
      </c>
      <c r="C194" s="7">
        <v>2100</v>
      </c>
      <c r="D194" s="7">
        <f t="shared" si="2"/>
        <v>504000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187</v>
      </c>
      <c r="B197" s="7"/>
      <c r="C197" s="7"/>
      <c r="D197" s="7">
        <f t="shared" si="3"/>
        <v>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hidden="1" x14ac:dyDescent="0.25">
      <c r="A199" s="17" t="s">
        <v>189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x14ac:dyDescent="0.25">
      <c r="A204" s="58" t="s">
        <v>414</v>
      </c>
      <c r="B204" s="56">
        <v>480</v>
      </c>
      <c r="C204" s="56">
        <v>35000</v>
      </c>
      <c r="D204" s="56">
        <f>B204*C204</f>
        <v>16800000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f>180+160+60</f>
        <v>400</v>
      </c>
      <c r="C212" s="7">
        <v>21000</v>
      </c>
      <c r="D212" s="7">
        <f t="shared" si="3"/>
        <v>8400000</v>
      </c>
    </row>
    <row r="213" spans="1:4" ht="18.75" x14ac:dyDescent="0.25">
      <c r="A213" s="12" t="s">
        <v>202</v>
      </c>
      <c r="B213" s="7">
        <f>180+50+110</f>
        <v>340</v>
      </c>
      <c r="C213" s="7">
        <v>21000</v>
      </c>
      <c r="D213" s="7">
        <f t="shared" si="3"/>
        <v>7140000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-400+70+800+10+15+30</f>
        <v>525</v>
      </c>
      <c r="C215" s="7">
        <v>19000</v>
      </c>
      <c r="D215" s="7">
        <f t="shared" si="3"/>
        <v>9975000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x14ac:dyDescent="0.25">
      <c r="A221" s="9" t="s">
        <v>210</v>
      </c>
      <c r="B221" s="7">
        <v>5</v>
      </c>
      <c r="C221" s="7">
        <v>12000</v>
      </c>
      <c r="D221" s="7">
        <f t="shared" si="3"/>
        <v>60000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-300+180+130+30+30</f>
        <v>70</v>
      </c>
      <c r="C226" s="7">
        <v>15000</v>
      </c>
      <c r="D226" s="7">
        <f t="shared" si="3"/>
        <v>1050000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x14ac:dyDescent="0.25">
      <c r="A228" s="9" t="s">
        <v>217</v>
      </c>
      <c r="B228" s="7">
        <v>20</v>
      </c>
      <c r="C228" s="7">
        <v>6500</v>
      </c>
      <c r="D228" s="7">
        <f t="shared" si="3"/>
        <v>130000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x14ac:dyDescent="0.25">
      <c r="A231" s="17" t="s">
        <v>220</v>
      </c>
      <c r="B231" s="7">
        <v>1</v>
      </c>
      <c r="C231" s="7">
        <v>45000</v>
      </c>
      <c r="D231" s="7">
        <f t="shared" si="3"/>
        <v>45000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hidden="1" x14ac:dyDescent="0.25">
      <c r="A258" s="9" t="s">
        <v>247</v>
      </c>
      <c r="B258" s="7"/>
      <c r="C258" s="7"/>
      <c r="D258" s="7">
        <f t="shared" si="3"/>
        <v>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-20+80+38+10+10+40+40+57-30</f>
        <v>225</v>
      </c>
      <c r="C261" s="7">
        <v>27000</v>
      </c>
      <c r="D261" s="7">
        <f t="shared" si="4"/>
        <v>6075000</v>
      </c>
    </row>
    <row r="262" spans="1:4" ht="18.75" x14ac:dyDescent="0.25">
      <c r="A262" s="9" t="s">
        <v>251</v>
      </c>
      <c r="B262" s="7">
        <v>23</v>
      </c>
      <c r="C262" s="7">
        <v>20000</v>
      </c>
      <c r="D262" s="7">
        <f t="shared" si="4"/>
        <v>460000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-20+20+25+30+5+30+4</f>
        <v>94</v>
      </c>
      <c r="C268" s="7">
        <v>25000</v>
      </c>
      <c r="D268" s="7">
        <f t="shared" si="4"/>
        <v>2350000</v>
      </c>
    </row>
    <row r="269" spans="1:4" ht="18.75" x14ac:dyDescent="0.25">
      <c r="A269" s="9" t="s">
        <v>259</v>
      </c>
      <c r="B269" s="7">
        <v>35</v>
      </c>
      <c r="C269" s="7">
        <v>20000</v>
      </c>
      <c r="D269" s="7">
        <f t="shared" si="4"/>
        <v>700000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-20+25+50-15</f>
        <v>40</v>
      </c>
      <c r="C272" s="7">
        <v>23000</v>
      </c>
      <c r="D272" s="7">
        <f t="shared" si="4"/>
        <v>920000</v>
      </c>
    </row>
    <row r="273" spans="1:4" ht="18.75" x14ac:dyDescent="0.25">
      <c r="A273" s="9" t="s">
        <v>263</v>
      </c>
      <c r="B273" s="7">
        <v>15</v>
      </c>
      <c r="C273" s="7">
        <v>18000</v>
      </c>
      <c r="D273" s="7">
        <f t="shared" si="4"/>
        <v>270000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x14ac:dyDescent="0.25">
      <c r="A279" s="9" t="s">
        <v>269</v>
      </c>
      <c r="B279" s="7">
        <v>35</v>
      </c>
      <c r="C279" s="7">
        <v>14000</v>
      </c>
      <c r="D279" s="7">
        <f t="shared" si="4"/>
        <v>490000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55</v>
      </c>
      <c r="C283" s="7">
        <v>28000</v>
      </c>
      <c r="D283" s="7">
        <f t="shared" si="4"/>
        <v>1540000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10</v>
      </c>
      <c r="C297" s="7">
        <v>12000</v>
      </c>
      <c r="D297" s="7">
        <f t="shared" si="4"/>
        <v>120000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f>53+20</f>
        <v>73</v>
      </c>
      <c r="C300" s="7">
        <v>10000</v>
      </c>
      <c r="D300" s="7">
        <f t="shared" si="4"/>
        <v>730000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hidden="1" x14ac:dyDescent="0.25">
      <c r="A303" s="9" t="s">
        <v>293</v>
      </c>
      <c r="B303" s="7"/>
      <c r="C303" s="7"/>
      <c r="D303" s="7">
        <f t="shared" si="4"/>
        <v>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hidden="1" x14ac:dyDescent="0.25">
      <c r="A321" s="13" t="s">
        <v>309</v>
      </c>
      <c r="B321" s="7"/>
      <c r="C321" s="7"/>
      <c r="D321" s="7">
        <f t="shared" si="4"/>
        <v>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x14ac:dyDescent="0.25">
      <c r="A342" s="9" t="s">
        <v>330</v>
      </c>
      <c r="B342" s="7">
        <v>7</v>
      </c>
      <c r="C342" s="7">
        <v>7000</v>
      </c>
      <c r="D342" s="7">
        <f t="shared" si="5"/>
        <v>49000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5237</v>
      </c>
      <c r="C351" s="43"/>
      <c r="D351" s="7">
        <f>SUM(D3:D342)</f>
        <v>90611000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430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v>4000</v>
      </c>
      <c r="C359" s="7">
        <v>6800</v>
      </c>
      <c r="D359" s="7">
        <f t="shared" si="5"/>
        <v>27200000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x14ac:dyDescent="0.25">
      <c r="A366" s="9" t="s">
        <v>12</v>
      </c>
      <c r="B366" s="7">
        <v>36</v>
      </c>
      <c r="C366" s="7">
        <v>8000</v>
      </c>
      <c r="D366" s="7">
        <f t="shared" si="5"/>
        <v>288000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v>1880</v>
      </c>
      <c r="C373" s="7">
        <v>13500</v>
      </c>
      <c r="D373" s="7">
        <f t="shared" si="5"/>
        <v>25380000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x14ac:dyDescent="0.25">
      <c r="A378" s="9" t="s">
        <v>24</v>
      </c>
      <c r="B378" s="7">
        <v>30</v>
      </c>
      <c r="C378" s="7">
        <v>16000</v>
      </c>
      <c r="D378" s="7">
        <f t="shared" si="5"/>
        <v>480000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51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19000</v>
      </c>
      <c r="D400" s="7">
        <f t="shared" si="6"/>
        <v>5700000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82</v>
      </c>
      <c r="C425" s="7">
        <v>23000</v>
      </c>
      <c r="D425" s="7">
        <f t="shared" si="6"/>
        <v>1886000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x14ac:dyDescent="0.25">
      <c r="A438" s="9" t="s">
        <v>90</v>
      </c>
      <c r="B438" s="7">
        <v>25</v>
      </c>
      <c r="C438" s="7">
        <v>10000</v>
      </c>
      <c r="D438" s="7">
        <f t="shared" si="6"/>
        <v>250000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103</v>
      </c>
      <c r="B453" s="7"/>
      <c r="C453" s="7"/>
      <c r="D453" s="7">
        <f t="shared" si="7"/>
        <v>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x14ac:dyDescent="0.25">
      <c r="A457" s="23" t="s">
        <v>107</v>
      </c>
      <c r="B457" s="7">
        <v>2500</v>
      </c>
      <c r="C457" s="7">
        <v>8000</v>
      </c>
      <c r="D457" s="7">
        <f t="shared" si="7"/>
        <v>20000000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x14ac:dyDescent="0.25">
      <c r="A460" s="9" t="s">
        <v>110</v>
      </c>
      <c r="B460" s="7">
        <v>30</v>
      </c>
      <c r="C460" s="7">
        <v>17000</v>
      </c>
      <c r="D460" s="7">
        <f t="shared" si="7"/>
        <v>510000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346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x14ac:dyDescent="0.25">
      <c r="A472" s="9" t="s">
        <v>122</v>
      </c>
      <c r="B472" s="7">
        <f>20+60</f>
        <v>80</v>
      </c>
      <c r="C472" s="7">
        <v>14000</v>
      </c>
      <c r="D472" s="7">
        <f t="shared" si="7"/>
        <v>1120000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18000</v>
      </c>
      <c r="D483" s="7">
        <f t="shared" si="7"/>
        <v>1080000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x14ac:dyDescent="0.25">
      <c r="A503" s="9" t="s">
        <v>154</v>
      </c>
      <c r="B503" s="7">
        <v>20</v>
      </c>
      <c r="C503" s="7">
        <v>14000</v>
      </c>
      <c r="D503" s="7">
        <f t="shared" si="7"/>
        <v>280000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x14ac:dyDescent="0.25">
      <c r="A508" s="9" t="s">
        <v>159</v>
      </c>
      <c r="B508" s="7">
        <v>3</v>
      </c>
      <c r="C508" s="7">
        <v>8000</v>
      </c>
      <c r="D508" s="7">
        <f t="shared" si="7"/>
        <v>24000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x14ac:dyDescent="0.25">
      <c r="A515" s="9" t="s">
        <v>349</v>
      </c>
      <c r="B515" s="7">
        <f>10+90+108</f>
        <v>208</v>
      </c>
      <c r="C515" s="7">
        <v>6000</v>
      </c>
      <c r="D515" s="7">
        <f t="shared" si="7"/>
        <v>1248000</v>
      </c>
    </row>
    <row r="516" spans="1:4" ht="18.75" hidden="1" x14ac:dyDescent="0.25">
      <c r="A516" s="12" t="s">
        <v>167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x14ac:dyDescent="0.25">
      <c r="A531" s="12" t="s">
        <v>183</v>
      </c>
      <c r="B531" s="7">
        <v>270</v>
      </c>
      <c r="C531" s="7">
        <v>12000</v>
      </c>
      <c r="D531" s="7">
        <f t="shared" si="8"/>
        <v>3240000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400</v>
      </c>
      <c r="C553" s="7">
        <v>19000</v>
      </c>
      <c r="D553" s="7">
        <f t="shared" si="8"/>
        <v>7600000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212</v>
      </c>
      <c r="B564" s="7"/>
      <c r="C564" s="7"/>
      <c r="D564" s="7">
        <f t="shared" si="8"/>
        <v>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300</v>
      </c>
      <c r="C567" s="7">
        <v>15000</v>
      </c>
      <c r="D567" s="7">
        <f t="shared" si="8"/>
        <v>4500000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27000</v>
      </c>
      <c r="D596" s="7">
        <f t="shared" si="9"/>
        <v>540000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25000</v>
      </c>
      <c r="D604" s="7">
        <f t="shared" si="9"/>
        <v>500000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23000</v>
      </c>
      <c r="D608" s="7">
        <f t="shared" si="9"/>
        <v>460000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x14ac:dyDescent="0.25">
      <c r="A674" s="9" t="s">
        <v>329</v>
      </c>
      <c r="B674" s="7">
        <v>9</v>
      </c>
      <c r="C674" s="7">
        <v>7000</v>
      </c>
      <c r="D674" s="7">
        <f t="shared" si="10"/>
        <v>63000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10293</v>
      </c>
      <c r="C683" s="43"/>
      <c r="D683" s="43">
        <f>SUM(D356:D682)</f>
        <v>102349000</v>
      </c>
    </row>
    <row r="685" spans="1:4" x14ac:dyDescent="0.25">
      <c r="D685" s="53">
        <f>D683+D351</f>
        <v>192960000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13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D685"/>
  <sheetViews>
    <sheetView topLeftCell="A359" workbookViewId="0">
      <selection activeCell="D685" sqref="D685"/>
    </sheetView>
  </sheetViews>
  <sheetFormatPr defaultRowHeight="15" x14ac:dyDescent="0.25"/>
  <cols>
    <col min="1" max="1" width="40.42578125" customWidth="1"/>
    <col min="3" max="3" width="16" customWidth="1"/>
    <col min="4" max="4" width="23.42578125" customWidth="1"/>
  </cols>
  <sheetData>
    <row r="1" spans="1:4" x14ac:dyDescent="0.25">
      <c r="A1" s="1" t="s">
        <v>431</v>
      </c>
      <c r="B1" s="2"/>
      <c r="C1" s="2"/>
      <c r="D1" s="2"/>
    </row>
    <row r="2" spans="1:4" ht="39.6" customHeight="1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x14ac:dyDescent="0.25">
      <c r="A3" s="5" t="s">
        <v>2</v>
      </c>
      <c r="B3" s="7">
        <v>7</v>
      </c>
      <c r="C3" s="7">
        <v>14000</v>
      </c>
      <c r="D3" s="7">
        <f>B3*C3</f>
        <v>98000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x14ac:dyDescent="0.25">
      <c r="A7" s="5" t="s">
        <v>5</v>
      </c>
      <c r="B7" s="7">
        <v>2900</v>
      </c>
      <c r="C7" s="7">
        <v>6800</v>
      </c>
      <c r="D7" s="7">
        <f t="shared" si="0"/>
        <v>19720000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10</v>
      </c>
      <c r="C17" s="7">
        <v>8000</v>
      </c>
      <c r="D17" s="7">
        <f t="shared" si="0"/>
        <v>80000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f>10+3+20</f>
        <v>33</v>
      </c>
      <c r="C21" s="45">
        <v>10000</v>
      </c>
      <c r="D21" s="7">
        <f t="shared" si="0"/>
        <v>330000</v>
      </c>
    </row>
    <row r="22" spans="1:4" ht="18.75" x14ac:dyDescent="0.25">
      <c r="A22" s="9" t="s">
        <v>19</v>
      </c>
      <c r="B22" s="7">
        <v>500</v>
      </c>
      <c r="C22" s="7">
        <v>12500</v>
      </c>
      <c r="D22" s="7">
        <f t="shared" si="0"/>
        <v>6250000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-30+30</f>
        <v>0</v>
      </c>
      <c r="C27" s="7">
        <v>16000</v>
      </c>
      <c r="D27" s="7">
        <f t="shared" si="0"/>
        <v>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x14ac:dyDescent="0.25">
      <c r="A32" s="12" t="s">
        <v>29</v>
      </c>
      <c r="B32" s="7">
        <f>3+24</f>
        <v>27</v>
      </c>
      <c r="C32" s="7">
        <v>13500</v>
      </c>
      <c r="D32" s="7">
        <f t="shared" si="0"/>
        <v>364500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hidden="1" x14ac:dyDescent="0.25">
      <c r="A41" s="9" t="s">
        <v>38</v>
      </c>
      <c r="B41" s="7"/>
      <c r="C41" s="7"/>
      <c r="D41" s="7">
        <f t="shared" si="0"/>
        <v>0</v>
      </c>
    </row>
    <row r="42" spans="1:4" ht="18.75" hidden="1" x14ac:dyDescent="0.25">
      <c r="A42" s="9" t="s">
        <v>39</v>
      </c>
      <c r="B42" s="7"/>
      <c r="C42" s="7"/>
      <c r="D42" s="7">
        <f t="shared" si="0"/>
        <v>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x14ac:dyDescent="0.25">
      <c r="A50" s="9" t="s">
        <v>47</v>
      </c>
      <c r="B50" s="7">
        <v>10</v>
      </c>
      <c r="C50" s="7">
        <v>33000</v>
      </c>
      <c r="D50" s="7">
        <f t="shared" si="0"/>
        <v>330000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-300+180+160</f>
        <v>40</v>
      </c>
      <c r="C56" s="7">
        <v>19000</v>
      </c>
      <c r="D56" s="7">
        <f t="shared" si="0"/>
        <v>760000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v>14</v>
      </c>
      <c r="C59" s="7">
        <v>10000</v>
      </c>
      <c r="D59" s="7">
        <f t="shared" si="0"/>
        <v>140000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f>8+10+20+10+30</f>
        <v>78</v>
      </c>
      <c r="C66" s="7">
        <v>16000</v>
      </c>
      <c r="D66" s="7">
        <f t="shared" si="0"/>
        <v>1248000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hidden="1" x14ac:dyDescent="0.25">
      <c r="A72" s="12" t="s">
        <v>69</v>
      </c>
      <c r="B72" s="7"/>
      <c r="C72" s="7"/>
      <c r="D72" s="7">
        <f t="shared" si="1"/>
        <v>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x14ac:dyDescent="0.25">
      <c r="A74" s="12" t="s">
        <v>71</v>
      </c>
      <c r="B74" s="7">
        <v>6.75</v>
      </c>
      <c r="C74" s="7">
        <v>5000</v>
      </c>
      <c r="D74" s="7">
        <f t="shared" si="1"/>
        <v>33750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f>-100+100</f>
        <v>0</v>
      </c>
      <c r="C80" s="7">
        <v>22000</v>
      </c>
      <c r="D80" s="7">
        <f t="shared" si="1"/>
        <v>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x14ac:dyDescent="0.25">
      <c r="A82" s="9" t="s">
        <v>79</v>
      </c>
      <c r="B82" s="7">
        <v>80</v>
      </c>
      <c r="C82" s="7">
        <v>23000</v>
      </c>
      <c r="D82" s="7">
        <f t="shared" si="1"/>
        <v>1840000</v>
      </c>
    </row>
    <row r="83" spans="1:4" ht="18.75" x14ac:dyDescent="0.25">
      <c r="A83" s="9" t="s">
        <v>80</v>
      </c>
      <c r="B83" s="7">
        <v>20</v>
      </c>
      <c r="C83" s="7">
        <v>22000</v>
      </c>
      <c r="D83" s="7">
        <f t="shared" si="1"/>
        <v>440000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hidden="1" x14ac:dyDescent="0.25">
      <c r="A90" s="9" t="s">
        <v>86</v>
      </c>
      <c r="B90" s="7"/>
      <c r="C90" s="7"/>
      <c r="D90" s="7">
        <f t="shared" si="1"/>
        <v>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x14ac:dyDescent="0.25">
      <c r="A99" s="13" t="s">
        <v>95</v>
      </c>
      <c r="B99" s="7">
        <v>20</v>
      </c>
      <c r="C99" s="7">
        <v>24000</v>
      </c>
      <c r="D99" s="7">
        <f t="shared" si="1"/>
        <v>480000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hidden="1" x14ac:dyDescent="0.25">
      <c r="A107" s="9" t="s">
        <v>103</v>
      </c>
      <c r="B107" s="7"/>
      <c r="C107" s="7"/>
      <c r="D107" s="7">
        <f t="shared" si="1"/>
        <v>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x14ac:dyDescent="0.25">
      <c r="A135" s="9" t="s">
        <v>122</v>
      </c>
      <c r="B135" s="7">
        <v>40</v>
      </c>
      <c r="C135" s="7">
        <v>14000</v>
      </c>
      <c r="D135" s="7">
        <f t="shared" si="2"/>
        <v>560000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18.7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132</v>
      </c>
      <c r="B143" s="7"/>
      <c r="C143" s="7"/>
      <c r="D143" s="7">
        <f t="shared" si="2"/>
        <v>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-60+50+45+10</f>
        <v>45</v>
      </c>
      <c r="C146" s="7">
        <v>18000</v>
      </c>
      <c r="D146" s="7">
        <f t="shared" si="2"/>
        <v>810000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x14ac:dyDescent="0.25">
      <c r="A166" s="9" t="s">
        <v>155</v>
      </c>
      <c r="B166" s="7">
        <v>48</v>
      </c>
      <c r="C166" s="7">
        <v>11000</v>
      </c>
      <c r="D166" s="7">
        <f t="shared" si="2"/>
        <v>528000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x14ac:dyDescent="0.25">
      <c r="A178" s="9" t="s">
        <v>168</v>
      </c>
      <c r="B178" s="7">
        <v>233</v>
      </c>
      <c r="C178" s="46">
        <v>6000</v>
      </c>
      <c r="D178" s="7">
        <f t="shared" si="2"/>
        <v>1398000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x14ac:dyDescent="0.25">
      <c r="A180" s="9" t="s">
        <v>170</v>
      </c>
      <c r="B180" s="7">
        <v>30</v>
      </c>
      <c r="C180" s="7">
        <v>11000</v>
      </c>
      <c r="D180" s="7">
        <f t="shared" si="2"/>
        <v>330000</v>
      </c>
    </row>
    <row r="181" spans="1:4" ht="18.75" hidden="1" x14ac:dyDescent="0.25">
      <c r="A181" s="9" t="s">
        <v>171</v>
      </c>
      <c r="B181" s="7"/>
      <c r="C181" s="7"/>
      <c r="D181" s="7">
        <f t="shared" si="2"/>
        <v>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hidden="1" x14ac:dyDescent="0.25">
      <c r="A184" s="31" t="s">
        <v>174</v>
      </c>
      <c r="B184" s="33"/>
      <c r="C184" s="33"/>
      <c r="D184" s="7">
        <f t="shared" si="2"/>
        <v>0</v>
      </c>
    </row>
    <row r="185" spans="1:4" ht="18.75" hidden="1" x14ac:dyDescent="0.25">
      <c r="A185" s="11" t="s">
        <v>175</v>
      </c>
      <c r="B185" s="7"/>
      <c r="C185" s="7"/>
      <c r="D185" s="7">
        <f t="shared" si="2"/>
        <v>0</v>
      </c>
    </row>
    <row r="186" spans="1:4" ht="18.75" hidden="1" x14ac:dyDescent="0.25">
      <c r="A186" s="9" t="s">
        <v>176</v>
      </c>
      <c r="B186" s="7"/>
      <c r="C186" s="7"/>
      <c r="D186" s="7">
        <f t="shared" si="2"/>
        <v>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x14ac:dyDescent="0.25">
      <c r="A193" s="12" t="s">
        <v>183</v>
      </c>
      <c r="B193" s="7">
        <v>130</v>
      </c>
      <c r="C193" s="7">
        <v>12000</v>
      </c>
      <c r="D193" s="7">
        <f t="shared" si="2"/>
        <v>1560000</v>
      </c>
    </row>
    <row r="194" spans="1:4" ht="18.75" x14ac:dyDescent="0.25">
      <c r="A194" s="9" t="s">
        <v>184</v>
      </c>
      <c r="B194" s="7">
        <f>45/0.3</f>
        <v>150</v>
      </c>
      <c r="C194" s="7">
        <v>21000</v>
      </c>
      <c r="D194" s="7">
        <f t="shared" si="2"/>
        <v>3150000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x14ac:dyDescent="0.25">
      <c r="A197" s="12" t="s">
        <v>187</v>
      </c>
      <c r="B197" s="7">
        <v>17</v>
      </c>
      <c r="C197" s="7">
        <v>20000</v>
      </c>
      <c r="D197" s="7">
        <f t="shared" si="3"/>
        <v>340000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hidden="1" x14ac:dyDescent="0.25">
      <c r="A199" s="17" t="s">
        <v>189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x14ac:dyDescent="0.25">
      <c r="A204" s="58" t="s">
        <v>414</v>
      </c>
      <c r="B204" s="56">
        <f>480+530</f>
        <v>1010</v>
      </c>
      <c r="C204" s="56">
        <v>35000</v>
      </c>
      <c r="D204" s="56">
        <f t="shared" si="3"/>
        <v>35350000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f>220+420</f>
        <v>640</v>
      </c>
      <c r="C212" s="7">
        <v>19500</v>
      </c>
      <c r="D212" s="7">
        <f t="shared" si="3"/>
        <v>12480000</v>
      </c>
    </row>
    <row r="213" spans="1:4" ht="18.75" x14ac:dyDescent="0.25">
      <c r="A213" s="12" t="s">
        <v>202</v>
      </c>
      <c r="B213" s="7">
        <v>220</v>
      </c>
      <c r="C213" s="7">
        <v>21000</v>
      </c>
      <c r="D213" s="7">
        <f t="shared" si="3"/>
        <v>4620000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-400+400+60+20+200+600+160</f>
        <v>1040</v>
      </c>
      <c r="C215" s="7">
        <v>20000</v>
      </c>
      <c r="D215" s="7">
        <f t="shared" si="3"/>
        <v>20800000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x14ac:dyDescent="0.25">
      <c r="A221" s="9" t="s">
        <v>210</v>
      </c>
      <c r="B221" s="7">
        <v>25</v>
      </c>
      <c r="C221" s="7">
        <v>12000</v>
      </c>
      <c r="D221" s="7">
        <f t="shared" si="3"/>
        <v>300000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-300+350+60</f>
        <v>110</v>
      </c>
      <c r="C226" s="7">
        <v>15000</v>
      </c>
      <c r="D226" s="7">
        <f t="shared" si="3"/>
        <v>1650000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x14ac:dyDescent="0.25">
      <c r="A228" s="9" t="s">
        <v>217</v>
      </c>
      <c r="B228" s="7">
        <v>40</v>
      </c>
      <c r="C228" s="7">
        <v>6500</v>
      </c>
      <c r="D228" s="7">
        <f t="shared" si="3"/>
        <v>260000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x14ac:dyDescent="0.25">
      <c r="A231" s="17" t="s">
        <v>220</v>
      </c>
      <c r="B231" s="7">
        <v>1</v>
      </c>
      <c r="C231" s="7">
        <v>45000</v>
      </c>
      <c r="D231" s="7">
        <f t="shared" si="3"/>
        <v>45000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x14ac:dyDescent="0.25">
      <c r="A258" s="9" t="s">
        <v>247</v>
      </c>
      <c r="B258" s="7">
        <v>8</v>
      </c>
      <c r="C258" s="7">
        <v>14000</v>
      </c>
      <c r="D258" s="7">
        <f t="shared" si="3"/>
        <v>112000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-20+80+20+30+42</f>
        <v>152</v>
      </c>
      <c r="C261" s="7">
        <v>27000</v>
      </c>
      <c r="D261" s="7">
        <f t="shared" si="4"/>
        <v>4104000</v>
      </c>
    </row>
    <row r="262" spans="1:4" ht="18.75" x14ac:dyDescent="0.25">
      <c r="A262" s="9" t="s">
        <v>251</v>
      </c>
      <c r="B262" s="7">
        <v>15</v>
      </c>
      <c r="C262" s="7">
        <v>20000</v>
      </c>
      <c r="D262" s="7">
        <f t="shared" si="4"/>
        <v>300000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x14ac:dyDescent="0.25">
      <c r="A264" s="9" t="s">
        <v>253</v>
      </c>
      <c r="B264" s="7">
        <v>135</v>
      </c>
      <c r="C264" s="7">
        <v>10000</v>
      </c>
      <c r="D264" s="7">
        <f t="shared" si="4"/>
        <v>1350000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-20+60</f>
        <v>40</v>
      </c>
      <c r="C268" s="7">
        <v>28000</v>
      </c>
      <c r="D268" s="7">
        <f t="shared" si="4"/>
        <v>1120000</v>
      </c>
    </row>
    <row r="269" spans="1:4" ht="18.75" x14ac:dyDescent="0.25">
      <c r="A269" s="9" t="s">
        <v>259</v>
      </c>
      <c r="B269" s="7">
        <v>55</v>
      </c>
      <c r="C269" s="7">
        <v>23000</v>
      </c>
      <c r="D269" s="7">
        <f t="shared" si="4"/>
        <v>1265000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-20+65</f>
        <v>45</v>
      </c>
      <c r="C272" s="7">
        <v>23000</v>
      </c>
      <c r="D272" s="7">
        <f t="shared" si="4"/>
        <v>1035000</v>
      </c>
    </row>
    <row r="273" spans="1:4" ht="18.75" hidden="1" x14ac:dyDescent="0.25">
      <c r="A273" s="9" t="s">
        <v>263</v>
      </c>
      <c r="B273" s="7"/>
      <c r="C273" s="7"/>
      <c r="D273" s="7">
        <f t="shared" si="4"/>
        <v>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x14ac:dyDescent="0.25">
      <c r="A279" s="9" t="s">
        <v>269</v>
      </c>
      <c r="B279" s="7">
        <v>25</v>
      </c>
      <c r="C279" s="7">
        <v>14500</v>
      </c>
      <c r="D279" s="7">
        <f t="shared" si="4"/>
        <v>362500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33</v>
      </c>
      <c r="C283" s="7">
        <v>28000</v>
      </c>
      <c r="D283" s="7">
        <f t="shared" si="4"/>
        <v>924000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hidden="1" x14ac:dyDescent="0.25">
      <c r="A297" s="9" t="s">
        <v>287</v>
      </c>
      <c r="B297" s="7"/>
      <c r="C297" s="7"/>
      <c r="D297" s="7">
        <f t="shared" si="4"/>
        <v>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f>55+12</f>
        <v>67</v>
      </c>
      <c r="C300" s="7">
        <v>11000</v>
      </c>
      <c r="D300" s="7">
        <f t="shared" si="4"/>
        <v>737000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v>21</v>
      </c>
      <c r="C303" s="7">
        <v>16000</v>
      </c>
      <c r="D303" s="7">
        <f t="shared" si="4"/>
        <v>336000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hidden="1" x14ac:dyDescent="0.25">
      <c r="A321" s="13" t="s">
        <v>309</v>
      </c>
      <c r="B321" s="7"/>
      <c r="C321" s="7"/>
      <c r="D321" s="7">
        <f t="shared" si="4"/>
        <v>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8120.75</v>
      </c>
      <c r="C351" s="43"/>
      <c r="D351" s="7">
        <f>SUM(D3:D303)</f>
        <v>127940750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432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v>5000</v>
      </c>
      <c r="C359" s="7">
        <v>6800</v>
      </c>
      <c r="D359" s="7">
        <f t="shared" si="5"/>
        <v>34000000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x14ac:dyDescent="0.25">
      <c r="A366" s="9" t="s">
        <v>12</v>
      </c>
      <c r="B366" s="7">
        <v>50</v>
      </c>
      <c r="C366" s="7">
        <v>8000</v>
      </c>
      <c r="D366" s="7">
        <f t="shared" si="5"/>
        <v>400000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v>2000</v>
      </c>
      <c r="C373" s="7">
        <v>12500</v>
      </c>
      <c r="D373" s="7">
        <f t="shared" si="5"/>
        <v>25000000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x14ac:dyDescent="0.25">
      <c r="A378" s="9" t="s">
        <v>24</v>
      </c>
      <c r="B378" s="7">
        <v>30</v>
      </c>
      <c r="C378" s="7">
        <v>16000</v>
      </c>
      <c r="D378" s="7">
        <f t="shared" si="5"/>
        <v>480000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51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19000</v>
      </c>
      <c r="D400" s="7">
        <f t="shared" si="6"/>
        <v>5700000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100</v>
      </c>
      <c r="C425" s="7">
        <v>22000</v>
      </c>
      <c r="D425" s="7">
        <f t="shared" si="6"/>
        <v>2200000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x14ac:dyDescent="0.25">
      <c r="A438" s="9" t="s">
        <v>90</v>
      </c>
      <c r="B438" s="7">
        <v>40</v>
      </c>
      <c r="C438" s="7">
        <v>10000</v>
      </c>
      <c r="D438" s="7">
        <f t="shared" si="6"/>
        <v>400000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103</v>
      </c>
      <c r="B453" s="7"/>
      <c r="C453" s="7"/>
      <c r="D453" s="7">
        <f t="shared" si="7"/>
        <v>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hidden="1" x14ac:dyDescent="0.25">
      <c r="A457" s="23" t="s">
        <v>107</v>
      </c>
      <c r="B457" s="7"/>
      <c r="C457" s="7"/>
      <c r="D457" s="7">
        <f t="shared" si="7"/>
        <v>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x14ac:dyDescent="0.25">
      <c r="A460" s="9" t="s">
        <v>110</v>
      </c>
      <c r="B460" s="7">
        <v>3</v>
      </c>
      <c r="C460" s="7">
        <v>18000</v>
      </c>
      <c r="D460" s="7">
        <f t="shared" si="7"/>
        <v>54000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346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x14ac:dyDescent="0.25">
      <c r="A472" s="9" t="s">
        <v>122</v>
      </c>
      <c r="B472" s="7">
        <f>30+10+20+5+40-40</f>
        <v>65</v>
      </c>
      <c r="C472" s="7">
        <v>14000</v>
      </c>
      <c r="D472" s="7">
        <f t="shared" si="7"/>
        <v>910000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18000</v>
      </c>
      <c r="D483" s="7">
        <f t="shared" si="7"/>
        <v>1080000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x14ac:dyDescent="0.25">
      <c r="A503" s="9" t="s">
        <v>154</v>
      </c>
      <c r="B503" s="7">
        <v>35</v>
      </c>
      <c r="C503" s="7">
        <v>11000</v>
      </c>
      <c r="D503" s="7">
        <f t="shared" si="7"/>
        <v>385000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x14ac:dyDescent="0.25">
      <c r="A508" s="9" t="s">
        <v>159</v>
      </c>
      <c r="B508" s="7">
        <v>2</v>
      </c>
      <c r="C508" s="7">
        <v>8000</v>
      </c>
      <c r="D508" s="7">
        <f t="shared" si="7"/>
        <v>16000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x14ac:dyDescent="0.25">
      <c r="A515" s="9" t="s">
        <v>349</v>
      </c>
      <c r="B515" s="7">
        <v>33</v>
      </c>
      <c r="C515" s="7">
        <v>6000</v>
      </c>
      <c r="D515" s="7">
        <f t="shared" si="7"/>
        <v>198000</v>
      </c>
    </row>
    <row r="516" spans="1:4" ht="18.75" hidden="1" x14ac:dyDescent="0.25">
      <c r="A516" s="12" t="s">
        <v>167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x14ac:dyDescent="0.25">
      <c r="A531" s="12" t="s">
        <v>183</v>
      </c>
      <c r="B531" s="7">
        <f>320-130</f>
        <v>190</v>
      </c>
      <c r="C531" s="7">
        <v>12000</v>
      </c>
      <c r="D531" s="7">
        <f t="shared" si="8"/>
        <v>2280000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400</v>
      </c>
      <c r="C553" s="7">
        <v>20000</v>
      </c>
      <c r="D553" s="7">
        <f t="shared" si="8"/>
        <v>8000000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212</v>
      </c>
      <c r="B564" s="7"/>
      <c r="C564" s="7"/>
      <c r="D564" s="7">
        <f t="shared" si="8"/>
        <v>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300</v>
      </c>
      <c r="C567" s="7">
        <v>15000</v>
      </c>
      <c r="D567" s="7">
        <f t="shared" si="8"/>
        <v>4500000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27000</v>
      </c>
      <c r="D596" s="7">
        <f t="shared" si="9"/>
        <v>540000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28000</v>
      </c>
      <c r="D604" s="7">
        <f t="shared" si="9"/>
        <v>560000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23000</v>
      </c>
      <c r="D608" s="7">
        <f t="shared" si="9"/>
        <v>460000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hidden="1" x14ac:dyDescent="0.25">
      <c r="A674" s="9" t="s">
        <v>329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8668</v>
      </c>
      <c r="C683" s="43"/>
      <c r="D683" s="43">
        <f t="shared" ref="D683" si="11">SUM(D356:D682)</f>
        <v>87163000</v>
      </c>
    </row>
    <row r="685" spans="1:4" x14ac:dyDescent="0.25">
      <c r="D685" s="53">
        <f>D683+D351</f>
        <v>215103750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14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D685"/>
  <sheetViews>
    <sheetView topLeftCell="A327" workbookViewId="0">
      <selection activeCell="D685" sqref="D685"/>
    </sheetView>
  </sheetViews>
  <sheetFormatPr defaultRowHeight="15" x14ac:dyDescent="0.25"/>
  <cols>
    <col min="1" max="1" width="29.42578125" customWidth="1"/>
    <col min="4" max="4" width="15.42578125" customWidth="1"/>
  </cols>
  <sheetData>
    <row r="1" spans="1:4" x14ac:dyDescent="0.25">
      <c r="A1" s="1" t="s">
        <v>433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x14ac:dyDescent="0.25">
      <c r="A7" s="5" t="s">
        <v>5</v>
      </c>
      <c r="B7" s="7">
        <f>1692+1500</f>
        <v>3192</v>
      </c>
      <c r="C7" s="7">
        <v>6800</v>
      </c>
      <c r="D7" s="7">
        <f t="shared" si="0"/>
        <v>21705600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31.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5</v>
      </c>
      <c r="C17" s="7">
        <v>8000</v>
      </c>
      <c r="D17" s="7">
        <f t="shared" si="0"/>
        <v>40000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f>38+8</f>
        <v>46</v>
      </c>
      <c r="C21" s="45">
        <v>11000</v>
      </c>
      <c r="D21" s="7">
        <f t="shared" si="0"/>
        <v>506000</v>
      </c>
    </row>
    <row r="22" spans="1:4" ht="18.75" x14ac:dyDescent="0.25">
      <c r="A22" s="9" t="s">
        <v>19</v>
      </c>
      <c r="B22" s="7">
        <v>1000</v>
      </c>
      <c r="C22" s="7">
        <v>12500</v>
      </c>
      <c r="D22" s="7">
        <f t="shared" si="0"/>
        <v>12500000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-30+30</f>
        <v>0</v>
      </c>
      <c r="C27" s="7">
        <v>16000</v>
      </c>
      <c r="D27" s="7">
        <f t="shared" si="0"/>
        <v>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x14ac:dyDescent="0.25">
      <c r="A32" s="12" t="s">
        <v>29</v>
      </c>
      <c r="B32" s="7">
        <f>14+21</f>
        <v>35</v>
      </c>
      <c r="C32" s="7">
        <v>13000</v>
      </c>
      <c r="D32" s="7">
        <f t="shared" si="0"/>
        <v>455000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hidden="1" x14ac:dyDescent="0.25">
      <c r="A41" s="9" t="s">
        <v>38</v>
      </c>
      <c r="B41" s="7"/>
      <c r="C41" s="7"/>
      <c r="D41" s="7">
        <f t="shared" si="0"/>
        <v>0</v>
      </c>
    </row>
    <row r="42" spans="1:4" ht="18.75" x14ac:dyDescent="0.25">
      <c r="A42" s="9" t="s">
        <v>39</v>
      </c>
      <c r="B42" s="7">
        <v>7</v>
      </c>
      <c r="C42" s="7">
        <v>10500</v>
      </c>
      <c r="D42" s="7">
        <f t="shared" si="0"/>
        <v>73500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-300+60+240+220+240+100</f>
        <v>560</v>
      </c>
      <c r="C56" s="7">
        <v>19000</v>
      </c>
      <c r="D56" s="7">
        <f t="shared" si="0"/>
        <v>10640000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v>73</v>
      </c>
      <c r="C59" s="7">
        <v>10000</v>
      </c>
      <c r="D59" s="7">
        <f t="shared" si="0"/>
        <v>730000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v>100</v>
      </c>
      <c r="C66" s="7">
        <v>16000</v>
      </c>
      <c r="D66" s="7">
        <f t="shared" si="0"/>
        <v>1600000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hidden="1" x14ac:dyDescent="0.25">
      <c r="A72" s="12" t="s">
        <v>69</v>
      </c>
      <c r="B72" s="7"/>
      <c r="C72" s="7"/>
      <c r="D72" s="7">
        <f t="shared" si="1"/>
        <v>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x14ac:dyDescent="0.25">
      <c r="A74" s="12" t="s">
        <v>71</v>
      </c>
      <c r="B74" s="7">
        <v>24.5</v>
      </c>
      <c r="C74" s="7">
        <v>5000</v>
      </c>
      <c r="D74" s="7">
        <f t="shared" si="1"/>
        <v>122500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f>-100+180</f>
        <v>80</v>
      </c>
      <c r="C80" s="7">
        <v>22000</v>
      </c>
      <c r="D80" s="7">
        <f t="shared" si="1"/>
        <v>1760000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x14ac:dyDescent="0.25">
      <c r="A82" s="9" t="s">
        <v>79</v>
      </c>
      <c r="B82" s="7">
        <v>90</v>
      </c>
      <c r="C82" s="7">
        <v>23000</v>
      </c>
      <c r="D82" s="7">
        <f t="shared" si="1"/>
        <v>2070000</v>
      </c>
    </row>
    <row r="83" spans="1:4" ht="18.75" x14ac:dyDescent="0.25">
      <c r="A83" s="9" t="s">
        <v>80</v>
      </c>
      <c r="B83" s="7">
        <v>10</v>
      </c>
      <c r="C83" s="7">
        <v>22000</v>
      </c>
      <c r="D83" s="7">
        <f t="shared" si="1"/>
        <v>220000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v>40</v>
      </c>
      <c r="C90" s="7">
        <v>29000</v>
      </c>
      <c r="D90" s="7">
        <f t="shared" si="1"/>
        <v>1160000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x14ac:dyDescent="0.25">
      <c r="A107" s="9" t="s">
        <v>103</v>
      </c>
      <c r="B107" s="7">
        <f>120+170+40</f>
        <v>330</v>
      </c>
      <c r="C107" s="7">
        <v>8000</v>
      </c>
      <c r="D107" s="7">
        <f t="shared" si="1"/>
        <v>2640000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x14ac:dyDescent="0.25">
      <c r="A135" s="9" t="s">
        <v>122</v>
      </c>
      <c r="B135" s="7">
        <v>30</v>
      </c>
      <c r="C135" s="7">
        <v>14000</v>
      </c>
      <c r="D135" s="7">
        <f t="shared" si="2"/>
        <v>420000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18.7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x14ac:dyDescent="0.25">
      <c r="A143" s="9" t="s">
        <v>132</v>
      </c>
      <c r="B143" s="7">
        <v>10</v>
      </c>
      <c r="C143" s="7">
        <v>8500</v>
      </c>
      <c r="D143" s="7">
        <f t="shared" si="2"/>
        <v>85000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-60+80</f>
        <v>20</v>
      </c>
      <c r="C146" s="7">
        <v>18000</v>
      </c>
      <c r="D146" s="7">
        <f t="shared" si="2"/>
        <v>360000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x14ac:dyDescent="0.25">
      <c r="A178" s="9" t="s">
        <v>168</v>
      </c>
      <c r="B178" s="7">
        <f>189-80</f>
        <v>109</v>
      </c>
      <c r="C178" s="46">
        <v>6000</v>
      </c>
      <c r="D178" s="7">
        <f t="shared" si="2"/>
        <v>654000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x14ac:dyDescent="0.25">
      <c r="A180" s="9" t="s">
        <v>170</v>
      </c>
      <c r="B180" s="7">
        <v>40</v>
      </c>
      <c r="C180" s="7">
        <v>11000</v>
      </c>
      <c r="D180" s="7">
        <f t="shared" si="2"/>
        <v>440000</v>
      </c>
    </row>
    <row r="181" spans="1:4" ht="18.75" hidden="1" x14ac:dyDescent="0.25">
      <c r="A181" s="9" t="s">
        <v>171</v>
      </c>
      <c r="B181" s="7"/>
      <c r="C181" s="7"/>
      <c r="D181" s="7">
        <f t="shared" si="2"/>
        <v>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x14ac:dyDescent="0.25">
      <c r="A184" s="31" t="s">
        <v>174</v>
      </c>
      <c r="B184" s="33">
        <v>10</v>
      </c>
      <c r="C184" s="33">
        <v>15000</v>
      </c>
      <c r="D184" s="7">
        <f t="shared" si="2"/>
        <v>150000</v>
      </c>
    </row>
    <row r="185" spans="1:4" ht="18.75" hidden="1" x14ac:dyDescent="0.25">
      <c r="A185" s="11" t="s">
        <v>175</v>
      </c>
      <c r="B185" s="7"/>
      <c r="C185" s="7"/>
      <c r="D185" s="7">
        <f t="shared" si="2"/>
        <v>0</v>
      </c>
    </row>
    <row r="186" spans="1:4" ht="18.75" hidden="1" x14ac:dyDescent="0.25">
      <c r="A186" s="9" t="s">
        <v>176</v>
      </c>
      <c r="B186" s="7"/>
      <c r="C186" s="7"/>
      <c r="D186" s="7">
        <f t="shared" si="2"/>
        <v>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x14ac:dyDescent="0.25">
      <c r="A193" s="12" t="s">
        <v>183</v>
      </c>
      <c r="B193" s="7">
        <v>110</v>
      </c>
      <c r="C193" s="7">
        <v>12000</v>
      </c>
      <c r="D193" s="7">
        <f t="shared" si="2"/>
        <v>1320000</v>
      </c>
    </row>
    <row r="194" spans="1:4" ht="18.75" hidden="1" x14ac:dyDescent="0.25">
      <c r="A194" s="9" t="s">
        <v>184</v>
      </c>
      <c r="B194" s="7"/>
      <c r="C194" s="7"/>
      <c r="D194" s="7">
        <f t="shared" si="2"/>
        <v>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12" t="s">
        <v>187</v>
      </c>
      <c r="B197" s="7"/>
      <c r="C197" s="7"/>
      <c r="D197" s="7">
        <f t="shared" si="3"/>
        <v>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hidden="1" x14ac:dyDescent="0.25">
      <c r="A199" s="17" t="s">
        <v>189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x14ac:dyDescent="0.25">
      <c r="A204" s="12" t="s">
        <v>414</v>
      </c>
      <c r="B204" s="7">
        <v>100</v>
      </c>
      <c r="C204" s="7">
        <v>35000</v>
      </c>
      <c r="D204" s="7">
        <f t="shared" si="3"/>
        <v>3500000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f>160+240</f>
        <v>400</v>
      </c>
      <c r="C212" s="7">
        <v>21000</v>
      </c>
      <c r="D212" s="7">
        <f t="shared" si="3"/>
        <v>8400000</v>
      </c>
    </row>
    <row r="213" spans="1:4" ht="18.75" x14ac:dyDescent="0.25">
      <c r="A213" s="12" t="s">
        <v>202</v>
      </c>
      <c r="B213" s="7">
        <v>700</v>
      </c>
      <c r="C213" s="7">
        <v>19000</v>
      </c>
      <c r="D213" s="7">
        <f t="shared" si="3"/>
        <v>13300000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-400+380+540+290</f>
        <v>810</v>
      </c>
      <c r="C215" s="7">
        <v>20000</v>
      </c>
      <c r="D215" s="7">
        <f t="shared" si="3"/>
        <v>16200000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x14ac:dyDescent="0.25">
      <c r="A221" s="9" t="s">
        <v>210</v>
      </c>
      <c r="B221" s="7">
        <v>10</v>
      </c>
      <c r="C221" s="7">
        <v>12000</v>
      </c>
      <c r="D221" s="7">
        <f t="shared" si="3"/>
        <v>120000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-300+340+70</f>
        <v>110</v>
      </c>
      <c r="C226" s="7">
        <v>15000</v>
      </c>
      <c r="D226" s="7">
        <f t="shared" si="3"/>
        <v>1650000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hidden="1" x14ac:dyDescent="0.25">
      <c r="A228" s="9" t="s">
        <v>217</v>
      </c>
      <c r="B228" s="7"/>
      <c r="C228" s="7"/>
      <c r="D228" s="7">
        <f t="shared" si="3"/>
        <v>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x14ac:dyDescent="0.25">
      <c r="A231" s="17" t="s">
        <v>220</v>
      </c>
      <c r="B231" s="7">
        <v>1</v>
      </c>
      <c r="C231" s="7">
        <v>45000</v>
      </c>
      <c r="D231" s="7">
        <f t="shared" si="3"/>
        <v>45000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hidden="1" x14ac:dyDescent="0.25">
      <c r="A258" s="9" t="s">
        <v>247</v>
      </c>
      <c r="B258" s="7"/>
      <c r="C258" s="7"/>
      <c r="D258" s="7">
        <f t="shared" si="3"/>
        <v>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-20+25+220</f>
        <v>225</v>
      </c>
      <c r="C261" s="7">
        <v>27000</v>
      </c>
      <c r="D261" s="7">
        <f t="shared" si="4"/>
        <v>6075000</v>
      </c>
    </row>
    <row r="262" spans="1:4" ht="18.75" x14ac:dyDescent="0.25">
      <c r="A262" s="9" t="s">
        <v>251</v>
      </c>
      <c r="B262" s="7">
        <v>15</v>
      </c>
      <c r="C262" s="7">
        <v>23000</v>
      </c>
      <c r="D262" s="7">
        <f t="shared" si="4"/>
        <v>345000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x14ac:dyDescent="0.25">
      <c r="A264" s="9" t="s">
        <v>253</v>
      </c>
      <c r="B264" s="7">
        <v>95</v>
      </c>
      <c r="C264" s="7">
        <v>10000</v>
      </c>
      <c r="D264" s="7">
        <f t="shared" si="4"/>
        <v>950000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-20+60+46+100</f>
        <v>186</v>
      </c>
      <c r="C268" s="7">
        <v>25000</v>
      </c>
      <c r="D268" s="7">
        <f t="shared" si="4"/>
        <v>4650000</v>
      </c>
    </row>
    <row r="269" spans="1:4" ht="18.75" hidden="1" x14ac:dyDescent="0.25">
      <c r="A269" s="9" t="s">
        <v>259</v>
      </c>
      <c r="B269" s="7"/>
      <c r="C269" s="7"/>
      <c r="D269" s="7">
        <f t="shared" si="4"/>
        <v>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-20+70</f>
        <v>50</v>
      </c>
      <c r="C272" s="7">
        <v>24000</v>
      </c>
      <c r="D272" s="7">
        <f t="shared" si="4"/>
        <v>1200000</v>
      </c>
    </row>
    <row r="273" spans="1:4" ht="18.75" hidden="1" x14ac:dyDescent="0.25">
      <c r="A273" s="9" t="s">
        <v>263</v>
      </c>
      <c r="B273" s="7"/>
      <c r="C273" s="7"/>
      <c r="D273" s="7">
        <f t="shared" si="4"/>
        <v>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x14ac:dyDescent="0.25">
      <c r="A279" s="9" t="s">
        <v>269</v>
      </c>
      <c r="B279" s="7">
        <v>32</v>
      </c>
      <c r="C279" s="7">
        <v>14500</v>
      </c>
      <c r="D279" s="7">
        <f t="shared" si="4"/>
        <v>464000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20</v>
      </c>
      <c r="C283" s="7">
        <v>28000</v>
      </c>
      <c r="D283" s="7">
        <f t="shared" si="4"/>
        <v>560000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31</v>
      </c>
      <c r="C297" s="7">
        <v>13000</v>
      </c>
      <c r="D297" s="7">
        <f t="shared" si="4"/>
        <v>403000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f>55+46+16</f>
        <v>117</v>
      </c>
      <c r="C300" s="7">
        <v>9000</v>
      </c>
      <c r="D300" s="7">
        <f t="shared" si="4"/>
        <v>1053000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v>130</v>
      </c>
      <c r="C303" s="7">
        <v>14000</v>
      </c>
      <c r="D303" s="7">
        <f t="shared" si="4"/>
        <v>1820000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hidden="1" x14ac:dyDescent="0.25">
      <c r="A321" s="13" t="s">
        <v>309</v>
      </c>
      <c r="B321" s="7"/>
      <c r="C321" s="7"/>
      <c r="D321" s="7">
        <f t="shared" si="4"/>
        <v>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x14ac:dyDescent="0.25">
      <c r="A327" s="9" t="s">
        <v>315</v>
      </c>
      <c r="B327" s="7">
        <v>1</v>
      </c>
      <c r="C327" s="7">
        <v>28000</v>
      </c>
      <c r="D327" s="7">
        <f t="shared" si="5"/>
        <v>28000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8954.5</v>
      </c>
      <c r="C351" s="43"/>
      <c r="D351" s="7">
        <f>SUM(D7:D327)</f>
        <v>120414600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435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f>3780+300+2480+800+1300+100+300+50-1692</f>
        <v>7418</v>
      </c>
      <c r="C359" s="7">
        <v>5500</v>
      </c>
      <c r="D359" s="7">
        <f t="shared" si="5"/>
        <v>40799000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31.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x14ac:dyDescent="0.25">
      <c r="A366" s="9" t="s">
        <v>12</v>
      </c>
      <c r="B366" s="7">
        <v>31</v>
      </c>
      <c r="C366" s="7">
        <v>6000</v>
      </c>
      <c r="D366" s="7">
        <f t="shared" si="5"/>
        <v>186000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f>-1000+120+1740</f>
        <v>860</v>
      </c>
      <c r="C373" s="7">
        <v>12500</v>
      </c>
      <c r="D373" s="7">
        <f t="shared" si="5"/>
        <v>10750000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x14ac:dyDescent="0.25">
      <c r="A378" s="9" t="s">
        <v>24</v>
      </c>
      <c r="B378" s="7">
        <v>30</v>
      </c>
      <c r="C378" s="7">
        <v>16000</v>
      </c>
      <c r="D378" s="7">
        <f t="shared" si="5"/>
        <v>480000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51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19000</v>
      </c>
      <c r="D400" s="7">
        <f t="shared" si="6"/>
        <v>5700000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100</v>
      </c>
      <c r="C425" s="7">
        <v>22000</v>
      </c>
      <c r="D425" s="7">
        <f t="shared" si="6"/>
        <v>2200000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x14ac:dyDescent="0.25">
      <c r="A438" s="9" t="s">
        <v>90</v>
      </c>
      <c r="B438" s="7">
        <v>25</v>
      </c>
      <c r="C438" s="7">
        <v>10000</v>
      </c>
      <c r="D438" s="7">
        <f t="shared" si="6"/>
        <v>250000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103</v>
      </c>
      <c r="B453" s="7"/>
      <c r="C453" s="7"/>
      <c r="D453" s="7">
        <f t="shared" si="7"/>
        <v>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hidden="1" x14ac:dyDescent="0.25">
      <c r="A457" s="23" t="s">
        <v>107</v>
      </c>
      <c r="B457" s="7"/>
      <c r="C457" s="7"/>
      <c r="D457" s="7">
        <f t="shared" si="7"/>
        <v>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x14ac:dyDescent="0.25">
      <c r="A460" s="9" t="s">
        <v>110</v>
      </c>
      <c r="B460" s="7">
        <v>15</v>
      </c>
      <c r="C460" s="7">
        <v>18000</v>
      </c>
      <c r="D460" s="7">
        <f t="shared" si="7"/>
        <v>270000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x14ac:dyDescent="0.25">
      <c r="A465" s="9" t="s">
        <v>346</v>
      </c>
      <c r="B465" s="7">
        <v>4</v>
      </c>
      <c r="C465" s="7">
        <v>22000</v>
      </c>
      <c r="D465" s="7">
        <f t="shared" si="7"/>
        <v>88000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x14ac:dyDescent="0.25">
      <c r="A472" s="9" t="s">
        <v>122</v>
      </c>
      <c r="B472" s="7">
        <v>70</v>
      </c>
      <c r="C472" s="7">
        <v>14000</v>
      </c>
      <c r="D472" s="7">
        <f t="shared" si="7"/>
        <v>980000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18000</v>
      </c>
      <c r="D483" s="7">
        <f t="shared" si="7"/>
        <v>1080000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hidden="1" x14ac:dyDescent="0.25">
      <c r="A503" s="9" t="s">
        <v>154</v>
      </c>
      <c r="B503" s="7"/>
      <c r="C503" s="7"/>
      <c r="D503" s="7">
        <f t="shared" si="7"/>
        <v>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159</v>
      </c>
      <c r="B508" s="7"/>
      <c r="C508" s="7"/>
      <c r="D508" s="7">
        <f t="shared" si="7"/>
        <v>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x14ac:dyDescent="0.25">
      <c r="A515" s="9" t="s">
        <v>349</v>
      </c>
      <c r="B515" s="7">
        <v>123</v>
      </c>
      <c r="C515" s="7">
        <v>6000</v>
      </c>
      <c r="D515" s="7">
        <f t="shared" si="7"/>
        <v>738000</v>
      </c>
    </row>
    <row r="516" spans="1:4" ht="18.75" hidden="1" x14ac:dyDescent="0.25">
      <c r="A516" s="12" t="s">
        <v>167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x14ac:dyDescent="0.25">
      <c r="A531" s="12" t="s">
        <v>183</v>
      </c>
      <c r="B531" s="7">
        <v>250</v>
      </c>
      <c r="C531" s="7">
        <v>12000</v>
      </c>
      <c r="D531" s="7">
        <f t="shared" si="8"/>
        <v>3000000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400</v>
      </c>
      <c r="C553" s="7">
        <v>20000</v>
      </c>
      <c r="D553" s="7">
        <f t="shared" si="8"/>
        <v>8000000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212</v>
      </c>
      <c r="B564" s="7"/>
      <c r="C564" s="7"/>
      <c r="D564" s="7">
        <f t="shared" si="8"/>
        <v>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300</v>
      </c>
      <c r="C567" s="7">
        <v>15000</v>
      </c>
      <c r="D567" s="7">
        <f t="shared" si="8"/>
        <v>4500000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27000</v>
      </c>
      <c r="D596" s="7">
        <f t="shared" si="9"/>
        <v>540000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25000</v>
      </c>
      <c r="D604" s="7">
        <f t="shared" si="9"/>
        <v>500000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24000</v>
      </c>
      <c r="D608" s="7">
        <f t="shared" si="9"/>
        <v>480000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x14ac:dyDescent="0.25">
      <c r="A674" s="9" t="s">
        <v>329</v>
      </c>
      <c r="B674" s="7">
        <v>10</v>
      </c>
      <c r="C674" s="7">
        <v>6800</v>
      </c>
      <c r="D674" s="7">
        <f t="shared" si="10"/>
        <v>68000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10056</v>
      </c>
      <c r="C683" s="43"/>
      <c r="D683" s="43">
        <f t="shared" ref="D683" si="11">SUM(D356:D682)</f>
        <v>80609000</v>
      </c>
    </row>
    <row r="685" spans="1:4" x14ac:dyDescent="0.25">
      <c r="D685" s="53">
        <f>D683+D351</f>
        <v>201023600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15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D685"/>
  <sheetViews>
    <sheetView topLeftCell="A354" workbookViewId="0">
      <selection activeCell="H686" sqref="H686"/>
    </sheetView>
  </sheetViews>
  <sheetFormatPr defaultRowHeight="15" x14ac:dyDescent="0.25"/>
  <cols>
    <col min="1" max="1" width="36.42578125" customWidth="1"/>
    <col min="3" max="3" width="14.42578125" customWidth="1"/>
    <col min="4" max="4" width="22.140625" customWidth="1"/>
  </cols>
  <sheetData>
    <row r="1" spans="1:4" x14ac:dyDescent="0.25">
      <c r="A1" s="1" t="s">
        <v>434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x14ac:dyDescent="0.25">
      <c r="A7" s="5" t="s">
        <v>5</v>
      </c>
      <c r="B7" s="7">
        <v>3000</v>
      </c>
      <c r="C7" s="7">
        <v>4500</v>
      </c>
      <c r="D7" s="7">
        <f t="shared" si="0"/>
        <v>13500000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25</v>
      </c>
      <c r="C17" s="7">
        <v>8000</v>
      </c>
      <c r="D17" s="7">
        <f t="shared" si="0"/>
        <v>200000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f>15+9</f>
        <v>24</v>
      </c>
      <c r="C21" s="45">
        <v>11000</v>
      </c>
      <c r="D21" s="7">
        <f t="shared" si="0"/>
        <v>264000</v>
      </c>
    </row>
    <row r="22" spans="1:4" ht="18.75" x14ac:dyDescent="0.25">
      <c r="A22" s="9" t="s">
        <v>19</v>
      </c>
      <c r="B22" s="7">
        <v>1000</v>
      </c>
      <c r="C22" s="7">
        <v>11500</v>
      </c>
      <c r="D22" s="7">
        <f t="shared" si="0"/>
        <v>11500000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-30+32+45</f>
        <v>47</v>
      </c>
      <c r="C27" s="7">
        <v>16000</v>
      </c>
      <c r="D27" s="7">
        <f t="shared" si="0"/>
        <v>752000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x14ac:dyDescent="0.25">
      <c r="A30" s="9" t="s">
        <v>27</v>
      </c>
      <c r="B30" s="7">
        <v>8</v>
      </c>
      <c r="C30" s="7">
        <v>36000</v>
      </c>
      <c r="D30" s="7">
        <f t="shared" si="0"/>
        <v>288000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x14ac:dyDescent="0.25">
      <c r="A32" s="12" t="s">
        <v>29</v>
      </c>
      <c r="B32" s="7">
        <f>36+36+30</f>
        <v>102</v>
      </c>
      <c r="C32" s="7">
        <v>13000</v>
      </c>
      <c r="D32" s="7">
        <f t="shared" si="0"/>
        <v>1326000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hidden="1" x14ac:dyDescent="0.25">
      <c r="A41" s="9" t="s">
        <v>38</v>
      </c>
      <c r="B41" s="7"/>
      <c r="C41" s="7"/>
      <c r="D41" s="7">
        <f t="shared" si="0"/>
        <v>0</v>
      </c>
    </row>
    <row r="42" spans="1:4" ht="18.75" x14ac:dyDescent="0.25">
      <c r="A42" s="9" t="s">
        <v>39</v>
      </c>
      <c r="B42" s="7">
        <v>10</v>
      </c>
      <c r="C42" s="7">
        <v>9000</v>
      </c>
      <c r="D42" s="7">
        <f t="shared" si="0"/>
        <v>90000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-300+660</f>
        <v>360</v>
      </c>
      <c r="C56" s="7">
        <v>20000</v>
      </c>
      <c r="D56" s="7">
        <f t="shared" si="0"/>
        <v>7200000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f>30+52+45</f>
        <v>127</v>
      </c>
      <c r="C59" s="7">
        <v>10000</v>
      </c>
      <c r="D59" s="7">
        <f t="shared" si="0"/>
        <v>1270000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x14ac:dyDescent="0.25">
      <c r="A63" s="9" t="s">
        <v>60</v>
      </c>
      <c r="B63" s="7">
        <v>6</v>
      </c>
      <c r="C63" s="7">
        <v>16500</v>
      </c>
      <c r="D63" s="7">
        <f t="shared" si="0"/>
        <v>99000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v>30</v>
      </c>
      <c r="C66" s="7">
        <v>18000</v>
      </c>
      <c r="D66" s="7">
        <f t="shared" si="0"/>
        <v>540000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hidden="1" x14ac:dyDescent="0.25">
      <c r="A72" s="12" t="s">
        <v>69</v>
      </c>
      <c r="B72" s="7"/>
      <c r="C72" s="7"/>
      <c r="D72" s="7">
        <f t="shared" si="1"/>
        <v>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x14ac:dyDescent="0.25">
      <c r="A74" s="12" t="s">
        <v>71</v>
      </c>
      <c r="B74" s="7">
        <v>22.5</v>
      </c>
      <c r="C74" s="7">
        <v>5000</v>
      </c>
      <c r="D74" s="7">
        <f t="shared" si="1"/>
        <v>112500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hidden="1" x14ac:dyDescent="0.25">
      <c r="A80" s="9" t="s">
        <v>77</v>
      </c>
      <c r="B80" s="7"/>
      <c r="C80" s="7"/>
      <c r="D80" s="7">
        <f t="shared" si="1"/>
        <v>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x14ac:dyDescent="0.25">
      <c r="A82" s="9" t="s">
        <v>79</v>
      </c>
      <c r="B82" s="7">
        <f>80+80</f>
        <v>160</v>
      </c>
      <c r="C82" s="7">
        <v>23000</v>
      </c>
      <c r="D82" s="7">
        <f t="shared" si="1"/>
        <v>3680000</v>
      </c>
    </row>
    <row r="83" spans="1:4" ht="18.75" hidden="1" x14ac:dyDescent="0.25">
      <c r="A83" s="9" t="s">
        <v>80</v>
      </c>
      <c r="B83" s="7"/>
      <c r="C83" s="7"/>
      <c r="D83" s="7">
        <f t="shared" si="1"/>
        <v>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v>120</v>
      </c>
      <c r="C90" s="7">
        <v>29000</v>
      </c>
      <c r="D90" s="7">
        <f t="shared" si="1"/>
        <v>3480000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x14ac:dyDescent="0.25">
      <c r="A103" s="24" t="s">
        <v>99</v>
      </c>
      <c r="B103" s="16">
        <v>5</v>
      </c>
      <c r="C103" s="16">
        <v>27500</v>
      </c>
      <c r="D103" s="7">
        <f t="shared" si="1"/>
        <v>137500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x14ac:dyDescent="0.25">
      <c r="A107" s="9" t="s">
        <v>103</v>
      </c>
      <c r="B107" s="7">
        <v>29</v>
      </c>
      <c r="C107" s="7">
        <v>12000</v>
      </c>
      <c r="D107" s="7">
        <f t="shared" si="1"/>
        <v>348000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x14ac:dyDescent="0.25">
      <c r="A135" s="9" t="s">
        <v>122</v>
      </c>
      <c r="B135" s="7">
        <v>40</v>
      </c>
      <c r="C135" s="7">
        <v>14000</v>
      </c>
      <c r="D135" s="7">
        <f t="shared" si="2"/>
        <v>560000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18.7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x14ac:dyDescent="0.25">
      <c r="A143" s="9" t="s">
        <v>132</v>
      </c>
      <c r="B143" s="7">
        <v>18</v>
      </c>
      <c r="C143" s="7">
        <v>8000</v>
      </c>
      <c r="D143" s="7">
        <f t="shared" si="2"/>
        <v>144000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-60+30+50+80</f>
        <v>100</v>
      </c>
      <c r="C146" s="7">
        <v>18000</v>
      </c>
      <c r="D146" s="7">
        <f t="shared" si="2"/>
        <v>1800000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x14ac:dyDescent="0.25">
      <c r="A159" s="9" t="s">
        <v>148</v>
      </c>
      <c r="B159" s="16">
        <v>0.3</v>
      </c>
      <c r="C159" s="16">
        <v>60000</v>
      </c>
      <c r="D159" s="7">
        <f t="shared" si="2"/>
        <v>18000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x14ac:dyDescent="0.25">
      <c r="A166" s="9" t="s">
        <v>155</v>
      </c>
      <c r="B166" s="7">
        <v>11</v>
      </c>
      <c r="C166" s="7">
        <v>11000</v>
      </c>
      <c r="D166" s="7">
        <f t="shared" si="2"/>
        <v>121000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x14ac:dyDescent="0.25">
      <c r="A178" s="9" t="s">
        <v>168</v>
      </c>
      <c r="B178" s="7">
        <f>54+139-80</f>
        <v>113</v>
      </c>
      <c r="C178" s="46">
        <v>6000</v>
      </c>
      <c r="D178" s="7">
        <f t="shared" si="2"/>
        <v>678000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x14ac:dyDescent="0.25">
      <c r="A180" s="9" t="s">
        <v>170</v>
      </c>
      <c r="B180" s="7">
        <v>40</v>
      </c>
      <c r="C180" s="7">
        <v>11000</v>
      </c>
      <c r="D180" s="7">
        <f t="shared" si="2"/>
        <v>440000</v>
      </c>
    </row>
    <row r="181" spans="1:4" ht="18.75" hidden="1" x14ac:dyDescent="0.25">
      <c r="A181" s="9" t="s">
        <v>171</v>
      </c>
      <c r="B181" s="7"/>
      <c r="C181" s="7"/>
      <c r="D181" s="7">
        <f t="shared" si="2"/>
        <v>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hidden="1" x14ac:dyDescent="0.25">
      <c r="A184" s="31" t="s">
        <v>174</v>
      </c>
      <c r="B184" s="33"/>
      <c r="C184" s="33"/>
      <c r="D184" s="7">
        <f t="shared" si="2"/>
        <v>0</v>
      </c>
    </row>
    <row r="185" spans="1:4" ht="18.75" hidden="1" x14ac:dyDescent="0.25">
      <c r="A185" s="11" t="s">
        <v>175</v>
      </c>
      <c r="B185" s="7"/>
      <c r="C185" s="7"/>
      <c r="D185" s="7">
        <f t="shared" si="2"/>
        <v>0</v>
      </c>
    </row>
    <row r="186" spans="1:4" ht="18.75" x14ac:dyDescent="0.25">
      <c r="A186" s="9" t="s">
        <v>176</v>
      </c>
      <c r="B186" s="7">
        <v>3</v>
      </c>
      <c r="C186" s="7">
        <v>42000</v>
      </c>
      <c r="D186" s="7">
        <f t="shared" si="2"/>
        <v>126000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183</v>
      </c>
      <c r="B193" s="7"/>
      <c r="C193" s="7"/>
      <c r="D193" s="7">
        <f t="shared" si="2"/>
        <v>0</v>
      </c>
    </row>
    <row r="194" spans="1:4" ht="18.75" x14ac:dyDescent="0.25">
      <c r="A194" s="9" t="s">
        <v>184</v>
      </c>
      <c r="B194" s="7">
        <v>300</v>
      </c>
      <c r="C194" s="7">
        <v>27000</v>
      </c>
      <c r="D194" s="7">
        <f t="shared" si="2"/>
        <v>8100000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x14ac:dyDescent="0.25">
      <c r="A197" s="12" t="s">
        <v>187</v>
      </c>
      <c r="B197" s="7">
        <v>35</v>
      </c>
      <c r="C197" s="7">
        <v>20000</v>
      </c>
      <c r="D197" s="7">
        <f t="shared" si="3"/>
        <v>700000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hidden="1" x14ac:dyDescent="0.25">
      <c r="A199" s="17" t="s">
        <v>189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x14ac:dyDescent="0.25">
      <c r="A204" s="12" t="s">
        <v>414</v>
      </c>
      <c r="B204" s="7">
        <v>1200</v>
      </c>
      <c r="C204" s="7">
        <v>35000</v>
      </c>
      <c r="D204" s="7">
        <f t="shared" si="3"/>
        <v>42000000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v>480</v>
      </c>
      <c r="C212" s="7">
        <v>21000</v>
      </c>
      <c r="D212" s="7">
        <f t="shared" si="3"/>
        <v>10080000</v>
      </c>
    </row>
    <row r="213" spans="1:4" ht="18.75" x14ac:dyDescent="0.25">
      <c r="A213" s="12" t="s">
        <v>202</v>
      </c>
      <c r="B213" s="7">
        <f>250+400+270</f>
        <v>920</v>
      </c>
      <c r="C213" s="7">
        <v>19000</v>
      </c>
      <c r="D213" s="7">
        <f t="shared" si="3"/>
        <v>17480000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-400+150+660+240</f>
        <v>650</v>
      </c>
      <c r="C215" s="7">
        <v>20000</v>
      </c>
      <c r="D215" s="7">
        <f t="shared" si="3"/>
        <v>13000000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hidden="1" x14ac:dyDescent="0.25">
      <c r="A221" s="9" t="s">
        <v>210</v>
      </c>
      <c r="B221" s="7"/>
      <c r="C221" s="7"/>
      <c r="D221" s="7">
        <f t="shared" si="3"/>
        <v>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-300+330</f>
        <v>30</v>
      </c>
      <c r="C226" s="7">
        <v>15000</v>
      </c>
      <c r="D226" s="7">
        <f t="shared" si="3"/>
        <v>450000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hidden="1" x14ac:dyDescent="0.25">
      <c r="A228" s="9" t="s">
        <v>217</v>
      </c>
      <c r="B228" s="7"/>
      <c r="C228" s="7"/>
      <c r="D228" s="7">
        <f t="shared" si="3"/>
        <v>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x14ac:dyDescent="0.25">
      <c r="A231" s="17" t="s">
        <v>220</v>
      </c>
      <c r="B231" s="7">
        <v>1</v>
      </c>
      <c r="C231" s="7">
        <v>45000</v>
      </c>
      <c r="D231" s="7">
        <f t="shared" si="3"/>
        <v>45000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hidden="1" x14ac:dyDescent="0.25">
      <c r="A258" s="9" t="s">
        <v>247</v>
      </c>
      <c r="B258" s="7"/>
      <c r="C258" s="7"/>
      <c r="D258" s="7">
        <f t="shared" si="3"/>
        <v>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-20+80+150+100</f>
        <v>310</v>
      </c>
      <c r="C261" s="7">
        <v>27000</v>
      </c>
      <c r="D261" s="7">
        <f t="shared" si="4"/>
        <v>8370000</v>
      </c>
    </row>
    <row r="262" spans="1:4" ht="18.75" x14ac:dyDescent="0.25">
      <c r="A262" s="9" t="s">
        <v>251</v>
      </c>
      <c r="B262" s="7">
        <v>30</v>
      </c>
      <c r="C262" s="7">
        <v>23000</v>
      </c>
      <c r="D262" s="7">
        <f t="shared" si="4"/>
        <v>690000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-20+45+90</f>
        <v>115</v>
      </c>
      <c r="C268" s="7">
        <v>25000</v>
      </c>
      <c r="D268" s="7">
        <f t="shared" si="4"/>
        <v>2875000</v>
      </c>
    </row>
    <row r="269" spans="1:4" ht="18.75" x14ac:dyDescent="0.25">
      <c r="A269" s="9" t="s">
        <v>259</v>
      </c>
      <c r="B269" s="7">
        <v>60</v>
      </c>
      <c r="C269" s="7">
        <v>20000</v>
      </c>
      <c r="D269" s="7">
        <f t="shared" si="4"/>
        <v>1200000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-20+110</f>
        <v>90</v>
      </c>
      <c r="C272" s="7">
        <v>24000</v>
      </c>
      <c r="D272" s="7">
        <f t="shared" si="4"/>
        <v>2160000</v>
      </c>
    </row>
    <row r="273" spans="1:4" ht="18.75" hidden="1" x14ac:dyDescent="0.25">
      <c r="A273" s="9" t="s">
        <v>263</v>
      </c>
      <c r="B273" s="7"/>
      <c r="C273" s="7"/>
      <c r="D273" s="7">
        <f t="shared" si="4"/>
        <v>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hidden="1" x14ac:dyDescent="0.25">
      <c r="A279" s="9" t="s">
        <v>269</v>
      </c>
      <c r="B279" s="7"/>
      <c r="C279" s="7"/>
      <c r="D279" s="7">
        <f t="shared" si="4"/>
        <v>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hidden="1" x14ac:dyDescent="0.25">
      <c r="A283" s="9" t="s">
        <v>273</v>
      </c>
      <c r="B283" s="7"/>
      <c r="C283" s="7"/>
      <c r="D283" s="7">
        <f t="shared" si="4"/>
        <v>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33</v>
      </c>
      <c r="C297" s="7">
        <v>13000</v>
      </c>
      <c r="D297" s="7">
        <f t="shared" si="4"/>
        <v>429000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f>75+30</f>
        <v>105</v>
      </c>
      <c r="C300" s="7">
        <v>9500</v>
      </c>
      <c r="D300" s="7">
        <f t="shared" si="4"/>
        <v>997500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v>5</v>
      </c>
      <c r="C303" s="7">
        <v>14000</v>
      </c>
      <c r="D303" s="7">
        <f t="shared" si="4"/>
        <v>70000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hidden="1" x14ac:dyDescent="0.25">
      <c r="A321" s="13" t="s">
        <v>309</v>
      </c>
      <c r="B321" s="7"/>
      <c r="C321" s="7"/>
      <c r="D321" s="7">
        <f t="shared" si="4"/>
        <v>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x14ac:dyDescent="0.25">
      <c r="A338" s="9" t="s">
        <v>326</v>
      </c>
      <c r="B338" s="7">
        <v>1</v>
      </c>
      <c r="C338" s="7">
        <v>30000</v>
      </c>
      <c r="D338" s="7">
        <f t="shared" si="5"/>
        <v>30000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9765.7999999999993</v>
      </c>
      <c r="C351" s="43"/>
      <c r="D351" s="7">
        <f>SUM(D7:D338)</f>
        <v>157350500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436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12" t="s">
        <v>69</v>
      </c>
      <c r="B356" s="7"/>
      <c r="C356" s="7"/>
      <c r="D356" s="7">
        <f t="shared" si="5"/>
        <v>0</v>
      </c>
    </row>
    <row r="357" spans="1:4" ht="18.75" hidden="1" x14ac:dyDescent="0.25">
      <c r="A357" s="11" t="s">
        <v>70</v>
      </c>
      <c r="B357" s="7"/>
      <c r="C357" s="7"/>
      <c r="D357" s="7">
        <f t="shared" si="5"/>
        <v>0</v>
      </c>
    </row>
    <row r="358" spans="1:4" ht="18.75" hidden="1" x14ac:dyDescent="0.25">
      <c r="A358" s="12" t="s">
        <v>71</v>
      </c>
      <c r="B358" s="7"/>
      <c r="C358" s="7"/>
      <c r="D358" s="7">
        <f t="shared" si="5"/>
        <v>0</v>
      </c>
    </row>
    <row r="359" spans="1:4" ht="18.75" hidden="1" x14ac:dyDescent="0.25">
      <c r="A359" s="12" t="s">
        <v>72</v>
      </c>
      <c r="B359" s="7"/>
      <c r="C359" s="7"/>
      <c r="D359" s="7">
        <f t="shared" si="5"/>
        <v>0</v>
      </c>
    </row>
    <row r="360" spans="1:4" ht="18.75" hidden="1" x14ac:dyDescent="0.25">
      <c r="A360" s="12" t="s">
        <v>73</v>
      </c>
      <c r="B360" s="7"/>
      <c r="C360" s="7"/>
      <c r="D360" s="7">
        <f t="shared" si="5"/>
        <v>0</v>
      </c>
    </row>
    <row r="361" spans="1:4" ht="18.75" hidden="1" x14ac:dyDescent="0.25">
      <c r="A361" s="20" t="s">
        <v>74</v>
      </c>
      <c r="B361" s="7"/>
      <c r="C361" s="7"/>
      <c r="D361" s="7">
        <f t="shared" si="5"/>
        <v>0</v>
      </c>
    </row>
    <row r="362" spans="1:4" ht="18.75" hidden="1" x14ac:dyDescent="0.25">
      <c r="A362" s="9" t="s">
        <v>75</v>
      </c>
      <c r="B362" s="7"/>
      <c r="C362" s="7"/>
      <c r="D362" s="7">
        <f t="shared" si="5"/>
        <v>0</v>
      </c>
    </row>
    <row r="363" spans="1:4" ht="18.75" hidden="1" x14ac:dyDescent="0.25">
      <c r="A363" s="12" t="s">
        <v>82</v>
      </c>
      <c r="B363" s="16"/>
      <c r="C363" s="16"/>
      <c r="D363" s="7">
        <f t="shared" si="5"/>
        <v>0</v>
      </c>
    </row>
    <row r="364" spans="1:4" ht="18.75" hidden="1" x14ac:dyDescent="0.25">
      <c r="A364" s="12" t="s">
        <v>83</v>
      </c>
      <c r="B364" s="16"/>
      <c r="C364" s="16"/>
      <c r="D364" s="7">
        <f t="shared" si="5"/>
        <v>0</v>
      </c>
    </row>
    <row r="365" spans="1:4" ht="18.75" hidden="1" x14ac:dyDescent="0.25">
      <c r="A365" s="12" t="s">
        <v>84</v>
      </c>
      <c r="B365" s="16"/>
      <c r="C365" s="16"/>
      <c r="D365" s="7">
        <f t="shared" si="5"/>
        <v>0</v>
      </c>
    </row>
    <row r="366" spans="1:4" ht="18.75" hidden="1" x14ac:dyDescent="0.25">
      <c r="A366" s="9" t="s">
        <v>96</v>
      </c>
      <c r="B366" s="7"/>
      <c r="C366" s="7"/>
      <c r="D366" s="7">
        <f t="shared" si="5"/>
        <v>0</v>
      </c>
    </row>
    <row r="367" spans="1:4" ht="18.75" hidden="1" x14ac:dyDescent="0.25">
      <c r="A367" s="9" t="s">
        <v>97</v>
      </c>
      <c r="B367" s="7"/>
      <c r="C367" s="7"/>
      <c r="D367" s="7">
        <f t="shared" si="5"/>
        <v>0</v>
      </c>
    </row>
    <row r="368" spans="1:4" ht="18.75" hidden="1" x14ac:dyDescent="0.25">
      <c r="A368" s="9" t="s">
        <v>99</v>
      </c>
      <c r="B368" s="16"/>
      <c r="C368" s="16"/>
      <c r="D368" s="7">
        <f t="shared" si="5"/>
        <v>0</v>
      </c>
    </row>
    <row r="369" spans="1:4" ht="18.75" hidden="1" x14ac:dyDescent="0.25">
      <c r="A369" s="21" t="s">
        <v>101</v>
      </c>
      <c r="B369" s="7"/>
      <c r="C369" s="7"/>
      <c r="D369" s="7">
        <f t="shared" si="5"/>
        <v>0</v>
      </c>
    </row>
    <row r="370" spans="1:4" ht="18.75" hidden="1" x14ac:dyDescent="0.25">
      <c r="A370" s="11" t="s">
        <v>117</v>
      </c>
      <c r="B370" s="7"/>
      <c r="C370" s="7"/>
      <c r="D370" s="7">
        <f t="shared" si="5"/>
        <v>0</v>
      </c>
    </row>
    <row r="371" spans="1:4" ht="18.75" hidden="1" x14ac:dyDescent="0.25">
      <c r="A371" s="21" t="s">
        <v>118</v>
      </c>
      <c r="B371" s="7"/>
      <c r="C371" s="7"/>
      <c r="D371" s="7">
        <f t="shared" si="5"/>
        <v>0</v>
      </c>
    </row>
    <row r="372" spans="1:4" ht="18.75" x14ac:dyDescent="0.25">
      <c r="A372" s="9" t="s">
        <v>110</v>
      </c>
      <c r="B372" s="7">
        <v>50</v>
      </c>
      <c r="C372" s="7">
        <v>18000</v>
      </c>
      <c r="D372" s="7">
        <f t="shared" si="5"/>
        <v>900000</v>
      </c>
    </row>
    <row r="373" spans="1:4" ht="18.75" hidden="1" x14ac:dyDescent="0.25">
      <c r="A373" s="9" t="s">
        <v>111</v>
      </c>
      <c r="B373" s="7"/>
      <c r="C373" s="7"/>
      <c r="D373" s="7">
        <f t="shared" si="5"/>
        <v>0</v>
      </c>
    </row>
    <row r="374" spans="1:4" ht="18.75" hidden="1" x14ac:dyDescent="0.25">
      <c r="A374" s="9" t="s">
        <v>112</v>
      </c>
      <c r="B374" s="7"/>
      <c r="C374" s="7"/>
      <c r="D374" s="7">
        <f t="shared" si="5"/>
        <v>0</v>
      </c>
    </row>
    <row r="375" spans="1:4" ht="18.75" hidden="1" x14ac:dyDescent="0.25">
      <c r="A375" s="11" t="s">
        <v>249</v>
      </c>
      <c r="B375" s="7"/>
      <c r="C375" s="7"/>
      <c r="D375" s="7">
        <f t="shared" si="5"/>
        <v>0</v>
      </c>
    </row>
    <row r="376" spans="1:4" ht="18.75" x14ac:dyDescent="0.25">
      <c r="A376" s="9" t="s">
        <v>250</v>
      </c>
      <c r="B376" s="7">
        <v>20</v>
      </c>
      <c r="C376" s="7">
        <v>27000</v>
      </c>
      <c r="D376" s="7">
        <f t="shared" si="5"/>
        <v>540000</v>
      </c>
    </row>
    <row r="377" spans="1:4" ht="18.75" hidden="1" x14ac:dyDescent="0.25">
      <c r="A377" s="9" t="s">
        <v>251</v>
      </c>
      <c r="B377" s="7"/>
      <c r="C377" s="7"/>
      <c r="D377" s="7">
        <f t="shared" si="5"/>
        <v>0</v>
      </c>
    </row>
    <row r="378" spans="1:4" ht="18.75" hidden="1" x14ac:dyDescent="0.25">
      <c r="A378" s="9" t="s">
        <v>252</v>
      </c>
      <c r="B378" s="7"/>
      <c r="C378" s="7"/>
      <c r="D378" s="7">
        <f t="shared" si="5"/>
        <v>0</v>
      </c>
    </row>
    <row r="379" spans="1:4" ht="18.75" hidden="1" x14ac:dyDescent="0.25">
      <c r="A379" s="9" t="s">
        <v>253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254</v>
      </c>
      <c r="B380" s="7"/>
      <c r="C380" s="7"/>
      <c r="D380" s="7">
        <f t="shared" si="5"/>
        <v>0</v>
      </c>
    </row>
    <row r="381" spans="1:4" ht="18.75" x14ac:dyDescent="0.25">
      <c r="A381" s="9" t="s">
        <v>258</v>
      </c>
      <c r="B381" s="7">
        <v>20</v>
      </c>
      <c r="C381" s="7">
        <v>25000</v>
      </c>
      <c r="D381" s="7">
        <f t="shared" si="5"/>
        <v>500000</v>
      </c>
    </row>
    <row r="382" spans="1:4" ht="18.75" hidden="1" x14ac:dyDescent="0.25">
      <c r="A382" s="9" t="s">
        <v>259</v>
      </c>
      <c r="B382" s="7"/>
      <c r="C382" s="7"/>
      <c r="D382" s="7">
        <f t="shared" si="5"/>
        <v>0</v>
      </c>
    </row>
    <row r="383" spans="1:4" ht="18.75" hidden="1" x14ac:dyDescent="0.25">
      <c r="A383" s="9" t="s">
        <v>260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261</v>
      </c>
      <c r="B384" s="7"/>
      <c r="C384" s="7"/>
      <c r="D384" s="7">
        <f t="shared" si="5"/>
        <v>0</v>
      </c>
    </row>
    <row r="385" spans="1:4" ht="18.75" x14ac:dyDescent="0.25">
      <c r="A385" s="9" t="s">
        <v>262</v>
      </c>
      <c r="B385" s="7">
        <v>20</v>
      </c>
      <c r="C385" s="7">
        <v>24000</v>
      </c>
      <c r="D385" s="7">
        <f t="shared" si="5"/>
        <v>480000</v>
      </c>
    </row>
    <row r="386" spans="1:4" ht="18.75" hidden="1" x14ac:dyDescent="0.25">
      <c r="A386" s="9" t="s">
        <v>263</v>
      </c>
      <c r="B386" s="7"/>
      <c r="C386" s="7"/>
      <c r="D386" s="7">
        <f t="shared" si="5"/>
        <v>0</v>
      </c>
    </row>
    <row r="387" spans="1:4" ht="18.75" hidden="1" x14ac:dyDescent="0.25">
      <c r="A387" s="9" t="s">
        <v>264</v>
      </c>
      <c r="B387" s="7"/>
      <c r="C387" s="7"/>
      <c r="D387" s="7">
        <f t="shared" si="5"/>
        <v>0</v>
      </c>
    </row>
    <row r="388" spans="1:4" ht="18.75" x14ac:dyDescent="0.25">
      <c r="A388" s="9" t="s">
        <v>135</v>
      </c>
      <c r="B388" s="7">
        <v>60</v>
      </c>
      <c r="C388" s="7">
        <v>18000</v>
      </c>
      <c r="D388" s="7">
        <f t="shared" ref="D388:D451" si="6">B388*C388</f>
        <v>1080000</v>
      </c>
    </row>
    <row r="389" spans="1:4" ht="18.75" hidden="1" x14ac:dyDescent="0.25">
      <c r="A389" s="17" t="s">
        <v>136</v>
      </c>
      <c r="B389" s="7"/>
      <c r="C389" s="7"/>
      <c r="D389" s="7">
        <f t="shared" si="6"/>
        <v>0</v>
      </c>
    </row>
    <row r="390" spans="1:4" ht="18.75" hidden="1" x14ac:dyDescent="0.25">
      <c r="A390" s="9" t="s">
        <v>350</v>
      </c>
      <c r="B390" s="7"/>
      <c r="C390" s="7"/>
      <c r="D390" s="7">
        <f t="shared" si="6"/>
        <v>0</v>
      </c>
    </row>
    <row r="391" spans="1:4" ht="18.75" hidden="1" x14ac:dyDescent="0.25">
      <c r="A391" s="12" t="s">
        <v>193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319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212</v>
      </c>
      <c r="B393" s="7"/>
      <c r="C393" s="7"/>
      <c r="D393" s="7">
        <f t="shared" si="6"/>
        <v>0</v>
      </c>
    </row>
    <row r="394" spans="1:4" ht="18.75" hidden="1" x14ac:dyDescent="0.25">
      <c r="A394" s="37" t="s">
        <v>213</v>
      </c>
      <c r="B394" s="7"/>
      <c r="C394" s="7"/>
      <c r="D394" s="7">
        <f t="shared" si="6"/>
        <v>0</v>
      </c>
    </row>
    <row r="395" spans="1:4" ht="18.75" hidden="1" x14ac:dyDescent="0.25">
      <c r="A395" s="9" t="s">
        <v>214</v>
      </c>
      <c r="B395" s="7"/>
      <c r="C395" s="7"/>
      <c r="D395" s="7">
        <f t="shared" si="6"/>
        <v>0</v>
      </c>
    </row>
    <row r="396" spans="1:4" ht="18.75" x14ac:dyDescent="0.25">
      <c r="A396" s="9" t="s">
        <v>215</v>
      </c>
      <c r="B396" s="7">
        <v>300</v>
      </c>
      <c r="C396" s="7">
        <v>15000</v>
      </c>
      <c r="D396" s="7">
        <f t="shared" si="6"/>
        <v>4500000</v>
      </c>
    </row>
    <row r="397" spans="1:4" ht="18.75" hidden="1" x14ac:dyDescent="0.25">
      <c r="A397" s="9" t="s">
        <v>216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357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217</v>
      </c>
      <c r="B399" s="7"/>
      <c r="C399" s="7"/>
      <c r="D399" s="7">
        <f t="shared" si="6"/>
        <v>0</v>
      </c>
    </row>
    <row r="400" spans="1:4" ht="18.75" hidden="1" x14ac:dyDescent="0.25">
      <c r="A400" s="9" t="s">
        <v>103</v>
      </c>
      <c r="B400" s="7"/>
      <c r="C400" s="7"/>
      <c r="D400" s="7">
        <f t="shared" si="6"/>
        <v>0</v>
      </c>
    </row>
    <row r="401" spans="1:4" ht="18.75" hidden="1" x14ac:dyDescent="0.25">
      <c r="A401" s="48" t="s">
        <v>104</v>
      </c>
      <c r="B401" s="7"/>
      <c r="C401" s="7"/>
      <c r="D401" s="7">
        <f t="shared" si="6"/>
        <v>0</v>
      </c>
    </row>
    <row r="402" spans="1:4" ht="18.75" hidden="1" x14ac:dyDescent="0.25">
      <c r="A402" s="11" t="s">
        <v>107</v>
      </c>
      <c r="B402" s="7"/>
      <c r="C402" s="7"/>
      <c r="D402" s="7">
        <f t="shared" si="6"/>
        <v>0</v>
      </c>
    </row>
    <row r="403" spans="1:4" ht="18.75" hidden="1" x14ac:dyDescent="0.25">
      <c r="A403" s="9" t="s">
        <v>109</v>
      </c>
      <c r="B403" s="7"/>
      <c r="C403" s="7"/>
      <c r="D403" s="7">
        <f t="shared" si="6"/>
        <v>0</v>
      </c>
    </row>
    <row r="404" spans="1:4" ht="18.75" hidden="1" x14ac:dyDescent="0.25">
      <c r="A404" s="9" t="s">
        <v>11</v>
      </c>
      <c r="B404" s="7"/>
      <c r="C404" s="7"/>
      <c r="D404" s="7">
        <f t="shared" si="6"/>
        <v>0</v>
      </c>
    </row>
    <row r="405" spans="1:4" ht="18.75" x14ac:dyDescent="0.25">
      <c r="A405" s="9" t="s">
        <v>12</v>
      </c>
      <c r="B405" s="7">
        <v>80</v>
      </c>
      <c r="C405" s="7">
        <v>8000</v>
      </c>
      <c r="D405" s="7">
        <f t="shared" si="6"/>
        <v>640000</v>
      </c>
    </row>
    <row r="406" spans="1:4" ht="18.75" hidden="1" x14ac:dyDescent="0.25">
      <c r="A406" s="12" t="s">
        <v>13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165</v>
      </c>
      <c r="B407" s="7"/>
      <c r="C407" s="7"/>
      <c r="D407" s="7">
        <f t="shared" si="6"/>
        <v>0</v>
      </c>
    </row>
    <row r="408" spans="1:4" ht="18.75" hidden="1" x14ac:dyDescent="0.25">
      <c r="A408" s="17" t="s">
        <v>166</v>
      </c>
      <c r="B408" s="7"/>
      <c r="C408" s="7"/>
      <c r="D408" s="7">
        <f t="shared" si="6"/>
        <v>0</v>
      </c>
    </row>
    <row r="409" spans="1:4" ht="18.75" hidden="1" x14ac:dyDescent="0.25">
      <c r="A409" s="9" t="s">
        <v>199</v>
      </c>
      <c r="B409" s="7"/>
      <c r="C409" s="7"/>
      <c r="D409" s="7">
        <f t="shared" si="6"/>
        <v>0</v>
      </c>
    </row>
    <row r="410" spans="1:4" ht="18.75" hidden="1" x14ac:dyDescent="0.25">
      <c r="A410" s="35" t="s">
        <v>352</v>
      </c>
      <c r="B410" s="7"/>
      <c r="C410" s="7"/>
      <c r="D410" s="7">
        <f t="shared" si="6"/>
        <v>0</v>
      </c>
    </row>
    <row r="411" spans="1:4" ht="18.75" hidden="1" x14ac:dyDescent="0.25">
      <c r="A411" s="9" t="s">
        <v>237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238</v>
      </c>
      <c r="B412" s="7"/>
      <c r="C412" s="7"/>
      <c r="D412" s="7">
        <f t="shared" si="6"/>
        <v>0</v>
      </c>
    </row>
    <row r="413" spans="1:4" ht="18.75" hidden="1" x14ac:dyDescent="0.25">
      <c r="A413" s="12" t="s">
        <v>20</v>
      </c>
      <c r="B413" s="7"/>
      <c r="C413" s="7"/>
      <c r="D413" s="7">
        <f t="shared" si="6"/>
        <v>0</v>
      </c>
    </row>
    <row r="414" spans="1:4" ht="18.75" hidden="1" x14ac:dyDescent="0.25">
      <c r="A414" s="12" t="s">
        <v>21</v>
      </c>
      <c r="B414" s="7"/>
      <c r="C414" s="7"/>
      <c r="D414" s="7">
        <f t="shared" si="6"/>
        <v>0</v>
      </c>
    </row>
    <row r="415" spans="1:4" ht="18.75" hidden="1" x14ac:dyDescent="0.25">
      <c r="A415" s="18" t="s">
        <v>173</v>
      </c>
      <c r="B415" s="7"/>
      <c r="C415" s="7"/>
      <c r="D415" s="7">
        <f t="shared" si="6"/>
        <v>0</v>
      </c>
    </row>
    <row r="416" spans="1:4" ht="18.75" hidden="1" x14ac:dyDescent="0.25">
      <c r="A416" s="31" t="s">
        <v>174</v>
      </c>
      <c r="B416" s="33"/>
      <c r="C416" s="33"/>
      <c r="D416" s="7">
        <f t="shared" si="6"/>
        <v>0</v>
      </c>
    </row>
    <row r="417" spans="1:4" ht="18.75" hidden="1" x14ac:dyDescent="0.25">
      <c r="A417" s="9" t="s">
        <v>27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29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37</v>
      </c>
      <c r="B419" s="7"/>
      <c r="C419" s="7"/>
      <c r="D419" s="7">
        <f t="shared" si="6"/>
        <v>0</v>
      </c>
    </row>
    <row r="420" spans="1:4" ht="18.75" hidden="1" x14ac:dyDescent="0.25">
      <c r="A420" s="9" t="s">
        <v>201</v>
      </c>
      <c r="B420" s="7"/>
      <c r="C420" s="7"/>
      <c r="D420" s="7">
        <f t="shared" si="6"/>
        <v>0</v>
      </c>
    </row>
    <row r="421" spans="1:4" ht="18.75" hidden="1" x14ac:dyDescent="0.25">
      <c r="A421" s="12" t="s">
        <v>202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353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203</v>
      </c>
      <c r="B423" s="7"/>
      <c r="C423" s="7"/>
      <c r="D423" s="7">
        <f t="shared" si="6"/>
        <v>0</v>
      </c>
    </row>
    <row r="424" spans="1:4" ht="18.75" hidden="1" x14ac:dyDescent="0.25">
      <c r="A424" s="9" t="s">
        <v>273</v>
      </c>
      <c r="B424" s="7"/>
      <c r="C424" s="7"/>
      <c r="D424" s="7">
        <f t="shared" si="6"/>
        <v>0</v>
      </c>
    </row>
    <row r="425" spans="1:4" ht="18.75" hidden="1" x14ac:dyDescent="0.25">
      <c r="A425" s="9" t="s">
        <v>274</v>
      </c>
      <c r="B425" s="7"/>
      <c r="C425" s="7"/>
      <c r="D425" s="7">
        <f t="shared" si="6"/>
        <v>0</v>
      </c>
    </row>
    <row r="426" spans="1:4" ht="18.75" hidden="1" x14ac:dyDescent="0.25">
      <c r="A426" s="5" t="s">
        <v>2</v>
      </c>
      <c r="B426" s="7"/>
      <c r="C426" s="7"/>
      <c r="D426" s="7">
        <f t="shared" si="6"/>
        <v>0</v>
      </c>
    </row>
    <row r="427" spans="1:4" ht="18.75" hidden="1" x14ac:dyDescent="0.25">
      <c r="A427" s="8" t="s">
        <v>3</v>
      </c>
      <c r="B427" s="7"/>
      <c r="C427" s="7"/>
      <c r="D427" s="7">
        <f t="shared" si="6"/>
        <v>0</v>
      </c>
    </row>
    <row r="428" spans="1:4" ht="18.75" hidden="1" x14ac:dyDescent="0.25">
      <c r="A428" s="5" t="s">
        <v>4</v>
      </c>
      <c r="B428" s="7"/>
      <c r="C428" s="7"/>
      <c r="D428" s="7">
        <f t="shared" si="6"/>
        <v>0</v>
      </c>
    </row>
    <row r="429" spans="1:4" ht="18.75" hidden="1" x14ac:dyDescent="0.25">
      <c r="A429" s="17" t="s">
        <v>62</v>
      </c>
      <c r="B429" s="7"/>
      <c r="C429" s="7"/>
      <c r="D429" s="7">
        <f t="shared" si="6"/>
        <v>0</v>
      </c>
    </row>
    <row r="430" spans="1:4" ht="18.75" hidden="1" x14ac:dyDescent="0.25">
      <c r="A430" s="13" t="s">
        <v>298</v>
      </c>
      <c r="B430" s="7"/>
      <c r="C430" s="7"/>
      <c r="D430" s="7">
        <f t="shared" si="6"/>
        <v>0</v>
      </c>
    </row>
    <row r="431" spans="1:4" ht="18.75" hidden="1" x14ac:dyDescent="0.25">
      <c r="A431" s="13" t="s">
        <v>309</v>
      </c>
      <c r="B431" s="7"/>
      <c r="C431" s="7"/>
      <c r="D431" s="7">
        <f t="shared" si="6"/>
        <v>0</v>
      </c>
    </row>
    <row r="432" spans="1:4" ht="18.75" hidden="1" x14ac:dyDescent="0.25">
      <c r="A432" s="13" t="s">
        <v>310</v>
      </c>
      <c r="B432" s="7"/>
      <c r="C432" s="7"/>
      <c r="D432" s="7">
        <f t="shared" si="6"/>
        <v>0</v>
      </c>
    </row>
    <row r="433" spans="1:4" ht="18.75" hidden="1" x14ac:dyDescent="0.25">
      <c r="A433" s="13" t="s">
        <v>312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321</v>
      </c>
      <c r="B434" s="39"/>
      <c r="C434" s="39"/>
      <c r="D434" s="7">
        <f t="shared" si="6"/>
        <v>0</v>
      </c>
    </row>
    <row r="435" spans="1:4" ht="18.75" hidden="1" x14ac:dyDescent="0.25">
      <c r="A435" s="9" t="s">
        <v>85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86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87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88</v>
      </c>
      <c r="B438" s="7"/>
      <c r="C438" s="7"/>
      <c r="D438" s="7">
        <f t="shared" si="6"/>
        <v>0</v>
      </c>
    </row>
    <row r="439" spans="1:4" ht="18.75" hidden="1" x14ac:dyDescent="0.25">
      <c r="A439" s="9" t="s">
        <v>89</v>
      </c>
      <c r="B439" s="7"/>
      <c r="C439" s="7"/>
      <c r="D439" s="7">
        <f t="shared" si="6"/>
        <v>0</v>
      </c>
    </row>
    <row r="440" spans="1:4" ht="18.75" hidden="1" x14ac:dyDescent="0.25">
      <c r="A440" s="9" t="s">
        <v>176</v>
      </c>
      <c r="B440" s="7"/>
      <c r="C440" s="7"/>
      <c r="D440" s="7">
        <f t="shared" si="6"/>
        <v>0</v>
      </c>
    </row>
    <row r="441" spans="1:4" ht="18.75" hidden="1" x14ac:dyDescent="0.25">
      <c r="A441" s="9" t="s">
        <v>242</v>
      </c>
      <c r="B441" s="7"/>
      <c r="C441" s="7"/>
      <c r="D441" s="7">
        <f t="shared" si="6"/>
        <v>0</v>
      </c>
    </row>
    <row r="442" spans="1:4" ht="18.75" hidden="1" x14ac:dyDescent="0.25">
      <c r="A442" s="9" t="s">
        <v>243</v>
      </c>
      <c r="B442" s="7"/>
      <c r="C442" s="7"/>
      <c r="D442" s="7">
        <f t="shared" si="6"/>
        <v>0</v>
      </c>
    </row>
    <row r="443" spans="1:4" ht="18.75" hidden="1" x14ac:dyDescent="0.25">
      <c r="A443" s="9" t="s">
        <v>265</v>
      </c>
      <c r="B443" s="16"/>
      <c r="C443" s="16"/>
      <c r="D443" s="7">
        <f t="shared" si="6"/>
        <v>0</v>
      </c>
    </row>
    <row r="444" spans="1:4" ht="18.75" hidden="1" x14ac:dyDescent="0.25">
      <c r="A444" s="13" t="s">
        <v>266</v>
      </c>
      <c r="B444" s="7"/>
      <c r="C444" s="7"/>
      <c r="D444" s="7">
        <f t="shared" si="6"/>
        <v>0</v>
      </c>
    </row>
    <row r="445" spans="1:4" ht="18.75" hidden="1" x14ac:dyDescent="0.25">
      <c r="A445" s="12" t="s">
        <v>296</v>
      </c>
      <c r="B445" s="7"/>
      <c r="C445" s="7"/>
      <c r="D445" s="7">
        <f t="shared" si="6"/>
        <v>0</v>
      </c>
    </row>
    <row r="446" spans="1:4" ht="18.75" hidden="1" x14ac:dyDescent="0.25">
      <c r="A446" s="17" t="s">
        <v>297</v>
      </c>
      <c r="B446" s="7"/>
      <c r="C446" s="7"/>
      <c r="D446" s="7">
        <f t="shared" si="6"/>
        <v>0</v>
      </c>
    </row>
    <row r="447" spans="1:4" ht="18.75" x14ac:dyDescent="0.25">
      <c r="A447" s="9" t="s">
        <v>122</v>
      </c>
      <c r="B447" s="7">
        <f>33+24+40-40</f>
        <v>57</v>
      </c>
      <c r="C447" s="7">
        <v>14000</v>
      </c>
      <c r="D447" s="7">
        <f t="shared" si="6"/>
        <v>798000</v>
      </c>
    </row>
    <row r="448" spans="1:4" ht="18.75" hidden="1" x14ac:dyDescent="0.25">
      <c r="A448" s="17" t="s">
        <v>43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44</v>
      </c>
      <c r="B449" s="7"/>
      <c r="C449" s="7"/>
      <c r="D449" s="7">
        <f t="shared" si="6"/>
        <v>0</v>
      </c>
    </row>
    <row r="450" spans="1:4" ht="18.75" hidden="1" x14ac:dyDescent="0.25">
      <c r="A450" s="9" t="s">
        <v>45</v>
      </c>
      <c r="B450" s="7"/>
      <c r="C450" s="7"/>
      <c r="D450" s="7">
        <f t="shared" si="6"/>
        <v>0</v>
      </c>
    </row>
    <row r="451" spans="1:4" ht="18.75" hidden="1" x14ac:dyDescent="0.25">
      <c r="A451" s="17" t="s">
        <v>285</v>
      </c>
      <c r="B451" s="7"/>
      <c r="C451" s="7"/>
      <c r="D451" s="7">
        <f t="shared" si="6"/>
        <v>0</v>
      </c>
    </row>
    <row r="452" spans="1:4" ht="18.75" hidden="1" x14ac:dyDescent="0.25">
      <c r="A452" s="17" t="s">
        <v>286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141</v>
      </c>
      <c r="B453" s="16"/>
      <c r="C453" s="16"/>
      <c r="D453" s="7">
        <f t="shared" si="7"/>
        <v>0</v>
      </c>
    </row>
    <row r="454" spans="1:4" ht="18.75" hidden="1" x14ac:dyDescent="0.25">
      <c r="A454" s="9" t="s">
        <v>142</v>
      </c>
      <c r="B454" s="16"/>
      <c r="C454" s="16"/>
      <c r="D454" s="7">
        <f t="shared" si="7"/>
        <v>0</v>
      </c>
    </row>
    <row r="455" spans="1:4" ht="18.75" hidden="1" x14ac:dyDescent="0.25">
      <c r="A455" s="24" t="s">
        <v>144</v>
      </c>
      <c r="B455" s="16"/>
      <c r="C455" s="16"/>
      <c r="D455" s="7">
        <f t="shared" si="7"/>
        <v>0</v>
      </c>
    </row>
    <row r="456" spans="1:4" ht="18.75" hidden="1" x14ac:dyDescent="0.25">
      <c r="A456" s="24" t="s">
        <v>145</v>
      </c>
      <c r="B456" s="16"/>
      <c r="C456" s="16"/>
      <c r="D456" s="7">
        <f t="shared" si="7"/>
        <v>0</v>
      </c>
    </row>
    <row r="457" spans="1:4" ht="18.75" hidden="1" x14ac:dyDescent="0.25">
      <c r="A457" s="24" t="s">
        <v>146</v>
      </c>
      <c r="B457" s="16"/>
      <c r="C457" s="16"/>
      <c r="D457" s="7">
        <f t="shared" si="7"/>
        <v>0</v>
      </c>
    </row>
    <row r="458" spans="1:4" ht="18.75" hidden="1" x14ac:dyDescent="0.25">
      <c r="A458" s="9" t="s">
        <v>147</v>
      </c>
      <c r="B458" s="16"/>
      <c r="C458" s="16"/>
      <c r="D458" s="7">
        <f t="shared" si="7"/>
        <v>0</v>
      </c>
    </row>
    <row r="459" spans="1:4" ht="18.75" hidden="1" x14ac:dyDescent="0.25">
      <c r="A459" s="9" t="s">
        <v>149</v>
      </c>
      <c r="B459" s="16"/>
      <c r="C459" s="16"/>
      <c r="D459" s="7">
        <f t="shared" si="7"/>
        <v>0</v>
      </c>
    </row>
    <row r="460" spans="1:4" ht="18.75" hidden="1" x14ac:dyDescent="0.25">
      <c r="A460" s="9" t="s">
        <v>150</v>
      </c>
      <c r="B460" s="16"/>
      <c r="C460" s="16"/>
      <c r="D460" s="7">
        <f t="shared" si="7"/>
        <v>0</v>
      </c>
    </row>
    <row r="461" spans="1:4" ht="18.75" hidden="1" x14ac:dyDescent="0.25">
      <c r="A461" s="9" t="s">
        <v>151</v>
      </c>
      <c r="B461" s="16"/>
      <c r="C461" s="16"/>
      <c r="D461" s="7">
        <f t="shared" si="7"/>
        <v>0</v>
      </c>
    </row>
    <row r="462" spans="1:4" ht="18.75" hidden="1" x14ac:dyDescent="0.25">
      <c r="A462" s="9" t="s">
        <v>161</v>
      </c>
      <c r="B462" s="16"/>
      <c r="C462" s="16"/>
      <c r="D462" s="7">
        <f t="shared" si="7"/>
        <v>0</v>
      </c>
    </row>
    <row r="463" spans="1:4" ht="18.75" hidden="1" x14ac:dyDescent="0.25">
      <c r="A463" s="9" t="s">
        <v>162</v>
      </c>
      <c r="B463" s="16"/>
      <c r="C463" s="16"/>
      <c r="D463" s="7">
        <f t="shared" si="7"/>
        <v>0</v>
      </c>
    </row>
    <row r="464" spans="1:4" ht="18.75" hidden="1" x14ac:dyDescent="0.25">
      <c r="A464" s="9" t="s">
        <v>163</v>
      </c>
      <c r="B464" s="16"/>
      <c r="C464" s="16"/>
      <c r="D464" s="7">
        <f t="shared" si="7"/>
        <v>0</v>
      </c>
    </row>
    <row r="465" spans="1:4" ht="18.75" x14ac:dyDescent="0.25">
      <c r="A465" s="12" t="s">
        <v>53</v>
      </c>
      <c r="B465" s="7">
        <v>300</v>
      </c>
      <c r="C465" s="7">
        <v>20000</v>
      </c>
      <c r="D465" s="7">
        <f t="shared" si="7"/>
        <v>6000000</v>
      </c>
    </row>
    <row r="466" spans="1:4" ht="18.75" hidden="1" x14ac:dyDescent="0.25">
      <c r="A466" s="9" t="s">
        <v>63</v>
      </c>
      <c r="B466" s="7"/>
      <c r="C466" s="7"/>
      <c r="D466" s="7">
        <f t="shared" si="7"/>
        <v>0</v>
      </c>
    </row>
    <row r="467" spans="1:4" ht="18.75" hidden="1" x14ac:dyDescent="0.25">
      <c r="A467" s="9" t="s">
        <v>76</v>
      </c>
      <c r="B467" s="7"/>
      <c r="C467" s="7"/>
      <c r="D467" s="7">
        <f t="shared" si="7"/>
        <v>0</v>
      </c>
    </row>
    <row r="468" spans="1:4" ht="18.75" hidden="1" x14ac:dyDescent="0.25">
      <c r="A468" s="12" t="s">
        <v>341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15</v>
      </c>
      <c r="B469" s="7"/>
      <c r="C469" s="7"/>
      <c r="D469" s="7">
        <f t="shared" si="7"/>
        <v>0</v>
      </c>
    </row>
    <row r="470" spans="1:4" ht="18.75" hidden="1" x14ac:dyDescent="0.25">
      <c r="A470" s="9" t="s">
        <v>362</v>
      </c>
      <c r="B470" s="7"/>
      <c r="C470" s="7"/>
      <c r="D470" s="7">
        <f t="shared" si="7"/>
        <v>0</v>
      </c>
    </row>
    <row r="471" spans="1:4" ht="18.75" hidden="1" x14ac:dyDescent="0.25">
      <c r="A471" s="9" t="s">
        <v>366</v>
      </c>
      <c r="B471" s="7"/>
      <c r="C471" s="7"/>
      <c r="D471" s="7">
        <f t="shared" si="7"/>
        <v>0</v>
      </c>
    </row>
    <row r="472" spans="1:4" ht="18.75" x14ac:dyDescent="0.25">
      <c r="A472" s="9" t="s">
        <v>19</v>
      </c>
      <c r="B472" s="7">
        <v>1600</v>
      </c>
      <c r="C472" s="7">
        <v>12500</v>
      </c>
      <c r="D472" s="7">
        <f t="shared" si="7"/>
        <v>20000000</v>
      </c>
    </row>
    <row r="473" spans="1:4" ht="18.75" hidden="1" x14ac:dyDescent="0.25">
      <c r="A473" s="9" t="s">
        <v>41</v>
      </c>
      <c r="B473" s="7"/>
      <c r="C473" s="7"/>
      <c r="D473" s="7">
        <f t="shared" si="7"/>
        <v>0</v>
      </c>
    </row>
    <row r="474" spans="1:4" ht="18.75" hidden="1" x14ac:dyDescent="0.25">
      <c r="A474" s="11" t="s">
        <v>49</v>
      </c>
      <c r="B474" s="7"/>
      <c r="C474" s="7"/>
      <c r="D474" s="7">
        <f t="shared" si="7"/>
        <v>0</v>
      </c>
    </row>
    <row r="475" spans="1:4" ht="18.75" hidden="1" x14ac:dyDescent="0.25">
      <c r="A475" s="13" t="s">
        <v>50</v>
      </c>
      <c r="B475" s="7"/>
      <c r="C475" s="7"/>
      <c r="D475" s="7">
        <f t="shared" si="7"/>
        <v>0</v>
      </c>
    </row>
    <row r="476" spans="1:4" ht="18.75" hidden="1" x14ac:dyDescent="0.25">
      <c r="A476" s="10" t="s">
        <v>124</v>
      </c>
      <c r="B476" s="7"/>
      <c r="C476" s="7"/>
      <c r="D476" s="7">
        <f t="shared" si="7"/>
        <v>0</v>
      </c>
    </row>
    <row r="477" spans="1:4" ht="18.75" hidden="1" x14ac:dyDescent="0.25">
      <c r="A477" s="13" t="s">
        <v>125</v>
      </c>
      <c r="B477" s="7"/>
      <c r="C477" s="7"/>
      <c r="D477" s="7">
        <f t="shared" si="7"/>
        <v>0</v>
      </c>
    </row>
    <row r="478" spans="1:4" ht="18.75" hidden="1" x14ac:dyDescent="0.25">
      <c r="A478" s="12" t="s">
        <v>126</v>
      </c>
      <c r="B478" s="16"/>
      <c r="C478" s="16"/>
      <c r="D478" s="7">
        <f t="shared" si="7"/>
        <v>0</v>
      </c>
    </row>
    <row r="479" spans="1:4" ht="18.75" hidden="1" x14ac:dyDescent="0.25">
      <c r="A479" s="12" t="s">
        <v>127</v>
      </c>
      <c r="B479" s="16"/>
      <c r="C479" s="16"/>
      <c r="D479" s="7">
        <f t="shared" si="7"/>
        <v>0</v>
      </c>
    </row>
    <row r="480" spans="1:4" ht="18.75" hidden="1" x14ac:dyDescent="0.25">
      <c r="A480" s="12" t="s">
        <v>128</v>
      </c>
      <c r="B480" s="16"/>
      <c r="C480" s="16"/>
      <c r="D480" s="7">
        <f t="shared" si="7"/>
        <v>0</v>
      </c>
    </row>
    <row r="481" spans="1:4" ht="18.75" hidden="1" x14ac:dyDescent="0.25">
      <c r="A481" s="12" t="s">
        <v>129</v>
      </c>
      <c r="B481" s="27"/>
      <c r="C481" s="27"/>
      <c r="D481" s="7">
        <f t="shared" si="7"/>
        <v>0</v>
      </c>
    </row>
    <row r="482" spans="1:4" ht="18.75" hidden="1" x14ac:dyDescent="0.25">
      <c r="A482" s="9" t="s">
        <v>148</v>
      </c>
      <c r="B482" s="16"/>
      <c r="C482" s="16"/>
      <c r="D482" s="7">
        <f t="shared" si="7"/>
        <v>0</v>
      </c>
    </row>
    <row r="483" spans="1:4" ht="18.75" hidden="1" x14ac:dyDescent="0.25">
      <c r="A483" s="17" t="s">
        <v>218</v>
      </c>
      <c r="B483" s="7"/>
      <c r="C483" s="7"/>
      <c r="D483" s="7">
        <f t="shared" si="7"/>
        <v>0</v>
      </c>
    </row>
    <row r="484" spans="1:4" ht="18.75" hidden="1" x14ac:dyDescent="0.25">
      <c r="A484" s="17" t="s">
        <v>219</v>
      </c>
      <c r="B484" s="7"/>
      <c r="C484" s="7"/>
      <c r="D484" s="7">
        <f t="shared" si="7"/>
        <v>0</v>
      </c>
    </row>
    <row r="485" spans="1:4" ht="18.75" hidden="1" x14ac:dyDescent="0.25">
      <c r="A485" s="17" t="s">
        <v>220</v>
      </c>
      <c r="B485" s="7"/>
      <c r="C485" s="7"/>
      <c r="D485" s="7">
        <f t="shared" si="7"/>
        <v>0</v>
      </c>
    </row>
    <row r="486" spans="1:4" ht="18.75" hidden="1" x14ac:dyDescent="0.25">
      <c r="A486" s="17" t="s">
        <v>221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222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223</v>
      </c>
      <c r="B488" s="7"/>
      <c r="C488" s="7"/>
      <c r="D488" s="7">
        <f t="shared" si="7"/>
        <v>0</v>
      </c>
    </row>
    <row r="489" spans="1:4" ht="18.75" hidden="1" x14ac:dyDescent="0.25">
      <c r="A489" s="17" t="s">
        <v>224</v>
      </c>
      <c r="B489" s="7"/>
      <c r="C489" s="7"/>
      <c r="D489" s="7">
        <f t="shared" si="7"/>
        <v>0</v>
      </c>
    </row>
    <row r="490" spans="1:4" ht="18.75" hidden="1" x14ac:dyDescent="0.25">
      <c r="A490" s="17" t="s">
        <v>225</v>
      </c>
      <c r="B490" s="7"/>
      <c r="C490" s="7"/>
      <c r="D490" s="7">
        <f t="shared" si="7"/>
        <v>0</v>
      </c>
    </row>
    <row r="491" spans="1:4" ht="18.75" hidden="1" x14ac:dyDescent="0.25">
      <c r="A491" s="9" t="s">
        <v>244</v>
      </c>
      <c r="B491" s="16"/>
      <c r="C491" s="16"/>
      <c r="D491" s="7">
        <f t="shared" si="7"/>
        <v>0</v>
      </c>
    </row>
    <row r="492" spans="1:4" ht="18.75" hidden="1" x14ac:dyDescent="0.25">
      <c r="A492" s="9" t="s">
        <v>246</v>
      </c>
      <c r="B492" s="16"/>
      <c r="C492" s="16"/>
      <c r="D492" s="7">
        <f t="shared" si="7"/>
        <v>0</v>
      </c>
    </row>
    <row r="493" spans="1:4" ht="18.75" hidden="1" x14ac:dyDescent="0.25">
      <c r="A493" s="12" t="s">
        <v>280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293</v>
      </c>
      <c r="B494" s="7"/>
      <c r="C494" s="7"/>
      <c r="D494" s="7">
        <f t="shared" si="7"/>
        <v>0</v>
      </c>
    </row>
    <row r="495" spans="1:4" ht="18.75" hidden="1" x14ac:dyDescent="0.25">
      <c r="A495" s="13" t="s">
        <v>294</v>
      </c>
      <c r="B495" s="7"/>
      <c r="C495" s="7"/>
      <c r="D495" s="7">
        <f t="shared" si="7"/>
        <v>0</v>
      </c>
    </row>
    <row r="496" spans="1:4" ht="18.75" hidden="1" x14ac:dyDescent="0.25">
      <c r="A496" s="12" t="s">
        <v>304</v>
      </c>
      <c r="B496" s="7"/>
      <c r="C496" s="7"/>
      <c r="D496" s="7">
        <f t="shared" si="7"/>
        <v>0</v>
      </c>
    </row>
    <row r="497" spans="1:4" ht="18.75" x14ac:dyDescent="0.25">
      <c r="A497" s="9" t="s">
        <v>204</v>
      </c>
      <c r="B497" s="7">
        <v>400</v>
      </c>
      <c r="C497" s="7">
        <v>20000</v>
      </c>
      <c r="D497" s="7">
        <f t="shared" si="7"/>
        <v>8000000</v>
      </c>
    </row>
    <row r="498" spans="1:4" ht="18.75" hidden="1" x14ac:dyDescent="0.25">
      <c r="A498" s="36" t="s">
        <v>205</v>
      </c>
      <c r="B498" s="7"/>
      <c r="C498" s="7"/>
      <c r="D498" s="7">
        <f t="shared" si="7"/>
        <v>0</v>
      </c>
    </row>
    <row r="499" spans="1:4" ht="18.75" hidden="1" x14ac:dyDescent="0.25">
      <c r="A499" s="36" t="s">
        <v>206</v>
      </c>
      <c r="B499" s="7"/>
      <c r="C499" s="7"/>
      <c r="D499" s="7">
        <f t="shared" si="7"/>
        <v>0</v>
      </c>
    </row>
    <row r="500" spans="1:4" ht="18.75" hidden="1" x14ac:dyDescent="0.25">
      <c r="A500" s="9" t="s">
        <v>42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277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54</v>
      </c>
      <c r="B502" s="7"/>
      <c r="C502" s="7"/>
      <c r="D502" s="7">
        <f t="shared" si="7"/>
        <v>0</v>
      </c>
    </row>
    <row r="503" spans="1:4" ht="18.75" hidden="1" x14ac:dyDescent="0.25">
      <c r="A503" s="17" t="s">
        <v>55</v>
      </c>
      <c r="B503" s="7"/>
      <c r="C503" s="7"/>
      <c r="D503" s="7">
        <f t="shared" si="7"/>
        <v>0</v>
      </c>
    </row>
    <row r="504" spans="1:4" ht="18.75" hidden="1" x14ac:dyDescent="0.25">
      <c r="A504" s="17" t="s">
        <v>56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57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58</v>
      </c>
      <c r="B506" s="7"/>
      <c r="C506" s="7"/>
      <c r="D506" s="7">
        <f t="shared" si="7"/>
        <v>0</v>
      </c>
    </row>
    <row r="507" spans="1:4" ht="18.75" hidden="1" x14ac:dyDescent="0.25">
      <c r="A507" s="11" t="s">
        <v>59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60</v>
      </c>
      <c r="B508" s="7"/>
      <c r="C508" s="7"/>
      <c r="D508" s="7">
        <f t="shared" si="7"/>
        <v>0</v>
      </c>
    </row>
    <row r="509" spans="1:4" ht="18.75" hidden="1" x14ac:dyDescent="0.25">
      <c r="A509" s="9" t="s">
        <v>61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65</v>
      </c>
      <c r="B510" s="7"/>
      <c r="C510" s="7"/>
      <c r="D510" s="7">
        <f t="shared" si="7"/>
        <v>0</v>
      </c>
    </row>
    <row r="511" spans="1:4" ht="18.75" hidden="1" x14ac:dyDescent="0.25">
      <c r="A511" s="18" t="s">
        <v>66</v>
      </c>
      <c r="B511" s="7"/>
      <c r="C511" s="7"/>
      <c r="D511" s="7">
        <f t="shared" si="7"/>
        <v>0</v>
      </c>
    </row>
    <row r="512" spans="1:4" ht="18.75" hidden="1" x14ac:dyDescent="0.25">
      <c r="A512" s="20" t="s">
        <v>67</v>
      </c>
      <c r="B512" s="7"/>
      <c r="C512" s="7"/>
      <c r="D512" s="7">
        <f t="shared" si="7"/>
        <v>0</v>
      </c>
    </row>
    <row r="513" spans="1:4" ht="18.75" hidden="1" x14ac:dyDescent="0.25">
      <c r="A513" s="9" t="s">
        <v>152</v>
      </c>
      <c r="B513" s="7"/>
      <c r="C513" s="7"/>
      <c r="D513" s="7">
        <f t="shared" si="7"/>
        <v>0</v>
      </c>
    </row>
    <row r="514" spans="1:4" ht="18.75" hidden="1" x14ac:dyDescent="0.25">
      <c r="A514" s="9" t="s">
        <v>348</v>
      </c>
      <c r="B514" s="7"/>
      <c r="C514" s="7"/>
      <c r="D514" s="7">
        <f t="shared" si="7"/>
        <v>0</v>
      </c>
    </row>
    <row r="515" spans="1:4" ht="18.75" hidden="1" x14ac:dyDescent="0.25">
      <c r="A515" s="9" t="s">
        <v>153</v>
      </c>
      <c r="B515" s="7"/>
      <c r="C515" s="7"/>
      <c r="D515" s="7">
        <f t="shared" si="7"/>
        <v>0</v>
      </c>
    </row>
    <row r="516" spans="1:4" ht="18.75" hidden="1" x14ac:dyDescent="0.25">
      <c r="A516" s="9" t="s">
        <v>154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155</v>
      </c>
      <c r="B517" s="7"/>
      <c r="C517" s="7"/>
      <c r="D517" s="7">
        <f t="shared" si="8"/>
        <v>0</v>
      </c>
    </row>
    <row r="518" spans="1:4" ht="18.75" hidden="1" x14ac:dyDescent="0.25">
      <c r="A518" s="17" t="s">
        <v>156</v>
      </c>
      <c r="B518" s="7"/>
      <c r="C518" s="7"/>
      <c r="D518" s="7">
        <f t="shared" si="8"/>
        <v>0</v>
      </c>
    </row>
    <row r="519" spans="1:4" ht="18.75" x14ac:dyDescent="0.25">
      <c r="A519" s="9" t="s">
        <v>77</v>
      </c>
      <c r="B519" s="7">
        <v>80</v>
      </c>
      <c r="C519" s="7">
        <v>22000</v>
      </c>
      <c r="D519" s="7">
        <f t="shared" si="8"/>
        <v>1760000</v>
      </c>
    </row>
    <row r="520" spans="1:4" ht="18.75" hidden="1" x14ac:dyDescent="0.25">
      <c r="A520" s="13" t="s">
        <v>78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79</v>
      </c>
      <c r="B521" s="7"/>
      <c r="C521" s="7"/>
      <c r="D521" s="7">
        <f t="shared" si="8"/>
        <v>0</v>
      </c>
    </row>
    <row r="522" spans="1:4" ht="18.75" hidden="1" x14ac:dyDescent="0.25">
      <c r="A522" s="9" t="s">
        <v>80</v>
      </c>
      <c r="B522" s="7"/>
      <c r="C522" s="7"/>
      <c r="D522" s="7">
        <f t="shared" si="8"/>
        <v>0</v>
      </c>
    </row>
    <row r="523" spans="1:4" ht="18.75" hidden="1" x14ac:dyDescent="0.25">
      <c r="A523" s="9" t="s">
        <v>81</v>
      </c>
      <c r="B523" s="7"/>
      <c r="C523" s="7"/>
      <c r="D523" s="7">
        <f t="shared" si="8"/>
        <v>0</v>
      </c>
    </row>
    <row r="524" spans="1:4" ht="18.75" hidden="1" x14ac:dyDescent="0.25">
      <c r="A524" s="13" t="s">
        <v>95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306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320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323</v>
      </c>
      <c r="B527" s="7"/>
      <c r="C527" s="7"/>
      <c r="D527" s="7">
        <f t="shared" si="8"/>
        <v>0</v>
      </c>
    </row>
    <row r="528" spans="1:4" ht="18.75" hidden="1" x14ac:dyDescent="0.25">
      <c r="A528" s="21" t="s">
        <v>92</v>
      </c>
      <c r="B528" s="7"/>
      <c r="C528" s="7"/>
      <c r="D528" s="7">
        <f t="shared" si="8"/>
        <v>0</v>
      </c>
    </row>
    <row r="529" spans="1:4" ht="18.75" hidden="1" x14ac:dyDescent="0.25">
      <c r="A529" s="21" t="s">
        <v>93</v>
      </c>
      <c r="B529" s="7"/>
      <c r="C529" s="7"/>
      <c r="D529" s="7">
        <f t="shared" si="8"/>
        <v>0</v>
      </c>
    </row>
    <row r="530" spans="1:4" ht="18.75" hidden="1" x14ac:dyDescent="0.25">
      <c r="A530" s="11" t="s">
        <v>94</v>
      </c>
      <c r="B530" s="7"/>
      <c r="C530" s="7"/>
      <c r="D530" s="7">
        <f t="shared" si="8"/>
        <v>0</v>
      </c>
    </row>
    <row r="531" spans="1:4" ht="18.75" hidden="1" x14ac:dyDescent="0.25">
      <c r="A531" s="12" t="s">
        <v>181</v>
      </c>
      <c r="B531" s="7"/>
      <c r="C531" s="7"/>
      <c r="D531" s="7">
        <f t="shared" si="8"/>
        <v>0</v>
      </c>
    </row>
    <row r="532" spans="1:4" ht="18.75" hidden="1" x14ac:dyDescent="0.25">
      <c r="A532" s="12" t="s">
        <v>182</v>
      </c>
      <c r="B532" s="7"/>
      <c r="C532" s="7"/>
      <c r="D532" s="7">
        <f t="shared" si="8"/>
        <v>0</v>
      </c>
    </row>
    <row r="533" spans="1:4" ht="18.75" x14ac:dyDescent="0.25">
      <c r="A533" s="12" t="s">
        <v>183</v>
      </c>
      <c r="B533" s="7">
        <v>200</v>
      </c>
      <c r="C533" s="7">
        <v>12000</v>
      </c>
      <c r="D533" s="7">
        <f t="shared" si="8"/>
        <v>2400000</v>
      </c>
    </row>
    <row r="534" spans="1:4" ht="18.75" hidden="1" x14ac:dyDescent="0.25">
      <c r="A534" s="9" t="s">
        <v>184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186</v>
      </c>
      <c r="B535" s="7"/>
      <c r="C535" s="7"/>
      <c r="D535" s="7">
        <f t="shared" si="8"/>
        <v>0</v>
      </c>
    </row>
    <row r="536" spans="1:4" ht="18.75" hidden="1" x14ac:dyDescent="0.25">
      <c r="A536" s="12" t="s">
        <v>187</v>
      </c>
      <c r="B536" s="7"/>
      <c r="C536" s="7"/>
      <c r="D536" s="7">
        <f t="shared" si="8"/>
        <v>0</v>
      </c>
    </row>
    <row r="537" spans="1:4" ht="18.75" hidden="1" x14ac:dyDescent="0.25">
      <c r="A537" s="12" t="s">
        <v>188</v>
      </c>
      <c r="B537" s="7"/>
      <c r="C537" s="7"/>
      <c r="D537" s="7">
        <f t="shared" si="8"/>
        <v>0</v>
      </c>
    </row>
    <row r="538" spans="1:4" ht="18.75" hidden="1" x14ac:dyDescent="0.25">
      <c r="A538" s="9" t="s">
        <v>351</v>
      </c>
      <c r="B538" s="7"/>
      <c r="C538" s="7"/>
      <c r="D538" s="7">
        <f t="shared" si="8"/>
        <v>0</v>
      </c>
    </row>
    <row r="539" spans="1:4" ht="18.75" hidden="1" x14ac:dyDescent="0.25">
      <c r="A539" s="9" t="s">
        <v>210</v>
      </c>
      <c r="B539" s="7"/>
      <c r="C539" s="7"/>
      <c r="D539" s="7">
        <f t="shared" si="8"/>
        <v>0</v>
      </c>
    </row>
    <row r="540" spans="1:4" ht="18.75" hidden="1" x14ac:dyDescent="0.25">
      <c r="A540" s="9" t="s">
        <v>211</v>
      </c>
      <c r="B540" s="7"/>
      <c r="C540" s="7"/>
      <c r="D540" s="7">
        <f t="shared" si="8"/>
        <v>0</v>
      </c>
    </row>
    <row r="541" spans="1:4" ht="18.75" hidden="1" x14ac:dyDescent="0.25">
      <c r="A541" s="9" t="s">
        <v>355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356</v>
      </c>
      <c r="B542" s="7"/>
      <c r="C542" s="7"/>
      <c r="D542" s="7">
        <f t="shared" si="8"/>
        <v>0</v>
      </c>
    </row>
    <row r="543" spans="1:4" ht="18.75" hidden="1" x14ac:dyDescent="0.25">
      <c r="A543" s="9" t="s">
        <v>105</v>
      </c>
      <c r="B543" s="7"/>
      <c r="C543" s="7"/>
      <c r="D543" s="7">
        <f t="shared" si="8"/>
        <v>0</v>
      </c>
    </row>
    <row r="544" spans="1:4" ht="18.75" hidden="1" x14ac:dyDescent="0.25">
      <c r="A544" s="9" t="s">
        <v>106</v>
      </c>
      <c r="B544" s="7"/>
      <c r="C544" s="7"/>
      <c r="D544" s="7">
        <f t="shared" si="8"/>
        <v>0</v>
      </c>
    </row>
    <row r="545" spans="1:4" ht="18.75" hidden="1" x14ac:dyDescent="0.25">
      <c r="A545" s="9" t="s">
        <v>90</v>
      </c>
      <c r="B545" s="7"/>
      <c r="C545" s="7"/>
      <c r="D545" s="7">
        <f t="shared" si="8"/>
        <v>0</v>
      </c>
    </row>
    <row r="546" spans="1:4" ht="18.75" hidden="1" x14ac:dyDescent="0.25">
      <c r="A546" s="21" t="s">
        <v>91</v>
      </c>
      <c r="B546" s="7"/>
      <c r="C546" s="7"/>
      <c r="D546" s="7">
        <f t="shared" si="8"/>
        <v>0</v>
      </c>
    </row>
    <row r="547" spans="1:4" ht="18.75" x14ac:dyDescent="0.25">
      <c r="A547" s="5" t="s">
        <v>5</v>
      </c>
      <c r="B547" s="7">
        <f>-3000+1728+1512+864+2268+1836+1560</f>
        <v>6768</v>
      </c>
      <c r="C547" s="7">
        <v>6800</v>
      </c>
      <c r="D547" s="7">
        <f t="shared" si="8"/>
        <v>46022400</v>
      </c>
    </row>
    <row r="548" spans="1:4" ht="18.75" hidden="1" x14ac:dyDescent="0.25">
      <c r="A548" s="9" t="s">
        <v>6</v>
      </c>
      <c r="B548" s="7"/>
      <c r="C548" s="7"/>
      <c r="D548" s="7">
        <f t="shared" si="8"/>
        <v>0</v>
      </c>
    </row>
    <row r="549" spans="1:4" ht="18.75" hidden="1" x14ac:dyDescent="0.25">
      <c r="A549" s="5" t="s">
        <v>9</v>
      </c>
      <c r="B549" s="7"/>
      <c r="C549" s="7"/>
      <c r="D549" s="7">
        <f t="shared" si="8"/>
        <v>0</v>
      </c>
    </row>
    <row r="550" spans="1:4" ht="18.75" x14ac:dyDescent="0.25">
      <c r="A550" s="9" t="s">
        <v>349</v>
      </c>
      <c r="B550" s="7">
        <v>173</v>
      </c>
      <c r="C550" s="7">
        <v>6000</v>
      </c>
      <c r="D550" s="7">
        <f t="shared" si="8"/>
        <v>1038000</v>
      </c>
    </row>
    <row r="551" spans="1:4" ht="18.75" hidden="1" x14ac:dyDescent="0.25">
      <c r="A551" s="12" t="s">
        <v>167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168</v>
      </c>
      <c r="B552" s="7"/>
      <c r="C552" s="7"/>
      <c r="D552" s="7">
        <f t="shared" si="8"/>
        <v>0</v>
      </c>
    </row>
    <row r="553" spans="1:4" ht="18.75" hidden="1" x14ac:dyDescent="0.25">
      <c r="A553" s="9" t="s">
        <v>170</v>
      </c>
      <c r="B553" s="7"/>
      <c r="C553" s="7"/>
      <c r="D553" s="7">
        <f t="shared" si="8"/>
        <v>0</v>
      </c>
    </row>
    <row r="554" spans="1:4" ht="18.75" hidden="1" x14ac:dyDescent="0.25">
      <c r="A554" s="9" t="s">
        <v>171</v>
      </c>
      <c r="B554" s="7"/>
      <c r="C554" s="7"/>
      <c r="D554" s="7">
        <f t="shared" si="8"/>
        <v>0</v>
      </c>
    </row>
    <row r="555" spans="1:4" ht="18.75" hidden="1" x14ac:dyDescent="0.25">
      <c r="A555" s="20" t="s">
        <v>172</v>
      </c>
      <c r="B555" s="7"/>
      <c r="C555" s="7"/>
      <c r="D555" s="7">
        <f t="shared" si="8"/>
        <v>0</v>
      </c>
    </row>
    <row r="556" spans="1:4" ht="18.75" hidden="1" x14ac:dyDescent="0.25">
      <c r="A556" s="12" t="s">
        <v>227</v>
      </c>
      <c r="B556" s="7"/>
      <c r="C556" s="7"/>
      <c r="D556" s="7">
        <f t="shared" si="8"/>
        <v>0</v>
      </c>
    </row>
    <row r="557" spans="1:4" ht="18.75" hidden="1" x14ac:dyDescent="0.25">
      <c r="A557" s="12" t="s">
        <v>14</v>
      </c>
      <c r="B557" s="7"/>
      <c r="C557" s="7"/>
      <c r="D557" s="7">
        <f t="shared" si="8"/>
        <v>0</v>
      </c>
    </row>
    <row r="558" spans="1:4" ht="18.75" hidden="1" x14ac:dyDescent="0.25">
      <c r="A558" s="11" t="s">
        <v>342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343</v>
      </c>
      <c r="B559" s="7"/>
      <c r="C559" s="7"/>
      <c r="D559" s="7">
        <f t="shared" si="8"/>
        <v>0</v>
      </c>
    </row>
    <row r="560" spans="1:4" ht="18.75" hidden="1" x14ac:dyDescent="0.25">
      <c r="A560" s="11" t="s">
        <v>344</v>
      </c>
      <c r="B560" s="7"/>
      <c r="C560" s="7"/>
      <c r="D560" s="7">
        <f t="shared" si="8"/>
        <v>0</v>
      </c>
    </row>
    <row r="561" spans="1:4" ht="18.75" hidden="1" x14ac:dyDescent="0.25">
      <c r="A561" s="11" t="s">
        <v>345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114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115</v>
      </c>
      <c r="B563" s="7"/>
      <c r="C563" s="7"/>
      <c r="D563" s="7">
        <f t="shared" si="8"/>
        <v>0</v>
      </c>
    </row>
    <row r="564" spans="1:4" ht="18.75" x14ac:dyDescent="0.25">
      <c r="A564" s="9" t="s">
        <v>346</v>
      </c>
      <c r="B564" s="7">
        <v>12</v>
      </c>
      <c r="C564" s="7">
        <v>22000</v>
      </c>
      <c r="D564" s="7">
        <f t="shared" si="8"/>
        <v>264000</v>
      </c>
    </row>
    <row r="565" spans="1:4" ht="18.75" hidden="1" x14ac:dyDescent="0.25">
      <c r="A565" s="9" t="s">
        <v>116</v>
      </c>
      <c r="B565" s="7"/>
      <c r="C565" s="7"/>
      <c r="D565" s="7">
        <f t="shared" si="8"/>
        <v>0</v>
      </c>
    </row>
    <row r="566" spans="1:4" ht="18.75" hidden="1" x14ac:dyDescent="0.25">
      <c r="A566" s="12" t="s">
        <v>137</v>
      </c>
      <c r="B566" s="7"/>
      <c r="C566" s="7"/>
      <c r="D566" s="7">
        <f t="shared" si="8"/>
        <v>0</v>
      </c>
    </row>
    <row r="567" spans="1:4" ht="18.75" hidden="1" x14ac:dyDescent="0.25">
      <c r="A567" s="12" t="s">
        <v>138</v>
      </c>
      <c r="B567" s="7"/>
      <c r="C567" s="7"/>
      <c r="D567" s="7">
        <f t="shared" si="8"/>
        <v>0</v>
      </c>
    </row>
    <row r="568" spans="1:4" ht="18.75" hidden="1" x14ac:dyDescent="0.25">
      <c r="A568" s="9" t="s">
        <v>139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347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207</v>
      </c>
      <c r="B570" s="7"/>
      <c r="C570" s="7"/>
      <c r="D570" s="7">
        <f t="shared" si="8"/>
        <v>0</v>
      </c>
    </row>
    <row r="571" spans="1:4" ht="18.75" hidden="1" x14ac:dyDescent="0.25">
      <c r="A571" s="11" t="s">
        <v>208</v>
      </c>
      <c r="B571" s="7"/>
      <c r="C571" s="7"/>
      <c r="D571" s="7">
        <f t="shared" si="8"/>
        <v>0</v>
      </c>
    </row>
    <row r="572" spans="1:4" ht="18.75" hidden="1" x14ac:dyDescent="0.25">
      <c r="A572" s="9" t="s">
        <v>209</v>
      </c>
      <c r="B572" s="7"/>
      <c r="C572" s="7"/>
      <c r="D572" s="7">
        <f t="shared" si="8"/>
        <v>0</v>
      </c>
    </row>
    <row r="573" spans="1:4" ht="18.75" hidden="1" x14ac:dyDescent="0.25">
      <c r="A573" s="11" t="s">
        <v>354</v>
      </c>
      <c r="B573" s="7"/>
      <c r="C573" s="7"/>
      <c r="D573" s="7">
        <f t="shared" si="8"/>
        <v>0</v>
      </c>
    </row>
    <row r="574" spans="1:4" ht="18.75" hidden="1" x14ac:dyDescent="0.25">
      <c r="A574" s="9" t="s">
        <v>247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267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270</v>
      </c>
      <c r="B576" s="7"/>
      <c r="C576" s="7"/>
      <c r="D576" s="7">
        <f t="shared" si="8"/>
        <v>0</v>
      </c>
    </row>
    <row r="577" spans="1:4" ht="18.75" hidden="1" x14ac:dyDescent="0.25">
      <c r="A577" s="9" t="s">
        <v>299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300</v>
      </c>
      <c r="B578" s="7"/>
      <c r="C578" s="7"/>
      <c r="D578" s="7">
        <f t="shared" si="8"/>
        <v>0</v>
      </c>
    </row>
    <row r="579" spans="1:4" ht="18.75" hidden="1" x14ac:dyDescent="0.25">
      <c r="A579" s="12" t="s">
        <v>364</v>
      </c>
      <c r="B579" s="7"/>
      <c r="C579" s="7"/>
      <c r="D579" s="7">
        <f t="shared" si="8"/>
        <v>0</v>
      </c>
    </row>
    <row r="580" spans="1:4" ht="18.75" hidden="1" x14ac:dyDescent="0.25">
      <c r="A580" s="11" t="s">
        <v>339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9" t="s">
        <v>38</v>
      </c>
      <c r="B581" s="7"/>
      <c r="C581" s="7"/>
      <c r="D581" s="7">
        <f t="shared" si="9"/>
        <v>0</v>
      </c>
    </row>
    <row r="582" spans="1:4" ht="18.75" hidden="1" x14ac:dyDescent="0.25">
      <c r="A582" s="9" t="s">
        <v>39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340</v>
      </c>
      <c r="B583" s="16"/>
      <c r="C583" s="16"/>
      <c r="D583" s="7">
        <f t="shared" si="9"/>
        <v>0</v>
      </c>
    </row>
    <row r="584" spans="1:4" ht="18.75" hidden="1" x14ac:dyDescent="0.25">
      <c r="A584" s="11" t="s">
        <v>40</v>
      </c>
      <c r="B584" s="16"/>
      <c r="C584" s="16"/>
      <c r="D584" s="7">
        <f t="shared" si="9"/>
        <v>0</v>
      </c>
    </row>
    <row r="585" spans="1:4" ht="18.75" hidden="1" x14ac:dyDescent="0.25">
      <c r="A585" s="17" t="s">
        <v>255</v>
      </c>
      <c r="B585" s="7"/>
      <c r="C585" s="7"/>
      <c r="D585" s="7">
        <f t="shared" si="9"/>
        <v>0</v>
      </c>
    </row>
    <row r="586" spans="1:4" ht="18.75" hidden="1" x14ac:dyDescent="0.25">
      <c r="A586" s="21" t="s">
        <v>256</v>
      </c>
      <c r="B586" s="7"/>
      <c r="C586" s="7"/>
      <c r="D586" s="7">
        <f t="shared" si="9"/>
        <v>0</v>
      </c>
    </row>
    <row r="587" spans="1:4" ht="18.75" hidden="1" x14ac:dyDescent="0.25">
      <c r="A587" s="21" t="s">
        <v>257</v>
      </c>
      <c r="B587" s="7"/>
      <c r="C587" s="7"/>
      <c r="D587" s="7">
        <f t="shared" si="9"/>
        <v>0</v>
      </c>
    </row>
    <row r="588" spans="1:4" ht="18.75" hidden="1" x14ac:dyDescent="0.25">
      <c r="A588" s="11" t="s">
        <v>360</v>
      </c>
      <c r="B588" s="7"/>
      <c r="C588" s="7"/>
      <c r="D588" s="7">
        <f t="shared" si="9"/>
        <v>0</v>
      </c>
    </row>
    <row r="589" spans="1:4" ht="18.75" hidden="1" x14ac:dyDescent="0.25">
      <c r="A589" s="11" t="s">
        <v>268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269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361</v>
      </c>
      <c r="B591" s="7"/>
      <c r="C591" s="7"/>
      <c r="D591" s="7">
        <f t="shared" si="9"/>
        <v>0</v>
      </c>
    </row>
    <row r="592" spans="1:4" ht="18.75" hidden="1" x14ac:dyDescent="0.25">
      <c r="A592" s="9" t="s">
        <v>272</v>
      </c>
      <c r="B592" s="7"/>
      <c r="C592" s="7"/>
      <c r="D592" s="7">
        <f t="shared" si="9"/>
        <v>0</v>
      </c>
    </row>
    <row r="593" spans="1:4" ht="18.75" hidden="1" x14ac:dyDescent="0.25">
      <c r="A593" s="17" t="s">
        <v>284</v>
      </c>
      <c r="B593" s="7"/>
      <c r="C593" s="7"/>
      <c r="D593" s="7">
        <f t="shared" si="9"/>
        <v>0</v>
      </c>
    </row>
    <row r="594" spans="1:4" ht="18.75" hidden="1" x14ac:dyDescent="0.25">
      <c r="A594" s="12" t="s">
        <v>178</v>
      </c>
      <c r="B594" s="7"/>
      <c r="C594" s="7"/>
      <c r="D594" s="7">
        <f t="shared" si="9"/>
        <v>0</v>
      </c>
    </row>
    <row r="595" spans="1:4" ht="18.75" hidden="1" x14ac:dyDescent="0.25">
      <c r="A595" s="9" t="s">
        <v>179</v>
      </c>
      <c r="B595" s="7"/>
      <c r="C595" s="7"/>
      <c r="D595" s="7">
        <f t="shared" si="9"/>
        <v>0</v>
      </c>
    </row>
    <row r="596" spans="1:4" ht="18.75" hidden="1" x14ac:dyDescent="0.25">
      <c r="A596" s="9" t="s">
        <v>180</v>
      </c>
      <c r="B596" s="7"/>
      <c r="C596" s="7"/>
      <c r="D596" s="7">
        <f t="shared" si="9"/>
        <v>0</v>
      </c>
    </row>
    <row r="597" spans="1:4" ht="18.75" hidden="1" x14ac:dyDescent="0.25">
      <c r="A597" s="12" t="s">
        <v>305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307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308</v>
      </c>
      <c r="B599" s="7"/>
      <c r="C599" s="7"/>
      <c r="D599" s="7">
        <f t="shared" si="9"/>
        <v>0</v>
      </c>
    </row>
    <row r="600" spans="1:4" ht="18.75" hidden="1" x14ac:dyDescent="0.25">
      <c r="A600" s="21" t="s">
        <v>311</v>
      </c>
      <c r="B600" s="7"/>
      <c r="C600" s="7"/>
      <c r="D600" s="7">
        <f t="shared" si="9"/>
        <v>0</v>
      </c>
    </row>
    <row r="601" spans="1:4" ht="18.75" hidden="1" x14ac:dyDescent="0.25">
      <c r="A601" s="9" t="s">
        <v>313</v>
      </c>
      <c r="B601" s="7"/>
      <c r="C601" s="7"/>
      <c r="D601" s="7">
        <f t="shared" si="9"/>
        <v>0</v>
      </c>
    </row>
    <row r="602" spans="1:4" ht="18.75" hidden="1" x14ac:dyDescent="0.25">
      <c r="A602" s="9" t="s">
        <v>314</v>
      </c>
      <c r="B602" s="7"/>
      <c r="C602" s="7"/>
      <c r="D602" s="7">
        <f t="shared" si="9"/>
        <v>0</v>
      </c>
    </row>
    <row r="603" spans="1:4" ht="18.75" hidden="1" x14ac:dyDescent="0.25">
      <c r="A603" s="9" t="s">
        <v>315</v>
      </c>
      <c r="B603" s="7"/>
      <c r="C603" s="7"/>
      <c r="D603" s="7">
        <f t="shared" si="9"/>
        <v>0</v>
      </c>
    </row>
    <row r="604" spans="1:4" ht="18.75" hidden="1" x14ac:dyDescent="0.25">
      <c r="A604" s="9" t="s">
        <v>316</v>
      </c>
      <c r="B604" s="7"/>
      <c r="C604" s="7"/>
      <c r="D604" s="7">
        <f t="shared" si="9"/>
        <v>0</v>
      </c>
    </row>
    <row r="605" spans="1:4" ht="18.75" hidden="1" x14ac:dyDescent="0.25">
      <c r="A605" s="21" t="s">
        <v>317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318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322</v>
      </c>
      <c r="B607" s="7"/>
      <c r="C607" s="7"/>
      <c r="D607" s="7">
        <f t="shared" si="9"/>
        <v>0</v>
      </c>
    </row>
    <row r="608" spans="1:4" ht="18.75" hidden="1" x14ac:dyDescent="0.25">
      <c r="A608" s="21" t="s">
        <v>324</v>
      </c>
      <c r="B608" s="7"/>
      <c r="C608" s="7"/>
      <c r="D608" s="7">
        <f t="shared" si="9"/>
        <v>0</v>
      </c>
    </row>
    <row r="609" spans="1:4" ht="18.75" hidden="1" x14ac:dyDescent="0.25">
      <c r="A609" s="21" t="s">
        <v>325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326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327</v>
      </c>
      <c r="B611" s="7"/>
      <c r="C611" s="7"/>
      <c r="D611" s="7">
        <f t="shared" si="9"/>
        <v>0</v>
      </c>
    </row>
    <row r="612" spans="1:4" ht="18.75" hidden="1" x14ac:dyDescent="0.25">
      <c r="A612" s="21" t="s">
        <v>328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329</v>
      </c>
      <c r="B613" s="7"/>
      <c r="C613" s="7"/>
      <c r="D613" s="7">
        <f t="shared" si="9"/>
        <v>0</v>
      </c>
    </row>
    <row r="614" spans="1:4" ht="18.75" hidden="1" x14ac:dyDescent="0.25">
      <c r="A614" s="9" t="s">
        <v>330</v>
      </c>
      <c r="B614" s="7"/>
      <c r="C614" s="7"/>
      <c r="D614" s="7">
        <f t="shared" si="9"/>
        <v>0</v>
      </c>
    </row>
    <row r="615" spans="1:4" ht="18.75" hidden="1" x14ac:dyDescent="0.25">
      <c r="A615" s="9" t="s">
        <v>331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332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333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334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335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336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287</v>
      </c>
      <c r="B621" s="7"/>
      <c r="C621" s="7"/>
      <c r="D621" s="7">
        <f t="shared" si="9"/>
        <v>0</v>
      </c>
    </row>
    <row r="622" spans="1:4" ht="18.75" hidden="1" x14ac:dyDescent="0.25">
      <c r="A622" s="17" t="s">
        <v>288</v>
      </c>
      <c r="B622" s="7"/>
      <c r="C622" s="7"/>
      <c r="D622" s="7">
        <f t="shared" si="9"/>
        <v>0</v>
      </c>
    </row>
    <row r="623" spans="1:4" ht="18.75" hidden="1" x14ac:dyDescent="0.25">
      <c r="A623" s="9" t="s">
        <v>289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22</v>
      </c>
      <c r="B624" s="7"/>
      <c r="C624" s="7"/>
      <c r="D624" s="7">
        <f t="shared" si="9"/>
        <v>0</v>
      </c>
    </row>
    <row r="625" spans="1:4" ht="18.75" hidden="1" x14ac:dyDescent="0.25">
      <c r="A625" s="9" t="s">
        <v>23</v>
      </c>
      <c r="B625" s="7"/>
      <c r="C625" s="7"/>
      <c r="D625" s="7">
        <f t="shared" si="9"/>
        <v>0</v>
      </c>
    </row>
    <row r="626" spans="1:4" ht="18.75" x14ac:dyDescent="0.25">
      <c r="A626" s="9" t="s">
        <v>24</v>
      </c>
      <c r="B626" s="7">
        <v>30</v>
      </c>
      <c r="C626" s="7">
        <v>16000</v>
      </c>
      <c r="D626" s="7">
        <f t="shared" si="9"/>
        <v>480000</v>
      </c>
    </row>
    <row r="627" spans="1:4" ht="18.75" hidden="1" x14ac:dyDescent="0.25">
      <c r="A627" s="9" t="s">
        <v>25</v>
      </c>
      <c r="B627" s="7"/>
      <c r="C627" s="7"/>
      <c r="D627" s="7">
        <f t="shared" si="9"/>
        <v>0</v>
      </c>
    </row>
    <row r="628" spans="1:4" ht="18.75" hidden="1" x14ac:dyDescent="0.25">
      <c r="A628" s="9" t="s">
        <v>26</v>
      </c>
      <c r="B628" s="7"/>
      <c r="C628" s="7"/>
      <c r="D628" s="7">
        <f t="shared" si="9"/>
        <v>0</v>
      </c>
    </row>
    <row r="629" spans="1:4" ht="18.75" hidden="1" x14ac:dyDescent="0.25">
      <c r="A629" s="9" t="s">
        <v>46</v>
      </c>
      <c r="B629" s="7"/>
      <c r="C629" s="7"/>
      <c r="D629" s="7">
        <f t="shared" si="9"/>
        <v>0</v>
      </c>
    </row>
    <row r="630" spans="1:4" ht="18.75" hidden="1" x14ac:dyDescent="0.25">
      <c r="A630" s="9" t="s">
        <v>47</v>
      </c>
      <c r="B630" s="7"/>
      <c r="C630" s="7"/>
      <c r="D630" s="7">
        <f t="shared" si="9"/>
        <v>0</v>
      </c>
    </row>
    <row r="631" spans="1:4" ht="18.75" hidden="1" x14ac:dyDescent="0.25">
      <c r="A631" s="13" t="s">
        <v>48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51</v>
      </c>
      <c r="B632" s="7"/>
      <c r="C632" s="7"/>
      <c r="D632" s="7">
        <f t="shared" si="9"/>
        <v>0</v>
      </c>
    </row>
    <row r="633" spans="1:4" ht="18.75" hidden="1" x14ac:dyDescent="0.25">
      <c r="A633" s="9" t="s">
        <v>52</v>
      </c>
      <c r="B633" s="7"/>
      <c r="C633" s="7"/>
      <c r="D633" s="7">
        <f t="shared" si="9"/>
        <v>0</v>
      </c>
    </row>
    <row r="634" spans="1:4" ht="18.75" hidden="1" x14ac:dyDescent="0.25">
      <c r="A634" s="28" t="s">
        <v>130</v>
      </c>
      <c r="B634" s="7"/>
      <c r="C634" s="7"/>
      <c r="D634" s="7">
        <f t="shared" si="9"/>
        <v>0</v>
      </c>
    </row>
    <row r="635" spans="1:4" ht="18.75" hidden="1" x14ac:dyDescent="0.25">
      <c r="A635" s="12" t="s">
        <v>131</v>
      </c>
      <c r="B635" s="16"/>
      <c r="C635" s="16"/>
      <c r="D635" s="7">
        <f t="shared" si="9"/>
        <v>0</v>
      </c>
    </row>
    <row r="636" spans="1:4" ht="18.75" hidden="1" x14ac:dyDescent="0.25">
      <c r="A636" s="9" t="s">
        <v>132</v>
      </c>
      <c r="B636" s="7"/>
      <c r="C636" s="7"/>
      <c r="D636" s="7">
        <f t="shared" si="9"/>
        <v>0</v>
      </c>
    </row>
    <row r="637" spans="1:4" ht="18.75" hidden="1" x14ac:dyDescent="0.25">
      <c r="A637" s="9" t="s">
        <v>133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290</v>
      </c>
      <c r="B638" s="7"/>
      <c r="C638" s="7"/>
      <c r="D638" s="7">
        <f t="shared" si="9"/>
        <v>0</v>
      </c>
    </row>
    <row r="639" spans="1:4" ht="18.75" hidden="1" x14ac:dyDescent="0.25">
      <c r="A639" s="17" t="s">
        <v>291</v>
      </c>
      <c r="B639" s="7"/>
      <c r="C639" s="7"/>
      <c r="D639" s="7">
        <f t="shared" si="9"/>
        <v>0</v>
      </c>
    </row>
    <row r="640" spans="1:4" ht="18.75" hidden="1" x14ac:dyDescent="0.25">
      <c r="A640" s="9" t="s">
        <v>16</v>
      </c>
      <c r="B640" s="7"/>
      <c r="C640" s="7"/>
      <c r="D640" s="7">
        <f t="shared" si="9"/>
        <v>0</v>
      </c>
    </row>
    <row r="641" spans="1:4" ht="18.75" hidden="1" x14ac:dyDescent="0.25">
      <c r="A641" s="13" t="s">
        <v>17</v>
      </c>
      <c r="B641" s="7"/>
      <c r="C641" s="7"/>
      <c r="D641" s="7">
        <f t="shared" si="9"/>
        <v>0</v>
      </c>
    </row>
    <row r="642" spans="1:4" ht="18.75" hidden="1" x14ac:dyDescent="0.25">
      <c r="A642" s="11" t="s">
        <v>18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157</v>
      </c>
      <c r="B643" s="7"/>
      <c r="C643" s="7"/>
      <c r="D643" s="7">
        <f t="shared" si="9"/>
        <v>0</v>
      </c>
    </row>
    <row r="644" spans="1:4" ht="18.75" hidden="1" x14ac:dyDescent="0.25">
      <c r="A644" s="9" t="s">
        <v>158</v>
      </c>
      <c r="B644" s="7"/>
      <c r="C644" s="7"/>
      <c r="D644" s="7">
        <f t="shared" ref="D644:D682" si="10">B644*C644</f>
        <v>0</v>
      </c>
    </row>
    <row r="645" spans="1:4" ht="18.75" x14ac:dyDescent="0.25">
      <c r="A645" s="9" t="s">
        <v>159</v>
      </c>
      <c r="B645" s="7">
        <v>3</v>
      </c>
      <c r="C645" s="7">
        <v>9000</v>
      </c>
      <c r="D645" s="7">
        <f t="shared" si="10"/>
        <v>27000</v>
      </c>
    </row>
    <row r="646" spans="1:4" ht="18.75" hidden="1" x14ac:dyDescent="0.25">
      <c r="A646" s="9" t="s">
        <v>160</v>
      </c>
      <c r="B646" s="7"/>
      <c r="C646" s="7"/>
      <c r="D646" s="7">
        <f t="shared" si="10"/>
        <v>0</v>
      </c>
    </row>
    <row r="647" spans="1:4" ht="18.75" hidden="1" x14ac:dyDescent="0.25">
      <c r="A647" s="10" t="s">
        <v>7</v>
      </c>
      <c r="B647" s="7"/>
      <c r="C647" s="7"/>
      <c r="D647" s="7">
        <f t="shared" si="10"/>
        <v>0</v>
      </c>
    </row>
    <row r="648" spans="1:4" ht="18.75" hidden="1" x14ac:dyDescent="0.25">
      <c r="A648" s="5" t="s">
        <v>8</v>
      </c>
      <c r="B648" s="7"/>
      <c r="C648" s="7"/>
      <c r="D648" s="7">
        <f t="shared" si="10"/>
        <v>0</v>
      </c>
    </row>
    <row r="649" spans="1:4" ht="18.75" hidden="1" x14ac:dyDescent="0.25">
      <c r="A649" s="19" t="s">
        <v>64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68</v>
      </c>
      <c r="B650" s="7"/>
      <c r="C650" s="7"/>
      <c r="D650" s="7">
        <f t="shared" si="10"/>
        <v>0</v>
      </c>
    </row>
    <row r="651" spans="1:4" ht="18.75" hidden="1" x14ac:dyDescent="0.25">
      <c r="A651" s="11" t="s">
        <v>102</v>
      </c>
      <c r="B651" s="7"/>
      <c r="C651" s="7"/>
      <c r="D651" s="7">
        <f t="shared" si="10"/>
        <v>0</v>
      </c>
    </row>
    <row r="652" spans="1:4" ht="18.75" hidden="1" x14ac:dyDescent="0.25">
      <c r="A652" s="25" t="s">
        <v>108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119</v>
      </c>
      <c r="B653" s="7"/>
      <c r="C653" s="7"/>
      <c r="D653" s="7">
        <f t="shared" si="10"/>
        <v>0</v>
      </c>
    </row>
    <row r="654" spans="1:4" ht="18.75" hidden="1" x14ac:dyDescent="0.25">
      <c r="A654" s="11" t="s">
        <v>120</v>
      </c>
      <c r="B654" s="7"/>
      <c r="C654" s="7"/>
      <c r="D654" s="7">
        <f t="shared" si="10"/>
        <v>0</v>
      </c>
    </row>
    <row r="655" spans="1:4" ht="18.75" hidden="1" x14ac:dyDescent="0.25">
      <c r="A655" s="11" t="s">
        <v>121</v>
      </c>
      <c r="B655" s="7"/>
      <c r="C655" s="7"/>
      <c r="D655" s="7">
        <f t="shared" si="10"/>
        <v>0</v>
      </c>
    </row>
    <row r="656" spans="1:4" ht="18.75" hidden="1" x14ac:dyDescent="0.25">
      <c r="A656" s="9" t="s">
        <v>143</v>
      </c>
      <c r="B656" s="7"/>
      <c r="C656" s="7"/>
      <c r="D656" s="7">
        <f t="shared" si="10"/>
        <v>0</v>
      </c>
    </row>
    <row r="657" spans="1:4" ht="18.75" hidden="1" x14ac:dyDescent="0.25">
      <c r="A657" s="11" t="s">
        <v>175</v>
      </c>
      <c r="B657" s="7"/>
      <c r="C657" s="7"/>
      <c r="D657" s="7">
        <f t="shared" si="10"/>
        <v>0</v>
      </c>
    </row>
    <row r="658" spans="1:4" ht="18.75" hidden="1" x14ac:dyDescent="0.25">
      <c r="A658" s="17" t="s">
        <v>189</v>
      </c>
      <c r="B658" s="7"/>
      <c r="C658" s="7"/>
      <c r="D658" s="7">
        <f t="shared" si="10"/>
        <v>0</v>
      </c>
    </row>
    <row r="659" spans="1:4" ht="18.75" hidden="1" x14ac:dyDescent="0.25">
      <c r="A659" s="17" t="s">
        <v>190</v>
      </c>
      <c r="B659" s="7"/>
      <c r="C659" s="7"/>
      <c r="D659" s="7">
        <f t="shared" si="10"/>
        <v>0</v>
      </c>
    </row>
    <row r="660" spans="1:4" ht="18.75" hidden="1" x14ac:dyDescent="0.25">
      <c r="A660" s="17" t="s">
        <v>191</v>
      </c>
      <c r="B660" s="7"/>
      <c r="C660" s="7"/>
      <c r="D660" s="7">
        <f t="shared" si="10"/>
        <v>0</v>
      </c>
    </row>
    <row r="661" spans="1:4" ht="18.75" hidden="1" x14ac:dyDescent="0.25">
      <c r="A661" s="17" t="s">
        <v>192</v>
      </c>
      <c r="B661" s="7"/>
      <c r="C661" s="7"/>
      <c r="D661" s="7">
        <f t="shared" si="10"/>
        <v>0</v>
      </c>
    </row>
    <row r="662" spans="1:4" ht="18.75" hidden="1" x14ac:dyDescent="0.25">
      <c r="A662" s="9" t="s">
        <v>194</v>
      </c>
      <c r="B662" s="7"/>
      <c r="C662" s="7"/>
      <c r="D662" s="7">
        <f t="shared" si="10"/>
        <v>0</v>
      </c>
    </row>
    <row r="663" spans="1:4" ht="18.75" hidden="1" x14ac:dyDescent="0.25">
      <c r="A663" s="34" t="s">
        <v>195</v>
      </c>
      <c r="B663" s="7"/>
      <c r="C663" s="7"/>
      <c r="D663" s="7">
        <f t="shared" si="10"/>
        <v>0</v>
      </c>
    </row>
    <row r="664" spans="1:4" ht="18.75" hidden="1" x14ac:dyDescent="0.25">
      <c r="A664" s="34" t="s">
        <v>196</v>
      </c>
      <c r="B664" s="7"/>
      <c r="C664" s="7"/>
      <c r="D664" s="7">
        <f t="shared" si="10"/>
        <v>0</v>
      </c>
    </row>
    <row r="665" spans="1:4" ht="18.75" hidden="1" x14ac:dyDescent="0.25">
      <c r="A665" s="34" t="s">
        <v>197</v>
      </c>
      <c r="B665" s="7"/>
      <c r="C665" s="7"/>
      <c r="D665" s="7">
        <f t="shared" si="10"/>
        <v>0</v>
      </c>
    </row>
    <row r="666" spans="1:4" ht="18.75" hidden="1" x14ac:dyDescent="0.25">
      <c r="A666" s="34" t="s">
        <v>198</v>
      </c>
      <c r="B666" s="7"/>
      <c r="C666" s="7"/>
      <c r="D666" s="7">
        <f t="shared" si="10"/>
        <v>0</v>
      </c>
    </row>
    <row r="667" spans="1:4" ht="18.75" hidden="1" x14ac:dyDescent="0.25">
      <c r="A667" s="11" t="s">
        <v>226</v>
      </c>
      <c r="B667" s="7"/>
      <c r="C667" s="7"/>
      <c r="D667" s="7">
        <f t="shared" si="10"/>
        <v>0</v>
      </c>
    </row>
    <row r="668" spans="1:4" ht="18.75" hidden="1" x14ac:dyDescent="0.25">
      <c r="A668" s="21" t="s">
        <v>358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359</v>
      </c>
      <c r="B669" s="7"/>
      <c r="C669" s="7"/>
      <c r="D669" s="7">
        <f t="shared" si="10"/>
        <v>0</v>
      </c>
    </row>
    <row r="670" spans="1:4" ht="18.75" hidden="1" x14ac:dyDescent="0.25">
      <c r="A670" s="11" t="s">
        <v>232</v>
      </c>
      <c r="B670" s="7"/>
      <c r="C670" s="7"/>
      <c r="D670" s="7">
        <f t="shared" si="10"/>
        <v>0</v>
      </c>
    </row>
    <row r="671" spans="1:4" ht="18.75" hidden="1" x14ac:dyDescent="0.25">
      <c r="A671" s="13" t="s">
        <v>239</v>
      </c>
      <c r="B671" s="7"/>
      <c r="C671" s="7"/>
      <c r="D671" s="7">
        <f t="shared" si="10"/>
        <v>0</v>
      </c>
    </row>
    <row r="672" spans="1:4" ht="18.75" hidden="1" x14ac:dyDescent="0.25">
      <c r="A672" s="13" t="s">
        <v>240</v>
      </c>
      <c r="B672" s="7"/>
      <c r="C672" s="7"/>
      <c r="D672" s="7">
        <f t="shared" si="10"/>
        <v>0</v>
      </c>
    </row>
    <row r="673" spans="1:4" ht="18.75" hidden="1" x14ac:dyDescent="0.25">
      <c r="A673" s="34" t="s">
        <v>241</v>
      </c>
      <c r="B673" s="7"/>
      <c r="C673" s="7"/>
      <c r="D673" s="7">
        <f t="shared" si="10"/>
        <v>0</v>
      </c>
    </row>
    <row r="674" spans="1:4" ht="18.75" hidden="1" x14ac:dyDescent="0.25">
      <c r="A674" s="34" t="s">
        <v>245</v>
      </c>
      <c r="B674" s="7"/>
      <c r="C674" s="7"/>
      <c r="D674" s="7">
        <f t="shared" si="10"/>
        <v>0</v>
      </c>
    </row>
    <row r="675" spans="1:4" ht="18.75" hidden="1" x14ac:dyDescent="0.25">
      <c r="A675" s="34" t="s">
        <v>276</v>
      </c>
      <c r="B675" s="7"/>
      <c r="C675" s="7"/>
      <c r="D675" s="7">
        <f t="shared" si="10"/>
        <v>0</v>
      </c>
    </row>
    <row r="676" spans="1:4" ht="18.75" hidden="1" x14ac:dyDescent="0.25">
      <c r="A676" s="34" t="s">
        <v>278</v>
      </c>
      <c r="B676" s="7"/>
      <c r="C676" s="7"/>
      <c r="D676" s="7">
        <f t="shared" si="10"/>
        <v>0</v>
      </c>
    </row>
    <row r="677" spans="1:4" ht="18.75" hidden="1" x14ac:dyDescent="0.25">
      <c r="A677" s="11" t="s">
        <v>363</v>
      </c>
      <c r="B677" s="7"/>
      <c r="C677" s="7"/>
      <c r="D677" s="7">
        <f t="shared" si="10"/>
        <v>0</v>
      </c>
    </row>
    <row r="678" spans="1:4" ht="18.75" hidden="1" x14ac:dyDescent="0.25">
      <c r="A678" s="34" t="s">
        <v>279</v>
      </c>
      <c r="B678" s="7"/>
      <c r="C678" s="7"/>
      <c r="D678" s="7">
        <f t="shared" si="10"/>
        <v>0</v>
      </c>
    </row>
    <row r="679" spans="1:4" ht="18.75" hidden="1" x14ac:dyDescent="0.25">
      <c r="A679" s="25" t="s">
        <v>292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365</v>
      </c>
      <c r="B680" s="7"/>
      <c r="C680" s="7"/>
      <c r="D680" s="7">
        <f t="shared" si="10"/>
        <v>0</v>
      </c>
    </row>
    <row r="681" spans="1:4" ht="18.75" hidden="1" x14ac:dyDescent="0.25">
      <c r="A681" s="11" t="s">
        <v>303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10173</v>
      </c>
      <c r="C683" s="43"/>
      <c r="D683" s="43">
        <f t="shared" ref="D683" si="11">SUM(D356:D682)</f>
        <v>95429400</v>
      </c>
    </row>
    <row r="685" spans="1:4" x14ac:dyDescent="0.25">
      <c r="D685" s="53">
        <f>D683+D351</f>
        <v>252779900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16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D685"/>
  <sheetViews>
    <sheetView topLeftCell="A359" workbookViewId="0">
      <selection activeCell="D685" sqref="D685"/>
    </sheetView>
  </sheetViews>
  <sheetFormatPr defaultRowHeight="15" x14ac:dyDescent="0.25"/>
  <cols>
    <col min="1" max="1" width="35.140625" customWidth="1"/>
    <col min="2" max="2" width="12.140625" customWidth="1"/>
    <col min="3" max="3" width="13.42578125" customWidth="1"/>
    <col min="4" max="4" width="22.42578125" customWidth="1"/>
  </cols>
  <sheetData>
    <row r="1" spans="1:4" x14ac:dyDescent="0.25">
      <c r="A1" s="1" t="s">
        <v>437</v>
      </c>
      <c r="B1" s="2"/>
      <c r="C1" s="2"/>
      <c r="D1" s="2"/>
    </row>
    <row r="2" spans="1:4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x14ac:dyDescent="0.25">
      <c r="A7" s="5" t="s">
        <v>5</v>
      </c>
      <c r="B7" s="7">
        <f>9930+826+1692-7000</f>
        <v>5448</v>
      </c>
      <c r="C7" s="7">
        <v>6800</v>
      </c>
      <c r="D7" s="7">
        <f t="shared" si="0"/>
        <v>37046400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5</v>
      </c>
      <c r="C17" s="7">
        <v>8000</v>
      </c>
      <c r="D17" s="7">
        <f t="shared" si="0"/>
        <v>40000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f>10+11+20+2+3</f>
        <v>46</v>
      </c>
      <c r="C21" s="45">
        <v>11000</v>
      </c>
      <c r="D21" s="7">
        <f t="shared" si="0"/>
        <v>506000</v>
      </c>
    </row>
    <row r="22" spans="1:4" ht="18.75" x14ac:dyDescent="0.25">
      <c r="A22" s="9" t="s">
        <v>19</v>
      </c>
      <c r="B22" s="7">
        <f>1050+60+40</f>
        <v>1150</v>
      </c>
      <c r="C22" s="7">
        <v>11500</v>
      </c>
      <c r="D22" s="7">
        <f t="shared" si="0"/>
        <v>13225000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hidden="1" x14ac:dyDescent="0.25">
      <c r="A27" s="9" t="s">
        <v>24</v>
      </c>
      <c r="B27" s="7"/>
      <c r="C27" s="7"/>
      <c r="D27" s="7">
        <f t="shared" si="0"/>
        <v>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x14ac:dyDescent="0.25">
      <c r="A30" s="9" t="s">
        <v>27</v>
      </c>
      <c r="B30" s="7">
        <v>8</v>
      </c>
      <c r="C30" s="7">
        <v>36000</v>
      </c>
      <c r="D30" s="7">
        <f t="shared" si="0"/>
        <v>288000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hidden="1" x14ac:dyDescent="0.25">
      <c r="A32" s="12" t="s">
        <v>29</v>
      </c>
      <c r="B32" s="7"/>
      <c r="C32" s="7"/>
      <c r="D32" s="7">
        <f t="shared" si="0"/>
        <v>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hidden="1" x14ac:dyDescent="0.25">
      <c r="A41" s="9" t="s">
        <v>38</v>
      </c>
      <c r="B41" s="7"/>
      <c r="C41" s="7"/>
      <c r="D41" s="7">
        <f t="shared" si="0"/>
        <v>0</v>
      </c>
    </row>
    <row r="42" spans="1:4" ht="18.75" x14ac:dyDescent="0.25">
      <c r="A42" s="9" t="s">
        <v>39</v>
      </c>
      <c r="B42" s="7">
        <v>23</v>
      </c>
      <c r="C42" s="7">
        <v>9000</v>
      </c>
      <c r="D42" s="7">
        <f t="shared" si="0"/>
        <v>207000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x14ac:dyDescent="0.25">
      <c r="A47" s="9" t="s">
        <v>44</v>
      </c>
      <c r="B47" s="7">
        <v>2</v>
      </c>
      <c r="C47" s="7">
        <v>14000</v>
      </c>
      <c r="D47" s="7">
        <f t="shared" si="0"/>
        <v>28000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-300+200+280</f>
        <v>180</v>
      </c>
      <c r="C56" s="7">
        <v>20000</v>
      </c>
      <c r="D56" s="7">
        <f t="shared" si="0"/>
        <v>3600000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v>73</v>
      </c>
      <c r="C59" s="7">
        <v>10000</v>
      </c>
      <c r="D59" s="7">
        <f t="shared" si="0"/>
        <v>730000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v>30</v>
      </c>
      <c r="C66" s="7">
        <v>17000</v>
      </c>
      <c r="D66" s="7">
        <f t="shared" si="0"/>
        <v>510000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hidden="1" x14ac:dyDescent="0.25">
      <c r="A72" s="12" t="s">
        <v>69</v>
      </c>
      <c r="B72" s="7"/>
      <c r="C72" s="7"/>
      <c r="D72" s="7">
        <f t="shared" si="1"/>
        <v>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hidden="1" x14ac:dyDescent="0.25">
      <c r="A74" s="12" t="s">
        <v>71</v>
      </c>
      <c r="B74" s="7"/>
      <c r="C74" s="7"/>
      <c r="D74" s="7">
        <f t="shared" si="1"/>
        <v>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hidden="1" x14ac:dyDescent="0.25">
      <c r="A80" s="9" t="s">
        <v>77</v>
      </c>
      <c r="B80" s="7"/>
      <c r="C80" s="7"/>
      <c r="D80" s="7">
        <f t="shared" si="1"/>
        <v>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hidden="1" x14ac:dyDescent="0.25">
      <c r="A82" s="9" t="s">
        <v>79</v>
      </c>
      <c r="B82" s="7"/>
      <c r="C82" s="7"/>
      <c r="D82" s="7">
        <f t="shared" si="1"/>
        <v>0</v>
      </c>
    </row>
    <row r="83" spans="1:4" ht="18.75" hidden="1" x14ac:dyDescent="0.25">
      <c r="A83" s="9" t="s">
        <v>80</v>
      </c>
      <c r="B83" s="7"/>
      <c r="C83" s="7"/>
      <c r="D83" s="7">
        <f t="shared" si="1"/>
        <v>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v>45</v>
      </c>
      <c r="C90" s="7">
        <v>28000</v>
      </c>
      <c r="D90" s="7">
        <f t="shared" si="1"/>
        <v>1260000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x14ac:dyDescent="0.25">
      <c r="A102" s="23" t="s">
        <v>98</v>
      </c>
      <c r="B102" s="7">
        <f>0.8/0.3</f>
        <v>2.666666666666667</v>
      </c>
      <c r="C102" s="7">
        <v>22000</v>
      </c>
      <c r="D102" s="7">
        <f t="shared" si="1"/>
        <v>58666.666666666672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x14ac:dyDescent="0.25">
      <c r="A107" s="9" t="s">
        <v>103</v>
      </c>
      <c r="B107" s="7">
        <v>510</v>
      </c>
      <c r="C107" s="7">
        <v>12000</v>
      </c>
      <c r="D107" s="7">
        <f t="shared" si="1"/>
        <v>6120000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x14ac:dyDescent="0.25">
      <c r="A135" s="9" t="s">
        <v>122</v>
      </c>
      <c r="B135" s="7">
        <f>-20+22+10</f>
        <v>12</v>
      </c>
      <c r="C135" s="7">
        <v>14000</v>
      </c>
      <c r="D135" s="7">
        <f t="shared" si="2"/>
        <v>168000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18.7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x14ac:dyDescent="0.25">
      <c r="A143" s="9" t="s">
        <v>132</v>
      </c>
      <c r="B143" s="7">
        <v>28</v>
      </c>
      <c r="C143" s="7">
        <v>8000</v>
      </c>
      <c r="D143" s="7">
        <f t="shared" si="2"/>
        <v>224000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-60+15+18+55</f>
        <v>28</v>
      </c>
      <c r="C146" s="7">
        <v>18000</v>
      </c>
      <c r="D146" s="7">
        <f t="shared" si="2"/>
        <v>504000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x14ac:dyDescent="0.25">
      <c r="A176" s="9" t="s">
        <v>165</v>
      </c>
      <c r="B176" s="7">
        <v>3</v>
      </c>
      <c r="C176" s="7">
        <v>6000</v>
      </c>
      <c r="D176" s="7">
        <f t="shared" si="2"/>
        <v>18000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x14ac:dyDescent="0.25">
      <c r="A178" s="9" t="s">
        <v>168</v>
      </c>
      <c r="B178" s="7">
        <f>75+28+44+25-60</f>
        <v>112</v>
      </c>
      <c r="C178" s="46">
        <v>6000</v>
      </c>
      <c r="D178" s="7">
        <f t="shared" si="2"/>
        <v>672000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x14ac:dyDescent="0.25">
      <c r="A180" s="9" t="s">
        <v>170</v>
      </c>
      <c r="B180" s="7">
        <v>30</v>
      </c>
      <c r="C180" s="7">
        <v>11000</v>
      </c>
      <c r="D180" s="7">
        <f t="shared" si="2"/>
        <v>330000</v>
      </c>
    </row>
    <row r="181" spans="1:4" ht="18.75" hidden="1" x14ac:dyDescent="0.25">
      <c r="A181" s="9" t="s">
        <v>171</v>
      </c>
      <c r="B181" s="7"/>
      <c r="C181" s="7"/>
      <c r="D181" s="7">
        <f t="shared" si="2"/>
        <v>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x14ac:dyDescent="0.25">
      <c r="A184" s="31" t="s">
        <v>174</v>
      </c>
      <c r="B184" s="33">
        <v>11</v>
      </c>
      <c r="C184" s="33">
        <v>15000</v>
      </c>
      <c r="D184" s="7">
        <f t="shared" si="2"/>
        <v>165000</v>
      </c>
    </row>
    <row r="185" spans="1:4" ht="18.75" hidden="1" x14ac:dyDescent="0.25">
      <c r="A185" s="11" t="s">
        <v>175</v>
      </c>
      <c r="B185" s="7"/>
      <c r="C185" s="7"/>
      <c r="D185" s="7">
        <f t="shared" si="2"/>
        <v>0</v>
      </c>
    </row>
    <row r="186" spans="1:4" ht="18.75" x14ac:dyDescent="0.25">
      <c r="A186" s="9" t="s">
        <v>176</v>
      </c>
      <c r="B186" s="7">
        <v>4</v>
      </c>
      <c r="C186" s="7">
        <v>43000</v>
      </c>
      <c r="D186" s="7">
        <f t="shared" si="2"/>
        <v>172000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183</v>
      </c>
      <c r="B193" s="7"/>
      <c r="C193" s="7"/>
      <c r="D193" s="7">
        <f t="shared" si="2"/>
        <v>0</v>
      </c>
    </row>
    <row r="194" spans="1:4" ht="18.75" x14ac:dyDescent="0.25">
      <c r="A194" s="9" t="s">
        <v>184</v>
      </c>
      <c r="B194" s="7">
        <f>220*3</f>
        <v>660</v>
      </c>
      <c r="C194" s="7">
        <v>2700</v>
      </c>
      <c r="D194" s="7">
        <f t="shared" si="2"/>
        <v>1782000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x14ac:dyDescent="0.25">
      <c r="A197" s="12" t="s">
        <v>187</v>
      </c>
      <c r="B197" s="7">
        <v>35</v>
      </c>
      <c r="C197" s="7">
        <v>20000</v>
      </c>
      <c r="D197" s="7">
        <f t="shared" si="3"/>
        <v>700000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x14ac:dyDescent="0.25">
      <c r="A199" s="17" t="s">
        <v>189</v>
      </c>
      <c r="B199" s="7">
        <v>300</v>
      </c>
      <c r="C199" s="7">
        <v>24000</v>
      </c>
      <c r="D199" s="7">
        <f t="shared" si="3"/>
        <v>7200000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x14ac:dyDescent="0.25">
      <c r="A204" s="12" t="s">
        <v>414</v>
      </c>
      <c r="B204" s="7">
        <f>480+75+480</f>
        <v>1035</v>
      </c>
      <c r="C204" s="7">
        <v>35000</v>
      </c>
      <c r="D204" s="7">
        <f t="shared" si="3"/>
        <v>36225000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v>320</v>
      </c>
      <c r="C212" s="7">
        <v>21000</v>
      </c>
      <c r="D212" s="7">
        <f t="shared" si="3"/>
        <v>6720000</v>
      </c>
    </row>
    <row r="213" spans="1:4" ht="18.75" x14ac:dyDescent="0.25">
      <c r="A213" s="12" t="s">
        <v>202</v>
      </c>
      <c r="B213" s="7">
        <v>680</v>
      </c>
      <c r="C213" s="7">
        <v>19000</v>
      </c>
      <c r="D213" s="7">
        <f t="shared" si="3"/>
        <v>12920000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-100+200+240+60+210+160+40</f>
        <v>810</v>
      </c>
      <c r="C215" s="7">
        <v>20000</v>
      </c>
      <c r="D215" s="7">
        <f t="shared" si="3"/>
        <v>16200000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hidden="1" x14ac:dyDescent="0.25">
      <c r="A221" s="9" t="s">
        <v>210</v>
      </c>
      <c r="B221" s="7"/>
      <c r="C221" s="7"/>
      <c r="D221" s="7">
        <f t="shared" si="3"/>
        <v>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hidden="1" x14ac:dyDescent="0.25">
      <c r="A226" s="9" t="s">
        <v>215</v>
      </c>
      <c r="B226" s="7"/>
      <c r="C226" s="7"/>
      <c r="D226" s="7">
        <f t="shared" si="3"/>
        <v>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x14ac:dyDescent="0.25">
      <c r="A228" s="9" t="s">
        <v>217</v>
      </c>
      <c r="B228" s="7">
        <v>30</v>
      </c>
      <c r="C228" s="7">
        <v>7000</v>
      </c>
      <c r="D228" s="7">
        <f t="shared" si="3"/>
        <v>210000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x14ac:dyDescent="0.25">
      <c r="A231" s="17" t="s">
        <v>220</v>
      </c>
      <c r="B231" s="7">
        <v>1</v>
      </c>
      <c r="C231" s="7">
        <v>40000</v>
      </c>
      <c r="D231" s="7">
        <f t="shared" si="3"/>
        <v>40000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hidden="1" x14ac:dyDescent="0.25">
      <c r="A258" s="9" t="s">
        <v>247</v>
      </c>
      <c r="B258" s="7"/>
      <c r="C258" s="7"/>
      <c r="D258" s="7">
        <f t="shared" si="3"/>
        <v>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-20+60+120+20+20+10</f>
        <v>210</v>
      </c>
      <c r="C261" s="7">
        <v>27000</v>
      </c>
      <c r="D261" s="7">
        <f t="shared" si="4"/>
        <v>5670000</v>
      </c>
    </row>
    <row r="262" spans="1:4" ht="18.75" x14ac:dyDescent="0.25">
      <c r="A262" s="9" t="s">
        <v>251</v>
      </c>
      <c r="B262" s="7">
        <v>20</v>
      </c>
      <c r="C262" s="7">
        <v>23000</v>
      </c>
      <c r="D262" s="7">
        <f t="shared" si="4"/>
        <v>460000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-20+40+20+15+30</f>
        <v>85</v>
      </c>
      <c r="C268" s="7">
        <v>25000</v>
      </c>
      <c r="D268" s="7">
        <f t="shared" si="4"/>
        <v>2125000</v>
      </c>
    </row>
    <row r="269" spans="1:4" ht="18.75" x14ac:dyDescent="0.25">
      <c r="A269" s="9" t="s">
        <v>259</v>
      </c>
      <c r="B269" s="7">
        <v>52</v>
      </c>
      <c r="C269" s="7">
        <v>20000</v>
      </c>
      <c r="D269" s="7">
        <f t="shared" si="4"/>
        <v>1040000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-20+20+20+15+5</f>
        <v>40</v>
      </c>
      <c r="C272" s="7">
        <v>24000</v>
      </c>
      <c r="D272" s="7">
        <f t="shared" si="4"/>
        <v>960000</v>
      </c>
    </row>
    <row r="273" spans="1:4" ht="18.75" x14ac:dyDescent="0.25">
      <c r="A273" s="9" t="s">
        <v>263</v>
      </c>
      <c r="B273" s="7">
        <v>5</v>
      </c>
      <c r="C273" s="7">
        <v>19000</v>
      </c>
      <c r="D273" s="7">
        <f t="shared" si="4"/>
        <v>95000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hidden="1" x14ac:dyDescent="0.25">
      <c r="A279" s="9" t="s">
        <v>269</v>
      </c>
      <c r="B279" s="7"/>
      <c r="C279" s="7"/>
      <c r="D279" s="7">
        <f t="shared" si="4"/>
        <v>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x14ac:dyDescent="0.25">
      <c r="A283" s="9" t="s">
        <v>273</v>
      </c>
      <c r="B283" s="7">
        <v>15</v>
      </c>
      <c r="C283" s="7">
        <v>30000</v>
      </c>
      <c r="D283" s="7">
        <f t="shared" si="4"/>
        <v>450000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hidden="1" x14ac:dyDescent="0.25">
      <c r="A297" s="9" t="s">
        <v>287</v>
      </c>
      <c r="B297" s="7"/>
      <c r="C297" s="7"/>
      <c r="D297" s="7">
        <f t="shared" si="4"/>
        <v>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v>110</v>
      </c>
      <c r="C300" s="7">
        <v>8000</v>
      </c>
      <c r="D300" s="7">
        <f t="shared" si="4"/>
        <v>880000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hidden="1" x14ac:dyDescent="0.25">
      <c r="A303" s="9" t="s">
        <v>293</v>
      </c>
      <c r="B303" s="7"/>
      <c r="C303" s="7"/>
      <c r="D303" s="7">
        <f t="shared" si="4"/>
        <v>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hidden="1" x14ac:dyDescent="0.25">
      <c r="A321" s="13" t="s">
        <v>309</v>
      </c>
      <c r="B321" s="7"/>
      <c r="C321" s="7"/>
      <c r="D321" s="7">
        <f t="shared" si="4"/>
        <v>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8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hidden="1" x14ac:dyDescent="0.25">
      <c r="D351" s="7">
        <f t="shared" si="5"/>
        <v>0</v>
      </c>
    </row>
    <row r="352" spans="1:4" ht="18.75" x14ac:dyDescent="0.25">
      <c r="D352" s="7">
        <f>SUM(D7:D300)</f>
        <v>159549066.66666666</v>
      </c>
    </row>
    <row r="353" spans="1:4" ht="18.75" x14ac:dyDescent="0.25">
      <c r="A353" s="1" t="s">
        <v>438</v>
      </c>
      <c r="B353" s="2"/>
      <c r="C353" s="2"/>
      <c r="D353" s="7"/>
    </row>
    <row r="354" spans="1:4" ht="18.7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v>7000</v>
      </c>
      <c r="C359" s="7">
        <v>4500</v>
      </c>
      <c r="D359" s="7">
        <f t="shared" si="5"/>
        <v>31500000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x14ac:dyDescent="0.25">
      <c r="A366" s="9" t="s">
        <v>12</v>
      </c>
      <c r="B366" s="7">
        <v>80</v>
      </c>
      <c r="C366" s="7">
        <v>10000</v>
      </c>
      <c r="D366" s="7">
        <f t="shared" si="5"/>
        <v>800000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v>1200</v>
      </c>
      <c r="C373" s="7">
        <v>12500</v>
      </c>
      <c r="D373" s="7">
        <f t="shared" si="5"/>
        <v>15000000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x14ac:dyDescent="0.25">
      <c r="A376" s="9" t="s">
        <v>22</v>
      </c>
      <c r="B376" s="7">
        <v>4.5</v>
      </c>
      <c r="C376" s="7">
        <v>15000</v>
      </c>
      <c r="D376" s="7">
        <f t="shared" si="5"/>
        <v>67500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hidden="1" x14ac:dyDescent="0.25">
      <c r="A378" s="9" t="s">
        <v>24</v>
      </c>
      <c r="B378" s="7"/>
      <c r="C378" s="7"/>
      <c r="D378" s="7">
        <f t="shared" si="5"/>
        <v>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si="5"/>
        <v>0</v>
      </c>
    </row>
    <row r="389" spans="1:4" ht="18.75" hidden="1" x14ac:dyDescent="0.25">
      <c r="A389" s="9" t="s">
        <v>42</v>
      </c>
      <c r="B389" s="7"/>
      <c r="C389" s="7"/>
      <c r="D389" s="7">
        <f t="shared" ref="D389:D452" si="6">B389*C389</f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51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20000</v>
      </c>
      <c r="D400" s="7">
        <f t="shared" si="6"/>
        <v>6000000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x14ac:dyDescent="0.25">
      <c r="A402" s="17" t="s">
        <v>55</v>
      </c>
      <c r="B402" s="7">
        <v>3</v>
      </c>
      <c r="C402" s="7">
        <v>10000</v>
      </c>
      <c r="D402" s="7">
        <f t="shared" si="6"/>
        <v>30000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25</v>
      </c>
      <c r="C425" s="7">
        <v>22000</v>
      </c>
      <c r="D425" s="7">
        <f t="shared" si="6"/>
        <v>550000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x14ac:dyDescent="0.25">
      <c r="A438" s="9" t="s">
        <v>90</v>
      </c>
      <c r="B438" s="7">
        <v>10</v>
      </c>
      <c r="C438" s="7">
        <v>10000</v>
      </c>
      <c r="D438" s="7">
        <f t="shared" si="6"/>
        <v>100000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si="6"/>
        <v>0</v>
      </c>
    </row>
    <row r="453" spans="1:4" ht="18.75" hidden="1" x14ac:dyDescent="0.25">
      <c r="A453" s="9" t="s">
        <v>103</v>
      </c>
      <c r="B453" s="7"/>
      <c r="C453" s="7"/>
      <c r="D453" s="7">
        <f t="shared" ref="D453:D516" si="7">B453*C453</f>
        <v>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hidden="1" x14ac:dyDescent="0.25">
      <c r="A457" s="23" t="s">
        <v>107</v>
      </c>
      <c r="B457" s="7"/>
      <c r="C457" s="7"/>
      <c r="D457" s="7">
        <f t="shared" si="7"/>
        <v>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x14ac:dyDescent="0.25">
      <c r="A460" s="9" t="s">
        <v>110</v>
      </c>
      <c r="B460" s="7">
        <f>17+32</f>
        <v>49</v>
      </c>
      <c r="C460" s="7">
        <v>18000</v>
      </c>
      <c r="D460" s="7">
        <f t="shared" si="7"/>
        <v>882000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346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x14ac:dyDescent="0.25">
      <c r="A472" s="9" t="s">
        <v>122</v>
      </c>
      <c r="B472" s="7">
        <v>20</v>
      </c>
      <c r="C472" s="7">
        <v>14000</v>
      </c>
      <c r="D472" s="7">
        <f t="shared" si="7"/>
        <v>280000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18000</v>
      </c>
      <c r="D483" s="7">
        <f t="shared" si="7"/>
        <v>1080000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hidden="1" x14ac:dyDescent="0.25">
      <c r="A503" s="9" t="s">
        <v>154</v>
      </c>
      <c r="B503" s="7"/>
      <c r="C503" s="7"/>
      <c r="D503" s="7">
        <f t="shared" si="7"/>
        <v>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159</v>
      </c>
      <c r="B508" s="7"/>
      <c r="C508" s="7"/>
      <c r="D508" s="7">
        <f t="shared" si="7"/>
        <v>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x14ac:dyDescent="0.25">
      <c r="A515" s="9" t="s">
        <v>349</v>
      </c>
      <c r="B515" s="7">
        <f>225+54+10</f>
        <v>289</v>
      </c>
      <c r="C515" s="7">
        <v>6000</v>
      </c>
      <c r="D515" s="7">
        <f t="shared" si="7"/>
        <v>1734000</v>
      </c>
    </row>
    <row r="516" spans="1:4" ht="18.75" hidden="1" x14ac:dyDescent="0.25">
      <c r="A516" s="12" t="s">
        <v>167</v>
      </c>
      <c r="B516" s="7"/>
      <c r="C516" s="7"/>
      <c r="D516" s="7">
        <f t="shared" si="7"/>
        <v>0</v>
      </c>
    </row>
    <row r="517" spans="1:4" ht="18.75" hidden="1" x14ac:dyDescent="0.25">
      <c r="A517" s="9" t="s">
        <v>168</v>
      </c>
      <c r="B517" s="7"/>
      <c r="C517" s="7"/>
      <c r="D517" s="7">
        <f t="shared" ref="D517:D580" si="8">B517*C517</f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hidden="1" x14ac:dyDescent="0.25">
      <c r="A531" s="12" t="s">
        <v>183</v>
      </c>
      <c r="B531" s="7"/>
      <c r="C531" s="7"/>
      <c r="D531" s="7">
        <f t="shared" si="8"/>
        <v>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100</v>
      </c>
      <c r="C553" s="7">
        <v>20000</v>
      </c>
      <c r="D553" s="7">
        <f t="shared" si="8"/>
        <v>2000000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x14ac:dyDescent="0.25">
      <c r="A564" s="9" t="s">
        <v>212</v>
      </c>
      <c r="B564" s="7">
        <v>6</v>
      </c>
      <c r="C564" s="7">
        <v>25000</v>
      </c>
      <c r="D564" s="7">
        <f t="shared" si="8"/>
        <v>150000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130</v>
      </c>
      <c r="C567" s="7">
        <v>15000</v>
      </c>
      <c r="D567" s="7">
        <f t="shared" si="8"/>
        <v>1950000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si="8"/>
        <v>0</v>
      </c>
    </row>
    <row r="581" spans="1:4" ht="18.75" hidden="1" x14ac:dyDescent="0.25">
      <c r="A581" s="21" t="s">
        <v>358</v>
      </c>
      <c r="B581" s="7"/>
      <c r="C581" s="7"/>
      <c r="D581" s="7">
        <f t="shared" ref="D581:D644" si="9">B581*C581</f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27000</v>
      </c>
      <c r="D596" s="7">
        <f t="shared" si="9"/>
        <v>540000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25000</v>
      </c>
      <c r="D604" s="7">
        <f t="shared" si="9"/>
        <v>500000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24000</v>
      </c>
      <c r="D608" s="7">
        <f t="shared" si="9"/>
        <v>480000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si="9"/>
        <v>0</v>
      </c>
    </row>
    <row r="645" spans="1:4" ht="18.75" hidden="1" x14ac:dyDescent="0.25">
      <c r="A645" s="12" t="s">
        <v>364</v>
      </c>
      <c r="B645" s="7"/>
      <c r="C645" s="7"/>
      <c r="D645" s="7">
        <f t="shared" ref="D645:D682" si="10">B645*C645</f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hidden="1" x14ac:dyDescent="0.25">
      <c r="A674" s="9" t="s">
        <v>329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9336.5</v>
      </c>
      <c r="C683" s="43"/>
      <c r="D683" s="43">
        <f t="shared" ref="D683" si="11">SUM(D356:D682)</f>
        <v>63643500</v>
      </c>
    </row>
    <row r="685" spans="1:4" x14ac:dyDescent="0.25">
      <c r="D685" s="53">
        <f>D683+D352</f>
        <v>223192566.66666666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17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D685"/>
  <sheetViews>
    <sheetView topLeftCell="A354" workbookViewId="0">
      <selection activeCell="C27" sqref="C27"/>
    </sheetView>
  </sheetViews>
  <sheetFormatPr defaultRowHeight="15" x14ac:dyDescent="0.25"/>
  <cols>
    <col min="1" max="1" width="27.85546875" customWidth="1"/>
    <col min="3" max="3" width="15.85546875" customWidth="1"/>
    <col min="4" max="4" width="21.5703125" customWidth="1"/>
  </cols>
  <sheetData>
    <row r="1" spans="1:4" x14ac:dyDescent="0.25">
      <c r="A1" s="1" t="s">
        <v>439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x14ac:dyDescent="0.25">
      <c r="A7" s="5" t="s">
        <v>5</v>
      </c>
      <c r="B7" s="7">
        <f>2450+1728</f>
        <v>4178</v>
      </c>
      <c r="C7" s="7">
        <v>6800</v>
      </c>
      <c r="D7" s="7">
        <f t="shared" si="0"/>
        <v>28410400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31.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17</v>
      </c>
      <c r="C17" s="7">
        <v>8000</v>
      </c>
      <c r="D17" s="7">
        <f t="shared" si="0"/>
        <v>136000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f>10+17+15+5+10</f>
        <v>57</v>
      </c>
      <c r="C21" s="45">
        <v>10500</v>
      </c>
      <c r="D21" s="7">
        <f t="shared" si="0"/>
        <v>598500</v>
      </c>
    </row>
    <row r="22" spans="1:4" ht="18.75" x14ac:dyDescent="0.25">
      <c r="A22" s="9" t="s">
        <v>19</v>
      </c>
      <c r="B22" s="7">
        <v>1000</v>
      </c>
      <c r="C22" s="7">
        <v>11500</v>
      </c>
      <c r="D22" s="7">
        <f t="shared" si="0"/>
        <v>11500000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-30+80</f>
        <v>50</v>
      </c>
      <c r="C27" s="7">
        <v>13500</v>
      </c>
      <c r="D27" s="7">
        <f t="shared" si="0"/>
        <v>675000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x14ac:dyDescent="0.25">
      <c r="A31" s="11" t="s">
        <v>28</v>
      </c>
      <c r="B31" s="16">
        <v>18</v>
      </c>
      <c r="C31" s="16">
        <v>40000</v>
      </c>
      <c r="D31" s="7">
        <f t="shared" si="0"/>
        <v>720000</v>
      </c>
    </row>
    <row r="32" spans="1:4" ht="18.75" x14ac:dyDescent="0.25">
      <c r="A32" s="12" t="s">
        <v>29</v>
      </c>
      <c r="B32" s="7">
        <v>77</v>
      </c>
      <c r="C32" s="7">
        <v>12000</v>
      </c>
      <c r="D32" s="7">
        <f t="shared" si="0"/>
        <v>924000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x14ac:dyDescent="0.25">
      <c r="A41" s="9" t="s">
        <v>38</v>
      </c>
      <c r="B41" s="7">
        <v>10</v>
      </c>
      <c r="C41" s="7">
        <v>26000</v>
      </c>
      <c r="D41" s="7">
        <f t="shared" si="0"/>
        <v>260000</v>
      </c>
    </row>
    <row r="42" spans="1:4" ht="18.75" hidden="1" x14ac:dyDescent="0.25">
      <c r="A42" s="9" t="s">
        <v>39</v>
      </c>
      <c r="B42" s="7"/>
      <c r="C42" s="7"/>
      <c r="D42" s="7">
        <f t="shared" si="0"/>
        <v>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-300+540+40</f>
        <v>280</v>
      </c>
      <c r="C56" s="7">
        <v>20000</v>
      </c>
      <c r="D56" s="7">
        <f t="shared" si="0"/>
        <v>5600000</v>
      </c>
    </row>
    <row r="57" spans="1:4" ht="18.75" x14ac:dyDescent="0.25">
      <c r="A57" s="9" t="s">
        <v>54</v>
      </c>
      <c r="B57" s="7">
        <v>6</v>
      </c>
      <c r="C57" s="7">
        <v>16500</v>
      </c>
      <c r="D57" s="7">
        <f t="shared" si="0"/>
        <v>99000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v>56</v>
      </c>
      <c r="C59" s="7">
        <v>10000</v>
      </c>
      <c r="D59" s="7">
        <f t="shared" si="0"/>
        <v>560000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v>70</v>
      </c>
      <c r="C66" s="7">
        <v>17000</v>
      </c>
      <c r="D66" s="7">
        <f t="shared" si="0"/>
        <v>1190000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hidden="1" x14ac:dyDescent="0.25">
      <c r="A72" s="12" t="s">
        <v>69</v>
      </c>
      <c r="B72" s="7"/>
      <c r="C72" s="7"/>
      <c r="D72" s="7">
        <f t="shared" si="1"/>
        <v>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x14ac:dyDescent="0.25">
      <c r="A74" s="12" t="s">
        <v>71</v>
      </c>
      <c r="B74" s="7">
        <v>2</v>
      </c>
      <c r="C74" s="7">
        <v>5000</v>
      </c>
      <c r="D74" s="7">
        <f t="shared" si="1"/>
        <v>10000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hidden="1" x14ac:dyDescent="0.25">
      <c r="A80" s="9" t="s">
        <v>77</v>
      </c>
      <c r="B80" s="7"/>
      <c r="C80" s="7"/>
      <c r="D80" s="7">
        <f t="shared" si="1"/>
        <v>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hidden="1" x14ac:dyDescent="0.25">
      <c r="A82" s="9" t="s">
        <v>79</v>
      </c>
      <c r="B82" s="7"/>
      <c r="C82" s="7"/>
      <c r="D82" s="7">
        <f t="shared" si="1"/>
        <v>0</v>
      </c>
    </row>
    <row r="83" spans="1:4" ht="18.75" hidden="1" x14ac:dyDescent="0.25">
      <c r="A83" s="9" t="s">
        <v>80</v>
      </c>
      <c r="B83" s="7"/>
      <c r="C83" s="7"/>
      <c r="D83" s="7">
        <f t="shared" si="1"/>
        <v>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v>50</v>
      </c>
      <c r="C90" s="7">
        <v>28000</v>
      </c>
      <c r="D90" s="7">
        <f t="shared" si="1"/>
        <v>1400000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hidden="1" x14ac:dyDescent="0.25">
      <c r="A94" s="9" t="s">
        <v>90</v>
      </c>
      <c r="B94" s="7"/>
      <c r="C94" s="7"/>
      <c r="D94" s="7">
        <f t="shared" si="1"/>
        <v>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x14ac:dyDescent="0.25">
      <c r="A107" s="9" t="s">
        <v>103</v>
      </c>
      <c r="B107" s="7">
        <f>20+110+100</f>
        <v>230</v>
      </c>
      <c r="C107" s="7">
        <v>12000</v>
      </c>
      <c r="D107" s="7">
        <f t="shared" si="1"/>
        <v>2760000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hidden="1" x14ac:dyDescent="0.25">
      <c r="A116" s="9" t="s">
        <v>110</v>
      </c>
      <c r="B116" s="7"/>
      <c r="C116" s="7"/>
      <c r="D116" s="7">
        <f t="shared" si="1"/>
        <v>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hidden="1" x14ac:dyDescent="0.25">
      <c r="A135" s="9" t="s">
        <v>122</v>
      </c>
      <c r="B135" s="7"/>
      <c r="C135" s="7"/>
      <c r="D135" s="7">
        <f t="shared" si="2"/>
        <v>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31.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132</v>
      </c>
      <c r="B143" s="7"/>
      <c r="C143" s="7"/>
      <c r="D143" s="7">
        <f t="shared" si="2"/>
        <v>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-60+70+40</f>
        <v>50</v>
      </c>
      <c r="C146" s="7">
        <v>17000</v>
      </c>
      <c r="D146" s="7">
        <f t="shared" si="2"/>
        <v>850000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x14ac:dyDescent="0.25">
      <c r="A178" s="9" t="s">
        <v>168</v>
      </c>
      <c r="B178" s="7">
        <f>145-60</f>
        <v>85</v>
      </c>
      <c r="C178" s="46">
        <v>6000</v>
      </c>
      <c r="D178" s="7">
        <f t="shared" si="2"/>
        <v>510000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x14ac:dyDescent="0.25">
      <c r="A180" s="9" t="s">
        <v>170</v>
      </c>
      <c r="B180" s="7">
        <v>60</v>
      </c>
      <c r="C180" s="7">
        <v>11000</v>
      </c>
      <c r="D180" s="7">
        <f t="shared" si="2"/>
        <v>660000</v>
      </c>
    </row>
    <row r="181" spans="1:4" ht="18.75" hidden="1" x14ac:dyDescent="0.25">
      <c r="A181" s="9" t="s">
        <v>171</v>
      </c>
      <c r="B181" s="7"/>
      <c r="C181" s="7"/>
      <c r="D181" s="7">
        <f t="shared" si="2"/>
        <v>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x14ac:dyDescent="0.25">
      <c r="A184" s="31" t="s">
        <v>174</v>
      </c>
      <c r="B184" s="33">
        <v>12</v>
      </c>
      <c r="C184" s="33">
        <v>14000</v>
      </c>
      <c r="D184" s="7">
        <f t="shared" si="2"/>
        <v>168000</v>
      </c>
    </row>
    <row r="185" spans="1:4" ht="18.75" x14ac:dyDescent="0.25">
      <c r="A185" s="11" t="s">
        <v>175</v>
      </c>
      <c r="B185" s="7">
        <v>2</v>
      </c>
      <c r="C185" s="7">
        <v>10000</v>
      </c>
      <c r="D185" s="7">
        <f t="shared" si="2"/>
        <v>20000</v>
      </c>
    </row>
    <row r="186" spans="1:4" ht="18.75" x14ac:dyDescent="0.25">
      <c r="A186" s="9" t="s">
        <v>176</v>
      </c>
      <c r="B186" s="7">
        <v>2</v>
      </c>
      <c r="C186" s="7">
        <v>43000</v>
      </c>
      <c r="D186" s="7">
        <f t="shared" si="2"/>
        <v>86000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x14ac:dyDescent="0.25">
      <c r="A193" s="12" t="s">
        <v>183</v>
      </c>
      <c r="B193" s="7">
        <v>170</v>
      </c>
      <c r="C193" s="7">
        <v>12000</v>
      </c>
      <c r="D193" s="7">
        <f t="shared" si="2"/>
        <v>2040000</v>
      </c>
    </row>
    <row r="194" spans="1:4" ht="18.75" x14ac:dyDescent="0.25">
      <c r="A194" s="9" t="s">
        <v>184</v>
      </c>
      <c r="B194" s="7">
        <v>60</v>
      </c>
      <c r="C194" s="7">
        <v>2700</v>
      </c>
      <c r="D194" s="7">
        <f t="shared" si="2"/>
        <v>162000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x14ac:dyDescent="0.25">
      <c r="A197" s="12" t="s">
        <v>187</v>
      </c>
      <c r="B197" s="7">
        <v>25</v>
      </c>
      <c r="C197" s="7">
        <v>20000</v>
      </c>
      <c r="D197" s="7">
        <f t="shared" si="3"/>
        <v>500000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hidden="1" x14ac:dyDescent="0.25">
      <c r="A199" s="17" t="s">
        <v>189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x14ac:dyDescent="0.25">
      <c r="A204" s="12" t="s">
        <v>414</v>
      </c>
      <c r="B204" s="7">
        <v>1175</v>
      </c>
      <c r="C204" s="7">
        <v>35000</v>
      </c>
      <c r="D204" s="7">
        <f t="shared" si="3"/>
        <v>41125000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v>100</v>
      </c>
      <c r="C212" s="7">
        <v>20000</v>
      </c>
      <c r="D212" s="7">
        <f t="shared" si="3"/>
        <v>2000000</v>
      </c>
    </row>
    <row r="213" spans="1:4" ht="18.75" x14ac:dyDescent="0.25">
      <c r="A213" s="12" t="s">
        <v>202</v>
      </c>
      <c r="B213" s="7">
        <f>120+240+350+400+320+180</f>
        <v>1610</v>
      </c>
      <c r="C213" s="7">
        <v>18500</v>
      </c>
      <c r="D213" s="7">
        <f t="shared" si="3"/>
        <v>29785000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-100+440+26</f>
        <v>366</v>
      </c>
      <c r="C215" s="7">
        <v>20000</v>
      </c>
      <c r="D215" s="7">
        <f t="shared" si="3"/>
        <v>7320000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hidden="1" x14ac:dyDescent="0.25">
      <c r="A221" s="9" t="s">
        <v>210</v>
      </c>
      <c r="B221" s="7"/>
      <c r="C221" s="7"/>
      <c r="D221" s="7">
        <f t="shared" si="3"/>
        <v>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hidden="1" x14ac:dyDescent="0.25">
      <c r="A226" s="9" t="s">
        <v>215</v>
      </c>
      <c r="B226" s="7"/>
      <c r="C226" s="7"/>
      <c r="D226" s="7">
        <f t="shared" si="3"/>
        <v>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hidden="1" x14ac:dyDescent="0.25">
      <c r="A228" s="9" t="s">
        <v>217</v>
      </c>
      <c r="B228" s="7"/>
      <c r="C228" s="7"/>
      <c r="D228" s="7">
        <f t="shared" si="3"/>
        <v>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x14ac:dyDescent="0.25">
      <c r="A231" s="17" t="s">
        <v>220</v>
      </c>
      <c r="B231" s="7">
        <v>1</v>
      </c>
      <c r="C231" s="7">
        <v>45000</v>
      </c>
      <c r="D231" s="7">
        <f t="shared" si="3"/>
        <v>45000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hidden="1" x14ac:dyDescent="0.25">
      <c r="A258" s="9" t="s">
        <v>247</v>
      </c>
      <c r="B258" s="7"/>
      <c r="C258" s="7"/>
      <c r="D258" s="7">
        <f t="shared" si="3"/>
        <v>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-20+30+7+3+5+60+5</f>
        <v>90</v>
      </c>
      <c r="C261" s="7">
        <v>27000</v>
      </c>
      <c r="D261" s="7">
        <f t="shared" si="4"/>
        <v>2430000</v>
      </c>
    </row>
    <row r="262" spans="1:4" ht="18.75" x14ac:dyDescent="0.25">
      <c r="A262" s="9" t="s">
        <v>251</v>
      </c>
      <c r="B262" s="7">
        <v>15</v>
      </c>
      <c r="C262" s="7">
        <v>23000</v>
      </c>
      <c r="D262" s="7">
        <f t="shared" si="4"/>
        <v>345000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-20+25+40+10+50</f>
        <v>105</v>
      </c>
      <c r="C268" s="7">
        <v>25000</v>
      </c>
      <c r="D268" s="7">
        <f t="shared" si="4"/>
        <v>2625000</v>
      </c>
    </row>
    <row r="269" spans="1:4" ht="18.75" x14ac:dyDescent="0.25">
      <c r="A269" s="9" t="s">
        <v>259</v>
      </c>
      <c r="B269" s="7">
        <f>5+20+20</f>
        <v>45</v>
      </c>
      <c r="C269" s="7">
        <v>20000</v>
      </c>
      <c r="D269" s="7">
        <f t="shared" si="4"/>
        <v>900000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-20+5+18+75</f>
        <v>78</v>
      </c>
      <c r="C272" s="7">
        <v>24000</v>
      </c>
      <c r="D272" s="7">
        <f t="shared" si="4"/>
        <v>1872000</v>
      </c>
    </row>
    <row r="273" spans="1:4" ht="18.75" hidden="1" x14ac:dyDescent="0.25">
      <c r="A273" s="9" t="s">
        <v>263</v>
      </c>
      <c r="B273" s="7"/>
      <c r="C273" s="7"/>
      <c r="D273" s="7">
        <f t="shared" si="4"/>
        <v>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x14ac:dyDescent="0.25">
      <c r="A279" s="9" t="s">
        <v>269</v>
      </c>
      <c r="B279" s="7">
        <v>37</v>
      </c>
      <c r="C279" s="7">
        <v>14000</v>
      </c>
      <c r="D279" s="7">
        <f t="shared" si="4"/>
        <v>518000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hidden="1" x14ac:dyDescent="0.25">
      <c r="A283" s="9" t="s">
        <v>273</v>
      </c>
      <c r="B283" s="7"/>
      <c r="C283" s="7"/>
      <c r="D283" s="7">
        <f t="shared" si="4"/>
        <v>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80</v>
      </c>
      <c r="C297" s="7">
        <v>13000</v>
      </c>
      <c r="D297" s="7">
        <f t="shared" si="4"/>
        <v>1040000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v>40</v>
      </c>
      <c r="C300" s="7">
        <v>8000</v>
      </c>
      <c r="D300" s="7">
        <f t="shared" si="4"/>
        <v>320000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v>40</v>
      </c>
      <c r="C303" s="7">
        <v>14000</v>
      </c>
      <c r="D303" s="7">
        <f t="shared" si="4"/>
        <v>560000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hidden="1" x14ac:dyDescent="0.25">
      <c r="A321" s="13" t="s">
        <v>309</v>
      </c>
      <c r="B321" s="7"/>
      <c r="C321" s="7"/>
      <c r="D321" s="7">
        <f t="shared" si="4"/>
        <v>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10349</v>
      </c>
      <c r="C351" s="43"/>
      <c r="D351" s="7">
        <f>SUM(D7:D303)</f>
        <v>150723900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440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f>4113+1000</f>
        <v>5113</v>
      </c>
      <c r="C359" s="7">
        <v>4500</v>
      </c>
      <c r="D359" s="7">
        <f t="shared" si="5"/>
        <v>23008500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31.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x14ac:dyDescent="0.25">
      <c r="A366" s="9" t="s">
        <v>12</v>
      </c>
      <c r="B366" s="7">
        <v>60</v>
      </c>
      <c r="C366" s="7">
        <v>10000</v>
      </c>
      <c r="D366" s="7">
        <f t="shared" si="5"/>
        <v>600000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f>1050+480+350+315-1000</f>
        <v>1195</v>
      </c>
      <c r="C373" s="7">
        <v>11500</v>
      </c>
      <c r="D373" s="7">
        <f t="shared" si="5"/>
        <v>13742500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x14ac:dyDescent="0.25">
      <c r="A378" s="9" t="s">
        <v>24</v>
      </c>
      <c r="B378" s="7">
        <v>30</v>
      </c>
      <c r="C378" s="7">
        <v>13500</v>
      </c>
      <c r="D378" s="7">
        <f t="shared" si="5"/>
        <v>405000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51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20000</v>
      </c>
      <c r="D400" s="7">
        <f t="shared" si="6"/>
        <v>6000000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15</v>
      </c>
      <c r="C425" s="7">
        <v>22000</v>
      </c>
      <c r="D425" s="7">
        <f t="shared" si="6"/>
        <v>330000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90</v>
      </c>
      <c r="B438" s="7"/>
      <c r="C438" s="7"/>
      <c r="D438" s="7">
        <f t="shared" si="6"/>
        <v>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103</v>
      </c>
      <c r="B453" s="7"/>
      <c r="C453" s="7"/>
      <c r="D453" s="7">
        <f t="shared" si="7"/>
        <v>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hidden="1" x14ac:dyDescent="0.25">
      <c r="A457" s="23" t="s">
        <v>107</v>
      </c>
      <c r="B457" s="7"/>
      <c r="C457" s="7"/>
      <c r="D457" s="7">
        <f t="shared" si="7"/>
        <v>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hidden="1" x14ac:dyDescent="0.25">
      <c r="A460" s="9" t="s">
        <v>110</v>
      </c>
      <c r="B460" s="7"/>
      <c r="C460" s="7"/>
      <c r="D460" s="7">
        <f t="shared" si="7"/>
        <v>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346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hidden="1" x14ac:dyDescent="0.25">
      <c r="A472" s="9" t="s">
        <v>122</v>
      </c>
      <c r="B472" s="7"/>
      <c r="C472" s="7"/>
      <c r="D472" s="7">
        <f t="shared" si="7"/>
        <v>0</v>
      </c>
    </row>
    <row r="473" spans="1:4" ht="31.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17000</v>
      </c>
      <c r="D483" s="7">
        <f t="shared" si="7"/>
        <v>1020000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x14ac:dyDescent="0.25">
      <c r="A503" s="9" t="s">
        <v>154</v>
      </c>
      <c r="B503" s="7">
        <v>17</v>
      </c>
      <c r="C503" s="7">
        <v>11000</v>
      </c>
      <c r="D503" s="7">
        <f t="shared" si="7"/>
        <v>187000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159</v>
      </c>
      <c r="B508" s="7"/>
      <c r="C508" s="7"/>
      <c r="D508" s="7">
        <f t="shared" si="7"/>
        <v>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x14ac:dyDescent="0.25">
      <c r="A515" s="9" t="s">
        <v>349</v>
      </c>
      <c r="B515" s="7">
        <f>8+14+20+90</f>
        <v>132</v>
      </c>
      <c r="C515" s="7">
        <v>6000</v>
      </c>
      <c r="D515" s="7">
        <f t="shared" si="7"/>
        <v>792000</v>
      </c>
    </row>
    <row r="516" spans="1:4" ht="18.75" hidden="1" x14ac:dyDescent="0.25">
      <c r="A516" s="12" t="s">
        <v>167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x14ac:dyDescent="0.25">
      <c r="A531" s="12" t="s">
        <v>183</v>
      </c>
      <c r="B531" s="7">
        <f>60+125</f>
        <v>185</v>
      </c>
      <c r="C531" s="7">
        <v>12000</v>
      </c>
      <c r="D531" s="7">
        <f t="shared" si="8"/>
        <v>2220000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100</v>
      </c>
      <c r="C553" s="7">
        <v>20000</v>
      </c>
      <c r="D553" s="7">
        <f t="shared" si="8"/>
        <v>2000000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212</v>
      </c>
      <c r="B564" s="7"/>
      <c r="C564" s="7"/>
      <c r="D564" s="7">
        <f t="shared" si="8"/>
        <v>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190</v>
      </c>
      <c r="C567" s="7">
        <v>15000</v>
      </c>
      <c r="D567" s="7">
        <f t="shared" si="8"/>
        <v>2850000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27000</v>
      </c>
      <c r="D596" s="7">
        <f t="shared" si="9"/>
        <v>540000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25000</v>
      </c>
      <c r="D604" s="7">
        <f t="shared" si="9"/>
        <v>500000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24000</v>
      </c>
      <c r="D608" s="7">
        <f t="shared" si="9"/>
        <v>480000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hidden="1" x14ac:dyDescent="0.25">
      <c r="A674" s="9" t="s">
        <v>329</v>
      </c>
      <c r="B674" s="7"/>
      <c r="C674" s="7"/>
      <c r="D674" s="7">
        <f t="shared" si="10"/>
        <v>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7457</v>
      </c>
      <c r="C683" s="43"/>
      <c r="D683" s="43">
        <f t="shared" ref="D683" si="11">SUM(D356:D682)</f>
        <v>54675000</v>
      </c>
    </row>
    <row r="685" spans="1:4" x14ac:dyDescent="0.25">
      <c r="D685" s="53">
        <f>D683+D351</f>
        <v>205398900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18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D398"/>
  <sheetViews>
    <sheetView topLeftCell="A279" workbookViewId="0">
      <selection activeCell="D398" sqref="D398"/>
    </sheetView>
  </sheetViews>
  <sheetFormatPr defaultRowHeight="15" x14ac:dyDescent="0.25"/>
  <cols>
    <col min="1" max="1" width="29.5703125" customWidth="1"/>
    <col min="3" max="3" width="13.140625" customWidth="1"/>
    <col min="4" max="4" width="22.140625" customWidth="1"/>
  </cols>
  <sheetData>
    <row r="1" spans="1:4" x14ac:dyDescent="0.25">
      <c r="A1" s="1" t="s">
        <v>441</v>
      </c>
      <c r="B1" s="2"/>
      <c r="C1" s="2"/>
      <c r="D1" s="2"/>
    </row>
    <row r="2" spans="1:4" ht="39.6" customHeight="1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x14ac:dyDescent="0.25">
      <c r="A7" s="5" t="s">
        <v>5</v>
      </c>
      <c r="B7" s="7">
        <v>2966</v>
      </c>
      <c r="C7" s="62">
        <v>5500</v>
      </c>
      <c r="D7" s="7">
        <f t="shared" si="0"/>
        <v>16313000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31.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26</v>
      </c>
      <c r="C17" s="7">
        <v>8000</v>
      </c>
      <c r="D17" s="7">
        <f t="shared" si="0"/>
        <v>208000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f>6+10+6+22+5</f>
        <v>49</v>
      </c>
      <c r="C21" s="45">
        <v>10500</v>
      </c>
      <c r="D21" s="7">
        <f t="shared" si="0"/>
        <v>514500</v>
      </c>
    </row>
    <row r="22" spans="1:4" ht="18.75" x14ac:dyDescent="0.25">
      <c r="A22" s="9" t="s">
        <v>19</v>
      </c>
      <c r="B22" s="7">
        <v>350</v>
      </c>
      <c r="C22" s="7">
        <v>8000</v>
      </c>
      <c r="D22" s="7">
        <f t="shared" si="0"/>
        <v>2800000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-30+108</f>
        <v>78</v>
      </c>
      <c r="C27" s="7">
        <v>16000</v>
      </c>
      <c r="D27" s="7">
        <f t="shared" si="0"/>
        <v>1248000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x14ac:dyDescent="0.25">
      <c r="A32" s="12" t="s">
        <v>29</v>
      </c>
      <c r="B32" s="7">
        <v>92</v>
      </c>
      <c r="C32" s="7">
        <v>12000</v>
      </c>
      <c r="D32" s="7">
        <f t="shared" si="0"/>
        <v>1104000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x14ac:dyDescent="0.25">
      <c r="A41" s="9" t="s">
        <v>38</v>
      </c>
      <c r="B41" s="7">
        <v>3</v>
      </c>
      <c r="C41" s="7">
        <v>26000</v>
      </c>
      <c r="D41" s="7">
        <f t="shared" si="0"/>
        <v>78000</v>
      </c>
    </row>
    <row r="42" spans="1:4" ht="18.75" x14ac:dyDescent="0.25">
      <c r="A42" s="9" t="s">
        <v>39</v>
      </c>
      <c r="B42" s="7">
        <v>25</v>
      </c>
      <c r="C42" s="7">
        <v>8000</v>
      </c>
      <c r="D42" s="7">
        <f t="shared" si="0"/>
        <v>200000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>
        <f>-300+590</f>
        <v>290</v>
      </c>
      <c r="C56" s="7">
        <v>20000</v>
      </c>
      <c r="D56" s="7">
        <f t="shared" si="0"/>
        <v>5800000</v>
      </c>
    </row>
    <row r="57" spans="1:4" ht="18.75" hidden="1" x14ac:dyDescent="0.25">
      <c r="A57" s="9" t="s">
        <v>54</v>
      </c>
      <c r="B57" s="7"/>
      <c r="C57" s="7"/>
      <c r="D57" s="7">
        <f t="shared" si="0"/>
        <v>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v>42</v>
      </c>
      <c r="C59" s="7">
        <v>17500</v>
      </c>
      <c r="D59" s="7">
        <f t="shared" si="0"/>
        <v>735000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v>325</v>
      </c>
      <c r="C66" s="7">
        <v>19000</v>
      </c>
      <c r="D66" s="7">
        <f t="shared" si="0"/>
        <v>6175000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x14ac:dyDescent="0.25">
      <c r="A72" s="12" t="s">
        <v>69</v>
      </c>
      <c r="B72" s="7">
        <v>58</v>
      </c>
      <c r="C72" s="7">
        <v>5000</v>
      </c>
      <c r="D72" s="7">
        <f t="shared" si="1"/>
        <v>290000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hidden="1" x14ac:dyDescent="0.25">
      <c r="A74" s="12" t="s">
        <v>71</v>
      </c>
      <c r="B74" s="7"/>
      <c r="C74" s="7"/>
      <c r="D74" s="7">
        <f t="shared" si="1"/>
        <v>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f>-100+150</f>
        <v>50</v>
      </c>
      <c r="C80" s="7">
        <v>22000</v>
      </c>
      <c r="D80" s="7">
        <f t="shared" si="1"/>
        <v>1100000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hidden="1" x14ac:dyDescent="0.25">
      <c r="A82" s="9" t="s">
        <v>79</v>
      </c>
      <c r="B82" s="7"/>
      <c r="C82" s="7"/>
      <c r="D82" s="7">
        <f t="shared" si="1"/>
        <v>0</v>
      </c>
    </row>
    <row r="83" spans="1:4" ht="18.75" hidden="1" x14ac:dyDescent="0.25">
      <c r="A83" s="9" t="s">
        <v>80</v>
      </c>
      <c r="B83" s="7"/>
      <c r="C83" s="7"/>
      <c r="D83" s="7">
        <f t="shared" si="1"/>
        <v>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x14ac:dyDescent="0.25">
      <c r="A90" s="9" t="s">
        <v>86</v>
      </c>
      <c r="B90" s="7">
        <v>110</v>
      </c>
      <c r="C90" s="7">
        <v>25000</v>
      </c>
      <c r="D90" s="7">
        <f t="shared" si="1"/>
        <v>2750000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x14ac:dyDescent="0.25">
      <c r="A94" s="9" t="s">
        <v>90</v>
      </c>
      <c r="B94" s="7">
        <v>10</v>
      </c>
      <c r="C94" s="7">
        <v>10000</v>
      </c>
      <c r="D94" s="7">
        <f t="shared" si="1"/>
        <v>100000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hidden="1" x14ac:dyDescent="0.25">
      <c r="A107" s="9" t="s">
        <v>103</v>
      </c>
      <c r="B107" s="7"/>
      <c r="C107" s="7"/>
      <c r="D107" s="7">
        <f t="shared" si="1"/>
        <v>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x14ac:dyDescent="0.25">
      <c r="A116" s="9" t="s">
        <v>110</v>
      </c>
      <c r="B116" s="7">
        <v>19</v>
      </c>
      <c r="C116" s="7">
        <v>17000</v>
      </c>
      <c r="D116" s="7">
        <f t="shared" si="1"/>
        <v>323000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x14ac:dyDescent="0.25">
      <c r="A135" s="9" t="s">
        <v>122</v>
      </c>
      <c r="B135" s="7">
        <f>-20+100</f>
        <v>80</v>
      </c>
      <c r="C135" s="7">
        <v>14000</v>
      </c>
      <c r="D135" s="7">
        <f t="shared" si="2"/>
        <v>1120000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18.7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x14ac:dyDescent="0.25">
      <c r="A143" s="9" t="s">
        <v>132</v>
      </c>
      <c r="B143" s="7">
        <v>10</v>
      </c>
      <c r="C143" s="7">
        <v>6500</v>
      </c>
      <c r="D143" s="7">
        <f t="shared" si="2"/>
        <v>65000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-60+95</f>
        <v>35</v>
      </c>
      <c r="C146" s="7">
        <v>17000</v>
      </c>
      <c r="D146" s="7">
        <f t="shared" si="2"/>
        <v>595000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x14ac:dyDescent="0.25">
      <c r="A166" s="9" t="s">
        <v>155</v>
      </c>
      <c r="B166" s="7">
        <v>9</v>
      </c>
      <c r="C166" s="7">
        <v>11000</v>
      </c>
      <c r="D166" s="7">
        <f t="shared" si="2"/>
        <v>99000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x14ac:dyDescent="0.25">
      <c r="A178" s="9" t="s">
        <v>168</v>
      </c>
      <c r="B178" s="7">
        <f>434-32*0.5</f>
        <v>418</v>
      </c>
      <c r="C178" s="46">
        <v>6000</v>
      </c>
      <c r="D178" s="7">
        <f t="shared" si="2"/>
        <v>2508000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x14ac:dyDescent="0.25">
      <c r="A180" s="9" t="s">
        <v>170</v>
      </c>
      <c r="B180" s="7">
        <v>32</v>
      </c>
      <c r="C180" s="7">
        <v>11000</v>
      </c>
      <c r="D180" s="7">
        <f t="shared" si="2"/>
        <v>352000</v>
      </c>
    </row>
    <row r="181" spans="1:4" ht="18.75" hidden="1" x14ac:dyDescent="0.25">
      <c r="A181" s="9" t="s">
        <v>171</v>
      </c>
      <c r="B181" s="7"/>
      <c r="C181" s="7"/>
      <c r="D181" s="7">
        <f t="shared" si="2"/>
        <v>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x14ac:dyDescent="0.25">
      <c r="A184" s="31" t="s">
        <v>174</v>
      </c>
      <c r="B184" s="33">
        <v>10</v>
      </c>
      <c r="C184" s="33">
        <v>14000</v>
      </c>
      <c r="D184" s="7">
        <f t="shared" si="2"/>
        <v>140000</v>
      </c>
    </row>
    <row r="185" spans="1:4" ht="18.75" hidden="1" x14ac:dyDescent="0.25">
      <c r="A185" s="11" t="s">
        <v>175</v>
      </c>
      <c r="B185" s="7"/>
      <c r="C185" s="7"/>
      <c r="D185" s="7">
        <f t="shared" si="2"/>
        <v>0</v>
      </c>
    </row>
    <row r="186" spans="1:4" ht="18.75" hidden="1" x14ac:dyDescent="0.25">
      <c r="A186" s="9" t="s">
        <v>176</v>
      </c>
      <c r="B186" s="7"/>
      <c r="C186" s="7"/>
      <c r="D186" s="7">
        <f t="shared" si="2"/>
        <v>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hidden="1" x14ac:dyDescent="0.25">
      <c r="A193" s="12" t="s">
        <v>183</v>
      </c>
      <c r="B193" s="7"/>
      <c r="C193" s="7"/>
      <c r="D193" s="7">
        <f t="shared" si="2"/>
        <v>0</v>
      </c>
    </row>
    <row r="194" spans="1:4" ht="18.75" x14ac:dyDescent="0.25">
      <c r="A194" s="9" t="s">
        <v>184</v>
      </c>
      <c r="B194" s="7">
        <f>10/0.3</f>
        <v>33.333333333333336</v>
      </c>
      <c r="C194" s="7">
        <v>2700</v>
      </c>
      <c r="D194" s="7">
        <f t="shared" si="2"/>
        <v>90000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x14ac:dyDescent="0.25">
      <c r="A197" s="12" t="s">
        <v>187</v>
      </c>
      <c r="B197" s="7">
        <v>32</v>
      </c>
      <c r="C197" s="7">
        <v>20000</v>
      </c>
      <c r="D197" s="7">
        <f t="shared" si="3"/>
        <v>640000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x14ac:dyDescent="0.25">
      <c r="A199" s="17" t="s">
        <v>189</v>
      </c>
      <c r="B199" s="7">
        <f>61+80</f>
        <v>141</v>
      </c>
      <c r="C199" s="7">
        <v>24000</v>
      </c>
      <c r="D199" s="7">
        <f t="shared" si="3"/>
        <v>3384000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x14ac:dyDescent="0.25">
      <c r="A204" s="12" t="s">
        <v>414</v>
      </c>
      <c r="B204" s="7">
        <f>50+500+420</f>
        <v>970</v>
      </c>
      <c r="C204" s="7">
        <v>35000</v>
      </c>
      <c r="D204" s="7">
        <f t="shared" si="3"/>
        <v>33950000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v>85</v>
      </c>
      <c r="C212" s="7">
        <v>21000</v>
      </c>
      <c r="D212" s="7">
        <f t="shared" si="3"/>
        <v>1785000</v>
      </c>
    </row>
    <row r="213" spans="1:4" ht="18.75" x14ac:dyDescent="0.25">
      <c r="A213" s="12" t="s">
        <v>202</v>
      </c>
      <c r="B213" s="7">
        <f>275+100+750</f>
        <v>1125</v>
      </c>
      <c r="C213" s="7">
        <v>20000</v>
      </c>
      <c r="D213" s="7">
        <f t="shared" si="3"/>
        <v>22500000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hidden="1" x14ac:dyDescent="0.25">
      <c r="A215" s="9" t="s">
        <v>204</v>
      </c>
      <c r="B215" s="7"/>
      <c r="C215" s="7"/>
      <c r="D215" s="7">
        <f t="shared" si="3"/>
        <v>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hidden="1" x14ac:dyDescent="0.25">
      <c r="A221" s="9" t="s">
        <v>210</v>
      </c>
      <c r="B221" s="7"/>
      <c r="C221" s="7"/>
      <c r="D221" s="7">
        <f t="shared" si="3"/>
        <v>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-300+25+30+15+140+10+85</f>
        <v>5</v>
      </c>
      <c r="C226" s="7">
        <v>15000</v>
      </c>
      <c r="D226" s="7">
        <f t="shared" si="3"/>
        <v>75000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hidden="1" x14ac:dyDescent="0.25">
      <c r="A228" s="9" t="s">
        <v>217</v>
      </c>
      <c r="B228" s="7"/>
      <c r="C228" s="7"/>
      <c r="D228" s="7">
        <f t="shared" si="3"/>
        <v>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hidden="1" x14ac:dyDescent="0.25">
      <c r="A231" s="17" t="s">
        <v>220</v>
      </c>
      <c r="B231" s="7"/>
      <c r="C231" s="7"/>
      <c r="D231" s="7">
        <f t="shared" si="3"/>
        <v>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hidden="1" x14ac:dyDescent="0.25">
      <c r="A258" s="9" t="s">
        <v>247</v>
      </c>
      <c r="B258" s="7"/>
      <c r="C258" s="7"/>
      <c r="D258" s="7">
        <f t="shared" si="3"/>
        <v>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-20+60+5+20+28+10</f>
        <v>103</v>
      </c>
      <c r="C261" s="7">
        <v>25000</v>
      </c>
      <c r="D261" s="7">
        <f t="shared" si="4"/>
        <v>2575000</v>
      </c>
    </row>
    <row r="262" spans="1:4" ht="18.75" x14ac:dyDescent="0.25">
      <c r="A262" s="9" t="s">
        <v>251</v>
      </c>
      <c r="B262" s="7">
        <v>10</v>
      </c>
      <c r="C262" s="7">
        <v>20000</v>
      </c>
      <c r="D262" s="7">
        <f t="shared" si="4"/>
        <v>200000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-20+28+45+12+30+7</f>
        <v>102</v>
      </c>
      <c r="C268" s="7">
        <v>24000</v>
      </c>
      <c r="D268" s="7">
        <f t="shared" si="4"/>
        <v>2448000</v>
      </c>
    </row>
    <row r="269" spans="1:4" ht="18.75" x14ac:dyDescent="0.25">
      <c r="A269" s="9" t="s">
        <v>259</v>
      </c>
      <c r="B269" s="7">
        <f>15+10+36</f>
        <v>61</v>
      </c>
      <c r="C269" s="7">
        <v>20000</v>
      </c>
      <c r="D269" s="7">
        <f t="shared" si="4"/>
        <v>1220000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-20+50+15+100-25</f>
        <v>120</v>
      </c>
      <c r="C272" s="7">
        <v>24000</v>
      </c>
      <c r="D272" s="7">
        <f t="shared" si="4"/>
        <v>2880000</v>
      </c>
    </row>
    <row r="273" spans="1:4" ht="18.75" x14ac:dyDescent="0.25">
      <c r="A273" s="9" t="s">
        <v>263</v>
      </c>
      <c r="B273" s="7">
        <f>25+50+6</f>
        <v>81</v>
      </c>
      <c r="C273" s="7">
        <v>19000</v>
      </c>
      <c r="D273" s="7">
        <f t="shared" si="4"/>
        <v>1539000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x14ac:dyDescent="0.25">
      <c r="A279" s="9" t="s">
        <v>269</v>
      </c>
      <c r="B279" s="7">
        <v>28</v>
      </c>
      <c r="C279" s="7">
        <v>14000</v>
      </c>
      <c r="D279" s="7">
        <f t="shared" si="4"/>
        <v>392000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hidden="1" x14ac:dyDescent="0.25">
      <c r="A283" s="9" t="s">
        <v>273</v>
      </c>
      <c r="B283" s="7"/>
      <c r="C283" s="7"/>
      <c r="D283" s="7">
        <f t="shared" si="4"/>
        <v>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v>35</v>
      </c>
      <c r="C297" s="7">
        <v>13000</v>
      </c>
      <c r="D297" s="7">
        <f t="shared" si="4"/>
        <v>455000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v>135</v>
      </c>
      <c r="C300" s="7">
        <v>7000</v>
      </c>
      <c r="D300" s="7">
        <f t="shared" si="4"/>
        <v>945000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x14ac:dyDescent="0.25">
      <c r="A303" s="9" t="s">
        <v>293</v>
      </c>
      <c r="B303" s="7">
        <v>8</v>
      </c>
      <c r="C303" s="7">
        <v>14000</v>
      </c>
      <c r="D303" s="7">
        <f t="shared" si="4"/>
        <v>112000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hidden="1" x14ac:dyDescent="0.25">
      <c r="A321" s="13" t="s">
        <v>309</v>
      </c>
      <c r="B321" s="7"/>
      <c r="C321" s="7"/>
      <c r="D321" s="7">
        <f t="shared" si="4"/>
        <v>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8161.333333333333</v>
      </c>
      <c r="C351" s="43"/>
      <c r="D351" s="7">
        <f>SUM(D7:D303)</f>
        <v>119807500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443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9" t="s">
        <v>110</v>
      </c>
      <c r="B356" s="7"/>
      <c r="C356" s="7"/>
      <c r="D356" s="7">
        <f t="shared" si="5"/>
        <v>0</v>
      </c>
    </row>
    <row r="357" spans="1:4" ht="18.75" x14ac:dyDescent="0.25">
      <c r="A357" s="9" t="s">
        <v>250</v>
      </c>
      <c r="B357" s="7">
        <v>20</v>
      </c>
      <c r="C357" s="7">
        <v>26000</v>
      </c>
      <c r="D357" s="7">
        <f t="shared" si="5"/>
        <v>520000</v>
      </c>
    </row>
    <row r="358" spans="1:4" ht="18.75" x14ac:dyDescent="0.25">
      <c r="A358" s="9" t="s">
        <v>258</v>
      </c>
      <c r="B358" s="7">
        <v>20</v>
      </c>
      <c r="C358" s="7">
        <v>24000</v>
      </c>
      <c r="D358" s="7">
        <f t="shared" si="5"/>
        <v>480000</v>
      </c>
    </row>
    <row r="359" spans="1:4" ht="18.75" x14ac:dyDescent="0.25">
      <c r="A359" s="9" t="s">
        <v>262</v>
      </c>
      <c r="B359" s="7">
        <v>20</v>
      </c>
      <c r="C359" s="7">
        <v>24000</v>
      </c>
      <c r="D359" s="7">
        <f t="shared" si="5"/>
        <v>480000</v>
      </c>
    </row>
    <row r="360" spans="1:4" ht="18.75" x14ac:dyDescent="0.25">
      <c r="A360" s="9" t="s">
        <v>135</v>
      </c>
      <c r="B360" s="7">
        <v>60</v>
      </c>
      <c r="C360" s="7">
        <v>17000</v>
      </c>
      <c r="D360" s="7">
        <f t="shared" si="5"/>
        <v>1020000</v>
      </c>
    </row>
    <row r="361" spans="1:4" ht="18.75" x14ac:dyDescent="0.25">
      <c r="A361" s="9" t="s">
        <v>215</v>
      </c>
      <c r="B361" s="7">
        <v>300</v>
      </c>
      <c r="C361" s="7">
        <v>15000</v>
      </c>
      <c r="D361" s="7">
        <f t="shared" si="5"/>
        <v>4500000</v>
      </c>
    </row>
    <row r="362" spans="1:4" ht="18.75" x14ac:dyDescent="0.25">
      <c r="A362" s="9" t="s">
        <v>103</v>
      </c>
      <c r="B362" s="7">
        <v>208</v>
      </c>
      <c r="C362" s="7">
        <v>12000</v>
      </c>
      <c r="D362" s="7">
        <f t="shared" si="5"/>
        <v>2496000</v>
      </c>
    </row>
    <row r="363" spans="1:4" ht="18.75" hidden="1" x14ac:dyDescent="0.25">
      <c r="A363" s="11" t="s">
        <v>107</v>
      </c>
      <c r="B363" s="7"/>
      <c r="C363" s="7"/>
      <c r="D363" s="7">
        <f t="shared" si="5"/>
        <v>0</v>
      </c>
    </row>
    <row r="364" spans="1:4" ht="18.75" x14ac:dyDescent="0.25">
      <c r="A364" s="9" t="s">
        <v>12</v>
      </c>
      <c r="B364" s="7">
        <v>105</v>
      </c>
      <c r="C364" s="7">
        <v>8000</v>
      </c>
      <c r="D364" s="7">
        <f t="shared" si="5"/>
        <v>840000</v>
      </c>
    </row>
    <row r="365" spans="1:4" ht="18.75" hidden="1" x14ac:dyDescent="0.25">
      <c r="A365" s="9" t="s">
        <v>353</v>
      </c>
      <c r="B365" s="7"/>
      <c r="C365" s="7"/>
      <c r="D365" s="7">
        <f t="shared" si="5"/>
        <v>0</v>
      </c>
    </row>
    <row r="366" spans="1:4" ht="18.75" hidden="1" x14ac:dyDescent="0.25">
      <c r="A366" s="9" t="s">
        <v>273</v>
      </c>
      <c r="B366" s="7"/>
      <c r="C366" s="7"/>
      <c r="D366" s="7">
        <f t="shared" si="5"/>
        <v>0</v>
      </c>
    </row>
    <row r="367" spans="1:4" ht="18.75" hidden="1" x14ac:dyDescent="0.25">
      <c r="A367" s="5" t="s">
        <v>2</v>
      </c>
      <c r="B367" s="7"/>
      <c r="C367" s="7"/>
      <c r="D367" s="7">
        <f t="shared" si="5"/>
        <v>0</v>
      </c>
    </row>
    <row r="368" spans="1:4" ht="18.75" hidden="1" x14ac:dyDescent="0.25">
      <c r="A368" s="9" t="s">
        <v>86</v>
      </c>
      <c r="B368" s="7"/>
      <c r="C368" s="7"/>
      <c r="D368" s="7">
        <f t="shared" si="5"/>
        <v>0</v>
      </c>
    </row>
    <row r="369" spans="1:4" ht="18.75" x14ac:dyDescent="0.25">
      <c r="A369" s="9" t="s">
        <v>122</v>
      </c>
      <c r="B369" s="7">
        <v>20</v>
      </c>
      <c r="C369" s="7">
        <v>14000</v>
      </c>
      <c r="D369" s="7">
        <f t="shared" si="5"/>
        <v>280000</v>
      </c>
    </row>
    <row r="370" spans="1:4" ht="18.75" hidden="1" x14ac:dyDescent="0.25">
      <c r="A370" s="9" t="s">
        <v>44</v>
      </c>
      <c r="B370" s="7"/>
      <c r="C370" s="7"/>
      <c r="D370" s="7">
        <f t="shared" si="5"/>
        <v>0</v>
      </c>
    </row>
    <row r="371" spans="1:4" ht="18.75" x14ac:dyDescent="0.25">
      <c r="A371" s="12" t="s">
        <v>53</v>
      </c>
      <c r="B371" s="7">
        <v>300</v>
      </c>
      <c r="C371" s="7">
        <v>20000</v>
      </c>
      <c r="D371" s="7">
        <f t="shared" si="5"/>
        <v>6000000</v>
      </c>
    </row>
    <row r="372" spans="1:4" ht="18.75" x14ac:dyDescent="0.25">
      <c r="A372" s="9" t="s">
        <v>19</v>
      </c>
      <c r="B372" s="7">
        <v>2020</v>
      </c>
      <c r="C372" s="7">
        <v>8000</v>
      </c>
      <c r="D372" s="7">
        <f t="shared" si="5"/>
        <v>16160000</v>
      </c>
    </row>
    <row r="373" spans="1:4" ht="18.75" hidden="1" x14ac:dyDescent="0.25">
      <c r="A373" s="9" t="s">
        <v>293</v>
      </c>
      <c r="B373" s="7"/>
      <c r="C373" s="7"/>
      <c r="D373" s="7">
        <f t="shared" si="5"/>
        <v>0</v>
      </c>
    </row>
    <row r="374" spans="1:4" ht="18.75" x14ac:dyDescent="0.25">
      <c r="A374" s="9" t="s">
        <v>204</v>
      </c>
      <c r="B374" s="7">
        <v>40</v>
      </c>
      <c r="C374" s="7">
        <v>19500</v>
      </c>
      <c r="D374" s="7">
        <f t="shared" si="5"/>
        <v>780000</v>
      </c>
    </row>
    <row r="375" spans="1:4" ht="18.75" x14ac:dyDescent="0.25">
      <c r="A375" s="17" t="s">
        <v>55</v>
      </c>
      <c r="B375" s="7">
        <v>15</v>
      </c>
      <c r="C375" s="7">
        <v>10500</v>
      </c>
      <c r="D375" s="7">
        <f t="shared" si="5"/>
        <v>157500</v>
      </c>
    </row>
    <row r="376" spans="1:4" ht="18.75" hidden="1" x14ac:dyDescent="0.25">
      <c r="A376" s="9" t="s">
        <v>154</v>
      </c>
      <c r="B376" s="7"/>
      <c r="C376" s="7"/>
      <c r="D376" s="7">
        <f t="shared" si="5"/>
        <v>0</v>
      </c>
    </row>
    <row r="377" spans="1:4" ht="18.75" x14ac:dyDescent="0.25">
      <c r="A377" s="9" t="s">
        <v>77</v>
      </c>
      <c r="B377" s="7">
        <v>100</v>
      </c>
      <c r="C377" s="7">
        <v>22000</v>
      </c>
      <c r="D377" s="7">
        <f t="shared" si="5"/>
        <v>2200000</v>
      </c>
    </row>
    <row r="378" spans="1:4" ht="18.75" x14ac:dyDescent="0.25">
      <c r="A378" s="12" t="s">
        <v>183</v>
      </c>
      <c r="B378" s="7">
        <v>325</v>
      </c>
      <c r="C378" s="7">
        <v>12000</v>
      </c>
      <c r="D378" s="7">
        <f t="shared" si="5"/>
        <v>3900000</v>
      </c>
    </row>
    <row r="379" spans="1:4" ht="18.75" hidden="1" x14ac:dyDescent="0.25">
      <c r="A379" s="9" t="s">
        <v>355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105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90</v>
      </c>
      <c r="B381" s="7"/>
      <c r="C381" s="7"/>
      <c r="D381" s="7">
        <f t="shared" si="5"/>
        <v>0</v>
      </c>
    </row>
    <row r="382" spans="1:4" ht="23.25" x14ac:dyDescent="0.25">
      <c r="A382" s="5" t="s">
        <v>5</v>
      </c>
      <c r="B382" s="7">
        <v>6000</v>
      </c>
      <c r="C382" s="63">
        <v>5500</v>
      </c>
      <c r="D382" s="7">
        <f t="shared" si="5"/>
        <v>33000000</v>
      </c>
    </row>
    <row r="383" spans="1:4" ht="18.75" x14ac:dyDescent="0.25">
      <c r="A383" s="9" t="s">
        <v>349</v>
      </c>
      <c r="B383" s="7">
        <v>190</v>
      </c>
      <c r="C383" s="7">
        <v>6000</v>
      </c>
      <c r="D383" s="7">
        <f t="shared" si="5"/>
        <v>1140000</v>
      </c>
    </row>
    <row r="384" spans="1:4" ht="18.75" hidden="1" x14ac:dyDescent="0.25">
      <c r="A384" s="9" t="s">
        <v>346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313</v>
      </c>
      <c r="B385" s="7"/>
      <c r="C385" s="7"/>
      <c r="D385" s="7">
        <f t="shared" si="5"/>
        <v>0</v>
      </c>
    </row>
    <row r="386" spans="1:4" ht="18.75" hidden="1" x14ac:dyDescent="0.25">
      <c r="A386" s="9" t="s">
        <v>329</v>
      </c>
      <c r="B386" s="7"/>
      <c r="C386" s="7"/>
      <c r="D386" s="7">
        <f t="shared" si="5"/>
        <v>0</v>
      </c>
    </row>
    <row r="387" spans="1:4" ht="18.75" hidden="1" x14ac:dyDescent="0.25">
      <c r="A387" s="9" t="s">
        <v>332</v>
      </c>
      <c r="B387" s="7"/>
      <c r="C387" s="7"/>
      <c r="D387" s="7">
        <f t="shared" si="5"/>
        <v>0</v>
      </c>
    </row>
    <row r="388" spans="1:4" ht="18.75" hidden="1" x14ac:dyDescent="0.25">
      <c r="A388" s="9" t="s">
        <v>287</v>
      </c>
      <c r="B388" s="7"/>
      <c r="C388" s="7"/>
      <c r="D388" s="7">
        <f t="shared" ref="D388:D395" si="6">B388*C388</f>
        <v>0</v>
      </c>
    </row>
    <row r="389" spans="1:4" ht="18.75" hidden="1" x14ac:dyDescent="0.25">
      <c r="A389" s="9" t="s">
        <v>22</v>
      </c>
      <c r="B389" s="7"/>
      <c r="C389" s="7"/>
      <c r="D389" s="7">
        <f t="shared" si="6"/>
        <v>0</v>
      </c>
    </row>
    <row r="390" spans="1:4" ht="18.75" x14ac:dyDescent="0.25">
      <c r="A390" s="9" t="s">
        <v>24</v>
      </c>
      <c r="B390" s="7">
        <v>30</v>
      </c>
      <c r="C390" s="7">
        <v>16000</v>
      </c>
      <c r="D390" s="7">
        <f t="shared" si="6"/>
        <v>480000</v>
      </c>
    </row>
    <row r="391" spans="1:4" ht="18.75" hidden="1" x14ac:dyDescent="0.25">
      <c r="A391" s="9" t="s">
        <v>51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132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290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159</v>
      </c>
      <c r="B394" s="7"/>
      <c r="C394" s="7"/>
      <c r="D394" s="7">
        <f t="shared" si="6"/>
        <v>0</v>
      </c>
    </row>
    <row r="395" spans="1:4" ht="18.75" hidden="1" x14ac:dyDescent="0.25">
      <c r="A395" s="21" t="s">
        <v>358</v>
      </c>
      <c r="B395" s="7"/>
      <c r="C395" s="7"/>
      <c r="D395" s="7">
        <f t="shared" si="6"/>
        <v>0</v>
      </c>
    </row>
    <row r="396" spans="1:4" ht="18.75" x14ac:dyDescent="0.25">
      <c r="A396" s="40"/>
      <c r="B396" s="43">
        <v>9773</v>
      </c>
      <c r="C396" s="43"/>
      <c r="D396" s="43">
        <f>SUM(D357:D390)</f>
        <v>74433500</v>
      </c>
    </row>
    <row r="398" spans="1:4" x14ac:dyDescent="0.25">
      <c r="D398" s="53">
        <f>D396+D351</f>
        <v>194241000</v>
      </c>
    </row>
  </sheetData>
  <protectedRanges>
    <protectedRange password="CF71" sqref="C8:C350 B3:B350 C3:C6 B1:D2" name="tho"/>
    <protectedRange password="CF71" sqref="D3:D395" name="tho_2"/>
    <protectedRange password="CF71" sqref="C7" name="tho_4"/>
    <protectedRange password="CF71" sqref="B353:C353 C354:C355" name="tho_1"/>
    <protectedRange password="CF71" sqref="B354:B355" name="tho_2_1"/>
    <protectedRange password="CF71" sqref="C356" name="tho_3"/>
    <protectedRange password="CF71" sqref="B356" name="tho_2_2"/>
    <protectedRange password="CF71" sqref="C357" name="tho_5"/>
    <protectedRange password="CF71" sqref="B357" name="tho_2_3"/>
    <protectedRange password="CF71" sqref="C358" name="tho_6"/>
    <protectedRange password="CF71" sqref="B358" name="tho_2_4"/>
    <protectedRange password="CF71" sqref="C359" name="tho_7"/>
    <protectedRange password="CF71" sqref="B359" name="tho_2_5"/>
    <protectedRange password="CF71" sqref="C360" name="tho_8"/>
    <protectedRange password="CF71" sqref="B360" name="tho_2_6"/>
    <protectedRange password="CF71" sqref="C361" name="tho_9"/>
    <protectedRange password="CF71" sqref="B361" name="tho_2_7"/>
    <protectedRange password="CF71" sqref="C362" name="tho_10"/>
    <protectedRange password="CF71" sqref="B362" name="tho_2_8"/>
    <protectedRange password="CF71" sqref="C363" name="tho_11"/>
    <protectedRange password="CF71" sqref="B363" name="tho_2_9"/>
    <protectedRange password="CF71" sqref="C364" name="tho_12"/>
    <protectedRange password="CF71" sqref="B364" name="tho_2_10"/>
    <protectedRange password="CF71" sqref="C365" name="tho_13"/>
    <protectedRange password="CF71" sqref="B365" name="tho_2_11"/>
    <protectedRange password="CF71" sqref="C366" name="tho_14"/>
    <protectedRange password="CF71" sqref="B366" name="tho_2_12"/>
    <protectedRange password="CF71" sqref="C367" name="tho_15"/>
    <protectedRange password="CF71" sqref="B367" name="tho_2_13"/>
    <protectedRange password="CF71" sqref="C368" name="tho_16"/>
    <protectedRange password="CF71" sqref="B368" name="tho_2_14"/>
    <protectedRange password="CF71" sqref="C369" name="tho_17"/>
    <protectedRange password="CF71" sqref="B369" name="tho_2_15"/>
    <protectedRange password="CF71" sqref="C370" name="tho_18"/>
    <protectedRange password="CF71" sqref="B370" name="tho_2_16"/>
    <protectedRange password="CF71" sqref="C371" name="tho_19"/>
    <protectedRange password="CF71" sqref="B371" name="tho_2_17"/>
    <protectedRange password="CF71" sqref="C372" name="tho_20"/>
    <protectedRange password="CF71" sqref="B372" name="tho_2_18"/>
    <protectedRange password="CF71" sqref="C373" name="tho_21"/>
    <protectedRange password="CF71" sqref="B373" name="tho_2_19"/>
    <protectedRange password="CF71" sqref="C374" name="tho_22"/>
    <protectedRange password="CF71" sqref="B374" name="tho_2_20"/>
    <protectedRange password="CF71" sqref="C375" name="tho_23"/>
    <protectedRange password="CF71" sqref="B375" name="tho_2_21"/>
    <protectedRange password="CF71" sqref="C376" name="tho_24"/>
    <protectedRange password="CF71" sqref="B376" name="tho_2_22"/>
    <protectedRange password="CF71" sqref="C377" name="tho_25"/>
    <protectedRange password="CF71" sqref="B377" name="tho_2_23"/>
    <protectedRange password="CF71" sqref="C378" name="tho_26"/>
    <protectedRange password="CF71" sqref="B378" name="tho_2_24"/>
    <protectedRange password="CF71" sqref="C379" name="tho_27"/>
    <protectedRange password="CF71" sqref="B379" name="tho_2_25"/>
    <protectedRange password="CF71" sqref="C380" name="tho_28"/>
    <protectedRange password="CF71" sqref="B380" name="tho_2_26"/>
    <protectedRange password="CF71" sqref="C381" name="tho_29"/>
    <protectedRange password="CF71" sqref="B381" name="tho_2_27"/>
    <protectedRange password="CF71" sqref="C382" name="tho_30"/>
    <protectedRange password="CF71" sqref="B382" name="tho_2_28"/>
    <protectedRange password="CF71" sqref="C383" name="tho_31"/>
    <protectedRange password="CF71" sqref="B383" name="tho_2_29"/>
    <protectedRange password="CF71" sqref="C384" name="tho_32"/>
    <protectedRange password="CF71" sqref="B384" name="tho_2_30"/>
    <protectedRange password="CF71" sqref="C385" name="tho_33"/>
    <protectedRange password="CF71" sqref="B385" name="tho_2_31"/>
    <protectedRange password="CF71" sqref="C386" name="tho_34"/>
    <protectedRange password="CF71" sqref="B386" name="tho_2_32"/>
    <protectedRange password="CF71" sqref="C387" name="tho_35"/>
    <protectedRange password="CF71" sqref="B387" name="tho_2_33"/>
    <protectedRange password="CF71" sqref="C388" name="tho_36"/>
    <protectedRange password="CF71" sqref="B388" name="tho_2_34"/>
    <protectedRange password="CF71" sqref="C389" name="tho_37"/>
    <protectedRange password="CF71" sqref="B389" name="tho_2_35"/>
    <protectedRange password="CF71" sqref="C390" name="tho_38"/>
    <protectedRange password="CF71" sqref="B390" name="tho_2_36"/>
    <protectedRange password="CF71" sqref="C391" name="tho_39"/>
    <protectedRange password="CF71" sqref="B391" name="tho_2_37"/>
    <protectedRange password="CF71" sqref="C392" name="tho_40"/>
    <protectedRange password="CF71" sqref="B392" name="tho_2_38"/>
    <protectedRange password="CF71" sqref="C393" name="tho_41"/>
    <protectedRange password="CF71" sqref="B393" name="tho_2_39"/>
    <protectedRange password="CF71" sqref="C394" name="tho_42"/>
    <protectedRange password="CF71" sqref="B394" name="tho_2_40"/>
    <protectedRange password="CF71" sqref="C395" name="tho_43"/>
    <protectedRange password="CF71" sqref="B395" name="tho_2_41"/>
  </protectedRanges>
  <autoFilter ref="A2:D396" xr:uid="{00000000-0009-0000-0000-000019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D686"/>
  <sheetViews>
    <sheetView topLeftCell="A300" workbookViewId="0">
      <selection activeCell="D686" sqref="D686"/>
    </sheetView>
  </sheetViews>
  <sheetFormatPr defaultRowHeight="15" x14ac:dyDescent="0.25"/>
  <cols>
    <col min="1" max="1" width="37.42578125" customWidth="1"/>
    <col min="3" max="3" width="13.42578125" customWidth="1"/>
    <col min="4" max="4" width="19.7109375" customWidth="1"/>
  </cols>
  <sheetData>
    <row r="1" spans="1:4" x14ac:dyDescent="0.25">
      <c r="A1" s="1" t="s">
        <v>442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hidden="1" x14ac:dyDescent="0.25">
      <c r="A3" s="5" t="s">
        <v>2</v>
      </c>
      <c r="B3" s="7"/>
      <c r="C3" s="7"/>
      <c r="D3" s="7">
        <f>B3*C3</f>
        <v>0</v>
      </c>
    </row>
    <row r="4" spans="1:4" ht="18.75" hidden="1" x14ac:dyDescent="0.25">
      <c r="A4" s="8" t="s">
        <v>3</v>
      </c>
      <c r="B4" s="7"/>
      <c r="C4" s="7"/>
      <c r="D4" s="7">
        <f t="shared" ref="D4:D67" si="0">B4*C4</f>
        <v>0</v>
      </c>
    </row>
    <row r="5" spans="1:4" ht="18.75" hidden="1" x14ac:dyDescent="0.25">
      <c r="A5" s="5" t="s">
        <v>4</v>
      </c>
      <c r="B5" s="7"/>
      <c r="C5" s="7"/>
      <c r="D5" s="7">
        <f t="shared" si="0"/>
        <v>0</v>
      </c>
    </row>
    <row r="6" spans="1:4" ht="18.75" hidden="1" x14ac:dyDescent="0.25">
      <c r="A6" s="13" t="s">
        <v>378</v>
      </c>
      <c r="B6" s="7"/>
      <c r="C6" s="7"/>
      <c r="D6" s="7">
        <f t="shared" si="0"/>
        <v>0</v>
      </c>
    </row>
    <row r="7" spans="1:4" ht="18.75" x14ac:dyDescent="0.25">
      <c r="A7" s="5" t="s">
        <v>5</v>
      </c>
      <c r="B7" s="7">
        <f>5470+360-850+1692</f>
        <v>6672</v>
      </c>
      <c r="C7" s="7">
        <v>5500</v>
      </c>
      <c r="D7" s="7">
        <f t="shared" si="0"/>
        <v>36696000</v>
      </c>
    </row>
    <row r="8" spans="1:4" ht="18.75" hidden="1" x14ac:dyDescent="0.25">
      <c r="A8" s="9" t="s">
        <v>6</v>
      </c>
      <c r="B8" s="7"/>
      <c r="C8" s="7"/>
      <c r="D8" s="7">
        <f t="shared" si="0"/>
        <v>0</v>
      </c>
    </row>
    <row r="9" spans="1:4" ht="18.75" hidden="1" x14ac:dyDescent="0.25">
      <c r="A9" s="10" t="s">
        <v>7</v>
      </c>
      <c r="B9" s="7"/>
      <c r="C9" s="7"/>
      <c r="D9" s="7">
        <f t="shared" si="0"/>
        <v>0</v>
      </c>
    </row>
    <row r="10" spans="1:4" ht="18.75" hidden="1" x14ac:dyDescent="0.25">
      <c r="A10" s="5" t="s">
        <v>8</v>
      </c>
      <c r="B10" s="7"/>
      <c r="C10" s="7"/>
      <c r="D10" s="7">
        <f t="shared" si="0"/>
        <v>0</v>
      </c>
    </row>
    <row r="11" spans="1:4" ht="18.75" hidden="1" x14ac:dyDescent="0.25">
      <c r="A11" s="5" t="s">
        <v>9</v>
      </c>
      <c r="B11" s="7"/>
      <c r="C11" s="7"/>
      <c r="D11" s="7">
        <f t="shared" si="0"/>
        <v>0</v>
      </c>
    </row>
    <row r="12" spans="1:4" ht="18.75" hidden="1" x14ac:dyDescent="0.25">
      <c r="A12" s="17" t="s">
        <v>379</v>
      </c>
      <c r="B12" s="7"/>
      <c r="C12" s="7"/>
      <c r="D12" s="7">
        <f t="shared" si="0"/>
        <v>0</v>
      </c>
    </row>
    <row r="13" spans="1:4" ht="18.75" hidden="1" x14ac:dyDescent="0.25">
      <c r="A13" s="11" t="s">
        <v>10</v>
      </c>
      <c r="B13" s="7"/>
      <c r="C13" s="7"/>
      <c r="D13" s="7">
        <f t="shared" si="0"/>
        <v>0</v>
      </c>
    </row>
    <row r="14" spans="1:4" ht="18.75" hidden="1" x14ac:dyDescent="0.25">
      <c r="A14" s="9" t="s">
        <v>11</v>
      </c>
      <c r="B14" s="7"/>
      <c r="C14" s="7"/>
      <c r="D14" s="7">
        <f t="shared" si="0"/>
        <v>0</v>
      </c>
    </row>
    <row r="15" spans="1:4" ht="18.75" hidden="1" x14ac:dyDescent="0.25">
      <c r="A15" s="9" t="s">
        <v>12</v>
      </c>
      <c r="B15" s="7"/>
      <c r="C15" s="7"/>
      <c r="D15" s="7">
        <f t="shared" si="0"/>
        <v>0</v>
      </c>
    </row>
    <row r="16" spans="1:4" ht="18.75" hidden="1" x14ac:dyDescent="0.25">
      <c r="A16" s="12" t="s">
        <v>13</v>
      </c>
      <c r="B16" s="7"/>
      <c r="C16" s="7"/>
      <c r="D16" s="7">
        <f t="shared" si="0"/>
        <v>0</v>
      </c>
    </row>
    <row r="17" spans="1:4" ht="18.75" x14ac:dyDescent="0.25">
      <c r="A17" s="12" t="s">
        <v>14</v>
      </c>
      <c r="B17" s="7">
        <v>57</v>
      </c>
      <c r="C17" s="7">
        <v>8000</v>
      </c>
      <c r="D17" s="7">
        <f t="shared" si="0"/>
        <v>456000</v>
      </c>
    </row>
    <row r="18" spans="1:4" ht="18.75" hidden="1" x14ac:dyDescent="0.25">
      <c r="A18" s="9" t="s">
        <v>15</v>
      </c>
      <c r="B18" s="7"/>
      <c r="C18" s="7"/>
      <c r="D18" s="7">
        <f t="shared" si="0"/>
        <v>0</v>
      </c>
    </row>
    <row r="19" spans="1:4" ht="18.75" hidden="1" x14ac:dyDescent="0.25">
      <c r="A19" s="9" t="s">
        <v>16</v>
      </c>
      <c r="B19" s="7"/>
      <c r="C19" s="7"/>
      <c r="D19" s="7">
        <f t="shared" si="0"/>
        <v>0</v>
      </c>
    </row>
    <row r="20" spans="1:4" ht="18.75" hidden="1" x14ac:dyDescent="0.25">
      <c r="A20" s="13" t="s">
        <v>17</v>
      </c>
      <c r="B20" s="7"/>
      <c r="C20" s="7"/>
      <c r="D20" s="7">
        <f t="shared" si="0"/>
        <v>0</v>
      </c>
    </row>
    <row r="21" spans="1:4" ht="18.75" x14ac:dyDescent="0.25">
      <c r="A21" s="11" t="s">
        <v>18</v>
      </c>
      <c r="B21" s="7">
        <v>14</v>
      </c>
      <c r="C21" s="45">
        <v>10000</v>
      </c>
      <c r="D21" s="7">
        <f t="shared" si="0"/>
        <v>140000</v>
      </c>
    </row>
    <row r="22" spans="1:4" ht="18.75" x14ac:dyDescent="0.25">
      <c r="A22" s="9" t="s">
        <v>19</v>
      </c>
      <c r="B22" s="7">
        <f>2780-130</f>
        <v>2650</v>
      </c>
      <c r="C22" s="7">
        <v>8000</v>
      </c>
      <c r="D22" s="7">
        <f t="shared" si="0"/>
        <v>21200000</v>
      </c>
    </row>
    <row r="23" spans="1:4" ht="18.75" hidden="1" x14ac:dyDescent="0.25">
      <c r="A23" s="12" t="s">
        <v>20</v>
      </c>
      <c r="B23" s="7"/>
      <c r="C23" s="7"/>
      <c r="D23" s="7">
        <f t="shared" si="0"/>
        <v>0</v>
      </c>
    </row>
    <row r="24" spans="1:4" ht="18.75" hidden="1" x14ac:dyDescent="0.25">
      <c r="A24" s="12" t="s">
        <v>21</v>
      </c>
      <c r="B24" s="7"/>
      <c r="C24" s="7"/>
      <c r="D24" s="7">
        <f t="shared" si="0"/>
        <v>0</v>
      </c>
    </row>
    <row r="25" spans="1:4" ht="18.75" hidden="1" x14ac:dyDescent="0.25">
      <c r="A25" s="9" t="s">
        <v>22</v>
      </c>
      <c r="B25" s="7"/>
      <c r="C25" s="7"/>
      <c r="D25" s="7">
        <f t="shared" si="0"/>
        <v>0</v>
      </c>
    </row>
    <row r="26" spans="1:4" ht="18.75" hidden="1" x14ac:dyDescent="0.25">
      <c r="A26" s="9" t="s">
        <v>23</v>
      </c>
      <c r="B26" s="7"/>
      <c r="C26" s="7"/>
      <c r="D26" s="7">
        <f t="shared" si="0"/>
        <v>0</v>
      </c>
    </row>
    <row r="27" spans="1:4" ht="18.75" x14ac:dyDescent="0.25">
      <c r="A27" s="9" t="s">
        <v>24</v>
      </c>
      <c r="B27" s="7">
        <f>-30+10+20+30</f>
        <v>30</v>
      </c>
      <c r="C27" s="7">
        <v>16000</v>
      </c>
      <c r="D27" s="7">
        <f t="shared" si="0"/>
        <v>480000</v>
      </c>
    </row>
    <row r="28" spans="1:4" ht="18.75" hidden="1" x14ac:dyDescent="0.25">
      <c r="A28" s="9" t="s">
        <v>25</v>
      </c>
      <c r="B28" s="7"/>
      <c r="C28" s="7"/>
      <c r="D28" s="7">
        <f t="shared" si="0"/>
        <v>0</v>
      </c>
    </row>
    <row r="29" spans="1:4" ht="18.75" hidden="1" x14ac:dyDescent="0.25">
      <c r="A29" s="9" t="s">
        <v>26</v>
      </c>
      <c r="B29" s="7"/>
      <c r="C29" s="7"/>
      <c r="D29" s="7">
        <f t="shared" si="0"/>
        <v>0</v>
      </c>
    </row>
    <row r="30" spans="1:4" ht="18.75" hidden="1" x14ac:dyDescent="0.25">
      <c r="A30" s="9" t="s">
        <v>27</v>
      </c>
      <c r="B30" s="7"/>
      <c r="C30" s="7"/>
      <c r="D30" s="7">
        <f t="shared" si="0"/>
        <v>0</v>
      </c>
    </row>
    <row r="31" spans="1:4" ht="18.75" hidden="1" x14ac:dyDescent="0.25">
      <c r="A31" s="11" t="s">
        <v>28</v>
      </c>
      <c r="B31" s="16"/>
      <c r="C31" s="16"/>
      <c r="D31" s="7">
        <f t="shared" si="0"/>
        <v>0</v>
      </c>
    </row>
    <row r="32" spans="1:4" ht="18.75" x14ac:dyDescent="0.25">
      <c r="A32" s="12" t="s">
        <v>29</v>
      </c>
      <c r="B32" s="7">
        <f>30+54+10</f>
        <v>94</v>
      </c>
      <c r="C32" s="7">
        <v>12000</v>
      </c>
      <c r="D32" s="7">
        <f t="shared" si="0"/>
        <v>1128000</v>
      </c>
    </row>
    <row r="33" spans="1:4" ht="18.75" hidden="1" x14ac:dyDescent="0.25">
      <c r="A33" s="11" t="s">
        <v>30</v>
      </c>
      <c r="B33" s="7"/>
      <c r="C33" s="7"/>
      <c r="D33" s="7">
        <f t="shared" si="0"/>
        <v>0</v>
      </c>
    </row>
    <row r="34" spans="1:4" ht="18.75" hidden="1" x14ac:dyDescent="0.25">
      <c r="A34" s="11" t="s">
        <v>31</v>
      </c>
      <c r="B34" s="7"/>
      <c r="C34" s="7"/>
      <c r="D34" s="7">
        <f t="shared" si="0"/>
        <v>0</v>
      </c>
    </row>
    <row r="35" spans="1:4" ht="18.75" hidden="1" x14ac:dyDescent="0.25">
      <c r="A35" s="11" t="s">
        <v>32</v>
      </c>
      <c r="B35" s="7"/>
      <c r="C35" s="7"/>
      <c r="D35" s="7">
        <f t="shared" si="0"/>
        <v>0</v>
      </c>
    </row>
    <row r="36" spans="1:4" ht="18.75" hidden="1" x14ac:dyDescent="0.25">
      <c r="A36" s="12" t="s">
        <v>33</v>
      </c>
      <c r="B36" s="7"/>
      <c r="C36" s="7"/>
      <c r="D36" s="7">
        <f t="shared" si="0"/>
        <v>0</v>
      </c>
    </row>
    <row r="37" spans="1:4" ht="18.75" hidden="1" x14ac:dyDescent="0.25">
      <c r="A37" s="11" t="s">
        <v>34</v>
      </c>
      <c r="B37" s="7"/>
      <c r="C37" s="7"/>
      <c r="D37" s="7">
        <f t="shared" si="0"/>
        <v>0</v>
      </c>
    </row>
    <row r="38" spans="1:4" ht="18.75" hidden="1" x14ac:dyDescent="0.25">
      <c r="A38" s="11" t="s">
        <v>35</v>
      </c>
      <c r="B38" s="7"/>
      <c r="C38" s="7"/>
      <c r="D38" s="7">
        <f t="shared" si="0"/>
        <v>0</v>
      </c>
    </row>
    <row r="39" spans="1:4" ht="18.75" hidden="1" x14ac:dyDescent="0.25">
      <c r="A39" s="11" t="s">
        <v>36</v>
      </c>
      <c r="B39" s="7"/>
      <c r="C39" s="7"/>
      <c r="D39" s="7">
        <f t="shared" si="0"/>
        <v>0</v>
      </c>
    </row>
    <row r="40" spans="1:4" ht="18.75" hidden="1" x14ac:dyDescent="0.25">
      <c r="A40" s="12" t="s">
        <v>37</v>
      </c>
      <c r="B40" s="7"/>
      <c r="C40" s="7"/>
      <c r="D40" s="7">
        <f t="shared" si="0"/>
        <v>0</v>
      </c>
    </row>
    <row r="41" spans="1:4" ht="18.75" hidden="1" x14ac:dyDescent="0.25">
      <c r="A41" s="9" t="s">
        <v>38</v>
      </c>
      <c r="B41" s="7"/>
      <c r="C41" s="7"/>
      <c r="D41" s="7">
        <f t="shared" si="0"/>
        <v>0</v>
      </c>
    </row>
    <row r="42" spans="1:4" ht="18.75" x14ac:dyDescent="0.25">
      <c r="A42" s="9" t="s">
        <v>39</v>
      </c>
      <c r="B42" s="7">
        <v>27</v>
      </c>
      <c r="C42" s="7">
        <v>8000</v>
      </c>
      <c r="D42" s="7">
        <f t="shared" si="0"/>
        <v>216000</v>
      </c>
    </row>
    <row r="43" spans="1:4" ht="18.75" hidden="1" x14ac:dyDescent="0.25">
      <c r="A43" s="11" t="s">
        <v>40</v>
      </c>
      <c r="B43" s="16"/>
      <c r="C43" s="16"/>
      <c r="D43" s="7">
        <f t="shared" si="0"/>
        <v>0</v>
      </c>
    </row>
    <row r="44" spans="1:4" ht="18.75" hidden="1" x14ac:dyDescent="0.25">
      <c r="A44" s="9" t="s">
        <v>41</v>
      </c>
      <c r="B44" s="7"/>
      <c r="C44" s="7"/>
      <c r="D44" s="7">
        <f t="shared" si="0"/>
        <v>0</v>
      </c>
    </row>
    <row r="45" spans="1:4" ht="18.75" hidden="1" x14ac:dyDescent="0.25">
      <c r="A45" s="9" t="s">
        <v>42</v>
      </c>
      <c r="B45" s="7"/>
      <c r="C45" s="7"/>
      <c r="D45" s="7">
        <f t="shared" si="0"/>
        <v>0</v>
      </c>
    </row>
    <row r="46" spans="1:4" ht="18.75" hidden="1" x14ac:dyDescent="0.25">
      <c r="A46" s="17" t="s">
        <v>43</v>
      </c>
      <c r="B46" s="7"/>
      <c r="C46" s="7"/>
      <c r="D46" s="7">
        <f t="shared" si="0"/>
        <v>0</v>
      </c>
    </row>
    <row r="47" spans="1:4" ht="18.75" hidden="1" x14ac:dyDescent="0.25">
      <c r="A47" s="9" t="s">
        <v>44</v>
      </c>
      <c r="B47" s="7"/>
      <c r="C47" s="7"/>
      <c r="D47" s="7">
        <f t="shared" si="0"/>
        <v>0</v>
      </c>
    </row>
    <row r="48" spans="1:4" ht="18.75" hidden="1" x14ac:dyDescent="0.25">
      <c r="A48" s="18" t="s">
        <v>45</v>
      </c>
      <c r="B48" s="7"/>
      <c r="C48" s="7"/>
      <c r="D48" s="7">
        <f t="shared" si="0"/>
        <v>0</v>
      </c>
    </row>
    <row r="49" spans="1:4" ht="18.75" hidden="1" x14ac:dyDescent="0.25">
      <c r="A49" s="9" t="s">
        <v>46</v>
      </c>
      <c r="B49" s="7"/>
      <c r="C49" s="7"/>
      <c r="D49" s="7">
        <f t="shared" si="0"/>
        <v>0</v>
      </c>
    </row>
    <row r="50" spans="1:4" ht="18.75" hidden="1" x14ac:dyDescent="0.25">
      <c r="A50" s="9" t="s">
        <v>47</v>
      </c>
      <c r="B50" s="7"/>
      <c r="C50" s="7"/>
      <c r="D50" s="7">
        <f t="shared" si="0"/>
        <v>0</v>
      </c>
    </row>
    <row r="51" spans="1:4" ht="18.75" hidden="1" x14ac:dyDescent="0.25">
      <c r="A51" s="13" t="s">
        <v>48</v>
      </c>
      <c r="B51" s="7"/>
      <c r="C51" s="7"/>
      <c r="D51" s="7">
        <f t="shared" si="0"/>
        <v>0</v>
      </c>
    </row>
    <row r="52" spans="1:4" ht="18.75" hidden="1" x14ac:dyDescent="0.25">
      <c r="A52" s="11" t="s">
        <v>49</v>
      </c>
      <c r="B52" s="7"/>
      <c r="C52" s="7"/>
      <c r="D52" s="7">
        <f t="shared" si="0"/>
        <v>0</v>
      </c>
    </row>
    <row r="53" spans="1:4" ht="18.75" hidden="1" x14ac:dyDescent="0.25">
      <c r="A53" s="13" t="s">
        <v>50</v>
      </c>
      <c r="B53" s="7"/>
      <c r="C53" s="7"/>
      <c r="D53" s="7">
        <f t="shared" si="0"/>
        <v>0</v>
      </c>
    </row>
    <row r="54" spans="1:4" ht="18.75" hidden="1" x14ac:dyDescent="0.25">
      <c r="A54" s="9" t="s">
        <v>51</v>
      </c>
      <c r="B54" s="7"/>
      <c r="C54" s="7"/>
      <c r="D54" s="7">
        <f t="shared" si="0"/>
        <v>0</v>
      </c>
    </row>
    <row r="55" spans="1:4" ht="18.75" hidden="1" x14ac:dyDescent="0.25">
      <c r="A55" s="9" t="s">
        <v>52</v>
      </c>
      <c r="B55" s="7"/>
      <c r="C55" s="7"/>
      <c r="D55" s="7">
        <f t="shared" si="0"/>
        <v>0</v>
      </c>
    </row>
    <row r="56" spans="1:4" ht="18.75" x14ac:dyDescent="0.25">
      <c r="A56" s="12" t="s">
        <v>53</v>
      </c>
      <c r="B56" s="7"/>
      <c r="C56" s="7">
        <v>20000</v>
      </c>
      <c r="D56" s="7">
        <f t="shared" si="0"/>
        <v>0</v>
      </c>
    </row>
    <row r="57" spans="1:4" ht="18.75" x14ac:dyDescent="0.25">
      <c r="A57" s="9" t="s">
        <v>54</v>
      </c>
      <c r="B57" s="7">
        <v>15</v>
      </c>
      <c r="C57" s="7">
        <v>17500</v>
      </c>
      <c r="D57" s="7">
        <f t="shared" si="0"/>
        <v>262500</v>
      </c>
    </row>
    <row r="58" spans="1:4" ht="18.75" hidden="1" x14ac:dyDescent="0.25">
      <c r="A58" s="17" t="s">
        <v>55</v>
      </c>
      <c r="B58" s="7"/>
      <c r="C58" s="7"/>
      <c r="D58" s="7">
        <f t="shared" si="0"/>
        <v>0</v>
      </c>
    </row>
    <row r="59" spans="1:4" ht="18.75" x14ac:dyDescent="0.25">
      <c r="A59" s="17" t="s">
        <v>56</v>
      </c>
      <c r="B59" s="7">
        <f>44+26</f>
        <v>70</v>
      </c>
      <c r="C59" s="7">
        <v>10500</v>
      </c>
      <c r="D59" s="7">
        <f t="shared" si="0"/>
        <v>735000</v>
      </c>
    </row>
    <row r="60" spans="1:4" ht="18.75" hidden="1" x14ac:dyDescent="0.25">
      <c r="A60" s="17" t="s">
        <v>57</v>
      </c>
      <c r="B60" s="7"/>
      <c r="C60" s="7"/>
      <c r="D60" s="7">
        <f t="shared" si="0"/>
        <v>0</v>
      </c>
    </row>
    <row r="61" spans="1:4" ht="18.75" hidden="1" x14ac:dyDescent="0.25">
      <c r="A61" s="9" t="s">
        <v>58</v>
      </c>
      <c r="B61" s="7"/>
      <c r="C61" s="7"/>
      <c r="D61" s="7">
        <f t="shared" si="0"/>
        <v>0</v>
      </c>
    </row>
    <row r="62" spans="1:4" ht="18.75" hidden="1" x14ac:dyDescent="0.25">
      <c r="A62" s="49" t="s">
        <v>59</v>
      </c>
      <c r="B62" s="7"/>
      <c r="C62" s="7"/>
      <c r="D62" s="7">
        <f t="shared" si="0"/>
        <v>0</v>
      </c>
    </row>
    <row r="63" spans="1:4" ht="18.75" hidden="1" x14ac:dyDescent="0.25">
      <c r="A63" s="9" t="s">
        <v>60</v>
      </c>
      <c r="B63" s="7"/>
      <c r="C63" s="7"/>
      <c r="D63" s="7">
        <f t="shared" si="0"/>
        <v>0</v>
      </c>
    </row>
    <row r="64" spans="1:4" ht="18.75" hidden="1" x14ac:dyDescent="0.25">
      <c r="A64" s="9" t="s">
        <v>61</v>
      </c>
      <c r="B64" s="7"/>
      <c r="C64" s="7"/>
      <c r="D64" s="7">
        <f t="shared" si="0"/>
        <v>0</v>
      </c>
    </row>
    <row r="65" spans="1:4" ht="18.75" hidden="1" x14ac:dyDescent="0.25">
      <c r="A65" s="17" t="s">
        <v>62</v>
      </c>
      <c r="B65" s="7"/>
      <c r="C65" s="7"/>
      <c r="D65" s="7">
        <f t="shared" si="0"/>
        <v>0</v>
      </c>
    </row>
    <row r="66" spans="1:4" ht="18.75" x14ac:dyDescent="0.25">
      <c r="A66" s="9" t="s">
        <v>63</v>
      </c>
      <c r="B66" s="7">
        <f>23+30+70+60</f>
        <v>183</v>
      </c>
      <c r="C66" s="7">
        <v>18000</v>
      </c>
      <c r="D66" s="7">
        <f t="shared" si="0"/>
        <v>3294000</v>
      </c>
    </row>
    <row r="67" spans="1:4" ht="18.75" hidden="1" x14ac:dyDescent="0.25">
      <c r="A67" s="19" t="s">
        <v>64</v>
      </c>
      <c r="B67" s="7"/>
      <c r="C67" s="7"/>
      <c r="D67" s="7">
        <f t="shared" si="0"/>
        <v>0</v>
      </c>
    </row>
    <row r="68" spans="1:4" ht="18.75" hidden="1" x14ac:dyDescent="0.25">
      <c r="A68" s="9" t="s">
        <v>65</v>
      </c>
      <c r="B68" s="7"/>
      <c r="C68" s="7"/>
      <c r="D68" s="7">
        <f t="shared" ref="D68:D131" si="1">B68*C68</f>
        <v>0</v>
      </c>
    </row>
    <row r="69" spans="1:4" ht="18.75" hidden="1" x14ac:dyDescent="0.25">
      <c r="A69" s="9" t="s">
        <v>66</v>
      </c>
      <c r="B69" s="7"/>
      <c r="C69" s="7"/>
      <c r="D69" s="7">
        <f t="shared" si="1"/>
        <v>0</v>
      </c>
    </row>
    <row r="70" spans="1:4" ht="18.75" hidden="1" x14ac:dyDescent="0.25">
      <c r="A70" s="20" t="s">
        <v>67</v>
      </c>
      <c r="B70" s="7"/>
      <c r="C70" s="7"/>
      <c r="D70" s="7">
        <f t="shared" si="1"/>
        <v>0</v>
      </c>
    </row>
    <row r="71" spans="1:4" ht="18.75" hidden="1" x14ac:dyDescent="0.25">
      <c r="A71" s="12" t="s">
        <v>68</v>
      </c>
      <c r="B71" s="7"/>
      <c r="C71" s="7"/>
      <c r="D71" s="7">
        <f t="shared" si="1"/>
        <v>0</v>
      </c>
    </row>
    <row r="72" spans="1:4" ht="18.75" hidden="1" x14ac:dyDescent="0.25">
      <c r="A72" s="12" t="s">
        <v>69</v>
      </c>
      <c r="B72" s="7"/>
      <c r="C72" s="7"/>
      <c r="D72" s="7">
        <f t="shared" si="1"/>
        <v>0</v>
      </c>
    </row>
    <row r="73" spans="1:4" ht="18.75" hidden="1" x14ac:dyDescent="0.25">
      <c r="A73" s="11" t="s">
        <v>70</v>
      </c>
      <c r="B73" s="7"/>
      <c r="C73" s="7"/>
      <c r="D73" s="7">
        <f t="shared" si="1"/>
        <v>0</v>
      </c>
    </row>
    <row r="74" spans="1:4" ht="18.75" x14ac:dyDescent="0.25">
      <c r="A74" s="12" t="s">
        <v>71</v>
      </c>
      <c r="B74" s="7">
        <f>21*0.25</f>
        <v>5.25</v>
      </c>
      <c r="C74" s="7">
        <v>6000</v>
      </c>
      <c r="D74" s="7">
        <f t="shared" si="1"/>
        <v>31500</v>
      </c>
    </row>
    <row r="75" spans="1:4" ht="18.75" hidden="1" x14ac:dyDescent="0.25">
      <c r="A75" s="12" t="s">
        <v>72</v>
      </c>
      <c r="B75" s="7"/>
      <c r="C75" s="7"/>
      <c r="D75" s="7">
        <f t="shared" si="1"/>
        <v>0</v>
      </c>
    </row>
    <row r="76" spans="1:4" ht="18.75" hidden="1" x14ac:dyDescent="0.25">
      <c r="A76" s="12" t="s">
        <v>73</v>
      </c>
      <c r="B76" s="7"/>
      <c r="C76" s="7"/>
      <c r="D76" s="7">
        <f t="shared" si="1"/>
        <v>0</v>
      </c>
    </row>
    <row r="77" spans="1:4" ht="18.75" hidden="1" x14ac:dyDescent="0.25">
      <c r="A77" s="20" t="s">
        <v>74</v>
      </c>
      <c r="B77" s="7"/>
      <c r="C77" s="7"/>
      <c r="D77" s="7">
        <f t="shared" si="1"/>
        <v>0</v>
      </c>
    </row>
    <row r="78" spans="1:4" ht="18.75" hidden="1" x14ac:dyDescent="0.25">
      <c r="A78" s="9" t="s">
        <v>75</v>
      </c>
      <c r="B78" s="7"/>
      <c r="C78" s="7"/>
      <c r="D78" s="7">
        <f t="shared" si="1"/>
        <v>0</v>
      </c>
    </row>
    <row r="79" spans="1:4" ht="18.75" hidden="1" x14ac:dyDescent="0.25">
      <c r="A79" s="9" t="s">
        <v>76</v>
      </c>
      <c r="B79" s="7"/>
      <c r="C79" s="7"/>
      <c r="D79" s="7">
        <f t="shared" si="1"/>
        <v>0</v>
      </c>
    </row>
    <row r="80" spans="1:4" ht="18.75" x14ac:dyDescent="0.25">
      <c r="A80" s="9" t="s">
        <v>77</v>
      </c>
      <c r="B80" s="7">
        <f>-100+30+70+30</f>
        <v>30</v>
      </c>
      <c r="C80" s="7">
        <v>22000</v>
      </c>
      <c r="D80" s="7">
        <f t="shared" si="1"/>
        <v>660000</v>
      </c>
    </row>
    <row r="81" spans="1:4" ht="18.75" hidden="1" x14ac:dyDescent="0.25">
      <c r="A81" s="13" t="s">
        <v>78</v>
      </c>
      <c r="B81" s="7"/>
      <c r="C81" s="7"/>
      <c r="D81" s="7">
        <f t="shared" si="1"/>
        <v>0</v>
      </c>
    </row>
    <row r="82" spans="1:4" ht="18.75" hidden="1" x14ac:dyDescent="0.25">
      <c r="A82" s="9" t="s">
        <v>79</v>
      </c>
      <c r="B82" s="7"/>
      <c r="C82" s="7"/>
      <c r="D82" s="7">
        <f t="shared" si="1"/>
        <v>0</v>
      </c>
    </row>
    <row r="83" spans="1:4" ht="18.75" hidden="1" x14ac:dyDescent="0.25">
      <c r="A83" s="9" t="s">
        <v>80</v>
      </c>
      <c r="B83" s="7"/>
      <c r="C83" s="7"/>
      <c r="D83" s="7">
        <f t="shared" si="1"/>
        <v>0</v>
      </c>
    </row>
    <row r="84" spans="1:4" ht="18.75" hidden="1" x14ac:dyDescent="0.25">
      <c r="A84" s="9" t="s">
        <v>81</v>
      </c>
      <c r="B84" s="7"/>
      <c r="C84" s="7"/>
      <c r="D84" s="7">
        <f t="shared" si="1"/>
        <v>0</v>
      </c>
    </row>
    <row r="85" spans="1:4" ht="18.75" hidden="1" x14ac:dyDescent="0.25">
      <c r="A85" s="17" t="s">
        <v>380</v>
      </c>
      <c r="B85" s="7"/>
      <c r="C85" s="7"/>
      <c r="D85" s="7">
        <f t="shared" si="1"/>
        <v>0</v>
      </c>
    </row>
    <row r="86" spans="1:4" ht="18.75" hidden="1" x14ac:dyDescent="0.25">
      <c r="A86" s="12" t="s">
        <v>82</v>
      </c>
      <c r="B86" s="16"/>
      <c r="C86" s="16"/>
      <c r="D86" s="7">
        <f t="shared" si="1"/>
        <v>0</v>
      </c>
    </row>
    <row r="87" spans="1:4" ht="18.75" hidden="1" x14ac:dyDescent="0.25">
      <c r="A87" s="12" t="s">
        <v>83</v>
      </c>
      <c r="B87" s="16"/>
      <c r="C87" s="16"/>
      <c r="D87" s="7">
        <f t="shared" si="1"/>
        <v>0</v>
      </c>
    </row>
    <row r="88" spans="1:4" ht="18.75" hidden="1" x14ac:dyDescent="0.25">
      <c r="A88" s="12" t="s">
        <v>84</v>
      </c>
      <c r="B88" s="16"/>
      <c r="C88" s="16"/>
      <c r="D88" s="7">
        <f t="shared" si="1"/>
        <v>0</v>
      </c>
    </row>
    <row r="89" spans="1:4" ht="18.75" hidden="1" x14ac:dyDescent="0.25">
      <c r="A89" s="9" t="s">
        <v>85</v>
      </c>
      <c r="B89" s="7"/>
      <c r="C89" s="7"/>
      <c r="D89" s="7">
        <f t="shared" si="1"/>
        <v>0</v>
      </c>
    </row>
    <row r="90" spans="1:4" ht="18.75" hidden="1" x14ac:dyDescent="0.25">
      <c r="A90" s="9" t="s">
        <v>86</v>
      </c>
      <c r="B90" s="7"/>
      <c r="C90" s="7"/>
      <c r="D90" s="7">
        <f t="shared" si="1"/>
        <v>0</v>
      </c>
    </row>
    <row r="91" spans="1:4" ht="18.75" hidden="1" x14ac:dyDescent="0.25">
      <c r="A91" s="9" t="s">
        <v>87</v>
      </c>
      <c r="B91" s="7"/>
      <c r="C91" s="7"/>
      <c r="D91" s="7">
        <f t="shared" si="1"/>
        <v>0</v>
      </c>
    </row>
    <row r="92" spans="1:4" ht="18.75" hidden="1" x14ac:dyDescent="0.25">
      <c r="A92" s="9" t="s">
        <v>88</v>
      </c>
      <c r="B92" s="7"/>
      <c r="C92" s="7"/>
      <c r="D92" s="7">
        <f t="shared" si="1"/>
        <v>0</v>
      </c>
    </row>
    <row r="93" spans="1:4" ht="18.75" hidden="1" x14ac:dyDescent="0.25">
      <c r="A93" s="9" t="s">
        <v>89</v>
      </c>
      <c r="B93" s="7"/>
      <c r="C93" s="7"/>
      <c r="D93" s="7">
        <f t="shared" si="1"/>
        <v>0</v>
      </c>
    </row>
    <row r="94" spans="1:4" ht="18.75" x14ac:dyDescent="0.25">
      <c r="A94" s="9" t="s">
        <v>90</v>
      </c>
      <c r="B94" s="7">
        <f>3+12</f>
        <v>15</v>
      </c>
      <c r="C94" s="7">
        <v>10000</v>
      </c>
      <c r="D94" s="7">
        <f t="shared" si="1"/>
        <v>150000</v>
      </c>
    </row>
    <row r="95" spans="1:4" ht="18.75" hidden="1" x14ac:dyDescent="0.25">
      <c r="A95" s="21" t="s">
        <v>91</v>
      </c>
      <c r="B95" s="7"/>
      <c r="C95" s="7"/>
      <c r="D95" s="7">
        <f t="shared" si="1"/>
        <v>0</v>
      </c>
    </row>
    <row r="96" spans="1:4" ht="18.75" hidden="1" x14ac:dyDescent="0.25">
      <c r="A96" s="21" t="s">
        <v>92</v>
      </c>
      <c r="B96" s="7"/>
      <c r="C96" s="7"/>
      <c r="D96" s="7">
        <f t="shared" si="1"/>
        <v>0</v>
      </c>
    </row>
    <row r="97" spans="1:4" ht="18.75" hidden="1" x14ac:dyDescent="0.25">
      <c r="A97" s="21" t="s">
        <v>93</v>
      </c>
      <c r="B97" s="7"/>
      <c r="C97" s="7"/>
      <c r="D97" s="7">
        <f t="shared" si="1"/>
        <v>0</v>
      </c>
    </row>
    <row r="98" spans="1:4" ht="18.75" hidden="1" x14ac:dyDescent="0.25">
      <c r="A98" s="11" t="s">
        <v>94</v>
      </c>
      <c r="B98" s="7"/>
      <c r="C98" s="7"/>
      <c r="D98" s="7">
        <f t="shared" si="1"/>
        <v>0</v>
      </c>
    </row>
    <row r="99" spans="1:4" ht="18.75" hidden="1" x14ac:dyDescent="0.25">
      <c r="A99" s="13" t="s">
        <v>95</v>
      </c>
      <c r="B99" s="7"/>
      <c r="C99" s="7"/>
      <c r="D99" s="7">
        <f t="shared" si="1"/>
        <v>0</v>
      </c>
    </row>
    <row r="100" spans="1:4" ht="18.75" hidden="1" x14ac:dyDescent="0.25">
      <c r="A100" s="9" t="s">
        <v>96</v>
      </c>
      <c r="B100" s="7"/>
      <c r="C100" s="7"/>
      <c r="D100" s="7">
        <f t="shared" si="1"/>
        <v>0</v>
      </c>
    </row>
    <row r="101" spans="1:4" ht="18.75" hidden="1" x14ac:dyDescent="0.25">
      <c r="A101" s="9" t="s">
        <v>97</v>
      </c>
      <c r="B101" s="7"/>
      <c r="C101" s="7"/>
      <c r="D101" s="7">
        <f t="shared" si="1"/>
        <v>0</v>
      </c>
    </row>
    <row r="102" spans="1:4" ht="18.75" hidden="1" x14ac:dyDescent="0.25">
      <c r="A102" s="23" t="s">
        <v>98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99</v>
      </c>
      <c r="B103" s="16"/>
      <c r="C103" s="16"/>
      <c r="D103" s="7">
        <f t="shared" si="1"/>
        <v>0</v>
      </c>
    </row>
    <row r="104" spans="1:4" ht="18.75" hidden="1" x14ac:dyDescent="0.25">
      <c r="A104" s="23" t="s">
        <v>100</v>
      </c>
      <c r="B104" s="7"/>
      <c r="C104" s="7"/>
      <c r="D104" s="7">
        <f t="shared" si="1"/>
        <v>0</v>
      </c>
    </row>
    <row r="105" spans="1:4" ht="18.75" hidden="1" x14ac:dyDescent="0.25">
      <c r="A105" s="21" t="s">
        <v>101</v>
      </c>
      <c r="B105" s="7"/>
      <c r="C105" s="7"/>
      <c r="D105" s="7">
        <f t="shared" si="1"/>
        <v>0</v>
      </c>
    </row>
    <row r="106" spans="1:4" ht="18.75" hidden="1" x14ac:dyDescent="0.25">
      <c r="A106" s="11" t="s">
        <v>102</v>
      </c>
      <c r="B106" s="7"/>
      <c r="C106" s="7"/>
      <c r="D106" s="7">
        <f t="shared" si="1"/>
        <v>0</v>
      </c>
    </row>
    <row r="107" spans="1:4" ht="18.75" x14ac:dyDescent="0.25">
      <c r="A107" s="9" t="s">
        <v>103</v>
      </c>
      <c r="B107" s="7">
        <v>540</v>
      </c>
      <c r="C107" s="7">
        <v>8000</v>
      </c>
      <c r="D107" s="7">
        <f t="shared" si="1"/>
        <v>4320000</v>
      </c>
    </row>
    <row r="108" spans="1:4" ht="18.75" hidden="1" x14ac:dyDescent="0.25">
      <c r="A108" s="17" t="s">
        <v>104</v>
      </c>
      <c r="B108" s="7"/>
      <c r="C108" s="7"/>
      <c r="D108" s="7">
        <f t="shared" si="1"/>
        <v>0</v>
      </c>
    </row>
    <row r="109" spans="1:4" ht="18.75" hidden="1" x14ac:dyDescent="0.25">
      <c r="A109" s="9" t="s">
        <v>105</v>
      </c>
      <c r="B109" s="7"/>
      <c r="C109" s="7"/>
      <c r="D109" s="7">
        <f t="shared" si="1"/>
        <v>0</v>
      </c>
    </row>
    <row r="110" spans="1:4" ht="18.75" hidden="1" x14ac:dyDescent="0.25">
      <c r="A110" s="9" t="s">
        <v>106</v>
      </c>
      <c r="B110" s="7"/>
      <c r="C110" s="7"/>
      <c r="D110" s="7">
        <f t="shared" si="1"/>
        <v>0</v>
      </c>
    </row>
    <row r="111" spans="1:4" ht="18.75" hidden="1" x14ac:dyDescent="0.25">
      <c r="A111" s="11" t="s">
        <v>107</v>
      </c>
      <c r="B111" s="7"/>
      <c r="C111" s="7"/>
      <c r="D111" s="7">
        <f t="shared" si="1"/>
        <v>0</v>
      </c>
    </row>
    <row r="112" spans="1:4" ht="18.75" hidden="1" x14ac:dyDescent="0.25">
      <c r="A112" s="25" t="s">
        <v>108</v>
      </c>
      <c r="B112" s="7"/>
      <c r="C112" s="7"/>
      <c r="D112" s="7">
        <f t="shared" si="1"/>
        <v>0</v>
      </c>
    </row>
    <row r="113" spans="1:4" ht="18.75" hidden="1" x14ac:dyDescent="0.25">
      <c r="A113" s="9" t="s">
        <v>109</v>
      </c>
      <c r="B113" s="7"/>
      <c r="C113" s="7"/>
      <c r="D113" s="7">
        <f t="shared" si="1"/>
        <v>0</v>
      </c>
    </row>
    <row r="114" spans="1:4" ht="18.75" hidden="1" x14ac:dyDescent="0.25">
      <c r="A114" s="9" t="s">
        <v>381</v>
      </c>
      <c r="B114" s="7"/>
      <c r="C114" s="7"/>
      <c r="D114" s="7">
        <f t="shared" si="1"/>
        <v>0</v>
      </c>
    </row>
    <row r="115" spans="1:4" ht="18.75" hidden="1" x14ac:dyDescent="0.25">
      <c r="A115" s="12" t="s">
        <v>386</v>
      </c>
      <c r="B115" s="16"/>
      <c r="C115" s="16"/>
      <c r="D115" s="7">
        <f t="shared" si="1"/>
        <v>0</v>
      </c>
    </row>
    <row r="116" spans="1:4" ht="18.75" x14ac:dyDescent="0.25">
      <c r="A116" s="9" t="s">
        <v>110</v>
      </c>
      <c r="B116" s="7">
        <f>25+8+40</f>
        <v>73</v>
      </c>
      <c r="C116" s="7">
        <v>17000</v>
      </c>
      <c r="D116" s="7">
        <f t="shared" si="1"/>
        <v>1241000</v>
      </c>
    </row>
    <row r="117" spans="1:4" ht="18.75" hidden="1" x14ac:dyDescent="0.25">
      <c r="A117" s="9" t="s">
        <v>111</v>
      </c>
      <c r="B117" s="7"/>
      <c r="C117" s="7"/>
      <c r="D117" s="7">
        <f t="shared" si="1"/>
        <v>0</v>
      </c>
    </row>
    <row r="118" spans="1:4" ht="18.75" hidden="1" x14ac:dyDescent="0.25">
      <c r="A118" s="9" t="s">
        <v>112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113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114</v>
      </c>
      <c r="B120" s="7"/>
      <c r="C120" s="7"/>
      <c r="D120" s="7">
        <f t="shared" si="1"/>
        <v>0</v>
      </c>
    </row>
    <row r="121" spans="1:4" ht="18.75" hidden="1" x14ac:dyDescent="0.25">
      <c r="A121" s="9" t="s">
        <v>115</v>
      </c>
      <c r="B121" s="7"/>
      <c r="C121" s="7"/>
      <c r="D121" s="7">
        <f t="shared" si="1"/>
        <v>0</v>
      </c>
    </row>
    <row r="122" spans="1:4" ht="18.75" hidden="1" x14ac:dyDescent="0.25">
      <c r="A122" s="9" t="s">
        <v>116</v>
      </c>
      <c r="B122" s="7"/>
      <c r="C122" s="7"/>
      <c r="D122" s="7">
        <f t="shared" si="1"/>
        <v>0</v>
      </c>
    </row>
    <row r="123" spans="1:4" ht="18.75" hidden="1" x14ac:dyDescent="0.25">
      <c r="A123" s="28" t="s">
        <v>412</v>
      </c>
      <c r="B123" s="7"/>
      <c r="C123" s="7"/>
      <c r="D123" s="7">
        <f t="shared" si="1"/>
        <v>0</v>
      </c>
    </row>
    <row r="124" spans="1:4" ht="18.75" hidden="1" x14ac:dyDescent="0.25">
      <c r="A124" s="11" t="s">
        <v>117</v>
      </c>
      <c r="B124" s="7"/>
      <c r="C124" s="7"/>
      <c r="D124" s="7">
        <f t="shared" si="1"/>
        <v>0</v>
      </c>
    </row>
    <row r="125" spans="1:4" ht="18.75" hidden="1" x14ac:dyDescent="0.25">
      <c r="A125" s="21" t="s">
        <v>118</v>
      </c>
      <c r="B125" s="7"/>
      <c r="C125" s="7"/>
      <c r="D125" s="7">
        <f t="shared" si="1"/>
        <v>0</v>
      </c>
    </row>
    <row r="126" spans="1:4" ht="18.75" hidden="1" x14ac:dyDescent="0.25">
      <c r="A126" s="11" t="s">
        <v>395</v>
      </c>
      <c r="B126" s="7"/>
      <c r="C126" s="7"/>
      <c r="D126" s="7">
        <f t="shared" si="1"/>
        <v>0</v>
      </c>
    </row>
    <row r="127" spans="1:4" ht="18.75" hidden="1" x14ac:dyDescent="0.25">
      <c r="A127" s="9" t="s">
        <v>391</v>
      </c>
      <c r="B127" s="7"/>
      <c r="C127" s="7"/>
      <c r="D127" s="7">
        <f t="shared" si="1"/>
        <v>0</v>
      </c>
    </row>
    <row r="128" spans="1:4" ht="18.75" hidden="1" x14ac:dyDescent="0.25">
      <c r="A128" s="11" t="s">
        <v>392</v>
      </c>
      <c r="B128" s="7"/>
      <c r="C128" s="7"/>
      <c r="D128" s="7">
        <f t="shared" si="1"/>
        <v>0</v>
      </c>
    </row>
    <row r="129" spans="1:4" ht="18.75" hidden="1" x14ac:dyDescent="0.25">
      <c r="A129" s="9" t="s">
        <v>119</v>
      </c>
      <c r="B129" s="7"/>
      <c r="C129" s="7"/>
      <c r="D129" s="7">
        <f t="shared" si="1"/>
        <v>0</v>
      </c>
    </row>
    <row r="130" spans="1:4" ht="18.75" hidden="1" x14ac:dyDescent="0.25">
      <c r="A130" s="11" t="s">
        <v>120</v>
      </c>
      <c r="B130" s="7"/>
      <c r="C130" s="7"/>
      <c r="D130" s="7">
        <f t="shared" si="1"/>
        <v>0</v>
      </c>
    </row>
    <row r="131" spans="1:4" ht="18.75" hidden="1" x14ac:dyDescent="0.25">
      <c r="A131" s="11" t="s">
        <v>121</v>
      </c>
      <c r="B131" s="7"/>
      <c r="C131" s="7"/>
      <c r="D131" s="7">
        <f t="shared" si="1"/>
        <v>0</v>
      </c>
    </row>
    <row r="132" spans="1:4" ht="18.75" hidden="1" x14ac:dyDescent="0.25">
      <c r="A132" s="17" t="s">
        <v>382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7"/>
      <c r="C133" s="7"/>
      <c r="D133" s="7">
        <f t="shared" si="2"/>
        <v>0</v>
      </c>
    </row>
    <row r="134" spans="1:4" ht="18.75" hidden="1" x14ac:dyDescent="0.25">
      <c r="A134" s="13" t="s">
        <v>384</v>
      </c>
      <c r="B134" s="7"/>
      <c r="C134" s="7"/>
      <c r="D134" s="7">
        <f t="shared" si="2"/>
        <v>0</v>
      </c>
    </row>
    <row r="135" spans="1:4" ht="18.75" x14ac:dyDescent="0.25">
      <c r="A135" s="9" t="s">
        <v>122</v>
      </c>
      <c r="B135" s="7">
        <f>-20+50+40</f>
        <v>70</v>
      </c>
      <c r="C135" s="7">
        <v>14000</v>
      </c>
      <c r="D135" s="7">
        <f t="shared" si="2"/>
        <v>980000</v>
      </c>
    </row>
    <row r="136" spans="1:4" ht="18.75" hidden="1" x14ac:dyDescent="0.25">
      <c r="A136" s="9" t="s">
        <v>123</v>
      </c>
      <c r="B136" s="7"/>
      <c r="C136" s="7"/>
      <c r="D136" s="7">
        <f t="shared" si="2"/>
        <v>0</v>
      </c>
    </row>
    <row r="137" spans="1:4" ht="18.75" hidden="1" x14ac:dyDescent="0.25">
      <c r="A137" s="10" t="s">
        <v>124</v>
      </c>
      <c r="B137" s="7"/>
      <c r="C137" s="7"/>
      <c r="D137" s="7">
        <f t="shared" si="2"/>
        <v>0</v>
      </c>
    </row>
    <row r="138" spans="1:4" ht="18.75" hidden="1" x14ac:dyDescent="0.25">
      <c r="A138" s="13" t="s">
        <v>125</v>
      </c>
      <c r="B138" s="7"/>
      <c r="C138" s="7"/>
      <c r="D138" s="7">
        <f t="shared" si="2"/>
        <v>0</v>
      </c>
    </row>
    <row r="139" spans="1:4" ht="18.75" hidden="1" x14ac:dyDescent="0.25">
      <c r="A139" s="12" t="s">
        <v>126</v>
      </c>
      <c r="B139" s="16"/>
      <c r="C139" s="16"/>
      <c r="D139" s="7">
        <f t="shared" si="2"/>
        <v>0</v>
      </c>
    </row>
    <row r="140" spans="1:4" ht="18.75" hidden="1" x14ac:dyDescent="0.25">
      <c r="A140" s="12" t="s">
        <v>128</v>
      </c>
      <c r="B140" s="16"/>
      <c r="C140" s="16"/>
      <c r="D140" s="7">
        <f t="shared" si="2"/>
        <v>0</v>
      </c>
    </row>
    <row r="141" spans="1:4" ht="18.75" hidden="1" x14ac:dyDescent="0.25">
      <c r="A141" s="12" t="s">
        <v>129</v>
      </c>
      <c r="B141" s="27"/>
      <c r="C141" s="27"/>
      <c r="D141" s="7">
        <f t="shared" si="2"/>
        <v>0</v>
      </c>
    </row>
    <row r="142" spans="1:4" ht="18.75" hidden="1" x14ac:dyDescent="0.25">
      <c r="A142" s="12" t="s">
        <v>131</v>
      </c>
      <c r="B142" s="16"/>
      <c r="C142" s="16"/>
      <c r="D142" s="7">
        <f t="shared" si="2"/>
        <v>0</v>
      </c>
    </row>
    <row r="143" spans="1:4" ht="18.75" hidden="1" x14ac:dyDescent="0.25">
      <c r="A143" s="9" t="s">
        <v>132</v>
      </c>
      <c r="B143" s="7"/>
      <c r="C143" s="7"/>
      <c r="D143" s="7">
        <f t="shared" si="2"/>
        <v>0</v>
      </c>
    </row>
    <row r="144" spans="1:4" ht="18.75" hidden="1" x14ac:dyDescent="0.25">
      <c r="A144" s="9" t="s">
        <v>133</v>
      </c>
      <c r="B144" s="7"/>
      <c r="C144" s="7"/>
      <c r="D144" s="7">
        <f t="shared" si="2"/>
        <v>0</v>
      </c>
    </row>
    <row r="145" spans="1:4" ht="18.75" hidden="1" x14ac:dyDescent="0.25">
      <c r="A145" s="9" t="s">
        <v>134</v>
      </c>
      <c r="B145" s="7"/>
      <c r="C145" s="7"/>
      <c r="D145" s="7">
        <f t="shared" si="2"/>
        <v>0</v>
      </c>
    </row>
    <row r="146" spans="1:4" ht="18.75" x14ac:dyDescent="0.25">
      <c r="A146" s="9" t="s">
        <v>135</v>
      </c>
      <c r="B146" s="7">
        <f>-60+35+90+6</f>
        <v>71</v>
      </c>
      <c r="C146" s="7">
        <v>16000</v>
      </c>
      <c r="D146" s="7">
        <f t="shared" si="2"/>
        <v>1136000</v>
      </c>
    </row>
    <row r="147" spans="1:4" ht="18.75" hidden="1" x14ac:dyDescent="0.25">
      <c r="A147" s="17" t="s">
        <v>136</v>
      </c>
      <c r="B147" s="7"/>
      <c r="C147" s="7"/>
      <c r="D147" s="7">
        <f t="shared" si="2"/>
        <v>0</v>
      </c>
    </row>
    <row r="148" spans="1:4" ht="18.75" hidden="1" x14ac:dyDescent="0.25">
      <c r="A148" s="12" t="s">
        <v>137</v>
      </c>
      <c r="B148" s="7"/>
      <c r="C148" s="7"/>
      <c r="D148" s="7">
        <f t="shared" si="2"/>
        <v>0</v>
      </c>
    </row>
    <row r="149" spans="1:4" ht="18.75" hidden="1" x14ac:dyDescent="0.25">
      <c r="A149" s="12" t="s">
        <v>138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139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140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141</v>
      </c>
      <c r="B152" s="16"/>
      <c r="C152" s="16"/>
      <c r="D152" s="7">
        <f t="shared" si="2"/>
        <v>0</v>
      </c>
    </row>
    <row r="153" spans="1:4" ht="18.75" hidden="1" x14ac:dyDescent="0.25">
      <c r="A153" s="9" t="s">
        <v>142</v>
      </c>
      <c r="B153" s="16"/>
      <c r="C153" s="16"/>
      <c r="D153" s="7">
        <f t="shared" si="2"/>
        <v>0</v>
      </c>
    </row>
    <row r="154" spans="1:4" ht="18.75" hidden="1" x14ac:dyDescent="0.25">
      <c r="A154" s="9" t="s">
        <v>143</v>
      </c>
      <c r="B154" s="7"/>
      <c r="C154" s="7"/>
      <c r="D154" s="7">
        <f t="shared" si="2"/>
        <v>0</v>
      </c>
    </row>
    <row r="155" spans="1:4" ht="18.75" hidden="1" x14ac:dyDescent="0.25">
      <c r="A155" s="9" t="s">
        <v>144</v>
      </c>
      <c r="B155" s="16"/>
      <c r="C155" s="16"/>
      <c r="D155" s="7">
        <f t="shared" si="2"/>
        <v>0</v>
      </c>
    </row>
    <row r="156" spans="1:4" ht="18.75" hidden="1" x14ac:dyDescent="0.25">
      <c r="A156" s="9" t="s">
        <v>145</v>
      </c>
      <c r="B156" s="16"/>
      <c r="C156" s="16"/>
      <c r="D156" s="7">
        <f t="shared" si="2"/>
        <v>0</v>
      </c>
    </row>
    <row r="157" spans="1:4" ht="18.75" hidden="1" x14ac:dyDescent="0.25">
      <c r="A157" s="9" t="s">
        <v>146</v>
      </c>
      <c r="B157" s="16"/>
      <c r="C157" s="16"/>
      <c r="D157" s="7">
        <f t="shared" si="2"/>
        <v>0</v>
      </c>
    </row>
    <row r="158" spans="1:4" ht="18.75" hidden="1" x14ac:dyDescent="0.25">
      <c r="A158" s="9" t="s">
        <v>147</v>
      </c>
      <c r="B158" s="16"/>
      <c r="C158" s="16"/>
      <c r="D158" s="7">
        <f t="shared" si="2"/>
        <v>0</v>
      </c>
    </row>
    <row r="159" spans="1:4" ht="18.75" hidden="1" x14ac:dyDescent="0.25">
      <c r="A159" s="9" t="s">
        <v>148</v>
      </c>
      <c r="B159" s="16"/>
      <c r="C159" s="16"/>
      <c r="D159" s="7">
        <f t="shared" si="2"/>
        <v>0</v>
      </c>
    </row>
    <row r="160" spans="1:4" ht="18.75" hidden="1" x14ac:dyDescent="0.25">
      <c r="A160" s="9" t="s">
        <v>149</v>
      </c>
      <c r="B160" s="16"/>
      <c r="C160" s="16"/>
      <c r="D160" s="7">
        <f t="shared" si="2"/>
        <v>0</v>
      </c>
    </row>
    <row r="161" spans="1:4" ht="18.75" hidden="1" x14ac:dyDescent="0.25">
      <c r="A161" s="18" t="s">
        <v>150</v>
      </c>
      <c r="B161" s="16"/>
      <c r="C161" s="16"/>
      <c r="D161" s="7">
        <f t="shared" si="2"/>
        <v>0</v>
      </c>
    </row>
    <row r="162" spans="1:4" ht="18.75" hidden="1" x14ac:dyDescent="0.25">
      <c r="A162" s="9" t="s">
        <v>151</v>
      </c>
      <c r="B162" s="16"/>
      <c r="C162" s="16"/>
      <c r="D162" s="7">
        <f t="shared" si="2"/>
        <v>0</v>
      </c>
    </row>
    <row r="163" spans="1:4" ht="18.75" hidden="1" x14ac:dyDescent="0.25">
      <c r="A163" s="9" t="s">
        <v>152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153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154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155</v>
      </c>
      <c r="B166" s="7"/>
      <c r="C166" s="7"/>
      <c r="D166" s="7">
        <f t="shared" si="2"/>
        <v>0</v>
      </c>
    </row>
    <row r="167" spans="1:4" ht="18.75" hidden="1" x14ac:dyDescent="0.25">
      <c r="A167" s="17" t="s">
        <v>156</v>
      </c>
      <c r="B167" s="7"/>
      <c r="C167" s="7"/>
      <c r="D167" s="7">
        <f t="shared" si="2"/>
        <v>0</v>
      </c>
    </row>
    <row r="168" spans="1:4" ht="18.75" hidden="1" x14ac:dyDescent="0.25">
      <c r="A168" s="9" t="s">
        <v>157</v>
      </c>
      <c r="B168" s="7"/>
      <c r="C168" s="7"/>
      <c r="D168" s="7">
        <f t="shared" si="2"/>
        <v>0</v>
      </c>
    </row>
    <row r="169" spans="1:4" ht="18.75" hidden="1" x14ac:dyDescent="0.25">
      <c r="A169" s="9" t="s">
        <v>158</v>
      </c>
      <c r="B169" s="7"/>
      <c r="C169" s="7"/>
      <c r="D169" s="7">
        <f t="shared" si="2"/>
        <v>0</v>
      </c>
    </row>
    <row r="170" spans="1:4" ht="18.75" hidden="1" x14ac:dyDescent="0.25">
      <c r="A170" s="9" t="s">
        <v>159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160</v>
      </c>
      <c r="B171" s="7"/>
      <c r="C171" s="7"/>
      <c r="D171" s="7">
        <f t="shared" si="2"/>
        <v>0</v>
      </c>
    </row>
    <row r="172" spans="1:4" ht="18.75" hidden="1" x14ac:dyDescent="0.25">
      <c r="A172" s="9" t="s">
        <v>161</v>
      </c>
      <c r="B172" s="16"/>
      <c r="C172" s="16"/>
      <c r="D172" s="7">
        <f t="shared" si="2"/>
        <v>0</v>
      </c>
    </row>
    <row r="173" spans="1:4" ht="18.75" hidden="1" x14ac:dyDescent="0.25">
      <c r="A173" s="9" t="s">
        <v>162</v>
      </c>
      <c r="B173" s="16"/>
      <c r="C173" s="16"/>
      <c r="D173" s="7">
        <f t="shared" si="2"/>
        <v>0</v>
      </c>
    </row>
    <row r="174" spans="1:4" ht="18.75" hidden="1" x14ac:dyDescent="0.25">
      <c r="A174" s="9" t="s">
        <v>163</v>
      </c>
      <c r="B174" s="16"/>
      <c r="C174" s="16"/>
      <c r="D174" s="7">
        <f t="shared" si="2"/>
        <v>0</v>
      </c>
    </row>
    <row r="175" spans="1:4" ht="18.75" hidden="1" x14ac:dyDescent="0.25">
      <c r="A175" s="9" t="s">
        <v>164</v>
      </c>
      <c r="B175" s="7"/>
      <c r="C175" s="7"/>
      <c r="D175" s="7">
        <f t="shared" si="2"/>
        <v>0</v>
      </c>
    </row>
    <row r="176" spans="1:4" ht="18.75" hidden="1" x14ac:dyDescent="0.25">
      <c r="A176" s="9" t="s">
        <v>165</v>
      </c>
      <c r="B176" s="7"/>
      <c r="C176" s="7"/>
      <c r="D176" s="7">
        <f t="shared" si="2"/>
        <v>0</v>
      </c>
    </row>
    <row r="177" spans="1:4" ht="18.75" hidden="1" x14ac:dyDescent="0.25">
      <c r="A177" s="17" t="s">
        <v>166</v>
      </c>
      <c r="B177" s="7"/>
      <c r="C177" s="7"/>
      <c r="D177" s="7">
        <f t="shared" si="2"/>
        <v>0</v>
      </c>
    </row>
    <row r="178" spans="1:4" ht="18.75" x14ac:dyDescent="0.25">
      <c r="A178" s="9" t="s">
        <v>168</v>
      </c>
      <c r="B178" s="7">
        <f>80+33+54+25-54</f>
        <v>138</v>
      </c>
      <c r="C178" s="46">
        <v>6000</v>
      </c>
      <c r="D178" s="7">
        <f t="shared" si="2"/>
        <v>828000</v>
      </c>
    </row>
    <row r="179" spans="1:4" ht="18.75" hidden="1" x14ac:dyDescent="0.25">
      <c r="A179" s="30" t="s">
        <v>169</v>
      </c>
      <c r="B179" s="7"/>
      <c r="C179" s="7"/>
      <c r="D179" s="7">
        <f t="shared" si="2"/>
        <v>0</v>
      </c>
    </row>
    <row r="180" spans="1:4" ht="18.75" x14ac:dyDescent="0.25">
      <c r="A180" s="9" t="s">
        <v>170</v>
      </c>
      <c r="B180" s="7">
        <v>27</v>
      </c>
      <c r="C180" s="7">
        <v>11000</v>
      </c>
      <c r="D180" s="7">
        <f t="shared" si="2"/>
        <v>297000</v>
      </c>
    </row>
    <row r="181" spans="1:4" ht="18.75" hidden="1" x14ac:dyDescent="0.25">
      <c r="A181" s="9" t="s">
        <v>171</v>
      </c>
      <c r="B181" s="7"/>
      <c r="C181" s="7"/>
      <c r="D181" s="7">
        <f t="shared" si="2"/>
        <v>0</v>
      </c>
    </row>
    <row r="182" spans="1:4" ht="18.75" hidden="1" x14ac:dyDescent="0.25">
      <c r="A182" s="20" t="s">
        <v>172</v>
      </c>
      <c r="B182" s="7"/>
      <c r="C182" s="7"/>
      <c r="D182" s="7">
        <f t="shared" si="2"/>
        <v>0</v>
      </c>
    </row>
    <row r="183" spans="1:4" ht="18.75" hidden="1" x14ac:dyDescent="0.25">
      <c r="A183" s="9" t="s">
        <v>173</v>
      </c>
      <c r="B183" s="7"/>
      <c r="C183" s="7"/>
      <c r="D183" s="7">
        <f t="shared" si="2"/>
        <v>0</v>
      </c>
    </row>
    <row r="184" spans="1:4" ht="18.75" hidden="1" x14ac:dyDescent="0.25">
      <c r="A184" s="31" t="s">
        <v>174</v>
      </c>
      <c r="B184" s="33"/>
      <c r="C184" s="33"/>
      <c r="D184" s="7">
        <f t="shared" si="2"/>
        <v>0</v>
      </c>
    </row>
    <row r="185" spans="1:4" ht="18.75" hidden="1" x14ac:dyDescent="0.25">
      <c r="A185" s="11" t="s">
        <v>175</v>
      </c>
      <c r="B185" s="7"/>
      <c r="C185" s="7"/>
      <c r="D185" s="7">
        <f t="shared" si="2"/>
        <v>0</v>
      </c>
    </row>
    <row r="186" spans="1:4" ht="18.75" hidden="1" x14ac:dyDescent="0.25">
      <c r="A186" s="9" t="s">
        <v>176</v>
      </c>
      <c r="B186" s="7"/>
      <c r="C186" s="7"/>
      <c r="D186" s="7">
        <f t="shared" si="2"/>
        <v>0</v>
      </c>
    </row>
    <row r="187" spans="1:4" ht="18.75" hidden="1" x14ac:dyDescent="0.25">
      <c r="A187" s="9" t="s">
        <v>177</v>
      </c>
      <c r="B187" s="7"/>
      <c r="C187" s="7"/>
      <c r="D187" s="7">
        <f t="shared" si="2"/>
        <v>0</v>
      </c>
    </row>
    <row r="188" spans="1:4" ht="18.75" hidden="1" x14ac:dyDescent="0.25">
      <c r="A188" s="12" t="s">
        <v>178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179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180</v>
      </c>
      <c r="B190" s="7"/>
      <c r="C190" s="7"/>
      <c r="D190" s="7">
        <f t="shared" si="2"/>
        <v>0</v>
      </c>
    </row>
    <row r="191" spans="1:4" ht="18.75" hidden="1" x14ac:dyDescent="0.25">
      <c r="A191" s="12" t="s">
        <v>181</v>
      </c>
      <c r="B191" s="7"/>
      <c r="C191" s="7"/>
      <c r="D191" s="7">
        <f t="shared" si="2"/>
        <v>0</v>
      </c>
    </row>
    <row r="192" spans="1:4" ht="18.75" hidden="1" x14ac:dyDescent="0.25">
      <c r="A192" s="12" t="s">
        <v>182</v>
      </c>
      <c r="B192" s="7"/>
      <c r="C192" s="7"/>
      <c r="D192" s="7">
        <f t="shared" si="2"/>
        <v>0</v>
      </c>
    </row>
    <row r="193" spans="1:4" ht="18.75" x14ac:dyDescent="0.25">
      <c r="A193" s="12" t="s">
        <v>183</v>
      </c>
      <c r="B193" s="7">
        <f>12+80</f>
        <v>92</v>
      </c>
      <c r="C193" s="7">
        <v>12000</v>
      </c>
      <c r="D193" s="7">
        <f t="shared" si="2"/>
        <v>1104000</v>
      </c>
    </row>
    <row r="194" spans="1:4" ht="18.75" x14ac:dyDescent="0.25">
      <c r="A194" s="9" t="s">
        <v>184</v>
      </c>
      <c r="B194" s="7">
        <f>160/0.3</f>
        <v>533.33333333333337</v>
      </c>
      <c r="C194" s="7">
        <v>2700</v>
      </c>
      <c r="D194" s="7">
        <f t="shared" si="2"/>
        <v>1440000</v>
      </c>
    </row>
    <row r="195" spans="1:4" ht="18.75" hidden="1" x14ac:dyDescent="0.25">
      <c r="A195" s="9" t="s">
        <v>185</v>
      </c>
      <c r="B195" s="7"/>
      <c r="C195" s="7"/>
      <c r="D195" s="7">
        <f t="shared" si="2"/>
        <v>0</v>
      </c>
    </row>
    <row r="196" spans="1:4" ht="18.75" hidden="1" x14ac:dyDescent="0.25">
      <c r="A196" s="12" t="s">
        <v>186</v>
      </c>
      <c r="B196" s="7"/>
      <c r="C196" s="7"/>
      <c r="D196" s="7">
        <f t="shared" ref="D196:D259" si="3">B196*C196</f>
        <v>0</v>
      </c>
    </row>
    <row r="197" spans="1:4" ht="18.75" x14ac:dyDescent="0.25">
      <c r="A197" s="12" t="s">
        <v>187</v>
      </c>
      <c r="B197" s="7">
        <f>10+20</f>
        <v>30</v>
      </c>
      <c r="C197" s="7">
        <v>20000</v>
      </c>
      <c r="D197" s="7">
        <f t="shared" si="3"/>
        <v>600000</v>
      </c>
    </row>
    <row r="198" spans="1:4" ht="18.75" hidden="1" x14ac:dyDescent="0.25">
      <c r="A198" s="12" t="s">
        <v>188</v>
      </c>
      <c r="B198" s="7"/>
      <c r="C198" s="7"/>
      <c r="D198" s="7">
        <f t="shared" si="3"/>
        <v>0</v>
      </c>
    </row>
    <row r="199" spans="1:4" ht="18.75" hidden="1" x14ac:dyDescent="0.25">
      <c r="A199" s="17" t="s">
        <v>189</v>
      </c>
      <c r="B199" s="7"/>
      <c r="C199" s="7"/>
      <c r="D199" s="7">
        <f t="shared" si="3"/>
        <v>0</v>
      </c>
    </row>
    <row r="200" spans="1:4" ht="18.75" hidden="1" x14ac:dyDescent="0.25">
      <c r="A200" s="17" t="s">
        <v>190</v>
      </c>
      <c r="B200" s="7"/>
      <c r="C200" s="7"/>
      <c r="D200" s="7">
        <f t="shared" si="3"/>
        <v>0</v>
      </c>
    </row>
    <row r="201" spans="1:4" ht="18.75" hidden="1" x14ac:dyDescent="0.25">
      <c r="A201" s="17" t="s">
        <v>191</v>
      </c>
      <c r="B201" s="7"/>
      <c r="C201" s="7"/>
      <c r="D201" s="7">
        <f t="shared" si="3"/>
        <v>0</v>
      </c>
    </row>
    <row r="202" spans="1:4" ht="18.75" hidden="1" x14ac:dyDescent="0.25">
      <c r="A202" s="17" t="s">
        <v>192</v>
      </c>
      <c r="B202" s="7"/>
      <c r="C202" s="7"/>
      <c r="D202" s="7">
        <f t="shared" si="3"/>
        <v>0</v>
      </c>
    </row>
    <row r="203" spans="1:4" ht="18.75" hidden="1" x14ac:dyDescent="0.25">
      <c r="A203" s="12" t="s">
        <v>193</v>
      </c>
      <c r="B203" s="7"/>
      <c r="C203" s="7"/>
      <c r="D203" s="7">
        <f t="shared" si="3"/>
        <v>0</v>
      </c>
    </row>
    <row r="204" spans="1:4" ht="18.75" x14ac:dyDescent="0.25">
      <c r="A204" s="12" t="s">
        <v>414</v>
      </c>
      <c r="B204" s="7">
        <f>50+500+40</f>
        <v>590</v>
      </c>
      <c r="C204" s="7">
        <v>35000</v>
      </c>
      <c r="D204" s="7">
        <f t="shared" si="3"/>
        <v>20650000</v>
      </c>
    </row>
    <row r="205" spans="1:4" ht="18.75" hidden="1" x14ac:dyDescent="0.25">
      <c r="A205" s="9" t="s">
        <v>194</v>
      </c>
      <c r="B205" s="7"/>
      <c r="C205" s="7"/>
      <c r="D205" s="7">
        <f t="shared" si="3"/>
        <v>0</v>
      </c>
    </row>
    <row r="206" spans="1:4" ht="18.75" hidden="1" x14ac:dyDescent="0.25">
      <c r="A206" s="34" t="s">
        <v>195</v>
      </c>
      <c r="B206" s="7"/>
      <c r="C206" s="7"/>
      <c r="D206" s="7">
        <f t="shared" si="3"/>
        <v>0</v>
      </c>
    </row>
    <row r="207" spans="1:4" ht="18.75" hidden="1" x14ac:dyDescent="0.25">
      <c r="A207" s="34" t="s">
        <v>196</v>
      </c>
      <c r="B207" s="7"/>
      <c r="C207" s="7"/>
      <c r="D207" s="7">
        <f t="shared" si="3"/>
        <v>0</v>
      </c>
    </row>
    <row r="208" spans="1:4" ht="18.75" hidden="1" x14ac:dyDescent="0.25">
      <c r="A208" s="34" t="s">
        <v>197</v>
      </c>
      <c r="B208" s="7"/>
      <c r="C208" s="7"/>
      <c r="D208" s="7">
        <f t="shared" si="3"/>
        <v>0</v>
      </c>
    </row>
    <row r="209" spans="1:4" ht="18.75" hidden="1" x14ac:dyDescent="0.25">
      <c r="A209" s="34" t="s">
        <v>198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199</v>
      </c>
      <c r="B210" s="7"/>
      <c r="C210" s="7"/>
      <c r="D210" s="7">
        <f t="shared" si="3"/>
        <v>0</v>
      </c>
    </row>
    <row r="211" spans="1:4" ht="18.75" hidden="1" x14ac:dyDescent="0.25">
      <c r="A211" s="35" t="s">
        <v>200</v>
      </c>
      <c r="B211" s="7"/>
      <c r="C211" s="7"/>
      <c r="D211" s="7">
        <f t="shared" si="3"/>
        <v>0</v>
      </c>
    </row>
    <row r="212" spans="1:4" ht="18.75" x14ac:dyDescent="0.25">
      <c r="A212" s="9" t="s">
        <v>201</v>
      </c>
      <c r="B212" s="7">
        <f>200+400</f>
        <v>600</v>
      </c>
      <c r="C212" s="7">
        <v>21000</v>
      </c>
      <c r="D212" s="7">
        <f t="shared" si="3"/>
        <v>12600000</v>
      </c>
    </row>
    <row r="213" spans="1:4" ht="18.75" x14ac:dyDescent="0.25">
      <c r="A213" s="12" t="s">
        <v>202</v>
      </c>
      <c r="B213" s="7">
        <v>700</v>
      </c>
      <c r="C213" s="7">
        <v>19000</v>
      </c>
      <c r="D213" s="7">
        <f t="shared" si="3"/>
        <v>13300000</v>
      </c>
    </row>
    <row r="214" spans="1:4" ht="18.75" hidden="1" x14ac:dyDescent="0.25">
      <c r="A214" s="9" t="s">
        <v>203</v>
      </c>
      <c r="B214" s="7"/>
      <c r="C214" s="7"/>
      <c r="D214" s="7">
        <f t="shared" si="3"/>
        <v>0</v>
      </c>
    </row>
    <row r="215" spans="1:4" ht="18.75" x14ac:dyDescent="0.25">
      <c r="A215" s="9" t="s">
        <v>204</v>
      </c>
      <c r="B215" s="7">
        <f>-100+10+45+70+140</f>
        <v>165</v>
      </c>
      <c r="C215" s="7">
        <v>19500</v>
      </c>
      <c r="D215" s="7">
        <f t="shared" si="3"/>
        <v>3217500</v>
      </c>
    </row>
    <row r="216" spans="1:4" ht="18.75" hidden="1" x14ac:dyDescent="0.25">
      <c r="A216" s="36" t="s">
        <v>205</v>
      </c>
      <c r="B216" s="7"/>
      <c r="C216" s="7"/>
      <c r="D216" s="7">
        <f t="shared" si="3"/>
        <v>0</v>
      </c>
    </row>
    <row r="217" spans="1:4" ht="18.75" hidden="1" x14ac:dyDescent="0.25">
      <c r="A217" s="36" t="s">
        <v>206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207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208</v>
      </c>
      <c r="B219" s="7"/>
      <c r="C219" s="7"/>
      <c r="D219" s="7">
        <f t="shared" si="3"/>
        <v>0</v>
      </c>
    </row>
    <row r="220" spans="1:4" ht="18.75" hidden="1" x14ac:dyDescent="0.25">
      <c r="A220" s="9" t="s">
        <v>209</v>
      </c>
      <c r="B220" s="7"/>
      <c r="C220" s="7"/>
      <c r="D220" s="7">
        <f t="shared" si="3"/>
        <v>0</v>
      </c>
    </row>
    <row r="221" spans="1:4" ht="18.75" x14ac:dyDescent="0.25">
      <c r="A221" s="9" t="s">
        <v>210</v>
      </c>
      <c r="B221" s="7">
        <v>10</v>
      </c>
      <c r="C221" s="7">
        <v>12000</v>
      </c>
      <c r="D221" s="7">
        <f t="shared" si="3"/>
        <v>120000</v>
      </c>
    </row>
    <row r="222" spans="1:4" ht="18.75" hidden="1" x14ac:dyDescent="0.25">
      <c r="A222" s="9" t="s">
        <v>211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212</v>
      </c>
      <c r="B223" s="7"/>
      <c r="C223" s="7"/>
      <c r="D223" s="7">
        <f t="shared" si="3"/>
        <v>0</v>
      </c>
    </row>
    <row r="224" spans="1:4" ht="18.75" hidden="1" x14ac:dyDescent="0.25">
      <c r="A224" s="37" t="s">
        <v>213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214</v>
      </c>
      <c r="B225" s="7"/>
      <c r="C225" s="7"/>
      <c r="D225" s="7">
        <f t="shared" si="3"/>
        <v>0</v>
      </c>
    </row>
    <row r="226" spans="1:4" ht="18.75" x14ac:dyDescent="0.25">
      <c r="A226" s="9" t="s">
        <v>215</v>
      </c>
      <c r="B226" s="7">
        <f>-300+40+150+120+30</f>
        <v>40</v>
      </c>
      <c r="C226" s="7">
        <v>15000</v>
      </c>
      <c r="D226" s="7">
        <f t="shared" si="3"/>
        <v>600000</v>
      </c>
    </row>
    <row r="227" spans="1:4" ht="18.75" hidden="1" x14ac:dyDescent="0.25">
      <c r="A227" s="9" t="s">
        <v>216</v>
      </c>
      <c r="B227" s="7"/>
      <c r="C227" s="7"/>
      <c r="D227" s="7">
        <f t="shared" si="3"/>
        <v>0</v>
      </c>
    </row>
    <row r="228" spans="1:4" ht="18.75" x14ac:dyDescent="0.25">
      <c r="A228" s="9" t="s">
        <v>217</v>
      </c>
      <c r="B228" s="7">
        <f>8/0.5</f>
        <v>16</v>
      </c>
      <c r="C228" s="7">
        <v>13000</v>
      </c>
      <c r="D228" s="7">
        <f t="shared" si="3"/>
        <v>208000</v>
      </c>
    </row>
    <row r="229" spans="1:4" ht="18.75" hidden="1" x14ac:dyDescent="0.25">
      <c r="A229" s="17" t="s">
        <v>218</v>
      </c>
      <c r="B229" s="7"/>
      <c r="C229" s="7"/>
      <c r="D229" s="7">
        <f t="shared" si="3"/>
        <v>0</v>
      </c>
    </row>
    <row r="230" spans="1:4" ht="18.75" hidden="1" x14ac:dyDescent="0.25">
      <c r="A230" s="17" t="s">
        <v>219</v>
      </c>
      <c r="B230" s="7"/>
      <c r="C230" s="7"/>
      <c r="D230" s="7">
        <f t="shared" si="3"/>
        <v>0</v>
      </c>
    </row>
    <row r="231" spans="1:4" ht="18.75" hidden="1" x14ac:dyDescent="0.25">
      <c r="A231" s="17" t="s">
        <v>220</v>
      </c>
      <c r="B231" s="7"/>
      <c r="C231" s="7"/>
      <c r="D231" s="7">
        <f t="shared" si="3"/>
        <v>0</v>
      </c>
    </row>
    <row r="232" spans="1:4" ht="18.75" hidden="1" x14ac:dyDescent="0.25">
      <c r="A232" s="17" t="s">
        <v>221</v>
      </c>
      <c r="B232" s="7"/>
      <c r="C232" s="7"/>
      <c r="D232" s="7">
        <f t="shared" si="3"/>
        <v>0</v>
      </c>
    </row>
    <row r="233" spans="1:4" ht="18.75" hidden="1" x14ac:dyDescent="0.25">
      <c r="A233" s="9" t="s">
        <v>222</v>
      </c>
      <c r="B233" s="7"/>
      <c r="C233" s="7"/>
      <c r="D233" s="7">
        <f t="shared" si="3"/>
        <v>0</v>
      </c>
    </row>
    <row r="234" spans="1:4" ht="18.75" hidden="1" x14ac:dyDescent="0.25">
      <c r="A234" s="9" t="s">
        <v>223</v>
      </c>
      <c r="B234" s="7"/>
      <c r="C234" s="7"/>
      <c r="D234" s="7">
        <f t="shared" si="3"/>
        <v>0</v>
      </c>
    </row>
    <row r="235" spans="1:4" ht="18.75" hidden="1" x14ac:dyDescent="0.25">
      <c r="A235" s="17" t="s">
        <v>224</v>
      </c>
      <c r="B235" s="7"/>
      <c r="C235" s="7"/>
      <c r="D235" s="7">
        <f t="shared" si="3"/>
        <v>0</v>
      </c>
    </row>
    <row r="236" spans="1:4" ht="18.75" hidden="1" x14ac:dyDescent="0.25">
      <c r="A236" s="17" t="s">
        <v>225</v>
      </c>
      <c r="B236" s="7"/>
      <c r="C236" s="7"/>
      <c r="D236" s="7">
        <f t="shared" si="3"/>
        <v>0</v>
      </c>
    </row>
    <row r="237" spans="1:4" ht="18.75" hidden="1" x14ac:dyDescent="0.25">
      <c r="A237" s="11" t="s">
        <v>226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227</v>
      </c>
      <c r="B238" s="7"/>
      <c r="C238" s="7"/>
      <c r="D238" s="7">
        <f t="shared" si="3"/>
        <v>0</v>
      </c>
    </row>
    <row r="239" spans="1:4" ht="18.75" hidden="1" x14ac:dyDescent="0.25">
      <c r="A239" s="11" t="s">
        <v>228</v>
      </c>
      <c r="B239" s="7"/>
      <c r="C239" s="7"/>
      <c r="D239" s="7">
        <f t="shared" si="3"/>
        <v>0</v>
      </c>
    </row>
    <row r="240" spans="1:4" ht="18.75" hidden="1" x14ac:dyDescent="0.25">
      <c r="A240" s="17" t="s">
        <v>229</v>
      </c>
      <c r="B240" s="7"/>
      <c r="C240" s="7"/>
      <c r="D240" s="7">
        <f t="shared" si="3"/>
        <v>0</v>
      </c>
    </row>
    <row r="241" spans="1:4" ht="18.75" hidden="1" x14ac:dyDescent="0.25">
      <c r="A241" s="11" t="s">
        <v>230</v>
      </c>
      <c r="B241" s="7"/>
      <c r="C241" s="7"/>
      <c r="D241" s="7">
        <f t="shared" si="3"/>
        <v>0</v>
      </c>
    </row>
    <row r="242" spans="1:4" ht="18.75" hidden="1" x14ac:dyDescent="0.25">
      <c r="A242" s="11" t="s">
        <v>231</v>
      </c>
      <c r="B242" s="7"/>
      <c r="C242" s="7"/>
      <c r="D242" s="7">
        <f t="shared" si="3"/>
        <v>0</v>
      </c>
    </row>
    <row r="243" spans="1:4" ht="18.75" hidden="1" x14ac:dyDescent="0.25">
      <c r="A243" s="11" t="s">
        <v>232</v>
      </c>
      <c r="B243" s="7"/>
      <c r="C243" s="7"/>
      <c r="D243" s="7">
        <f t="shared" si="3"/>
        <v>0</v>
      </c>
    </row>
    <row r="244" spans="1:4" ht="18.75" hidden="1" x14ac:dyDescent="0.25">
      <c r="A244" s="9" t="s">
        <v>233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234</v>
      </c>
      <c r="B245" s="7"/>
      <c r="C245" s="7"/>
      <c r="D245" s="7">
        <f t="shared" si="3"/>
        <v>0</v>
      </c>
    </row>
    <row r="246" spans="1:4" ht="18.75" hidden="1" x14ac:dyDescent="0.25">
      <c r="A246" s="11" t="s">
        <v>235</v>
      </c>
      <c r="B246" s="7"/>
      <c r="C246" s="7"/>
      <c r="D246" s="7">
        <f t="shared" si="3"/>
        <v>0</v>
      </c>
    </row>
    <row r="247" spans="1:4" ht="18.75" hidden="1" x14ac:dyDescent="0.25">
      <c r="A247" s="36" t="s">
        <v>236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237</v>
      </c>
      <c r="B248" s="7"/>
      <c r="C248" s="7"/>
      <c r="D248" s="7">
        <f t="shared" si="3"/>
        <v>0</v>
      </c>
    </row>
    <row r="249" spans="1:4" ht="18.75" hidden="1" x14ac:dyDescent="0.25">
      <c r="A249" s="9" t="s">
        <v>238</v>
      </c>
      <c r="B249" s="7"/>
      <c r="C249" s="7"/>
      <c r="D249" s="7">
        <f t="shared" si="3"/>
        <v>0</v>
      </c>
    </row>
    <row r="250" spans="1:4" ht="18.75" hidden="1" x14ac:dyDescent="0.25">
      <c r="A250" s="13" t="s">
        <v>239</v>
      </c>
      <c r="B250" s="7"/>
      <c r="C250" s="7"/>
      <c r="D250" s="7">
        <f t="shared" si="3"/>
        <v>0</v>
      </c>
    </row>
    <row r="251" spans="1:4" ht="18.75" hidden="1" x14ac:dyDescent="0.25">
      <c r="A251" s="13" t="s">
        <v>240</v>
      </c>
      <c r="B251" s="7"/>
      <c r="C251" s="7"/>
      <c r="D251" s="7">
        <f t="shared" si="3"/>
        <v>0</v>
      </c>
    </row>
    <row r="252" spans="1:4" ht="18.75" hidden="1" x14ac:dyDescent="0.25">
      <c r="A252" s="34" t="s">
        <v>241</v>
      </c>
      <c r="B252" s="7"/>
      <c r="C252" s="7"/>
      <c r="D252" s="7">
        <f t="shared" si="3"/>
        <v>0</v>
      </c>
    </row>
    <row r="253" spans="1:4" ht="18.75" hidden="1" x14ac:dyDescent="0.25">
      <c r="A253" s="9" t="s">
        <v>242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243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244</v>
      </c>
      <c r="B255" s="16"/>
      <c r="C255" s="16"/>
      <c r="D255" s="7">
        <f t="shared" si="3"/>
        <v>0</v>
      </c>
    </row>
    <row r="256" spans="1:4" ht="18.75" hidden="1" x14ac:dyDescent="0.25">
      <c r="A256" s="34" t="s">
        <v>245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246</v>
      </c>
      <c r="B257" s="16"/>
      <c r="C257" s="16"/>
      <c r="D257" s="7">
        <f t="shared" si="3"/>
        <v>0</v>
      </c>
    </row>
    <row r="258" spans="1:4" ht="18.75" x14ac:dyDescent="0.25">
      <c r="A258" s="9" t="s">
        <v>247</v>
      </c>
      <c r="B258" s="7">
        <v>10</v>
      </c>
      <c r="C258" s="7">
        <v>14000</v>
      </c>
      <c r="D258" s="7">
        <f t="shared" si="3"/>
        <v>140000</v>
      </c>
    </row>
    <row r="259" spans="1:4" ht="18.75" hidden="1" x14ac:dyDescent="0.25">
      <c r="A259" s="11" t="s">
        <v>248</v>
      </c>
      <c r="B259" s="7"/>
      <c r="C259" s="7"/>
      <c r="D259" s="7">
        <f t="shared" si="3"/>
        <v>0</v>
      </c>
    </row>
    <row r="260" spans="1:4" ht="18.75" hidden="1" x14ac:dyDescent="0.25">
      <c r="A260" s="11" t="s">
        <v>249</v>
      </c>
      <c r="B260" s="7"/>
      <c r="C260" s="7"/>
      <c r="D260" s="7">
        <f t="shared" ref="D260:D323" si="4">B260*C260</f>
        <v>0</v>
      </c>
    </row>
    <row r="261" spans="1:4" ht="18.75" x14ac:dyDescent="0.25">
      <c r="A261" s="9" t="s">
        <v>250</v>
      </c>
      <c r="B261" s="7">
        <f>-20+20+10+40+15+10</f>
        <v>75</v>
      </c>
      <c r="C261" s="7">
        <v>27000</v>
      </c>
      <c r="D261" s="7">
        <f t="shared" si="4"/>
        <v>2025000</v>
      </c>
    </row>
    <row r="262" spans="1:4" ht="18.75" x14ac:dyDescent="0.25">
      <c r="A262" s="9" t="s">
        <v>251</v>
      </c>
      <c r="B262" s="7">
        <v>15</v>
      </c>
      <c r="C262" s="7">
        <v>20000</v>
      </c>
      <c r="D262" s="7">
        <f t="shared" si="4"/>
        <v>300000</v>
      </c>
    </row>
    <row r="263" spans="1:4" ht="18.75" hidden="1" x14ac:dyDescent="0.25">
      <c r="A263" s="9" t="s">
        <v>252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253</v>
      </c>
      <c r="B264" s="7"/>
      <c r="C264" s="7"/>
      <c r="D264" s="7">
        <f t="shared" si="4"/>
        <v>0</v>
      </c>
    </row>
    <row r="265" spans="1:4" ht="18.75" hidden="1" x14ac:dyDescent="0.25">
      <c r="A265" s="9" t="s">
        <v>254</v>
      </c>
      <c r="B265" s="7"/>
      <c r="C265" s="7"/>
      <c r="D265" s="7">
        <f t="shared" si="4"/>
        <v>0</v>
      </c>
    </row>
    <row r="266" spans="1:4" ht="18.75" hidden="1" x14ac:dyDescent="0.25">
      <c r="A266" s="17" t="s">
        <v>255</v>
      </c>
      <c r="B266" s="7"/>
      <c r="C266" s="7"/>
      <c r="D266" s="7">
        <f t="shared" si="4"/>
        <v>0</v>
      </c>
    </row>
    <row r="267" spans="1:4" ht="18.75" hidden="1" x14ac:dyDescent="0.25">
      <c r="A267" s="21" t="s">
        <v>256</v>
      </c>
      <c r="B267" s="7"/>
      <c r="C267" s="7"/>
      <c r="D267" s="7">
        <f t="shared" si="4"/>
        <v>0</v>
      </c>
    </row>
    <row r="268" spans="1:4" ht="18.75" x14ac:dyDescent="0.25">
      <c r="A268" s="9" t="s">
        <v>258</v>
      </c>
      <c r="B268" s="7">
        <f>-20+25+15+15+24</f>
        <v>59</v>
      </c>
      <c r="C268" s="7">
        <v>24000</v>
      </c>
      <c r="D268" s="7">
        <f t="shared" si="4"/>
        <v>1416000</v>
      </c>
    </row>
    <row r="269" spans="1:4" ht="18.75" x14ac:dyDescent="0.25">
      <c r="A269" s="9" t="s">
        <v>259</v>
      </c>
      <c r="B269" s="7">
        <f>12+15+15</f>
        <v>42</v>
      </c>
      <c r="C269" s="7">
        <v>20000</v>
      </c>
      <c r="D269" s="7">
        <f t="shared" si="4"/>
        <v>840000</v>
      </c>
    </row>
    <row r="270" spans="1:4" ht="18.75" hidden="1" x14ac:dyDescent="0.25">
      <c r="A270" s="9" t="s">
        <v>260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261</v>
      </c>
      <c r="B271" s="7"/>
      <c r="C271" s="7"/>
      <c r="D271" s="7">
        <f t="shared" si="4"/>
        <v>0</v>
      </c>
    </row>
    <row r="272" spans="1:4" ht="18.75" x14ac:dyDescent="0.25">
      <c r="A272" s="9" t="s">
        <v>262</v>
      </c>
      <c r="B272" s="7">
        <f>-20+25+25+50</f>
        <v>80</v>
      </c>
      <c r="C272" s="7">
        <v>24000</v>
      </c>
      <c r="D272" s="7">
        <f t="shared" si="4"/>
        <v>1920000</v>
      </c>
    </row>
    <row r="273" spans="1:4" ht="18.75" x14ac:dyDescent="0.25">
      <c r="A273" s="9" t="s">
        <v>263</v>
      </c>
      <c r="B273" s="7">
        <f>10+25+25+25</f>
        <v>85</v>
      </c>
      <c r="C273" s="7">
        <v>19000</v>
      </c>
      <c r="D273" s="7">
        <f t="shared" si="4"/>
        <v>1615000</v>
      </c>
    </row>
    <row r="274" spans="1:4" ht="18.75" hidden="1" x14ac:dyDescent="0.25">
      <c r="A274" s="9" t="s">
        <v>264</v>
      </c>
      <c r="B274" s="7"/>
      <c r="C274" s="7"/>
      <c r="D274" s="7">
        <f t="shared" si="4"/>
        <v>0</v>
      </c>
    </row>
    <row r="275" spans="1:4" ht="18.75" hidden="1" x14ac:dyDescent="0.25">
      <c r="A275" s="9" t="s">
        <v>265</v>
      </c>
      <c r="B275" s="16"/>
      <c r="C275" s="16"/>
      <c r="D275" s="7">
        <f t="shared" si="4"/>
        <v>0</v>
      </c>
    </row>
    <row r="276" spans="1:4" ht="18.75" hidden="1" x14ac:dyDescent="0.25">
      <c r="A276" s="13" t="s">
        <v>266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267</v>
      </c>
      <c r="B277" s="7"/>
      <c r="C277" s="7"/>
      <c r="D277" s="7">
        <f t="shared" si="4"/>
        <v>0</v>
      </c>
    </row>
    <row r="278" spans="1:4" ht="18.75" hidden="1" x14ac:dyDescent="0.25">
      <c r="A278" s="11" t="s">
        <v>268</v>
      </c>
      <c r="B278" s="7"/>
      <c r="C278" s="7"/>
      <c r="D278" s="7">
        <f t="shared" si="4"/>
        <v>0</v>
      </c>
    </row>
    <row r="279" spans="1:4" ht="18.75" hidden="1" x14ac:dyDescent="0.25">
      <c r="A279" s="9" t="s">
        <v>269</v>
      </c>
      <c r="B279" s="7"/>
      <c r="C279" s="7"/>
      <c r="D279" s="7">
        <f t="shared" si="4"/>
        <v>0</v>
      </c>
    </row>
    <row r="280" spans="1:4" ht="18.75" hidden="1" x14ac:dyDescent="0.25">
      <c r="A280" s="9" t="s">
        <v>270</v>
      </c>
      <c r="B280" s="7"/>
      <c r="C280" s="7"/>
      <c r="D280" s="7">
        <f t="shared" si="4"/>
        <v>0</v>
      </c>
    </row>
    <row r="281" spans="1:4" ht="18.75" hidden="1" x14ac:dyDescent="0.25">
      <c r="A281" s="9" t="s">
        <v>271</v>
      </c>
      <c r="B281" s="7"/>
      <c r="C281" s="7"/>
      <c r="D281" s="7">
        <f t="shared" si="4"/>
        <v>0</v>
      </c>
    </row>
    <row r="282" spans="1:4" ht="18.75" hidden="1" x14ac:dyDescent="0.25">
      <c r="A282" s="9" t="s">
        <v>272</v>
      </c>
      <c r="B282" s="7"/>
      <c r="C282" s="7"/>
      <c r="D282" s="7">
        <f t="shared" si="4"/>
        <v>0</v>
      </c>
    </row>
    <row r="283" spans="1:4" ht="18.75" hidden="1" x14ac:dyDescent="0.25">
      <c r="A283" s="9" t="s">
        <v>273</v>
      </c>
      <c r="B283" s="7"/>
      <c r="C283" s="7"/>
      <c r="D283" s="7">
        <f t="shared" si="4"/>
        <v>0</v>
      </c>
    </row>
    <row r="284" spans="1:4" ht="18.75" hidden="1" x14ac:dyDescent="0.25">
      <c r="A284" s="9" t="s">
        <v>274</v>
      </c>
      <c r="B284" s="7"/>
      <c r="C284" s="7"/>
      <c r="D284" s="7">
        <f t="shared" si="4"/>
        <v>0</v>
      </c>
    </row>
    <row r="285" spans="1:4" ht="18.75" hidden="1" x14ac:dyDescent="0.25">
      <c r="A285" s="9" t="s">
        <v>275</v>
      </c>
      <c r="B285" s="7"/>
      <c r="C285" s="7"/>
      <c r="D285" s="7">
        <f t="shared" si="4"/>
        <v>0</v>
      </c>
    </row>
    <row r="286" spans="1:4" ht="18.75" hidden="1" x14ac:dyDescent="0.25">
      <c r="A286" s="34" t="s">
        <v>276</v>
      </c>
      <c r="B286" s="7"/>
      <c r="C286" s="7"/>
      <c r="D286" s="7">
        <f t="shared" si="4"/>
        <v>0</v>
      </c>
    </row>
    <row r="287" spans="1:4" ht="18.75" hidden="1" x14ac:dyDescent="0.25">
      <c r="A287" s="9" t="s">
        <v>277</v>
      </c>
      <c r="B287" s="7"/>
      <c r="C287" s="7"/>
      <c r="D287" s="7">
        <f t="shared" si="4"/>
        <v>0</v>
      </c>
    </row>
    <row r="288" spans="1:4" ht="18.75" hidden="1" x14ac:dyDescent="0.25">
      <c r="A288" s="34" t="s">
        <v>278</v>
      </c>
      <c r="B288" s="7"/>
      <c r="C288" s="7"/>
      <c r="D288" s="7">
        <f t="shared" si="4"/>
        <v>0</v>
      </c>
    </row>
    <row r="289" spans="1:4" ht="18.75" hidden="1" x14ac:dyDescent="0.25">
      <c r="A289" s="34" t="s">
        <v>279</v>
      </c>
      <c r="B289" s="7"/>
      <c r="C289" s="7"/>
      <c r="D289" s="7">
        <f t="shared" si="4"/>
        <v>0</v>
      </c>
    </row>
    <row r="290" spans="1:4" ht="18.75" hidden="1" x14ac:dyDescent="0.25">
      <c r="A290" s="12" t="s">
        <v>280</v>
      </c>
      <c r="B290" s="16"/>
      <c r="C290" s="16"/>
      <c r="D290" s="7">
        <f t="shared" si="4"/>
        <v>0</v>
      </c>
    </row>
    <row r="291" spans="1:4" ht="18.75" hidden="1" x14ac:dyDescent="0.25">
      <c r="A291" s="12" t="s">
        <v>281</v>
      </c>
      <c r="B291" s="7"/>
      <c r="C291" s="7"/>
      <c r="D291" s="7">
        <f t="shared" si="4"/>
        <v>0</v>
      </c>
    </row>
    <row r="292" spans="1:4" ht="18.75" hidden="1" x14ac:dyDescent="0.25">
      <c r="A292" s="11" t="s">
        <v>282</v>
      </c>
      <c r="B292" s="7"/>
      <c r="C292" s="7"/>
      <c r="D292" s="7">
        <f t="shared" si="4"/>
        <v>0</v>
      </c>
    </row>
    <row r="293" spans="1:4" ht="18.75" hidden="1" x14ac:dyDescent="0.25">
      <c r="A293" s="11" t="s">
        <v>283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284</v>
      </c>
      <c r="B294" s="7"/>
      <c r="C294" s="7"/>
      <c r="D294" s="7">
        <f t="shared" si="4"/>
        <v>0</v>
      </c>
    </row>
    <row r="295" spans="1:4" ht="18.75" hidden="1" x14ac:dyDescent="0.25">
      <c r="A295" s="17" t="s">
        <v>285</v>
      </c>
      <c r="B295" s="7"/>
      <c r="C295" s="7"/>
      <c r="D295" s="7">
        <f t="shared" si="4"/>
        <v>0</v>
      </c>
    </row>
    <row r="296" spans="1:4" ht="18.75" hidden="1" x14ac:dyDescent="0.25">
      <c r="A296" s="17" t="s">
        <v>286</v>
      </c>
      <c r="B296" s="7"/>
      <c r="C296" s="7"/>
      <c r="D296" s="7">
        <f t="shared" si="4"/>
        <v>0</v>
      </c>
    </row>
    <row r="297" spans="1:4" ht="18.75" x14ac:dyDescent="0.25">
      <c r="A297" s="9" t="s">
        <v>287</v>
      </c>
      <c r="B297" s="7">
        <f>5+20</f>
        <v>25</v>
      </c>
      <c r="C297" s="7">
        <v>13000</v>
      </c>
      <c r="D297" s="7">
        <f t="shared" si="4"/>
        <v>325000</v>
      </c>
    </row>
    <row r="298" spans="1:4" ht="18.75" hidden="1" x14ac:dyDescent="0.25">
      <c r="A298" s="17" t="s">
        <v>288</v>
      </c>
      <c r="B298" s="7"/>
      <c r="C298" s="7"/>
      <c r="D298" s="7">
        <f t="shared" si="4"/>
        <v>0</v>
      </c>
    </row>
    <row r="299" spans="1:4" ht="18.75" hidden="1" x14ac:dyDescent="0.25">
      <c r="A299" s="9" t="s">
        <v>289</v>
      </c>
      <c r="B299" s="7"/>
      <c r="C299" s="7"/>
      <c r="D299" s="7">
        <f t="shared" si="4"/>
        <v>0</v>
      </c>
    </row>
    <row r="300" spans="1:4" ht="18.75" x14ac:dyDescent="0.25">
      <c r="A300" s="9" t="s">
        <v>290</v>
      </c>
      <c r="B300" s="7">
        <v>50</v>
      </c>
      <c r="C300" s="7">
        <v>7000</v>
      </c>
      <c r="D300" s="7">
        <f t="shared" si="4"/>
        <v>350000</v>
      </c>
    </row>
    <row r="301" spans="1:4" ht="18.75" hidden="1" x14ac:dyDescent="0.25">
      <c r="A301" s="17" t="s">
        <v>291</v>
      </c>
      <c r="B301" s="7"/>
      <c r="C301" s="7"/>
      <c r="D301" s="7">
        <f t="shared" si="4"/>
        <v>0</v>
      </c>
    </row>
    <row r="302" spans="1:4" ht="18.75" hidden="1" x14ac:dyDescent="0.25">
      <c r="A302" s="25" t="s">
        <v>292</v>
      </c>
      <c r="B302" s="7"/>
      <c r="C302" s="7"/>
      <c r="D302" s="7">
        <f t="shared" si="4"/>
        <v>0</v>
      </c>
    </row>
    <row r="303" spans="1:4" ht="18.75" hidden="1" x14ac:dyDescent="0.25">
      <c r="A303" s="9" t="s">
        <v>293</v>
      </c>
      <c r="B303" s="7"/>
      <c r="C303" s="7"/>
      <c r="D303" s="7">
        <f t="shared" si="4"/>
        <v>0</v>
      </c>
    </row>
    <row r="304" spans="1:4" ht="18.75" hidden="1" x14ac:dyDescent="0.25">
      <c r="A304" s="13" t="s">
        <v>294</v>
      </c>
      <c r="B304" s="7"/>
      <c r="C304" s="7"/>
      <c r="D304" s="7">
        <f t="shared" si="4"/>
        <v>0</v>
      </c>
    </row>
    <row r="305" spans="1:4" ht="18.75" hidden="1" x14ac:dyDescent="0.25">
      <c r="A305" s="35" t="s">
        <v>385</v>
      </c>
      <c r="B305" s="7"/>
      <c r="C305" s="7"/>
      <c r="D305" s="7">
        <f t="shared" si="4"/>
        <v>0</v>
      </c>
    </row>
    <row r="306" spans="1:4" ht="18.75" hidden="1" x14ac:dyDescent="0.25">
      <c r="A306" s="13" t="s">
        <v>295</v>
      </c>
      <c r="B306" s="7"/>
      <c r="C306" s="7"/>
      <c r="D306" s="7">
        <f t="shared" si="4"/>
        <v>0</v>
      </c>
    </row>
    <row r="307" spans="1:4" ht="18.75" hidden="1" x14ac:dyDescent="0.25">
      <c r="A307" s="21" t="s">
        <v>377</v>
      </c>
      <c r="B307" s="7"/>
      <c r="C307" s="7"/>
      <c r="D307" s="7">
        <f t="shared" si="4"/>
        <v>0</v>
      </c>
    </row>
    <row r="308" spans="1:4" ht="18.75" hidden="1" x14ac:dyDescent="0.25">
      <c r="A308" s="17" t="s">
        <v>404</v>
      </c>
      <c r="B308" s="7"/>
      <c r="C308" s="7"/>
      <c r="D308" s="7">
        <f t="shared" si="4"/>
        <v>0</v>
      </c>
    </row>
    <row r="309" spans="1:4" ht="18.75" hidden="1" x14ac:dyDescent="0.25">
      <c r="A309" s="12" t="s">
        <v>296</v>
      </c>
      <c r="B309" s="7"/>
      <c r="C309" s="7"/>
      <c r="D309" s="7">
        <f t="shared" si="4"/>
        <v>0</v>
      </c>
    </row>
    <row r="310" spans="1:4" ht="18.75" hidden="1" x14ac:dyDescent="0.25">
      <c r="A310" s="13" t="s">
        <v>298</v>
      </c>
      <c r="B310" s="7"/>
      <c r="C310" s="7"/>
      <c r="D310" s="7">
        <f t="shared" si="4"/>
        <v>0</v>
      </c>
    </row>
    <row r="311" spans="1:4" ht="18.75" hidden="1" x14ac:dyDescent="0.25">
      <c r="A311" s="9" t="s">
        <v>299</v>
      </c>
      <c r="B311" s="7"/>
      <c r="C311" s="7"/>
      <c r="D311" s="7">
        <f t="shared" si="4"/>
        <v>0</v>
      </c>
    </row>
    <row r="312" spans="1:4" ht="18.75" hidden="1" x14ac:dyDescent="0.25">
      <c r="A312" s="17" t="s">
        <v>300</v>
      </c>
      <c r="B312" s="7"/>
      <c r="C312" s="7"/>
      <c r="D312" s="7">
        <f t="shared" si="4"/>
        <v>0</v>
      </c>
    </row>
    <row r="313" spans="1:4" ht="18.75" hidden="1" x14ac:dyDescent="0.25">
      <c r="A313" s="9" t="s">
        <v>301</v>
      </c>
      <c r="B313" s="7"/>
      <c r="C313" s="7"/>
      <c r="D313" s="7">
        <f t="shared" si="4"/>
        <v>0</v>
      </c>
    </row>
    <row r="314" spans="1:4" ht="18.75" hidden="1" x14ac:dyDescent="0.25">
      <c r="A314" s="9" t="s">
        <v>302</v>
      </c>
      <c r="B314" s="7"/>
      <c r="C314" s="7"/>
      <c r="D314" s="7">
        <f t="shared" si="4"/>
        <v>0</v>
      </c>
    </row>
    <row r="315" spans="1:4" ht="18.75" hidden="1" x14ac:dyDescent="0.25">
      <c r="A315" s="11" t="s">
        <v>303</v>
      </c>
      <c r="B315" s="7"/>
      <c r="C315" s="7"/>
      <c r="D315" s="7">
        <f t="shared" si="4"/>
        <v>0</v>
      </c>
    </row>
    <row r="316" spans="1:4" ht="18.75" hidden="1" x14ac:dyDescent="0.25">
      <c r="A316" s="12" t="s">
        <v>304</v>
      </c>
      <c r="B316" s="7"/>
      <c r="C316" s="7"/>
      <c r="D316" s="7">
        <f t="shared" si="4"/>
        <v>0</v>
      </c>
    </row>
    <row r="317" spans="1:4" ht="18.75" hidden="1" x14ac:dyDescent="0.25">
      <c r="A317" s="12" t="s">
        <v>305</v>
      </c>
      <c r="B317" s="7"/>
      <c r="C317" s="7"/>
      <c r="D317" s="7">
        <f t="shared" si="4"/>
        <v>0</v>
      </c>
    </row>
    <row r="318" spans="1:4" ht="18.75" hidden="1" x14ac:dyDescent="0.25">
      <c r="A318" s="9" t="s">
        <v>306</v>
      </c>
      <c r="B318" s="7"/>
      <c r="C318" s="7"/>
      <c r="D318" s="7">
        <f t="shared" si="4"/>
        <v>0</v>
      </c>
    </row>
    <row r="319" spans="1:4" ht="18.75" hidden="1" x14ac:dyDescent="0.25">
      <c r="A319" s="9" t="s">
        <v>307</v>
      </c>
      <c r="B319" s="7"/>
      <c r="C319" s="7"/>
      <c r="D319" s="7">
        <f t="shared" si="4"/>
        <v>0</v>
      </c>
    </row>
    <row r="320" spans="1:4" ht="18.75" hidden="1" x14ac:dyDescent="0.25">
      <c r="A320" s="9" t="s">
        <v>308</v>
      </c>
      <c r="B320" s="7"/>
      <c r="C320" s="7"/>
      <c r="D320" s="7">
        <f t="shared" si="4"/>
        <v>0</v>
      </c>
    </row>
    <row r="321" spans="1:4" ht="18.75" hidden="1" x14ac:dyDescent="0.25">
      <c r="A321" s="13" t="s">
        <v>309</v>
      </c>
      <c r="B321" s="7"/>
      <c r="C321" s="7"/>
      <c r="D321" s="7">
        <f t="shared" si="4"/>
        <v>0</v>
      </c>
    </row>
    <row r="322" spans="1:4" ht="18.75" hidden="1" x14ac:dyDescent="0.25">
      <c r="A322" s="13" t="s">
        <v>310</v>
      </c>
      <c r="B322" s="7"/>
      <c r="C322" s="7"/>
      <c r="D322" s="7">
        <f t="shared" si="4"/>
        <v>0</v>
      </c>
    </row>
    <row r="323" spans="1:4" ht="18.75" hidden="1" x14ac:dyDescent="0.25">
      <c r="A323" s="21" t="s">
        <v>311</v>
      </c>
      <c r="B323" s="7"/>
      <c r="C323" s="7"/>
      <c r="D323" s="7">
        <f t="shared" si="4"/>
        <v>0</v>
      </c>
    </row>
    <row r="324" spans="1:4" ht="18.75" hidden="1" x14ac:dyDescent="0.25">
      <c r="A324" s="13" t="s">
        <v>312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7"/>
      <c r="C325" s="7"/>
      <c r="D325" s="7">
        <f t="shared" si="5"/>
        <v>0</v>
      </c>
    </row>
    <row r="326" spans="1:4" ht="18.75" hidden="1" x14ac:dyDescent="0.25">
      <c r="A326" s="9" t="s">
        <v>314</v>
      </c>
      <c r="B326" s="7"/>
      <c r="C326" s="7"/>
      <c r="D326" s="7">
        <f t="shared" si="5"/>
        <v>0</v>
      </c>
    </row>
    <row r="327" spans="1:4" ht="18.75" hidden="1" x14ac:dyDescent="0.25">
      <c r="A327" s="9" t="s">
        <v>315</v>
      </c>
      <c r="B327" s="7"/>
      <c r="C327" s="7"/>
      <c r="D327" s="7">
        <f t="shared" si="5"/>
        <v>0</v>
      </c>
    </row>
    <row r="328" spans="1:4" ht="18.75" hidden="1" x14ac:dyDescent="0.25">
      <c r="A328" s="9" t="s">
        <v>316</v>
      </c>
      <c r="B328" s="7"/>
      <c r="C328" s="7"/>
      <c r="D328" s="7">
        <f t="shared" si="5"/>
        <v>0</v>
      </c>
    </row>
    <row r="329" spans="1:4" ht="18.75" hidden="1" x14ac:dyDescent="0.25">
      <c r="A329" s="21" t="s">
        <v>317</v>
      </c>
      <c r="B329" s="7"/>
      <c r="C329" s="7"/>
      <c r="D329" s="7">
        <f t="shared" si="5"/>
        <v>0</v>
      </c>
    </row>
    <row r="330" spans="1:4" ht="18.75" hidden="1" x14ac:dyDescent="0.25">
      <c r="A330" s="9" t="s">
        <v>318</v>
      </c>
      <c r="B330" s="7"/>
      <c r="C330" s="7"/>
      <c r="D330" s="7">
        <f t="shared" si="5"/>
        <v>0</v>
      </c>
    </row>
    <row r="331" spans="1:4" ht="18.75" hidden="1" x14ac:dyDescent="0.25">
      <c r="A331" s="9" t="s">
        <v>319</v>
      </c>
      <c r="B331" s="7"/>
      <c r="C331" s="7"/>
      <c r="D331" s="7">
        <f t="shared" si="5"/>
        <v>0</v>
      </c>
    </row>
    <row r="332" spans="1:4" ht="18.75" hidden="1" x14ac:dyDescent="0.25">
      <c r="A332" s="12" t="s">
        <v>320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321</v>
      </c>
      <c r="B333" s="39"/>
      <c r="C333" s="39"/>
      <c r="D333" s="7">
        <f t="shared" si="5"/>
        <v>0</v>
      </c>
    </row>
    <row r="334" spans="1:4" ht="18.75" hidden="1" x14ac:dyDescent="0.25">
      <c r="A334" s="9" t="s">
        <v>322</v>
      </c>
      <c r="B334" s="7"/>
      <c r="C334" s="7"/>
      <c r="D334" s="7">
        <f t="shared" si="5"/>
        <v>0</v>
      </c>
    </row>
    <row r="335" spans="1:4" ht="18.75" hidden="1" x14ac:dyDescent="0.25">
      <c r="A335" s="9" t="s">
        <v>323</v>
      </c>
      <c r="B335" s="7"/>
      <c r="C335" s="7"/>
      <c r="D335" s="7">
        <f t="shared" si="5"/>
        <v>0</v>
      </c>
    </row>
    <row r="336" spans="1:4" ht="18.75" hidden="1" x14ac:dyDescent="0.25">
      <c r="A336" s="21" t="s">
        <v>324</v>
      </c>
      <c r="B336" s="7"/>
      <c r="C336" s="7"/>
      <c r="D336" s="7">
        <f t="shared" si="5"/>
        <v>0</v>
      </c>
    </row>
    <row r="337" spans="1:4" ht="18.75" hidden="1" x14ac:dyDescent="0.25">
      <c r="A337" s="21" t="s">
        <v>325</v>
      </c>
      <c r="B337" s="7"/>
      <c r="C337" s="7"/>
      <c r="D337" s="7">
        <f t="shared" si="5"/>
        <v>0</v>
      </c>
    </row>
    <row r="338" spans="1:4" ht="18.75" hidden="1" x14ac:dyDescent="0.25">
      <c r="A338" s="9" t="s">
        <v>326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327</v>
      </c>
      <c r="B339" s="7"/>
      <c r="C339" s="7"/>
      <c r="D339" s="7">
        <f t="shared" si="5"/>
        <v>0</v>
      </c>
    </row>
    <row r="340" spans="1:4" ht="18.75" hidden="1" x14ac:dyDescent="0.25">
      <c r="A340" s="21" t="s">
        <v>328</v>
      </c>
      <c r="B340" s="7"/>
      <c r="C340" s="7"/>
      <c r="D340" s="7">
        <f t="shared" si="5"/>
        <v>0</v>
      </c>
    </row>
    <row r="341" spans="1:4" ht="18.75" hidden="1" x14ac:dyDescent="0.25">
      <c r="A341" s="9" t="s">
        <v>329</v>
      </c>
      <c r="B341" s="7"/>
      <c r="C341" s="7"/>
      <c r="D341" s="7">
        <f t="shared" si="5"/>
        <v>0</v>
      </c>
    </row>
    <row r="342" spans="1:4" ht="18.75" hidden="1" x14ac:dyDescent="0.25">
      <c r="A342" s="9" t="s">
        <v>330</v>
      </c>
      <c r="B342" s="7"/>
      <c r="C342" s="7"/>
      <c r="D342" s="7">
        <f t="shared" si="5"/>
        <v>0</v>
      </c>
    </row>
    <row r="343" spans="1:4" ht="18.75" hidden="1" x14ac:dyDescent="0.25">
      <c r="A343" s="9" t="s">
        <v>331</v>
      </c>
      <c r="B343" s="7"/>
      <c r="C343" s="7"/>
      <c r="D343" s="7">
        <f t="shared" si="5"/>
        <v>0</v>
      </c>
    </row>
    <row r="344" spans="1:4" ht="18.75" hidden="1" x14ac:dyDescent="0.25">
      <c r="A344" s="9" t="s">
        <v>332</v>
      </c>
      <c r="B344" s="7"/>
      <c r="C344" s="7"/>
      <c r="D344" s="7">
        <f t="shared" si="5"/>
        <v>0</v>
      </c>
    </row>
    <row r="345" spans="1:4" ht="18.75" hidden="1" x14ac:dyDescent="0.25">
      <c r="A345" s="9" t="s">
        <v>333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334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335</v>
      </c>
      <c r="B347" s="7"/>
      <c r="C347" s="7"/>
      <c r="D347" s="7">
        <f t="shared" si="5"/>
        <v>0</v>
      </c>
    </row>
    <row r="348" spans="1:4" ht="18.75" hidden="1" x14ac:dyDescent="0.25">
      <c r="A348" s="9" t="s">
        <v>336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13998.583333333334</v>
      </c>
      <c r="C351" s="43"/>
      <c r="D351" s="7">
        <f>SUM(D7:D300)</f>
        <v>137021500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444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7"/>
      <c r="C356" s="7"/>
      <c r="D356" s="7">
        <f t="shared" si="5"/>
        <v>0</v>
      </c>
    </row>
    <row r="357" spans="1:4" ht="18.75" hidden="1" x14ac:dyDescent="0.25">
      <c r="A357" s="8" t="s">
        <v>3</v>
      </c>
      <c r="B357" s="7"/>
      <c r="C357" s="7"/>
      <c r="D357" s="7">
        <f t="shared" si="5"/>
        <v>0</v>
      </c>
    </row>
    <row r="358" spans="1:4" ht="18.75" hidden="1" x14ac:dyDescent="0.25">
      <c r="A358" s="5" t="s">
        <v>4</v>
      </c>
      <c r="B358" s="7"/>
      <c r="C358" s="7"/>
      <c r="D358" s="7">
        <f t="shared" si="5"/>
        <v>0</v>
      </c>
    </row>
    <row r="359" spans="1:4" ht="18.75" x14ac:dyDescent="0.25">
      <c r="A359" s="5" t="s">
        <v>5</v>
      </c>
      <c r="B359" s="7">
        <v>850</v>
      </c>
      <c r="C359" s="7">
        <v>5500</v>
      </c>
      <c r="D359" s="7">
        <f t="shared" si="5"/>
        <v>4675000</v>
      </c>
    </row>
    <row r="360" spans="1:4" ht="18.75" hidden="1" x14ac:dyDescent="0.25">
      <c r="A360" s="9" t="s">
        <v>6</v>
      </c>
      <c r="B360" s="7"/>
      <c r="C360" s="7"/>
      <c r="D360" s="7">
        <f t="shared" si="5"/>
        <v>0</v>
      </c>
    </row>
    <row r="361" spans="1:4" ht="18.75" hidden="1" x14ac:dyDescent="0.25">
      <c r="A361" s="10" t="s">
        <v>7</v>
      </c>
      <c r="B361" s="7"/>
      <c r="C361" s="7"/>
      <c r="D361" s="7">
        <f t="shared" si="5"/>
        <v>0</v>
      </c>
    </row>
    <row r="362" spans="1:4" ht="18.75" hidden="1" x14ac:dyDescent="0.25">
      <c r="A362" s="5" t="s">
        <v>8</v>
      </c>
      <c r="B362" s="7"/>
      <c r="C362" s="7"/>
      <c r="D362" s="7">
        <f t="shared" si="5"/>
        <v>0</v>
      </c>
    </row>
    <row r="363" spans="1:4" ht="18.75" hidden="1" x14ac:dyDescent="0.25">
      <c r="A363" s="5" t="s">
        <v>9</v>
      </c>
      <c r="B363" s="7"/>
      <c r="C363" s="7"/>
      <c r="D363" s="7">
        <f t="shared" si="5"/>
        <v>0</v>
      </c>
    </row>
    <row r="364" spans="1:4" ht="18.75" hidden="1" x14ac:dyDescent="0.25">
      <c r="A364" s="11" t="s">
        <v>339</v>
      </c>
      <c r="B364" s="7"/>
      <c r="C364" s="7"/>
      <c r="D364" s="7">
        <f t="shared" si="5"/>
        <v>0</v>
      </c>
    </row>
    <row r="365" spans="1:4" ht="18.75" hidden="1" x14ac:dyDescent="0.25">
      <c r="A365" s="9" t="s">
        <v>11</v>
      </c>
      <c r="B365" s="7"/>
      <c r="C365" s="7"/>
      <c r="D365" s="7">
        <f t="shared" si="5"/>
        <v>0</v>
      </c>
    </row>
    <row r="366" spans="1:4" ht="18.75" x14ac:dyDescent="0.25">
      <c r="A366" s="9" t="s">
        <v>12</v>
      </c>
      <c r="B366" s="7">
        <f>30+20+13+10+5</f>
        <v>78</v>
      </c>
      <c r="C366" s="7">
        <v>8000</v>
      </c>
      <c r="D366" s="7">
        <f t="shared" si="5"/>
        <v>624000</v>
      </c>
    </row>
    <row r="367" spans="1:4" ht="18.75" hidden="1" x14ac:dyDescent="0.25">
      <c r="A367" s="12" t="s">
        <v>13</v>
      </c>
      <c r="B367" s="7"/>
      <c r="C367" s="7"/>
      <c r="D367" s="7">
        <f t="shared" si="5"/>
        <v>0</v>
      </c>
    </row>
    <row r="368" spans="1:4" ht="18.75" hidden="1" x14ac:dyDescent="0.25">
      <c r="A368" s="12" t="s">
        <v>14</v>
      </c>
      <c r="B368" s="7"/>
      <c r="C368" s="7"/>
      <c r="D368" s="7">
        <f t="shared" si="5"/>
        <v>0</v>
      </c>
    </row>
    <row r="369" spans="1:4" ht="18.75" hidden="1" x14ac:dyDescent="0.25">
      <c r="A369" s="9" t="s">
        <v>15</v>
      </c>
      <c r="B369" s="7"/>
      <c r="C369" s="7"/>
      <c r="D369" s="7">
        <f t="shared" si="5"/>
        <v>0</v>
      </c>
    </row>
    <row r="370" spans="1:4" ht="18.75" hidden="1" x14ac:dyDescent="0.25">
      <c r="A370" s="9" t="s">
        <v>16</v>
      </c>
      <c r="B370" s="7"/>
      <c r="C370" s="7"/>
      <c r="D370" s="7">
        <f t="shared" si="5"/>
        <v>0</v>
      </c>
    </row>
    <row r="371" spans="1:4" ht="18.75" hidden="1" x14ac:dyDescent="0.25">
      <c r="A371" s="13" t="s">
        <v>17</v>
      </c>
      <c r="B371" s="7"/>
      <c r="C371" s="7"/>
      <c r="D371" s="7">
        <f t="shared" si="5"/>
        <v>0</v>
      </c>
    </row>
    <row r="372" spans="1:4" ht="18.75" hidden="1" x14ac:dyDescent="0.25">
      <c r="A372" s="11" t="s">
        <v>18</v>
      </c>
      <c r="B372" s="7"/>
      <c r="C372" s="7"/>
      <c r="D372" s="7">
        <f t="shared" si="5"/>
        <v>0</v>
      </c>
    </row>
    <row r="373" spans="1:4" ht="18.75" x14ac:dyDescent="0.25">
      <c r="A373" s="9" t="s">
        <v>19</v>
      </c>
      <c r="B373" s="7">
        <v>130</v>
      </c>
      <c r="C373" s="7">
        <v>11500</v>
      </c>
      <c r="D373" s="7">
        <f t="shared" si="5"/>
        <v>1495000</v>
      </c>
    </row>
    <row r="374" spans="1:4" ht="18.75" hidden="1" x14ac:dyDescent="0.25">
      <c r="A374" s="12" t="s">
        <v>20</v>
      </c>
      <c r="B374" s="7"/>
      <c r="C374" s="7"/>
      <c r="D374" s="7">
        <f t="shared" si="5"/>
        <v>0</v>
      </c>
    </row>
    <row r="375" spans="1:4" ht="18.75" hidden="1" x14ac:dyDescent="0.25">
      <c r="A375" s="12" t="s">
        <v>21</v>
      </c>
      <c r="B375" s="7"/>
      <c r="C375" s="7"/>
      <c r="D375" s="7">
        <f t="shared" si="5"/>
        <v>0</v>
      </c>
    </row>
    <row r="376" spans="1:4" ht="18.75" hidden="1" x14ac:dyDescent="0.25">
      <c r="A376" s="9" t="s">
        <v>22</v>
      </c>
      <c r="B376" s="7"/>
      <c r="C376" s="7"/>
      <c r="D376" s="7">
        <f t="shared" si="5"/>
        <v>0</v>
      </c>
    </row>
    <row r="377" spans="1:4" ht="18.75" hidden="1" x14ac:dyDescent="0.25">
      <c r="A377" s="9" t="s">
        <v>23</v>
      </c>
      <c r="B377" s="7"/>
      <c r="C377" s="7"/>
      <c r="D377" s="7">
        <f t="shared" si="5"/>
        <v>0</v>
      </c>
    </row>
    <row r="378" spans="1:4" ht="18.75" x14ac:dyDescent="0.25">
      <c r="A378" s="9" t="s">
        <v>24</v>
      </c>
      <c r="B378" s="7">
        <v>30</v>
      </c>
      <c r="C378" s="7">
        <v>16000</v>
      </c>
      <c r="D378" s="7">
        <f t="shared" si="5"/>
        <v>480000</v>
      </c>
    </row>
    <row r="379" spans="1:4" ht="18.75" hidden="1" x14ac:dyDescent="0.25">
      <c r="A379" s="9" t="s">
        <v>25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26</v>
      </c>
      <c r="B380" s="7"/>
      <c r="C380" s="7"/>
      <c r="D380" s="7">
        <f t="shared" si="5"/>
        <v>0</v>
      </c>
    </row>
    <row r="381" spans="1:4" ht="18.75" hidden="1" x14ac:dyDescent="0.25">
      <c r="A381" s="9" t="s">
        <v>27</v>
      </c>
      <c r="B381" s="7"/>
      <c r="C381" s="7"/>
      <c r="D381" s="7">
        <f t="shared" si="5"/>
        <v>0</v>
      </c>
    </row>
    <row r="382" spans="1:4" ht="18.75" hidden="1" x14ac:dyDescent="0.25">
      <c r="A382" s="12" t="s">
        <v>29</v>
      </c>
      <c r="B382" s="7"/>
      <c r="C382" s="7"/>
      <c r="D382" s="7">
        <f t="shared" si="5"/>
        <v>0</v>
      </c>
    </row>
    <row r="383" spans="1:4" ht="18.75" hidden="1" x14ac:dyDescent="0.25">
      <c r="A383" s="12" t="s">
        <v>37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38</v>
      </c>
      <c r="B384" s="7"/>
      <c r="C384" s="7"/>
      <c r="D384" s="7">
        <f t="shared" si="5"/>
        <v>0</v>
      </c>
    </row>
    <row r="385" spans="1:4" ht="18.75" hidden="1" x14ac:dyDescent="0.25">
      <c r="A385" s="9" t="s">
        <v>39</v>
      </c>
      <c r="B385" s="7"/>
      <c r="C385" s="7"/>
      <c r="D385" s="7">
        <f t="shared" si="5"/>
        <v>0</v>
      </c>
    </row>
    <row r="386" spans="1:4" ht="18.75" hidden="1" x14ac:dyDescent="0.25">
      <c r="A386" s="11" t="s">
        <v>340</v>
      </c>
      <c r="B386" s="16"/>
      <c r="C386" s="16"/>
      <c r="D386" s="7">
        <f t="shared" si="5"/>
        <v>0</v>
      </c>
    </row>
    <row r="387" spans="1:4" ht="18.75" hidden="1" x14ac:dyDescent="0.25">
      <c r="A387" s="11" t="s">
        <v>40</v>
      </c>
      <c r="B387" s="16"/>
      <c r="C387" s="16"/>
      <c r="D387" s="7">
        <f t="shared" si="5"/>
        <v>0</v>
      </c>
    </row>
    <row r="388" spans="1:4" ht="18.75" hidden="1" x14ac:dyDescent="0.25">
      <c r="A388" s="9" t="s">
        <v>41</v>
      </c>
      <c r="B388" s="7"/>
      <c r="C388" s="7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7"/>
      <c r="C389" s="7"/>
      <c r="D389" s="7">
        <f t="shared" si="6"/>
        <v>0</v>
      </c>
    </row>
    <row r="390" spans="1:4" ht="18.75" hidden="1" x14ac:dyDescent="0.25">
      <c r="A390" s="17" t="s">
        <v>43</v>
      </c>
      <c r="B390" s="7"/>
      <c r="C390" s="7"/>
      <c r="D390" s="7">
        <f t="shared" si="6"/>
        <v>0</v>
      </c>
    </row>
    <row r="391" spans="1:4" ht="18.75" hidden="1" x14ac:dyDescent="0.25">
      <c r="A391" s="9" t="s">
        <v>44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45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46</v>
      </c>
      <c r="B393" s="7"/>
      <c r="C393" s="7"/>
      <c r="D393" s="7">
        <f t="shared" si="6"/>
        <v>0</v>
      </c>
    </row>
    <row r="394" spans="1:4" ht="18.75" hidden="1" x14ac:dyDescent="0.25">
      <c r="A394" s="9" t="s">
        <v>47</v>
      </c>
      <c r="B394" s="7"/>
      <c r="C394" s="7"/>
      <c r="D394" s="7">
        <f t="shared" si="6"/>
        <v>0</v>
      </c>
    </row>
    <row r="395" spans="1:4" ht="18.75" hidden="1" x14ac:dyDescent="0.25">
      <c r="A395" s="13" t="s">
        <v>48</v>
      </c>
      <c r="B395" s="7"/>
      <c r="C395" s="7"/>
      <c r="D395" s="7">
        <f t="shared" si="6"/>
        <v>0</v>
      </c>
    </row>
    <row r="396" spans="1:4" ht="18.75" hidden="1" x14ac:dyDescent="0.25">
      <c r="A396" s="11" t="s">
        <v>49</v>
      </c>
      <c r="B396" s="7"/>
      <c r="C396" s="7"/>
      <c r="D396" s="7">
        <f t="shared" si="6"/>
        <v>0</v>
      </c>
    </row>
    <row r="397" spans="1:4" ht="18.75" hidden="1" x14ac:dyDescent="0.25">
      <c r="A397" s="13" t="s">
        <v>50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51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52</v>
      </c>
      <c r="B399" s="7"/>
      <c r="C399" s="7"/>
      <c r="D399" s="7">
        <f t="shared" si="6"/>
        <v>0</v>
      </c>
    </row>
    <row r="400" spans="1:4" ht="18.75" x14ac:dyDescent="0.25">
      <c r="A400" s="12" t="s">
        <v>53</v>
      </c>
      <c r="B400" s="7">
        <v>300</v>
      </c>
      <c r="C400" s="7">
        <v>20000</v>
      </c>
      <c r="D400" s="7">
        <f t="shared" si="6"/>
        <v>6000000</v>
      </c>
    </row>
    <row r="401" spans="1:4" ht="18.75" hidden="1" x14ac:dyDescent="0.25">
      <c r="A401" s="18" t="s">
        <v>54</v>
      </c>
      <c r="B401" s="7"/>
      <c r="C401" s="7"/>
      <c r="D401" s="7">
        <f t="shared" si="6"/>
        <v>0</v>
      </c>
    </row>
    <row r="402" spans="1:4" ht="18.75" hidden="1" x14ac:dyDescent="0.25">
      <c r="A402" s="17" t="s">
        <v>55</v>
      </c>
      <c r="B402" s="7"/>
      <c r="C402" s="7"/>
      <c r="D402" s="7">
        <f t="shared" si="6"/>
        <v>0</v>
      </c>
    </row>
    <row r="403" spans="1:4" ht="18.75" hidden="1" x14ac:dyDescent="0.25">
      <c r="A403" s="17" t="s">
        <v>56</v>
      </c>
      <c r="B403" s="7"/>
      <c r="C403" s="7"/>
      <c r="D403" s="7">
        <f t="shared" si="6"/>
        <v>0</v>
      </c>
    </row>
    <row r="404" spans="1:4" ht="18.75" hidden="1" x14ac:dyDescent="0.25">
      <c r="A404" s="17" t="s">
        <v>57</v>
      </c>
      <c r="B404" s="7"/>
      <c r="C404" s="7"/>
      <c r="D404" s="7">
        <f t="shared" si="6"/>
        <v>0</v>
      </c>
    </row>
    <row r="405" spans="1:4" ht="18.75" hidden="1" x14ac:dyDescent="0.25">
      <c r="A405" s="9" t="s">
        <v>58</v>
      </c>
      <c r="B405" s="7"/>
      <c r="C405" s="7"/>
      <c r="D405" s="7">
        <f t="shared" si="6"/>
        <v>0</v>
      </c>
    </row>
    <row r="406" spans="1:4" ht="18.75" hidden="1" x14ac:dyDescent="0.25">
      <c r="A406" s="11" t="s">
        <v>59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60</v>
      </c>
      <c r="B407" s="7"/>
      <c r="C407" s="7"/>
      <c r="D407" s="7">
        <f t="shared" si="6"/>
        <v>0</v>
      </c>
    </row>
    <row r="408" spans="1:4" ht="18.75" hidden="1" x14ac:dyDescent="0.25">
      <c r="A408" s="9" t="s">
        <v>61</v>
      </c>
      <c r="B408" s="7"/>
      <c r="C408" s="7"/>
      <c r="D408" s="7">
        <f t="shared" si="6"/>
        <v>0</v>
      </c>
    </row>
    <row r="409" spans="1:4" ht="18.75" hidden="1" x14ac:dyDescent="0.25">
      <c r="A409" s="17" t="s">
        <v>62</v>
      </c>
      <c r="B409" s="7"/>
      <c r="C409" s="7"/>
      <c r="D409" s="7">
        <f t="shared" si="6"/>
        <v>0</v>
      </c>
    </row>
    <row r="410" spans="1:4" ht="18.75" hidden="1" x14ac:dyDescent="0.25">
      <c r="A410" s="9" t="s">
        <v>63</v>
      </c>
      <c r="B410" s="7"/>
      <c r="C410" s="7"/>
      <c r="D410" s="7">
        <f t="shared" si="6"/>
        <v>0</v>
      </c>
    </row>
    <row r="411" spans="1:4" ht="18.75" hidden="1" x14ac:dyDescent="0.25">
      <c r="A411" s="19" t="s">
        <v>64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65</v>
      </c>
      <c r="B412" s="7"/>
      <c r="C412" s="7"/>
      <c r="D412" s="7">
        <f t="shared" si="6"/>
        <v>0</v>
      </c>
    </row>
    <row r="413" spans="1:4" ht="18.75" hidden="1" x14ac:dyDescent="0.25">
      <c r="A413" s="9" t="s">
        <v>66</v>
      </c>
      <c r="B413" s="7"/>
      <c r="C413" s="7"/>
      <c r="D413" s="7">
        <f t="shared" si="6"/>
        <v>0</v>
      </c>
    </row>
    <row r="414" spans="1:4" ht="18.75" hidden="1" x14ac:dyDescent="0.25">
      <c r="A414" s="20" t="s">
        <v>67</v>
      </c>
      <c r="B414" s="7"/>
      <c r="C414" s="7"/>
      <c r="D414" s="7">
        <f t="shared" si="6"/>
        <v>0</v>
      </c>
    </row>
    <row r="415" spans="1:4" ht="18.75" hidden="1" x14ac:dyDescent="0.25">
      <c r="A415" s="42" t="s">
        <v>68</v>
      </c>
      <c r="B415" s="7"/>
      <c r="C415" s="7"/>
      <c r="D415" s="7">
        <f t="shared" si="6"/>
        <v>0</v>
      </c>
    </row>
    <row r="416" spans="1:4" ht="18.75" hidden="1" x14ac:dyDescent="0.25">
      <c r="A416" s="12" t="s">
        <v>69</v>
      </c>
      <c r="B416" s="7"/>
      <c r="C416" s="7"/>
      <c r="D416" s="7">
        <f t="shared" si="6"/>
        <v>0</v>
      </c>
    </row>
    <row r="417" spans="1:4" ht="18.75" hidden="1" x14ac:dyDescent="0.25">
      <c r="A417" s="11" t="s">
        <v>70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71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72</v>
      </c>
      <c r="B419" s="7"/>
      <c r="C419" s="7"/>
      <c r="D419" s="7">
        <f t="shared" si="6"/>
        <v>0</v>
      </c>
    </row>
    <row r="420" spans="1:4" ht="18.75" hidden="1" x14ac:dyDescent="0.25">
      <c r="A420" s="12" t="s">
        <v>73</v>
      </c>
      <c r="B420" s="7"/>
      <c r="C420" s="7"/>
      <c r="D420" s="7">
        <f t="shared" si="6"/>
        <v>0</v>
      </c>
    </row>
    <row r="421" spans="1:4" ht="18.75" hidden="1" x14ac:dyDescent="0.25">
      <c r="A421" s="20" t="s">
        <v>74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75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76</v>
      </c>
      <c r="B423" s="7"/>
      <c r="C423" s="7"/>
      <c r="D423" s="7">
        <f t="shared" si="6"/>
        <v>0</v>
      </c>
    </row>
    <row r="424" spans="1:4" ht="18.75" hidden="1" x14ac:dyDescent="0.25">
      <c r="A424" s="12" t="s">
        <v>341</v>
      </c>
      <c r="B424" s="7"/>
      <c r="C424" s="7"/>
      <c r="D424" s="7">
        <f t="shared" si="6"/>
        <v>0</v>
      </c>
    </row>
    <row r="425" spans="1:4" ht="18.75" x14ac:dyDescent="0.25">
      <c r="A425" s="9" t="s">
        <v>77</v>
      </c>
      <c r="B425" s="7">
        <v>100</v>
      </c>
      <c r="C425" s="7">
        <v>22000</v>
      </c>
      <c r="D425" s="7">
        <f t="shared" si="6"/>
        <v>2200000</v>
      </c>
    </row>
    <row r="426" spans="1:4" ht="18.75" hidden="1" x14ac:dyDescent="0.25">
      <c r="A426" s="13" t="s">
        <v>78</v>
      </c>
      <c r="B426" s="7"/>
      <c r="C426" s="7"/>
      <c r="D426" s="7">
        <f t="shared" si="6"/>
        <v>0</v>
      </c>
    </row>
    <row r="427" spans="1:4" ht="18.75" hidden="1" x14ac:dyDescent="0.25">
      <c r="A427" s="9" t="s">
        <v>79</v>
      </c>
      <c r="B427" s="7"/>
      <c r="C427" s="7"/>
      <c r="D427" s="7">
        <f t="shared" si="6"/>
        <v>0</v>
      </c>
    </row>
    <row r="428" spans="1:4" ht="18.75" hidden="1" x14ac:dyDescent="0.25">
      <c r="A428" s="9" t="s">
        <v>80</v>
      </c>
      <c r="B428" s="7"/>
      <c r="C428" s="7"/>
      <c r="D428" s="7">
        <f t="shared" si="6"/>
        <v>0</v>
      </c>
    </row>
    <row r="429" spans="1:4" ht="18.75" hidden="1" x14ac:dyDescent="0.25">
      <c r="A429" s="9" t="s">
        <v>81</v>
      </c>
      <c r="B429" s="7"/>
      <c r="C429" s="7"/>
      <c r="D429" s="7">
        <f t="shared" si="6"/>
        <v>0</v>
      </c>
    </row>
    <row r="430" spans="1:4" ht="18.75" hidden="1" x14ac:dyDescent="0.25">
      <c r="A430" s="12" t="s">
        <v>82</v>
      </c>
      <c r="B430" s="16"/>
      <c r="C430" s="16"/>
      <c r="D430" s="7">
        <f t="shared" si="6"/>
        <v>0</v>
      </c>
    </row>
    <row r="431" spans="1:4" ht="18.75" hidden="1" x14ac:dyDescent="0.25">
      <c r="A431" s="12" t="s">
        <v>83</v>
      </c>
      <c r="B431" s="16"/>
      <c r="C431" s="16"/>
      <c r="D431" s="7">
        <f t="shared" si="6"/>
        <v>0</v>
      </c>
    </row>
    <row r="432" spans="1:4" ht="18.75" hidden="1" x14ac:dyDescent="0.25">
      <c r="A432" s="12" t="s">
        <v>84</v>
      </c>
      <c r="B432" s="16"/>
      <c r="C432" s="16"/>
      <c r="D432" s="7">
        <f t="shared" si="6"/>
        <v>0</v>
      </c>
    </row>
    <row r="433" spans="1:4" ht="18.75" hidden="1" x14ac:dyDescent="0.25">
      <c r="A433" s="9" t="s">
        <v>85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86</v>
      </c>
      <c r="B434" s="7"/>
      <c r="C434" s="7"/>
      <c r="D434" s="7">
        <f t="shared" si="6"/>
        <v>0</v>
      </c>
    </row>
    <row r="435" spans="1:4" ht="18.75" hidden="1" x14ac:dyDescent="0.25">
      <c r="A435" s="9" t="s">
        <v>87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88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89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90</v>
      </c>
      <c r="B438" s="7"/>
      <c r="C438" s="7"/>
      <c r="D438" s="7">
        <f t="shared" si="6"/>
        <v>0</v>
      </c>
    </row>
    <row r="439" spans="1:4" ht="18.75" hidden="1" x14ac:dyDescent="0.25">
      <c r="A439" s="21" t="s">
        <v>91</v>
      </c>
      <c r="B439" s="7"/>
      <c r="C439" s="7"/>
      <c r="D439" s="7">
        <f t="shared" si="6"/>
        <v>0</v>
      </c>
    </row>
    <row r="440" spans="1:4" ht="18.75" hidden="1" x14ac:dyDescent="0.25">
      <c r="A440" s="21" t="s">
        <v>92</v>
      </c>
      <c r="B440" s="7"/>
      <c r="C440" s="7"/>
      <c r="D440" s="7">
        <f t="shared" si="6"/>
        <v>0</v>
      </c>
    </row>
    <row r="441" spans="1:4" ht="18.75" hidden="1" x14ac:dyDescent="0.25">
      <c r="A441" s="21" t="s">
        <v>93</v>
      </c>
      <c r="B441" s="7"/>
      <c r="C441" s="7"/>
      <c r="D441" s="7">
        <f t="shared" si="6"/>
        <v>0</v>
      </c>
    </row>
    <row r="442" spans="1:4" ht="18.75" hidden="1" x14ac:dyDescent="0.25">
      <c r="A442" s="11" t="s">
        <v>94</v>
      </c>
      <c r="B442" s="7"/>
      <c r="C442" s="7"/>
      <c r="D442" s="7">
        <f t="shared" si="6"/>
        <v>0</v>
      </c>
    </row>
    <row r="443" spans="1:4" ht="18.75" hidden="1" x14ac:dyDescent="0.25">
      <c r="A443" s="13" t="s">
        <v>95</v>
      </c>
      <c r="B443" s="7"/>
      <c r="C443" s="7"/>
      <c r="D443" s="7">
        <f t="shared" si="6"/>
        <v>0</v>
      </c>
    </row>
    <row r="444" spans="1:4" ht="18.75" hidden="1" x14ac:dyDescent="0.25">
      <c r="A444" s="11" t="s">
        <v>342</v>
      </c>
      <c r="B444" s="7"/>
      <c r="C444" s="7"/>
      <c r="D444" s="7">
        <f t="shared" si="6"/>
        <v>0</v>
      </c>
    </row>
    <row r="445" spans="1:4" ht="18.75" hidden="1" x14ac:dyDescent="0.25">
      <c r="A445" s="9" t="s">
        <v>96</v>
      </c>
      <c r="B445" s="7"/>
      <c r="C445" s="7"/>
      <c r="D445" s="7">
        <f t="shared" si="6"/>
        <v>0</v>
      </c>
    </row>
    <row r="446" spans="1:4" ht="18.75" hidden="1" x14ac:dyDescent="0.25">
      <c r="A446" s="9" t="s">
        <v>97</v>
      </c>
      <c r="B446" s="7"/>
      <c r="C446" s="7"/>
      <c r="D446" s="7">
        <f t="shared" si="6"/>
        <v>0</v>
      </c>
    </row>
    <row r="447" spans="1:4" ht="18.75" hidden="1" x14ac:dyDescent="0.25">
      <c r="A447" s="11" t="s">
        <v>343</v>
      </c>
      <c r="B447" s="7"/>
      <c r="C447" s="7"/>
      <c r="D447" s="7">
        <f t="shared" si="6"/>
        <v>0</v>
      </c>
    </row>
    <row r="448" spans="1:4" ht="18.75" hidden="1" x14ac:dyDescent="0.25">
      <c r="A448" s="11" t="s">
        <v>344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99</v>
      </c>
      <c r="B449" s="16"/>
      <c r="C449" s="16"/>
      <c r="D449" s="7">
        <f t="shared" si="6"/>
        <v>0</v>
      </c>
    </row>
    <row r="450" spans="1:4" ht="18.75" hidden="1" x14ac:dyDescent="0.25">
      <c r="A450" s="21" t="s">
        <v>101</v>
      </c>
      <c r="B450" s="7"/>
      <c r="C450" s="7"/>
      <c r="D450" s="7">
        <f t="shared" si="6"/>
        <v>0</v>
      </c>
    </row>
    <row r="451" spans="1:4" ht="18.75" hidden="1" x14ac:dyDescent="0.25">
      <c r="A451" s="11" t="s">
        <v>102</v>
      </c>
      <c r="B451" s="7"/>
      <c r="C451" s="7"/>
      <c r="D451" s="7">
        <f t="shared" si="6"/>
        <v>0</v>
      </c>
    </row>
    <row r="452" spans="1:4" ht="18.75" hidden="1" x14ac:dyDescent="0.25">
      <c r="A452" s="11" t="s">
        <v>345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103</v>
      </c>
      <c r="B453" s="7"/>
      <c r="C453" s="7"/>
      <c r="D453" s="7">
        <f t="shared" si="7"/>
        <v>0</v>
      </c>
    </row>
    <row r="454" spans="1:4" ht="18.75" hidden="1" x14ac:dyDescent="0.25">
      <c r="A454" s="17" t="s">
        <v>104</v>
      </c>
      <c r="B454" s="7"/>
      <c r="C454" s="7"/>
      <c r="D454" s="7">
        <f t="shared" si="7"/>
        <v>0</v>
      </c>
    </row>
    <row r="455" spans="1:4" ht="18.75" hidden="1" x14ac:dyDescent="0.25">
      <c r="A455" s="24" t="s">
        <v>105</v>
      </c>
      <c r="B455" s="7"/>
      <c r="C455" s="7"/>
      <c r="D455" s="7">
        <f t="shared" si="7"/>
        <v>0</v>
      </c>
    </row>
    <row r="456" spans="1:4" ht="18.75" hidden="1" x14ac:dyDescent="0.25">
      <c r="A456" s="24" t="s">
        <v>106</v>
      </c>
      <c r="B456" s="7"/>
      <c r="C456" s="7"/>
      <c r="D456" s="7">
        <f t="shared" si="7"/>
        <v>0</v>
      </c>
    </row>
    <row r="457" spans="1:4" ht="18.75" hidden="1" x14ac:dyDescent="0.25">
      <c r="A457" s="23" t="s">
        <v>107</v>
      </c>
      <c r="B457" s="7"/>
      <c r="C457" s="7"/>
      <c r="D457" s="7">
        <f t="shared" si="7"/>
        <v>0</v>
      </c>
    </row>
    <row r="458" spans="1:4" ht="18.75" hidden="1" x14ac:dyDescent="0.25">
      <c r="A458" s="25" t="s">
        <v>108</v>
      </c>
      <c r="B458" s="7"/>
      <c r="C458" s="7"/>
      <c r="D458" s="7">
        <f t="shared" si="7"/>
        <v>0</v>
      </c>
    </row>
    <row r="459" spans="1:4" ht="18.75" hidden="1" x14ac:dyDescent="0.25">
      <c r="A459" s="9" t="s">
        <v>109</v>
      </c>
      <c r="B459" s="7"/>
      <c r="C459" s="7"/>
      <c r="D459" s="7">
        <f t="shared" si="7"/>
        <v>0</v>
      </c>
    </row>
    <row r="460" spans="1:4" ht="18.75" hidden="1" x14ac:dyDescent="0.25">
      <c r="A460" s="9" t="s">
        <v>110</v>
      </c>
      <c r="B460" s="7"/>
      <c r="C460" s="7"/>
      <c r="D460" s="7">
        <f t="shared" si="7"/>
        <v>0</v>
      </c>
    </row>
    <row r="461" spans="1:4" ht="18.75" hidden="1" x14ac:dyDescent="0.25">
      <c r="A461" s="9" t="s">
        <v>111</v>
      </c>
      <c r="B461" s="7"/>
      <c r="C461" s="7"/>
      <c r="D461" s="7">
        <f t="shared" si="7"/>
        <v>0</v>
      </c>
    </row>
    <row r="462" spans="1:4" ht="18.75" hidden="1" x14ac:dyDescent="0.25">
      <c r="A462" s="9" t="s">
        <v>112</v>
      </c>
      <c r="B462" s="7"/>
      <c r="C462" s="7"/>
      <c r="D462" s="7">
        <f t="shared" si="7"/>
        <v>0</v>
      </c>
    </row>
    <row r="463" spans="1:4" ht="18.75" hidden="1" x14ac:dyDescent="0.25">
      <c r="A463" s="9" t="s">
        <v>114</v>
      </c>
      <c r="B463" s="7"/>
      <c r="C463" s="7"/>
      <c r="D463" s="7">
        <f t="shared" si="7"/>
        <v>0</v>
      </c>
    </row>
    <row r="464" spans="1:4" ht="18.75" hidden="1" x14ac:dyDescent="0.25">
      <c r="A464" s="9" t="s">
        <v>115</v>
      </c>
      <c r="B464" s="7"/>
      <c r="C464" s="7"/>
      <c r="D464" s="7">
        <f t="shared" si="7"/>
        <v>0</v>
      </c>
    </row>
    <row r="465" spans="1:4" ht="18.75" hidden="1" x14ac:dyDescent="0.25">
      <c r="A465" s="9" t="s">
        <v>346</v>
      </c>
      <c r="B465" s="7"/>
      <c r="C465" s="7"/>
      <c r="D465" s="7">
        <f t="shared" si="7"/>
        <v>0</v>
      </c>
    </row>
    <row r="466" spans="1:4" ht="18.75" hidden="1" x14ac:dyDescent="0.25">
      <c r="A466" s="9" t="s">
        <v>116</v>
      </c>
      <c r="B466" s="7"/>
      <c r="C466" s="7"/>
      <c r="D466" s="7">
        <f t="shared" si="7"/>
        <v>0</v>
      </c>
    </row>
    <row r="467" spans="1:4" ht="18.75" hidden="1" x14ac:dyDescent="0.25">
      <c r="A467" s="11" t="s">
        <v>117</v>
      </c>
      <c r="B467" s="7"/>
      <c r="C467" s="7"/>
      <c r="D467" s="7">
        <f t="shared" si="7"/>
        <v>0</v>
      </c>
    </row>
    <row r="468" spans="1:4" ht="18.75" hidden="1" x14ac:dyDescent="0.25">
      <c r="A468" s="21" t="s">
        <v>118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119</v>
      </c>
      <c r="B469" s="7"/>
      <c r="C469" s="7"/>
      <c r="D469" s="7">
        <f t="shared" si="7"/>
        <v>0</v>
      </c>
    </row>
    <row r="470" spans="1:4" ht="18.75" hidden="1" x14ac:dyDescent="0.25">
      <c r="A470" s="11" t="s">
        <v>120</v>
      </c>
      <c r="B470" s="7"/>
      <c r="C470" s="7"/>
      <c r="D470" s="7">
        <f t="shared" si="7"/>
        <v>0</v>
      </c>
    </row>
    <row r="471" spans="1:4" ht="18.75" hidden="1" x14ac:dyDescent="0.25">
      <c r="A471" s="11" t="s">
        <v>121</v>
      </c>
      <c r="B471" s="7"/>
      <c r="C471" s="7"/>
      <c r="D471" s="7">
        <f t="shared" si="7"/>
        <v>0</v>
      </c>
    </row>
    <row r="472" spans="1:4" ht="18.75" x14ac:dyDescent="0.25">
      <c r="A472" s="9" t="s">
        <v>122</v>
      </c>
      <c r="B472" s="7">
        <v>20</v>
      </c>
      <c r="C472" s="7">
        <v>14000</v>
      </c>
      <c r="D472" s="7">
        <f t="shared" si="7"/>
        <v>280000</v>
      </c>
    </row>
    <row r="473" spans="1:4" ht="18.75" hidden="1" x14ac:dyDescent="0.25">
      <c r="A473" s="10" t="s">
        <v>124</v>
      </c>
      <c r="B473" s="7"/>
      <c r="C473" s="7"/>
      <c r="D473" s="7">
        <f t="shared" si="7"/>
        <v>0</v>
      </c>
    </row>
    <row r="474" spans="1:4" ht="18.75" hidden="1" x14ac:dyDescent="0.25">
      <c r="A474" s="13" t="s">
        <v>125</v>
      </c>
      <c r="B474" s="7"/>
      <c r="C474" s="7"/>
      <c r="D474" s="7">
        <f t="shared" si="7"/>
        <v>0</v>
      </c>
    </row>
    <row r="475" spans="1:4" ht="18.75" hidden="1" x14ac:dyDescent="0.25">
      <c r="A475" s="12" t="s">
        <v>126</v>
      </c>
      <c r="B475" s="16"/>
      <c r="C475" s="16"/>
      <c r="D475" s="7">
        <f t="shared" si="7"/>
        <v>0</v>
      </c>
    </row>
    <row r="476" spans="1:4" ht="18.75" hidden="1" x14ac:dyDescent="0.25">
      <c r="A476" s="12" t="s">
        <v>127</v>
      </c>
      <c r="B476" s="16"/>
      <c r="C476" s="16"/>
      <c r="D476" s="7">
        <f t="shared" si="7"/>
        <v>0</v>
      </c>
    </row>
    <row r="477" spans="1:4" ht="18.75" hidden="1" x14ac:dyDescent="0.25">
      <c r="A477" s="12" t="s">
        <v>128</v>
      </c>
      <c r="B477" s="16"/>
      <c r="C477" s="16"/>
      <c r="D477" s="7">
        <f t="shared" si="7"/>
        <v>0</v>
      </c>
    </row>
    <row r="478" spans="1:4" ht="18.75" hidden="1" x14ac:dyDescent="0.25">
      <c r="A478" s="12" t="s">
        <v>129</v>
      </c>
      <c r="B478" s="27"/>
      <c r="C478" s="27"/>
      <c r="D478" s="7">
        <f t="shared" si="7"/>
        <v>0</v>
      </c>
    </row>
    <row r="479" spans="1:4" ht="18.75" hidden="1" x14ac:dyDescent="0.25">
      <c r="A479" s="28" t="s">
        <v>130</v>
      </c>
      <c r="B479" s="7"/>
      <c r="C479" s="7"/>
      <c r="D479" s="7">
        <f t="shared" si="7"/>
        <v>0</v>
      </c>
    </row>
    <row r="480" spans="1:4" ht="18.75" hidden="1" x14ac:dyDescent="0.25">
      <c r="A480" s="12" t="s">
        <v>131</v>
      </c>
      <c r="B480" s="16"/>
      <c r="C480" s="16"/>
      <c r="D480" s="7">
        <f t="shared" si="7"/>
        <v>0</v>
      </c>
    </row>
    <row r="481" spans="1:4" ht="18.75" hidden="1" x14ac:dyDescent="0.25">
      <c r="A481" s="9" t="s">
        <v>132</v>
      </c>
      <c r="B481" s="7"/>
      <c r="C481" s="7"/>
      <c r="D481" s="7">
        <f t="shared" si="7"/>
        <v>0</v>
      </c>
    </row>
    <row r="482" spans="1:4" ht="18.75" hidden="1" x14ac:dyDescent="0.25">
      <c r="A482" s="9" t="s">
        <v>133</v>
      </c>
      <c r="B482" s="7"/>
      <c r="C482" s="7"/>
      <c r="D482" s="7">
        <f t="shared" si="7"/>
        <v>0</v>
      </c>
    </row>
    <row r="483" spans="1:4" ht="18.75" x14ac:dyDescent="0.25">
      <c r="A483" s="9" t="s">
        <v>135</v>
      </c>
      <c r="B483" s="7">
        <v>60</v>
      </c>
      <c r="C483" s="7">
        <v>16000</v>
      </c>
      <c r="D483" s="7">
        <f t="shared" si="7"/>
        <v>960000</v>
      </c>
    </row>
    <row r="484" spans="1:4" ht="18.75" hidden="1" x14ac:dyDescent="0.25">
      <c r="A484" s="17" t="s">
        <v>136</v>
      </c>
      <c r="B484" s="7"/>
      <c r="C484" s="7"/>
      <c r="D484" s="7">
        <f t="shared" si="7"/>
        <v>0</v>
      </c>
    </row>
    <row r="485" spans="1:4" ht="18.75" hidden="1" x14ac:dyDescent="0.25">
      <c r="A485" s="12" t="s">
        <v>137</v>
      </c>
      <c r="B485" s="7"/>
      <c r="C485" s="7"/>
      <c r="D485" s="7">
        <f t="shared" si="7"/>
        <v>0</v>
      </c>
    </row>
    <row r="486" spans="1:4" ht="18.75" hidden="1" x14ac:dyDescent="0.25">
      <c r="A486" s="12" t="s">
        <v>138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139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347</v>
      </c>
      <c r="B488" s="7"/>
      <c r="C488" s="7"/>
      <c r="D488" s="7">
        <f t="shared" si="7"/>
        <v>0</v>
      </c>
    </row>
    <row r="489" spans="1:4" ht="18.75" hidden="1" x14ac:dyDescent="0.25">
      <c r="A489" s="9" t="s">
        <v>141</v>
      </c>
      <c r="B489" s="16"/>
      <c r="C489" s="16"/>
      <c r="D489" s="7">
        <f t="shared" si="7"/>
        <v>0</v>
      </c>
    </row>
    <row r="490" spans="1:4" ht="18.75" hidden="1" x14ac:dyDescent="0.25">
      <c r="A490" s="9" t="s">
        <v>142</v>
      </c>
      <c r="B490" s="16"/>
      <c r="C490" s="16"/>
      <c r="D490" s="7">
        <f t="shared" si="7"/>
        <v>0</v>
      </c>
    </row>
    <row r="491" spans="1:4" ht="18.75" hidden="1" x14ac:dyDescent="0.25">
      <c r="A491" s="9" t="s">
        <v>143</v>
      </c>
      <c r="B491" s="7"/>
      <c r="C491" s="7"/>
      <c r="D491" s="7">
        <f t="shared" si="7"/>
        <v>0</v>
      </c>
    </row>
    <row r="492" spans="1:4" ht="18.75" hidden="1" x14ac:dyDescent="0.25">
      <c r="A492" s="9" t="s">
        <v>144</v>
      </c>
      <c r="B492" s="16"/>
      <c r="C492" s="16"/>
      <c r="D492" s="7">
        <f t="shared" si="7"/>
        <v>0</v>
      </c>
    </row>
    <row r="493" spans="1:4" ht="18.75" hidden="1" x14ac:dyDescent="0.25">
      <c r="A493" s="9" t="s">
        <v>145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146</v>
      </c>
      <c r="B494" s="16"/>
      <c r="C494" s="16"/>
      <c r="D494" s="7">
        <f t="shared" si="7"/>
        <v>0</v>
      </c>
    </row>
    <row r="495" spans="1:4" ht="18.75" hidden="1" x14ac:dyDescent="0.25">
      <c r="A495" s="9" t="s">
        <v>147</v>
      </c>
      <c r="B495" s="16"/>
      <c r="C495" s="16"/>
      <c r="D495" s="7">
        <f t="shared" si="7"/>
        <v>0</v>
      </c>
    </row>
    <row r="496" spans="1:4" ht="18.75" hidden="1" x14ac:dyDescent="0.25">
      <c r="A496" s="9" t="s">
        <v>148</v>
      </c>
      <c r="B496" s="16"/>
      <c r="C496" s="16"/>
      <c r="D496" s="7">
        <f t="shared" si="7"/>
        <v>0</v>
      </c>
    </row>
    <row r="497" spans="1:4" ht="18.75" hidden="1" x14ac:dyDescent="0.25">
      <c r="A497" s="9" t="s">
        <v>149</v>
      </c>
      <c r="B497" s="16"/>
      <c r="C497" s="16"/>
      <c r="D497" s="7">
        <f t="shared" si="7"/>
        <v>0</v>
      </c>
    </row>
    <row r="498" spans="1:4" ht="18.75" hidden="1" x14ac:dyDescent="0.25">
      <c r="A498" s="9" t="s">
        <v>150</v>
      </c>
      <c r="B498" s="16"/>
      <c r="C498" s="16"/>
      <c r="D498" s="7">
        <f t="shared" si="7"/>
        <v>0</v>
      </c>
    </row>
    <row r="499" spans="1:4" ht="18.75" hidden="1" x14ac:dyDescent="0.25">
      <c r="A499" s="9" t="s">
        <v>151</v>
      </c>
      <c r="B499" s="16"/>
      <c r="C499" s="16"/>
      <c r="D499" s="7">
        <f t="shared" si="7"/>
        <v>0</v>
      </c>
    </row>
    <row r="500" spans="1:4" ht="18.75" hidden="1" x14ac:dyDescent="0.25">
      <c r="A500" s="9" t="s">
        <v>152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348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153</v>
      </c>
      <c r="B502" s="7"/>
      <c r="C502" s="7"/>
      <c r="D502" s="7">
        <f t="shared" si="7"/>
        <v>0</v>
      </c>
    </row>
    <row r="503" spans="1:4" ht="18.75" hidden="1" x14ac:dyDescent="0.25">
      <c r="A503" s="9" t="s">
        <v>154</v>
      </c>
      <c r="B503" s="7"/>
      <c r="C503" s="7"/>
      <c r="D503" s="7">
        <f t="shared" si="7"/>
        <v>0</v>
      </c>
    </row>
    <row r="504" spans="1:4" ht="18.75" hidden="1" x14ac:dyDescent="0.25">
      <c r="A504" s="9" t="s">
        <v>155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156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157</v>
      </c>
      <c r="B506" s="7"/>
      <c r="C506" s="7"/>
      <c r="D506" s="7">
        <f t="shared" si="7"/>
        <v>0</v>
      </c>
    </row>
    <row r="507" spans="1:4" ht="18.75" hidden="1" x14ac:dyDescent="0.25">
      <c r="A507" s="9" t="s">
        <v>158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159</v>
      </c>
      <c r="B508" s="7"/>
      <c r="C508" s="7"/>
      <c r="D508" s="7">
        <f t="shared" si="7"/>
        <v>0</v>
      </c>
    </row>
    <row r="509" spans="1:4" ht="18.75" hidden="1" x14ac:dyDescent="0.25">
      <c r="A509" s="9" t="s">
        <v>160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161</v>
      </c>
      <c r="B510" s="16"/>
      <c r="C510" s="16"/>
      <c r="D510" s="7">
        <f t="shared" si="7"/>
        <v>0</v>
      </c>
    </row>
    <row r="511" spans="1:4" ht="18.75" hidden="1" x14ac:dyDescent="0.25">
      <c r="A511" s="18" t="s">
        <v>162</v>
      </c>
      <c r="B511" s="16"/>
      <c r="C511" s="16"/>
      <c r="D511" s="7">
        <f t="shared" si="7"/>
        <v>0</v>
      </c>
    </row>
    <row r="512" spans="1:4" ht="18.75" hidden="1" x14ac:dyDescent="0.25">
      <c r="A512" s="9" t="s">
        <v>163</v>
      </c>
      <c r="B512" s="16"/>
      <c r="C512" s="16"/>
      <c r="D512" s="7">
        <f t="shared" si="7"/>
        <v>0</v>
      </c>
    </row>
    <row r="513" spans="1:4" ht="18.75" hidden="1" x14ac:dyDescent="0.25">
      <c r="A513" s="9" t="s">
        <v>165</v>
      </c>
      <c r="B513" s="7"/>
      <c r="C513" s="7"/>
      <c r="D513" s="7">
        <f t="shared" si="7"/>
        <v>0</v>
      </c>
    </row>
    <row r="514" spans="1:4" ht="18.75" hidden="1" x14ac:dyDescent="0.25">
      <c r="A514" s="17" t="s">
        <v>166</v>
      </c>
      <c r="B514" s="7"/>
      <c r="C514" s="7"/>
      <c r="D514" s="7">
        <f t="shared" si="7"/>
        <v>0</v>
      </c>
    </row>
    <row r="515" spans="1:4" ht="18.75" x14ac:dyDescent="0.25">
      <c r="A515" s="9" t="s">
        <v>349</v>
      </c>
      <c r="B515" s="7">
        <v>180</v>
      </c>
      <c r="C515" s="7">
        <v>6500</v>
      </c>
      <c r="D515" s="7">
        <f t="shared" si="7"/>
        <v>1170000</v>
      </c>
    </row>
    <row r="516" spans="1:4" ht="18.75" hidden="1" x14ac:dyDescent="0.25">
      <c r="A516" s="12" t="s">
        <v>167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7"/>
      <c r="C517" s="7"/>
      <c r="D517" s="7">
        <f t="shared" si="8"/>
        <v>0</v>
      </c>
    </row>
    <row r="518" spans="1:4" ht="18.75" hidden="1" x14ac:dyDescent="0.25">
      <c r="A518" s="9" t="s">
        <v>170</v>
      </c>
      <c r="B518" s="7"/>
      <c r="C518" s="7"/>
      <c r="D518" s="7">
        <f t="shared" si="8"/>
        <v>0</v>
      </c>
    </row>
    <row r="519" spans="1:4" ht="18.75" hidden="1" x14ac:dyDescent="0.25">
      <c r="A519" s="9" t="s">
        <v>171</v>
      </c>
      <c r="B519" s="7"/>
      <c r="C519" s="7"/>
      <c r="D519" s="7">
        <f t="shared" si="8"/>
        <v>0</v>
      </c>
    </row>
    <row r="520" spans="1:4" ht="18.75" hidden="1" x14ac:dyDescent="0.25">
      <c r="A520" s="20" t="s">
        <v>172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173</v>
      </c>
      <c r="B521" s="7"/>
      <c r="C521" s="7"/>
      <c r="D521" s="7">
        <f t="shared" si="8"/>
        <v>0</v>
      </c>
    </row>
    <row r="522" spans="1:4" ht="18.75" hidden="1" x14ac:dyDescent="0.25">
      <c r="A522" s="31" t="s">
        <v>174</v>
      </c>
      <c r="B522" s="33"/>
      <c r="C522" s="33"/>
      <c r="D522" s="7">
        <f t="shared" si="8"/>
        <v>0</v>
      </c>
    </row>
    <row r="523" spans="1:4" ht="18.75" hidden="1" x14ac:dyDescent="0.25">
      <c r="A523" s="11" t="s">
        <v>175</v>
      </c>
      <c r="B523" s="7"/>
      <c r="C523" s="7"/>
      <c r="D523" s="7">
        <f t="shared" si="8"/>
        <v>0</v>
      </c>
    </row>
    <row r="524" spans="1:4" ht="18.75" hidden="1" x14ac:dyDescent="0.25">
      <c r="A524" s="9" t="s">
        <v>176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350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178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179</v>
      </c>
      <c r="B527" s="7"/>
      <c r="C527" s="7"/>
      <c r="D527" s="7">
        <f t="shared" si="8"/>
        <v>0</v>
      </c>
    </row>
    <row r="528" spans="1:4" ht="18.75" hidden="1" x14ac:dyDescent="0.25">
      <c r="A528" s="9" t="s">
        <v>180</v>
      </c>
      <c r="B528" s="7"/>
      <c r="C528" s="7"/>
      <c r="D528" s="7">
        <f t="shared" si="8"/>
        <v>0</v>
      </c>
    </row>
    <row r="529" spans="1:4" ht="18.75" hidden="1" x14ac:dyDescent="0.25">
      <c r="A529" s="12" t="s">
        <v>181</v>
      </c>
      <c r="B529" s="7"/>
      <c r="C529" s="7"/>
      <c r="D529" s="7">
        <f t="shared" si="8"/>
        <v>0</v>
      </c>
    </row>
    <row r="530" spans="1:4" ht="18.75" hidden="1" x14ac:dyDescent="0.25">
      <c r="A530" s="12" t="s">
        <v>182</v>
      </c>
      <c r="B530" s="7"/>
      <c r="C530" s="7"/>
      <c r="D530" s="7">
        <f t="shared" si="8"/>
        <v>0</v>
      </c>
    </row>
    <row r="531" spans="1:4" ht="18.75" hidden="1" x14ac:dyDescent="0.25">
      <c r="A531" s="12" t="s">
        <v>183</v>
      </c>
      <c r="B531" s="7"/>
      <c r="C531" s="7"/>
      <c r="D531" s="7">
        <f t="shared" si="8"/>
        <v>0</v>
      </c>
    </row>
    <row r="532" spans="1:4" ht="18.75" hidden="1" x14ac:dyDescent="0.25">
      <c r="A532" s="9" t="s">
        <v>184</v>
      </c>
      <c r="B532" s="7"/>
      <c r="C532" s="7"/>
      <c r="D532" s="7">
        <f t="shared" si="8"/>
        <v>0</v>
      </c>
    </row>
    <row r="533" spans="1:4" ht="18.75" hidden="1" x14ac:dyDescent="0.25">
      <c r="A533" s="12" t="s">
        <v>186</v>
      </c>
      <c r="B533" s="7"/>
      <c r="C533" s="7"/>
      <c r="D533" s="7">
        <f t="shared" si="8"/>
        <v>0</v>
      </c>
    </row>
    <row r="534" spans="1:4" ht="18.75" hidden="1" x14ac:dyDescent="0.25">
      <c r="A534" s="12" t="s">
        <v>187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188</v>
      </c>
      <c r="B535" s="7"/>
      <c r="C535" s="7"/>
      <c r="D535" s="7">
        <f t="shared" si="8"/>
        <v>0</v>
      </c>
    </row>
    <row r="536" spans="1:4" ht="18.75" hidden="1" x14ac:dyDescent="0.25">
      <c r="A536" s="9" t="s">
        <v>351</v>
      </c>
      <c r="B536" s="7"/>
      <c r="C536" s="7"/>
      <c r="D536" s="7">
        <f t="shared" si="8"/>
        <v>0</v>
      </c>
    </row>
    <row r="537" spans="1:4" ht="18.75" hidden="1" x14ac:dyDescent="0.25">
      <c r="A537" s="17" t="s">
        <v>189</v>
      </c>
      <c r="B537" s="7"/>
      <c r="C537" s="7"/>
      <c r="D537" s="7">
        <f t="shared" si="8"/>
        <v>0</v>
      </c>
    </row>
    <row r="538" spans="1:4" ht="18.75" hidden="1" x14ac:dyDescent="0.25">
      <c r="A538" s="17" t="s">
        <v>190</v>
      </c>
      <c r="B538" s="7"/>
      <c r="C538" s="7"/>
      <c r="D538" s="7">
        <f t="shared" si="8"/>
        <v>0</v>
      </c>
    </row>
    <row r="539" spans="1:4" ht="18.75" hidden="1" x14ac:dyDescent="0.25">
      <c r="A539" s="17" t="s">
        <v>191</v>
      </c>
      <c r="B539" s="7"/>
      <c r="C539" s="7"/>
      <c r="D539" s="7">
        <f t="shared" si="8"/>
        <v>0</v>
      </c>
    </row>
    <row r="540" spans="1:4" ht="18.75" hidden="1" x14ac:dyDescent="0.25">
      <c r="A540" s="17" t="s">
        <v>192</v>
      </c>
      <c r="B540" s="7"/>
      <c r="C540" s="7"/>
      <c r="D540" s="7">
        <f t="shared" si="8"/>
        <v>0</v>
      </c>
    </row>
    <row r="541" spans="1:4" ht="18.75" hidden="1" x14ac:dyDescent="0.25">
      <c r="A541" s="12" t="s">
        <v>193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194</v>
      </c>
      <c r="B542" s="7"/>
      <c r="C542" s="7"/>
      <c r="D542" s="7">
        <f t="shared" si="8"/>
        <v>0</v>
      </c>
    </row>
    <row r="543" spans="1:4" ht="18.75" hidden="1" x14ac:dyDescent="0.25">
      <c r="A543" s="34" t="s">
        <v>195</v>
      </c>
      <c r="B543" s="7"/>
      <c r="C543" s="7"/>
      <c r="D543" s="7">
        <f t="shared" si="8"/>
        <v>0</v>
      </c>
    </row>
    <row r="544" spans="1:4" ht="18.75" hidden="1" x14ac:dyDescent="0.25">
      <c r="A544" s="34" t="s">
        <v>196</v>
      </c>
      <c r="B544" s="7"/>
      <c r="C544" s="7"/>
      <c r="D544" s="7">
        <f t="shared" si="8"/>
        <v>0</v>
      </c>
    </row>
    <row r="545" spans="1:4" ht="18.75" hidden="1" x14ac:dyDescent="0.25">
      <c r="A545" s="34" t="s">
        <v>197</v>
      </c>
      <c r="B545" s="7"/>
      <c r="C545" s="7"/>
      <c r="D545" s="7">
        <f t="shared" si="8"/>
        <v>0</v>
      </c>
    </row>
    <row r="546" spans="1:4" ht="18.75" hidden="1" x14ac:dyDescent="0.25">
      <c r="A546" s="34" t="s">
        <v>198</v>
      </c>
      <c r="B546" s="7"/>
      <c r="C546" s="7"/>
      <c r="D546" s="7">
        <f t="shared" si="8"/>
        <v>0</v>
      </c>
    </row>
    <row r="547" spans="1:4" ht="18.75" hidden="1" x14ac:dyDescent="0.25">
      <c r="A547" s="9" t="s">
        <v>199</v>
      </c>
      <c r="B547" s="7"/>
      <c r="C547" s="7"/>
      <c r="D547" s="7">
        <f t="shared" si="8"/>
        <v>0</v>
      </c>
    </row>
    <row r="548" spans="1:4" ht="18.75" hidden="1" x14ac:dyDescent="0.25">
      <c r="A548" s="35" t="s">
        <v>352</v>
      </c>
      <c r="B548" s="7"/>
      <c r="C548" s="7"/>
      <c r="D548" s="7">
        <f t="shared" si="8"/>
        <v>0</v>
      </c>
    </row>
    <row r="549" spans="1:4" ht="18.75" hidden="1" x14ac:dyDescent="0.25">
      <c r="A549" s="9" t="s">
        <v>201</v>
      </c>
      <c r="B549" s="7"/>
      <c r="C549" s="7"/>
      <c r="D549" s="7">
        <f t="shared" si="8"/>
        <v>0</v>
      </c>
    </row>
    <row r="550" spans="1:4" ht="18.75" hidden="1" x14ac:dyDescent="0.25">
      <c r="A550" s="12" t="s">
        <v>202</v>
      </c>
      <c r="B550" s="7"/>
      <c r="C550" s="7"/>
      <c r="D550" s="7">
        <f t="shared" si="8"/>
        <v>0</v>
      </c>
    </row>
    <row r="551" spans="1:4" ht="18.75" hidden="1" x14ac:dyDescent="0.25">
      <c r="A551" s="9" t="s">
        <v>353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203</v>
      </c>
      <c r="B552" s="7"/>
      <c r="C552" s="7"/>
      <c r="D552" s="7">
        <f t="shared" si="8"/>
        <v>0</v>
      </c>
    </row>
    <row r="553" spans="1:4" ht="18.75" x14ac:dyDescent="0.25">
      <c r="A553" s="9" t="s">
        <v>204</v>
      </c>
      <c r="B553" s="7">
        <v>100</v>
      </c>
      <c r="C553" s="7">
        <v>19500</v>
      </c>
      <c r="D553" s="7">
        <f t="shared" si="8"/>
        <v>1950000</v>
      </c>
    </row>
    <row r="554" spans="1:4" ht="18.75" hidden="1" x14ac:dyDescent="0.25">
      <c r="A554" s="36" t="s">
        <v>205</v>
      </c>
      <c r="B554" s="7"/>
      <c r="C554" s="7"/>
      <c r="D554" s="7">
        <f t="shared" si="8"/>
        <v>0</v>
      </c>
    </row>
    <row r="555" spans="1:4" ht="18.75" hidden="1" x14ac:dyDescent="0.25">
      <c r="A555" s="36" t="s">
        <v>206</v>
      </c>
      <c r="B555" s="7"/>
      <c r="C555" s="7"/>
      <c r="D555" s="7">
        <f t="shared" si="8"/>
        <v>0</v>
      </c>
    </row>
    <row r="556" spans="1:4" ht="18.75" hidden="1" x14ac:dyDescent="0.25">
      <c r="A556" s="9" t="s">
        <v>207</v>
      </c>
      <c r="B556" s="7"/>
      <c r="C556" s="7"/>
      <c r="D556" s="7">
        <f t="shared" si="8"/>
        <v>0</v>
      </c>
    </row>
    <row r="557" spans="1:4" ht="18.75" hidden="1" x14ac:dyDescent="0.25">
      <c r="A557" s="11" t="s">
        <v>208</v>
      </c>
      <c r="B557" s="7"/>
      <c r="C557" s="7"/>
      <c r="D557" s="7">
        <f t="shared" si="8"/>
        <v>0</v>
      </c>
    </row>
    <row r="558" spans="1:4" ht="18.75" hidden="1" x14ac:dyDescent="0.25">
      <c r="A558" s="9" t="s">
        <v>209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354</v>
      </c>
      <c r="B559" s="7"/>
      <c r="C559" s="7"/>
      <c r="D559" s="7">
        <f t="shared" si="8"/>
        <v>0</v>
      </c>
    </row>
    <row r="560" spans="1:4" ht="18.75" hidden="1" x14ac:dyDescent="0.25">
      <c r="A560" s="9" t="s">
        <v>210</v>
      </c>
      <c r="B560" s="7"/>
      <c r="C560" s="7"/>
      <c r="D560" s="7">
        <f t="shared" si="8"/>
        <v>0</v>
      </c>
    </row>
    <row r="561" spans="1:4" ht="18.75" hidden="1" x14ac:dyDescent="0.25">
      <c r="A561" s="9" t="s">
        <v>211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355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356</v>
      </c>
      <c r="B563" s="7"/>
      <c r="C563" s="7"/>
      <c r="D563" s="7">
        <f t="shared" si="8"/>
        <v>0</v>
      </c>
    </row>
    <row r="564" spans="1:4" ht="18.75" hidden="1" x14ac:dyDescent="0.25">
      <c r="A564" s="9" t="s">
        <v>212</v>
      </c>
      <c r="B564" s="7"/>
      <c r="C564" s="7"/>
      <c r="D564" s="7">
        <f t="shared" si="8"/>
        <v>0</v>
      </c>
    </row>
    <row r="565" spans="1:4" ht="18.75" hidden="1" x14ac:dyDescent="0.25">
      <c r="A565" s="37" t="s">
        <v>213</v>
      </c>
      <c r="B565" s="7"/>
      <c r="C565" s="7"/>
      <c r="D565" s="7">
        <f t="shared" si="8"/>
        <v>0</v>
      </c>
    </row>
    <row r="566" spans="1:4" ht="18.75" hidden="1" x14ac:dyDescent="0.25">
      <c r="A566" s="9" t="s">
        <v>214</v>
      </c>
      <c r="B566" s="7"/>
      <c r="C566" s="7"/>
      <c r="D566" s="7">
        <f t="shared" si="8"/>
        <v>0</v>
      </c>
    </row>
    <row r="567" spans="1:4" ht="18.75" x14ac:dyDescent="0.25">
      <c r="A567" s="9" t="s">
        <v>215</v>
      </c>
      <c r="B567" s="7">
        <v>300</v>
      </c>
      <c r="C567" s="7">
        <v>15000</v>
      </c>
      <c r="D567" s="7">
        <f t="shared" si="8"/>
        <v>4500000</v>
      </c>
    </row>
    <row r="568" spans="1:4" ht="18.75" hidden="1" x14ac:dyDescent="0.25">
      <c r="A568" s="9" t="s">
        <v>216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357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217</v>
      </c>
      <c r="B570" s="7"/>
      <c r="C570" s="7"/>
      <c r="D570" s="7">
        <f t="shared" si="8"/>
        <v>0</v>
      </c>
    </row>
    <row r="571" spans="1:4" ht="18.75" hidden="1" x14ac:dyDescent="0.25">
      <c r="A571" s="17" t="s">
        <v>218</v>
      </c>
      <c r="B571" s="7"/>
      <c r="C571" s="7"/>
      <c r="D571" s="7">
        <f t="shared" si="8"/>
        <v>0</v>
      </c>
    </row>
    <row r="572" spans="1:4" ht="18.75" hidden="1" x14ac:dyDescent="0.25">
      <c r="A572" s="17" t="s">
        <v>219</v>
      </c>
      <c r="B572" s="7"/>
      <c r="C572" s="7"/>
      <c r="D572" s="7">
        <f t="shared" si="8"/>
        <v>0</v>
      </c>
    </row>
    <row r="573" spans="1:4" ht="18.75" hidden="1" x14ac:dyDescent="0.25">
      <c r="A573" s="17" t="s">
        <v>220</v>
      </c>
      <c r="B573" s="7"/>
      <c r="C573" s="7"/>
      <c r="D573" s="7">
        <f t="shared" si="8"/>
        <v>0</v>
      </c>
    </row>
    <row r="574" spans="1:4" ht="18.75" hidden="1" x14ac:dyDescent="0.25">
      <c r="A574" s="17" t="s">
        <v>221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222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223</v>
      </c>
      <c r="B576" s="7"/>
      <c r="C576" s="7"/>
      <c r="D576" s="7">
        <f t="shared" si="8"/>
        <v>0</v>
      </c>
    </row>
    <row r="577" spans="1:4" ht="18.75" hidden="1" x14ac:dyDescent="0.25">
      <c r="A577" s="17" t="s">
        <v>224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225</v>
      </c>
      <c r="B578" s="7"/>
      <c r="C578" s="7"/>
      <c r="D578" s="7">
        <f t="shared" si="8"/>
        <v>0</v>
      </c>
    </row>
    <row r="579" spans="1:4" ht="18.75" hidden="1" x14ac:dyDescent="0.25">
      <c r="A579" s="11" t="s">
        <v>226</v>
      </c>
      <c r="B579" s="7"/>
      <c r="C579" s="7"/>
      <c r="D579" s="7">
        <f t="shared" si="8"/>
        <v>0</v>
      </c>
    </row>
    <row r="580" spans="1:4" ht="18.75" hidden="1" x14ac:dyDescent="0.25">
      <c r="A580" s="12" t="s">
        <v>227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7"/>
      <c r="C581" s="7"/>
      <c r="D581" s="7">
        <f t="shared" si="9"/>
        <v>0</v>
      </c>
    </row>
    <row r="582" spans="1:4" ht="18.75" hidden="1" x14ac:dyDescent="0.25">
      <c r="A582" s="21" t="s">
        <v>359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232</v>
      </c>
      <c r="B583" s="7"/>
      <c r="C583" s="7"/>
      <c r="D583" s="7">
        <f t="shared" si="9"/>
        <v>0</v>
      </c>
    </row>
    <row r="584" spans="1:4" ht="18.75" hidden="1" x14ac:dyDescent="0.25">
      <c r="A584" s="9" t="s">
        <v>237</v>
      </c>
      <c r="B584" s="7"/>
      <c r="C584" s="7"/>
      <c r="D584" s="7">
        <f t="shared" si="9"/>
        <v>0</v>
      </c>
    </row>
    <row r="585" spans="1:4" ht="18.75" hidden="1" x14ac:dyDescent="0.25">
      <c r="A585" s="9" t="s">
        <v>238</v>
      </c>
      <c r="B585" s="7"/>
      <c r="C585" s="7"/>
      <c r="D585" s="7">
        <f t="shared" si="9"/>
        <v>0</v>
      </c>
    </row>
    <row r="586" spans="1:4" ht="18.75" hidden="1" x14ac:dyDescent="0.25">
      <c r="A586" s="13" t="s">
        <v>239</v>
      </c>
      <c r="B586" s="7"/>
      <c r="C586" s="7"/>
      <c r="D586" s="7">
        <f t="shared" si="9"/>
        <v>0</v>
      </c>
    </row>
    <row r="587" spans="1:4" ht="18.75" hidden="1" x14ac:dyDescent="0.25">
      <c r="A587" s="13" t="s">
        <v>240</v>
      </c>
      <c r="B587" s="7"/>
      <c r="C587" s="7"/>
      <c r="D587" s="7">
        <f t="shared" si="9"/>
        <v>0</v>
      </c>
    </row>
    <row r="588" spans="1:4" ht="18.75" hidden="1" x14ac:dyDescent="0.25">
      <c r="A588" s="34" t="s">
        <v>241</v>
      </c>
      <c r="B588" s="7"/>
      <c r="C588" s="7"/>
      <c r="D588" s="7">
        <f t="shared" si="9"/>
        <v>0</v>
      </c>
    </row>
    <row r="589" spans="1:4" ht="18.75" hidden="1" x14ac:dyDescent="0.25">
      <c r="A589" s="9" t="s">
        <v>242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243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244</v>
      </c>
      <c r="B591" s="16"/>
      <c r="C591" s="16"/>
      <c r="D591" s="7">
        <f t="shared" si="9"/>
        <v>0</v>
      </c>
    </row>
    <row r="592" spans="1:4" ht="18.75" hidden="1" x14ac:dyDescent="0.25">
      <c r="A592" s="34" t="s">
        <v>245</v>
      </c>
      <c r="B592" s="7"/>
      <c r="C592" s="7"/>
      <c r="D592" s="7">
        <f t="shared" si="9"/>
        <v>0</v>
      </c>
    </row>
    <row r="593" spans="1:4" ht="18.75" hidden="1" x14ac:dyDescent="0.25">
      <c r="A593" s="9" t="s">
        <v>246</v>
      </c>
      <c r="B593" s="16"/>
      <c r="C593" s="16"/>
      <c r="D593" s="7">
        <f t="shared" si="9"/>
        <v>0</v>
      </c>
    </row>
    <row r="594" spans="1:4" ht="18.75" hidden="1" x14ac:dyDescent="0.25">
      <c r="A594" s="9" t="s">
        <v>247</v>
      </c>
      <c r="B594" s="7"/>
      <c r="C594" s="7"/>
      <c r="D594" s="7">
        <f t="shared" si="9"/>
        <v>0</v>
      </c>
    </row>
    <row r="595" spans="1:4" ht="18.75" hidden="1" x14ac:dyDescent="0.25">
      <c r="A595" s="11" t="s">
        <v>249</v>
      </c>
      <c r="B595" s="7"/>
      <c r="C595" s="7"/>
      <c r="D595" s="7">
        <f t="shared" si="9"/>
        <v>0</v>
      </c>
    </row>
    <row r="596" spans="1:4" ht="18.75" x14ac:dyDescent="0.25">
      <c r="A596" s="9" t="s">
        <v>250</v>
      </c>
      <c r="B596" s="7">
        <v>20</v>
      </c>
      <c r="C596" s="7">
        <v>27000</v>
      </c>
      <c r="D596" s="7">
        <f t="shared" si="9"/>
        <v>540000</v>
      </c>
    </row>
    <row r="597" spans="1:4" ht="18.75" hidden="1" x14ac:dyDescent="0.25">
      <c r="A597" s="9" t="s">
        <v>251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252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253</v>
      </c>
      <c r="B599" s="7"/>
      <c r="C599" s="7"/>
      <c r="D599" s="7">
        <f t="shared" si="9"/>
        <v>0</v>
      </c>
    </row>
    <row r="600" spans="1:4" ht="18.75" hidden="1" x14ac:dyDescent="0.25">
      <c r="A600" s="9" t="s">
        <v>254</v>
      </c>
      <c r="B600" s="7"/>
      <c r="C600" s="7"/>
      <c r="D600" s="7">
        <f t="shared" si="9"/>
        <v>0</v>
      </c>
    </row>
    <row r="601" spans="1:4" ht="18.75" hidden="1" x14ac:dyDescent="0.25">
      <c r="A601" s="17" t="s">
        <v>255</v>
      </c>
      <c r="B601" s="7"/>
      <c r="C601" s="7"/>
      <c r="D601" s="7">
        <f t="shared" si="9"/>
        <v>0</v>
      </c>
    </row>
    <row r="602" spans="1:4" ht="18.75" hidden="1" x14ac:dyDescent="0.25">
      <c r="A602" s="21" t="s">
        <v>256</v>
      </c>
      <c r="B602" s="7"/>
      <c r="C602" s="7"/>
      <c r="D602" s="7">
        <f t="shared" si="9"/>
        <v>0</v>
      </c>
    </row>
    <row r="603" spans="1:4" ht="18.75" hidden="1" x14ac:dyDescent="0.25">
      <c r="A603" s="21" t="s">
        <v>257</v>
      </c>
      <c r="B603" s="7"/>
      <c r="C603" s="7"/>
      <c r="D603" s="7">
        <f t="shared" si="9"/>
        <v>0</v>
      </c>
    </row>
    <row r="604" spans="1:4" ht="18.75" x14ac:dyDescent="0.25">
      <c r="A604" s="9" t="s">
        <v>258</v>
      </c>
      <c r="B604" s="7">
        <v>20</v>
      </c>
      <c r="C604" s="7">
        <v>24000</v>
      </c>
      <c r="D604" s="7">
        <f t="shared" si="9"/>
        <v>480000</v>
      </c>
    </row>
    <row r="605" spans="1:4" ht="18.75" hidden="1" x14ac:dyDescent="0.25">
      <c r="A605" s="9" t="s">
        <v>259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260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261</v>
      </c>
      <c r="B607" s="7"/>
      <c r="C607" s="7"/>
      <c r="D607" s="7">
        <f t="shared" si="9"/>
        <v>0</v>
      </c>
    </row>
    <row r="608" spans="1:4" ht="18.75" x14ac:dyDescent="0.25">
      <c r="A608" s="9" t="s">
        <v>262</v>
      </c>
      <c r="B608" s="7">
        <v>20</v>
      </c>
      <c r="C608" s="7">
        <v>24000</v>
      </c>
      <c r="D608" s="7">
        <f t="shared" si="9"/>
        <v>480000</v>
      </c>
    </row>
    <row r="609" spans="1:4" ht="18.75" hidden="1" x14ac:dyDescent="0.25">
      <c r="A609" s="9" t="s">
        <v>263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264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265</v>
      </c>
      <c r="B611" s="16"/>
      <c r="C611" s="16"/>
      <c r="D611" s="7">
        <f t="shared" si="9"/>
        <v>0</v>
      </c>
    </row>
    <row r="612" spans="1:4" ht="18.75" hidden="1" x14ac:dyDescent="0.25">
      <c r="A612" s="13" t="s">
        <v>266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267</v>
      </c>
      <c r="B613" s="7"/>
      <c r="C613" s="7"/>
      <c r="D613" s="7">
        <f t="shared" si="9"/>
        <v>0</v>
      </c>
    </row>
    <row r="614" spans="1:4" ht="18.75" hidden="1" x14ac:dyDescent="0.25">
      <c r="A614" s="11" t="s">
        <v>360</v>
      </c>
      <c r="B614" s="7"/>
      <c r="C614" s="7"/>
      <c r="D614" s="7">
        <f t="shared" si="9"/>
        <v>0</v>
      </c>
    </row>
    <row r="615" spans="1:4" ht="18.75" hidden="1" x14ac:dyDescent="0.25">
      <c r="A615" s="11" t="s">
        <v>268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269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361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270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362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272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273</v>
      </c>
      <c r="B621" s="7"/>
      <c r="C621" s="7"/>
      <c r="D621" s="7">
        <f t="shared" si="9"/>
        <v>0</v>
      </c>
    </row>
    <row r="622" spans="1:4" ht="18.75" hidden="1" x14ac:dyDescent="0.25">
      <c r="A622" s="9" t="s">
        <v>274</v>
      </c>
      <c r="B622" s="7"/>
      <c r="C622" s="7"/>
      <c r="D622" s="7">
        <f t="shared" si="9"/>
        <v>0</v>
      </c>
    </row>
    <row r="623" spans="1:4" ht="18.75" hidden="1" x14ac:dyDescent="0.25">
      <c r="A623" s="34" t="s">
        <v>276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277</v>
      </c>
      <c r="B624" s="7"/>
      <c r="C624" s="7"/>
      <c r="D624" s="7">
        <f t="shared" si="9"/>
        <v>0</v>
      </c>
    </row>
    <row r="625" spans="1:4" ht="18.75" hidden="1" x14ac:dyDescent="0.25">
      <c r="A625" s="34" t="s">
        <v>278</v>
      </c>
      <c r="B625" s="7"/>
      <c r="C625" s="7"/>
      <c r="D625" s="7">
        <f t="shared" si="9"/>
        <v>0</v>
      </c>
    </row>
    <row r="626" spans="1:4" ht="18.75" hidden="1" x14ac:dyDescent="0.25">
      <c r="A626" s="11" t="s">
        <v>363</v>
      </c>
      <c r="B626" s="7"/>
      <c r="C626" s="7"/>
      <c r="D626" s="7">
        <f t="shared" si="9"/>
        <v>0</v>
      </c>
    </row>
    <row r="627" spans="1:4" ht="18.75" hidden="1" x14ac:dyDescent="0.25">
      <c r="A627" s="34" t="s">
        <v>279</v>
      </c>
      <c r="B627" s="7"/>
      <c r="C627" s="7"/>
      <c r="D627" s="7">
        <f t="shared" si="9"/>
        <v>0</v>
      </c>
    </row>
    <row r="628" spans="1:4" ht="18.75" hidden="1" x14ac:dyDescent="0.25">
      <c r="A628" s="12" t="s">
        <v>280</v>
      </c>
      <c r="B628" s="16"/>
      <c r="C628" s="16"/>
      <c r="D628" s="7">
        <f t="shared" si="9"/>
        <v>0</v>
      </c>
    </row>
    <row r="629" spans="1:4" ht="18.75" hidden="1" x14ac:dyDescent="0.25">
      <c r="A629" s="17" t="s">
        <v>284</v>
      </c>
      <c r="B629" s="7"/>
      <c r="C629" s="7"/>
      <c r="D629" s="7">
        <f t="shared" si="9"/>
        <v>0</v>
      </c>
    </row>
    <row r="630" spans="1:4" ht="18.75" hidden="1" x14ac:dyDescent="0.25">
      <c r="A630" s="17" t="s">
        <v>285</v>
      </c>
      <c r="B630" s="7"/>
      <c r="C630" s="7"/>
      <c r="D630" s="7">
        <f t="shared" si="9"/>
        <v>0</v>
      </c>
    </row>
    <row r="631" spans="1:4" ht="18.75" hidden="1" x14ac:dyDescent="0.25">
      <c r="A631" s="17" t="s">
        <v>286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287</v>
      </c>
      <c r="B632" s="7"/>
      <c r="C632" s="7"/>
      <c r="D632" s="7">
        <f t="shared" si="9"/>
        <v>0</v>
      </c>
    </row>
    <row r="633" spans="1:4" ht="18.75" hidden="1" x14ac:dyDescent="0.25">
      <c r="A633" s="17" t="s">
        <v>288</v>
      </c>
      <c r="B633" s="7"/>
      <c r="C633" s="7"/>
      <c r="D633" s="7">
        <f t="shared" si="9"/>
        <v>0</v>
      </c>
    </row>
    <row r="634" spans="1:4" ht="18.75" hidden="1" x14ac:dyDescent="0.25">
      <c r="A634" s="9" t="s">
        <v>289</v>
      </c>
      <c r="B634" s="7"/>
      <c r="C634" s="7"/>
      <c r="D634" s="7">
        <f t="shared" si="9"/>
        <v>0</v>
      </c>
    </row>
    <row r="635" spans="1:4" ht="18.75" hidden="1" x14ac:dyDescent="0.25">
      <c r="A635" s="9" t="s">
        <v>290</v>
      </c>
      <c r="B635" s="7"/>
      <c r="C635" s="7"/>
      <c r="D635" s="7">
        <f t="shared" si="9"/>
        <v>0</v>
      </c>
    </row>
    <row r="636" spans="1:4" ht="18.75" hidden="1" x14ac:dyDescent="0.25">
      <c r="A636" s="17" t="s">
        <v>291</v>
      </c>
      <c r="B636" s="7"/>
      <c r="C636" s="7"/>
      <c r="D636" s="7">
        <f t="shared" si="9"/>
        <v>0</v>
      </c>
    </row>
    <row r="637" spans="1:4" ht="18.75" hidden="1" x14ac:dyDescent="0.25">
      <c r="A637" s="25" t="s">
        <v>292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293</v>
      </c>
      <c r="B638" s="7"/>
      <c r="C638" s="7"/>
      <c r="D638" s="7">
        <f t="shared" si="9"/>
        <v>0</v>
      </c>
    </row>
    <row r="639" spans="1:4" ht="18.75" hidden="1" x14ac:dyDescent="0.25">
      <c r="A639" s="13" t="s">
        <v>294</v>
      </c>
      <c r="B639" s="7"/>
      <c r="C639" s="7"/>
      <c r="D639" s="7">
        <f t="shared" si="9"/>
        <v>0</v>
      </c>
    </row>
    <row r="640" spans="1:4" ht="18.75" hidden="1" x14ac:dyDescent="0.25">
      <c r="A640" s="12" t="s">
        <v>296</v>
      </c>
      <c r="B640" s="7"/>
      <c r="C640" s="7"/>
      <c r="D640" s="7">
        <f t="shared" si="9"/>
        <v>0</v>
      </c>
    </row>
    <row r="641" spans="1:4" ht="18.75" hidden="1" x14ac:dyDescent="0.25">
      <c r="A641" s="17" t="s">
        <v>297</v>
      </c>
      <c r="B641" s="7"/>
      <c r="C641" s="7"/>
      <c r="D641" s="7">
        <f t="shared" si="9"/>
        <v>0</v>
      </c>
    </row>
    <row r="642" spans="1:4" ht="18.75" hidden="1" x14ac:dyDescent="0.25">
      <c r="A642" s="13" t="s">
        <v>298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299</v>
      </c>
      <c r="B643" s="7"/>
      <c r="C643" s="7"/>
      <c r="D643" s="7">
        <f t="shared" si="9"/>
        <v>0</v>
      </c>
    </row>
    <row r="644" spans="1:4" ht="18.75" hidden="1" x14ac:dyDescent="0.25">
      <c r="A644" s="17" t="s">
        <v>300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365</v>
      </c>
      <c r="B646" s="7"/>
      <c r="C646" s="7"/>
      <c r="D646" s="7">
        <f t="shared" si="10"/>
        <v>0</v>
      </c>
    </row>
    <row r="647" spans="1:4" ht="18.75" hidden="1" x14ac:dyDescent="0.25">
      <c r="A647" s="11" t="s">
        <v>303</v>
      </c>
      <c r="B647" s="7"/>
      <c r="C647" s="7"/>
      <c r="D647" s="7">
        <f t="shared" si="10"/>
        <v>0</v>
      </c>
    </row>
    <row r="648" spans="1:4" ht="18.75" hidden="1" x14ac:dyDescent="0.25">
      <c r="A648" s="9" t="s">
        <v>366</v>
      </c>
      <c r="B648" s="7"/>
      <c r="C648" s="7"/>
      <c r="D648" s="7">
        <f t="shared" si="10"/>
        <v>0</v>
      </c>
    </row>
    <row r="649" spans="1:4" ht="18.75" hidden="1" x14ac:dyDescent="0.25">
      <c r="A649" s="12" t="s">
        <v>304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305</v>
      </c>
      <c r="B650" s="7"/>
      <c r="C650" s="7"/>
      <c r="D650" s="7">
        <f t="shared" si="10"/>
        <v>0</v>
      </c>
    </row>
    <row r="651" spans="1:4" ht="18.75" hidden="1" x14ac:dyDescent="0.25">
      <c r="A651" s="9" t="s">
        <v>306</v>
      </c>
      <c r="B651" s="7"/>
      <c r="C651" s="7"/>
      <c r="D651" s="7">
        <f t="shared" si="10"/>
        <v>0</v>
      </c>
    </row>
    <row r="652" spans="1:4" ht="18.75" hidden="1" x14ac:dyDescent="0.25">
      <c r="A652" s="9" t="s">
        <v>307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308</v>
      </c>
      <c r="B653" s="7"/>
      <c r="C653" s="7"/>
      <c r="D653" s="7">
        <f t="shared" si="10"/>
        <v>0</v>
      </c>
    </row>
    <row r="654" spans="1:4" ht="18.75" hidden="1" x14ac:dyDescent="0.25">
      <c r="A654" s="13" t="s">
        <v>309</v>
      </c>
      <c r="B654" s="7"/>
      <c r="C654" s="7"/>
      <c r="D654" s="7">
        <f t="shared" si="10"/>
        <v>0</v>
      </c>
    </row>
    <row r="655" spans="1:4" ht="18.75" hidden="1" x14ac:dyDescent="0.25">
      <c r="A655" s="13" t="s">
        <v>310</v>
      </c>
      <c r="B655" s="7"/>
      <c r="C655" s="7"/>
      <c r="D655" s="7">
        <f t="shared" si="10"/>
        <v>0</v>
      </c>
    </row>
    <row r="656" spans="1:4" ht="18.75" hidden="1" x14ac:dyDescent="0.25">
      <c r="A656" s="21" t="s">
        <v>311</v>
      </c>
      <c r="B656" s="7"/>
      <c r="C656" s="7"/>
      <c r="D656" s="7">
        <f t="shared" si="10"/>
        <v>0</v>
      </c>
    </row>
    <row r="657" spans="1:4" ht="18.75" hidden="1" x14ac:dyDescent="0.25">
      <c r="A657" s="13" t="s">
        <v>312</v>
      </c>
      <c r="B657" s="7"/>
      <c r="C657" s="7"/>
      <c r="D657" s="7">
        <f t="shared" si="10"/>
        <v>0</v>
      </c>
    </row>
    <row r="658" spans="1:4" ht="18.75" hidden="1" x14ac:dyDescent="0.25">
      <c r="A658" s="9" t="s">
        <v>313</v>
      </c>
      <c r="B658" s="7"/>
      <c r="C658" s="7"/>
      <c r="D658" s="7">
        <f t="shared" si="10"/>
        <v>0</v>
      </c>
    </row>
    <row r="659" spans="1:4" ht="18.75" hidden="1" x14ac:dyDescent="0.25">
      <c r="A659" s="9" t="s">
        <v>314</v>
      </c>
      <c r="B659" s="7"/>
      <c r="C659" s="7"/>
      <c r="D659" s="7">
        <f t="shared" si="10"/>
        <v>0</v>
      </c>
    </row>
    <row r="660" spans="1:4" ht="18.75" hidden="1" x14ac:dyDescent="0.25">
      <c r="A660" s="9" t="s">
        <v>315</v>
      </c>
      <c r="B660" s="7"/>
      <c r="C660" s="7"/>
      <c r="D660" s="7">
        <f t="shared" si="10"/>
        <v>0</v>
      </c>
    </row>
    <row r="661" spans="1:4" ht="18.75" hidden="1" x14ac:dyDescent="0.25">
      <c r="A661" s="9" t="s">
        <v>316</v>
      </c>
      <c r="B661" s="7"/>
      <c r="C661" s="7"/>
      <c r="D661" s="7">
        <f t="shared" si="10"/>
        <v>0</v>
      </c>
    </row>
    <row r="662" spans="1:4" ht="18.75" hidden="1" x14ac:dyDescent="0.25">
      <c r="A662" s="21" t="s">
        <v>317</v>
      </c>
      <c r="B662" s="7"/>
      <c r="C662" s="7"/>
      <c r="D662" s="7">
        <f t="shared" si="10"/>
        <v>0</v>
      </c>
    </row>
    <row r="663" spans="1:4" ht="18.75" hidden="1" x14ac:dyDescent="0.25">
      <c r="A663" s="9" t="s">
        <v>318</v>
      </c>
      <c r="B663" s="7"/>
      <c r="C663" s="7"/>
      <c r="D663" s="7">
        <f t="shared" si="10"/>
        <v>0</v>
      </c>
    </row>
    <row r="664" spans="1:4" ht="18.75" hidden="1" x14ac:dyDescent="0.25">
      <c r="A664" s="9" t="s">
        <v>319</v>
      </c>
      <c r="B664" s="7"/>
      <c r="C664" s="7"/>
      <c r="D664" s="7">
        <f t="shared" si="10"/>
        <v>0</v>
      </c>
    </row>
    <row r="665" spans="1:4" ht="18.75" hidden="1" x14ac:dyDescent="0.25">
      <c r="A665" s="12" t="s">
        <v>320</v>
      </c>
      <c r="B665" s="7"/>
      <c r="C665" s="7"/>
      <c r="D665" s="7">
        <f t="shared" si="10"/>
        <v>0</v>
      </c>
    </row>
    <row r="666" spans="1:4" ht="18.75" hidden="1" x14ac:dyDescent="0.25">
      <c r="A666" s="9" t="s">
        <v>321</v>
      </c>
      <c r="B666" s="39"/>
      <c r="C666" s="39"/>
      <c r="D666" s="7">
        <f t="shared" si="10"/>
        <v>0</v>
      </c>
    </row>
    <row r="667" spans="1:4" ht="18.75" hidden="1" x14ac:dyDescent="0.25">
      <c r="A667" s="9" t="s">
        <v>322</v>
      </c>
      <c r="B667" s="7"/>
      <c r="C667" s="7"/>
      <c r="D667" s="7">
        <f t="shared" si="10"/>
        <v>0</v>
      </c>
    </row>
    <row r="668" spans="1:4" ht="18.75" hidden="1" x14ac:dyDescent="0.25">
      <c r="A668" s="9" t="s">
        <v>323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324</v>
      </c>
      <c r="B669" s="7"/>
      <c r="C669" s="7"/>
      <c r="D669" s="7">
        <f t="shared" si="10"/>
        <v>0</v>
      </c>
    </row>
    <row r="670" spans="1:4" ht="18.75" hidden="1" x14ac:dyDescent="0.25">
      <c r="A670" s="21" t="s">
        <v>325</v>
      </c>
      <c r="B670" s="7"/>
      <c r="C670" s="7"/>
      <c r="D670" s="7">
        <f t="shared" si="10"/>
        <v>0</v>
      </c>
    </row>
    <row r="671" spans="1:4" ht="18.75" hidden="1" x14ac:dyDescent="0.25">
      <c r="A671" s="9" t="s">
        <v>326</v>
      </c>
      <c r="B671" s="7"/>
      <c r="C671" s="7"/>
      <c r="D671" s="7">
        <f t="shared" si="10"/>
        <v>0</v>
      </c>
    </row>
    <row r="672" spans="1:4" ht="18.75" hidden="1" x14ac:dyDescent="0.25">
      <c r="A672" s="9" t="s">
        <v>327</v>
      </c>
      <c r="B672" s="7"/>
      <c r="C672" s="7"/>
      <c r="D672" s="7">
        <f t="shared" si="10"/>
        <v>0</v>
      </c>
    </row>
    <row r="673" spans="1:4" ht="18.75" hidden="1" x14ac:dyDescent="0.25">
      <c r="A673" s="21" t="s">
        <v>328</v>
      </c>
      <c r="B673" s="7"/>
      <c r="C673" s="7"/>
      <c r="D673" s="7">
        <f t="shared" si="10"/>
        <v>0</v>
      </c>
    </row>
    <row r="674" spans="1:4" ht="18.75" x14ac:dyDescent="0.25">
      <c r="A674" s="9" t="s">
        <v>329</v>
      </c>
      <c r="B674" s="7">
        <v>22</v>
      </c>
      <c r="C674" s="7">
        <v>7000</v>
      </c>
      <c r="D674" s="7">
        <f t="shared" si="10"/>
        <v>154000</v>
      </c>
    </row>
    <row r="675" spans="1:4" ht="18.75" hidden="1" x14ac:dyDescent="0.25">
      <c r="A675" s="9" t="s">
        <v>330</v>
      </c>
      <c r="B675" s="7"/>
      <c r="C675" s="7"/>
      <c r="D675" s="7">
        <f t="shared" si="10"/>
        <v>0</v>
      </c>
    </row>
    <row r="676" spans="1:4" ht="18.75" hidden="1" x14ac:dyDescent="0.25">
      <c r="A676" s="9" t="s">
        <v>331</v>
      </c>
      <c r="B676" s="7"/>
      <c r="C676" s="7"/>
      <c r="D676" s="7">
        <f t="shared" si="10"/>
        <v>0</v>
      </c>
    </row>
    <row r="677" spans="1:4" ht="18.75" hidden="1" x14ac:dyDescent="0.25">
      <c r="A677" s="9" t="s">
        <v>332</v>
      </c>
      <c r="B677" s="7"/>
      <c r="C677" s="7"/>
      <c r="D677" s="7">
        <f t="shared" si="10"/>
        <v>0</v>
      </c>
    </row>
    <row r="678" spans="1:4" ht="18.75" hidden="1" x14ac:dyDescent="0.25">
      <c r="A678" s="9" t="s">
        <v>333</v>
      </c>
      <c r="B678" s="7"/>
      <c r="C678" s="7"/>
      <c r="D678" s="7">
        <f t="shared" si="10"/>
        <v>0</v>
      </c>
    </row>
    <row r="679" spans="1:4" ht="18.75" hidden="1" x14ac:dyDescent="0.25">
      <c r="A679" s="9" t="s">
        <v>334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335</v>
      </c>
      <c r="B680" s="7"/>
      <c r="C680" s="7"/>
      <c r="D680" s="7">
        <f t="shared" si="10"/>
        <v>0</v>
      </c>
    </row>
    <row r="681" spans="1:4" ht="18.75" hidden="1" x14ac:dyDescent="0.25">
      <c r="A681" s="9" t="s">
        <v>336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2230</v>
      </c>
      <c r="C683" s="43"/>
      <c r="D683" s="43">
        <f t="shared" ref="D683" si="11">SUM(D356:D682)</f>
        <v>25988000</v>
      </c>
    </row>
    <row r="686" spans="1:4" x14ac:dyDescent="0.25">
      <c r="D686" s="53">
        <f>D683+D351</f>
        <v>163009500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1A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D685"/>
  <sheetViews>
    <sheetView topLeftCell="A220" workbookViewId="0">
      <selection activeCell="D685" sqref="D685"/>
    </sheetView>
  </sheetViews>
  <sheetFormatPr defaultRowHeight="15" x14ac:dyDescent="0.25"/>
  <cols>
    <col min="1" max="1" width="37.7109375" customWidth="1"/>
    <col min="2" max="2" width="11.140625" customWidth="1"/>
    <col min="3" max="3" width="14.42578125" customWidth="1"/>
    <col min="4" max="4" width="19.85546875" customWidth="1"/>
  </cols>
  <sheetData>
    <row r="1" spans="1:4" x14ac:dyDescent="0.25">
      <c r="A1" s="1" t="s">
        <v>445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x14ac:dyDescent="0.25">
      <c r="A3" s="12" t="s">
        <v>69</v>
      </c>
      <c r="B3" s="7">
        <v>4</v>
      </c>
      <c r="C3" s="7">
        <v>5000</v>
      </c>
      <c r="D3" s="7">
        <f>B3*C3</f>
        <v>20000</v>
      </c>
    </row>
    <row r="4" spans="1:4" ht="18.75" hidden="1" x14ac:dyDescent="0.25">
      <c r="A4" s="11" t="s">
        <v>70</v>
      </c>
      <c r="B4" s="7"/>
      <c r="C4" s="7"/>
      <c r="D4" s="7">
        <f t="shared" ref="D4:D67" si="0">B4*C4</f>
        <v>0</v>
      </c>
    </row>
    <row r="5" spans="1:4" ht="18.75" hidden="1" x14ac:dyDescent="0.25">
      <c r="A5" s="12" t="s">
        <v>71</v>
      </c>
      <c r="B5" s="7"/>
      <c r="C5" s="7"/>
      <c r="D5" s="7">
        <f t="shared" si="0"/>
        <v>0</v>
      </c>
    </row>
    <row r="6" spans="1:4" ht="18.75" hidden="1" x14ac:dyDescent="0.25">
      <c r="A6" s="12" t="s">
        <v>72</v>
      </c>
      <c r="B6" s="7"/>
      <c r="C6" s="7"/>
      <c r="D6" s="7">
        <f t="shared" si="0"/>
        <v>0</v>
      </c>
    </row>
    <row r="7" spans="1:4" ht="18.75" hidden="1" x14ac:dyDescent="0.25">
      <c r="A7" s="12" t="s">
        <v>73</v>
      </c>
      <c r="B7" s="7"/>
      <c r="C7" s="7"/>
      <c r="D7" s="7">
        <f t="shared" si="0"/>
        <v>0</v>
      </c>
    </row>
    <row r="8" spans="1:4" ht="18.75" hidden="1" x14ac:dyDescent="0.25">
      <c r="A8" s="20" t="s">
        <v>74</v>
      </c>
      <c r="B8" s="7"/>
      <c r="C8" s="7"/>
      <c r="D8" s="7">
        <f t="shared" si="0"/>
        <v>0</v>
      </c>
    </row>
    <row r="9" spans="1:4" ht="18.75" hidden="1" x14ac:dyDescent="0.25">
      <c r="A9" s="9" t="s">
        <v>75</v>
      </c>
      <c r="B9" s="7"/>
      <c r="C9" s="7"/>
      <c r="D9" s="7">
        <f t="shared" si="0"/>
        <v>0</v>
      </c>
    </row>
    <row r="10" spans="1:4" ht="18.75" hidden="1" x14ac:dyDescent="0.25">
      <c r="A10" s="12" t="s">
        <v>82</v>
      </c>
      <c r="B10" s="16"/>
      <c r="C10" s="16"/>
      <c r="D10" s="7">
        <f t="shared" si="0"/>
        <v>0</v>
      </c>
    </row>
    <row r="11" spans="1:4" ht="18.75" hidden="1" x14ac:dyDescent="0.25">
      <c r="A11" s="12" t="s">
        <v>83</v>
      </c>
      <c r="B11" s="16"/>
      <c r="C11" s="16"/>
      <c r="D11" s="7">
        <f t="shared" si="0"/>
        <v>0</v>
      </c>
    </row>
    <row r="12" spans="1:4" ht="18.75" hidden="1" x14ac:dyDescent="0.25">
      <c r="A12" s="12" t="s">
        <v>84</v>
      </c>
      <c r="B12" s="16"/>
      <c r="C12" s="16"/>
      <c r="D12" s="7">
        <f t="shared" si="0"/>
        <v>0</v>
      </c>
    </row>
    <row r="13" spans="1:4" ht="18.75" hidden="1" x14ac:dyDescent="0.25">
      <c r="A13" s="9" t="s">
        <v>96</v>
      </c>
      <c r="B13" s="7"/>
      <c r="C13" s="7"/>
      <c r="D13" s="7">
        <f t="shared" si="0"/>
        <v>0</v>
      </c>
    </row>
    <row r="14" spans="1:4" ht="18.75" hidden="1" x14ac:dyDescent="0.25">
      <c r="A14" s="9" t="s">
        <v>97</v>
      </c>
      <c r="B14" s="7"/>
      <c r="C14" s="7"/>
      <c r="D14" s="7">
        <f t="shared" si="0"/>
        <v>0</v>
      </c>
    </row>
    <row r="15" spans="1:4" ht="18.75" hidden="1" x14ac:dyDescent="0.25">
      <c r="A15" s="9" t="s">
        <v>99</v>
      </c>
      <c r="B15" s="16"/>
      <c r="C15" s="16"/>
      <c r="D15" s="7">
        <f t="shared" si="0"/>
        <v>0</v>
      </c>
    </row>
    <row r="16" spans="1:4" ht="18.75" hidden="1" x14ac:dyDescent="0.25">
      <c r="A16" s="11" t="s">
        <v>100</v>
      </c>
      <c r="B16" s="7"/>
      <c r="C16" s="7"/>
      <c r="D16" s="7">
        <f t="shared" si="0"/>
        <v>0</v>
      </c>
    </row>
    <row r="17" spans="1:4" ht="18.75" hidden="1" x14ac:dyDescent="0.25">
      <c r="A17" s="21" t="s">
        <v>101</v>
      </c>
      <c r="B17" s="7"/>
      <c r="C17" s="7"/>
      <c r="D17" s="7">
        <f t="shared" si="0"/>
        <v>0</v>
      </c>
    </row>
    <row r="18" spans="1:4" ht="18.75" hidden="1" x14ac:dyDescent="0.25">
      <c r="A18" s="11" t="s">
        <v>117</v>
      </c>
      <c r="B18" s="7"/>
      <c r="C18" s="7"/>
      <c r="D18" s="7">
        <f t="shared" si="0"/>
        <v>0</v>
      </c>
    </row>
    <row r="19" spans="1:4" ht="18.75" hidden="1" x14ac:dyDescent="0.25">
      <c r="A19" s="21" t="s">
        <v>118</v>
      </c>
      <c r="B19" s="7"/>
      <c r="C19" s="7"/>
      <c r="D19" s="7">
        <f t="shared" si="0"/>
        <v>0</v>
      </c>
    </row>
    <row r="20" spans="1:4" ht="18.75" x14ac:dyDescent="0.25">
      <c r="A20" s="9" t="s">
        <v>110</v>
      </c>
      <c r="B20" s="7">
        <f>5+40+7+20</f>
        <v>72</v>
      </c>
      <c r="C20" s="7">
        <v>17000</v>
      </c>
      <c r="D20" s="7">
        <f t="shared" si="0"/>
        <v>1224000</v>
      </c>
    </row>
    <row r="21" spans="1:4" ht="18.75" hidden="1" x14ac:dyDescent="0.25">
      <c r="A21" s="9" t="s">
        <v>111</v>
      </c>
      <c r="B21" s="7"/>
      <c r="C21" s="7"/>
      <c r="D21" s="7">
        <f t="shared" si="0"/>
        <v>0</v>
      </c>
    </row>
    <row r="22" spans="1:4" ht="18.75" hidden="1" x14ac:dyDescent="0.25">
      <c r="A22" s="9" t="s">
        <v>112</v>
      </c>
      <c r="B22" s="7"/>
      <c r="C22" s="7"/>
      <c r="D22" s="7">
        <f t="shared" si="0"/>
        <v>0</v>
      </c>
    </row>
    <row r="23" spans="1:4" ht="18.75" hidden="1" x14ac:dyDescent="0.25">
      <c r="A23" s="11" t="s">
        <v>249</v>
      </c>
      <c r="B23" s="7"/>
      <c r="C23" s="7"/>
      <c r="D23" s="7">
        <f t="shared" si="0"/>
        <v>0</v>
      </c>
    </row>
    <row r="24" spans="1:4" ht="18.75" x14ac:dyDescent="0.25">
      <c r="A24" s="9" t="s">
        <v>250</v>
      </c>
      <c r="B24" s="7">
        <f>-20+20+60+110+25</f>
        <v>195</v>
      </c>
      <c r="C24" s="7">
        <v>27000</v>
      </c>
      <c r="D24" s="7">
        <f t="shared" si="0"/>
        <v>5265000</v>
      </c>
    </row>
    <row r="25" spans="1:4" ht="18.75" x14ac:dyDescent="0.25">
      <c r="A25" s="9" t="s">
        <v>251</v>
      </c>
      <c r="B25" s="7">
        <v>17</v>
      </c>
      <c r="C25" s="7">
        <v>20000</v>
      </c>
      <c r="D25" s="7">
        <f t="shared" si="0"/>
        <v>340000</v>
      </c>
    </row>
    <row r="26" spans="1:4" ht="18.75" hidden="1" x14ac:dyDescent="0.25">
      <c r="A26" s="9" t="s">
        <v>252</v>
      </c>
      <c r="B26" s="7"/>
      <c r="C26" s="7"/>
      <c r="D26" s="7">
        <f t="shared" si="0"/>
        <v>0</v>
      </c>
    </row>
    <row r="27" spans="1:4" ht="18.75" hidden="1" x14ac:dyDescent="0.25">
      <c r="A27" s="9" t="s">
        <v>253</v>
      </c>
      <c r="B27" s="7"/>
      <c r="C27" s="7"/>
      <c r="D27" s="7">
        <f t="shared" si="0"/>
        <v>0</v>
      </c>
    </row>
    <row r="28" spans="1:4" ht="18.75" hidden="1" x14ac:dyDescent="0.25">
      <c r="A28" s="9" t="s">
        <v>254</v>
      </c>
      <c r="B28" s="7"/>
      <c r="C28" s="7"/>
      <c r="D28" s="7">
        <f t="shared" si="0"/>
        <v>0</v>
      </c>
    </row>
    <row r="29" spans="1:4" ht="18.75" x14ac:dyDescent="0.25">
      <c r="A29" s="9" t="s">
        <v>258</v>
      </c>
      <c r="B29" s="7">
        <f>-20+20+20+60+30</f>
        <v>110</v>
      </c>
      <c r="C29" s="7">
        <v>25000</v>
      </c>
      <c r="D29" s="7">
        <f t="shared" si="0"/>
        <v>2750000</v>
      </c>
    </row>
    <row r="30" spans="1:4" ht="18.75" x14ac:dyDescent="0.25">
      <c r="A30" s="9" t="s">
        <v>259</v>
      </c>
      <c r="B30" s="7">
        <f>18+15</f>
        <v>33</v>
      </c>
      <c r="C30" s="7">
        <v>20000</v>
      </c>
      <c r="D30" s="7">
        <f t="shared" si="0"/>
        <v>660000</v>
      </c>
    </row>
    <row r="31" spans="1:4" ht="18.75" hidden="1" x14ac:dyDescent="0.25">
      <c r="A31" s="9" t="s">
        <v>260</v>
      </c>
      <c r="B31" s="7"/>
      <c r="C31" s="7"/>
      <c r="D31" s="7">
        <f t="shared" si="0"/>
        <v>0</v>
      </c>
    </row>
    <row r="32" spans="1:4" ht="18.75" hidden="1" x14ac:dyDescent="0.25">
      <c r="A32" s="9" t="s">
        <v>261</v>
      </c>
      <c r="B32" s="7"/>
      <c r="C32" s="7"/>
      <c r="D32" s="7">
        <f t="shared" si="0"/>
        <v>0</v>
      </c>
    </row>
    <row r="33" spans="1:4" ht="18.75" x14ac:dyDescent="0.25">
      <c r="A33" s="9" t="s">
        <v>262</v>
      </c>
      <c r="B33" s="7">
        <f>-20+25+60+10+25</f>
        <v>100</v>
      </c>
      <c r="C33" s="7">
        <v>24000</v>
      </c>
      <c r="D33" s="7">
        <f t="shared" si="0"/>
        <v>2400000</v>
      </c>
    </row>
    <row r="34" spans="1:4" ht="18.75" x14ac:dyDescent="0.25">
      <c r="A34" s="9" t="s">
        <v>263</v>
      </c>
      <c r="B34" s="7">
        <f>18+25+25</f>
        <v>68</v>
      </c>
      <c r="C34" s="7">
        <v>17000</v>
      </c>
      <c r="D34" s="7">
        <f t="shared" si="0"/>
        <v>1156000</v>
      </c>
    </row>
    <row r="35" spans="1:4" ht="18.75" hidden="1" x14ac:dyDescent="0.25">
      <c r="A35" s="9" t="s">
        <v>264</v>
      </c>
      <c r="B35" s="7"/>
      <c r="C35" s="7"/>
      <c r="D35" s="7">
        <f t="shared" si="0"/>
        <v>0</v>
      </c>
    </row>
    <row r="36" spans="1:4" ht="18.75" x14ac:dyDescent="0.25">
      <c r="A36" s="9" t="s">
        <v>135</v>
      </c>
      <c r="B36" s="7">
        <f>-60+15+20+40+30</f>
        <v>45</v>
      </c>
      <c r="C36" s="7">
        <v>16000</v>
      </c>
      <c r="D36" s="7">
        <f t="shared" si="0"/>
        <v>720000</v>
      </c>
    </row>
    <row r="37" spans="1:4" ht="18.75" hidden="1" x14ac:dyDescent="0.25">
      <c r="A37" s="17" t="s">
        <v>136</v>
      </c>
      <c r="B37" s="7"/>
      <c r="C37" s="7"/>
      <c r="D37" s="7">
        <f t="shared" si="0"/>
        <v>0</v>
      </c>
    </row>
    <row r="38" spans="1:4" ht="18.75" hidden="1" x14ac:dyDescent="0.25">
      <c r="A38" s="9" t="s">
        <v>177</v>
      </c>
      <c r="B38" s="7"/>
      <c r="C38" s="7"/>
      <c r="D38" s="7">
        <f t="shared" si="0"/>
        <v>0</v>
      </c>
    </row>
    <row r="39" spans="1:4" ht="18.75" hidden="1" x14ac:dyDescent="0.25">
      <c r="A39" s="12" t="s">
        <v>193</v>
      </c>
      <c r="B39" s="7"/>
      <c r="C39" s="7"/>
      <c r="D39" s="7">
        <f t="shared" si="0"/>
        <v>0</v>
      </c>
    </row>
    <row r="40" spans="1:4" ht="18.75" hidden="1" x14ac:dyDescent="0.25">
      <c r="A40" s="9" t="s">
        <v>319</v>
      </c>
      <c r="B40" s="7"/>
      <c r="C40" s="7"/>
      <c r="D40" s="7">
        <f t="shared" si="0"/>
        <v>0</v>
      </c>
    </row>
    <row r="41" spans="1:4" ht="18.75" hidden="1" x14ac:dyDescent="0.25">
      <c r="A41" s="9" t="s">
        <v>212</v>
      </c>
      <c r="B41" s="7"/>
      <c r="C41" s="7"/>
      <c r="D41" s="7">
        <f t="shared" si="0"/>
        <v>0</v>
      </c>
    </row>
    <row r="42" spans="1:4" ht="18.75" hidden="1" x14ac:dyDescent="0.25">
      <c r="A42" s="37" t="s">
        <v>213</v>
      </c>
      <c r="B42" s="7"/>
      <c r="C42" s="7"/>
      <c r="D42" s="7">
        <f t="shared" si="0"/>
        <v>0</v>
      </c>
    </row>
    <row r="43" spans="1:4" ht="18.75" hidden="1" x14ac:dyDescent="0.25">
      <c r="A43" s="9" t="s">
        <v>214</v>
      </c>
      <c r="B43" s="7"/>
      <c r="C43" s="7"/>
      <c r="D43" s="7">
        <f t="shared" si="0"/>
        <v>0</v>
      </c>
    </row>
    <row r="44" spans="1:4" ht="18.75" x14ac:dyDescent="0.25">
      <c r="A44" s="9" t="s">
        <v>215</v>
      </c>
      <c r="B44" s="7">
        <f>-300+130+90+120</f>
        <v>40</v>
      </c>
      <c r="C44" s="7">
        <v>15000</v>
      </c>
      <c r="D44" s="7">
        <f t="shared" si="0"/>
        <v>600000</v>
      </c>
    </row>
    <row r="45" spans="1:4" ht="18.75" hidden="1" x14ac:dyDescent="0.25">
      <c r="A45" s="9" t="s">
        <v>216</v>
      </c>
      <c r="B45" s="7"/>
      <c r="C45" s="7"/>
      <c r="D45" s="7">
        <f t="shared" si="0"/>
        <v>0</v>
      </c>
    </row>
    <row r="46" spans="1:4" ht="18.75" x14ac:dyDescent="0.25">
      <c r="A46" s="9" t="s">
        <v>217</v>
      </c>
      <c r="B46" s="7">
        <f>10/0.5</f>
        <v>20</v>
      </c>
      <c r="C46" s="7">
        <v>6500</v>
      </c>
      <c r="D46" s="7">
        <f t="shared" si="0"/>
        <v>130000</v>
      </c>
    </row>
    <row r="47" spans="1:4" ht="18.75" x14ac:dyDescent="0.25">
      <c r="A47" s="9" t="s">
        <v>103</v>
      </c>
      <c r="B47" s="7">
        <f>420+20</f>
        <v>440</v>
      </c>
      <c r="C47" s="7">
        <v>8000</v>
      </c>
      <c r="D47" s="7">
        <f t="shared" si="0"/>
        <v>3520000</v>
      </c>
    </row>
    <row r="48" spans="1:4" ht="18.75" hidden="1" x14ac:dyDescent="0.25">
      <c r="A48" s="48" t="s">
        <v>104</v>
      </c>
      <c r="B48" s="7"/>
      <c r="C48" s="7"/>
      <c r="D48" s="7">
        <f t="shared" si="0"/>
        <v>0</v>
      </c>
    </row>
    <row r="49" spans="1:4" ht="18.75" hidden="1" x14ac:dyDescent="0.25">
      <c r="A49" s="11" t="s">
        <v>107</v>
      </c>
      <c r="B49" s="7"/>
      <c r="C49" s="7"/>
      <c r="D49" s="7">
        <f t="shared" si="0"/>
        <v>0</v>
      </c>
    </row>
    <row r="50" spans="1:4" ht="18.75" hidden="1" x14ac:dyDescent="0.25">
      <c r="A50" s="9" t="s">
        <v>109</v>
      </c>
      <c r="B50" s="7"/>
      <c r="C50" s="7"/>
      <c r="D50" s="7">
        <f t="shared" si="0"/>
        <v>0</v>
      </c>
    </row>
    <row r="51" spans="1:4" ht="18.75" hidden="1" x14ac:dyDescent="0.25">
      <c r="A51" s="9" t="s">
        <v>11</v>
      </c>
      <c r="B51" s="7"/>
      <c r="C51" s="7"/>
      <c r="D51" s="7">
        <f t="shared" si="0"/>
        <v>0</v>
      </c>
    </row>
    <row r="52" spans="1:4" ht="18.75" x14ac:dyDescent="0.25">
      <c r="A52" s="9" t="s">
        <v>12</v>
      </c>
      <c r="B52" s="7">
        <v>5</v>
      </c>
      <c r="C52" s="7">
        <v>8000</v>
      </c>
      <c r="D52" s="7">
        <f t="shared" si="0"/>
        <v>40000</v>
      </c>
    </row>
    <row r="53" spans="1:4" ht="18.75" hidden="1" x14ac:dyDescent="0.25">
      <c r="A53" s="12" t="s">
        <v>13</v>
      </c>
      <c r="B53" s="7"/>
      <c r="C53" s="7"/>
      <c r="D53" s="7">
        <f t="shared" si="0"/>
        <v>0</v>
      </c>
    </row>
    <row r="54" spans="1:4" ht="18.75" x14ac:dyDescent="0.25">
      <c r="A54" s="9" t="s">
        <v>165</v>
      </c>
      <c r="B54" s="7">
        <v>6</v>
      </c>
      <c r="C54" s="7">
        <v>8000</v>
      </c>
      <c r="D54" s="7">
        <f t="shared" si="0"/>
        <v>48000</v>
      </c>
    </row>
    <row r="55" spans="1:4" ht="18.75" hidden="1" x14ac:dyDescent="0.25">
      <c r="A55" s="17" t="s">
        <v>166</v>
      </c>
      <c r="B55" s="7"/>
      <c r="C55" s="7"/>
      <c r="D55" s="7">
        <f t="shared" si="0"/>
        <v>0</v>
      </c>
    </row>
    <row r="56" spans="1:4" ht="18.75" hidden="1" x14ac:dyDescent="0.25">
      <c r="A56" s="11" t="s">
        <v>175</v>
      </c>
      <c r="B56" s="7"/>
      <c r="C56" s="7"/>
      <c r="D56" s="7">
        <f t="shared" si="0"/>
        <v>0</v>
      </c>
    </row>
    <row r="57" spans="1:4" ht="18.75" hidden="1" x14ac:dyDescent="0.25">
      <c r="A57" s="9" t="s">
        <v>199</v>
      </c>
      <c r="B57" s="7"/>
      <c r="C57" s="7"/>
      <c r="D57" s="7">
        <f t="shared" si="0"/>
        <v>0</v>
      </c>
    </row>
    <row r="58" spans="1:4" ht="18.75" hidden="1" x14ac:dyDescent="0.25">
      <c r="A58" s="35" t="s">
        <v>200</v>
      </c>
      <c r="B58" s="7"/>
      <c r="C58" s="7"/>
      <c r="D58" s="7">
        <f t="shared" si="0"/>
        <v>0</v>
      </c>
    </row>
    <row r="59" spans="1:4" ht="18.75" hidden="1" x14ac:dyDescent="0.25">
      <c r="A59" s="9" t="s">
        <v>237</v>
      </c>
      <c r="B59" s="7"/>
      <c r="C59" s="7"/>
      <c r="D59" s="7">
        <f t="shared" si="0"/>
        <v>0</v>
      </c>
    </row>
    <row r="60" spans="1:4" ht="18.75" hidden="1" x14ac:dyDescent="0.25">
      <c r="A60" s="9" t="s">
        <v>238</v>
      </c>
      <c r="B60" s="7"/>
      <c r="C60" s="7"/>
      <c r="D60" s="7">
        <f t="shared" si="0"/>
        <v>0</v>
      </c>
    </row>
    <row r="61" spans="1:4" ht="18.75" hidden="1" x14ac:dyDescent="0.25">
      <c r="A61" s="12" t="s">
        <v>20</v>
      </c>
      <c r="B61" s="7"/>
      <c r="C61" s="7"/>
      <c r="D61" s="7">
        <f t="shared" si="0"/>
        <v>0</v>
      </c>
    </row>
    <row r="62" spans="1:4" ht="18.75" hidden="1" x14ac:dyDescent="0.25">
      <c r="A62" s="42" t="s">
        <v>21</v>
      </c>
      <c r="B62" s="7"/>
      <c r="C62" s="7"/>
      <c r="D62" s="7">
        <f t="shared" si="0"/>
        <v>0</v>
      </c>
    </row>
    <row r="63" spans="1:4" ht="18.75" hidden="1" x14ac:dyDescent="0.25">
      <c r="A63" s="9" t="s">
        <v>173</v>
      </c>
      <c r="B63" s="7"/>
      <c r="C63" s="7"/>
      <c r="D63" s="7">
        <f t="shared" si="0"/>
        <v>0</v>
      </c>
    </row>
    <row r="64" spans="1:4" ht="18.75" hidden="1" x14ac:dyDescent="0.25">
      <c r="A64" s="31" t="s">
        <v>174</v>
      </c>
      <c r="B64" s="33"/>
      <c r="C64" s="33"/>
      <c r="D64" s="7">
        <f t="shared" si="0"/>
        <v>0</v>
      </c>
    </row>
    <row r="65" spans="1:4" ht="18.75" hidden="1" x14ac:dyDescent="0.25">
      <c r="A65" s="9" t="s">
        <v>27</v>
      </c>
      <c r="B65" s="7"/>
      <c r="C65" s="7"/>
      <c r="D65" s="7">
        <f t="shared" si="0"/>
        <v>0</v>
      </c>
    </row>
    <row r="66" spans="1:4" ht="18.75" hidden="1" x14ac:dyDescent="0.25">
      <c r="A66" s="11" t="s">
        <v>28</v>
      </c>
      <c r="B66" s="16"/>
      <c r="C66" s="16"/>
      <c r="D66" s="7">
        <f t="shared" si="0"/>
        <v>0</v>
      </c>
    </row>
    <row r="67" spans="1:4" ht="18.75" x14ac:dyDescent="0.25">
      <c r="A67" s="12" t="s">
        <v>29</v>
      </c>
      <c r="B67" s="7">
        <v>18</v>
      </c>
      <c r="C67" s="7">
        <v>12000</v>
      </c>
      <c r="D67" s="7">
        <f t="shared" si="0"/>
        <v>216000</v>
      </c>
    </row>
    <row r="68" spans="1:4" ht="18.75" hidden="1" x14ac:dyDescent="0.25">
      <c r="A68" s="12" t="s">
        <v>37</v>
      </c>
      <c r="B68" s="7"/>
      <c r="C68" s="7"/>
      <c r="D68" s="7">
        <f t="shared" ref="D68:D131" si="1">B68*C68</f>
        <v>0</v>
      </c>
    </row>
    <row r="69" spans="1:4" ht="18.75" x14ac:dyDescent="0.25">
      <c r="A69" s="9" t="s">
        <v>201</v>
      </c>
      <c r="B69" s="7">
        <v>200</v>
      </c>
      <c r="C69" s="7">
        <v>21000</v>
      </c>
      <c r="D69" s="7">
        <f t="shared" si="1"/>
        <v>4200000</v>
      </c>
    </row>
    <row r="70" spans="1:4" ht="18.75" x14ac:dyDescent="0.25">
      <c r="A70" s="12" t="s">
        <v>202</v>
      </c>
      <c r="B70" s="7">
        <f>200+600</f>
        <v>800</v>
      </c>
      <c r="C70" s="7">
        <v>19000</v>
      </c>
      <c r="D70" s="7">
        <f t="shared" si="1"/>
        <v>15200000</v>
      </c>
    </row>
    <row r="71" spans="1:4" ht="18.75" hidden="1" x14ac:dyDescent="0.25">
      <c r="A71" s="9" t="s">
        <v>203</v>
      </c>
      <c r="B71" s="7"/>
      <c r="C71" s="7"/>
      <c r="D71" s="7">
        <f t="shared" si="1"/>
        <v>0</v>
      </c>
    </row>
    <row r="72" spans="1:4" ht="18.75" hidden="1" x14ac:dyDescent="0.25">
      <c r="A72" s="9" t="s">
        <v>273</v>
      </c>
      <c r="B72" s="7"/>
      <c r="C72" s="7"/>
      <c r="D72" s="7">
        <f t="shared" si="1"/>
        <v>0</v>
      </c>
    </row>
    <row r="73" spans="1:4" ht="18.75" hidden="1" x14ac:dyDescent="0.25">
      <c r="A73" s="9" t="s">
        <v>274</v>
      </c>
      <c r="B73" s="7"/>
      <c r="C73" s="7"/>
      <c r="D73" s="7">
        <f t="shared" si="1"/>
        <v>0</v>
      </c>
    </row>
    <row r="74" spans="1:4" ht="18.75" hidden="1" x14ac:dyDescent="0.25">
      <c r="A74" s="5" t="s">
        <v>2</v>
      </c>
      <c r="B74" s="7"/>
      <c r="C74" s="7"/>
      <c r="D74" s="7">
        <f t="shared" si="1"/>
        <v>0</v>
      </c>
    </row>
    <row r="75" spans="1:4" ht="18.75" hidden="1" x14ac:dyDescent="0.25">
      <c r="A75" s="8" t="s">
        <v>3</v>
      </c>
      <c r="B75" s="7"/>
      <c r="C75" s="7"/>
      <c r="D75" s="7">
        <f t="shared" si="1"/>
        <v>0</v>
      </c>
    </row>
    <row r="76" spans="1:4" ht="18.75" hidden="1" x14ac:dyDescent="0.25">
      <c r="A76" s="5" t="s">
        <v>4</v>
      </c>
      <c r="B76" s="7"/>
      <c r="C76" s="7"/>
      <c r="D76" s="7">
        <f t="shared" si="1"/>
        <v>0</v>
      </c>
    </row>
    <row r="77" spans="1:4" ht="18.75" hidden="1" x14ac:dyDescent="0.25">
      <c r="A77" s="17" t="s">
        <v>62</v>
      </c>
      <c r="B77" s="7"/>
      <c r="C77" s="7"/>
      <c r="D77" s="7">
        <f t="shared" si="1"/>
        <v>0</v>
      </c>
    </row>
    <row r="78" spans="1:4" ht="18.75" hidden="1" x14ac:dyDescent="0.25">
      <c r="A78" s="13" t="s">
        <v>298</v>
      </c>
      <c r="B78" s="7"/>
      <c r="C78" s="7"/>
      <c r="D78" s="7">
        <f t="shared" si="1"/>
        <v>0</v>
      </c>
    </row>
    <row r="79" spans="1:4" ht="18.75" hidden="1" x14ac:dyDescent="0.25">
      <c r="A79" s="13" t="s">
        <v>309</v>
      </c>
      <c r="B79" s="7"/>
      <c r="C79" s="7"/>
      <c r="D79" s="7">
        <f t="shared" si="1"/>
        <v>0</v>
      </c>
    </row>
    <row r="80" spans="1:4" ht="18.75" hidden="1" x14ac:dyDescent="0.25">
      <c r="A80" s="13" t="s">
        <v>310</v>
      </c>
      <c r="B80" s="7"/>
      <c r="C80" s="7"/>
      <c r="D80" s="7">
        <f t="shared" si="1"/>
        <v>0</v>
      </c>
    </row>
    <row r="81" spans="1:4" ht="18.75" hidden="1" x14ac:dyDescent="0.25">
      <c r="A81" s="13" t="s">
        <v>312</v>
      </c>
      <c r="B81" s="7"/>
      <c r="C81" s="7"/>
      <c r="D81" s="7">
        <f t="shared" si="1"/>
        <v>0</v>
      </c>
    </row>
    <row r="82" spans="1:4" ht="18.75" hidden="1" x14ac:dyDescent="0.25">
      <c r="A82" s="9" t="s">
        <v>321</v>
      </c>
      <c r="B82" s="39"/>
      <c r="C82" s="39"/>
      <c r="D82" s="7">
        <f t="shared" si="1"/>
        <v>0</v>
      </c>
    </row>
    <row r="83" spans="1:4" ht="18.75" hidden="1" x14ac:dyDescent="0.25">
      <c r="A83" s="9" t="s">
        <v>85</v>
      </c>
      <c r="B83" s="7"/>
      <c r="C83" s="7"/>
      <c r="D83" s="7">
        <f t="shared" si="1"/>
        <v>0</v>
      </c>
    </row>
    <row r="84" spans="1:4" ht="18.75" x14ac:dyDescent="0.25">
      <c r="A84" s="9" t="s">
        <v>86</v>
      </c>
      <c r="B84" s="7">
        <v>100</v>
      </c>
      <c r="C84" s="7">
        <v>22000</v>
      </c>
      <c r="D84" s="7">
        <f t="shared" si="1"/>
        <v>2200000</v>
      </c>
    </row>
    <row r="85" spans="1:4" ht="18.75" hidden="1" x14ac:dyDescent="0.25">
      <c r="A85" s="9" t="s">
        <v>87</v>
      </c>
      <c r="B85" s="7"/>
      <c r="C85" s="7"/>
      <c r="D85" s="7">
        <f t="shared" si="1"/>
        <v>0</v>
      </c>
    </row>
    <row r="86" spans="1:4" ht="18.75" hidden="1" x14ac:dyDescent="0.25">
      <c r="A86" s="9" t="s">
        <v>88</v>
      </c>
      <c r="B86" s="7"/>
      <c r="C86" s="7"/>
      <c r="D86" s="7">
        <f t="shared" si="1"/>
        <v>0</v>
      </c>
    </row>
    <row r="87" spans="1:4" ht="18.75" hidden="1" x14ac:dyDescent="0.25">
      <c r="A87" s="9" t="s">
        <v>89</v>
      </c>
      <c r="B87" s="7"/>
      <c r="C87" s="7"/>
      <c r="D87" s="7">
        <f t="shared" si="1"/>
        <v>0</v>
      </c>
    </row>
    <row r="88" spans="1:4" ht="18.75" hidden="1" x14ac:dyDescent="0.25">
      <c r="A88" s="9" t="s">
        <v>176</v>
      </c>
      <c r="B88" s="7"/>
      <c r="C88" s="7"/>
      <c r="D88" s="7">
        <f t="shared" si="1"/>
        <v>0</v>
      </c>
    </row>
    <row r="89" spans="1:4" ht="18.75" hidden="1" x14ac:dyDescent="0.25">
      <c r="A89" s="36" t="s">
        <v>236</v>
      </c>
      <c r="B89" s="7"/>
      <c r="C89" s="7"/>
      <c r="D89" s="7">
        <f t="shared" si="1"/>
        <v>0</v>
      </c>
    </row>
    <row r="90" spans="1:4" ht="18.75" hidden="1" x14ac:dyDescent="0.25">
      <c r="A90" s="9" t="s">
        <v>242</v>
      </c>
      <c r="B90" s="7"/>
      <c r="C90" s="7"/>
      <c r="D90" s="7">
        <f t="shared" si="1"/>
        <v>0</v>
      </c>
    </row>
    <row r="91" spans="1:4" ht="18.75" hidden="1" x14ac:dyDescent="0.25">
      <c r="A91" s="9" t="s">
        <v>243</v>
      </c>
      <c r="B91" s="7"/>
      <c r="C91" s="7"/>
      <c r="D91" s="7">
        <f t="shared" si="1"/>
        <v>0</v>
      </c>
    </row>
    <row r="92" spans="1:4" ht="18.75" hidden="1" x14ac:dyDescent="0.25">
      <c r="A92" s="9" t="s">
        <v>265</v>
      </c>
      <c r="B92" s="16"/>
      <c r="C92" s="16"/>
      <c r="D92" s="7">
        <f t="shared" si="1"/>
        <v>0</v>
      </c>
    </row>
    <row r="93" spans="1:4" ht="18.75" hidden="1" x14ac:dyDescent="0.25">
      <c r="A93" s="13" t="s">
        <v>266</v>
      </c>
      <c r="B93" s="7"/>
      <c r="C93" s="7"/>
      <c r="D93" s="7">
        <f t="shared" si="1"/>
        <v>0</v>
      </c>
    </row>
    <row r="94" spans="1:4" ht="18.75" hidden="1" x14ac:dyDescent="0.25">
      <c r="A94" s="17" t="s">
        <v>404</v>
      </c>
      <c r="B94" s="7"/>
      <c r="C94" s="7"/>
      <c r="D94" s="7">
        <f t="shared" si="1"/>
        <v>0</v>
      </c>
    </row>
    <row r="95" spans="1:4" ht="18.75" hidden="1" x14ac:dyDescent="0.25">
      <c r="A95" s="12" t="s">
        <v>296</v>
      </c>
      <c r="B95" s="7"/>
      <c r="C95" s="7"/>
      <c r="D95" s="7">
        <f t="shared" si="1"/>
        <v>0</v>
      </c>
    </row>
    <row r="96" spans="1:4" ht="18.75" x14ac:dyDescent="0.25">
      <c r="A96" s="9" t="s">
        <v>122</v>
      </c>
      <c r="B96" s="7">
        <f>-20+10+10+70</f>
        <v>70</v>
      </c>
      <c r="C96" s="7">
        <v>14000</v>
      </c>
      <c r="D96" s="7">
        <f t="shared" si="1"/>
        <v>980000</v>
      </c>
    </row>
    <row r="97" spans="1:4" ht="18.75" hidden="1" x14ac:dyDescent="0.25">
      <c r="A97" s="17" t="s">
        <v>43</v>
      </c>
      <c r="B97" s="7"/>
      <c r="C97" s="7"/>
      <c r="D97" s="7">
        <f t="shared" si="1"/>
        <v>0</v>
      </c>
    </row>
    <row r="98" spans="1:4" ht="18.75" hidden="1" x14ac:dyDescent="0.25">
      <c r="A98" s="9" t="s">
        <v>44</v>
      </c>
      <c r="B98" s="7"/>
      <c r="C98" s="7"/>
      <c r="D98" s="7">
        <f t="shared" si="1"/>
        <v>0</v>
      </c>
    </row>
    <row r="99" spans="1:4" ht="18.75" hidden="1" x14ac:dyDescent="0.25">
      <c r="A99" s="9" t="s">
        <v>45</v>
      </c>
      <c r="B99" s="7"/>
      <c r="C99" s="7"/>
      <c r="D99" s="7">
        <f t="shared" si="1"/>
        <v>0</v>
      </c>
    </row>
    <row r="100" spans="1:4" ht="18.75" hidden="1" x14ac:dyDescent="0.25">
      <c r="A100" s="17" t="s">
        <v>284</v>
      </c>
      <c r="B100" s="7"/>
      <c r="C100" s="7"/>
      <c r="D100" s="7">
        <f t="shared" si="1"/>
        <v>0</v>
      </c>
    </row>
    <row r="101" spans="1:4" ht="18.75" hidden="1" x14ac:dyDescent="0.25">
      <c r="A101" s="17" t="s">
        <v>285</v>
      </c>
      <c r="B101" s="7"/>
      <c r="C101" s="7"/>
      <c r="D101" s="7">
        <f t="shared" si="1"/>
        <v>0</v>
      </c>
    </row>
    <row r="102" spans="1:4" ht="18.75" hidden="1" x14ac:dyDescent="0.25">
      <c r="A102" s="50" t="s">
        <v>286</v>
      </c>
      <c r="B102" s="7"/>
      <c r="C102" s="7"/>
      <c r="D102" s="7">
        <f t="shared" si="1"/>
        <v>0</v>
      </c>
    </row>
    <row r="103" spans="1:4" ht="18.75" hidden="1" x14ac:dyDescent="0.25">
      <c r="A103" s="24" t="s">
        <v>141</v>
      </c>
      <c r="B103" s="16"/>
      <c r="C103" s="16"/>
      <c r="D103" s="7">
        <f t="shared" si="1"/>
        <v>0</v>
      </c>
    </row>
    <row r="104" spans="1:4" ht="18.75" hidden="1" x14ac:dyDescent="0.25">
      <c r="A104" s="24" t="s">
        <v>142</v>
      </c>
      <c r="B104" s="16"/>
      <c r="C104" s="16"/>
      <c r="D104" s="7">
        <f t="shared" si="1"/>
        <v>0</v>
      </c>
    </row>
    <row r="105" spans="1:4" ht="18.75" hidden="1" x14ac:dyDescent="0.25">
      <c r="A105" s="9" t="s">
        <v>144</v>
      </c>
      <c r="B105" s="16"/>
      <c r="C105" s="16"/>
      <c r="D105" s="7">
        <f t="shared" si="1"/>
        <v>0</v>
      </c>
    </row>
    <row r="106" spans="1:4" ht="18.75" hidden="1" x14ac:dyDescent="0.25">
      <c r="A106" s="9" t="s">
        <v>145</v>
      </c>
      <c r="B106" s="16"/>
      <c r="C106" s="16"/>
      <c r="D106" s="7">
        <f t="shared" si="1"/>
        <v>0</v>
      </c>
    </row>
    <row r="107" spans="1:4" ht="18.75" hidden="1" x14ac:dyDescent="0.25">
      <c r="A107" s="9" t="s">
        <v>146</v>
      </c>
      <c r="B107" s="16"/>
      <c r="C107" s="16"/>
      <c r="D107" s="7">
        <f t="shared" si="1"/>
        <v>0</v>
      </c>
    </row>
    <row r="108" spans="1:4" ht="18.75" hidden="1" x14ac:dyDescent="0.25">
      <c r="A108" s="9" t="s">
        <v>147</v>
      </c>
      <c r="B108" s="16"/>
      <c r="C108" s="16"/>
      <c r="D108" s="7">
        <f t="shared" si="1"/>
        <v>0</v>
      </c>
    </row>
    <row r="109" spans="1:4" ht="18.75" hidden="1" x14ac:dyDescent="0.25">
      <c r="A109" s="9" t="s">
        <v>149</v>
      </c>
      <c r="B109" s="16"/>
      <c r="C109" s="16"/>
      <c r="D109" s="7">
        <f t="shared" si="1"/>
        <v>0</v>
      </c>
    </row>
    <row r="110" spans="1:4" ht="18.75" hidden="1" x14ac:dyDescent="0.25">
      <c r="A110" s="9" t="s">
        <v>150</v>
      </c>
      <c r="B110" s="16"/>
      <c r="C110" s="16"/>
      <c r="D110" s="7">
        <f t="shared" si="1"/>
        <v>0</v>
      </c>
    </row>
    <row r="111" spans="1:4" ht="18.75" hidden="1" x14ac:dyDescent="0.25">
      <c r="A111" s="9" t="s">
        <v>151</v>
      </c>
      <c r="B111" s="16"/>
      <c r="C111" s="16"/>
      <c r="D111" s="7">
        <f t="shared" si="1"/>
        <v>0</v>
      </c>
    </row>
    <row r="112" spans="1:4" ht="18.75" hidden="1" x14ac:dyDescent="0.25">
      <c r="A112" s="9" t="s">
        <v>161</v>
      </c>
      <c r="B112" s="16"/>
      <c r="C112" s="16"/>
      <c r="D112" s="7">
        <f t="shared" si="1"/>
        <v>0</v>
      </c>
    </row>
    <row r="113" spans="1:4" ht="18.75" hidden="1" x14ac:dyDescent="0.25">
      <c r="A113" s="9" t="s">
        <v>162</v>
      </c>
      <c r="B113" s="16"/>
      <c r="C113" s="16"/>
      <c r="D113" s="7">
        <f t="shared" si="1"/>
        <v>0</v>
      </c>
    </row>
    <row r="114" spans="1:4" ht="18.75" hidden="1" x14ac:dyDescent="0.25">
      <c r="A114" s="9" t="s">
        <v>163</v>
      </c>
      <c r="B114" s="16"/>
      <c r="C114" s="16"/>
      <c r="D114" s="7">
        <f t="shared" si="1"/>
        <v>0</v>
      </c>
    </row>
    <row r="115" spans="1:4" ht="18.75" hidden="1" x14ac:dyDescent="0.25">
      <c r="A115" s="12" t="s">
        <v>33</v>
      </c>
      <c r="B115" s="7"/>
      <c r="C115" s="7"/>
      <c r="D115" s="7">
        <f t="shared" si="1"/>
        <v>0</v>
      </c>
    </row>
    <row r="116" spans="1:4" ht="18.75" hidden="1" x14ac:dyDescent="0.25">
      <c r="A116" s="12" t="s">
        <v>53</v>
      </c>
      <c r="B116" s="7"/>
      <c r="C116" s="7"/>
      <c r="D116" s="7">
        <f t="shared" si="1"/>
        <v>0</v>
      </c>
    </row>
    <row r="117" spans="1:4" ht="18.75" x14ac:dyDescent="0.25">
      <c r="A117" s="9" t="s">
        <v>63</v>
      </c>
      <c r="B117" s="7">
        <f>30+28+60</f>
        <v>118</v>
      </c>
      <c r="C117" s="7">
        <v>20000</v>
      </c>
      <c r="D117" s="7">
        <f t="shared" si="1"/>
        <v>2360000</v>
      </c>
    </row>
    <row r="118" spans="1:4" ht="18.75" hidden="1" x14ac:dyDescent="0.25">
      <c r="A118" s="9" t="s">
        <v>76</v>
      </c>
      <c r="B118" s="7"/>
      <c r="C118" s="7"/>
      <c r="D118" s="7">
        <f t="shared" si="1"/>
        <v>0</v>
      </c>
    </row>
    <row r="119" spans="1:4" ht="18.75" hidden="1" x14ac:dyDescent="0.25">
      <c r="A119" s="9" t="s">
        <v>15</v>
      </c>
      <c r="B119" s="7"/>
      <c r="C119" s="7"/>
      <c r="D119" s="7">
        <f t="shared" si="1"/>
        <v>0</v>
      </c>
    </row>
    <row r="120" spans="1:4" ht="18.75" hidden="1" x14ac:dyDescent="0.25">
      <c r="A120" s="9" t="s">
        <v>271</v>
      </c>
      <c r="B120" s="7"/>
      <c r="C120" s="7"/>
      <c r="D120" s="7">
        <f t="shared" si="1"/>
        <v>0</v>
      </c>
    </row>
    <row r="121" spans="1:4" ht="18.75" x14ac:dyDescent="0.25">
      <c r="A121" s="9" t="s">
        <v>19</v>
      </c>
      <c r="B121" s="56">
        <f>2600-80</f>
        <v>2520</v>
      </c>
      <c r="C121" s="56">
        <v>8000</v>
      </c>
      <c r="D121" s="7">
        <f t="shared" si="1"/>
        <v>20160000</v>
      </c>
    </row>
    <row r="122" spans="1:4" ht="18.75" hidden="1" x14ac:dyDescent="0.25">
      <c r="A122" s="9" t="s">
        <v>41</v>
      </c>
      <c r="B122" s="7"/>
      <c r="C122" s="7"/>
      <c r="D122" s="7">
        <f t="shared" si="1"/>
        <v>0</v>
      </c>
    </row>
    <row r="123" spans="1:4" ht="18.75" hidden="1" x14ac:dyDescent="0.25">
      <c r="A123" s="11" t="s">
        <v>49</v>
      </c>
      <c r="B123" s="7"/>
      <c r="C123" s="7"/>
      <c r="D123" s="7">
        <f t="shared" si="1"/>
        <v>0</v>
      </c>
    </row>
    <row r="124" spans="1:4" ht="18.75" hidden="1" x14ac:dyDescent="0.25">
      <c r="A124" s="13" t="s">
        <v>50</v>
      </c>
      <c r="B124" s="7"/>
      <c r="C124" s="7"/>
      <c r="D124" s="7">
        <f t="shared" si="1"/>
        <v>0</v>
      </c>
    </row>
    <row r="125" spans="1:4" ht="18.75" hidden="1" x14ac:dyDescent="0.25">
      <c r="A125" s="12" t="s">
        <v>386</v>
      </c>
      <c r="B125" s="16"/>
      <c r="C125" s="16"/>
      <c r="D125" s="7">
        <f t="shared" si="1"/>
        <v>0</v>
      </c>
    </row>
    <row r="126" spans="1:4" ht="18.75" hidden="1" x14ac:dyDescent="0.25">
      <c r="A126" s="10" t="s">
        <v>124</v>
      </c>
      <c r="B126" s="7"/>
      <c r="C126" s="7"/>
      <c r="D126" s="7">
        <f t="shared" si="1"/>
        <v>0</v>
      </c>
    </row>
    <row r="127" spans="1:4" ht="18.75" hidden="1" x14ac:dyDescent="0.25">
      <c r="A127" s="13" t="s">
        <v>125</v>
      </c>
      <c r="B127" s="7"/>
      <c r="C127" s="7"/>
      <c r="D127" s="7">
        <f t="shared" si="1"/>
        <v>0</v>
      </c>
    </row>
    <row r="128" spans="1:4" ht="18.75" hidden="1" x14ac:dyDescent="0.25">
      <c r="A128" s="12" t="s">
        <v>126</v>
      </c>
      <c r="B128" s="16"/>
      <c r="C128" s="16"/>
      <c r="D128" s="7">
        <f t="shared" si="1"/>
        <v>0</v>
      </c>
    </row>
    <row r="129" spans="1:4" ht="18.75" hidden="1" x14ac:dyDescent="0.25">
      <c r="A129" s="12" t="s">
        <v>128</v>
      </c>
      <c r="B129" s="16"/>
      <c r="C129" s="16"/>
      <c r="D129" s="7">
        <f t="shared" si="1"/>
        <v>0</v>
      </c>
    </row>
    <row r="130" spans="1:4" ht="18.75" hidden="1" x14ac:dyDescent="0.25">
      <c r="A130" s="12" t="s">
        <v>129</v>
      </c>
      <c r="B130" s="27"/>
      <c r="C130" s="27"/>
      <c r="D130" s="7">
        <f t="shared" si="1"/>
        <v>0</v>
      </c>
    </row>
    <row r="131" spans="1:4" ht="18.75" hidden="1" x14ac:dyDescent="0.25">
      <c r="A131" s="9" t="s">
        <v>148</v>
      </c>
      <c r="B131" s="16"/>
      <c r="C131" s="16"/>
      <c r="D131" s="7">
        <f t="shared" si="1"/>
        <v>0</v>
      </c>
    </row>
    <row r="132" spans="1:4" ht="18.75" hidden="1" x14ac:dyDescent="0.25">
      <c r="A132" s="17" t="s">
        <v>218</v>
      </c>
      <c r="B132" s="7"/>
      <c r="C132" s="7"/>
      <c r="D132" s="7">
        <f t="shared" ref="D132:D195" si="2">B132*C132</f>
        <v>0</v>
      </c>
    </row>
    <row r="133" spans="1:4" ht="18.75" hidden="1" x14ac:dyDescent="0.25">
      <c r="A133" s="17" t="s">
        <v>219</v>
      </c>
      <c r="B133" s="7"/>
      <c r="C133" s="7"/>
      <c r="D133" s="7">
        <f t="shared" si="2"/>
        <v>0</v>
      </c>
    </row>
    <row r="134" spans="1:4" ht="18.75" x14ac:dyDescent="0.25">
      <c r="A134" s="17" t="s">
        <v>220</v>
      </c>
      <c r="B134" s="7">
        <v>1</v>
      </c>
      <c r="C134" s="7">
        <v>45000</v>
      </c>
      <c r="D134" s="7">
        <f t="shared" si="2"/>
        <v>45000</v>
      </c>
    </row>
    <row r="135" spans="1:4" ht="18.75" hidden="1" x14ac:dyDescent="0.25">
      <c r="A135" s="17" t="s">
        <v>221</v>
      </c>
      <c r="B135" s="7"/>
      <c r="C135" s="7"/>
      <c r="D135" s="7">
        <f t="shared" si="2"/>
        <v>0</v>
      </c>
    </row>
    <row r="136" spans="1:4" ht="18.75" hidden="1" x14ac:dyDescent="0.25">
      <c r="A136" s="9" t="s">
        <v>222</v>
      </c>
      <c r="B136" s="7"/>
      <c r="C136" s="7"/>
      <c r="D136" s="7">
        <f t="shared" si="2"/>
        <v>0</v>
      </c>
    </row>
    <row r="137" spans="1:4" ht="18.75" hidden="1" x14ac:dyDescent="0.25">
      <c r="A137" s="9" t="s">
        <v>223</v>
      </c>
      <c r="B137" s="7"/>
      <c r="C137" s="7"/>
      <c r="D137" s="7">
        <f t="shared" si="2"/>
        <v>0</v>
      </c>
    </row>
    <row r="138" spans="1:4" ht="18.75" hidden="1" x14ac:dyDescent="0.25">
      <c r="A138" s="17" t="s">
        <v>224</v>
      </c>
      <c r="B138" s="7"/>
      <c r="C138" s="7"/>
      <c r="D138" s="7">
        <f t="shared" si="2"/>
        <v>0</v>
      </c>
    </row>
    <row r="139" spans="1:4" ht="18.75" hidden="1" x14ac:dyDescent="0.25">
      <c r="A139" s="17" t="s">
        <v>225</v>
      </c>
      <c r="B139" s="7"/>
      <c r="C139" s="7"/>
      <c r="D139" s="7">
        <f t="shared" si="2"/>
        <v>0</v>
      </c>
    </row>
    <row r="140" spans="1:4" ht="18.75" hidden="1" x14ac:dyDescent="0.25">
      <c r="A140" s="9" t="s">
        <v>244</v>
      </c>
      <c r="B140" s="16"/>
      <c r="C140" s="16"/>
      <c r="D140" s="7">
        <f t="shared" si="2"/>
        <v>0</v>
      </c>
    </row>
    <row r="141" spans="1:4" ht="18.75" hidden="1" x14ac:dyDescent="0.25">
      <c r="A141" s="9" t="s">
        <v>246</v>
      </c>
      <c r="B141" s="16"/>
      <c r="C141" s="16"/>
      <c r="D141" s="7">
        <f t="shared" si="2"/>
        <v>0</v>
      </c>
    </row>
    <row r="142" spans="1:4" ht="18.75" hidden="1" x14ac:dyDescent="0.25">
      <c r="A142" s="12" t="s">
        <v>280</v>
      </c>
      <c r="B142" s="16"/>
      <c r="C142" s="16"/>
      <c r="D142" s="7">
        <f t="shared" si="2"/>
        <v>0</v>
      </c>
    </row>
    <row r="143" spans="1:4" ht="18.75" hidden="1" x14ac:dyDescent="0.25">
      <c r="A143" s="12" t="s">
        <v>281</v>
      </c>
      <c r="B143" s="7"/>
      <c r="C143" s="7"/>
      <c r="D143" s="7">
        <f t="shared" si="2"/>
        <v>0</v>
      </c>
    </row>
    <row r="144" spans="1:4" ht="18.75" x14ac:dyDescent="0.25">
      <c r="A144" s="9" t="s">
        <v>293</v>
      </c>
      <c r="B144" s="7">
        <v>8</v>
      </c>
      <c r="C144" s="7">
        <v>9000</v>
      </c>
      <c r="D144" s="7">
        <f t="shared" si="2"/>
        <v>72000</v>
      </c>
    </row>
    <row r="145" spans="1:4" ht="18.75" hidden="1" x14ac:dyDescent="0.25">
      <c r="A145" s="13" t="s">
        <v>294</v>
      </c>
      <c r="B145" s="7"/>
      <c r="C145" s="7"/>
      <c r="D145" s="7">
        <f t="shared" si="2"/>
        <v>0</v>
      </c>
    </row>
    <row r="146" spans="1:4" ht="18.75" hidden="1" x14ac:dyDescent="0.25">
      <c r="A146" s="12" t="s">
        <v>304</v>
      </c>
      <c r="B146" s="7"/>
      <c r="C146" s="7"/>
      <c r="D146" s="7">
        <f t="shared" si="2"/>
        <v>0</v>
      </c>
    </row>
    <row r="147" spans="1:4" ht="18.75" x14ac:dyDescent="0.25">
      <c r="A147" s="9" t="s">
        <v>204</v>
      </c>
      <c r="B147" s="7">
        <f>-100+140+80</f>
        <v>120</v>
      </c>
      <c r="C147" s="7">
        <v>19500</v>
      </c>
      <c r="D147" s="7">
        <f t="shared" si="2"/>
        <v>2340000</v>
      </c>
    </row>
    <row r="148" spans="1:4" ht="18.75" hidden="1" x14ac:dyDescent="0.25">
      <c r="A148" s="36" t="s">
        <v>205</v>
      </c>
      <c r="B148" s="7"/>
      <c r="C148" s="7"/>
      <c r="D148" s="7">
        <f t="shared" si="2"/>
        <v>0</v>
      </c>
    </row>
    <row r="149" spans="1:4" ht="18.75" hidden="1" x14ac:dyDescent="0.25">
      <c r="A149" s="36" t="s">
        <v>206</v>
      </c>
      <c r="B149" s="7"/>
      <c r="C149" s="7"/>
      <c r="D149" s="7">
        <f t="shared" si="2"/>
        <v>0</v>
      </c>
    </row>
    <row r="150" spans="1:4" ht="18.75" hidden="1" x14ac:dyDescent="0.25">
      <c r="A150" s="9" t="s">
        <v>42</v>
      </c>
      <c r="B150" s="7"/>
      <c r="C150" s="7"/>
      <c r="D150" s="7">
        <f t="shared" si="2"/>
        <v>0</v>
      </c>
    </row>
    <row r="151" spans="1:4" ht="18.75" hidden="1" x14ac:dyDescent="0.25">
      <c r="A151" s="9" t="s">
        <v>277</v>
      </c>
      <c r="B151" s="7"/>
      <c r="C151" s="7"/>
      <c r="D151" s="7">
        <f t="shared" si="2"/>
        <v>0</v>
      </c>
    </row>
    <row r="152" spans="1:4" ht="18.75" hidden="1" x14ac:dyDescent="0.25">
      <c r="A152" s="9" t="s">
        <v>54</v>
      </c>
      <c r="B152" s="7"/>
      <c r="C152" s="7"/>
      <c r="D152" s="7">
        <f t="shared" si="2"/>
        <v>0</v>
      </c>
    </row>
    <row r="153" spans="1:4" ht="18.75" hidden="1" x14ac:dyDescent="0.25">
      <c r="A153" s="17" t="s">
        <v>55</v>
      </c>
      <c r="B153" s="7"/>
      <c r="C153" s="7"/>
      <c r="D153" s="7">
        <f t="shared" si="2"/>
        <v>0</v>
      </c>
    </row>
    <row r="154" spans="1:4" ht="18.75" x14ac:dyDescent="0.25">
      <c r="A154" s="17" t="s">
        <v>56</v>
      </c>
      <c r="B154" s="7">
        <v>100</v>
      </c>
      <c r="C154" s="7">
        <v>10500</v>
      </c>
      <c r="D154" s="7">
        <f t="shared" si="2"/>
        <v>1050000</v>
      </c>
    </row>
    <row r="155" spans="1:4" ht="18.75" hidden="1" x14ac:dyDescent="0.25">
      <c r="A155" s="17" t="s">
        <v>57</v>
      </c>
      <c r="B155" s="7"/>
      <c r="C155" s="7"/>
      <c r="D155" s="7">
        <f t="shared" si="2"/>
        <v>0</v>
      </c>
    </row>
    <row r="156" spans="1:4" ht="18.75" hidden="1" x14ac:dyDescent="0.25">
      <c r="A156" s="9" t="s">
        <v>58</v>
      </c>
      <c r="B156" s="7"/>
      <c r="C156" s="7"/>
      <c r="D156" s="7">
        <f t="shared" si="2"/>
        <v>0</v>
      </c>
    </row>
    <row r="157" spans="1:4" ht="18.75" hidden="1" x14ac:dyDescent="0.25">
      <c r="A157" s="11" t="s">
        <v>59</v>
      </c>
      <c r="B157" s="7"/>
      <c r="C157" s="7"/>
      <c r="D157" s="7">
        <f t="shared" si="2"/>
        <v>0</v>
      </c>
    </row>
    <row r="158" spans="1:4" ht="18.75" hidden="1" x14ac:dyDescent="0.25">
      <c r="A158" s="9" t="s">
        <v>60</v>
      </c>
      <c r="B158" s="7"/>
      <c r="C158" s="7"/>
      <c r="D158" s="7">
        <f t="shared" si="2"/>
        <v>0</v>
      </c>
    </row>
    <row r="159" spans="1:4" ht="18.75" hidden="1" x14ac:dyDescent="0.25">
      <c r="A159" s="9" t="s">
        <v>61</v>
      </c>
      <c r="B159" s="7"/>
      <c r="C159" s="7"/>
      <c r="D159" s="7">
        <f t="shared" si="2"/>
        <v>0</v>
      </c>
    </row>
    <row r="160" spans="1:4" ht="18.75" hidden="1" x14ac:dyDescent="0.25">
      <c r="A160" s="9" t="s">
        <v>65</v>
      </c>
      <c r="B160" s="7"/>
      <c r="C160" s="7"/>
      <c r="D160" s="7">
        <f t="shared" si="2"/>
        <v>0</v>
      </c>
    </row>
    <row r="161" spans="1:4" ht="18.75" hidden="1" x14ac:dyDescent="0.25">
      <c r="A161" s="18" t="s">
        <v>66</v>
      </c>
      <c r="B161" s="7"/>
      <c r="C161" s="7"/>
      <c r="D161" s="7">
        <f t="shared" si="2"/>
        <v>0</v>
      </c>
    </row>
    <row r="162" spans="1:4" ht="18.75" hidden="1" x14ac:dyDescent="0.25">
      <c r="A162" s="20" t="s">
        <v>67</v>
      </c>
      <c r="B162" s="7"/>
      <c r="C162" s="7"/>
      <c r="D162" s="7">
        <f t="shared" si="2"/>
        <v>0</v>
      </c>
    </row>
    <row r="163" spans="1:4" ht="18.75" hidden="1" x14ac:dyDescent="0.25">
      <c r="A163" s="9" t="s">
        <v>140</v>
      </c>
      <c r="B163" s="7"/>
      <c r="C163" s="7"/>
      <c r="D163" s="7">
        <f t="shared" si="2"/>
        <v>0</v>
      </c>
    </row>
    <row r="164" spans="1:4" ht="18.75" hidden="1" x14ac:dyDescent="0.25">
      <c r="A164" s="9" t="s">
        <v>152</v>
      </c>
      <c r="B164" s="7"/>
      <c r="C164" s="7"/>
      <c r="D164" s="7">
        <f t="shared" si="2"/>
        <v>0</v>
      </c>
    </row>
    <row r="165" spans="1:4" ht="18.75" hidden="1" x14ac:dyDescent="0.25">
      <c r="A165" s="9" t="s">
        <v>153</v>
      </c>
      <c r="B165" s="7"/>
      <c r="C165" s="7"/>
      <c r="D165" s="7">
        <f t="shared" si="2"/>
        <v>0</v>
      </c>
    </row>
    <row r="166" spans="1:4" ht="18.75" hidden="1" x14ac:dyDescent="0.25">
      <c r="A166" s="9" t="s">
        <v>154</v>
      </c>
      <c r="B166" s="7"/>
      <c r="C166" s="7"/>
      <c r="D166" s="7">
        <f t="shared" si="2"/>
        <v>0</v>
      </c>
    </row>
    <row r="167" spans="1:4" ht="18.75" hidden="1" x14ac:dyDescent="0.25">
      <c r="A167" s="9" t="s">
        <v>155</v>
      </c>
      <c r="B167" s="7"/>
      <c r="C167" s="7"/>
      <c r="D167" s="7">
        <f t="shared" si="2"/>
        <v>0</v>
      </c>
    </row>
    <row r="168" spans="1:4" ht="18.75" hidden="1" x14ac:dyDescent="0.25">
      <c r="A168" s="17" t="s">
        <v>156</v>
      </c>
      <c r="B168" s="7"/>
      <c r="C168" s="7"/>
      <c r="D168" s="7">
        <f t="shared" si="2"/>
        <v>0</v>
      </c>
    </row>
    <row r="169" spans="1:4" ht="18.75" x14ac:dyDescent="0.25">
      <c r="A169" s="9" t="s">
        <v>77</v>
      </c>
      <c r="B169" s="7">
        <f>-100+120+40+10+18</f>
        <v>88</v>
      </c>
      <c r="C169" s="7">
        <v>22000</v>
      </c>
      <c r="D169" s="7">
        <f t="shared" si="2"/>
        <v>1936000</v>
      </c>
    </row>
    <row r="170" spans="1:4" ht="18.75" hidden="1" x14ac:dyDescent="0.25">
      <c r="A170" s="13" t="s">
        <v>78</v>
      </c>
      <c r="B170" s="7"/>
      <c r="C170" s="7"/>
      <c r="D170" s="7">
        <f t="shared" si="2"/>
        <v>0</v>
      </c>
    </row>
    <row r="171" spans="1:4" ht="18.75" hidden="1" x14ac:dyDescent="0.25">
      <c r="A171" s="9" t="s">
        <v>79</v>
      </c>
      <c r="B171" s="7"/>
      <c r="C171" s="7"/>
      <c r="D171" s="7">
        <f t="shared" si="2"/>
        <v>0</v>
      </c>
    </row>
    <row r="172" spans="1:4" ht="18.75" x14ac:dyDescent="0.25">
      <c r="A172" s="9" t="s">
        <v>80</v>
      </c>
      <c r="B172" s="7">
        <v>12</v>
      </c>
      <c r="C172" s="7">
        <v>22000</v>
      </c>
      <c r="D172" s="7">
        <f t="shared" si="2"/>
        <v>264000</v>
      </c>
    </row>
    <row r="173" spans="1:4" ht="18.75" hidden="1" x14ac:dyDescent="0.25">
      <c r="A173" s="9" t="s">
        <v>81</v>
      </c>
      <c r="B173" s="7"/>
      <c r="C173" s="7"/>
      <c r="D173" s="7">
        <f t="shared" si="2"/>
        <v>0</v>
      </c>
    </row>
    <row r="174" spans="1:4" ht="18.75" hidden="1" x14ac:dyDescent="0.25">
      <c r="A174" s="13" t="s">
        <v>95</v>
      </c>
      <c r="B174" s="7"/>
      <c r="C174" s="7"/>
      <c r="D174" s="7">
        <f t="shared" si="2"/>
        <v>0</v>
      </c>
    </row>
    <row r="175" spans="1:4" ht="18.75" hidden="1" x14ac:dyDescent="0.25">
      <c r="A175" s="9" t="s">
        <v>306</v>
      </c>
      <c r="B175" s="7"/>
      <c r="C175" s="7"/>
      <c r="D175" s="7">
        <f t="shared" si="2"/>
        <v>0</v>
      </c>
    </row>
    <row r="176" spans="1:4" ht="18.75" hidden="1" x14ac:dyDescent="0.25">
      <c r="A176" s="12" t="s">
        <v>320</v>
      </c>
      <c r="B176" s="7"/>
      <c r="C176" s="7"/>
      <c r="D176" s="7">
        <f t="shared" si="2"/>
        <v>0</v>
      </c>
    </row>
    <row r="177" spans="1:4" ht="18.75" hidden="1" x14ac:dyDescent="0.25">
      <c r="A177" s="9" t="s">
        <v>323</v>
      </c>
      <c r="B177" s="7"/>
      <c r="C177" s="7"/>
      <c r="D177" s="7">
        <f t="shared" si="2"/>
        <v>0</v>
      </c>
    </row>
    <row r="178" spans="1:4" ht="18.75" hidden="1" x14ac:dyDescent="0.25">
      <c r="A178" s="21" t="s">
        <v>92</v>
      </c>
      <c r="B178" s="7"/>
      <c r="C178" s="7"/>
      <c r="D178" s="7">
        <f t="shared" si="2"/>
        <v>0</v>
      </c>
    </row>
    <row r="179" spans="1:4" ht="18.75" hidden="1" x14ac:dyDescent="0.25">
      <c r="A179" s="21" t="s">
        <v>93</v>
      </c>
      <c r="B179" s="7"/>
      <c r="C179" s="7"/>
      <c r="D179" s="7">
        <f t="shared" si="2"/>
        <v>0</v>
      </c>
    </row>
    <row r="180" spans="1:4" ht="18.75" hidden="1" x14ac:dyDescent="0.25">
      <c r="A180" s="11" t="s">
        <v>94</v>
      </c>
      <c r="B180" s="7"/>
      <c r="C180" s="7"/>
      <c r="D180" s="7">
        <f t="shared" si="2"/>
        <v>0</v>
      </c>
    </row>
    <row r="181" spans="1:4" ht="18.75" hidden="1" x14ac:dyDescent="0.25">
      <c r="A181" s="12" t="s">
        <v>181</v>
      </c>
      <c r="B181" s="7"/>
      <c r="C181" s="7"/>
      <c r="D181" s="7">
        <f t="shared" si="2"/>
        <v>0</v>
      </c>
    </row>
    <row r="182" spans="1:4" ht="18.75" hidden="1" x14ac:dyDescent="0.25">
      <c r="A182" s="12" t="s">
        <v>182</v>
      </c>
      <c r="B182" s="7"/>
      <c r="C182" s="7"/>
      <c r="D182" s="7">
        <f t="shared" si="2"/>
        <v>0</v>
      </c>
    </row>
    <row r="183" spans="1:4" ht="18.75" x14ac:dyDescent="0.25">
      <c r="A183" s="12" t="s">
        <v>183</v>
      </c>
      <c r="B183" s="7">
        <f>-500+28+380+30+170</f>
        <v>108</v>
      </c>
      <c r="C183" s="7">
        <v>12000</v>
      </c>
      <c r="D183" s="7">
        <f t="shared" si="2"/>
        <v>1296000</v>
      </c>
    </row>
    <row r="184" spans="1:4" ht="18.75" hidden="1" x14ac:dyDescent="0.25">
      <c r="A184" s="9" t="s">
        <v>184</v>
      </c>
      <c r="B184" s="7"/>
      <c r="C184" s="7"/>
      <c r="D184" s="7">
        <f t="shared" si="2"/>
        <v>0</v>
      </c>
    </row>
    <row r="185" spans="1:4" ht="18.75" hidden="1" x14ac:dyDescent="0.25">
      <c r="A185" s="9" t="s">
        <v>185</v>
      </c>
      <c r="B185" s="7"/>
      <c r="C185" s="7"/>
      <c r="D185" s="7">
        <f t="shared" si="2"/>
        <v>0</v>
      </c>
    </row>
    <row r="186" spans="1:4" ht="18.75" hidden="1" x14ac:dyDescent="0.25">
      <c r="A186" s="12" t="s">
        <v>186</v>
      </c>
      <c r="B186" s="7"/>
      <c r="C186" s="7"/>
      <c r="D186" s="7">
        <f t="shared" si="2"/>
        <v>0</v>
      </c>
    </row>
    <row r="187" spans="1:4" ht="18.75" x14ac:dyDescent="0.25">
      <c r="A187" s="12" t="s">
        <v>187</v>
      </c>
      <c r="B187" s="7">
        <v>35</v>
      </c>
      <c r="C187" s="7">
        <v>20000</v>
      </c>
      <c r="D187" s="7">
        <f t="shared" si="2"/>
        <v>700000</v>
      </c>
    </row>
    <row r="188" spans="1:4" ht="18.75" hidden="1" x14ac:dyDescent="0.25">
      <c r="A188" s="12" t="s">
        <v>188</v>
      </c>
      <c r="B188" s="7"/>
      <c r="C188" s="7"/>
      <c r="D188" s="7">
        <f t="shared" si="2"/>
        <v>0</v>
      </c>
    </row>
    <row r="189" spans="1:4" ht="18.75" hidden="1" x14ac:dyDescent="0.25">
      <c r="A189" s="9" t="s">
        <v>210</v>
      </c>
      <c r="B189" s="7"/>
      <c r="C189" s="7"/>
      <c r="D189" s="7">
        <f t="shared" si="2"/>
        <v>0</v>
      </c>
    </row>
    <row r="190" spans="1:4" ht="18.75" hidden="1" x14ac:dyDescent="0.25">
      <c r="A190" s="9" t="s">
        <v>211</v>
      </c>
      <c r="B190" s="7"/>
      <c r="C190" s="7"/>
      <c r="D190" s="7">
        <f t="shared" si="2"/>
        <v>0</v>
      </c>
    </row>
    <row r="191" spans="1:4" ht="18.75" hidden="1" x14ac:dyDescent="0.25">
      <c r="A191" s="9" t="s">
        <v>105</v>
      </c>
      <c r="B191" s="7"/>
      <c r="C191" s="7"/>
      <c r="D191" s="7">
        <f t="shared" si="2"/>
        <v>0</v>
      </c>
    </row>
    <row r="192" spans="1:4" ht="18.75" hidden="1" x14ac:dyDescent="0.25">
      <c r="A192" s="9" t="s">
        <v>106</v>
      </c>
      <c r="B192" s="7"/>
      <c r="C192" s="7"/>
      <c r="D192" s="7">
        <f t="shared" si="2"/>
        <v>0</v>
      </c>
    </row>
    <row r="193" spans="1:4" ht="18.75" x14ac:dyDescent="0.25">
      <c r="A193" s="9" t="s">
        <v>90</v>
      </c>
      <c r="B193" s="7">
        <v>4</v>
      </c>
      <c r="C193" s="7">
        <v>10000</v>
      </c>
      <c r="D193" s="7">
        <f t="shared" si="2"/>
        <v>40000</v>
      </c>
    </row>
    <row r="194" spans="1:4" ht="18.75" hidden="1" x14ac:dyDescent="0.25">
      <c r="A194" s="21" t="s">
        <v>91</v>
      </c>
      <c r="B194" s="7"/>
      <c r="C194" s="7"/>
      <c r="D194" s="7">
        <f t="shared" si="2"/>
        <v>0</v>
      </c>
    </row>
    <row r="195" spans="1:4" ht="18.75" x14ac:dyDescent="0.25">
      <c r="A195" s="5" t="s">
        <v>5</v>
      </c>
      <c r="B195" s="7">
        <f>2040+1386+192+996+360-1000+1692</f>
        <v>5666</v>
      </c>
      <c r="C195" s="7">
        <v>5000</v>
      </c>
      <c r="D195" s="7">
        <f t="shared" si="2"/>
        <v>28330000</v>
      </c>
    </row>
    <row r="196" spans="1:4" ht="18.75" hidden="1" x14ac:dyDescent="0.25">
      <c r="A196" s="9" t="s">
        <v>6</v>
      </c>
      <c r="B196" s="7"/>
      <c r="C196" s="7"/>
      <c r="D196" s="7">
        <f t="shared" ref="D196:D259" si="3">B196*C196</f>
        <v>0</v>
      </c>
    </row>
    <row r="197" spans="1:4" ht="18.75" hidden="1" x14ac:dyDescent="0.25">
      <c r="A197" s="5" t="s">
        <v>9</v>
      </c>
      <c r="B197" s="7"/>
      <c r="C197" s="7"/>
      <c r="D197" s="7">
        <f t="shared" si="3"/>
        <v>0</v>
      </c>
    </row>
    <row r="198" spans="1:4" ht="18.75" hidden="1" x14ac:dyDescent="0.25">
      <c r="A198" s="9" t="s">
        <v>168</v>
      </c>
      <c r="B198" s="7"/>
      <c r="C198" s="46"/>
      <c r="D198" s="7">
        <f t="shared" si="3"/>
        <v>0</v>
      </c>
    </row>
    <row r="199" spans="1:4" ht="18.75" hidden="1" x14ac:dyDescent="0.25">
      <c r="A199" s="30" t="s">
        <v>169</v>
      </c>
      <c r="B199" s="7"/>
      <c r="C199" s="7"/>
      <c r="D199" s="7">
        <f t="shared" si="3"/>
        <v>0</v>
      </c>
    </row>
    <row r="200" spans="1:4" ht="18.75" hidden="1" x14ac:dyDescent="0.25">
      <c r="A200" s="9" t="s">
        <v>170</v>
      </c>
      <c r="B200" s="7"/>
      <c r="C200" s="7"/>
      <c r="D200" s="7">
        <f t="shared" si="3"/>
        <v>0</v>
      </c>
    </row>
    <row r="201" spans="1:4" ht="18.75" hidden="1" x14ac:dyDescent="0.25">
      <c r="A201" s="9" t="s">
        <v>171</v>
      </c>
      <c r="B201" s="7"/>
      <c r="C201" s="7"/>
      <c r="D201" s="7">
        <f t="shared" si="3"/>
        <v>0</v>
      </c>
    </row>
    <row r="202" spans="1:4" ht="18.75" hidden="1" x14ac:dyDescent="0.25">
      <c r="A202" s="20" t="s">
        <v>172</v>
      </c>
      <c r="B202" s="7"/>
      <c r="C202" s="7"/>
      <c r="D202" s="7">
        <f t="shared" si="3"/>
        <v>0</v>
      </c>
    </row>
    <row r="203" spans="1:4" ht="18.75" x14ac:dyDescent="0.25">
      <c r="A203" s="12" t="s">
        <v>414</v>
      </c>
      <c r="B203" s="7">
        <f>540+50</f>
        <v>590</v>
      </c>
      <c r="C203" s="7">
        <v>35000</v>
      </c>
      <c r="D203" s="7">
        <f t="shared" si="3"/>
        <v>20650000</v>
      </c>
    </row>
    <row r="204" spans="1:4" ht="18.75" hidden="1" x14ac:dyDescent="0.25">
      <c r="A204" s="12" t="s">
        <v>227</v>
      </c>
      <c r="B204" s="7"/>
      <c r="C204" s="7"/>
      <c r="D204" s="7">
        <f t="shared" si="3"/>
        <v>0</v>
      </c>
    </row>
    <row r="205" spans="1:4" ht="18.75" hidden="1" x14ac:dyDescent="0.25">
      <c r="A205" s="12" t="s">
        <v>14</v>
      </c>
      <c r="B205" s="7"/>
      <c r="C205" s="7"/>
      <c r="D205" s="7">
        <f t="shared" si="3"/>
        <v>0</v>
      </c>
    </row>
    <row r="206" spans="1:4" ht="18.75" hidden="1" x14ac:dyDescent="0.25">
      <c r="A206" s="11" t="s">
        <v>98</v>
      </c>
      <c r="B206" s="7"/>
      <c r="C206" s="7"/>
      <c r="D206" s="7">
        <f t="shared" si="3"/>
        <v>0</v>
      </c>
    </row>
    <row r="207" spans="1:4" ht="18.75" hidden="1" x14ac:dyDescent="0.25">
      <c r="A207" s="9" t="s">
        <v>113</v>
      </c>
      <c r="B207" s="7"/>
      <c r="C207" s="7"/>
      <c r="D207" s="7">
        <f t="shared" si="3"/>
        <v>0</v>
      </c>
    </row>
    <row r="208" spans="1:4" ht="18.75" hidden="1" x14ac:dyDescent="0.25">
      <c r="A208" s="9" t="s">
        <v>114</v>
      </c>
      <c r="B208" s="7"/>
      <c r="C208" s="7"/>
      <c r="D208" s="7">
        <f t="shared" si="3"/>
        <v>0</v>
      </c>
    </row>
    <row r="209" spans="1:4" ht="18.75" hidden="1" x14ac:dyDescent="0.25">
      <c r="A209" s="9" t="s">
        <v>115</v>
      </c>
      <c r="B209" s="7"/>
      <c r="C209" s="7"/>
      <c r="D209" s="7">
        <f t="shared" si="3"/>
        <v>0</v>
      </c>
    </row>
    <row r="210" spans="1:4" ht="18.75" hidden="1" x14ac:dyDescent="0.25">
      <c r="A210" s="9" t="s">
        <v>116</v>
      </c>
      <c r="B210" s="7"/>
      <c r="C210" s="7"/>
      <c r="D210" s="7">
        <f t="shared" si="3"/>
        <v>0</v>
      </c>
    </row>
    <row r="211" spans="1:4" ht="18.75" hidden="1" x14ac:dyDescent="0.25">
      <c r="A211" s="9" t="s">
        <v>123</v>
      </c>
      <c r="B211" s="7"/>
      <c r="C211" s="7"/>
      <c r="D211" s="7">
        <f t="shared" si="3"/>
        <v>0</v>
      </c>
    </row>
    <row r="212" spans="1:4" ht="18.75" hidden="1" x14ac:dyDescent="0.25">
      <c r="A212" s="9" t="s">
        <v>134</v>
      </c>
      <c r="B212" s="7"/>
      <c r="C212" s="7"/>
      <c r="D212" s="7">
        <f t="shared" si="3"/>
        <v>0</v>
      </c>
    </row>
    <row r="213" spans="1:4" ht="18.75" hidden="1" x14ac:dyDescent="0.25">
      <c r="A213" s="12" t="s">
        <v>137</v>
      </c>
      <c r="B213" s="7"/>
      <c r="C213" s="7"/>
      <c r="D213" s="7">
        <f t="shared" si="3"/>
        <v>0</v>
      </c>
    </row>
    <row r="214" spans="1:4" ht="18.75" hidden="1" x14ac:dyDescent="0.25">
      <c r="A214" s="12" t="s">
        <v>138</v>
      </c>
      <c r="B214" s="7"/>
      <c r="C214" s="7"/>
      <c r="D214" s="7">
        <f t="shared" si="3"/>
        <v>0</v>
      </c>
    </row>
    <row r="215" spans="1:4" ht="18.75" hidden="1" x14ac:dyDescent="0.25">
      <c r="A215" s="9" t="s">
        <v>139</v>
      </c>
      <c r="B215" s="7"/>
      <c r="C215" s="7"/>
      <c r="D215" s="7">
        <f t="shared" si="3"/>
        <v>0</v>
      </c>
    </row>
    <row r="216" spans="1:4" ht="18.75" hidden="1" x14ac:dyDescent="0.25">
      <c r="A216" s="9" t="s">
        <v>207</v>
      </c>
      <c r="B216" s="7"/>
      <c r="C216" s="7"/>
      <c r="D216" s="7">
        <f t="shared" si="3"/>
        <v>0</v>
      </c>
    </row>
    <row r="217" spans="1:4" ht="18.75" hidden="1" x14ac:dyDescent="0.25">
      <c r="A217" s="11" t="s">
        <v>208</v>
      </c>
      <c r="B217" s="7"/>
      <c r="C217" s="7"/>
      <c r="D217" s="7">
        <f t="shared" si="3"/>
        <v>0</v>
      </c>
    </row>
    <row r="218" spans="1:4" ht="18.75" hidden="1" x14ac:dyDescent="0.25">
      <c r="A218" s="9" t="s">
        <v>209</v>
      </c>
      <c r="B218" s="7"/>
      <c r="C218" s="7"/>
      <c r="D218" s="7">
        <f t="shared" si="3"/>
        <v>0</v>
      </c>
    </row>
    <row r="219" spans="1:4" ht="18.75" hidden="1" x14ac:dyDescent="0.25">
      <c r="A219" s="11" t="s">
        <v>230</v>
      </c>
      <c r="B219" s="7"/>
      <c r="C219" s="7"/>
      <c r="D219" s="7">
        <f t="shared" si="3"/>
        <v>0</v>
      </c>
    </row>
    <row r="220" spans="1:4" ht="18.75" x14ac:dyDescent="0.25">
      <c r="A220" s="9" t="s">
        <v>247</v>
      </c>
      <c r="B220" s="7">
        <v>5</v>
      </c>
      <c r="C220" s="7">
        <v>14000</v>
      </c>
      <c r="D220" s="7">
        <f t="shared" si="3"/>
        <v>70000</v>
      </c>
    </row>
    <row r="221" spans="1:4" ht="18.75" hidden="1" x14ac:dyDescent="0.25">
      <c r="A221" s="11" t="s">
        <v>248</v>
      </c>
      <c r="B221" s="7"/>
      <c r="C221" s="7"/>
      <c r="D221" s="7">
        <f t="shared" si="3"/>
        <v>0</v>
      </c>
    </row>
    <row r="222" spans="1:4" ht="18.75" hidden="1" x14ac:dyDescent="0.25">
      <c r="A222" s="9" t="s">
        <v>267</v>
      </c>
      <c r="B222" s="7"/>
      <c r="C222" s="7"/>
      <c r="D222" s="7">
        <f t="shared" si="3"/>
        <v>0</v>
      </c>
    </row>
    <row r="223" spans="1:4" ht="18.75" hidden="1" x14ac:dyDescent="0.25">
      <c r="A223" s="9" t="s">
        <v>270</v>
      </c>
      <c r="B223" s="7"/>
      <c r="C223" s="7"/>
      <c r="D223" s="7">
        <f t="shared" si="3"/>
        <v>0</v>
      </c>
    </row>
    <row r="224" spans="1:4" ht="18.75" hidden="1" x14ac:dyDescent="0.25">
      <c r="A224" s="11" t="s">
        <v>282</v>
      </c>
      <c r="B224" s="7"/>
      <c r="C224" s="7"/>
      <c r="D224" s="7">
        <f t="shared" si="3"/>
        <v>0</v>
      </c>
    </row>
    <row r="225" spans="1:4" ht="18.75" hidden="1" x14ac:dyDescent="0.25">
      <c r="A225" s="9" t="s">
        <v>299</v>
      </c>
      <c r="B225" s="7"/>
      <c r="C225" s="7"/>
      <c r="D225" s="7">
        <f t="shared" si="3"/>
        <v>0</v>
      </c>
    </row>
    <row r="226" spans="1:4" ht="18.75" hidden="1" x14ac:dyDescent="0.25">
      <c r="A226" s="17" t="s">
        <v>300</v>
      </c>
      <c r="B226" s="7"/>
      <c r="C226" s="7"/>
      <c r="D226" s="7">
        <f t="shared" si="3"/>
        <v>0</v>
      </c>
    </row>
    <row r="227" spans="1:4" ht="18.75" hidden="1" x14ac:dyDescent="0.25">
      <c r="A227" s="11" t="s">
        <v>10</v>
      </c>
      <c r="B227" s="7"/>
      <c r="C227" s="7"/>
      <c r="D227" s="7">
        <f t="shared" si="3"/>
        <v>0</v>
      </c>
    </row>
    <row r="228" spans="1:4" ht="18.75" hidden="1" x14ac:dyDescent="0.25">
      <c r="A228" s="9" t="s">
        <v>38</v>
      </c>
      <c r="B228" s="7"/>
      <c r="C228" s="7"/>
      <c r="D228" s="7">
        <f t="shared" si="3"/>
        <v>0</v>
      </c>
    </row>
    <row r="229" spans="1:4" ht="18.75" x14ac:dyDescent="0.25">
      <c r="A229" s="9" t="s">
        <v>39</v>
      </c>
      <c r="B229" s="7">
        <v>26</v>
      </c>
      <c r="C229" s="7">
        <v>9000</v>
      </c>
      <c r="D229" s="7">
        <f t="shared" si="3"/>
        <v>234000</v>
      </c>
    </row>
    <row r="230" spans="1:4" ht="18.75" hidden="1" x14ac:dyDescent="0.25">
      <c r="A230" s="11" t="s">
        <v>40</v>
      </c>
      <c r="B230" s="16"/>
      <c r="C230" s="16"/>
      <c r="D230" s="7">
        <f t="shared" si="3"/>
        <v>0</v>
      </c>
    </row>
    <row r="231" spans="1:4" ht="18.75" hidden="1" x14ac:dyDescent="0.25">
      <c r="A231" s="17" t="s">
        <v>255</v>
      </c>
      <c r="B231" s="7"/>
      <c r="C231" s="7"/>
      <c r="D231" s="7">
        <f t="shared" si="3"/>
        <v>0</v>
      </c>
    </row>
    <row r="232" spans="1:4" ht="18.75" hidden="1" x14ac:dyDescent="0.25">
      <c r="A232" s="21" t="s">
        <v>256</v>
      </c>
      <c r="B232" s="7"/>
      <c r="C232" s="7"/>
      <c r="D232" s="7">
        <f t="shared" si="3"/>
        <v>0</v>
      </c>
    </row>
    <row r="233" spans="1:4" ht="18.75" hidden="1" x14ac:dyDescent="0.25">
      <c r="A233" s="11" t="s">
        <v>268</v>
      </c>
      <c r="B233" s="7"/>
      <c r="C233" s="7"/>
      <c r="D233" s="7">
        <f t="shared" si="3"/>
        <v>0</v>
      </c>
    </row>
    <row r="234" spans="1:4" ht="18.75" x14ac:dyDescent="0.25">
      <c r="A234" s="9" t="s">
        <v>269</v>
      </c>
      <c r="B234" s="7">
        <v>10</v>
      </c>
      <c r="C234" s="7">
        <v>14000</v>
      </c>
      <c r="D234" s="7">
        <f t="shared" si="3"/>
        <v>140000</v>
      </c>
    </row>
    <row r="235" spans="1:4" ht="18.75" hidden="1" x14ac:dyDescent="0.25">
      <c r="A235" s="9" t="s">
        <v>272</v>
      </c>
      <c r="B235" s="7"/>
      <c r="C235" s="7"/>
      <c r="D235" s="7">
        <f t="shared" si="3"/>
        <v>0</v>
      </c>
    </row>
    <row r="236" spans="1:4" ht="18.75" hidden="1" x14ac:dyDescent="0.25">
      <c r="A236" s="11" t="s">
        <v>283</v>
      </c>
      <c r="B236" s="7"/>
      <c r="C236" s="7"/>
      <c r="D236" s="7">
        <f t="shared" si="3"/>
        <v>0</v>
      </c>
    </row>
    <row r="237" spans="1:4" ht="18.75" hidden="1" x14ac:dyDescent="0.25">
      <c r="A237" s="21" t="s">
        <v>377</v>
      </c>
      <c r="B237" s="7"/>
      <c r="C237" s="7"/>
      <c r="D237" s="7">
        <f t="shared" si="3"/>
        <v>0</v>
      </c>
    </row>
    <row r="238" spans="1:4" ht="18.75" hidden="1" x14ac:dyDescent="0.25">
      <c r="A238" s="12" t="s">
        <v>178</v>
      </c>
      <c r="B238" s="7"/>
      <c r="C238" s="7"/>
      <c r="D238" s="7">
        <f t="shared" si="3"/>
        <v>0</v>
      </c>
    </row>
    <row r="239" spans="1:4" ht="18.75" hidden="1" x14ac:dyDescent="0.25">
      <c r="A239" s="9" t="s">
        <v>179</v>
      </c>
      <c r="B239" s="7"/>
      <c r="C239" s="7"/>
      <c r="D239" s="7">
        <f t="shared" si="3"/>
        <v>0</v>
      </c>
    </row>
    <row r="240" spans="1:4" ht="18.75" hidden="1" x14ac:dyDescent="0.25">
      <c r="A240" s="9" t="s">
        <v>180</v>
      </c>
      <c r="B240" s="7"/>
      <c r="C240" s="7"/>
      <c r="D240" s="7">
        <f t="shared" si="3"/>
        <v>0</v>
      </c>
    </row>
    <row r="241" spans="1:4" ht="18.75" hidden="1" x14ac:dyDescent="0.25">
      <c r="A241" s="12" t="s">
        <v>305</v>
      </c>
      <c r="B241" s="7"/>
      <c r="C241" s="7"/>
      <c r="D241" s="7">
        <f t="shared" si="3"/>
        <v>0</v>
      </c>
    </row>
    <row r="242" spans="1:4" ht="18.75" hidden="1" x14ac:dyDescent="0.25">
      <c r="A242" s="9" t="s">
        <v>307</v>
      </c>
      <c r="B242" s="7"/>
      <c r="C242" s="7"/>
      <c r="D242" s="7">
        <f t="shared" si="3"/>
        <v>0</v>
      </c>
    </row>
    <row r="243" spans="1:4" ht="18.75" hidden="1" x14ac:dyDescent="0.25">
      <c r="A243" s="9" t="s">
        <v>308</v>
      </c>
      <c r="B243" s="7"/>
      <c r="C243" s="7"/>
      <c r="D243" s="7">
        <f t="shared" si="3"/>
        <v>0</v>
      </c>
    </row>
    <row r="244" spans="1:4" ht="18.75" hidden="1" x14ac:dyDescent="0.25">
      <c r="A244" s="21" t="s">
        <v>311</v>
      </c>
      <c r="B244" s="7"/>
      <c r="C244" s="7"/>
      <c r="D244" s="7">
        <f t="shared" si="3"/>
        <v>0</v>
      </c>
    </row>
    <row r="245" spans="1:4" ht="18.75" hidden="1" x14ac:dyDescent="0.25">
      <c r="A245" s="9" t="s">
        <v>313</v>
      </c>
      <c r="B245" s="7"/>
      <c r="C245" s="7"/>
      <c r="D245" s="7">
        <f t="shared" si="3"/>
        <v>0</v>
      </c>
    </row>
    <row r="246" spans="1:4" ht="18.75" hidden="1" x14ac:dyDescent="0.25">
      <c r="A246" s="9" t="s">
        <v>314</v>
      </c>
      <c r="B246" s="7"/>
      <c r="C246" s="7"/>
      <c r="D246" s="7">
        <f t="shared" si="3"/>
        <v>0</v>
      </c>
    </row>
    <row r="247" spans="1:4" ht="18.75" hidden="1" x14ac:dyDescent="0.25">
      <c r="A247" s="9" t="s">
        <v>315</v>
      </c>
      <c r="B247" s="7"/>
      <c r="C247" s="7"/>
      <c r="D247" s="7">
        <f t="shared" si="3"/>
        <v>0</v>
      </c>
    </row>
    <row r="248" spans="1:4" ht="18.75" hidden="1" x14ac:dyDescent="0.25">
      <c r="A248" s="9" t="s">
        <v>316</v>
      </c>
      <c r="B248" s="7"/>
      <c r="C248" s="7"/>
      <c r="D248" s="7">
        <f t="shared" si="3"/>
        <v>0</v>
      </c>
    </row>
    <row r="249" spans="1:4" ht="18.75" hidden="1" x14ac:dyDescent="0.25">
      <c r="A249" s="21" t="s">
        <v>317</v>
      </c>
      <c r="B249" s="7"/>
      <c r="C249" s="7"/>
      <c r="D249" s="7">
        <f t="shared" si="3"/>
        <v>0</v>
      </c>
    </row>
    <row r="250" spans="1:4" ht="18.75" hidden="1" x14ac:dyDescent="0.25">
      <c r="A250" s="9" t="s">
        <v>318</v>
      </c>
      <c r="B250" s="7"/>
      <c r="C250" s="7"/>
      <c r="D250" s="7">
        <f t="shared" si="3"/>
        <v>0</v>
      </c>
    </row>
    <row r="251" spans="1:4" ht="18.75" hidden="1" x14ac:dyDescent="0.25">
      <c r="A251" s="9" t="s">
        <v>322</v>
      </c>
      <c r="B251" s="7"/>
      <c r="C251" s="7"/>
      <c r="D251" s="7">
        <f t="shared" si="3"/>
        <v>0</v>
      </c>
    </row>
    <row r="252" spans="1:4" ht="18.75" hidden="1" x14ac:dyDescent="0.25">
      <c r="A252" s="21" t="s">
        <v>324</v>
      </c>
      <c r="B252" s="7"/>
      <c r="C252" s="7"/>
      <c r="D252" s="7">
        <f t="shared" si="3"/>
        <v>0</v>
      </c>
    </row>
    <row r="253" spans="1:4" ht="18.75" hidden="1" x14ac:dyDescent="0.25">
      <c r="A253" s="21" t="s">
        <v>325</v>
      </c>
      <c r="B253" s="7"/>
      <c r="C253" s="7"/>
      <c r="D253" s="7">
        <f t="shared" si="3"/>
        <v>0</v>
      </c>
    </row>
    <row r="254" spans="1:4" ht="18.75" hidden="1" x14ac:dyDescent="0.25">
      <c r="A254" s="9" t="s">
        <v>326</v>
      </c>
      <c r="B254" s="7"/>
      <c r="C254" s="7"/>
      <c r="D254" s="7">
        <f t="shared" si="3"/>
        <v>0</v>
      </c>
    </row>
    <row r="255" spans="1:4" ht="18.75" hidden="1" x14ac:dyDescent="0.25">
      <c r="A255" s="9" t="s">
        <v>327</v>
      </c>
      <c r="B255" s="7"/>
      <c r="C255" s="7"/>
      <c r="D255" s="7">
        <f t="shared" si="3"/>
        <v>0</v>
      </c>
    </row>
    <row r="256" spans="1:4" ht="18.75" hidden="1" x14ac:dyDescent="0.25">
      <c r="A256" s="21" t="s">
        <v>328</v>
      </c>
      <c r="B256" s="7"/>
      <c r="C256" s="7"/>
      <c r="D256" s="7">
        <f t="shared" si="3"/>
        <v>0</v>
      </c>
    </row>
    <row r="257" spans="1:4" ht="18.75" hidden="1" x14ac:dyDescent="0.25">
      <c r="A257" s="9" t="s">
        <v>329</v>
      </c>
      <c r="B257" s="7"/>
      <c r="C257" s="7"/>
      <c r="D257" s="7">
        <f t="shared" si="3"/>
        <v>0</v>
      </c>
    </row>
    <row r="258" spans="1:4" ht="18.75" hidden="1" x14ac:dyDescent="0.25">
      <c r="A258" s="9" t="s">
        <v>330</v>
      </c>
      <c r="B258" s="7"/>
      <c r="C258" s="7"/>
      <c r="D258" s="7">
        <f t="shared" si="3"/>
        <v>0</v>
      </c>
    </row>
    <row r="259" spans="1:4" ht="18.75" hidden="1" x14ac:dyDescent="0.25">
      <c r="A259" s="9" t="s">
        <v>331</v>
      </c>
      <c r="B259" s="7"/>
      <c r="C259" s="7"/>
      <c r="D259" s="7">
        <f t="shared" si="3"/>
        <v>0</v>
      </c>
    </row>
    <row r="260" spans="1:4" ht="18.75" hidden="1" x14ac:dyDescent="0.25">
      <c r="A260" s="9" t="s">
        <v>332</v>
      </c>
      <c r="B260" s="7"/>
      <c r="C260" s="7"/>
      <c r="D260" s="7">
        <f t="shared" ref="D260:D323" si="4">B260*C260</f>
        <v>0</v>
      </c>
    </row>
    <row r="261" spans="1:4" ht="18.75" hidden="1" x14ac:dyDescent="0.25">
      <c r="A261" s="9" t="s">
        <v>333</v>
      </c>
      <c r="B261" s="7"/>
      <c r="C261" s="7"/>
      <c r="D261" s="7">
        <f t="shared" si="4"/>
        <v>0</v>
      </c>
    </row>
    <row r="262" spans="1:4" ht="18.75" hidden="1" x14ac:dyDescent="0.25">
      <c r="A262" s="9" t="s">
        <v>334</v>
      </c>
      <c r="B262" s="7"/>
      <c r="C262" s="7"/>
      <c r="D262" s="7">
        <f t="shared" si="4"/>
        <v>0</v>
      </c>
    </row>
    <row r="263" spans="1:4" ht="18.75" hidden="1" x14ac:dyDescent="0.25">
      <c r="A263" s="9" t="s">
        <v>335</v>
      </c>
      <c r="B263" s="7"/>
      <c r="C263" s="7"/>
      <c r="D263" s="7">
        <f t="shared" si="4"/>
        <v>0</v>
      </c>
    </row>
    <row r="264" spans="1:4" ht="18.75" hidden="1" x14ac:dyDescent="0.25">
      <c r="A264" s="9" t="s">
        <v>336</v>
      </c>
      <c r="B264" s="7"/>
      <c r="C264" s="7"/>
      <c r="D264" s="7">
        <f t="shared" si="4"/>
        <v>0</v>
      </c>
    </row>
    <row r="265" spans="1:4" ht="18.75" x14ac:dyDescent="0.25">
      <c r="A265" s="9" t="s">
        <v>287</v>
      </c>
      <c r="B265" s="7">
        <v>5</v>
      </c>
      <c r="C265" s="7">
        <v>13000</v>
      </c>
      <c r="D265" s="7">
        <f t="shared" si="4"/>
        <v>65000</v>
      </c>
    </row>
    <row r="266" spans="1:4" ht="18.75" hidden="1" x14ac:dyDescent="0.25">
      <c r="A266" s="17" t="s">
        <v>288</v>
      </c>
      <c r="B266" s="7"/>
      <c r="C266" s="7"/>
      <c r="D266" s="7">
        <f t="shared" si="4"/>
        <v>0</v>
      </c>
    </row>
    <row r="267" spans="1:4" ht="18.75" hidden="1" x14ac:dyDescent="0.25">
      <c r="A267" s="9" t="s">
        <v>289</v>
      </c>
      <c r="B267" s="7"/>
      <c r="C267" s="7"/>
      <c r="D267" s="7">
        <f t="shared" si="4"/>
        <v>0</v>
      </c>
    </row>
    <row r="268" spans="1:4" ht="18.75" hidden="1" x14ac:dyDescent="0.25">
      <c r="A268" s="9" t="s">
        <v>22</v>
      </c>
      <c r="B268" s="7"/>
      <c r="C268" s="7"/>
      <c r="D268" s="7">
        <f t="shared" si="4"/>
        <v>0</v>
      </c>
    </row>
    <row r="269" spans="1:4" ht="18.75" hidden="1" x14ac:dyDescent="0.25">
      <c r="A269" s="9" t="s">
        <v>23</v>
      </c>
      <c r="B269" s="7"/>
      <c r="C269" s="7"/>
      <c r="D269" s="7">
        <f t="shared" si="4"/>
        <v>0</v>
      </c>
    </row>
    <row r="270" spans="1:4" ht="18.75" hidden="1" x14ac:dyDescent="0.25">
      <c r="A270" s="9" t="s">
        <v>24</v>
      </c>
      <c r="B270" s="7"/>
      <c r="C270" s="7"/>
      <c r="D270" s="7">
        <f t="shared" si="4"/>
        <v>0</v>
      </c>
    </row>
    <row r="271" spans="1:4" ht="18.75" hidden="1" x14ac:dyDescent="0.25">
      <c r="A271" s="9" t="s">
        <v>25</v>
      </c>
      <c r="B271" s="7"/>
      <c r="C271" s="7"/>
      <c r="D271" s="7">
        <f t="shared" si="4"/>
        <v>0</v>
      </c>
    </row>
    <row r="272" spans="1:4" ht="18.75" hidden="1" x14ac:dyDescent="0.25">
      <c r="A272" s="9" t="s">
        <v>26</v>
      </c>
      <c r="B272" s="7"/>
      <c r="C272" s="7"/>
      <c r="D272" s="7">
        <f t="shared" si="4"/>
        <v>0</v>
      </c>
    </row>
    <row r="273" spans="1:4" ht="18.75" hidden="1" x14ac:dyDescent="0.25">
      <c r="A273" s="9" t="s">
        <v>46</v>
      </c>
      <c r="B273" s="7"/>
      <c r="C273" s="7"/>
      <c r="D273" s="7">
        <f t="shared" si="4"/>
        <v>0</v>
      </c>
    </row>
    <row r="274" spans="1:4" ht="18.75" hidden="1" x14ac:dyDescent="0.25">
      <c r="A274" s="9" t="s">
        <v>47</v>
      </c>
      <c r="B274" s="7"/>
      <c r="C274" s="7"/>
      <c r="D274" s="7">
        <f t="shared" si="4"/>
        <v>0</v>
      </c>
    </row>
    <row r="275" spans="1:4" ht="18.75" hidden="1" x14ac:dyDescent="0.25">
      <c r="A275" s="13" t="s">
        <v>48</v>
      </c>
      <c r="B275" s="7"/>
      <c r="C275" s="7"/>
      <c r="D275" s="7">
        <f t="shared" si="4"/>
        <v>0</v>
      </c>
    </row>
    <row r="276" spans="1:4" ht="18.75" hidden="1" x14ac:dyDescent="0.25">
      <c r="A276" s="9" t="s">
        <v>51</v>
      </c>
      <c r="B276" s="7"/>
      <c r="C276" s="7"/>
      <c r="D276" s="7">
        <f t="shared" si="4"/>
        <v>0</v>
      </c>
    </row>
    <row r="277" spans="1:4" ht="18.75" hidden="1" x14ac:dyDescent="0.25">
      <c r="A277" s="9" t="s">
        <v>52</v>
      </c>
      <c r="B277" s="7"/>
      <c r="C277" s="7"/>
      <c r="D277" s="7">
        <f t="shared" si="4"/>
        <v>0</v>
      </c>
    </row>
    <row r="278" spans="1:4" ht="18.75" hidden="1" x14ac:dyDescent="0.25">
      <c r="A278" s="28" t="s">
        <v>412</v>
      </c>
      <c r="B278" s="7"/>
      <c r="C278" s="7"/>
      <c r="D278" s="7">
        <f t="shared" si="4"/>
        <v>0</v>
      </c>
    </row>
    <row r="279" spans="1:4" ht="18.75" x14ac:dyDescent="0.25">
      <c r="A279" s="12" t="s">
        <v>131</v>
      </c>
      <c r="B279" s="16">
        <v>2</v>
      </c>
      <c r="C279" s="16">
        <v>16000</v>
      </c>
      <c r="D279" s="7">
        <f t="shared" si="4"/>
        <v>32000</v>
      </c>
    </row>
    <row r="280" spans="1:4" ht="18.75" x14ac:dyDescent="0.25">
      <c r="A280" s="9" t="s">
        <v>132</v>
      </c>
      <c r="B280" s="7">
        <v>7</v>
      </c>
      <c r="C280" s="7">
        <v>7000</v>
      </c>
      <c r="D280" s="7">
        <f t="shared" si="4"/>
        <v>49000</v>
      </c>
    </row>
    <row r="281" spans="1:4" ht="18.75" hidden="1" x14ac:dyDescent="0.25">
      <c r="A281" s="9" t="s">
        <v>133</v>
      </c>
      <c r="B281" s="7"/>
      <c r="C281" s="7"/>
      <c r="D281" s="7">
        <f t="shared" si="4"/>
        <v>0</v>
      </c>
    </row>
    <row r="282" spans="1:4" ht="18.75" x14ac:dyDescent="0.25">
      <c r="A282" s="9" t="s">
        <v>290</v>
      </c>
      <c r="B282" s="7">
        <v>87</v>
      </c>
      <c r="C282" s="7">
        <v>5500</v>
      </c>
      <c r="D282" s="7">
        <f t="shared" si="4"/>
        <v>478500</v>
      </c>
    </row>
    <row r="283" spans="1:4" ht="18.75" hidden="1" x14ac:dyDescent="0.25">
      <c r="A283" s="17" t="s">
        <v>291</v>
      </c>
      <c r="B283" s="7"/>
      <c r="C283" s="7"/>
      <c r="D283" s="7">
        <f t="shared" si="4"/>
        <v>0</v>
      </c>
    </row>
    <row r="284" spans="1:4" ht="18.75" hidden="1" x14ac:dyDescent="0.25">
      <c r="A284" s="9" t="s">
        <v>16</v>
      </c>
      <c r="B284" s="7"/>
      <c r="C284" s="7"/>
      <c r="D284" s="7">
        <f t="shared" si="4"/>
        <v>0</v>
      </c>
    </row>
    <row r="285" spans="1:4" ht="18.75" hidden="1" x14ac:dyDescent="0.25">
      <c r="A285" s="13" t="s">
        <v>17</v>
      </c>
      <c r="B285" s="7"/>
      <c r="C285" s="7"/>
      <c r="D285" s="7">
        <f t="shared" si="4"/>
        <v>0</v>
      </c>
    </row>
    <row r="286" spans="1:4" ht="18.75" x14ac:dyDescent="0.25">
      <c r="A286" s="11" t="s">
        <v>18</v>
      </c>
      <c r="B286" s="7">
        <f>48+10</f>
        <v>58</v>
      </c>
      <c r="C286" s="45">
        <v>10500</v>
      </c>
      <c r="D286" s="7">
        <f t="shared" si="4"/>
        <v>609000</v>
      </c>
    </row>
    <row r="287" spans="1:4" ht="18.75" hidden="1" x14ac:dyDescent="0.25">
      <c r="A287" s="9" t="s">
        <v>157</v>
      </c>
      <c r="B287" s="7"/>
      <c r="C287" s="7"/>
      <c r="D287" s="7">
        <f t="shared" si="4"/>
        <v>0</v>
      </c>
    </row>
    <row r="288" spans="1:4" ht="18.75" hidden="1" x14ac:dyDescent="0.25">
      <c r="A288" s="9" t="s">
        <v>158</v>
      </c>
      <c r="B288" s="7"/>
      <c r="C288" s="7"/>
      <c r="D288" s="7">
        <f t="shared" si="4"/>
        <v>0</v>
      </c>
    </row>
    <row r="289" spans="1:4" ht="18.75" hidden="1" x14ac:dyDescent="0.25">
      <c r="A289" s="9" t="s">
        <v>159</v>
      </c>
      <c r="B289" s="7"/>
      <c r="C289" s="7"/>
      <c r="D289" s="7">
        <f t="shared" si="4"/>
        <v>0</v>
      </c>
    </row>
    <row r="290" spans="1:4" ht="18.75" hidden="1" x14ac:dyDescent="0.25">
      <c r="A290" s="9" t="s">
        <v>160</v>
      </c>
      <c r="B290" s="7"/>
      <c r="C290" s="7"/>
      <c r="D290" s="7">
        <f t="shared" si="4"/>
        <v>0</v>
      </c>
    </row>
    <row r="291" spans="1:4" ht="18.75" hidden="1" x14ac:dyDescent="0.25">
      <c r="A291" s="13" t="s">
        <v>378</v>
      </c>
      <c r="B291" s="7"/>
      <c r="C291" s="7"/>
      <c r="D291" s="7">
        <f t="shared" si="4"/>
        <v>0</v>
      </c>
    </row>
    <row r="292" spans="1:4" ht="18.75" hidden="1" x14ac:dyDescent="0.25">
      <c r="A292" s="10" t="s">
        <v>7</v>
      </c>
      <c r="B292" s="7"/>
      <c r="C292" s="7"/>
      <c r="D292" s="7">
        <f t="shared" si="4"/>
        <v>0</v>
      </c>
    </row>
    <row r="293" spans="1:4" ht="18.75" hidden="1" x14ac:dyDescent="0.25">
      <c r="A293" s="5" t="s">
        <v>8</v>
      </c>
      <c r="B293" s="7"/>
      <c r="C293" s="7"/>
      <c r="D293" s="7">
        <f t="shared" si="4"/>
        <v>0</v>
      </c>
    </row>
    <row r="294" spans="1:4" ht="18.75" hidden="1" x14ac:dyDescent="0.25">
      <c r="A294" s="17" t="s">
        <v>379</v>
      </c>
      <c r="B294" s="7"/>
      <c r="C294" s="7"/>
      <c r="D294" s="7">
        <f t="shared" si="4"/>
        <v>0</v>
      </c>
    </row>
    <row r="295" spans="1:4" ht="18.75" hidden="1" x14ac:dyDescent="0.25">
      <c r="A295" s="11" t="s">
        <v>30</v>
      </c>
      <c r="B295" s="7"/>
      <c r="C295" s="7"/>
      <c r="D295" s="7">
        <f t="shared" si="4"/>
        <v>0</v>
      </c>
    </row>
    <row r="296" spans="1:4" ht="18.75" hidden="1" x14ac:dyDescent="0.25">
      <c r="A296" s="11" t="s">
        <v>31</v>
      </c>
      <c r="B296" s="7"/>
      <c r="C296" s="7"/>
      <c r="D296" s="7">
        <f t="shared" si="4"/>
        <v>0</v>
      </c>
    </row>
    <row r="297" spans="1:4" ht="18.75" hidden="1" x14ac:dyDescent="0.25">
      <c r="A297" s="11" t="s">
        <v>32</v>
      </c>
      <c r="B297" s="7"/>
      <c r="C297" s="7"/>
      <c r="D297" s="7">
        <f t="shared" si="4"/>
        <v>0</v>
      </c>
    </row>
    <row r="298" spans="1:4" ht="18.75" hidden="1" x14ac:dyDescent="0.25">
      <c r="A298" s="11" t="s">
        <v>34</v>
      </c>
      <c r="B298" s="7"/>
      <c r="C298" s="7"/>
      <c r="D298" s="7">
        <f t="shared" si="4"/>
        <v>0</v>
      </c>
    </row>
    <row r="299" spans="1:4" ht="18.75" hidden="1" x14ac:dyDescent="0.25">
      <c r="A299" s="11" t="s">
        <v>35</v>
      </c>
      <c r="B299" s="7"/>
      <c r="C299" s="7"/>
      <c r="D299" s="7">
        <f t="shared" si="4"/>
        <v>0</v>
      </c>
    </row>
    <row r="300" spans="1:4" ht="18.75" hidden="1" x14ac:dyDescent="0.25">
      <c r="A300" s="11" t="s">
        <v>36</v>
      </c>
      <c r="B300" s="7"/>
      <c r="C300" s="7"/>
      <c r="D300" s="7">
        <f t="shared" si="4"/>
        <v>0</v>
      </c>
    </row>
    <row r="301" spans="1:4" ht="18.75" hidden="1" x14ac:dyDescent="0.25">
      <c r="A301" s="19" t="s">
        <v>64</v>
      </c>
      <c r="B301" s="7"/>
      <c r="C301" s="7"/>
      <c r="D301" s="7">
        <f t="shared" si="4"/>
        <v>0</v>
      </c>
    </row>
    <row r="302" spans="1:4" ht="18.75" hidden="1" x14ac:dyDescent="0.25">
      <c r="A302" s="12" t="s">
        <v>68</v>
      </c>
      <c r="B302" s="7"/>
      <c r="C302" s="7"/>
      <c r="D302" s="7">
        <f t="shared" si="4"/>
        <v>0</v>
      </c>
    </row>
    <row r="303" spans="1:4" ht="18.75" hidden="1" x14ac:dyDescent="0.25">
      <c r="A303" s="17" t="s">
        <v>380</v>
      </c>
      <c r="B303" s="7"/>
      <c r="C303" s="7"/>
      <c r="D303" s="7">
        <f t="shared" si="4"/>
        <v>0</v>
      </c>
    </row>
    <row r="304" spans="1:4" ht="18.75" hidden="1" x14ac:dyDescent="0.25">
      <c r="A304" s="11" t="s">
        <v>102</v>
      </c>
      <c r="B304" s="7"/>
      <c r="C304" s="7"/>
      <c r="D304" s="7">
        <f t="shared" si="4"/>
        <v>0</v>
      </c>
    </row>
    <row r="305" spans="1:4" ht="18.75" hidden="1" x14ac:dyDescent="0.25">
      <c r="A305" s="25" t="s">
        <v>108</v>
      </c>
      <c r="B305" s="7"/>
      <c r="C305" s="7"/>
      <c r="D305" s="7">
        <f t="shared" si="4"/>
        <v>0</v>
      </c>
    </row>
    <row r="306" spans="1:4" ht="18.75" hidden="1" x14ac:dyDescent="0.25">
      <c r="A306" s="9" t="s">
        <v>381</v>
      </c>
      <c r="B306" s="7"/>
      <c r="C306" s="7"/>
      <c r="D306" s="7">
        <f t="shared" si="4"/>
        <v>0</v>
      </c>
    </row>
    <row r="307" spans="1:4" ht="18.75" hidden="1" x14ac:dyDescent="0.25">
      <c r="A307" s="11" t="s">
        <v>395</v>
      </c>
      <c r="B307" s="7"/>
      <c r="C307" s="7"/>
      <c r="D307" s="7">
        <f t="shared" si="4"/>
        <v>0</v>
      </c>
    </row>
    <row r="308" spans="1:4" ht="18.75" hidden="1" x14ac:dyDescent="0.25">
      <c r="A308" s="9" t="s">
        <v>391</v>
      </c>
      <c r="B308" s="7"/>
      <c r="C308" s="7"/>
      <c r="D308" s="7">
        <f t="shared" si="4"/>
        <v>0</v>
      </c>
    </row>
    <row r="309" spans="1:4" ht="18.75" hidden="1" x14ac:dyDescent="0.25">
      <c r="A309" s="11" t="s">
        <v>392</v>
      </c>
      <c r="B309" s="7"/>
      <c r="C309" s="7"/>
      <c r="D309" s="7">
        <f t="shared" si="4"/>
        <v>0</v>
      </c>
    </row>
    <row r="310" spans="1:4" ht="18.75" hidden="1" x14ac:dyDescent="0.25">
      <c r="A310" s="9" t="s">
        <v>119</v>
      </c>
      <c r="B310" s="7"/>
      <c r="C310" s="7"/>
      <c r="D310" s="7">
        <f t="shared" si="4"/>
        <v>0</v>
      </c>
    </row>
    <row r="311" spans="1:4" ht="18.75" hidden="1" x14ac:dyDescent="0.25">
      <c r="A311" s="11" t="s">
        <v>120</v>
      </c>
      <c r="B311" s="7"/>
      <c r="C311" s="7"/>
      <c r="D311" s="7">
        <f t="shared" si="4"/>
        <v>0</v>
      </c>
    </row>
    <row r="312" spans="1:4" ht="18.75" hidden="1" x14ac:dyDescent="0.25">
      <c r="A312" s="11" t="s">
        <v>121</v>
      </c>
      <c r="B312" s="7"/>
      <c r="C312" s="7"/>
      <c r="D312" s="7">
        <f t="shared" si="4"/>
        <v>0</v>
      </c>
    </row>
    <row r="313" spans="1:4" ht="18.75" hidden="1" x14ac:dyDescent="0.25">
      <c r="A313" s="17" t="s">
        <v>382</v>
      </c>
      <c r="B313" s="7"/>
      <c r="C313" s="7"/>
      <c r="D313" s="7">
        <f t="shared" si="4"/>
        <v>0</v>
      </c>
    </row>
    <row r="314" spans="1:4" ht="18.75" hidden="1" x14ac:dyDescent="0.25">
      <c r="A314" s="13" t="s">
        <v>383</v>
      </c>
      <c r="B314" s="7"/>
      <c r="C314" s="7"/>
      <c r="D314" s="7">
        <f t="shared" si="4"/>
        <v>0</v>
      </c>
    </row>
    <row r="315" spans="1:4" ht="18.75" hidden="1" x14ac:dyDescent="0.25">
      <c r="A315" s="13" t="s">
        <v>384</v>
      </c>
      <c r="B315" s="7"/>
      <c r="C315" s="7"/>
      <c r="D315" s="7">
        <f t="shared" si="4"/>
        <v>0</v>
      </c>
    </row>
    <row r="316" spans="1:4" ht="18.75" hidden="1" x14ac:dyDescent="0.25">
      <c r="A316" s="9" t="s">
        <v>143</v>
      </c>
      <c r="B316" s="7"/>
      <c r="C316" s="7"/>
      <c r="D316" s="7">
        <f t="shared" si="4"/>
        <v>0</v>
      </c>
    </row>
    <row r="317" spans="1:4" ht="18.75" hidden="1" x14ac:dyDescent="0.25">
      <c r="A317" s="9" t="s">
        <v>164</v>
      </c>
      <c r="B317" s="7"/>
      <c r="C317" s="7"/>
      <c r="D317" s="7">
        <f t="shared" si="4"/>
        <v>0</v>
      </c>
    </row>
    <row r="318" spans="1:4" ht="18.75" hidden="1" x14ac:dyDescent="0.25">
      <c r="A318" s="17" t="s">
        <v>189</v>
      </c>
      <c r="B318" s="7"/>
      <c r="C318" s="7"/>
      <c r="D318" s="7">
        <f t="shared" si="4"/>
        <v>0</v>
      </c>
    </row>
    <row r="319" spans="1:4" ht="18.75" hidden="1" x14ac:dyDescent="0.25">
      <c r="A319" s="17" t="s">
        <v>190</v>
      </c>
      <c r="B319" s="7"/>
      <c r="C319" s="7"/>
      <c r="D319" s="7">
        <f t="shared" si="4"/>
        <v>0</v>
      </c>
    </row>
    <row r="320" spans="1:4" ht="18.75" hidden="1" x14ac:dyDescent="0.25">
      <c r="A320" s="17" t="s">
        <v>191</v>
      </c>
      <c r="B320" s="7"/>
      <c r="C320" s="7"/>
      <c r="D320" s="7">
        <f t="shared" si="4"/>
        <v>0</v>
      </c>
    </row>
    <row r="321" spans="1:4" ht="18.75" hidden="1" x14ac:dyDescent="0.25">
      <c r="A321" s="17" t="s">
        <v>192</v>
      </c>
      <c r="B321" s="7"/>
      <c r="C321" s="7"/>
      <c r="D321" s="7">
        <f t="shared" si="4"/>
        <v>0</v>
      </c>
    </row>
    <row r="322" spans="1:4" ht="18.75" hidden="1" x14ac:dyDescent="0.25">
      <c r="A322" s="9" t="s">
        <v>194</v>
      </c>
      <c r="B322" s="7"/>
      <c r="C322" s="7"/>
      <c r="D322" s="7">
        <f t="shared" si="4"/>
        <v>0</v>
      </c>
    </row>
    <row r="323" spans="1:4" ht="18.75" hidden="1" x14ac:dyDescent="0.25">
      <c r="A323" s="34" t="s">
        <v>195</v>
      </c>
      <c r="B323" s="7"/>
      <c r="C323" s="7"/>
      <c r="D323" s="7">
        <f t="shared" si="4"/>
        <v>0</v>
      </c>
    </row>
    <row r="324" spans="1:4" ht="18.75" hidden="1" x14ac:dyDescent="0.25">
      <c r="A324" s="34" t="s">
        <v>196</v>
      </c>
      <c r="B324" s="7"/>
      <c r="C324" s="7"/>
      <c r="D324" s="7">
        <f t="shared" ref="D324:D387" si="5">B324*C324</f>
        <v>0</v>
      </c>
    </row>
    <row r="325" spans="1:4" ht="18.75" hidden="1" x14ac:dyDescent="0.25">
      <c r="A325" s="34" t="s">
        <v>197</v>
      </c>
      <c r="B325" s="7"/>
      <c r="C325" s="7"/>
      <c r="D325" s="7">
        <f t="shared" si="5"/>
        <v>0</v>
      </c>
    </row>
    <row r="326" spans="1:4" ht="18.75" hidden="1" x14ac:dyDescent="0.25">
      <c r="A326" s="34" t="s">
        <v>198</v>
      </c>
      <c r="B326" s="7"/>
      <c r="C326" s="7"/>
      <c r="D326" s="7">
        <f t="shared" si="5"/>
        <v>0</v>
      </c>
    </row>
    <row r="327" spans="1:4" ht="18.75" hidden="1" x14ac:dyDescent="0.25">
      <c r="A327" s="11" t="s">
        <v>226</v>
      </c>
      <c r="B327" s="7"/>
      <c r="C327" s="7"/>
      <c r="D327" s="7">
        <f t="shared" si="5"/>
        <v>0</v>
      </c>
    </row>
    <row r="328" spans="1:4" ht="18.75" hidden="1" x14ac:dyDescent="0.25">
      <c r="A328" s="11" t="s">
        <v>228</v>
      </c>
      <c r="B328" s="7"/>
      <c r="C328" s="7"/>
      <c r="D328" s="7">
        <f t="shared" si="5"/>
        <v>0</v>
      </c>
    </row>
    <row r="329" spans="1:4" ht="18.75" hidden="1" x14ac:dyDescent="0.25">
      <c r="A329" s="17" t="s">
        <v>229</v>
      </c>
      <c r="B329" s="7"/>
      <c r="C329" s="7"/>
      <c r="D329" s="7">
        <f t="shared" si="5"/>
        <v>0</v>
      </c>
    </row>
    <row r="330" spans="1:4" ht="18.75" hidden="1" x14ac:dyDescent="0.25">
      <c r="A330" s="11" t="s">
        <v>231</v>
      </c>
      <c r="B330" s="7"/>
      <c r="C330" s="7"/>
      <c r="D330" s="7">
        <f t="shared" si="5"/>
        <v>0</v>
      </c>
    </row>
    <row r="331" spans="1:4" ht="18.75" hidden="1" x14ac:dyDescent="0.25">
      <c r="A331" s="11" t="s">
        <v>232</v>
      </c>
      <c r="B331" s="7"/>
      <c r="C331" s="7"/>
      <c r="D331" s="7">
        <f t="shared" si="5"/>
        <v>0</v>
      </c>
    </row>
    <row r="332" spans="1:4" ht="18.75" hidden="1" x14ac:dyDescent="0.25">
      <c r="A332" s="9" t="s">
        <v>233</v>
      </c>
      <c r="B332" s="7"/>
      <c r="C332" s="7"/>
      <c r="D332" s="7">
        <f t="shared" si="5"/>
        <v>0</v>
      </c>
    </row>
    <row r="333" spans="1:4" ht="18.75" hidden="1" x14ac:dyDescent="0.25">
      <c r="A333" s="9" t="s">
        <v>234</v>
      </c>
      <c r="B333" s="7"/>
      <c r="C333" s="7"/>
      <c r="D333" s="7">
        <f t="shared" si="5"/>
        <v>0</v>
      </c>
    </row>
    <row r="334" spans="1:4" ht="18.75" hidden="1" x14ac:dyDescent="0.25">
      <c r="A334" s="11" t="s">
        <v>235</v>
      </c>
      <c r="B334" s="7"/>
      <c r="C334" s="7"/>
      <c r="D334" s="7">
        <f t="shared" si="5"/>
        <v>0</v>
      </c>
    </row>
    <row r="335" spans="1:4" ht="18.75" hidden="1" x14ac:dyDescent="0.25">
      <c r="A335" s="13" t="s">
        <v>239</v>
      </c>
      <c r="B335" s="7"/>
      <c r="C335" s="7"/>
      <c r="D335" s="7">
        <f t="shared" si="5"/>
        <v>0</v>
      </c>
    </row>
    <row r="336" spans="1:4" ht="18.75" hidden="1" x14ac:dyDescent="0.25">
      <c r="A336" s="13" t="s">
        <v>240</v>
      </c>
      <c r="B336" s="7"/>
      <c r="C336" s="7"/>
      <c r="D336" s="7">
        <f t="shared" si="5"/>
        <v>0</v>
      </c>
    </row>
    <row r="337" spans="1:4" ht="18.75" hidden="1" x14ac:dyDescent="0.25">
      <c r="A337" s="34" t="s">
        <v>241</v>
      </c>
      <c r="B337" s="7"/>
      <c r="C337" s="7"/>
      <c r="D337" s="7">
        <f t="shared" si="5"/>
        <v>0</v>
      </c>
    </row>
    <row r="338" spans="1:4" ht="18.75" hidden="1" x14ac:dyDescent="0.25">
      <c r="A338" s="34" t="s">
        <v>245</v>
      </c>
      <c r="B338" s="7"/>
      <c r="C338" s="7"/>
      <c r="D338" s="7">
        <f t="shared" si="5"/>
        <v>0</v>
      </c>
    </row>
    <row r="339" spans="1:4" ht="18.75" hidden="1" x14ac:dyDescent="0.25">
      <c r="A339" s="9" t="s">
        <v>275</v>
      </c>
      <c r="B339" s="7"/>
      <c r="C339" s="7"/>
      <c r="D339" s="7">
        <f t="shared" si="5"/>
        <v>0</v>
      </c>
    </row>
    <row r="340" spans="1:4" ht="18.75" hidden="1" x14ac:dyDescent="0.25">
      <c r="A340" s="34" t="s">
        <v>276</v>
      </c>
      <c r="B340" s="7"/>
      <c r="C340" s="7"/>
      <c r="D340" s="7">
        <f t="shared" si="5"/>
        <v>0</v>
      </c>
    </row>
    <row r="341" spans="1:4" ht="18.75" hidden="1" x14ac:dyDescent="0.25">
      <c r="A341" s="34" t="s">
        <v>278</v>
      </c>
      <c r="B341" s="7"/>
      <c r="C341" s="7"/>
      <c r="D341" s="7">
        <f t="shared" si="5"/>
        <v>0</v>
      </c>
    </row>
    <row r="342" spans="1:4" ht="18.75" hidden="1" x14ac:dyDescent="0.25">
      <c r="A342" s="34" t="s">
        <v>279</v>
      </c>
      <c r="B342" s="7"/>
      <c r="C342" s="7"/>
      <c r="D342" s="7">
        <f t="shared" si="5"/>
        <v>0</v>
      </c>
    </row>
    <row r="343" spans="1:4" ht="18.75" hidden="1" x14ac:dyDescent="0.25">
      <c r="A343" s="25" t="s">
        <v>292</v>
      </c>
      <c r="B343" s="7"/>
      <c r="C343" s="7"/>
      <c r="D343" s="7">
        <f t="shared" si="5"/>
        <v>0</v>
      </c>
    </row>
    <row r="344" spans="1:4" ht="18.75" hidden="1" x14ac:dyDescent="0.25">
      <c r="A344" s="35" t="s">
        <v>385</v>
      </c>
      <c r="B344" s="7"/>
      <c r="C344" s="7"/>
      <c r="D344" s="7">
        <f t="shared" si="5"/>
        <v>0</v>
      </c>
    </row>
    <row r="345" spans="1:4" ht="18.75" hidden="1" x14ac:dyDescent="0.25">
      <c r="A345" s="13" t="s">
        <v>295</v>
      </c>
      <c r="B345" s="7"/>
      <c r="C345" s="7"/>
      <c r="D345" s="7">
        <f t="shared" si="5"/>
        <v>0</v>
      </c>
    </row>
    <row r="346" spans="1:4" ht="18.75" hidden="1" x14ac:dyDescent="0.25">
      <c r="A346" s="9" t="s">
        <v>301</v>
      </c>
      <c r="B346" s="7"/>
      <c r="C346" s="7"/>
      <c r="D346" s="7">
        <f t="shared" si="5"/>
        <v>0</v>
      </c>
    </row>
    <row r="347" spans="1:4" ht="18.75" hidden="1" x14ac:dyDescent="0.25">
      <c r="A347" s="9" t="s">
        <v>302</v>
      </c>
      <c r="B347" s="7"/>
      <c r="C347" s="7"/>
      <c r="D347" s="7">
        <f t="shared" si="5"/>
        <v>0</v>
      </c>
    </row>
    <row r="348" spans="1:4" ht="18.75" hidden="1" x14ac:dyDescent="0.25">
      <c r="A348" s="11" t="s">
        <v>303</v>
      </c>
      <c r="B348" s="7"/>
      <c r="C348" s="7"/>
      <c r="D348" s="7">
        <f t="shared" si="5"/>
        <v>0</v>
      </c>
    </row>
    <row r="349" spans="1:4" ht="18.75" hidden="1" x14ac:dyDescent="0.25">
      <c r="A349" s="11" t="s">
        <v>337</v>
      </c>
      <c r="B349" s="7"/>
      <c r="C349" s="7"/>
      <c r="D349" s="7">
        <f t="shared" si="5"/>
        <v>0</v>
      </c>
    </row>
    <row r="350" spans="1:4" ht="18.75" hidden="1" x14ac:dyDescent="0.25">
      <c r="A350" s="11" t="s">
        <v>338</v>
      </c>
      <c r="B350" s="7"/>
      <c r="C350" s="7"/>
      <c r="D350" s="7">
        <f t="shared" si="5"/>
        <v>0</v>
      </c>
    </row>
    <row r="351" spans="1:4" ht="18.75" x14ac:dyDescent="0.25">
      <c r="A351" s="40"/>
      <c r="B351" s="43">
        <f>SUM(B3:B350)</f>
        <v>11913</v>
      </c>
      <c r="C351" s="43"/>
      <c r="D351" s="7">
        <f>SUM(D3:D286)</f>
        <v>122589500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446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12" t="s">
        <v>69</v>
      </c>
      <c r="B356" s="7"/>
      <c r="C356" s="7"/>
      <c r="D356" s="7">
        <f t="shared" si="5"/>
        <v>0</v>
      </c>
    </row>
    <row r="357" spans="1:4" ht="18.75" hidden="1" x14ac:dyDescent="0.25">
      <c r="A357" s="11" t="s">
        <v>70</v>
      </c>
      <c r="B357" s="7"/>
      <c r="C357" s="7"/>
      <c r="D357" s="7">
        <f t="shared" si="5"/>
        <v>0</v>
      </c>
    </row>
    <row r="358" spans="1:4" ht="18.75" hidden="1" x14ac:dyDescent="0.25">
      <c r="A358" s="12" t="s">
        <v>71</v>
      </c>
      <c r="B358" s="7"/>
      <c r="C358" s="7"/>
      <c r="D358" s="7">
        <f t="shared" si="5"/>
        <v>0</v>
      </c>
    </row>
    <row r="359" spans="1:4" ht="18.75" hidden="1" x14ac:dyDescent="0.25">
      <c r="A359" s="12" t="s">
        <v>72</v>
      </c>
      <c r="B359" s="7"/>
      <c r="C359" s="7"/>
      <c r="D359" s="7">
        <f t="shared" si="5"/>
        <v>0</v>
      </c>
    </row>
    <row r="360" spans="1:4" ht="18.75" hidden="1" x14ac:dyDescent="0.25">
      <c r="A360" s="12" t="s">
        <v>73</v>
      </c>
      <c r="B360" s="7"/>
      <c r="C360" s="7"/>
      <c r="D360" s="7">
        <f t="shared" si="5"/>
        <v>0</v>
      </c>
    </row>
    <row r="361" spans="1:4" ht="18.75" hidden="1" x14ac:dyDescent="0.25">
      <c r="A361" s="20" t="s">
        <v>74</v>
      </c>
      <c r="B361" s="7"/>
      <c r="C361" s="7"/>
      <c r="D361" s="7">
        <f t="shared" si="5"/>
        <v>0</v>
      </c>
    </row>
    <row r="362" spans="1:4" ht="18.75" hidden="1" x14ac:dyDescent="0.25">
      <c r="A362" s="9" t="s">
        <v>75</v>
      </c>
      <c r="B362" s="7"/>
      <c r="C362" s="7"/>
      <c r="D362" s="7">
        <f t="shared" si="5"/>
        <v>0</v>
      </c>
    </row>
    <row r="363" spans="1:4" ht="18.75" hidden="1" x14ac:dyDescent="0.25">
      <c r="A363" s="12" t="s">
        <v>82</v>
      </c>
      <c r="B363" s="16"/>
      <c r="C363" s="16"/>
      <c r="D363" s="7">
        <f t="shared" si="5"/>
        <v>0</v>
      </c>
    </row>
    <row r="364" spans="1:4" ht="18.75" hidden="1" x14ac:dyDescent="0.25">
      <c r="A364" s="12" t="s">
        <v>83</v>
      </c>
      <c r="B364" s="16"/>
      <c r="C364" s="16"/>
      <c r="D364" s="7">
        <f t="shared" si="5"/>
        <v>0</v>
      </c>
    </row>
    <row r="365" spans="1:4" ht="18.75" hidden="1" x14ac:dyDescent="0.25">
      <c r="A365" s="12" t="s">
        <v>84</v>
      </c>
      <c r="B365" s="16"/>
      <c r="C365" s="16"/>
      <c r="D365" s="7">
        <f t="shared" si="5"/>
        <v>0</v>
      </c>
    </row>
    <row r="366" spans="1:4" ht="18.75" hidden="1" x14ac:dyDescent="0.25">
      <c r="A366" s="9" t="s">
        <v>96</v>
      </c>
      <c r="B366" s="7"/>
      <c r="C366" s="7"/>
      <c r="D366" s="7">
        <f t="shared" si="5"/>
        <v>0</v>
      </c>
    </row>
    <row r="367" spans="1:4" ht="18.75" hidden="1" x14ac:dyDescent="0.25">
      <c r="A367" s="9" t="s">
        <v>97</v>
      </c>
      <c r="B367" s="7"/>
      <c r="C367" s="7"/>
      <c r="D367" s="7">
        <f t="shared" si="5"/>
        <v>0</v>
      </c>
    </row>
    <row r="368" spans="1:4" ht="18.75" hidden="1" x14ac:dyDescent="0.25">
      <c r="A368" s="9" t="s">
        <v>99</v>
      </c>
      <c r="B368" s="16"/>
      <c r="C368" s="16"/>
      <c r="D368" s="7">
        <f t="shared" si="5"/>
        <v>0</v>
      </c>
    </row>
    <row r="369" spans="1:4" ht="18.75" hidden="1" x14ac:dyDescent="0.25">
      <c r="A369" s="21" t="s">
        <v>101</v>
      </c>
      <c r="B369" s="7"/>
      <c r="C369" s="7"/>
      <c r="D369" s="7">
        <f t="shared" si="5"/>
        <v>0</v>
      </c>
    </row>
    <row r="370" spans="1:4" ht="18.75" hidden="1" x14ac:dyDescent="0.25">
      <c r="A370" s="11" t="s">
        <v>117</v>
      </c>
      <c r="B370" s="7"/>
      <c r="C370" s="7"/>
      <c r="D370" s="7">
        <f t="shared" si="5"/>
        <v>0</v>
      </c>
    </row>
    <row r="371" spans="1:4" ht="18.75" hidden="1" x14ac:dyDescent="0.25">
      <c r="A371" s="21" t="s">
        <v>118</v>
      </c>
      <c r="B371" s="7"/>
      <c r="C371" s="7"/>
      <c r="D371" s="7">
        <f t="shared" si="5"/>
        <v>0</v>
      </c>
    </row>
    <row r="372" spans="1:4" ht="18.75" hidden="1" x14ac:dyDescent="0.25">
      <c r="A372" s="9" t="s">
        <v>110</v>
      </c>
      <c r="B372" s="7"/>
      <c r="C372" s="7"/>
      <c r="D372" s="7">
        <f t="shared" si="5"/>
        <v>0</v>
      </c>
    </row>
    <row r="373" spans="1:4" ht="18.75" hidden="1" x14ac:dyDescent="0.25">
      <c r="A373" s="9" t="s">
        <v>111</v>
      </c>
      <c r="B373" s="7"/>
      <c r="C373" s="7"/>
      <c r="D373" s="7">
        <f t="shared" si="5"/>
        <v>0</v>
      </c>
    </row>
    <row r="374" spans="1:4" ht="18.75" hidden="1" x14ac:dyDescent="0.25">
      <c r="A374" s="9" t="s">
        <v>112</v>
      </c>
      <c r="B374" s="7"/>
      <c r="C374" s="7"/>
      <c r="D374" s="7">
        <f t="shared" si="5"/>
        <v>0</v>
      </c>
    </row>
    <row r="375" spans="1:4" ht="18.75" hidden="1" x14ac:dyDescent="0.25">
      <c r="A375" s="11" t="s">
        <v>249</v>
      </c>
      <c r="B375" s="7"/>
      <c r="C375" s="7"/>
      <c r="D375" s="7">
        <f t="shared" si="5"/>
        <v>0</v>
      </c>
    </row>
    <row r="376" spans="1:4" ht="18.75" x14ac:dyDescent="0.25">
      <c r="A376" s="9" t="s">
        <v>250</v>
      </c>
      <c r="B376" s="7">
        <v>20</v>
      </c>
      <c r="C376" s="7">
        <v>27000</v>
      </c>
      <c r="D376" s="7">
        <f t="shared" si="5"/>
        <v>540000</v>
      </c>
    </row>
    <row r="377" spans="1:4" ht="18.75" hidden="1" x14ac:dyDescent="0.25">
      <c r="A377" s="9" t="s">
        <v>251</v>
      </c>
      <c r="B377" s="7"/>
      <c r="C377" s="7"/>
      <c r="D377" s="7">
        <f t="shared" si="5"/>
        <v>0</v>
      </c>
    </row>
    <row r="378" spans="1:4" ht="18.75" hidden="1" x14ac:dyDescent="0.25">
      <c r="A378" s="9" t="s">
        <v>252</v>
      </c>
      <c r="B378" s="7"/>
      <c r="C378" s="7"/>
      <c r="D378" s="7">
        <f t="shared" si="5"/>
        <v>0</v>
      </c>
    </row>
    <row r="379" spans="1:4" ht="18.75" hidden="1" x14ac:dyDescent="0.25">
      <c r="A379" s="9" t="s">
        <v>253</v>
      </c>
      <c r="B379" s="7"/>
      <c r="C379" s="7"/>
      <c r="D379" s="7">
        <f t="shared" si="5"/>
        <v>0</v>
      </c>
    </row>
    <row r="380" spans="1:4" ht="18.75" hidden="1" x14ac:dyDescent="0.25">
      <c r="A380" s="9" t="s">
        <v>254</v>
      </c>
      <c r="B380" s="7"/>
      <c r="C380" s="7"/>
      <c r="D380" s="7">
        <f t="shared" si="5"/>
        <v>0</v>
      </c>
    </row>
    <row r="381" spans="1:4" ht="18.75" x14ac:dyDescent="0.25">
      <c r="A381" s="9" t="s">
        <v>258</v>
      </c>
      <c r="B381" s="7">
        <v>20</v>
      </c>
      <c r="C381" s="7">
        <v>25000</v>
      </c>
      <c r="D381" s="7">
        <f t="shared" si="5"/>
        <v>500000</v>
      </c>
    </row>
    <row r="382" spans="1:4" ht="18.75" hidden="1" x14ac:dyDescent="0.25">
      <c r="A382" s="9" t="s">
        <v>259</v>
      </c>
      <c r="B382" s="7"/>
      <c r="C382" s="7"/>
      <c r="D382" s="7">
        <f t="shared" si="5"/>
        <v>0</v>
      </c>
    </row>
    <row r="383" spans="1:4" ht="18.75" hidden="1" x14ac:dyDescent="0.25">
      <c r="A383" s="9" t="s">
        <v>260</v>
      </c>
      <c r="B383" s="7"/>
      <c r="C383" s="7"/>
      <c r="D383" s="7">
        <f t="shared" si="5"/>
        <v>0</v>
      </c>
    </row>
    <row r="384" spans="1:4" ht="18.75" hidden="1" x14ac:dyDescent="0.25">
      <c r="A384" s="9" t="s">
        <v>261</v>
      </c>
      <c r="B384" s="7"/>
      <c r="C384" s="7"/>
      <c r="D384" s="7">
        <f t="shared" si="5"/>
        <v>0</v>
      </c>
    </row>
    <row r="385" spans="1:4" ht="18.75" x14ac:dyDescent="0.25">
      <c r="A385" s="9" t="s">
        <v>262</v>
      </c>
      <c r="B385" s="7">
        <v>20</v>
      </c>
      <c r="C385" s="7">
        <v>24000</v>
      </c>
      <c r="D385" s="7">
        <f t="shared" si="5"/>
        <v>480000</v>
      </c>
    </row>
    <row r="386" spans="1:4" ht="18.75" hidden="1" x14ac:dyDescent="0.25">
      <c r="A386" s="9" t="s">
        <v>263</v>
      </c>
      <c r="B386" s="7"/>
      <c r="C386" s="7"/>
      <c r="D386" s="7">
        <f t="shared" si="5"/>
        <v>0</v>
      </c>
    </row>
    <row r="387" spans="1:4" ht="18.75" hidden="1" x14ac:dyDescent="0.25">
      <c r="A387" s="9" t="s">
        <v>264</v>
      </c>
      <c r="B387" s="7"/>
      <c r="C387" s="7"/>
      <c r="D387" s="7">
        <f t="shared" si="5"/>
        <v>0</v>
      </c>
    </row>
    <row r="388" spans="1:4" ht="18.75" x14ac:dyDescent="0.25">
      <c r="A388" s="9" t="s">
        <v>135</v>
      </c>
      <c r="B388" s="7">
        <v>60</v>
      </c>
      <c r="C388" s="7">
        <v>16000</v>
      </c>
      <c r="D388" s="7">
        <f t="shared" ref="D388:D451" si="6">B388*C388</f>
        <v>960000</v>
      </c>
    </row>
    <row r="389" spans="1:4" ht="18.75" hidden="1" x14ac:dyDescent="0.25">
      <c r="A389" s="17" t="s">
        <v>136</v>
      </c>
      <c r="B389" s="7"/>
      <c r="C389" s="7"/>
      <c r="D389" s="7">
        <f t="shared" si="6"/>
        <v>0</v>
      </c>
    </row>
    <row r="390" spans="1:4" ht="18.75" hidden="1" x14ac:dyDescent="0.25">
      <c r="A390" s="9" t="s">
        <v>350</v>
      </c>
      <c r="B390" s="7"/>
      <c r="C390" s="7"/>
      <c r="D390" s="7">
        <f t="shared" si="6"/>
        <v>0</v>
      </c>
    </row>
    <row r="391" spans="1:4" ht="18.75" hidden="1" x14ac:dyDescent="0.25">
      <c r="A391" s="12" t="s">
        <v>193</v>
      </c>
      <c r="B391" s="7"/>
      <c r="C391" s="7"/>
      <c r="D391" s="7">
        <f t="shared" si="6"/>
        <v>0</v>
      </c>
    </row>
    <row r="392" spans="1:4" ht="18.75" hidden="1" x14ac:dyDescent="0.25">
      <c r="A392" s="9" t="s">
        <v>319</v>
      </c>
      <c r="B392" s="7"/>
      <c r="C392" s="7"/>
      <c r="D392" s="7">
        <f t="shared" si="6"/>
        <v>0</v>
      </c>
    </row>
    <row r="393" spans="1:4" ht="18.75" hidden="1" x14ac:dyDescent="0.25">
      <c r="A393" s="9" t="s">
        <v>212</v>
      </c>
      <c r="B393" s="7"/>
      <c r="C393" s="7"/>
      <c r="D393" s="7">
        <f t="shared" si="6"/>
        <v>0</v>
      </c>
    </row>
    <row r="394" spans="1:4" ht="18.75" hidden="1" x14ac:dyDescent="0.25">
      <c r="A394" s="37" t="s">
        <v>213</v>
      </c>
      <c r="B394" s="7"/>
      <c r="C394" s="7"/>
      <c r="D394" s="7">
        <f t="shared" si="6"/>
        <v>0</v>
      </c>
    </row>
    <row r="395" spans="1:4" ht="18.75" hidden="1" x14ac:dyDescent="0.25">
      <c r="A395" s="9" t="s">
        <v>214</v>
      </c>
      <c r="B395" s="7"/>
      <c r="C395" s="7"/>
      <c r="D395" s="7">
        <f t="shared" si="6"/>
        <v>0</v>
      </c>
    </row>
    <row r="396" spans="1:4" ht="18.75" x14ac:dyDescent="0.25">
      <c r="A396" s="9" t="s">
        <v>215</v>
      </c>
      <c r="B396" s="7">
        <v>300</v>
      </c>
      <c r="C396" s="7">
        <v>15000</v>
      </c>
      <c r="D396" s="7">
        <f t="shared" si="6"/>
        <v>4500000</v>
      </c>
    </row>
    <row r="397" spans="1:4" ht="18.75" hidden="1" x14ac:dyDescent="0.25">
      <c r="A397" s="9" t="s">
        <v>216</v>
      </c>
      <c r="B397" s="7"/>
      <c r="C397" s="7"/>
      <c r="D397" s="7">
        <f t="shared" si="6"/>
        <v>0</v>
      </c>
    </row>
    <row r="398" spans="1:4" ht="18.75" hidden="1" x14ac:dyDescent="0.25">
      <c r="A398" s="9" t="s">
        <v>357</v>
      </c>
      <c r="B398" s="7"/>
      <c r="C398" s="7"/>
      <c r="D398" s="7">
        <f t="shared" si="6"/>
        <v>0</v>
      </c>
    </row>
    <row r="399" spans="1:4" ht="18.75" hidden="1" x14ac:dyDescent="0.25">
      <c r="A399" s="9" t="s">
        <v>217</v>
      </c>
      <c r="B399" s="7"/>
      <c r="C399" s="7"/>
      <c r="D399" s="7">
        <f t="shared" si="6"/>
        <v>0</v>
      </c>
    </row>
    <row r="400" spans="1:4" ht="18.75" hidden="1" x14ac:dyDescent="0.25">
      <c r="A400" s="9" t="s">
        <v>103</v>
      </c>
      <c r="B400" s="7"/>
      <c r="C400" s="7"/>
      <c r="D400" s="7">
        <f t="shared" si="6"/>
        <v>0</v>
      </c>
    </row>
    <row r="401" spans="1:4" ht="18.75" hidden="1" x14ac:dyDescent="0.25">
      <c r="A401" s="48" t="s">
        <v>104</v>
      </c>
      <c r="B401" s="7"/>
      <c r="C401" s="7"/>
      <c r="D401" s="7">
        <f t="shared" si="6"/>
        <v>0</v>
      </c>
    </row>
    <row r="402" spans="1:4" ht="18.75" hidden="1" x14ac:dyDescent="0.25">
      <c r="A402" s="11" t="s">
        <v>107</v>
      </c>
      <c r="B402" s="7"/>
      <c r="C402" s="7"/>
      <c r="D402" s="7">
        <f t="shared" si="6"/>
        <v>0</v>
      </c>
    </row>
    <row r="403" spans="1:4" ht="18.75" hidden="1" x14ac:dyDescent="0.25">
      <c r="A403" s="9" t="s">
        <v>109</v>
      </c>
      <c r="B403" s="7"/>
      <c r="C403" s="7"/>
      <c r="D403" s="7">
        <f t="shared" si="6"/>
        <v>0</v>
      </c>
    </row>
    <row r="404" spans="1:4" ht="18.75" hidden="1" x14ac:dyDescent="0.25">
      <c r="A404" s="9" t="s">
        <v>11</v>
      </c>
      <c r="B404" s="7"/>
      <c r="C404" s="7"/>
      <c r="D404" s="7">
        <f t="shared" si="6"/>
        <v>0</v>
      </c>
    </row>
    <row r="405" spans="1:4" ht="18.75" x14ac:dyDescent="0.25">
      <c r="A405" s="9" t="s">
        <v>12</v>
      </c>
      <c r="B405" s="7">
        <f>30+20+5+10+10+10-5</f>
        <v>80</v>
      </c>
      <c r="C405" s="7">
        <v>8000</v>
      </c>
      <c r="D405" s="7">
        <f t="shared" si="6"/>
        <v>640000</v>
      </c>
    </row>
    <row r="406" spans="1:4" ht="18.75" hidden="1" x14ac:dyDescent="0.25">
      <c r="A406" s="12" t="s">
        <v>13</v>
      </c>
      <c r="B406" s="7"/>
      <c r="C406" s="7"/>
      <c r="D406" s="7">
        <f t="shared" si="6"/>
        <v>0</v>
      </c>
    </row>
    <row r="407" spans="1:4" ht="18.75" hidden="1" x14ac:dyDescent="0.25">
      <c r="A407" s="9" t="s">
        <v>165</v>
      </c>
      <c r="B407" s="7"/>
      <c r="C407" s="7"/>
      <c r="D407" s="7">
        <f t="shared" si="6"/>
        <v>0</v>
      </c>
    </row>
    <row r="408" spans="1:4" ht="18.75" hidden="1" x14ac:dyDescent="0.25">
      <c r="A408" s="17" t="s">
        <v>166</v>
      </c>
      <c r="B408" s="7"/>
      <c r="C408" s="7"/>
      <c r="D408" s="7">
        <f t="shared" si="6"/>
        <v>0</v>
      </c>
    </row>
    <row r="409" spans="1:4" ht="18.75" hidden="1" x14ac:dyDescent="0.25">
      <c r="A409" s="9" t="s">
        <v>199</v>
      </c>
      <c r="B409" s="7"/>
      <c r="C409" s="7"/>
      <c r="D409" s="7">
        <f t="shared" si="6"/>
        <v>0</v>
      </c>
    </row>
    <row r="410" spans="1:4" ht="18.75" hidden="1" x14ac:dyDescent="0.25">
      <c r="A410" s="35" t="s">
        <v>352</v>
      </c>
      <c r="B410" s="7"/>
      <c r="C410" s="7"/>
      <c r="D410" s="7">
        <f t="shared" si="6"/>
        <v>0</v>
      </c>
    </row>
    <row r="411" spans="1:4" ht="18.75" hidden="1" x14ac:dyDescent="0.25">
      <c r="A411" s="9" t="s">
        <v>237</v>
      </c>
      <c r="B411" s="7"/>
      <c r="C411" s="7"/>
      <c r="D411" s="7">
        <f t="shared" si="6"/>
        <v>0</v>
      </c>
    </row>
    <row r="412" spans="1:4" ht="18.75" hidden="1" x14ac:dyDescent="0.25">
      <c r="A412" s="9" t="s">
        <v>238</v>
      </c>
      <c r="B412" s="7"/>
      <c r="C412" s="7"/>
      <c r="D412" s="7">
        <f t="shared" si="6"/>
        <v>0</v>
      </c>
    </row>
    <row r="413" spans="1:4" ht="18.75" hidden="1" x14ac:dyDescent="0.25">
      <c r="A413" s="12" t="s">
        <v>20</v>
      </c>
      <c r="B413" s="7"/>
      <c r="C413" s="7"/>
      <c r="D413" s="7">
        <f t="shared" si="6"/>
        <v>0</v>
      </c>
    </row>
    <row r="414" spans="1:4" ht="18.75" hidden="1" x14ac:dyDescent="0.25">
      <c r="A414" s="12" t="s">
        <v>21</v>
      </c>
      <c r="B414" s="7"/>
      <c r="C414" s="7"/>
      <c r="D414" s="7">
        <f t="shared" si="6"/>
        <v>0</v>
      </c>
    </row>
    <row r="415" spans="1:4" ht="18.75" hidden="1" x14ac:dyDescent="0.25">
      <c r="A415" s="18" t="s">
        <v>173</v>
      </c>
      <c r="B415" s="7"/>
      <c r="C415" s="7"/>
      <c r="D415" s="7">
        <f t="shared" si="6"/>
        <v>0</v>
      </c>
    </row>
    <row r="416" spans="1:4" ht="18.75" hidden="1" x14ac:dyDescent="0.25">
      <c r="A416" s="31" t="s">
        <v>174</v>
      </c>
      <c r="B416" s="33"/>
      <c r="C416" s="33"/>
      <c r="D416" s="7">
        <f t="shared" si="6"/>
        <v>0</v>
      </c>
    </row>
    <row r="417" spans="1:4" ht="18.75" hidden="1" x14ac:dyDescent="0.25">
      <c r="A417" s="9" t="s">
        <v>27</v>
      </c>
      <c r="B417" s="7"/>
      <c r="C417" s="7"/>
      <c r="D417" s="7">
        <f t="shared" si="6"/>
        <v>0</v>
      </c>
    </row>
    <row r="418" spans="1:4" ht="18.75" hidden="1" x14ac:dyDescent="0.25">
      <c r="A418" s="12" t="s">
        <v>29</v>
      </c>
      <c r="B418" s="7"/>
      <c r="C418" s="7"/>
      <c r="D418" s="7">
        <f t="shared" si="6"/>
        <v>0</v>
      </c>
    </row>
    <row r="419" spans="1:4" ht="18.75" hidden="1" x14ac:dyDescent="0.25">
      <c r="A419" s="12" t="s">
        <v>37</v>
      </c>
      <c r="B419" s="7"/>
      <c r="C419" s="7"/>
      <c r="D419" s="7">
        <f t="shared" si="6"/>
        <v>0</v>
      </c>
    </row>
    <row r="420" spans="1:4" ht="18.75" hidden="1" x14ac:dyDescent="0.25">
      <c r="A420" s="9" t="s">
        <v>201</v>
      </c>
      <c r="B420" s="7"/>
      <c r="C420" s="7"/>
      <c r="D420" s="7">
        <f t="shared" si="6"/>
        <v>0</v>
      </c>
    </row>
    <row r="421" spans="1:4" ht="18.75" hidden="1" x14ac:dyDescent="0.25">
      <c r="A421" s="12" t="s">
        <v>202</v>
      </c>
      <c r="B421" s="7"/>
      <c r="C421" s="7"/>
      <c r="D421" s="7">
        <f t="shared" si="6"/>
        <v>0</v>
      </c>
    </row>
    <row r="422" spans="1:4" ht="18.75" hidden="1" x14ac:dyDescent="0.25">
      <c r="A422" s="9" t="s">
        <v>353</v>
      </c>
      <c r="B422" s="7"/>
      <c r="C422" s="7"/>
      <c r="D422" s="7">
        <f t="shared" si="6"/>
        <v>0</v>
      </c>
    </row>
    <row r="423" spans="1:4" ht="18.75" hidden="1" x14ac:dyDescent="0.25">
      <c r="A423" s="9" t="s">
        <v>203</v>
      </c>
      <c r="B423" s="7"/>
      <c r="C423" s="7"/>
      <c r="D423" s="7">
        <f t="shared" si="6"/>
        <v>0</v>
      </c>
    </row>
    <row r="424" spans="1:4" ht="18.75" hidden="1" x14ac:dyDescent="0.25">
      <c r="A424" s="9" t="s">
        <v>273</v>
      </c>
      <c r="B424" s="7"/>
      <c r="C424" s="7"/>
      <c r="D424" s="7">
        <f t="shared" si="6"/>
        <v>0</v>
      </c>
    </row>
    <row r="425" spans="1:4" ht="18.75" hidden="1" x14ac:dyDescent="0.25">
      <c r="A425" s="9" t="s">
        <v>274</v>
      </c>
      <c r="B425" s="7"/>
      <c r="C425" s="7"/>
      <c r="D425" s="7">
        <f t="shared" si="6"/>
        <v>0</v>
      </c>
    </row>
    <row r="426" spans="1:4" ht="18.75" hidden="1" x14ac:dyDescent="0.25">
      <c r="A426" s="5" t="s">
        <v>2</v>
      </c>
      <c r="B426" s="7"/>
      <c r="C426" s="7"/>
      <c r="D426" s="7">
        <f t="shared" si="6"/>
        <v>0</v>
      </c>
    </row>
    <row r="427" spans="1:4" ht="18.75" hidden="1" x14ac:dyDescent="0.25">
      <c r="A427" s="8" t="s">
        <v>3</v>
      </c>
      <c r="B427" s="7"/>
      <c r="C427" s="7"/>
      <c r="D427" s="7">
        <f t="shared" si="6"/>
        <v>0</v>
      </c>
    </row>
    <row r="428" spans="1:4" ht="18.75" hidden="1" x14ac:dyDescent="0.25">
      <c r="A428" s="5" t="s">
        <v>4</v>
      </c>
      <c r="B428" s="7"/>
      <c r="C428" s="7"/>
      <c r="D428" s="7">
        <f t="shared" si="6"/>
        <v>0</v>
      </c>
    </row>
    <row r="429" spans="1:4" ht="18.75" hidden="1" x14ac:dyDescent="0.25">
      <c r="A429" s="17" t="s">
        <v>62</v>
      </c>
      <c r="B429" s="7"/>
      <c r="C429" s="7"/>
      <c r="D429" s="7">
        <f t="shared" si="6"/>
        <v>0</v>
      </c>
    </row>
    <row r="430" spans="1:4" ht="18.75" hidden="1" x14ac:dyDescent="0.25">
      <c r="A430" s="13" t="s">
        <v>298</v>
      </c>
      <c r="B430" s="7"/>
      <c r="C430" s="7"/>
      <c r="D430" s="7">
        <f t="shared" si="6"/>
        <v>0</v>
      </c>
    </row>
    <row r="431" spans="1:4" ht="18.75" hidden="1" x14ac:dyDescent="0.25">
      <c r="A431" s="13" t="s">
        <v>309</v>
      </c>
      <c r="B431" s="7"/>
      <c r="C431" s="7"/>
      <c r="D431" s="7">
        <f t="shared" si="6"/>
        <v>0</v>
      </c>
    </row>
    <row r="432" spans="1:4" ht="18.75" hidden="1" x14ac:dyDescent="0.25">
      <c r="A432" s="13" t="s">
        <v>310</v>
      </c>
      <c r="B432" s="7"/>
      <c r="C432" s="7"/>
      <c r="D432" s="7">
        <f t="shared" si="6"/>
        <v>0</v>
      </c>
    </row>
    <row r="433" spans="1:4" ht="18.75" hidden="1" x14ac:dyDescent="0.25">
      <c r="A433" s="13" t="s">
        <v>312</v>
      </c>
      <c r="B433" s="7"/>
      <c r="C433" s="7"/>
      <c r="D433" s="7">
        <f t="shared" si="6"/>
        <v>0</v>
      </c>
    </row>
    <row r="434" spans="1:4" ht="18.75" hidden="1" x14ac:dyDescent="0.25">
      <c r="A434" s="9" t="s">
        <v>321</v>
      </c>
      <c r="B434" s="39"/>
      <c r="C434" s="39"/>
      <c r="D434" s="7">
        <f t="shared" si="6"/>
        <v>0</v>
      </c>
    </row>
    <row r="435" spans="1:4" ht="18.75" hidden="1" x14ac:dyDescent="0.25">
      <c r="A435" s="9" t="s">
        <v>85</v>
      </c>
      <c r="B435" s="7"/>
      <c r="C435" s="7"/>
      <c r="D435" s="7">
        <f t="shared" si="6"/>
        <v>0</v>
      </c>
    </row>
    <row r="436" spans="1:4" ht="18.75" hidden="1" x14ac:dyDescent="0.25">
      <c r="A436" s="9" t="s">
        <v>86</v>
      </c>
      <c r="B436" s="7"/>
      <c r="C436" s="7"/>
      <c r="D436" s="7">
        <f t="shared" si="6"/>
        <v>0</v>
      </c>
    </row>
    <row r="437" spans="1:4" ht="18.75" hidden="1" x14ac:dyDescent="0.25">
      <c r="A437" s="9" t="s">
        <v>87</v>
      </c>
      <c r="B437" s="7"/>
      <c r="C437" s="7"/>
      <c r="D437" s="7">
        <f t="shared" si="6"/>
        <v>0</v>
      </c>
    </row>
    <row r="438" spans="1:4" ht="18.75" hidden="1" x14ac:dyDescent="0.25">
      <c r="A438" s="9" t="s">
        <v>88</v>
      </c>
      <c r="B438" s="7"/>
      <c r="C438" s="7"/>
      <c r="D438" s="7">
        <f t="shared" si="6"/>
        <v>0</v>
      </c>
    </row>
    <row r="439" spans="1:4" ht="18.75" hidden="1" x14ac:dyDescent="0.25">
      <c r="A439" s="9" t="s">
        <v>89</v>
      </c>
      <c r="B439" s="7"/>
      <c r="C439" s="7"/>
      <c r="D439" s="7">
        <f t="shared" si="6"/>
        <v>0</v>
      </c>
    </row>
    <row r="440" spans="1:4" ht="18.75" hidden="1" x14ac:dyDescent="0.25">
      <c r="A440" s="9" t="s">
        <v>176</v>
      </c>
      <c r="B440" s="7"/>
      <c r="C440" s="7"/>
      <c r="D440" s="7">
        <f t="shared" si="6"/>
        <v>0</v>
      </c>
    </row>
    <row r="441" spans="1:4" ht="18.75" hidden="1" x14ac:dyDescent="0.25">
      <c r="A441" s="9" t="s">
        <v>242</v>
      </c>
      <c r="B441" s="7"/>
      <c r="C441" s="7"/>
      <c r="D441" s="7">
        <f t="shared" si="6"/>
        <v>0</v>
      </c>
    </row>
    <row r="442" spans="1:4" ht="18.75" hidden="1" x14ac:dyDescent="0.25">
      <c r="A442" s="9" t="s">
        <v>243</v>
      </c>
      <c r="B442" s="7"/>
      <c r="C442" s="7"/>
      <c r="D442" s="7">
        <f t="shared" si="6"/>
        <v>0</v>
      </c>
    </row>
    <row r="443" spans="1:4" ht="18.75" hidden="1" x14ac:dyDescent="0.25">
      <c r="A443" s="9" t="s">
        <v>265</v>
      </c>
      <c r="B443" s="16"/>
      <c r="C443" s="16"/>
      <c r="D443" s="7">
        <f t="shared" si="6"/>
        <v>0</v>
      </c>
    </row>
    <row r="444" spans="1:4" ht="18.75" hidden="1" x14ac:dyDescent="0.25">
      <c r="A444" s="13" t="s">
        <v>266</v>
      </c>
      <c r="B444" s="7"/>
      <c r="C444" s="7"/>
      <c r="D444" s="7">
        <f t="shared" si="6"/>
        <v>0</v>
      </c>
    </row>
    <row r="445" spans="1:4" ht="18.75" hidden="1" x14ac:dyDescent="0.25">
      <c r="A445" s="12" t="s">
        <v>296</v>
      </c>
      <c r="B445" s="7"/>
      <c r="C445" s="7"/>
      <c r="D445" s="7">
        <f t="shared" si="6"/>
        <v>0</v>
      </c>
    </row>
    <row r="446" spans="1:4" ht="18.75" hidden="1" x14ac:dyDescent="0.25">
      <c r="A446" s="17" t="s">
        <v>297</v>
      </c>
      <c r="B446" s="7"/>
      <c r="C446" s="7"/>
      <c r="D446" s="7">
        <f t="shared" si="6"/>
        <v>0</v>
      </c>
    </row>
    <row r="447" spans="1:4" ht="18.75" x14ac:dyDescent="0.25">
      <c r="A447" s="9" t="s">
        <v>122</v>
      </c>
      <c r="B447" s="7">
        <v>20</v>
      </c>
      <c r="C447" s="7">
        <v>14000</v>
      </c>
      <c r="D447" s="7">
        <f t="shared" si="6"/>
        <v>280000</v>
      </c>
    </row>
    <row r="448" spans="1:4" ht="18.75" hidden="1" x14ac:dyDescent="0.25">
      <c r="A448" s="17" t="s">
        <v>43</v>
      </c>
      <c r="B448" s="7"/>
      <c r="C448" s="7"/>
      <c r="D448" s="7">
        <f t="shared" si="6"/>
        <v>0</v>
      </c>
    </row>
    <row r="449" spans="1:4" ht="18.75" hidden="1" x14ac:dyDescent="0.25">
      <c r="A449" s="9" t="s">
        <v>44</v>
      </c>
      <c r="B449" s="7"/>
      <c r="C449" s="7"/>
      <c r="D449" s="7">
        <f t="shared" si="6"/>
        <v>0</v>
      </c>
    </row>
    <row r="450" spans="1:4" ht="18.75" hidden="1" x14ac:dyDescent="0.25">
      <c r="A450" s="9" t="s">
        <v>45</v>
      </c>
      <c r="B450" s="7"/>
      <c r="C450" s="7"/>
      <c r="D450" s="7">
        <f t="shared" si="6"/>
        <v>0</v>
      </c>
    </row>
    <row r="451" spans="1:4" ht="18.75" hidden="1" x14ac:dyDescent="0.25">
      <c r="A451" s="17" t="s">
        <v>285</v>
      </c>
      <c r="B451" s="7"/>
      <c r="C451" s="7"/>
      <c r="D451" s="7">
        <f t="shared" si="6"/>
        <v>0</v>
      </c>
    </row>
    <row r="452" spans="1:4" ht="18.75" hidden="1" x14ac:dyDescent="0.25">
      <c r="A452" s="17" t="s">
        <v>286</v>
      </c>
      <c r="B452" s="7"/>
      <c r="C452" s="7"/>
      <c r="D452" s="7">
        <f t="shared" ref="D452:D515" si="7">B452*C452</f>
        <v>0</v>
      </c>
    </row>
    <row r="453" spans="1:4" ht="18.75" hidden="1" x14ac:dyDescent="0.25">
      <c r="A453" s="9" t="s">
        <v>141</v>
      </c>
      <c r="B453" s="16"/>
      <c r="C453" s="16"/>
      <c r="D453" s="7">
        <f t="shared" si="7"/>
        <v>0</v>
      </c>
    </row>
    <row r="454" spans="1:4" ht="18.75" hidden="1" x14ac:dyDescent="0.25">
      <c r="A454" s="9" t="s">
        <v>142</v>
      </c>
      <c r="B454" s="16"/>
      <c r="C454" s="16"/>
      <c r="D454" s="7">
        <f t="shared" si="7"/>
        <v>0</v>
      </c>
    </row>
    <row r="455" spans="1:4" ht="18.75" hidden="1" x14ac:dyDescent="0.25">
      <c r="A455" s="24" t="s">
        <v>144</v>
      </c>
      <c r="B455" s="16"/>
      <c r="C455" s="16"/>
      <c r="D455" s="7">
        <f t="shared" si="7"/>
        <v>0</v>
      </c>
    </row>
    <row r="456" spans="1:4" ht="18.75" hidden="1" x14ac:dyDescent="0.25">
      <c r="A456" s="24" t="s">
        <v>145</v>
      </c>
      <c r="B456" s="16"/>
      <c r="C456" s="16"/>
      <c r="D456" s="7">
        <f t="shared" si="7"/>
        <v>0</v>
      </c>
    </row>
    <row r="457" spans="1:4" ht="18.75" hidden="1" x14ac:dyDescent="0.25">
      <c r="A457" s="24" t="s">
        <v>146</v>
      </c>
      <c r="B457" s="16"/>
      <c r="C457" s="16"/>
      <c r="D457" s="7">
        <f t="shared" si="7"/>
        <v>0</v>
      </c>
    </row>
    <row r="458" spans="1:4" ht="18.75" hidden="1" x14ac:dyDescent="0.25">
      <c r="A458" s="9" t="s">
        <v>147</v>
      </c>
      <c r="B458" s="16"/>
      <c r="C458" s="16"/>
      <c r="D458" s="7">
        <f t="shared" si="7"/>
        <v>0</v>
      </c>
    </row>
    <row r="459" spans="1:4" ht="18.75" hidden="1" x14ac:dyDescent="0.25">
      <c r="A459" s="9" t="s">
        <v>149</v>
      </c>
      <c r="B459" s="16"/>
      <c r="C459" s="16"/>
      <c r="D459" s="7">
        <f t="shared" si="7"/>
        <v>0</v>
      </c>
    </row>
    <row r="460" spans="1:4" ht="18.75" hidden="1" x14ac:dyDescent="0.25">
      <c r="A460" s="9" t="s">
        <v>150</v>
      </c>
      <c r="B460" s="16"/>
      <c r="C460" s="16"/>
      <c r="D460" s="7">
        <f t="shared" si="7"/>
        <v>0</v>
      </c>
    </row>
    <row r="461" spans="1:4" ht="18.75" hidden="1" x14ac:dyDescent="0.25">
      <c r="A461" s="9" t="s">
        <v>151</v>
      </c>
      <c r="B461" s="16"/>
      <c r="C461" s="16"/>
      <c r="D461" s="7">
        <f t="shared" si="7"/>
        <v>0</v>
      </c>
    </row>
    <row r="462" spans="1:4" ht="18.75" hidden="1" x14ac:dyDescent="0.25">
      <c r="A462" s="9" t="s">
        <v>161</v>
      </c>
      <c r="B462" s="16"/>
      <c r="C462" s="16"/>
      <c r="D462" s="7">
        <f t="shared" si="7"/>
        <v>0</v>
      </c>
    </row>
    <row r="463" spans="1:4" ht="18.75" hidden="1" x14ac:dyDescent="0.25">
      <c r="A463" s="9" t="s">
        <v>162</v>
      </c>
      <c r="B463" s="16"/>
      <c r="C463" s="16"/>
      <c r="D463" s="7">
        <f t="shared" si="7"/>
        <v>0</v>
      </c>
    </row>
    <row r="464" spans="1:4" ht="18.75" hidden="1" x14ac:dyDescent="0.25">
      <c r="A464" s="9" t="s">
        <v>163</v>
      </c>
      <c r="B464" s="16"/>
      <c r="C464" s="16"/>
      <c r="D464" s="7">
        <f t="shared" si="7"/>
        <v>0</v>
      </c>
    </row>
    <row r="465" spans="1:4" ht="18.75" x14ac:dyDescent="0.25">
      <c r="A465" s="12" t="s">
        <v>53</v>
      </c>
      <c r="B465" s="7">
        <f>20+40+130</f>
        <v>190</v>
      </c>
      <c r="C465" s="7">
        <v>20000</v>
      </c>
      <c r="D465" s="7">
        <f t="shared" si="7"/>
        <v>3800000</v>
      </c>
    </row>
    <row r="466" spans="1:4" ht="18.75" hidden="1" x14ac:dyDescent="0.25">
      <c r="A466" s="9" t="s">
        <v>63</v>
      </c>
      <c r="B466" s="7"/>
      <c r="C466" s="7"/>
      <c r="D466" s="7">
        <f t="shared" si="7"/>
        <v>0</v>
      </c>
    </row>
    <row r="467" spans="1:4" ht="18.75" hidden="1" x14ac:dyDescent="0.25">
      <c r="A467" s="9" t="s">
        <v>76</v>
      </c>
      <c r="B467" s="7"/>
      <c r="C467" s="7"/>
      <c r="D467" s="7">
        <f t="shared" si="7"/>
        <v>0</v>
      </c>
    </row>
    <row r="468" spans="1:4" ht="18.75" hidden="1" x14ac:dyDescent="0.25">
      <c r="A468" s="12" t="s">
        <v>341</v>
      </c>
      <c r="B468" s="7"/>
      <c r="C468" s="7"/>
      <c r="D468" s="7">
        <f t="shared" si="7"/>
        <v>0</v>
      </c>
    </row>
    <row r="469" spans="1:4" ht="18.75" hidden="1" x14ac:dyDescent="0.25">
      <c r="A469" s="9" t="s">
        <v>15</v>
      </c>
      <c r="B469" s="7"/>
      <c r="C469" s="7"/>
      <c r="D469" s="7">
        <f t="shared" si="7"/>
        <v>0</v>
      </c>
    </row>
    <row r="470" spans="1:4" ht="18.75" hidden="1" x14ac:dyDescent="0.25">
      <c r="A470" s="9" t="s">
        <v>362</v>
      </c>
      <c r="B470" s="7"/>
      <c r="C470" s="7"/>
      <c r="D470" s="7">
        <f t="shared" si="7"/>
        <v>0</v>
      </c>
    </row>
    <row r="471" spans="1:4" ht="18.75" hidden="1" x14ac:dyDescent="0.25">
      <c r="A471" s="9" t="s">
        <v>366</v>
      </c>
      <c r="B471" s="7"/>
      <c r="C471" s="7"/>
      <c r="D471" s="7">
        <f t="shared" si="7"/>
        <v>0</v>
      </c>
    </row>
    <row r="472" spans="1:4" ht="18.75" x14ac:dyDescent="0.25">
      <c r="A472" s="9" t="s">
        <v>19</v>
      </c>
      <c r="B472" s="7">
        <v>80</v>
      </c>
      <c r="C472" s="7">
        <v>8000</v>
      </c>
      <c r="D472" s="7">
        <f t="shared" si="7"/>
        <v>640000</v>
      </c>
    </row>
    <row r="473" spans="1:4" ht="18.75" hidden="1" x14ac:dyDescent="0.25">
      <c r="A473" s="9" t="s">
        <v>41</v>
      </c>
      <c r="B473" s="7"/>
      <c r="C473" s="7"/>
      <c r="D473" s="7">
        <f t="shared" si="7"/>
        <v>0</v>
      </c>
    </row>
    <row r="474" spans="1:4" ht="18.75" hidden="1" x14ac:dyDescent="0.25">
      <c r="A474" s="11" t="s">
        <v>49</v>
      </c>
      <c r="B474" s="7"/>
      <c r="C474" s="7"/>
      <c r="D474" s="7">
        <f t="shared" si="7"/>
        <v>0</v>
      </c>
    </row>
    <row r="475" spans="1:4" ht="18.75" hidden="1" x14ac:dyDescent="0.25">
      <c r="A475" s="13" t="s">
        <v>50</v>
      </c>
      <c r="B475" s="7"/>
      <c r="C475" s="7"/>
      <c r="D475" s="7">
        <f t="shared" si="7"/>
        <v>0</v>
      </c>
    </row>
    <row r="476" spans="1:4" ht="18.75" hidden="1" x14ac:dyDescent="0.25">
      <c r="A476" s="10" t="s">
        <v>124</v>
      </c>
      <c r="B476" s="7"/>
      <c r="C476" s="7"/>
      <c r="D476" s="7">
        <f t="shared" si="7"/>
        <v>0</v>
      </c>
    </row>
    <row r="477" spans="1:4" ht="18.75" hidden="1" x14ac:dyDescent="0.25">
      <c r="A477" s="13" t="s">
        <v>125</v>
      </c>
      <c r="B477" s="7"/>
      <c r="C477" s="7"/>
      <c r="D477" s="7">
        <f t="shared" si="7"/>
        <v>0</v>
      </c>
    </row>
    <row r="478" spans="1:4" ht="18.75" hidden="1" x14ac:dyDescent="0.25">
      <c r="A478" s="12" t="s">
        <v>126</v>
      </c>
      <c r="B478" s="16"/>
      <c r="C478" s="16"/>
      <c r="D478" s="7">
        <f t="shared" si="7"/>
        <v>0</v>
      </c>
    </row>
    <row r="479" spans="1:4" ht="18.75" hidden="1" x14ac:dyDescent="0.25">
      <c r="A479" s="12" t="s">
        <v>127</v>
      </c>
      <c r="B479" s="16"/>
      <c r="C479" s="16"/>
      <c r="D479" s="7">
        <f t="shared" si="7"/>
        <v>0</v>
      </c>
    </row>
    <row r="480" spans="1:4" ht="18.75" hidden="1" x14ac:dyDescent="0.25">
      <c r="A480" s="12" t="s">
        <v>128</v>
      </c>
      <c r="B480" s="16"/>
      <c r="C480" s="16"/>
      <c r="D480" s="7">
        <f t="shared" si="7"/>
        <v>0</v>
      </c>
    </row>
    <row r="481" spans="1:4" ht="18.75" hidden="1" x14ac:dyDescent="0.25">
      <c r="A481" s="12" t="s">
        <v>129</v>
      </c>
      <c r="B481" s="27"/>
      <c r="C481" s="27"/>
      <c r="D481" s="7">
        <f t="shared" si="7"/>
        <v>0</v>
      </c>
    </row>
    <row r="482" spans="1:4" ht="18.75" hidden="1" x14ac:dyDescent="0.25">
      <c r="A482" s="9" t="s">
        <v>148</v>
      </c>
      <c r="B482" s="16"/>
      <c r="C482" s="16"/>
      <c r="D482" s="7">
        <f t="shared" si="7"/>
        <v>0</v>
      </c>
    </row>
    <row r="483" spans="1:4" ht="18.75" hidden="1" x14ac:dyDescent="0.25">
      <c r="A483" s="17" t="s">
        <v>218</v>
      </c>
      <c r="B483" s="7"/>
      <c r="C483" s="7"/>
      <c r="D483" s="7">
        <f t="shared" si="7"/>
        <v>0</v>
      </c>
    </row>
    <row r="484" spans="1:4" ht="18.75" hidden="1" x14ac:dyDescent="0.25">
      <c r="A484" s="17" t="s">
        <v>219</v>
      </c>
      <c r="B484" s="7"/>
      <c r="C484" s="7"/>
      <c r="D484" s="7">
        <f t="shared" si="7"/>
        <v>0</v>
      </c>
    </row>
    <row r="485" spans="1:4" ht="18.75" hidden="1" x14ac:dyDescent="0.25">
      <c r="A485" s="17" t="s">
        <v>220</v>
      </c>
      <c r="B485" s="7"/>
      <c r="C485" s="7"/>
      <c r="D485" s="7">
        <f t="shared" si="7"/>
        <v>0</v>
      </c>
    </row>
    <row r="486" spans="1:4" ht="18.75" hidden="1" x14ac:dyDescent="0.25">
      <c r="A486" s="17" t="s">
        <v>221</v>
      </c>
      <c r="B486" s="7"/>
      <c r="C486" s="7"/>
      <c r="D486" s="7">
        <f t="shared" si="7"/>
        <v>0</v>
      </c>
    </row>
    <row r="487" spans="1:4" ht="18.75" hidden="1" x14ac:dyDescent="0.25">
      <c r="A487" s="9" t="s">
        <v>222</v>
      </c>
      <c r="B487" s="7"/>
      <c r="C487" s="7"/>
      <c r="D487" s="7">
        <f t="shared" si="7"/>
        <v>0</v>
      </c>
    </row>
    <row r="488" spans="1:4" ht="18.75" hidden="1" x14ac:dyDescent="0.25">
      <c r="A488" s="9" t="s">
        <v>223</v>
      </c>
      <c r="B488" s="7"/>
      <c r="C488" s="7"/>
      <c r="D488" s="7">
        <f t="shared" si="7"/>
        <v>0</v>
      </c>
    </row>
    <row r="489" spans="1:4" ht="18.75" hidden="1" x14ac:dyDescent="0.25">
      <c r="A489" s="17" t="s">
        <v>224</v>
      </c>
      <c r="B489" s="7"/>
      <c r="C489" s="7"/>
      <c r="D489" s="7">
        <f t="shared" si="7"/>
        <v>0</v>
      </c>
    </row>
    <row r="490" spans="1:4" ht="18.75" hidden="1" x14ac:dyDescent="0.25">
      <c r="A490" s="17" t="s">
        <v>225</v>
      </c>
      <c r="B490" s="7"/>
      <c r="C490" s="7"/>
      <c r="D490" s="7">
        <f t="shared" si="7"/>
        <v>0</v>
      </c>
    </row>
    <row r="491" spans="1:4" ht="18.75" hidden="1" x14ac:dyDescent="0.25">
      <c r="A491" s="9" t="s">
        <v>244</v>
      </c>
      <c r="B491" s="16"/>
      <c r="C491" s="16"/>
      <c r="D491" s="7">
        <f t="shared" si="7"/>
        <v>0</v>
      </c>
    </row>
    <row r="492" spans="1:4" ht="18.75" hidden="1" x14ac:dyDescent="0.25">
      <c r="A492" s="9" t="s">
        <v>246</v>
      </c>
      <c r="B492" s="16"/>
      <c r="C492" s="16"/>
      <c r="D492" s="7">
        <f t="shared" si="7"/>
        <v>0</v>
      </c>
    </row>
    <row r="493" spans="1:4" ht="18.75" hidden="1" x14ac:dyDescent="0.25">
      <c r="A493" s="12" t="s">
        <v>280</v>
      </c>
      <c r="B493" s="16"/>
      <c r="C493" s="16"/>
      <c r="D493" s="7">
        <f t="shared" si="7"/>
        <v>0</v>
      </c>
    </row>
    <row r="494" spans="1:4" ht="18.75" hidden="1" x14ac:dyDescent="0.25">
      <c r="A494" s="9" t="s">
        <v>293</v>
      </c>
      <c r="B494" s="7"/>
      <c r="C494" s="7"/>
      <c r="D494" s="7">
        <f t="shared" si="7"/>
        <v>0</v>
      </c>
    </row>
    <row r="495" spans="1:4" ht="18.75" hidden="1" x14ac:dyDescent="0.25">
      <c r="A495" s="13" t="s">
        <v>294</v>
      </c>
      <c r="B495" s="7"/>
      <c r="C495" s="7"/>
      <c r="D495" s="7">
        <f t="shared" si="7"/>
        <v>0</v>
      </c>
    </row>
    <row r="496" spans="1:4" ht="18.75" hidden="1" x14ac:dyDescent="0.25">
      <c r="A496" s="12" t="s">
        <v>304</v>
      </c>
      <c r="B496" s="7"/>
      <c r="C496" s="7"/>
      <c r="D496" s="7">
        <f t="shared" si="7"/>
        <v>0</v>
      </c>
    </row>
    <row r="497" spans="1:4" ht="18.75" x14ac:dyDescent="0.25">
      <c r="A497" s="9" t="s">
        <v>204</v>
      </c>
      <c r="B497" s="7">
        <v>100</v>
      </c>
      <c r="C497" s="7">
        <v>19500</v>
      </c>
      <c r="D497" s="7">
        <f t="shared" si="7"/>
        <v>1950000</v>
      </c>
    </row>
    <row r="498" spans="1:4" ht="18.75" hidden="1" x14ac:dyDescent="0.25">
      <c r="A498" s="36" t="s">
        <v>205</v>
      </c>
      <c r="B498" s="7"/>
      <c r="C498" s="7"/>
      <c r="D498" s="7">
        <f t="shared" si="7"/>
        <v>0</v>
      </c>
    </row>
    <row r="499" spans="1:4" ht="18.75" hidden="1" x14ac:dyDescent="0.25">
      <c r="A499" s="36" t="s">
        <v>206</v>
      </c>
      <c r="B499" s="7"/>
      <c r="C499" s="7"/>
      <c r="D499" s="7">
        <f t="shared" si="7"/>
        <v>0</v>
      </c>
    </row>
    <row r="500" spans="1:4" ht="18.75" hidden="1" x14ac:dyDescent="0.25">
      <c r="A500" s="9" t="s">
        <v>42</v>
      </c>
      <c r="B500" s="7"/>
      <c r="C500" s="7"/>
      <c r="D500" s="7">
        <f t="shared" si="7"/>
        <v>0</v>
      </c>
    </row>
    <row r="501" spans="1:4" ht="18.75" hidden="1" x14ac:dyDescent="0.25">
      <c r="A501" s="9" t="s">
        <v>277</v>
      </c>
      <c r="B501" s="7"/>
      <c r="C501" s="7"/>
      <c r="D501" s="7">
        <f t="shared" si="7"/>
        <v>0</v>
      </c>
    </row>
    <row r="502" spans="1:4" ht="18.75" hidden="1" x14ac:dyDescent="0.25">
      <c r="A502" s="9" t="s">
        <v>54</v>
      </c>
      <c r="B502" s="7"/>
      <c r="C502" s="7"/>
      <c r="D502" s="7">
        <f t="shared" si="7"/>
        <v>0</v>
      </c>
    </row>
    <row r="503" spans="1:4" ht="18.75" hidden="1" x14ac:dyDescent="0.25">
      <c r="A503" s="17" t="s">
        <v>55</v>
      </c>
      <c r="B503" s="7"/>
      <c r="C503" s="7"/>
      <c r="D503" s="7">
        <f t="shared" si="7"/>
        <v>0</v>
      </c>
    </row>
    <row r="504" spans="1:4" ht="18.75" hidden="1" x14ac:dyDescent="0.25">
      <c r="A504" s="17" t="s">
        <v>56</v>
      </c>
      <c r="B504" s="7"/>
      <c r="C504" s="7"/>
      <c r="D504" s="7">
        <f t="shared" si="7"/>
        <v>0</v>
      </c>
    </row>
    <row r="505" spans="1:4" ht="18.75" hidden="1" x14ac:dyDescent="0.25">
      <c r="A505" s="17" t="s">
        <v>57</v>
      </c>
      <c r="B505" s="7"/>
      <c r="C505" s="7"/>
      <c r="D505" s="7">
        <f t="shared" si="7"/>
        <v>0</v>
      </c>
    </row>
    <row r="506" spans="1:4" ht="18.75" hidden="1" x14ac:dyDescent="0.25">
      <c r="A506" s="9" t="s">
        <v>58</v>
      </c>
      <c r="B506" s="7"/>
      <c r="C506" s="7"/>
      <c r="D506" s="7">
        <f t="shared" si="7"/>
        <v>0</v>
      </c>
    </row>
    <row r="507" spans="1:4" ht="18.75" hidden="1" x14ac:dyDescent="0.25">
      <c r="A507" s="11" t="s">
        <v>59</v>
      </c>
      <c r="B507" s="7"/>
      <c r="C507" s="7"/>
      <c r="D507" s="7">
        <f t="shared" si="7"/>
        <v>0</v>
      </c>
    </row>
    <row r="508" spans="1:4" ht="18.75" hidden="1" x14ac:dyDescent="0.25">
      <c r="A508" s="9" t="s">
        <v>60</v>
      </c>
      <c r="B508" s="7"/>
      <c r="C508" s="7"/>
      <c r="D508" s="7">
        <f t="shared" si="7"/>
        <v>0</v>
      </c>
    </row>
    <row r="509" spans="1:4" ht="18.75" hidden="1" x14ac:dyDescent="0.25">
      <c r="A509" s="9" t="s">
        <v>61</v>
      </c>
      <c r="B509" s="7"/>
      <c r="C509" s="7"/>
      <c r="D509" s="7">
        <f t="shared" si="7"/>
        <v>0</v>
      </c>
    </row>
    <row r="510" spans="1:4" ht="18.75" hidden="1" x14ac:dyDescent="0.25">
      <c r="A510" s="9" t="s">
        <v>65</v>
      </c>
      <c r="B510" s="7"/>
      <c r="C510" s="7"/>
      <c r="D510" s="7">
        <f t="shared" si="7"/>
        <v>0</v>
      </c>
    </row>
    <row r="511" spans="1:4" ht="18.75" hidden="1" x14ac:dyDescent="0.25">
      <c r="A511" s="18" t="s">
        <v>66</v>
      </c>
      <c r="B511" s="7"/>
      <c r="C511" s="7"/>
      <c r="D511" s="7">
        <f t="shared" si="7"/>
        <v>0</v>
      </c>
    </row>
    <row r="512" spans="1:4" ht="18.75" hidden="1" x14ac:dyDescent="0.25">
      <c r="A512" s="20" t="s">
        <v>67</v>
      </c>
      <c r="B512" s="7"/>
      <c r="C512" s="7"/>
      <c r="D512" s="7">
        <f t="shared" si="7"/>
        <v>0</v>
      </c>
    </row>
    <row r="513" spans="1:4" ht="18.75" hidden="1" x14ac:dyDescent="0.25">
      <c r="A513" s="9" t="s">
        <v>152</v>
      </c>
      <c r="B513" s="7"/>
      <c r="C513" s="7"/>
      <c r="D513" s="7">
        <f t="shared" si="7"/>
        <v>0</v>
      </c>
    </row>
    <row r="514" spans="1:4" ht="18.75" hidden="1" x14ac:dyDescent="0.25">
      <c r="A514" s="9" t="s">
        <v>348</v>
      </c>
      <c r="B514" s="7"/>
      <c r="C514" s="7"/>
      <c r="D514" s="7">
        <f t="shared" si="7"/>
        <v>0</v>
      </c>
    </row>
    <row r="515" spans="1:4" ht="18.75" hidden="1" x14ac:dyDescent="0.25">
      <c r="A515" s="9" t="s">
        <v>153</v>
      </c>
      <c r="B515" s="7"/>
      <c r="C515" s="7"/>
      <c r="D515" s="7">
        <f t="shared" si="7"/>
        <v>0</v>
      </c>
    </row>
    <row r="516" spans="1:4" ht="18.75" hidden="1" x14ac:dyDescent="0.25">
      <c r="A516" s="9" t="s">
        <v>154</v>
      </c>
      <c r="B516" s="7"/>
      <c r="C516" s="7"/>
      <c r="D516" s="7">
        <f t="shared" ref="D516:D579" si="8">B516*C516</f>
        <v>0</v>
      </c>
    </row>
    <row r="517" spans="1:4" ht="18.75" hidden="1" x14ac:dyDescent="0.25">
      <c r="A517" s="9" t="s">
        <v>155</v>
      </c>
      <c r="B517" s="7"/>
      <c r="C517" s="7"/>
      <c r="D517" s="7">
        <f t="shared" si="8"/>
        <v>0</v>
      </c>
    </row>
    <row r="518" spans="1:4" ht="18.75" hidden="1" x14ac:dyDescent="0.25">
      <c r="A518" s="17" t="s">
        <v>156</v>
      </c>
      <c r="B518" s="7"/>
      <c r="C518" s="7"/>
      <c r="D518" s="7">
        <f t="shared" si="8"/>
        <v>0</v>
      </c>
    </row>
    <row r="519" spans="1:4" ht="18.75" x14ac:dyDescent="0.25">
      <c r="A519" s="9" t="s">
        <v>77</v>
      </c>
      <c r="B519" s="7">
        <v>100</v>
      </c>
      <c r="C519" s="7">
        <v>22000</v>
      </c>
      <c r="D519" s="7">
        <f t="shared" si="8"/>
        <v>2200000</v>
      </c>
    </row>
    <row r="520" spans="1:4" ht="18.75" hidden="1" x14ac:dyDescent="0.25">
      <c r="A520" s="13" t="s">
        <v>78</v>
      </c>
      <c r="B520" s="7"/>
      <c r="C520" s="7"/>
      <c r="D520" s="7">
        <f t="shared" si="8"/>
        <v>0</v>
      </c>
    </row>
    <row r="521" spans="1:4" ht="18.75" hidden="1" x14ac:dyDescent="0.25">
      <c r="A521" s="9" t="s">
        <v>79</v>
      </c>
      <c r="B521" s="7"/>
      <c r="C521" s="7"/>
      <c r="D521" s="7">
        <f t="shared" si="8"/>
        <v>0</v>
      </c>
    </row>
    <row r="522" spans="1:4" ht="18.75" hidden="1" x14ac:dyDescent="0.25">
      <c r="A522" s="9" t="s">
        <v>80</v>
      </c>
      <c r="B522" s="7"/>
      <c r="C522" s="7"/>
      <c r="D522" s="7">
        <f t="shared" si="8"/>
        <v>0</v>
      </c>
    </row>
    <row r="523" spans="1:4" ht="18.75" hidden="1" x14ac:dyDescent="0.25">
      <c r="A523" s="9" t="s">
        <v>81</v>
      </c>
      <c r="B523" s="7"/>
      <c r="C523" s="7"/>
      <c r="D523" s="7">
        <f t="shared" si="8"/>
        <v>0</v>
      </c>
    </row>
    <row r="524" spans="1:4" ht="18.75" hidden="1" x14ac:dyDescent="0.25">
      <c r="A524" s="13" t="s">
        <v>95</v>
      </c>
      <c r="B524" s="7"/>
      <c r="C524" s="7"/>
      <c r="D524" s="7">
        <f t="shared" si="8"/>
        <v>0</v>
      </c>
    </row>
    <row r="525" spans="1:4" ht="18.75" hidden="1" x14ac:dyDescent="0.25">
      <c r="A525" s="9" t="s">
        <v>306</v>
      </c>
      <c r="B525" s="7"/>
      <c r="C525" s="7"/>
      <c r="D525" s="7">
        <f t="shared" si="8"/>
        <v>0</v>
      </c>
    </row>
    <row r="526" spans="1:4" ht="18.75" hidden="1" x14ac:dyDescent="0.25">
      <c r="A526" s="12" t="s">
        <v>320</v>
      </c>
      <c r="B526" s="7"/>
      <c r="C526" s="7"/>
      <c r="D526" s="7">
        <f t="shared" si="8"/>
        <v>0</v>
      </c>
    </row>
    <row r="527" spans="1:4" ht="18.75" hidden="1" x14ac:dyDescent="0.25">
      <c r="A527" s="9" t="s">
        <v>323</v>
      </c>
      <c r="B527" s="7"/>
      <c r="C527" s="7"/>
      <c r="D527" s="7">
        <f t="shared" si="8"/>
        <v>0</v>
      </c>
    </row>
    <row r="528" spans="1:4" ht="18.75" hidden="1" x14ac:dyDescent="0.25">
      <c r="A528" s="21" t="s">
        <v>92</v>
      </c>
      <c r="B528" s="7"/>
      <c r="C528" s="7"/>
      <c r="D528" s="7">
        <f t="shared" si="8"/>
        <v>0</v>
      </c>
    </row>
    <row r="529" spans="1:4" ht="18.75" hidden="1" x14ac:dyDescent="0.25">
      <c r="A529" s="21" t="s">
        <v>93</v>
      </c>
      <c r="B529" s="7"/>
      <c r="C529" s="7"/>
      <c r="D529" s="7">
        <f t="shared" si="8"/>
        <v>0</v>
      </c>
    </row>
    <row r="530" spans="1:4" ht="18.75" hidden="1" x14ac:dyDescent="0.25">
      <c r="A530" s="11" t="s">
        <v>94</v>
      </c>
      <c r="B530" s="7"/>
      <c r="C530" s="7"/>
      <c r="D530" s="7">
        <f t="shared" si="8"/>
        <v>0</v>
      </c>
    </row>
    <row r="531" spans="1:4" ht="18.75" hidden="1" x14ac:dyDescent="0.25">
      <c r="A531" s="12" t="s">
        <v>181</v>
      </c>
      <c r="B531" s="7"/>
      <c r="C531" s="7"/>
      <c r="D531" s="7">
        <f t="shared" si="8"/>
        <v>0</v>
      </c>
    </row>
    <row r="532" spans="1:4" ht="18.75" hidden="1" x14ac:dyDescent="0.25">
      <c r="A532" s="12" t="s">
        <v>182</v>
      </c>
      <c r="B532" s="7"/>
      <c r="C532" s="7"/>
      <c r="D532" s="7">
        <f t="shared" si="8"/>
        <v>0</v>
      </c>
    </row>
    <row r="533" spans="1:4" ht="18.75" x14ac:dyDescent="0.25">
      <c r="A533" s="12" t="s">
        <v>183</v>
      </c>
      <c r="B533" s="7">
        <v>500</v>
      </c>
      <c r="C533" s="7">
        <v>12000</v>
      </c>
      <c r="D533" s="7">
        <f t="shared" si="8"/>
        <v>6000000</v>
      </c>
    </row>
    <row r="534" spans="1:4" ht="18.75" hidden="1" x14ac:dyDescent="0.25">
      <c r="A534" s="9" t="s">
        <v>184</v>
      </c>
      <c r="B534" s="7"/>
      <c r="C534" s="7"/>
      <c r="D534" s="7">
        <f t="shared" si="8"/>
        <v>0</v>
      </c>
    </row>
    <row r="535" spans="1:4" ht="18.75" hidden="1" x14ac:dyDescent="0.25">
      <c r="A535" s="12" t="s">
        <v>186</v>
      </c>
      <c r="B535" s="7"/>
      <c r="C535" s="7"/>
      <c r="D535" s="7">
        <f t="shared" si="8"/>
        <v>0</v>
      </c>
    </row>
    <row r="536" spans="1:4" ht="18.75" hidden="1" x14ac:dyDescent="0.25">
      <c r="A536" s="12" t="s">
        <v>187</v>
      </c>
      <c r="B536" s="7"/>
      <c r="C536" s="7"/>
      <c r="D536" s="7">
        <f t="shared" si="8"/>
        <v>0</v>
      </c>
    </row>
    <row r="537" spans="1:4" ht="18.75" hidden="1" x14ac:dyDescent="0.25">
      <c r="A537" s="12" t="s">
        <v>188</v>
      </c>
      <c r="B537" s="7"/>
      <c r="C537" s="7"/>
      <c r="D537" s="7">
        <f t="shared" si="8"/>
        <v>0</v>
      </c>
    </row>
    <row r="538" spans="1:4" ht="18.75" hidden="1" x14ac:dyDescent="0.25">
      <c r="A538" s="9" t="s">
        <v>351</v>
      </c>
      <c r="B538" s="7"/>
      <c r="C538" s="7"/>
      <c r="D538" s="7">
        <f t="shared" si="8"/>
        <v>0</v>
      </c>
    </row>
    <row r="539" spans="1:4" ht="18.75" hidden="1" x14ac:dyDescent="0.25">
      <c r="A539" s="9" t="s">
        <v>210</v>
      </c>
      <c r="B539" s="7"/>
      <c r="C539" s="7"/>
      <c r="D539" s="7">
        <f t="shared" si="8"/>
        <v>0</v>
      </c>
    </row>
    <row r="540" spans="1:4" ht="18.75" hidden="1" x14ac:dyDescent="0.25">
      <c r="A540" s="9" t="s">
        <v>211</v>
      </c>
      <c r="B540" s="7"/>
      <c r="C540" s="7"/>
      <c r="D540" s="7">
        <f t="shared" si="8"/>
        <v>0</v>
      </c>
    </row>
    <row r="541" spans="1:4" ht="18.75" hidden="1" x14ac:dyDescent="0.25">
      <c r="A541" s="9" t="s">
        <v>355</v>
      </c>
      <c r="B541" s="7"/>
      <c r="C541" s="7"/>
      <c r="D541" s="7">
        <f t="shared" si="8"/>
        <v>0</v>
      </c>
    </row>
    <row r="542" spans="1:4" ht="18.75" hidden="1" x14ac:dyDescent="0.25">
      <c r="A542" s="9" t="s">
        <v>356</v>
      </c>
      <c r="B542" s="7"/>
      <c r="C542" s="7"/>
      <c r="D542" s="7">
        <f t="shared" si="8"/>
        <v>0</v>
      </c>
    </row>
    <row r="543" spans="1:4" ht="18.75" hidden="1" x14ac:dyDescent="0.25">
      <c r="A543" s="9" t="s">
        <v>105</v>
      </c>
      <c r="B543" s="7"/>
      <c r="C543" s="7"/>
      <c r="D543" s="7">
        <f t="shared" si="8"/>
        <v>0</v>
      </c>
    </row>
    <row r="544" spans="1:4" ht="18.75" hidden="1" x14ac:dyDescent="0.25">
      <c r="A544" s="9" t="s">
        <v>106</v>
      </c>
      <c r="B544" s="7"/>
      <c r="C544" s="7"/>
      <c r="D544" s="7">
        <f t="shared" si="8"/>
        <v>0</v>
      </c>
    </row>
    <row r="545" spans="1:4" ht="18.75" hidden="1" x14ac:dyDescent="0.25">
      <c r="A545" s="9" t="s">
        <v>90</v>
      </c>
      <c r="B545" s="7"/>
      <c r="C545" s="7"/>
      <c r="D545" s="7">
        <f t="shared" si="8"/>
        <v>0</v>
      </c>
    </row>
    <row r="546" spans="1:4" ht="18.75" hidden="1" x14ac:dyDescent="0.25">
      <c r="A546" s="21" t="s">
        <v>91</v>
      </c>
      <c r="B546" s="7"/>
      <c r="C546" s="7"/>
      <c r="D546" s="7">
        <f t="shared" si="8"/>
        <v>0</v>
      </c>
    </row>
    <row r="547" spans="1:4" ht="18.75" x14ac:dyDescent="0.25">
      <c r="A547" s="5" t="s">
        <v>5</v>
      </c>
      <c r="B547" s="7">
        <v>1000</v>
      </c>
      <c r="C547" s="7">
        <v>5000</v>
      </c>
      <c r="D547" s="7">
        <f t="shared" si="8"/>
        <v>5000000</v>
      </c>
    </row>
    <row r="548" spans="1:4" ht="18.75" hidden="1" x14ac:dyDescent="0.25">
      <c r="A548" s="9" t="s">
        <v>6</v>
      </c>
      <c r="B548" s="7"/>
      <c r="C548" s="7"/>
      <c r="D548" s="7">
        <f t="shared" si="8"/>
        <v>0</v>
      </c>
    </row>
    <row r="549" spans="1:4" ht="18.75" hidden="1" x14ac:dyDescent="0.25">
      <c r="A549" s="5" t="s">
        <v>9</v>
      </c>
      <c r="B549" s="7"/>
      <c r="C549" s="7"/>
      <c r="D549" s="7">
        <f t="shared" si="8"/>
        <v>0</v>
      </c>
    </row>
    <row r="550" spans="1:4" ht="18.75" hidden="1" x14ac:dyDescent="0.25">
      <c r="A550" s="9" t="s">
        <v>349</v>
      </c>
      <c r="B550" s="7"/>
      <c r="C550" s="7"/>
      <c r="D550" s="7">
        <f t="shared" si="8"/>
        <v>0</v>
      </c>
    </row>
    <row r="551" spans="1:4" ht="18.75" hidden="1" x14ac:dyDescent="0.25">
      <c r="A551" s="12" t="s">
        <v>167</v>
      </c>
      <c r="B551" s="7"/>
      <c r="C551" s="7"/>
      <c r="D551" s="7">
        <f t="shared" si="8"/>
        <v>0</v>
      </c>
    </row>
    <row r="552" spans="1:4" ht="18.75" hidden="1" x14ac:dyDescent="0.25">
      <c r="A552" s="9" t="s">
        <v>168</v>
      </c>
      <c r="B552" s="7"/>
      <c r="C552" s="7"/>
      <c r="D552" s="7">
        <f t="shared" si="8"/>
        <v>0</v>
      </c>
    </row>
    <row r="553" spans="1:4" ht="18.75" hidden="1" x14ac:dyDescent="0.25">
      <c r="A553" s="9" t="s">
        <v>170</v>
      </c>
      <c r="B553" s="7"/>
      <c r="C553" s="7"/>
      <c r="D553" s="7">
        <f t="shared" si="8"/>
        <v>0</v>
      </c>
    </row>
    <row r="554" spans="1:4" ht="18.75" hidden="1" x14ac:dyDescent="0.25">
      <c r="A554" s="9" t="s">
        <v>171</v>
      </c>
      <c r="B554" s="7"/>
      <c r="C554" s="7"/>
      <c r="D554" s="7">
        <f t="shared" si="8"/>
        <v>0</v>
      </c>
    </row>
    <row r="555" spans="1:4" ht="18.75" hidden="1" x14ac:dyDescent="0.25">
      <c r="A555" s="20" t="s">
        <v>172</v>
      </c>
      <c r="B555" s="7"/>
      <c r="C555" s="7"/>
      <c r="D555" s="7">
        <f t="shared" si="8"/>
        <v>0</v>
      </c>
    </row>
    <row r="556" spans="1:4" ht="18.75" hidden="1" x14ac:dyDescent="0.25">
      <c r="A556" s="12" t="s">
        <v>227</v>
      </c>
      <c r="B556" s="7"/>
      <c r="C556" s="7"/>
      <c r="D556" s="7">
        <f t="shared" si="8"/>
        <v>0</v>
      </c>
    </row>
    <row r="557" spans="1:4" ht="18.75" hidden="1" x14ac:dyDescent="0.25">
      <c r="A557" s="12" t="s">
        <v>14</v>
      </c>
      <c r="B557" s="7"/>
      <c r="C557" s="7"/>
      <c r="D557" s="7">
        <f t="shared" si="8"/>
        <v>0</v>
      </c>
    </row>
    <row r="558" spans="1:4" ht="18.75" hidden="1" x14ac:dyDescent="0.25">
      <c r="A558" s="11" t="s">
        <v>342</v>
      </c>
      <c r="B558" s="7"/>
      <c r="C558" s="7"/>
      <c r="D558" s="7">
        <f t="shared" si="8"/>
        <v>0</v>
      </c>
    </row>
    <row r="559" spans="1:4" ht="18.75" hidden="1" x14ac:dyDescent="0.25">
      <c r="A559" s="11" t="s">
        <v>343</v>
      </c>
      <c r="B559" s="7"/>
      <c r="C559" s="7"/>
      <c r="D559" s="7">
        <f t="shared" si="8"/>
        <v>0</v>
      </c>
    </row>
    <row r="560" spans="1:4" ht="18.75" hidden="1" x14ac:dyDescent="0.25">
      <c r="A560" s="11" t="s">
        <v>344</v>
      </c>
      <c r="B560" s="7"/>
      <c r="C560" s="7"/>
      <c r="D560" s="7">
        <f t="shared" si="8"/>
        <v>0</v>
      </c>
    </row>
    <row r="561" spans="1:4" ht="18.75" hidden="1" x14ac:dyDescent="0.25">
      <c r="A561" s="11" t="s">
        <v>345</v>
      </c>
      <c r="B561" s="7"/>
      <c r="C561" s="7"/>
      <c r="D561" s="7">
        <f t="shared" si="8"/>
        <v>0</v>
      </c>
    </row>
    <row r="562" spans="1:4" ht="18.75" hidden="1" x14ac:dyDescent="0.25">
      <c r="A562" s="9" t="s">
        <v>114</v>
      </c>
      <c r="B562" s="7"/>
      <c r="C562" s="7"/>
      <c r="D562" s="7">
        <f t="shared" si="8"/>
        <v>0</v>
      </c>
    </row>
    <row r="563" spans="1:4" ht="18.75" hidden="1" x14ac:dyDescent="0.25">
      <c r="A563" s="9" t="s">
        <v>115</v>
      </c>
      <c r="B563" s="7"/>
      <c r="C563" s="7"/>
      <c r="D563" s="7">
        <f t="shared" si="8"/>
        <v>0</v>
      </c>
    </row>
    <row r="564" spans="1:4" ht="18.75" x14ac:dyDescent="0.25">
      <c r="A564" s="9" t="s">
        <v>346</v>
      </c>
      <c r="B564" s="7">
        <v>1</v>
      </c>
      <c r="C564" s="7">
        <v>22000</v>
      </c>
      <c r="D564" s="7">
        <f t="shared" si="8"/>
        <v>22000</v>
      </c>
    </row>
    <row r="565" spans="1:4" ht="18.75" hidden="1" x14ac:dyDescent="0.25">
      <c r="A565" s="9" t="s">
        <v>116</v>
      </c>
      <c r="B565" s="7"/>
      <c r="C565" s="7"/>
      <c r="D565" s="7">
        <f t="shared" si="8"/>
        <v>0</v>
      </c>
    </row>
    <row r="566" spans="1:4" ht="18.75" hidden="1" x14ac:dyDescent="0.25">
      <c r="A566" s="12" t="s">
        <v>137</v>
      </c>
      <c r="B566" s="7"/>
      <c r="C566" s="7"/>
      <c r="D566" s="7">
        <f t="shared" si="8"/>
        <v>0</v>
      </c>
    </row>
    <row r="567" spans="1:4" ht="18.75" hidden="1" x14ac:dyDescent="0.25">
      <c r="A567" s="12" t="s">
        <v>138</v>
      </c>
      <c r="B567" s="7"/>
      <c r="C567" s="7"/>
      <c r="D567" s="7">
        <f t="shared" si="8"/>
        <v>0</v>
      </c>
    </row>
    <row r="568" spans="1:4" ht="18.75" hidden="1" x14ac:dyDescent="0.25">
      <c r="A568" s="9" t="s">
        <v>139</v>
      </c>
      <c r="B568" s="7"/>
      <c r="C568" s="7"/>
      <c r="D568" s="7">
        <f t="shared" si="8"/>
        <v>0</v>
      </c>
    </row>
    <row r="569" spans="1:4" ht="18.75" hidden="1" x14ac:dyDescent="0.25">
      <c r="A569" s="9" t="s">
        <v>347</v>
      </c>
      <c r="B569" s="7"/>
      <c r="C569" s="7"/>
      <c r="D569" s="7">
        <f t="shared" si="8"/>
        <v>0</v>
      </c>
    </row>
    <row r="570" spans="1:4" ht="18.75" hidden="1" x14ac:dyDescent="0.25">
      <c r="A570" s="9" t="s">
        <v>207</v>
      </c>
      <c r="B570" s="7"/>
      <c r="C570" s="7"/>
      <c r="D570" s="7">
        <f t="shared" si="8"/>
        <v>0</v>
      </c>
    </row>
    <row r="571" spans="1:4" ht="18.75" hidden="1" x14ac:dyDescent="0.25">
      <c r="A571" s="11" t="s">
        <v>208</v>
      </c>
      <c r="B571" s="7"/>
      <c r="C571" s="7"/>
      <c r="D571" s="7">
        <f t="shared" si="8"/>
        <v>0</v>
      </c>
    </row>
    <row r="572" spans="1:4" ht="18.75" hidden="1" x14ac:dyDescent="0.25">
      <c r="A572" s="9" t="s">
        <v>209</v>
      </c>
      <c r="B572" s="7"/>
      <c r="C572" s="7"/>
      <c r="D572" s="7">
        <f t="shared" si="8"/>
        <v>0</v>
      </c>
    </row>
    <row r="573" spans="1:4" ht="18.75" hidden="1" x14ac:dyDescent="0.25">
      <c r="A573" s="11" t="s">
        <v>354</v>
      </c>
      <c r="B573" s="7"/>
      <c r="C573" s="7"/>
      <c r="D573" s="7">
        <f t="shared" si="8"/>
        <v>0</v>
      </c>
    </row>
    <row r="574" spans="1:4" ht="18.75" hidden="1" x14ac:dyDescent="0.25">
      <c r="A574" s="9" t="s">
        <v>247</v>
      </c>
      <c r="B574" s="7"/>
      <c r="C574" s="7"/>
      <c r="D574" s="7">
        <f t="shared" si="8"/>
        <v>0</v>
      </c>
    </row>
    <row r="575" spans="1:4" ht="18.75" hidden="1" x14ac:dyDescent="0.25">
      <c r="A575" s="9" t="s">
        <v>267</v>
      </c>
      <c r="B575" s="7"/>
      <c r="C575" s="7"/>
      <c r="D575" s="7">
        <f t="shared" si="8"/>
        <v>0</v>
      </c>
    </row>
    <row r="576" spans="1:4" ht="18.75" hidden="1" x14ac:dyDescent="0.25">
      <c r="A576" s="9" t="s">
        <v>270</v>
      </c>
      <c r="B576" s="7"/>
      <c r="C576" s="7"/>
      <c r="D576" s="7">
        <f t="shared" si="8"/>
        <v>0</v>
      </c>
    </row>
    <row r="577" spans="1:4" ht="18.75" hidden="1" x14ac:dyDescent="0.25">
      <c r="A577" s="9" t="s">
        <v>299</v>
      </c>
      <c r="B577" s="7"/>
      <c r="C577" s="7"/>
      <c r="D577" s="7">
        <f t="shared" si="8"/>
        <v>0</v>
      </c>
    </row>
    <row r="578" spans="1:4" ht="18.75" hidden="1" x14ac:dyDescent="0.25">
      <c r="A578" s="17" t="s">
        <v>300</v>
      </c>
      <c r="B578" s="7"/>
      <c r="C578" s="7"/>
      <c r="D578" s="7">
        <f t="shared" si="8"/>
        <v>0</v>
      </c>
    </row>
    <row r="579" spans="1:4" ht="18.75" hidden="1" x14ac:dyDescent="0.25">
      <c r="A579" s="12" t="s">
        <v>364</v>
      </c>
      <c r="B579" s="7"/>
      <c r="C579" s="7"/>
      <c r="D579" s="7">
        <f t="shared" si="8"/>
        <v>0</v>
      </c>
    </row>
    <row r="580" spans="1:4" ht="18.75" hidden="1" x14ac:dyDescent="0.25">
      <c r="A580" s="11" t="s">
        <v>339</v>
      </c>
      <c r="B580" s="7"/>
      <c r="C580" s="7"/>
      <c r="D580" s="7">
        <f t="shared" ref="D580:D643" si="9">B580*C580</f>
        <v>0</v>
      </c>
    </row>
    <row r="581" spans="1:4" ht="18.75" hidden="1" x14ac:dyDescent="0.25">
      <c r="A581" s="9" t="s">
        <v>38</v>
      </c>
      <c r="B581" s="7"/>
      <c r="C581" s="7"/>
      <c r="D581" s="7">
        <f t="shared" si="9"/>
        <v>0</v>
      </c>
    </row>
    <row r="582" spans="1:4" ht="18.75" hidden="1" x14ac:dyDescent="0.25">
      <c r="A582" s="9" t="s">
        <v>39</v>
      </c>
      <c r="B582" s="7"/>
      <c r="C582" s="7"/>
      <c r="D582" s="7">
        <f t="shared" si="9"/>
        <v>0</v>
      </c>
    </row>
    <row r="583" spans="1:4" ht="18.75" hidden="1" x14ac:dyDescent="0.25">
      <c r="A583" s="11" t="s">
        <v>340</v>
      </c>
      <c r="B583" s="16"/>
      <c r="C583" s="16"/>
      <c r="D583" s="7">
        <f t="shared" si="9"/>
        <v>0</v>
      </c>
    </row>
    <row r="584" spans="1:4" ht="18.75" hidden="1" x14ac:dyDescent="0.25">
      <c r="A584" s="11" t="s">
        <v>40</v>
      </c>
      <c r="B584" s="16"/>
      <c r="C584" s="16"/>
      <c r="D584" s="7">
        <f t="shared" si="9"/>
        <v>0</v>
      </c>
    </row>
    <row r="585" spans="1:4" ht="18.75" hidden="1" x14ac:dyDescent="0.25">
      <c r="A585" s="17" t="s">
        <v>255</v>
      </c>
      <c r="B585" s="7"/>
      <c r="C585" s="7"/>
      <c r="D585" s="7">
        <f t="shared" si="9"/>
        <v>0</v>
      </c>
    </row>
    <row r="586" spans="1:4" ht="18.75" hidden="1" x14ac:dyDescent="0.25">
      <c r="A586" s="21" t="s">
        <v>256</v>
      </c>
      <c r="B586" s="7"/>
      <c r="C586" s="7"/>
      <c r="D586" s="7">
        <f t="shared" si="9"/>
        <v>0</v>
      </c>
    </row>
    <row r="587" spans="1:4" ht="18.75" hidden="1" x14ac:dyDescent="0.25">
      <c r="A587" s="21" t="s">
        <v>257</v>
      </c>
      <c r="B587" s="7"/>
      <c r="C587" s="7"/>
      <c r="D587" s="7">
        <f t="shared" si="9"/>
        <v>0</v>
      </c>
    </row>
    <row r="588" spans="1:4" ht="18.75" hidden="1" x14ac:dyDescent="0.25">
      <c r="A588" s="11" t="s">
        <v>360</v>
      </c>
      <c r="B588" s="7"/>
      <c r="C588" s="7"/>
      <c r="D588" s="7">
        <f t="shared" si="9"/>
        <v>0</v>
      </c>
    </row>
    <row r="589" spans="1:4" ht="18.75" hidden="1" x14ac:dyDescent="0.25">
      <c r="A589" s="11" t="s">
        <v>268</v>
      </c>
      <c r="B589" s="7"/>
      <c r="C589" s="7"/>
      <c r="D589" s="7">
        <f t="shared" si="9"/>
        <v>0</v>
      </c>
    </row>
    <row r="590" spans="1:4" ht="18.75" hidden="1" x14ac:dyDescent="0.25">
      <c r="A590" s="9" t="s">
        <v>269</v>
      </c>
      <c r="B590" s="7"/>
      <c r="C590" s="7"/>
      <c r="D590" s="7">
        <f t="shared" si="9"/>
        <v>0</v>
      </c>
    </row>
    <row r="591" spans="1:4" ht="18.75" hidden="1" x14ac:dyDescent="0.25">
      <c r="A591" s="9" t="s">
        <v>361</v>
      </c>
      <c r="B591" s="7"/>
      <c r="C591" s="7"/>
      <c r="D591" s="7">
        <f t="shared" si="9"/>
        <v>0</v>
      </c>
    </row>
    <row r="592" spans="1:4" ht="18.75" hidden="1" x14ac:dyDescent="0.25">
      <c r="A592" s="9" t="s">
        <v>272</v>
      </c>
      <c r="B592" s="7"/>
      <c r="C592" s="7"/>
      <c r="D592" s="7">
        <f t="shared" si="9"/>
        <v>0</v>
      </c>
    </row>
    <row r="593" spans="1:4" ht="18.75" hidden="1" x14ac:dyDescent="0.25">
      <c r="A593" s="17" t="s">
        <v>284</v>
      </c>
      <c r="B593" s="7"/>
      <c r="C593" s="7"/>
      <c r="D593" s="7">
        <f t="shared" si="9"/>
        <v>0</v>
      </c>
    </row>
    <row r="594" spans="1:4" ht="18.75" hidden="1" x14ac:dyDescent="0.25">
      <c r="A594" s="12" t="s">
        <v>178</v>
      </c>
      <c r="B594" s="7"/>
      <c r="C594" s="7"/>
      <c r="D594" s="7">
        <f t="shared" si="9"/>
        <v>0</v>
      </c>
    </row>
    <row r="595" spans="1:4" ht="18.75" hidden="1" x14ac:dyDescent="0.25">
      <c r="A595" s="9" t="s">
        <v>179</v>
      </c>
      <c r="B595" s="7"/>
      <c r="C595" s="7"/>
      <c r="D595" s="7">
        <f t="shared" si="9"/>
        <v>0</v>
      </c>
    </row>
    <row r="596" spans="1:4" ht="18.75" hidden="1" x14ac:dyDescent="0.25">
      <c r="A596" s="9" t="s">
        <v>180</v>
      </c>
      <c r="B596" s="7"/>
      <c r="C596" s="7"/>
      <c r="D596" s="7">
        <f t="shared" si="9"/>
        <v>0</v>
      </c>
    </row>
    <row r="597" spans="1:4" ht="18.75" hidden="1" x14ac:dyDescent="0.25">
      <c r="A597" s="12" t="s">
        <v>305</v>
      </c>
      <c r="B597" s="7"/>
      <c r="C597" s="7"/>
      <c r="D597" s="7">
        <f t="shared" si="9"/>
        <v>0</v>
      </c>
    </row>
    <row r="598" spans="1:4" ht="18.75" hidden="1" x14ac:dyDescent="0.25">
      <c r="A598" s="9" t="s">
        <v>307</v>
      </c>
      <c r="B598" s="7"/>
      <c r="C598" s="7"/>
      <c r="D598" s="7">
        <f t="shared" si="9"/>
        <v>0</v>
      </c>
    </row>
    <row r="599" spans="1:4" ht="18.75" hidden="1" x14ac:dyDescent="0.25">
      <c r="A599" s="9" t="s">
        <v>308</v>
      </c>
      <c r="B599" s="7"/>
      <c r="C599" s="7"/>
      <c r="D599" s="7">
        <f t="shared" si="9"/>
        <v>0</v>
      </c>
    </row>
    <row r="600" spans="1:4" ht="18.75" hidden="1" x14ac:dyDescent="0.25">
      <c r="A600" s="21" t="s">
        <v>311</v>
      </c>
      <c r="B600" s="7"/>
      <c r="C600" s="7"/>
      <c r="D600" s="7">
        <f t="shared" si="9"/>
        <v>0</v>
      </c>
    </row>
    <row r="601" spans="1:4" ht="18.75" x14ac:dyDescent="0.25">
      <c r="A601" s="9" t="s">
        <v>313</v>
      </c>
      <c r="B601" s="7">
        <v>6</v>
      </c>
      <c r="C601" s="7">
        <v>6800</v>
      </c>
      <c r="D601" s="7">
        <f t="shared" si="9"/>
        <v>40800</v>
      </c>
    </row>
    <row r="602" spans="1:4" ht="18.75" hidden="1" x14ac:dyDescent="0.25">
      <c r="A602" s="9" t="s">
        <v>314</v>
      </c>
      <c r="B602" s="7"/>
      <c r="C602" s="7"/>
      <c r="D602" s="7">
        <f t="shared" si="9"/>
        <v>0</v>
      </c>
    </row>
    <row r="603" spans="1:4" ht="18.75" hidden="1" x14ac:dyDescent="0.25">
      <c r="A603" s="9" t="s">
        <v>315</v>
      </c>
      <c r="B603" s="7"/>
      <c r="C603" s="7"/>
      <c r="D603" s="7">
        <f t="shared" si="9"/>
        <v>0</v>
      </c>
    </row>
    <row r="604" spans="1:4" ht="18.75" hidden="1" x14ac:dyDescent="0.25">
      <c r="A604" s="9" t="s">
        <v>316</v>
      </c>
      <c r="B604" s="7"/>
      <c r="C604" s="7"/>
      <c r="D604" s="7">
        <f t="shared" si="9"/>
        <v>0</v>
      </c>
    </row>
    <row r="605" spans="1:4" ht="18.75" hidden="1" x14ac:dyDescent="0.25">
      <c r="A605" s="21" t="s">
        <v>317</v>
      </c>
      <c r="B605" s="7"/>
      <c r="C605" s="7"/>
      <c r="D605" s="7">
        <f t="shared" si="9"/>
        <v>0</v>
      </c>
    </row>
    <row r="606" spans="1:4" ht="18.75" hidden="1" x14ac:dyDescent="0.25">
      <c r="A606" s="9" t="s">
        <v>318</v>
      </c>
      <c r="B606" s="7"/>
      <c r="C606" s="7"/>
      <c r="D606" s="7">
        <f t="shared" si="9"/>
        <v>0</v>
      </c>
    </row>
    <row r="607" spans="1:4" ht="18.75" hidden="1" x14ac:dyDescent="0.25">
      <c r="A607" s="9" t="s">
        <v>322</v>
      </c>
      <c r="B607" s="7"/>
      <c r="C607" s="7"/>
      <c r="D607" s="7">
        <f t="shared" si="9"/>
        <v>0</v>
      </c>
    </row>
    <row r="608" spans="1:4" ht="18.75" hidden="1" x14ac:dyDescent="0.25">
      <c r="A608" s="21" t="s">
        <v>324</v>
      </c>
      <c r="B608" s="7"/>
      <c r="C608" s="7"/>
      <c r="D608" s="7">
        <f t="shared" si="9"/>
        <v>0</v>
      </c>
    </row>
    <row r="609" spans="1:4" ht="18.75" hidden="1" x14ac:dyDescent="0.25">
      <c r="A609" s="21" t="s">
        <v>325</v>
      </c>
      <c r="B609" s="7"/>
      <c r="C609" s="7"/>
      <c r="D609" s="7">
        <f t="shared" si="9"/>
        <v>0</v>
      </c>
    </row>
    <row r="610" spans="1:4" ht="18.75" hidden="1" x14ac:dyDescent="0.25">
      <c r="A610" s="9" t="s">
        <v>326</v>
      </c>
      <c r="B610" s="7"/>
      <c r="C610" s="7"/>
      <c r="D610" s="7">
        <f t="shared" si="9"/>
        <v>0</v>
      </c>
    </row>
    <row r="611" spans="1:4" ht="18.75" hidden="1" x14ac:dyDescent="0.25">
      <c r="A611" s="9" t="s">
        <v>327</v>
      </c>
      <c r="B611" s="7"/>
      <c r="C611" s="7"/>
      <c r="D611" s="7">
        <f t="shared" si="9"/>
        <v>0</v>
      </c>
    </row>
    <row r="612" spans="1:4" ht="18.75" hidden="1" x14ac:dyDescent="0.25">
      <c r="A612" s="21" t="s">
        <v>328</v>
      </c>
      <c r="B612" s="7"/>
      <c r="C612" s="7"/>
      <c r="D612" s="7">
        <f t="shared" si="9"/>
        <v>0</v>
      </c>
    </row>
    <row r="613" spans="1:4" ht="18.75" hidden="1" x14ac:dyDescent="0.25">
      <c r="A613" s="9" t="s">
        <v>329</v>
      </c>
      <c r="B613" s="7"/>
      <c r="C613" s="7"/>
      <c r="D613" s="7">
        <f t="shared" si="9"/>
        <v>0</v>
      </c>
    </row>
    <row r="614" spans="1:4" ht="18.75" hidden="1" x14ac:dyDescent="0.25">
      <c r="A614" s="9" t="s">
        <v>330</v>
      </c>
      <c r="B614" s="7"/>
      <c r="C614" s="7"/>
      <c r="D614" s="7">
        <f t="shared" si="9"/>
        <v>0</v>
      </c>
    </row>
    <row r="615" spans="1:4" ht="18.75" hidden="1" x14ac:dyDescent="0.25">
      <c r="A615" s="9" t="s">
        <v>331</v>
      </c>
      <c r="B615" s="7"/>
      <c r="C615" s="7"/>
      <c r="D615" s="7">
        <f t="shared" si="9"/>
        <v>0</v>
      </c>
    </row>
    <row r="616" spans="1:4" ht="18.75" hidden="1" x14ac:dyDescent="0.25">
      <c r="A616" s="9" t="s">
        <v>332</v>
      </c>
      <c r="B616" s="7"/>
      <c r="C616" s="7"/>
      <c r="D616" s="7">
        <f t="shared" si="9"/>
        <v>0</v>
      </c>
    </row>
    <row r="617" spans="1:4" ht="18.75" hidden="1" x14ac:dyDescent="0.25">
      <c r="A617" s="9" t="s">
        <v>333</v>
      </c>
      <c r="B617" s="7"/>
      <c r="C617" s="7"/>
      <c r="D617" s="7">
        <f t="shared" si="9"/>
        <v>0</v>
      </c>
    </row>
    <row r="618" spans="1:4" ht="18.75" hidden="1" x14ac:dyDescent="0.25">
      <c r="A618" s="9" t="s">
        <v>334</v>
      </c>
      <c r="B618" s="7"/>
      <c r="C618" s="7"/>
      <c r="D618" s="7">
        <f t="shared" si="9"/>
        <v>0</v>
      </c>
    </row>
    <row r="619" spans="1:4" ht="18.75" hidden="1" x14ac:dyDescent="0.25">
      <c r="A619" s="9" t="s">
        <v>335</v>
      </c>
      <c r="B619" s="7"/>
      <c r="C619" s="7"/>
      <c r="D619" s="7">
        <f t="shared" si="9"/>
        <v>0</v>
      </c>
    </row>
    <row r="620" spans="1:4" ht="18.75" hidden="1" x14ac:dyDescent="0.25">
      <c r="A620" s="9" t="s">
        <v>336</v>
      </c>
      <c r="B620" s="7"/>
      <c r="C620" s="7"/>
      <c r="D620" s="7">
        <f t="shared" si="9"/>
        <v>0</v>
      </c>
    </row>
    <row r="621" spans="1:4" ht="18.75" hidden="1" x14ac:dyDescent="0.25">
      <c r="A621" s="9" t="s">
        <v>287</v>
      </c>
      <c r="B621" s="7"/>
      <c r="C621" s="7"/>
      <c r="D621" s="7">
        <f t="shared" si="9"/>
        <v>0</v>
      </c>
    </row>
    <row r="622" spans="1:4" ht="18.75" hidden="1" x14ac:dyDescent="0.25">
      <c r="A622" s="17" t="s">
        <v>288</v>
      </c>
      <c r="B622" s="7"/>
      <c r="C622" s="7"/>
      <c r="D622" s="7">
        <f t="shared" si="9"/>
        <v>0</v>
      </c>
    </row>
    <row r="623" spans="1:4" ht="18.75" hidden="1" x14ac:dyDescent="0.25">
      <c r="A623" s="9" t="s">
        <v>289</v>
      </c>
      <c r="B623" s="7"/>
      <c r="C623" s="7"/>
      <c r="D623" s="7">
        <f t="shared" si="9"/>
        <v>0</v>
      </c>
    </row>
    <row r="624" spans="1:4" ht="18.75" hidden="1" x14ac:dyDescent="0.25">
      <c r="A624" s="9" t="s">
        <v>22</v>
      </c>
      <c r="B624" s="7"/>
      <c r="C624" s="7"/>
      <c r="D624" s="7">
        <f t="shared" si="9"/>
        <v>0</v>
      </c>
    </row>
    <row r="625" spans="1:4" ht="18.75" hidden="1" x14ac:dyDescent="0.25">
      <c r="A625" s="9" t="s">
        <v>23</v>
      </c>
      <c r="B625" s="7"/>
      <c r="C625" s="7"/>
      <c r="D625" s="7">
        <f t="shared" si="9"/>
        <v>0</v>
      </c>
    </row>
    <row r="626" spans="1:4" ht="18.75" hidden="1" x14ac:dyDescent="0.25">
      <c r="A626" s="9" t="s">
        <v>24</v>
      </c>
      <c r="B626" s="7"/>
      <c r="C626" s="7"/>
      <c r="D626" s="7">
        <f t="shared" si="9"/>
        <v>0</v>
      </c>
    </row>
    <row r="627" spans="1:4" ht="18.75" hidden="1" x14ac:dyDescent="0.25">
      <c r="A627" s="9" t="s">
        <v>25</v>
      </c>
      <c r="B627" s="7"/>
      <c r="C627" s="7"/>
      <c r="D627" s="7">
        <f t="shared" si="9"/>
        <v>0</v>
      </c>
    </row>
    <row r="628" spans="1:4" ht="18.75" hidden="1" x14ac:dyDescent="0.25">
      <c r="A628" s="9" t="s">
        <v>26</v>
      </c>
      <c r="B628" s="7"/>
      <c r="C628" s="7"/>
      <c r="D628" s="7">
        <f t="shared" si="9"/>
        <v>0</v>
      </c>
    </row>
    <row r="629" spans="1:4" ht="18.75" hidden="1" x14ac:dyDescent="0.25">
      <c r="A629" s="9" t="s">
        <v>46</v>
      </c>
      <c r="B629" s="7"/>
      <c r="C629" s="7"/>
      <c r="D629" s="7">
        <f t="shared" si="9"/>
        <v>0</v>
      </c>
    </row>
    <row r="630" spans="1:4" ht="18.75" hidden="1" x14ac:dyDescent="0.25">
      <c r="A630" s="9" t="s">
        <v>47</v>
      </c>
      <c r="B630" s="7"/>
      <c r="C630" s="7"/>
      <c r="D630" s="7">
        <f t="shared" si="9"/>
        <v>0</v>
      </c>
    </row>
    <row r="631" spans="1:4" ht="18.75" hidden="1" x14ac:dyDescent="0.25">
      <c r="A631" s="13" t="s">
        <v>48</v>
      </c>
      <c r="B631" s="7"/>
      <c r="C631" s="7"/>
      <c r="D631" s="7">
        <f t="shared" si="9"/>
        <v>0</v>
      </c>
    </row>
    <row r="632" spans="1:4" ht="18.75" hidden="1" x14ac:dyDescent="0.25">
      <c r="A632" s="9" t="s">
        <v>51</v>
      </c>
      <c r="B632" s="7"/>
      <c r="C632" s="7"/>
      <c r="D632" s="7">
        <f t="shared" si="9"/>
        <v>0</v>
      </c>
    </row>
    <row r="633" spans="1:4" ht="18.75" hidden="1" x14ac:dyDescent="0.25">
      <c r="A633" s="9" t="s">
        <v>52</v>
      </c>
      <c r="B633" s="7"/>
      <c r="C633" s="7"/>
      <c r="D633" s="7">
        <f t="shared" si="9"/>
        <v>0</v>
      </c>
    </row>
    <row r="634" spans="1:4" ht="18.75" hidden="1" x14ac:dyDescent="0.25">
      <c r="A634" s="28" t="s">
        <v>130</v>
      </c>
      <c r="B634" s="7"/>
      <c r="C634" s="7"/>
      <c r="D634" s="7">
        <f t="shared" si="9"/>
        <v>0</v>
      </c>
    </row>
    <row r="635" spans="1:4" ht="18.75" hidden="1" x14ac:dyDescent="0.25">
      <c r="A635" s="12" t="s">
        <v>131</v>
      </c>
      <c r="B635" s="16"/>
      <c r="C635" s="16"/>
      <c r="D635" s="7">
        <f t="shared" si="9"/>
        <v>0</v>
      </c>
    </row>
    <row r="636" spans="1:4" ht="18.75" hidden="1" x14ac:dyDescent="0.25">
      <c r="A636" s="9" t="s">
        <v>132</v>
      </c>
      <c r="B636" s="7"/>
      <c r="C636" s="7"/>
      <c r="D636" s="7">
        <f t="shared" si="9"/>
        <v>0</v>
      </c>
    </row>
    <row r="637" spans="1:4" ht="18.75" hidden="1" x14ac:dyDescent="0.25">
      <c r="A637" s="9" t="s">
        <v>133</v>
      </c>
      <c r="B637" s="7"/>
      <c r="C637" s="7"/>
      <c r="D637" s="7">
        <f t="shared" si="9"/>
        <v>0</v>
      </c>
    </row>
    <row r="638" spans="1:4" ht="18.75" hidden="1" x14ac:dyDescent="0.25">
      <c r="A638" s="9" t="s">
        <v>290</v>
      </c>
      <c r="B638" s="7"/>
      <c r="C638" s="7"/>
      <c r="D638" s="7">
        <f t="shared" si="9"/>
        <v>0</v>
      </c>
    </row>
    <row r="639" spans="1:4" ht="18.75" hidden="1" x14ac:dyDescent="0.25">
      <c r="A639" s="17" t="s">
        <v>291</v>
      </c>
      <c r="B639" s="7"/>
      <c r="C639" s="7"/>
      <c r="D639" s="7">
        <f t="shared" si="9"/>
        <v>0</v>
      </c>
    </row>
    <row r="640" spans="1:4" ht="18.75" hidden="1" x14ac:dyDescent="0.25">
      <c r="A640" s="9" t="s">
        <v>16</v>
      </c>
      <c r="B640" s="7"/>
      <c r="C640" s="7"/>
      <c r="D640" s="7">
        <f t="shared" si="9"/>
        <v>0</v>
      </c>
    </row>
    <row r="641" spans="1:4" ht="18.75" hidden="1" x14ac:dyDescent="0.25">
      <c r="A641" s="13" t="s">
        <v>17</v>
      </c>
      <c r="B641" s="7"/>
      <c r="C641" s="7"/>
      <c r="D641" s="7">
        <f t="shared" si="9"/>
        <v>0</v>
      </c>
    </row>
    <row r="642" spans="1:4" ht="18.75" hidden="1" x14ac:dyDescent="0.25">
      <c r="A642" s="11" t="s">
        <v>18</v>
      </c>
      <c r="B642" s="7"/>
      <c r="C642" s="7"/>
      <c r="D642" s="7">
        <f t="shared" si="9"/>
        <v>0</v>
      </c>
    </row>
    <row r="643" spans="1:4" ht="18.75" hidden="1" x14ac:dyDescent="0.25">
      <c r="A643" s="9" t="s">
        <v>157</v>
      </c>
      <c r="B643" s="7"/>
      <c r="C643" s="7"/>
      <c r="D643" s="7">
        <f t="shared" si="9"/>
        <v>0</v>
      </c>
    </row>
    <row r="644" spans="1:4" ht="18.75" hidden="1" x14ac:dyDescent="0.25">
      <c r="A644" s="9" t="s">
        <v>158</v>
      </c>
      <c r="B644" s="7"/>
      <c r="C644" s="7"/>
      <c r="D644" s="7">
        <f t="shared" ref="D644:D682" si="10">B644*C644</f>
        <v>0</v>
      </c>
    </row>
    <row r="645" spans="1:4" ht="18.75" hidden="1" x14ac:dyDescent="0.25">
      <c r="A645" s="9" t="s">
        <v>159</v>
      </c>
      <c r="B645" s="7"/>
      <c r="C645" s="7"/>
      <c r="D645" s="7">
        <f t="shared" si="10"/>
        <v>0</v>
      </c>
    </row>
    <row r="646" spans="1:4" ht="18.75" hidden="1" x14ac:dyDescent="0.25">
      <c r="A646" s="9" t="s">
        <v>160</v>
      </c>
      <c r="B646" s="7"/>
      <c r="C646" s="7"/>
      <c r="D646" s="7">
        <f t="shared" si="10"/>
        <v>0</v>
      </c>
    </row>
    <row r="647" spans="1:4" ht="18.75" hidden="1" x14ac:dyDescent="0.25">
      <c r="A647" s="10" t="s">
        <v>7</v>
      </c>
      <c r="B647" s="7"/>
      <c r="C647" s="7"/>
      <c r="D647" s="7">
        <f t="shared" si="10"/>
        <v>0</v>
      </c>
    </row>
    <row r="648" spans="1:4" ht="18.75" hidden="1" x14ac:dyDescent="0.25">
      <c r="A648" s="5" t="s">
        <v>8</v>
      </c>
      <c r="B648" s="7"/>
      <c r="C648" s="7"/>
      <c r="D648" s="7">
        <f t="shared" si="10"/>
        <v>0</v>
      </c>
    </row>
    <row r="649" spans="1:4" ht="18.75" hidden="1" x14ac:dyDescent="0.25">
      <c r="A649" s="19" t="s">
        <v>64</v>
      </c>
      <c r="B649" s="7"/>
      <c r="C649" s="7"/>
      <c r="D649" s="7">
        <f t="shared" si="10"/>
        <v>0</v>
      </c>
    </row>
    <row r="650" spans="1:4" ht="18.75" hidden="1" x14ac:dyDescent="0.25">
      <c r="A650" s="12" t="s">
        <v>68</v>
      </c>
      <c r="B650" s="7"/>
      <c r="C650" s="7"/>
      <c r="D650" s="7">
        <f t="shared" si="10"/>
        <v>0</v>
      </c>
    </row>
    <row r="651" spans="1:4" ht="18.75" hidden="1" x14ac:dyDescent="0.25">
      <c r="A651" s="11" t="s">
        <v>102</v>
      </c>
      <c r="B651" s="7"/>
      <c r="C651" s="7"/>
      <c r="D651" s="7">
        <f t="shared" si="10"/>
        <v>0</v>
      </c>
    </row>
    <row r="652" spans="1:4" ht="18.75" hidden="1" x14ac:dyDescent="0.25">
      <c r="A652" s="25" t="s">
        <v>108</v>
      </c>
      <c r="B652" s="7"/>
      <c r="C652" s="7"/>
      <c r="D652" s="7">
        <f t="shared" si="10"/>
        <v>0</v>
      </c>
    </row>
    <row r="653" spans="1:4" ht="18.75" hidden="1" x14ac:dyDescent="0.25">
      <c r="A653" s="9" t="s">
        <v>119</v>
      </c>
      <c r="B653" s="7"/>
      <c r="C653" s="7"/>
      <c r="D653" s="7">
        <f t="shared" si="10"/>
        <v>0</v>
      </c>
    </row>
    <row r="654" spans="1:4" ht="18.75" hidden="1" x14ac:dyDescent="0.25">
      <c r="A654" s="11" t="s">
        <v>120</v>
      </c>
      <c r="B654" s="7"/>
      <c r="C654" s="7"/>
      <c r="D654" s="7">
        <f t="shared" si="10"/>
        <v>0</v>
      </c>
    </row>
    <row r="655" spans="1:4" ht="18.75" hidden="1" x14ac:dyDescent="0.25">
      <c r="A655" s="11" t="s">
        <v>121</v>
      </c>
      <c r="B655" s="7"/>
      <c r="C655" s="7"/>
      <c r="D655" s="7">
        <f t="shared" si="10"/>
        <v>0</v>
      </c>
    </row>
    <row r="656" spans="1:4" ht="18.75" hidden="1" x14ac:dyDescent="0.25">
      <c r="A656" s="9" t="s">
        <v>143</v>
      </c>
      <c r="B656" s="7"/>
      <c r="C656" s="7"/>
      <c r="D656" s="7">
        <f t="shared" si="10"/>
        <v>0</v>
      </c>
    </row>
    <row r="657" spans="1:4" ht="18.75" hidden="1" x14ac:dyDescent="0.25">
      <c r="A657" s="11" t="s">
        <v>175</v>
      </c>
      <c r="B657" s="7"/>
      <c r="C657" s="7"/>
      <c r="D657" s="7">
        <f t="shared" si="10"/>
        <v>0</v>
      </c>
    </row>
    <row r="658" spans="1:4" ht="18.75" hidden="1" x14ac:dyDescent="0.25">
      <c r="A658" s="17" t="s">
        <v>189</v>
      </c>
      <c r="B658" s="7"/>
      <c r="C658" s="7"/>
      <c r="D658" s="7">
        <f t="shared" si="10"/>
        <v>0</v>
      </c>
    </row>
    <row r="659" spans="1:4" ht="18.75" hidden="1" x14ac:dyDescent="0.25">
      <c r="A659" s="17" t="s">
        <v>190</v>
      </c>
      <c r="B659" s="7"/>
      <c r="C659" s="7"/>
      <c r="D659" s="7">
        <f t="shared" si="10"/>
        <v>0</v>
      </c>
    </row>
    <row r="660" spans="1:4" ht="18.75" hidden="1" x14ac:dyDescent="0.25">
      <c r="A660" s="17" t="s">
        <v>191</v>
      </c>
      <c r="B660" s="7"/>
      <c r="C660" s="7"/>
      <c r="D660" s="7">
        <f t="shared" si="10"/>
        <v>0</v>
      </c>
    </row>
    <row r="661" spans="1:4" ht="18.75" hidden="1" x14ac:dyDescent="0.25">
      <c r="A661" s="17" t="s">
        <v>192</v>
      </c>
      <c r="B661" s="7"/>
      <c r="C661" s="7"/>
      <c r="D661" s="7">
        <f t="shared" si="10"/>
        <v>0</v>
      </c>
    </row>
    <row r="662" spans="1:4" ht="18.75" hidden="1" x14ac:dyDescent="0.25">
      <c r="A662" s="9" t="s">
        <v>194</v>
      </c>
      <c r="B662" s="7"/>
      <c r="C662" s="7"/>
      <c r="D662" s="7">
        <f t="shared" si="10"/>
        <v>0</v>
      </c>
    </row>
    <row r="663" spans="1:4" ht="18.75" hidden="1" x14ac:dyDescent="0.25">
      <c r="A663" s="34" t="s">
        <v>195</v>
      </c>
      <c r="B663" s="7"/>
      <c r="C663" s="7"/>
      <c r="D663" s="7">
        <f t="shared" si="10"/>
        <v>0</v>
      </c>
    </row>
    <row r="664" spans="1:4" ht="18.75" hidden="1" x14ac:dyDescent="0.25">
      <c r="A664" s="34" t="s">
        <v>196</v>
      </c>
      <c r="B664" s="7"/>
      <c r="C664" s="7"/>
      <c r="D664" s="7">
        <f t="shared" si="10"/>
        <v>0</v>
      </c>
    </row>
    <row r="665" spans="1:4" ht="18.75" hidden="1" x14ac:dyDescent="0.25">
      <c r="A665" s="34" t="s">
        <v>197</v>
      </c>
      <c r="B665" s="7"/>
      <c r="C665" s="7"/>
      <c r="D665" s="7">
        <f t="shared" si="10"/>
        <v>0</v>
      </c>
    </row>
    <row r="666" spans="1:4" ht="18.75" hidden="1" x14ac:dyDescent="0.25">
      <c r="A666" s="34" t="s">
        <v>198</v>
      </c>
      <c r="B666" s="7"/>
      <c r="C666" s="7"/>
      <c r="D666" s="7">
        <f t="shared" si="10"/>
        <v>0</v>
      </c>
    </row>
    <row r="667" spans="1:4" ht="18.75" hidden="1" x14ac:dyDescent="0.25">
      <c r="A667" s="11" t="s">
        <v>226</v>
      </c>
      <c r="B667" s="7"/>
      <c r="C667" s="7"/>
      <c r="D667" s="7">
        <f t="shared" si="10"/>
        <v>0</v>
      </c>
    </row>
    <row r="668" spans="1:4" ht="18.75" hidden="1" x14ac:dyDescent="0.25">
      <c r="A668" s="21" t="s">
        <v>358</v>
      </c>
      <c r="B668" s="7"/>
      <c r="C668" s="7"/>
      <c r="D668" s="7">
        <f t="shared" si="10"/>
        <v>0</v>
      </c>
    </row>
    <row r="669" spans="1:4" ht="18.75" hidden="1" x14ac:dyDescent="0.25">
      <c r="A669" s="21" t="s">
        <v>359</v>
      </c>
      <c r="B669" s="7"/>
      <c r="C669" s="7"/>
      <c r="D669" s="7">
        <f t="shared" si="10"/>
        <v>0</v>
      </c>
    </row>
    <row r="670" spans="1:4" ht="18.75" hidden="1" x14ac:dyDescent="0.25">
      <c r="A670" s="11" t="s">
        <v>232</v>
      </c>
      <c r="B670" s="7"/>
      <c r="C670" s="7"/>
      <c r="D670" s="7">
        <f t="shared" si="10"/>
        <v>0</v>
      </c>
    </row>
    <row r="671" spans="1:4" ht="18.75" hidden="1" x14ac:dyDescent="0.25">
      <c r="A671" s="13" t="s">
        <v>239</v>
      </c>
      <c r="B671" s="7"/>
      <c r="C671" s="7"/>
      <c r="D671" s="7">
        <f t="shared" si="10"/>
        <v>0</v>
      </c>
    </row>
    <row r="672" spans="1:4" ht="18.75" hidden="1" x14ac:dyDescent="0.25">
      <c r="A672" s="13" t="s">
        <v>240</v>
      </c>
      <c r="B672" s="7"/>
      <c r="C672" s="7"/>
      <c r="D672" s="7">
        <f t="shared" si="10"/>
        <v>0</v>
      </c>
    </row>
    <row r="673" spans="1:4" ht="18.75" hidden="1" x14ac:dyDescent="0.25">
      <c r="A673" s="34" t="s">
        <v>241</v>
      </c>
      <c r="B673" s="7"/>
      <c r="C673" s="7"/>
      <c r="D673" s="7">
        <f t="shared" si="10"/>
        <v>0</v>
      </c>
    </row>
    <row r="674" spans="1:4" ht="18.75" hidden="1" x14ac:dyDescent="0.25">
      <c r="A674" s="34" t="s">
        <v>245</v>
      </c>
      <c r="B674" s="7"/>
      <c r="C674" s="7"/>
      <c r="D674" s="7">
        <f t="shared" si="10"/>
        <v>0</v>
      </c>
    </row>
    <row r="675" spans="1:4" ht="18.75" hidden="1" x14ac:dyDescent="0.25">
      <c r="A675" s="34" t="s">
        <v>276</v>
      </c>
      <c r="B675" s="7"/>
      <c r="C675" s="7"/>
      <c r="D675" s="7">
        <f t="shared" si="10"/>
        <v>0</v>
      </c>
    </row>
    <row r="676" spans="1:4" ht="18.75" hidden="1" x14ac:dyDescent="0.25">
      <c r="A676" s="34" t="s">
        <v>278</v>
      </c>
      <c r="B676" s="7"/>
      <c r="C676" s="7"/>
      <c r="D676" s="7">
        <f t="shared" si="10"/>
        <v>0</v>
      </c>
    </row>
    <row r="677" spans="1:4" ht="18.75" hidden="1" x14ac:dyDescent="0.25">
      <c r="A677" s="11" t="s">
        <v>363</v>
      </c>
      <c r="B677" s="7"/>
      <c r="C677" s="7"/>
      <c r="D677" s="7">
        <f t="shared" si="10"/>
        <v>0</v>
      </c>
    </row>
    <row r="678" spans="1:4" ht="18.75" hidden="1" x14ac:dyDescent="0.25">
      <c r="A678" s="34" t="s">
        <v>279</v>
      </c>
      <c r="B678" s="7"/>
      <c r="C678" s="7"/>
      <c r="D678" s="7">
        <f t="shared" si="10"/>
        <v>0</v>
      </c>
    </row>
    <row r="679" spans="1:4" ht="18.75" hidden="1" x14ac:dyDescent="0.25">
      <c r="A679" s="25" t="s">
        <v>292</v>
      </c>
      <c r="B679" s="7"/>
      <c r="C679" s="7"/>
      <c r="D679" s="7">
        <f t="shared" si="10"/>
        <v>0</v>
      </c>
    </row>
    <row r="680" spans="1:4" ht="18.75" hidden="1" x14ac:dyDescent="0.25">
      <c r="A680" s="9" t="s">
        <v>365</v>
      </c>
      <c r="B680" s="7"/>
      <c r="C680" s="7"/>
      <c r="D680" s="7">
        <f t="shared" si="10"/>
        <v>0</v>
      </c>
    </row>
    <row r="681" spans="1:4" ht="18.75" hidden="1" x14ac:dyDescent="0.25">
      <c r="A681" s="11" t="s">
        <v>303</v>
      </c>
      <c r="B681" s="7"/>
      <c r="C681" s="7"/>
      <c r="D681" s="7">
        <f t="shared" si="10"/>
        <v>0</v>
      </c>
    </row>
    <row r="682" spans="1:4" ht="18.75" hidden="1" x14ac:dyDescent="0.25">
      <c r="A682" s="11" t="s">
        <v>338</v>
      </c>
      <c r="B682" s="7"/>
      <c r="C682" s="7"/>
      <c r="D682" s="7">
        <f t="shared" si="10"/>
        <v>0</v>
      </c>
    </row>
    <row r="683" spans="1:4" ht="18.75" x14ac:dyDescent="0.25">
      <c r="A683" s="40"/>
      <c r="B683" s="43">
        <f>SUM(B356:B682)</f>
        <v>2497</v>
      </c>
      <c r="C683" s="43"/>
      <c r="D683" s="43">
        <f t="shared" ref="D683" si="11">SUM(D356:D682)</f>
        <v>27552800</v>
      </c>
    </row>
    <row r="685" spans="1:4" x14ac:dyDescent="0.25">
      <c r="D685" s="53">
        <f>D683+D351</f>
        <v>150142300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1B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D685"/>
  <sheetViews>
    <sheetView topLeftCell="A262" workbookViewId="0">
      <selection activeCell="D685" sqref="D685"/>
    </sheetView>
  </sheetViews>
  <sheetFormatPr defaultRowHeight="15" x14ac:dyDescent="0.25"/>
  <cols>
    <col min="1" max="1" width="32.28515625" customWidth="1"/>
    <col min="2" max="2" width="10.5703125" customWidth="1"/>
    <col min="3" max="3" width="15.28515625" customWidth="1"/>
    <col min="4" max="4" width="22.140625" customWidth="1"/>
  </cols>
  <sheetData>
    <row r="1" spans="1:4" x14ac:dyDescent="0.25">
      <c r="A1" s="1" t="s">
        <v>445</v>
      </c>
      <c r="B1" s="2"/>
      <c r="C1" s="2"/>
      <c r="D1" s="2"/>
    </row>
    <row r="2" spans="1:4" ht="25.5" x14ac:dyDescent="0.25">
      <c r="A2" s="44" t="s">
        <v>0</v>
      </c>
      <c r="B2" s="3" t="s">
        <v>1</v>
      </c>
      <c r="C2" s="3" t="s">
        <v>368</v>
      </c>
      <c r="D2" s="3" t="s">
        <v>369</v>
      </c>
    </row>
    <row r="3" spans="1:4" ht="18.75" x14ac:dyDescent="0.25">
      <c r="A3" s="5" t="s">
        <v>2</v>
      </c>
      <c r="B3" s="6">
        <v>10</v>
      </c>
      <c r="C3" s="6">
        <v>29000</v>
      </c>
      <c r="D3" s="7">
        <f>B3*C3</f>
        <v>290000</v>
      </c>
    </row>
    <row r="4" spans="1:4" ht="18.75" hidden="1" x14ac:dyDescent="0.25">
      <c r="A4" s="8" t="s">
        <v>3</v>
      </c>
      <c r="B4" s="6"/>
      <c r="C4" s="6"/>
      <c r="D4" s="7">
        <f t="shared" ref="D4:D67" si="0">B4*C4</f>
        <v>0</v>
      </c>
    </row>
    <row r="5" spans="1:4" ht="18.75" hidden="1" x14ac:dyDescent="0.25">
      <c r="A5" s="5" t="s">
        <v>4</v>
      </c>
      <c r="B5" s="6"/>
      <c r="C5" s="6"/>
      <c r="D5" s="7">
        <f t="shared" si="0"/>
        <v>0</v>
      </c>
    </row>
    <row r="6" spans="1:4" ht="18.75" hidden="1" x14ac:dyDescent="0.25">
      <c r="A6" s="13" t="s">
        <v>378</v>
      </c>
      <c r="B6" s="6"/>
      <c r="C6" s="6"/>
      <c r="D6" s="7">
        <f t="shared" si="0"/>
        <v>0</v>
      </c>
    </row>
    <row r="7" spans="1:4" ht="18.75" x14ac:dyDescent="0.25">
      <c r="A7" s="5" t="s">
        <v>5</v>
      </c>
      <c r="B7" s="6">
        <f>5396-1110</f>
        <v>4286</v>
      </c>
      <c r="C7" s="6">
        <v>5500</v>
      </c>
      <c r="D7" s="7">
        <f t="shared" si="0"/>
        <v>23573000</v>
      </c>
    </row>
    <row r="8" spans="1:4" ht="18.75" hidden="1" x14ac:dyDescent="0.25">
      <c r="A8" s="9" t="s">
        <v>6</v>
      </c>
      <c r="B8" s="6"/>
      <c r="C8" s="6"/>
      <c r="D8" s="7">
        <f t="shared" si="0"/>
        <v>0</v>
      </c>
    </row>
    <row r="9" spans="1:4" ht="18.75" hidden="1" x14ac:dyDescent="0.25">
      <c r="A9" s="10" t="s">
        <v>7</v>
      </c>
      <c r="B9" s="6"/>
      <c r="C9" s="6"/>
      <c r="D9" s="7">
        <f t="shared" si="0"/>
        <v>0</v>
      </c>
    </row>
    <row r="10" spans="1:4" ht="18.75" hidden="1" x14ac:dyDescent="0.25">
      <c r="A10" s="5" t="s">
        <v>8</v>
      </c>
      <c r="B10" s="6"/>
      <c r="C10" s="6"/>
      <c r="D10" s="7">
        <f t="shared" si="0"/>
        <v>0</v>
      </c>
    </row>
    <row r="11" spans="1:4" ht="18.75" hidden="1" x14ac:dyDescent="0.25">
      <c r="A11" s="5" t="s">
        <v>9</v>
      </c>
      <c r="B11" s="6"/>
      <c r="C11" s="6"/>
      <c r="D11" s="7">
        <f t="shared" si="0"/>
        <v>0</v>
      </c>
    </row>
    <row r="12" spans="1:4" ht="18.75" hidden="1" x14ac:dyDescent="0.25">
      <c r="A12" s="17" t="s">
        <v>379</v>
      </c>
      <c r="B12" s="6"/>
      <c r="C12" s="6"/>
      <c r="D12" s="7">
        <f t="shared" si="0"/>
        <v>0</v>
      </c>
    </row>
    <row r="13" spans="1:4" ht="18.75" hidden="1" x14ac:dyDescent="0.25">
      <c r="A13" s="11" t="s">
        <v>10</v>
      </c>
      <c r="B13" s="6"/>
      <c r="C13" s="6"/>
      <c r="D13" s="7">
        <f t="shared" si="0"/>
        <v>0</v>
      </c>
    </row>
    <row r="14" spans="1:4" ht="18.75" hidden="1" x14ac:dyDescent="0.25">
      <c r="A14" s="9" t="s">
        <v>11</v>
      </c>
      <c r="B14" s="6"/>
      <c r="C14" s="6"/>
      <c r="D14" s="7">
        <f t="shared" si="0"/>
        <v>0</v>
      </c>
    </row>
    <row r="15" spans="1:4" ht="18.75" x14ac:dyDescent="0.25">
      <c r="A15" s="9" t="s">
        <v>12</v>
      </c>
      <c r="B15" s="6">
        <f>25+15+30</f>
        <v>70</v>
      </c>
      <c r="C15" s="6">
        <v>10000</v>
      </c>
      <c r="D15" s="7">
        <f t="shared" si="0"/>
        <v>700000</v>
      </c>
    </row>
    <row r="16" spans="1:4" ht="18.75" hidden="1" x14ac:dyDescent="0.25">
      <c r="A16" s="12" t="s">
        <v>13</v>
      </c>
      <c r="B16" s="6"/>
      <c r="C16" s="6"/>
      <c r="D16" s="7">
        <f t="shared" si="0"/>
        <v>0</v>
      </c>
    </row>
    <row r="17" spans="1:4" ht="18.75" x14ac:dyDescent="0.25">
      <c r="A17" s="12" t="s">
        <v>14</v>
      </c>
      <c r="B17" s="6">
        <v>20</v>
      </c>
      <c r="C17" s="6">
        <v>6500</v>
      </c>
      <c r="D17" s="7">
        <f t="shared" si="0"/>
        <v>130000</v>
      </c>
    </row>
    <row r="18" spans="1:4" ht="18.75" hidden="1" x14ac:dyDescent="0.25">
      <c r="A18" s="9" t="s">
        <v>15</v>
      </c>
      <c r="B18" s="6"/>
      <c r="C18" s="6"/>
      <c r="D18" s="7">
        <f t="shared" si="0"/>
        <v>0</v>
      </c>
    </row>
    <row r="19" spans="1:4" ht="18.75" hidden="1" x14ac:dyDescent="0.25">
      <c r="A19" s="9" t="s">
        <v>16</v>
      </c>
      <c r="B19" s="6"/>
      <c r="C19" s="6"/>
      <c r="D19" s="7">
        <f t="shared" si="0"/>
        <v>0</v>
      </c>
    </row>
    <row r="20" spans="1:4" ht="18.75" hidden="1" x14ac:dyDescent="0.25">
      <c r="A20" s="13" t="s">
        <v>17</v>
      </c>
      <c r="B20" s="6"/>
      <c r="C20" s="6"/>
      <c r="D20" s="7">
        <f t="shared" si="0"/>
        <v>0</v>
      </c>
    </row>
    <row r="21" spans="1:4" ht="18.75" x14ac:dyDescent="0.25">
      <c r="A21" s="11" t="s">
        <v>18</v>
      </c>
      <c r="B21" s="6">
        <f>75+10</f>
        <v>85</v>
      </c>
      <c r="C21" s="14">
        <v>10500</v>
      </c>
      <c r="D21" s="7">
        <f t="shared" si="0"/>
        <v>892500</v>
      </c>
    </row>
    <row r="22" spans="1:4" ht="18.75" x14ac:dyDescent="0.25">
      <c r="A22" s="9" t="s">
        <v>19</v>
      </c>
      <c r="B22" s="64">
        <f>3520-100</f>
        <v>3420</v>
      </c>
      <c r="C22" s="64">
        <v>7500</v>
      </c>
      <c r="D22" s="52">
        <f t="shared" si="0"/>
        <v>25650000</v>
      </c>
    </row>
    <row r="23" spans="1:4" ht="18.75" hidden="1" x14ac:dyDescent="0.25">
      <c r="A23" s="12" t="s">
        <v>20</v>
      </c>
      <c r="B23" s="6"/>
      <c r="C23" s="6"/>
      <c r="D23" s="7">
        <f t="shared" si="0"/>
        <v>0</v>
      </c>
    </row>
    <row r="24" spans="1:4" ht="18.75" hidden="1" x14ac:dyDescent="0.25">
      <c r="A24" s="12" t="s">
        <v>21</v>
      </c>
      <c r="B24" s="6"/>
      <c r="C24" s="6"/>
      <c r="D24" s="7">
        <f t="shared" si="0"/>
        <v>0</v>
      </c>
    </row>
    <row r="25" spans="1:4" ht="18.75" hidden="1" x14ac:dyDescent="0.25">
      <c r="A25" s="9" t="s">
        <v>22</v>
      </c>
      <c r="B25" s="6"/>
      <c r="C25" s="6"/>
      <c r="D25" s="7">
        <f t="shared" si="0"/>
        <v>0</v>
      </c>
    </row>
    <row r="26" spans="1:4" ht="18.75" hidden="1" x14ac:dyDescent="0.25">
      <c r="A26" s="9" t="s">
        <v>23</v>
      </c>
      <c r="B26" s="6"/>
      <c r="C26" s="6"/>
      <c r="D26" s="7">
        <f t="shared" si="0"/>
        <v>0</v>
      </c>
    </row>
    <row r="27" spans="1:4" ht="18.75" hidden="1" x14ac:dyDescent="0.25">
      <c r="A27" s="9" t="s">
        <v>24</v>
      </c>
      <c r="B27" s="6"/>
      <c r="C27" s="6"/>
      <c r="D27" s="7">
        <f t="shared" si="0"/>
        <v>0</v>
      </c>
    </row>
    <row r="28" spans="1:4" ht="18.75" hidden="1" x14ac:dyDescent="0.25">
      <c r="A28" s="9" t="s">
        <v>25</v>
      </c>
      <c r="B28" s="6"/>
      <c r="C28" s="6"/>
      <c r="D28" s="7">
        <f t="shared" si="0"/>
        <v>0</v>
      </c>
    </row>
    <row r="29" spans="1:4" ht="18.75" hidden="1" x14ac:dyDescent="0.25">
      <c r="A29" s="9" t="s">
        <v>26</v>
      </c>
      <c r="B29" s="6"/>
      <c r="C29" s="6"/>
      <c r="D29" s="7">
        <f t="shared" si="0"/>
        <v>0</v>
      </c>
    </row>
    <row r="30" spans="1:4" ht="18.75" hidden="1" x14ac:dyDescent="0.25">
      <c r="A30" s="9" t="s">
        <v>27</v>
      </c>
      <c r="B30" s="6"/>
      <c r="C30" s="6"/>
      <c r="D30" s="7">
        <f t="shared" si="0"/>
        <v>0</v>
      </c>
    </row>
    <row r="31" spans="1:4" ht="18.75" hidden="1" x14ac:dyDescent="0.25">
      <c r="A31" s="11" t="s">
        <v>28</v>
      </c>
      <c r="B31" s="15"/>
      <c r="C31" s="15"/>
      <c r="D31" s="7">
        <f t="shared" si="0"/>
        <v>0</v>
      </c>
    </row>
    <row r="32" spans="1:4" ht="18.75" hidden="1" x14ac:dyDescent="0.25">
      <c r="A32" s="12" t="s">
        <v>29</v>
      </c>
      <c r="B32" s="6"/>
      <c r="C32" s="6"/>
      <c r="D32" s="7">
        <f t="shared" si="0"/>
        <v>0</v>
      </c>
    </row>
    <row r="33" spans="1:4" ht="18.75" hidden="1" x14ac:dyDescent="0.25">
      <c r="A33" s="11" t="s">
        <v>30</v>
      </c>
      <c r="B33" s="6"/>
      <c r="C33" s="6"/>
      <c r="D33" s="7">
        <f t="shared" si="0"/>
        <v>0</v>
      </c>
    </row>
    <row r="34" spans="1:4" ht="18.75" hidden="1" x14ac:dyDescent="0.25">
      <c r="A34" s="11" t="s">
        <v>31</v>
      </c>
      <c r="B34" s="6"/>
      <c r="C34" s="6"/>
      <c r="D34" s="7">
        <f t="shared" si="0"/>
        <v>0</v>
      </c>
    </row>
    <row r="35" spans="1:4" ht="18.75" hidden="1" x14ac:dyDescent="0.25">
      <c r="A35" s="11" t="s">
        <v>32</v>
      </c>
      <c r="B35" s="6"/>
      <c r="C35" s="6"/>
      <c r="D35" s="7">
        <f t="shared" si="0"/>
        <v>0</v>
      </c>
    </row>
    <row r="36" spans="1:4" ht="18.75" hidden="1" x14ac:dyDescent="0.25">
      <c r="A36" s="12" t="s">
        <v>33</v>
      </c>
      <c r="B36" s="6"/>
      <c r="C36" s="6"/>
      <c r="D36" s="7">
        <f t="shared" si="0"/>
        <v>0</v>
      </c>
    </row>
    <row r="37" spans="1:4" ht="18.75" hidden="1" x14ac:dyDescent="0.25">
      <c r="A37" s="11" t="s">
        <v>34</v>
      </c>
      <c r="B37" s="6"/>
      <c r="C37" s="6"/>
      <c r="D37" s="7">
        <f t="shared" si="0"/>
        <v>0</v>
      </c>
    </row>
    <row r="38" spans="1:4" ht="18.75" hidden="1" x14ac:dyDescent="0.25">
      <c r="A38" s="11" t="s">
        <v>35</v>
      </c>
      <c r="B38" s="6"/>
      <c r="C38" s="6"/>
      <c r="D38" s="7">
        <f t="shared" si="0"/>
        <v>0</v>
      </c>
    </row>
    <row r="39" spans="1:4" ht="18.75" hidden="1" x14ac:dyDescent="0.25">
      <c r="A39" s="11" t="s">
        <v>36</v>
      </c>
      <c r="B39" s="6"/>
      <c r="C39" s="6"/>
      <c r="D39" s="7">
        <f t="shared" si="0"/>
        <v>0</v>
      </c>
    </row>
    <row r="40" spans="1:4" ht="18.75" hidden="1" x14ac:dyDescent="0.25">
      <c r="A40" s="12" t="s">
        <v>37</v>
      </c>
      <c r="B40" s="6"/>
      <c r="C40" s="6"/>
      <c r="D40" s="7">
        <f t="shared" si="0"/>
        <v>0</v>
      </c>
    </row>
    <row r="41" spans="1:4" ht="18.75" x14ac:dyDescent="0.25">
      <c r="A41" s="9" t="s">
        <v>38</v>
      </c>
      <c r="B41" s="6">
        <v>5</v>
      </c>
      <c r="C41" s="6">
        <v>26000</v>
      </c>
      <c r="D41" s="7">
        <f t="shared" si="0"/>
        <v>130000</v>
      </c>
    </row>
    <row r="42" spans="1:4" ht="18.75" hidden="1" x14ac:dyDescent="0.25">
      <c r="A42" s="54" t="s">
        <v>39</v>
      </c>
      <c r="B42" s="64"/>
      <c r="C42" s="64"/>
      <c r="D42" s="7">
        <f t="shared" si="0"/>
        <v>0</v>
      </c>
    </row>
    <row r="43" spans="1:4" ht="18.75" hidden="1" x14ac:dyDescent="0.25">
      <c r="A43" s="11" t="s">
        <v>40</v>
      </c>
      <c r="B43" s="15"/>
      <c r="C43" s="15"/>
      <c r="D43" s="7">
        <f t="shared" si="0"/>
        <v>0</v>
      </c>
    </row>
    <row r="44" spans="1:4" ht="18.75" hidden="1" x14ac:dyDescent="0.25">
      <c r="A44" s="9" t="s">
        <v>41</v>
      </c>
      <c r="B44" s="6"/>
      <c r="C44" s="6"/>
      <c r="D44" s="7">
        <f t="shared" si="0"/>
        <v>0</v>
      </c>
    </row>
    <row r="45" spans="1:4" ht="18.75" hidden="1" x14ac:dyDescent="0.25">
      <c r="A45" s="9" t="s">
        <v>42</v>
      </c>
      <c r="B45" s="6"/>
      <c r="C45" s="6"/>
      <c r="D45" s="7">
        <f t="shared" si="0"/>
        <v>0</v>
      </c>
    </row>
    <row r="46" spans="1:4" ht="18.75" hidden="1" x14ac:dyDescent="0.25">
      <c r="A46" s="17" t="s">
        <v>43</v>
      </c>
      <c r="B46" s="6"/>
      <c r="C46" s="6"/>
      <c r="D46" s="7">
        <f t="shared" si="0"/>
        <v>0</v>
      </c>
    </row>
    <row r="47" spans="1:4" ht="18.75" hidden="1" x14ac:dyDescent="0.25">
      <c r="A47" s="9" t="s">
        <v>44</v>
      </c>
      <c r="B47" s="6"/>
      <c r="C47" s="6"/>
      <c r="D47" s="7">
        <f t="shared" si="0"/>
        <v>0</v>
      </c>
    </row>
    <row r="48" spans="1:4" ht="18.75" hidden="1" x14ac:dyDescent="0.25">
      <c r="A48" s="18" t="s">
        <v>45</v>
      </c>
      <c r="B48" s="6"/>
      <c r="C48" s="6"/>
      <c r="D48" s="7">
        <f t="shared" si="0"/>
        <v>0</v>
      </c>
    </row>
    <row r="49" spans="1:4" ht="18.75" hidden="1" x14ac:dyDescent="0.25">
      <c r="A49" s="9" t="s">
        <v>46</v>
      </c>
      <c r="B49" s="6"/>
      <c r="C49" s="6"/>
      <c r="D49" s="7">
        <f t="shared" si="0"/>
        <v>0</v>
      </c>
    </row>
    <row r="50" spans="1:4" ht="18.75" hidden="1" x14ac:dyDescent="0.25">
      <c r="A50" s="9" t="s">
        <v>47</v>
      </c>
      <c r="B50" s="6"/>
      <c r="C50" s="6"/>
      <c r="D50" s="7">
        <f t="shared" si="0"/>
        <v>0</v>
      </c>
    </row>
    <row r="51" spans="1:4" ht="18.75" hidden="1" x14ac:dyDescent="0.25">
      <c r="A51" s="13" t="s">
        <v>48</v>
      </c>
      <c r="B51" s="6"/>
      <c r="C51" s="6"/>
      <c r="D51" s="7">
        <f t="shared" si="0"/>
        <v>0</v>
      </c>
    </row>
    <row r="52" spans="1:4" ht="18.75" hidden="1" x14ac:dyDescent="0.25">
      <c r="A52" s="11" t="s">
        <v>49</v>
      </c>
      <c r="B52" s="6"/>
      <c r="C52" s="6"/>
      <c r="D52" s="7">
        <f t="shared" si="0"/>
        <v>0</v>
      </c>
    </row>
    <row r="53" spans="1:4" ht="18.75" hidden="1" x14ac:dyDescent="0.25">
      <c r="A53" s="13" t="s">
        <v>50</v>
      </c>
      <c r="B53" s="6"/>
      <c r="C53" s="6"/>
      <c r="D53" s="7">
        <f t="shared" si="0"/>
        <v>0</v>
      </c>
    </row>
    <row r="54" spans="1:4" ht="18.75" hidden="1" x14ac:dyDescent="0.25">
      <c r="A54" s="9" t="s">
        <v>51</v>
      </c>
      <c r="B54" s="6"/>
      <c r="C54" s="6"/>
      <c r="D54" s="7">
        <f t="shared" si="0"/>
        <v>0</v>
      </c>
    </row>
    <row r="55" spans="1:4" ht="18.75" hidden="1" x14ac:dyDescent="0.25">
      <c r="A55" s="9" t="s">
        <v>52</v>
      </c>
      <c r="B55" s="6"/>
      <c r="C55" s="6"/>
      <c r="D55" s="7">
        <f t="shared" si="0"/>
        <v>0</v>
      </c>
    </row>
    <row r="56" spans="1:4" ht="18.75" x14ac:dyDescent="0.25">
      <c r="A56" s="12" t="s">
        <v>53</v>
      </c>
      <c r="B56" s="6">
        <f>-300+100+140+250+200</f>
        <v>390</v>
      </c>
      <c r="C56" s="6">
        <v>24000</v>
      </c>
      <c r="D56" s="7">
        <f t="shared" si="0"/>
        <v>9360000</v>
      </c>
    </row>
    <row r="57" spans="1:4" ht="18.75" hidden="1" x14ac:dyDescent="0.25">
      <c r="A57" s="9" t="s">
        <v>54</v>
      </c>
      <c r="B57" s="6"/>
      <c r="C57" s="6"/>
      <c r="D57" s="7">
        <f t="shared" si="0"/>
        <v>0</v>
      </c>
    </row>
    <row r="58" spans="1:4" ht="18.75" hidden="1" x14ac:dyDescent="0.25">
      <c r="A58" s="17" t="s">
        <v>55</v>
      </c>
      <c r="B58" s="6"/>
      <c r="C58" s="6"/>
      <c r="D58" s="7">
        <f t="shared" si="0"/>
        <v>0</v>
      </c>
    </row>
    <row r="59" spans="1:4" ht="18.75" x14ac:dyDescent="0.25">
      <c r="A59" s="17" t="s">
        <v>56</v>
      </c>
      <c r="B59" s="6">
        <f>130+29</f>
        <v>159</v>
      </c>
      <c r="C59" s="6">
        <v>10500</v>
      </c>
      <c r="D59" s="7">
        <f t="shared" si="0"/>
        <v>1669500</v>
      </c>
    </row>
    <row r="60" spans="1:4" ht="18.75" hidden="1" x14ac:dyDescent="0.25">
      <c r="A60" s="17" t="s">
        <v>57</v>
      </c>
      <c r="B60" s="6"/>
      <c r="C60" s="6"/>
      <c r="D60" s="7">
        <f t="shared" si="0"/>
        <v>0</v>
      </c>
    </row>
    <row r="61" spans="1:4" ht="18.75" hidden="1" x14ac:dyDescent="0.25">
      <c r="A61" s="9" t="s">
        <v>58</v>
      </c>
      <c r="B61" s="6"/>
      <c r="C61" s="6"/>
      <c r="D61" s="7">
        <f t="shared" si="0"/>
        <v>0</v>
      </c>
    </row>
    <row r="62" spans="1:4" ht="18.75" hidden="1" x14ac:dyDescent="0.25">
      <c r="A62" s="49" t="s">
        <v>59</v>
      </c>
      <c r="B62" s="6"/>
      <c r="C62" s="6"/>
      <c r="D62" s="7">
        <f t="shared" si="0"/>
        <v>0</v>
      </c>
    </row>
    <row r="63" spans="1:4" ht="18.75" hidden="1" x14ac:dyDescent="0.25">
      <c r="A63" s="9" t="s">
        <v>60</v>
      </c>
      <c r="B63" s="6"/>
      <c r="C63" s="6"/>
      <c r="D63" s="7">
        <f t="shared" si="0"/>
        <v>0</v>
      </c>
    </row>
    <row r="64" spans="1:4" ht="18.75" hidden="1" x14ac:dyDescent="0.25">
      <c r="A64" s="9" t="s">
        <v>61</v>
      </c>
      <c r="B64" s="6"/>
      <c r="C64" s="6"/>
      <c r="D64" s="7">
        <f t="shared" si="0"/>
        <v>0</v>
      </c>
    </row>
    <row r="65" spans="1:4" ht="18.75" hidden="1" x14ac:dyDescent="0.25">
      <c r="A65" s="17" t="s">
        <v>62</v>
      </c>
      <c r="B65" s="6"/>
      <c r="C65" s="6"/>
      <c r="D65" s="7">
        <f t="shared" si="0"/>
        <v>0</v>
      </c>
    </row>
    <row r="66" spans="1:4" ht="18.75" x14ac:dyDescent="0.25">
      <c r="A66" s="9" t="s">
        <v>63</v>
      </c>
      <c r="B66" s="6">
        <v>40</v>
      </c>
      <c r="C66" s="6">
        <v>23000</v>
      </c>
      <c r="D66" s="7">
        <f t="shared" si="0"/>
        <v>920000</v>
      </c>
    </row>
    <row r="67" spans="1:4" ht="18.75" hidden="1" x14ac:dyDescent="0.25">
      <c r="A67" s="19" t="s">
        <v>64</v>
      </c>
      <c r="B67" s="6"/>
      <c r="C67" s="6"/>
      <c r="D67" s="7">
        <f t="shared" si="0"/>
        <v>0</v>
      </c>
    </row>
    <row r="68" spans="1:4" ht="18.75" hidden="1" x14ac:dyDescent="0.25">
      <c r="A68" s="9" t="s">
        <v>65</v>
      </c>
      <c r="B68" s="6"/>
      <c r="C68" s="6"/>
      <c r="D68" s="7">
        <f t="shared" ref="D68:D131" si="1">B68*C68</f>
        <v>0</v>
      </c>
    </row>
    <row r="69" spans="1:4" ht="18.75" hidden="1" x14ac:dyDescent="0.25">
      <c r="A69" s="9" t="s">
        <v>66</v>
      </c>
      <c r="B69" s="6"/>
      <c r="C69" s="6"/>
      <c r="D69" s="7">
        <f t="shared" si="1"/>
        <v>0</v>
      </c>
    </row>
    <row r="70" spans="1:4" ht="18.75" hidden="1" x14ac:dyDescent="0.25">
      <c r="A70" s="20" t="s">
        <v>67</v>
      </c>
      <c r="B70" s="6"/>
      <c r="C70" s="6"/>
      <c r="D70" s="7">
        <f t="shared" si="1"/>
        <v>0</v>
      </c>
    </row>
    <row r="71" spans="1:4" ht="18.75" hidden="1" x14ac:dyDescent="0.25">
      <c r="A71" s="12" t="s">
        <v>68</v>
      </c>
      <c r="B71" s="6"/>
      <c r="C71" s="6"/>
      <c r="D71" s="7">
        <f t="shared" si="1"/>
        <v>0</v>
      </c>
    </row>
    <row r="72" spans="1:4" ht="18.75" hidden="1" x14ac:dyDescent="0.25">
      <c r="A72" s="12" t="s">
        <v>69</v>
      </c>
      <c r="B72" s="6"/>
      <c r="C72" s="6"/>
      <c r="D72" s="7">
        <f t="shared" si="1"/>
        <v>0</v>
      </c>
    </row>
    <row r="73" spans="1:4" ht="18.75" hidden="1" x14ac:dyDescent="0.25">
      <c r="A73" s="11" t="s">
        <v>70</v>
      </c>
      <c r="B73" s="6"/>
      <c r="C73" s="6"/>
      <c r="D73" s="7">
        <f t="shared" si="1"/>
        <v>0</v>
      </c>
    </row>
    <row r="74" spans="1:4" ht="18.75" x14ac:dyDescent="0.25">
      <c r="A74" s="12" t="s">
        <v>71</v>
      </c>
      <c r="B74" s="6">
        <v>1</v>
      </c>
      <c r="C74" s="6">
        <v>24000</v>
      </c>
      <c r="D74" s="7">
        <f t="shared" si="1"/>
        <v>24000</v>
      </c>
    </row>
    <row r="75" spans="1:4" ht="18.75" hidden="1" x14ac:dyDescent="0.25">
      <c r="A75" s="12" t="s">
        <v>72</v>
      </c>
      <c r="B75" s="6"/>
      <c r="C75" s="6"/>
      <c r="D75" s="7">
        <f t="shared" si="1"/>
        <v>0</v>
      </c>
    </row>
    <row r="76" spans="1:4" ht="18.75" hidden="1" x14ac:dyDescent="0.25">
      <c r="A76" s="12" t="s">
        <v>73</v>
      </c>
      <c r="B76" s="6"/>
      <c r="C76" s="6"/>
      <c r="D76" s="7">
        <f t="shared" si="1"/>
        <v>0</v>
      </c>
    </row>
    <row r="77" spans="1:4" ht="18.75" hidden="1" x14ac:dyDescent="0.25">
      <c r="A77" s="20" t="s">
        <v>74</v>
      </c>
      <c r="B77" s="6"/>
      <c r="C77" s="6"/>
      <c r="D77" s="7">
        <f t="shared" si="1"/>
        <v>0</v>
      </c>
    </row>
    <row r="78" spans="1:4" ht="18.75" hidden="1" x14ac:dyDescent="0.25">
      <c r="A78" s="9" t="s">
        <v>75</v>
      </c>
      <c r="B78" s="6"/>
      <c r="C78" s="6"/>
      <c r="D78" s="7">
        <f t="shared" si="1"/>
        <v>0</v>
      </c>
    </row>
    <row r="79" spans="1:4" ht="18.75" hidden="1" x14ac:dyDescent="0.25">
      <c r="A79" s="9" t="s">
        <v>76</v>
      </c>
      <c r="B79" s="6"/>
      <c r="C79" s="6"/>
      <c r="D79" s="7">
        <f t="shared" si="1"/>
        <v>0</v>
      </c>
    </row>
    <row r="80" spans="1:4" ht="18.75" x14ac:dyDescent="0.25">
      <c r="A80" s="9" t="s">
        <v>77</v>
      </c>
      <c r="B80" s="6">
        <f>-100+100+60+30</f>
        <v>90</v>
      </c>
      <c r="C80" s="6">
        <v>22000</v>
      </c>
      <c r="D80" s="7">
        <f t="shared" si="1"/>
        <v>1980000</v>
      </c>
    </row>
    <row r="81" spans="1:4" ht="18.75" hidden="1" x14ac:dyDescent="0.25">
      <c r="A81" s="13" t="s">
        <v>78</v>
      </c>
      <c r="B81" s="6"/>
      <c r="C81" s="6"/>
      <c r="D81" s="7">
        <f t="shared" si="1"/>
        <v>0</v>
      </c>
    </row>
    <row r="82" spans="1:4" ht="18.75" x14ac:dyDescent="0.25">
      <c r="A82" s="9" t="s">
        <v>79</v>
      </c>
      <c r="B82" s="6">
        <v>100</v>
      </c>
      <c r="C82" s="6">
        <v>23000</v>
      </c>
      <c r="D82" s="7">
        <f t="shared" si="1"/>
        <v>2300000</v>
      </c>
    </row>
    <row r="83" spans="1:4" ht="18.75" x14ac:dyDescent="0.25">
      <c r="A83" s="9" t="s">
        <v>80</v>
      </c>
      <c r="B83" s="6">
        <f>6+9+3</f>
        <v>18</v>
      </c>
      <c r="C83" s="6">
        <v>21000</v>
      </c>
      <c r="D83" s="7">
        <f t="shared" si="1"/>
        <v>378000</v>
      </c>
    </row>
    <row r="84" spans="1:4" ht="18.75" hidden="1" x14ac:dyDescent="0.25">
      <c r="A84" s="9" t="s">
        <v>81</v>
      </c>
      <c r="B84" s="6"/>
      <c r="C84" s="6"/>
      <c r="D84" s="7">
        <f t="shared" si="1"/>
        <v>0</v>
      </c>
    </row>
    <row r="85" spans="1:4" ht="18.75" hidden="1" x14ac:dyDescent="0.25">
      <c r="A85" s="17" t="s">
        <v>380</v>
      </c>
      <c r="B85" s="6"/>
      <c r="C85" s="6"/>
      <c r="D85" s="7">
        <f t="shared" si="1"/>
        <v>0</v>
      </c>
    </row>
    <row r="86" spans="1:4" ht="18.75" hidden="1" x14ac:dyDescent="0.25">
      <c r="A86" s="12" t="s">
        <v>82</v>
      </c>
      <c r="B86" s="15"/>
      <c r="C86" s="15"/>
      <c r="D86" s="7">
        <f t="shared" si="1"/>
        <v>0</v>
      </c>
    </row>
    <row r="87" spans="1:4" ht="18.75" hidden="1" x14ac:dyDescent="0.25">
      <c r="A87" s="12" t="s">
        <v>83</v>
      </c>
      <c r="B87" s="15"/>
      <c r="C87" s="15"/>
      <c r="D87" s="7">
        <f t="shared" si="1"/>
        <v>0</v>
      </c>
    </row>
    <row r="88" spans="1:4" ht="18.75" hidden="1" x14ac:dyDescent="0.25">
      <c r="A88" s="12" t="s">
        <v>84</v>
      </c>
      <c r="B88" s="15"/>
      <c r="C88" s="15"/>
      <c r="D88" s="7">
        <f t="shared" si="1"/>
        <v>0</v>
      </c>
    </row>
    <row r="89" spans="1:4" ht="18.75" hidden="1" x14ac:dyDescent="0.25">
      <c r="A89" s="9" t="s">
        <v>85</v>
      </c>
      <c r="B89" s="6"/>
      <c r="C89" s="6"/>
      <c r="D89" s="7">
        <f t="shared" si="1"/>
        <v>0</v>
      </c>
    </row>
    <row r="90" spans="1:4" ht="18.75" x14ac:dyDescent="0.25">
      <c r="A90" s="9" t="s">
        <v>86</v>
      </c>
      <c r="B90" s="6">
        <v>65</v>
      </c>
      <c r="C90" s="6">
        <v>20000</v>
      </c>
      <c r="D90" s="7">
        <f t="shared" si="1"/>
        <v>1300000</v>
      </c>
    </row>
    <row r="91" spans="1:4" ht="18.75" hidden="1" x14ac:dyDescent="0.25">
      <c r="A91" s="9" t="s">
        <v>87</v>
      </c>
      <c r="B91" s="6"/>
      <c r="C91" s="6"/>
      <c r="D91" s="7">
        <f t="shared" si="1"/>
        <v>0</v>
      </c>
    </row>
    <row r="92" spans="1:4" ht="18.75" hidden="1" x14ac:dyDescent="0.25">
      <c r="A92" s="9" t="s">
        <v>88</v>
      </c>
      <c r="B92" s="6"/>
      <c r="C92" s="6"/>
      <c r="D92" s="7">
        <f t="shared" si="1"/>
        <v>0</v>
      </c>
    </row>
    <row r="93" spans="1:4" ht="18.75" hidden="1" x14ac:dyDescent="0.25">
      <c r="A93" s="9" t="s">
        <v>89</v>
      </c>
      <c r="B93" s="6"/>
      <c r="C93" s="6"/>
      <c r="D93" s="7">
        <f t="shared" si="1"/>
        <v>0</v>
      </c>
    </row>
    <row r="94" spans="1:4" ht="18.75" hidden="1" x14ac:dyDescent="0.25">
      <c r="A94" s="9" t="s">
        <v>90</v>
      </c>
      <c r="B94" s="6"/>
      <c r="C94" s="6"/>
      <c r="D94" s="7">
        <f t="shared" si="1"/>
        <v>0</v>
      </c>
    </row>
    <row r="95" spans="1:4" ht="18.75" hidden="1" x14ac:dyDescent="0.25">
      <c r="A95" s="21" t="s">
        <v>91</v>
      </c>
      <c r="B95" s="6"/>
      <c r="C95" s="6"/>
      <c r="D95" s="7">
        <f t="shared" si="1"/>
        <v>0</v>
      </c>
    </row>
    <row r="96" spans="1:4" ht="18.75" hidden="1" x14ac:dyDescent="0.25">
      <c r="A96" s="21" t="s">
        <v>92</v>
      </c>
      <c r="B96" s="6"/>
      <c r="C96" s="6"/>
      <c r="D96" s="7">
        <f t="shared" si="1"/>
        <v>0</v>
      </c>
    </row>
    <row r="97" spans="1:4" ht="18.75" hidden="1" x14ac:dyDescent="0.25">
      <c r="A97" s="21" t="s">
        <v>93</v>
      </c>
      <c r="B97" s="6"/>
      <c r="C97" s="6"/>
      <c r="D97" s="7">
        <f t="shared" si="1"/>
        <v>0</v>
      </c>
    </row>
    <row r="98" spans="1:4" ht="18.75" hidden="1" x14ac:dyDescent="0.25">
      <c r="A98" s="11" t="s">
        <v>94</v>
      </c>
      <c r="B98" s="6"/>
      <c r="C98" s="6"/>
      <c r="D98" s="7">
        <f t="shared" si="1"/>
        <v>0</v>
      </c>
    </row>
    <row r="99" spans="1:4" ht="18.75" hidden="1" x14ac:dyDescent="0.25">
      <c r="A99" s="13" t="s">
        <v>95</v>
      </c>
      <c r="B99" s="6"/>
      <c r="C99" s="6"/>
      <c r="D99" s="7">
        <f t="shared" si="1"/>
        <v>0</v>
      </c>
    </row>
    <row r="100" spans="1:4" ht="18.75" hidden="1" x14ac:dyDescent="0.25">
      <c r="A100" s="9" t="s">
        <v>96</v>
      </c>
      <c r="B100" s="6"/>
      <c r="C100" s="6"/>
      <c r="D100" s="7">
        <f t="shared" si="1"/>
        <v>0</v>
      </c>
    </row>
    <row r="101" spans="1:4" ht="18.75" hidden="1" x14ac:dyDescent="0.25">
      <c r="A101" s="9" t="s">
        <v>97</v>
      </c>
      <c r="B101" s="6"/>
      <c r="C101" s="6"/>
      <c r="D101" s="7">
        <f t="shared" si="1"/>
        <v>0</v>
      </c>
    </row>
    <row r="102" spans="1:4" ht="18.75" hidden="1" x14ac:dyDescent="0.25">
      <c r="A102" s="23" t="s">
        <v>98</v>
      </c>
      <c r="B102" s="6"/>
      <c r="C102" s="6"/>
      <c r="D102" s="7">
        <f t="shared" si="1"/>
        <v>0</v>
      </c>
    </row>
    <row r="103" spans="1:4" ht="18.75" hidden="1" x14ac:dyDescent="0.25">
      <c r="A103" s="24" t="s">
        <v>99</v>
      </c>
      <c r="B103" s="15"/>
      <c r="C103" s="15"/>
      <c r="D103" s="7">
        <f t="shared" si="1"/>
        <v>0</v>
      </c>
    </row>
    <row r="104" spans="1:4" ht="18.75" hidden="1" x14ac:dyDescent="0.25">
      <c r="A104" s="23" t="s">
        <v>100</v>
      </c>
      <c r="B104" s="6"/>
      <c r="C104" s="6"/>
      <c r="D104" s="7">
        <f t="shared" si="1"/>
        <v>0</v>
      </c>
    </row>
    <row r="105" spans="1:4" ht="18.75" hidden="1" x14ac:dyDescent="0.25">
      <c r="A105" s="21" t="s">
        <v>101</v>
      </c>
      <c r="B105" s="6"/>
      <c r="C105" s="6"/>
      <c r="D105" s="7">
        <f t="shared" si="1"/>
        <v>0</v>
      </c>
    </row>
    <row r="106" spans="1:4" ht="18.75" hidden="1" x14ac:dyDescent="0.25">
      <c r="A106" s="11" t="s">
        <v>102</v>
      </c>
      <c r="B106" s="6"/>
      <c r="C106" s="6"/>
      <c r="D106" s="7">
        <f t="shared" si="1"/>
        <v>0</v>
      </c>
    </row>
    <row r="107" spans="1:4" ht="18.75" x14ac:dyDescent="0.25">
      <c r="A107" s="9" t="s">
        <v>103</v>
      </c>
      <c r="B107" s="6">
        <v>150</v>
      </c>
      <c r="C107" s="6">
        <v>8000</v>
      </c>
      <c r="D107" s="7">
        <f t="shared" si="1"/>
        <v>1200000</v>
      </c>
    </row>
    <row r="108" spans="1:4" ht="18.75" hidden="1" x14ac:dyDescent="0.25">
      <c r="A108" s="17" t="s">
        <v>104</v>
      </c>
      <c r="B108" s="6"/>
      <c r="C108" s="6"/>
      <c r="D108" s="7">
        <f t="shared" si="1"/>
        <v>0</v>
      </c>
    </row>
    <row r="109" spans="1:4" ht="18.75" x14ac:dyDescent="0.25">
      <c r="A109" s="9" t="s">
        <v>105</v>
      </c>
      <c r="B109" s="6">
        <v>2</v>
      </c>
      <c r="C109" s="6">
        <v>15000</v>
      </c>
      <c r="D109" s="7">
        <f t="shared" si="1"/>
        <v>30000</v>
      </c>
    </row>
    <row r="110" spans="1:4" ht="18.75" hidden="1" x14ac:dyDescent="0.25">
      <c r="A110" s="9" t="s">
        <v>106</v>
      </c>
      <c r="B110" s="6"/>
      <c r="C110" s="6"/>
      <c r="D110" s="7">
        <f t="shared" si="1"/>
        <v>0</v>
      </c>
    </row>
    <row r="111" spans="1:4" ht="18.75" hidden="1" x14ac:dyDescent="0.25">
      <c r="A111" s="11" t="s">
        <v>107</v>
      </c>
      <c r="B111" s="6"/>
      <c r="C111" s="6"/>
      <c r="D111" s="7">
        <f t="shared" si="1"/>
        <v>0</v>
      </c>
    </row>
    <row r="112" spans="1:4" ht="18.75" hidden="1" x14ac:dyDescent="0.25">
      <c r="A112" s="25" t="s">
        <v>108</v>
      </c>
      <c r="B112" s="6"/>
      <c r="C112" s="6"/>
      <c r="D112" s="7">
        <f t="shared" si="1"/>
        <v>0</v>
      </c>
    </row>
    <row r="113" spans="1:4" ht="18.75" hidden="1" x14ac:dyDescent="0.25">
      <c r="A113" s="9" t="s">
        <v>109</v>
      </c>
      <c r="B113" s="6"/>
      <c r="C113" s="6"/>
      <c r="D113" s="7">
        <f t="shared" si="1"/>
        <v>0</v>
      </c>
    </row>
    <row r="114" spans="1:4" ht="18.75" hidden="1" x14ac:dyDescent="0.25">
      <c r="A114" s="9" t="s">
        <v>381</v>
      </c>
      <c r="B114" s="6"/>
      <c r="C114" s="6"/>
      <c r="D114" s="7">
        <f t="shared" si="1"/>
        <v>0</v>
      </c>
    </row>
    <row r="115" spans="1:4" ht="18.75" hidden="1" x14ac:dyDescent="0.25">
      <c r="A115" s="12" t="s">
        <v>386</v>
      </c>
      <c r="B115" s="15"/>
      <c r="C115" s="15"/>
      <c r="D115" s="7">
        <f t="shared" si="1"/>
        <v>0</v>
      </c>
    </row>
    <row r="116" spans="1:4" ht="18.75" x14ac:dyDescent="0.25">
      <c r="A116" s="9" t="s">
        <v>110</v>
      </c>
      <c r="B116" s="6">
        <v>25</v>
      </c>
      <c r="C116" s="6">
        <v>16000</v>
      </c>
      <c r="D116" s="7">
        <f t="shared" si="1"/>
        <v>400000</v>
      </c>
    </row>
    <row r="117" spans="1:4" ht="18.75" hidden="1" x14ac:dyDescent="0.25">
      <c r="A117" s="9" t="s">
        <v>111</v>
      </c>
      <c r="B117" s="6"/>
      <c r="C117" s="6"/>
      <c r="D117" s="7">
        <f t="shared" si="1"/>
        <v>0</v>
      </c>
    </row>
    <row r="118" spans="1:4" ht="18.75" hidden="1" x14ac:dyDescent="0.25">
      <c r="A118" s="9" t="s">
        <v>112</v>
      </c>
      <c r="B118" s="6"/>
      <c r="C118" s="6"/>
      <c r="D118" s="7">
        <f t="shared" si="1"/>
        <v>0</v>
      </c>
    </row>
    <row r="119" spans="1:4" ht="18.75" hidden="1" x14ac:dyDescent="0.25">
      <c r="A119" s="9" t="s">
        <v>113</v>
      </c>
      <c r="B119" s="6"/>
      <c r="C119" s="6"/>
      <c r="D119" s="7">
        <f t="shared" si="1"/>
        <v>0</v>
      </c>
    </row>
    <row r="120" spans="1:4" ht="18.75" hidden="1" x14ac:dyDescent="0.25">
      <c r="A120" s="9" t="s">
        <v>114</v>
      </c>
      <c r="B120" s="6"/>
      <c r="C120" s="6"/>
      <c r="D120" s="7">
        <f t="shared" si="1"/>
        <v>0</v>
      </c>
    </row>
    <row r="121" spans="1:4" ht="18.75" hidden="1" x14ac:dyDescent="0.25">
      <c r="A121" s="9" t="s">
        <v>115</v>
      </c>
      <c r="B121" s="6"/>
      <c r="C121" s="6"/>
      <c r="D121" s="7">
        <f t="shared" si="1"/>
        <v>0</v>
      </c>
    </row>
    <row r="122" spans="1:4" ht="18.75" hidden="1" x14ac:dyDescent="0.25">
      <c r="A122" s="9" t="s">
        <v>116</v>
      </c>
      <c r="B122" s="6"/>
      <c r="C122" s="6"/>
      <c r="D122" s="7">
        <f t="shared" si="1"/>
        <v>0</v>
      </c>
    </row>
    <row r="123" spans="1:4" ht="18.75" hidden="1" x14ac:dyDescent="0.25">
      <c r="A123" s="28" t="s">
        <v>412</v>
      </c>
      <c r="B123" s="6"/>
      <c r="C123" s="6"/>
      <c r="D123" s="7">
        <f t="shared" si="1"/>
        <v>0</v>
      </c>
    </row>
    <row r="124" spans="1:4" ht="18.75" hidden="1" x14ac:dyDescent="0.25">
      <c r="A124" s="11" t="s">
        <v>117</v>
      </c>
      <c r="B124" s="6"/>
      <c r="C124" s="6"/>
      <c r="D124" s="7">
        <f t="shared" si="1"/>
        <v>0</v>
      </c>
    </row>
    <row r="125" spans="1:4" ht="18.75" hidden="1" x14ac:dyDescent="0.25">
      <c r="A125" s="21" t="s">
        <v>118</v>
      </c>
      <c r="B125" s="6"/>
      <c r="C125" s="6"/>
      <c r="D125" s="7">
        <f t="shared" si="1"/>
        <v>0</v>
      </c>
    </row>
    <row r="126" spans="1:4" ht="18.75" hidden="1" x14ac:dyDescent="0.25">
      <c r="A126" s="11" t="s">
        <v>395</v>
      </c>
      <c r="B126" s="6"/>
      <c r="C126" s="6"/>
      <c r="D126" s="7">
        <f t="shared" si="1"/>
        <v>0</v>
      </c>
    </row>
    <row r="127" spans="1:4" ht="18.75" hidden="1" x14ac:dyDescent="0.25">
      <c r="A127" s="9" t="s">
        <v>391</v>
      </c>
      <c r="B127" s="6"/>
      <c r="C127" s="6"/>
      <c r="D127" s="7">
        <f t="shared" si="1"/>
        <v>0</v>
      </c>
    </row>
    <row r="128" spans="1:4" ht="18.75" hidden="1" x14ac:dyDescent="0.25">
      <c r="A128" s="11" t="s">
        <v>392</v>
      </c>
      <c r="B128" s="6"/>
      <c r="C128" s="6"/>
      <c r="D128" s="7">
        <f t="shared" si="1"/>
        <v>0</v>
      </c>
    </row>
    <row r="129" spans="1:4" ht="18.75" hidden="1" x14ac:dyDescent="0.25">
      <c r="A129" s="9" t="s">
        <v>119</v>
      </c>
      <c r="B129" s="6"/>
      <c r="C129" s="6"/>
      <c r="D129" s="7">
        <f t="shared" si="1"/>
        <v>0</v>
      </c>
    </row>
    <row r="130" spans="1:4" ht="18.75" hidden="1" x14ac:dyDescent="0.25">
      <c r="A130" s="11" t="s">
        <v>120</v>
      </c>
      <c r="B130" s="6"/>
      <c r="C130" s="6"/>
      <c r="D130" s="7">
        <f t="shared" si="1"/>
        <v>0</v>
      </c>
    </row>
    <row r="131" spans="1:4" ht="18.75" hidden="1" x14ac:dyDescent="0.25">
      <c r="A131" s="11" t="s">
        <v>121</v>
      </c>
      <c r="B131" s="6"/>
      <c r="C131" s="6"/>
      <c r="D131" s="7">
        <f t="shared" si="1"/>
        <v>0</v>
      </c>
    </row>
    <row r="132" spans="1:4" ht="18.75" hidden="1" x14ac:dyDescent="0.25">
      <c r="A132" s="17" t="s">
        <v>382</v>
      </c>
      <c r="B132" s="6"/>
      <c r="C132" s="6"/>
      <c r="D132" s="7">
        <f t="shared" ref="D132:D195" si="2">B132*C132</f>
        <v>0</v>
      </c>
    </row>
    <row r="133" spans="1:4" ht="18.75" hidden="1" x14ac:dyDescent="0.25">
      <c r="A133" s="13" t="s">
        <v>383</v>
      </c>
      <c r="B133" s="6"/>
      <c r="C133" s="6"/>
      <c r="D133" s="7">
        <f t="shared" si="2"/>
        <v>0</v>
      </c>
    </row>
    <row r="134" spans="1:4" ht="18.75" hidden="1" x14ac:dyDescent="0.25">
      <c r="A134" s="13" t="s">
        <v>384</v>
      </c>
      <c r="B134" s="6"/>
      <c r="C134" s="6"/>
      <c r="D134" s="7">
        <f t="shared" si="2"/>
        <v>0</v>
      </c>
    </row>
    <row r="135" spans="1:4" ht="18.75" x14ac:dyDescent="0.25">
      <c r="A135" s="9" t="s">
        <v>122</v>
      </c>
      <c r="B135" s="6">
        <f>-20+50+20+30+20+10</f>
        <v>110</v>
      </c>
      <c r="C135" s="6">
        <v>14000</v>
      </c>
      <c r="D135" s="7">
        <f t="shared" si="2"/>
        <v>1540000</v>
      </c>
    </row>
    <row r="136" spans="1:4" ht="18.75" hidden="1" x14ac:dyDescent="0.25">
      <c r="A136" s="9" t="s">
        <v>123</v>
      </c>
      <c r="B136" s="6"/>
      <c r="C136" s="6"/>
      <c r="D136" s="7">
        <f t="shared" si="2"/>
        <v>0</v>
      </c>
    </row>
    <row r="137" spans="1:4" ht="18.75" hidden="1" x14ac:dyDescent="0.25">
      <c r="A137" s="10" t="s">
        <v>124</v>
      </c>
      <c r="B137" s="6"/>
      <c r="C137" s="6"/>
      <c r="D137" s="7">
        <f t="shared" si="2"/>
        <v>0</v>
      </c>
    </row>
    <row r="138" spans="1:4" ht="18.75" hidden="1" x14ac:dyDescent="0.25">
      <c r="A138" s="13" t="s">
        <v>125</v>
      </c>
      <c r="B138" s="6"/>
      <c r="C138" s="6"/>
      <c r="D138" s="7">
        <f t="shared" si="2"/>
        <v>0</v>
      </c>
    </row>
    <row r="139" spans="1:4" ht="18.75" hidden="1" x14ac:dyDescent="0.25">
      <c r="A139" s="12" t="s">
        <v>126</v>
      </c>
      <c r="B139" s="15"/>
      <c r="C139" s="15"/>
      <c r="D139" s="7">
        <f t="shared" si="2"/>
        <v>0</v>
      </c>
    </row>
    <row r="140" spans="1:4" ht="18.75" hidden="1" x14ac:dyDescent="0.25">
      <c r="A140" s="12" t="s">
        <v>128</v>
      </c>
      <c r="B140" s="15"/>
      <c r="C140" s="15"/>
      <c r="D140" s="7">
        <f t="shared" si="2"/>
        <v>0</v>
      </c>
    </row>
    <row r="141" spans="1:4" ht="18.75" hidden="1" x14ac:dyDescent="0.25">
      <c r="A141" s="12" t="s">
        <v>129</v>
      </c>
      <c r="B141" s="26"/>
      <c r="C141" s="26"/>
      <c r="D141" s="7">
        <f t="shared" si="2"/>
        <v>0</v>
      </c>
    </row>
    <row r="142" spans="1:4" ht="18.75" x14ac:dyDescent="0.25">
      <c r="A142" s="12" t="s">
        <v>131</v>
      </c>
      <c r="B142" s="15">
        <v>1.5</v>
      </c>
      <c r="C142" s="15">
        <v>16000</v>
      </c>
      <c r="D142" s="7">
        <f t="shared" si="2"/>
        <v>24000</v>
      </c>
    </row>
    <row r="143" spans="1:4" ht="18.75" hidden="1" x14ac:dyDescent="0.25">
      <c r="A143" s="9" t="s">
        <v>132</v>
      </c>
      <c r="B143" s="6"/>
      <c r="C143" s="6"/>
      <c r="D143" s="7">
        <f t="shared" si="2"/>
        <v>0</v>
      </c>
    </row>
    <row r="144" spans="1:4" ht="18.75" hidden="1" x14ac:dyDescent="0.25">
      <c r="A144" s="9" t="s">
        <v>133</v>
      </c>
      <c r="B144" s="6"/>
      <c r="C144" s="6"/>
      <c r="D144" s="7">
        <f t="shared" si="2"/>
        <v>0</v>
      </c>
    </row>
    <row r="145" spans="1:4" ht="18.75" hidden="1" x14ac:dyDescent="0.25">
      <c r="A145" s="9" t="s">
        <v>134</v>
      </c>
      <c r="B145" s="6"/>
      <c r="C145" s="6"/>
      <c r="D145" s="7">
        <f t="shared" si="2"/>
        <v>0</v>
      </c>
    </row>
    <row r="146" spans="1:4" ht="18.75" x14ac:dyDescent="0.25">
      <c r="A146" s="9" t="s">
        <v>135</v>
      </c>
      <c r="B146" s="6">
        <f>-60+120</f>
        <v>60</v>
      </c>
      <c r="C146" s="6">
        <v>16000</v>
      </c>
      <c r="D146" s="7">
        <f t="shared" si="2"/>
        <v>960000</v>
      </c>
    </row>
    <row r="147" spans="1:4" ht="18.75" hidden="1" x14ac:dyDescent="0.25">
      <c r="A147" s="17" t="s">
        <v>136</v>
      </c>
      <c r="B147" s="6"/>
      <c r="C147" s="6"/>
      <c r="D147" s="7">
        <f t="shared" si="2"/>
        <v>0</v>
      </c>
    </row>
    <row r="148" spans="1:4" ht="18.75" hidden="1" x14ac:dyDescent="0.25">
      <c r="A148" s="12" t="s">
        <v>137</v>
      </c>
      <c r="B148" s="6"/>
      <c r="C148" s="6"/>
      <c r="D148" s="7">
        <f t="shared" si="2"/>
        <v>0</v>
      </c>
    </row>
    <row r="149" spans="1:4" ht="18.75" hidden="1" x14ac:dyDescent="0.25">
      <c r="A149" s="12" t="s">
        <v>138</v>
      </c>
      <c r="B149" s="6"/>
      <c r="C149" s="6"/>
      <c r="D149" s="7">
        <f t="shared" si="2"/>
        <v>0</v>
      </c>
    </row>
    <row r="150" spans="1:4" ht="18.75" hidden="1" x14ac:dyDescent="0.25">
      <c r="A150" s="9" t="s">
        <v>139</v>
      </c>
      <c r="B150" s="6"/>
      <c r="C150" s="6"/>
      <c r="D150" s="7">
        <f t="shared" si="2"/>
        <v>0</v>
      </c>
    </row>
    <row r="151" spans="1:4" ht="18.75" hidden="1" x14ac:dyDescent="0.25">
      <c r="A151" s="9" t="s">
        <v>140</v>
      </c>
      <c r="B151" s="6"/>
      <c r="C151" s="6"/>
      <c r="D151" s="7">
        <f t="shared" si="2"/>
        <v>0</v>
      </c>
    </row>
    <row r="152" spans="1:4" ht="18.75" hidden="1" x14ac:dyDescent="0.25">
      <c r="A152" s="9" t="s">
        <v>141</v>
      </c>
      <c r="B152" s="15"/>
      <c r="C152" s="15"/>
      <c r="D152" s="7">
        <f t="shared" si="2"/>
        <v>0</v>
      </c>
    </row>
    <row r="153" spans="1:4" ht="18.75" hidden="1" x14ac:dyDescent="0.25">
      <c r="A153" s="9" t="s">
        <v>142</v>
      </c>
      <c r="B153" s="15"/>
      <c r="C153" s="15"/>
      <c r="D153" s="7">
        <f t="shared" si="2"/>
        <v>0</v>
      </c>
    </row>
    <row r="154" spans="1:4" ht="18.75" hidden="1" x14ac:dyDescent="0.25">
      <c r="A154" s="9" t="s">
        <v>143</v>
      </c>
      <c r="B154" s="6"/>
      <c r="C154" s="6"/>
      <c r="D154" s="7">
        <f t="shared" si="2"/>
        <v>0</v>
      </c>
    </row>
    <row r="155" spans="1:4" ht="18.75" hidden="1" x14ac:dyDescent="0.25">
      <c r="A155" s="9" t="s">
        <v>144</v>
      </c>
      <c r="B155" s="15"/>
      <c r="C155" s="15"/>
      <c r="D155" s="7">
        <f t="shared" si="2"/>
        <v>0</v>
      </c>
    </row>
    <row r="156" spans="1:4" ht="18.75" hidden="1" x14ac:dyDescent="0.25">
      <c r="A156" s="9" t="s">
        <v>145</v>
      </c>
      <c r="B156" s="15"/>
      <c r="C156" s="15"/>
      <c r="D156" s="7">
        <f t="shared" si="2"/>
        <v>0</v>
      </c>
    </row>
    <row r="157" spans="1:4" ht="18.75" hidden="1" x14ac:dyDescent="0.25">
      <c r="A157" s="9" t="s">
        <v>146</v>
      </c>
      <c r="B157" s="15"/>
      <c r="C157" s="15"/>
      <c r="D157" s="7">
        <f t="shared" si="2"/>
        <v>0</v>
      </c>
    </row>
    <row r="158" spans="1:4" ht="18.75" hidden="1" x14ac:dyDescent="0.25">
      <c r="A158" s="9" t="s">
        <v>147</v>
      </c>
      <c r="B158" s="15"/>
      <c r="C158" s="15"/>
      <c r="D158" s="7">
        <f t="shared" si="2"/>
        <v>0</v>
      </c>
    </row>
    <row r="159" spans="1:4" ht="18.75" hidden="1" x14ac:dyDescent="0.25">
      <c r="A159" s="9" t="s">
        <v>148</v>
      </c>
      <c r="B159" s="15"/>
      <c r="C159" s="15"/>
      <c r="D159" s="7">
        <f t="shared" si="2"/>
        <v>0</v>
      </c>
    </row>
    <row r="160" spans="1:4" ht="18.75" hidden="1" x14ac:dyDescent="0.25">
      <c r="A160" s="9" t="s">
        <v>149</v>
      </c>
      <c r="B160" s="15"/>
      <c r="C160" s="15"/>
      <c r="D160" s="7">
        <f t="shared" si="2"/>
        <v>0</v>
      </c>
    </row>
    <row r="161" spans="1:4" ht="18.75" hidden="1" x14ac:dyDescent="0.25">
      <c r="A161" s="18" t="s">
        <v>150</v>
      </c>
      <c r="B161" s="15"/>
      <c r="C161" s="15"/>
      <c r="D161" s="7">
        <f t="shared" si="2"/>
        <v>0</v>
      </c>
    </row>
    <row r="162" spans="1:4" ht="18.75" hidden="1" x14ac:dyDescent="0.25">
      <c r="A162" s="9" t="s">
        <v>151</v>
      </c>
      <c r="B162" s="15"/>
      <c r="C162" s="15"/>
      <c r="D162" s="7">
        <f t="shared" si="2"/>
        <v>0</v>
      </c>
    </row>
    <row r="163" spans="1:4" ht="18.75" hidden="1" x14ac:dyDescent="0.25">
      <c r="A163" s="9" t="s">
        <v>152</v>
      </c>
      <c r="B163" s="6"/>
      <c r="C163" s="6"/>
      <c r="D163" s="7">
        <f t="shared" si="2"/>
        <v>0</v>
      </c>
    </row>
    <row r="164" spans="1:4" ht="18.75" hidden="1" x14ac:dyDescent="0.25">
      <c r="A164" s="9" t="s">
        <v>153</v>
      </c>
      <c r="B164" s="6"/>
      <c r="C164" s="6"/>
      <c r="D164" s="7">
        <f t="shared" si="2"/>
        <v>0</v>
      </c>
    </row>
    <row r="165" spans="1:4" ht="18.75" hidden="1" x14ac:dyDescent="0.25">
      <c r="A165" s="9" t="s">
        <v>154</v>
      </c>
      <c r="B165" s="6"/>
      <c r="C165" s="6"/>
      <c r="D165" s="7">
        <f t="shared" si="2"/>
        <v>0</v>
      </c>
    </row>
    <row r="166" spans="1:4" ht="18.75" hidden="1" x14ac:dyDescent="0.25">
      <c r="A166" s="9" t="s">
        <v>155</v>
      </c>
      <c r="B166" s="6"/>
      <c r="C166" s="6"/>
      <c r="D166" s="7">
        <f t="shared" si="2"/>
        <v>0</v>
      </c>
    </row>
    <row r="167" spans="1:4" ht="18.75" hidden="1" x14ac:dyDescent="0.25">
      <c r="A167" s="17" t="s">
        <v>156</v>
      </c>
      <c r="B167" s="6"/>
      <c r="C167" s="6"/>
      <c r="D167" s="7">
        <f t="shared" si="2"/>
        <v>0</v>
      </c>
    </row>
    <row r="168" spans="1:4" ht="18.75" hidden="1" x14ac:dyDescent="0.25">
      <c r="A168" s="9" t="s">
        <v>157</v>
      </c>
      <c r="B168" s="6"/>
      <c r="C168" s="6"/>
      <c r="D168" s="7">
        <f t="shared" si="2"/>
        <v>0</v>
      </c>
    </row>
    <row r="169" spans="1:4" ht="18.75" hidden="1" x14ac:dyDescent="0.25">
      <c r="A169" s="9" t="s">
        <v>158</v>
      </c>
      <c r="B169" s="6"/>
      <c r="C169" s="6"/>
      <c r="D169" s="7">
        <f t="shared" si="2"/>
        <v>0</v>
      </c>
    </row>
    <row r="170" spans="1:4" ht="18.75" hidden="1" x14ac:dyDescent="0.25">
      <c r="A170" s="9" t="s">
        <v>159</v>
      </c>
      <c r="B170" s="6"/>
      <c r="C170" s="6"/>
      <c r="D170" s="7">
        <f t="shared" si="2"/>
        <v>0</v>
      </c>
    </row>
    <row r="171" spans="1:4" ht="18.75" hidden="1" x14ac:dyDescent="0.25">
      <c r="A171" s="9" t="s">
        <v>160</v>
      </c>
      <c r="B171" s="6"/>
      <c r="C171" s="6"/>
      <c r="D171" s="7">
        <f t="shared" si="2"/>
        <v>0</v>
      </c>
    </row>
    <row r="172" spans="1:4" ht="18.75" hidden="1" x14ac:dyDescent="0.25">
      <c r="A172" s="9" t="s">
        <v>161</v>
      </c>
      <c r="B172" s="15"/>
      <c r="C172" s="15"/>
      <c r="D172" s="7">
        <f t="shared" si="2"/>
        <v>0</v>
      </c>
    </row>
    <row r="173" spans="1:4" ht="18.75" hidden="1" x14ac:dyDescent="0.25">
      <c r="A173" s="9" t="s">
        <v>162</v>
      </c>
      <c r="B173" s="15"/>
      <c r="C173" s="15"/>
      <c r="D173" s="7">
        <f t="shared" si="2"/>
        <v>0</v>
      </c>
    </row>
    <row r="174" spans="1:4" ht="18.75" hidden="1" x14ac:dyDescent="0.25">
      <c r="A174" s="9" t="s">
        <v>163</v>
      </c>
      <c r="B174" s="15"/>
      <c r="C174" s="15"/>
      <c r="D174" s="7">
        <f t="shared" si="2"/>
        <v>0</v>
      </c>
    </row>
    <row r="175" spans="1:4" ht="18.75" hidden="1" x14ac:dyDescent="0.25">
      <c r="A175" s="9" t="s">
        <v>164</v>
      </c>
      <c r="B175" s="6"/>
      <c r="C175" s="6"/>
      <c r="D175" s="7">
        <f t="shared" si="2"/>
        <v>0</v>
      </c>
    </row>
    <row r="176" spans="1:4" ht="18.75" hidden="1" x14ac:dyDescent="0.25">
      <c r="A176" s="9" t="s">
        <v>165</v>
      </c>
      <c r="B176" s="6"/>
      <c r="C176" s="6"/>
      <c r="D176" s="7">
        <f t="shared" si="2"/>
        <v>0</v>
      </c>
    </row>
    <row r="177" spans="1:4" ht="18.75" hidden="1" x14ac:dyDescent="0.25">
      <c r="A177" s="17" t="s">
        <v>166</v>
      </c>
      <c r="B177" s="6"/>
      <c r="C177" s="6"/>
      <c r="D177" s="7">
        <f t="shared" si="2"/>
        <v>0</v>
      </c>
    </row>
    <row r="178" spans="1:4" ht="18.75" hidden="1" x14ac:dyDescent="0.25">
      <c r="A178" s="9" t="s">
        <v>168</v>
      </c>
      <c r="B178" s="6"/>
      <c r="C178" s="29"/>
      <c r="D178" s="7">
        <f t="shared" si="2"/>
        <v>0</v>
      </c>
    </row>
    <row r="179" spans="1:4" ht="18.75" hidden="1" x14ac:dyDescent="0.25">
      <c r="A179" s="30" t="s">
        <v>169</v>
      </c>
      <c r="B179" s="6"/>
      <c r="C179" s="6"/>
      <c r="D179" s="7">
        <f t="shared" si="2"/>
        <v>0</v>
      </c>
    </row>
    <row r="180" spans="1:4" ht="18.75" hidden="1" x14ac:dyDescent="0.25">
      <c r="A180" s="9" t="s">
        <v>170</v>
      </c>
      <c r="B180" s="6"/>
      <c r="C180" s="6"/>
      <c r="D180" s="7">
        <f t="shared" si="2"/>
        <v>0</v>
      </c>
    </row>
    <row r="181" spans="1:4" ht="18.75" hidden="1" x14ac:dyDescent="0.25">
      <c r="A181" s="9" t="s">
        <v>171</v>
      </c>
      <c r="B181" s="6"/>
      <c r="C181" s="6"/>
      <c r="D181" s="7">
        <f t="shared" si="2"/>
        <v>0</v>
      </c>
    </row>
    <row r="182" spans="1:4" ht="18.75" hidden="1" x14ac:dyDescent="0.25">
      <c r="A182" s="20" t="s">
        <v>172</v>
      </c>
      <c r="B182" s="6"/>
      <c r="C182" s="6"/>
      <c r="D182" s="7">
        <f t="shared" si="2"/>
        <v>0</v>
      </c>
    </row>
    <row r="183" spans="1:4" ht="18.75" hidden="1" x14ac:dyDescent="0.25">
      <c r="A183" s="9" t="s">
        <v>173</v>
      </c>
      <c r="B183" s="6"/>
      <c r="C183" s="6"/>
      <c r="D183" s="7">
        <f t="shared" si="2"/>
        <v>0</v>
      </c>
    </row>
    <row r="184" spans="1:4" ht="18.75" hidden="1" x14ac:dyDescent="0.25">
      <c r="A184" s="31" t="s">
        <v>174</v>
      </c>
      <c r="B184" s="32"/>
      <c r="C184" s="32"/>
      <c r="D184" s="7">
        <f t="shared" si="2"/>
        <v>0</v>
      </c>
    </row>
    <row r="185" spans="1:4" ht="18.75" hidden="1" x14ac:dyDescent="0.25">
      <c r="A185" s="11" t="s">
        <v>175</v>
      </c>
      <c r="B185" s="6"/>
      <c r="C185" s="6"/>
      <c r="D185" s="7">
        <f t="shared" si="2"/>
        <v>0</v>
      </c>
    </row>
    <row r="186" spans="1:4" ht="18.75" x14ac:dyDescent="0.25">
      <c r="A186" s="9" t="s">
        <v>176</v>
      </c>
      <c r="B186" s="6">
        <v>2</v>
      </c>
      <c r="C186" s="6">
        <v>43000</v>
      </c>
      <c r="D186" s="7">
        <f t="shared" si="2"/>
        <v>86000</v>
      </c>
    </row>
    <row r="187" spans="1:4" ht="18.75" hidden="1" x14ac:dyDescent="0.25">
      <c r="A187" s="9" t="s">
        <v>177</v>
      </c>
      <c r="B187" s="6"/>
      <c r="C187" s="6"/>
      <c r="D187" s="7">
        <f t="shared" si="2"/>
        <v>0</v>
      </c>
    </row>
    <row r="188" spans="1:4" ht="18.75" hidden="1" x14ac:dyDescent="0.25">
      <c r="A188" s="12" t="s">
        <v>178</v>
      </c>
      <c r="B188" s="6"/>
      <c r="C188" s="6"/>
      <c r="D188" s="7">
        <f t="shared" si="2"/>
        <v>0</v>
      </c>
    </row>
    <row r="189" spans="1:4" ht="18.75" hidden="1" x14ac:dyDescent="0.25">
      <c r="A189" s="9" t="s">
        <v>179</v>
      </c>
      <c r="B189" s="6"/>
      <c r="C189" s="6"/>
      <c r="D189" s="7">
        <f t="shared" si="2"/>
        <v>0</v>
      </c>
    </row>
    <row r="190" spans="1:4" ht="18.75" hidden="1" x14ac:dyDescent="0.25">
      <c r="A190" s="9" t="s">
        <v>180</v>
      </c>
      <c r="B190" s="6"/>
      <c r="C190" s="6"/>
      <c r="D190" s="7">
        <f t="shared" si="2"/>
        <v>0</v>
      </c>
    </row>
    <row r="191" spans="1:4" ht="18.75" hidden="1" x14ac:dyDescent="0.25">
      <c r="A191" s="12" t="s">
        <v>181</v>
      </c>
      <c r="B191" s="6"/>
      <c r="C191" s="6"/>
      <c r="D191" s="7">
        <f t="shared" si="2"/>
        <v>0</v>
      </c>
    </row>
    <row r="192" spans="1:4" ht="18.75" hidden="1" x14ac:dyDescent="0.25">
      <c r="A192" s="12" t="s">
        <v>182</v>
      </c>
      <c r="B192" s="6"/>
      <c r="C192" s="6"/>
      <c r="D192" s="7">
        <f t="shared" si="2"/>
        <v>0</v>
      </c>
    </row>
    <row r="193" spans="1:4" ht="18.75" x14ac:dyDescent="0.25">
      <c r="A193" s="12" t="s">
        <v>183</v>
      </c>
      <c r="B193" s="6">
        <f>70+200+15</f>
        <v>285</v>
      </c>
      <c r="C193" s="6">
        <v>12000</v>
      </c>
      <c r="D193" s="7">
        <f t="shared" si="2"/>
        <v>3420000</v>
      </c>
    </row>
    <row r="194" spans="1:4" ht="18.75" x14ac:dyDescent="0.25">
      <c r="A194" s="9" t="s">
        <v>184</v>
      </c>
      <c r="B194" s="6">
        <f>190/0.3</f>
        <v>633.33333333333337</v>
      </c>
      <c r="C194" s="6">
        <v>2700</v>
      </c>
      <c r="D194" s="7">
        <f t="shared" si="2"/>
        <v>1710000</v>
      </c>
    </row>
    <row r="195" spans="1:4" ht="18.75" hidden="1" x14ac:dyDescent="0.25">
      <c r="A195" s="9" t="s">
        <v>185</v>
      </c>
      <c r="B195" s="6"/>
      <c r="C195" s="6"/>
      <c r="D195" s="7">
        <f t="shared" si="2"/>
        <v>0</v>
      </c>
    </row>
    <row r="196" spans="1:4" ht="18.75" hidden="1" x14ac:dyDescent="0.25">
      <c r="A196" s="12" t="s">
        <v>186</v>
      </c>
      <c r="B196" s="6"/>
      <c r="C196" s="6"/>
      <c r="D196" s="7">
        <f t="shared" ref="D196:D259" si="3">B196*C196</f>
        <v>0</v>
      </c>
    </row>
    <row r="197" spans="1:4" ht="18.75" x14ac:dyDescent="0.25">
      <c r="A197" s="12" t="s">
        <v>187</v>
      </c>
      <c r="B197" s="6">
        <f>10+15</f>
        <v>25</v>
      </c>
      <c r="C197" s="6">
        <v>20000</v>
      </c>
      <c r="D197" s="7">
        <f t="shared" si="3"/>
        <v>500000</v>
      </c>
    </row>
    <row r="198" spans="1:4" ht="18.75" hidden="1" x14ac:dyDescent="0.25">
      <c r="A198" s="12" t="s">
        <v>188</v>
      </c>
      <c r="B198" s="6"/>
      <c r="C198" s="6"/>
      <c r="D198" s="7">
        <f t="shared" si="3"/>
        <v>0</v>
      </c>
    </row>
    <row r="199" spans="1:4" ht="18.75" hidden="1" x14ac:dyDescent="0.25">
      <c r="A199" s="17" t="s">
        <v>189</v>
      </c>
      <c r="B199" s="6"/>
      <c r="C199" s="6"/>
      <c r="D199" s="7">
        <f t="shared" si="3"/>
        <v>0</v>
      </c>
    </row>
    <row r="200" spans="1:4" ht="18.75" hidden="1" x14ac:dyDescent="0.25">
      <c r="A200" s="17" t="s">
        <v>190</v>
      </c>
      <c r="B200" s="6"/>
      <c r="C200" s="6"/>
      <c r="D200" s="7">
        <f t="shared" si="3"/>
        <v>0</v>
      </c>
    </row>
    <row r="201" spans="1:4" ht="18.75" hidden="1" x14ac:dyDescent="0.25">
      <c r="A201" s="17" t="s">
        <v>191</v>
      </c>
      <c r="B201" s="6"/>
      <c r="C201" s="6"/>
      <c r="D201" s="7">
        <f t="shared" si="3"/>
        <v>0</v>
      </c>
    </row>
    <row r="202" spans="1:4" ht="18.75" hidden="1" x14ac:dyDescent="0.25">
      <c r="A202" s="17" t="s">
        <v>192</v>
      </c>
      <c r="B202" s="6"/>
      <c r="C202" s="6"/>
      <c r="D202" s="7">
        <f t="shared" si="3"/>
        <v>0</v>
      </c>
    </row>
    <row r="203" spans="1:4" ht="18.75" hidden="1" x14ac:dyDescent="0.25">
      <c r="A203" s="12" t="s">
        <v>193</v>
      </c>
      <c r="B203" s="6"/>
      <c r="C203" s="6"/>
      <c r="D203" s="7">
        <f t="shared" si="3"/>
        <v>0</v>
      </c>
    </row>
    <row r="204" spans="1:4" ht="18.75" x14ac:dyDescent="0.25">
      <c r="A204" s="12" t="s">
        <v>414</v>
      </c>
      <c r="B204" s="6">
        <v>290</v>
      </c>
      <c r="C204" s="6">
        <v>35000</v>
      </c>
      <c r="D204" s="7">
        <f t="shared" si="3"/>
        <v>10150000</v>
      </c>
    </row>
    <row r="205" spans="1:4" ht="18.75" hidden="1" x14ac:dyDescent="0.25">
      <c r="A205" s="9" t="s">
        <v>194</v>
      </c>
      <c r="B205" s="6"/>
      <c r="C205" s="6"/>
      <c r="D205" s="7">
        <f t="shared" si="3"/>
        <v>0</v>
      </c>
    </row>
    <row r="206" spans="1:4" ht="18.75" hidden="1" x14ac:dyDescent="0.25">
      <c r="A206" s="34" t="s">
        <v>195</v>
      </c>
      <c r="B206" s="6"/>
      <c r="C206" s="6"/>
      <c r="D206" s="7">
        <f t="shared" si="3"/>
        <v>0</v>
      </c>
    </row>
    <row r="207" spans="1:4" ht="18.75" hidden="1" x14ac:dyDescent="0.25">
      <c r="A207" s="34" t="s">
        <v>196</v>
      </c>
      <c r="B207" s="6"/>
      <c r="C207" s="6"/>
      <c r="D207" s="7">
        <f t="shared" si="3"/>
        <v>0</v>
      </c>
    </row>
    <row r="208" spans="1:4" ht="18.75" hidden="1" x14ac:dyDescent="0.25">
      <c r="A208" s="34" t="s">
        <v>197</v>
      </c>
      <c r="B208" s="6"/>
      <c r="C208" s="6"/>
      <c r="D208" s="7">
        <f t="shared" si="3"/>
        <v>0</v>
      </c>
    </row>
    <row r="209" spans="1:4" ht="18.75" hidden="1" x14ac:dyDescent="0.25">
      <c r="A209" s="34" t="s">
        <v>198</v>
      </c>
      <c r="B209" s="6"/>
      <c r="C209" s="6"/>
      <c r="D209" s="7">
        <f t="shared" si="3"/>
        <v>0</v>
      </c>
    </row>
    <row r="210" spans="1:4" ht="18.75" hidden="1" x14ac:dyDescent="0.25">
      <c r="A210" s="9" t="s">
        <v>199</v>
      </c>
      <c r="B210" s="6"/>
      <c r="C210" s="6"/>
      <c r="D210" s="7">
        <f t="shared" si="3"/>
        <v>0</v>
      </c>
    </row>
    <row r="211" spans="1:4" ht="18.75" hidden="1" x14ac:dyDescent="0.25">
      <c r="A211" s="35" t="s">
        <v>200</v>
      </c>
      <c r="B211" s="6"/>
      <c r="C211" s="6"/>
      <c r="D211" s="7">
        <f t="shared" si="3"/>
        <v>0</v>
      </c>
    </row>
    <row r="212" spans="1:4" ht="18.75" x14ac:dyDescent="0.25">
      <c r="A212" s="9" t="s">
        <v>201</v>
      </c>
      <c r="B212" s="6">
        <v>550</v>
      </c>
      <c r="C212" s="6">
        <v>21000</v>
      </c>
      <c r="D212" s="7">
        <f t="shared" si="3"/>
        <v>11550000</v>
      </c>
    </row>
    <row r="213" spans="1:4" ht="18.75" x14ac:dyDescent="0.25">
      <c r="A213" s="12" t="s">
        <v>202</v>
      </c>
      <c r="B213" s="6">
        <v>400</v>
      </c>
      <c r="C213" s="6">
        <v>19000</v>
      </c>
      <c r="D213" s="7">
        <f t="shared" si="3"/>
        <v>7600000</v>
      </c>
    </row>
    <row r="214" spans="1:4" ht="18.75" hidden="1" x14ac:dyDescent="0.25">
      <c r="A214" s="9" t="s">
        <v>203</v>
      </c>
      <c r="B214" s="6"/>
      <c r="C214" s="6"/>
      <c r="D214" s="7">
        <f t="shared" si="3"/>
        <v>0</v>
      </c>
    </row>
    <row r="215" spans="1:4" ht="18.75" x14ac:dyDescent="0.25">
      <c r="A215" s="9" t="s">
        <v>204</v>
      </c>
      <c r="B215" s="6">
        <f>-100+250+100+40+30</f>
        <v>320</v>
      </c>
      <c r="C215" s="6">
        <v>20000</v>
      </c>
      <c r="D215" s="7">
        <f t="shared" si="3"/>
        <v>6400000</v>
      </c>
    </row>
    <row r="216" spans="1:4" ht="18.75" hidden="1" x14ac:dyDescent="0.25">
      <c r="A216" s="36" t="s">
        <v>205</v>
      </c>
      <c r="B216" s="6"/>
      <c r="C216" s="6"/>
      <c r="D216" s="7">
        <f t="shared" si="3"/>
        <v>0</v>
      </c>
    </row>
    <row r="217" spans="1:4" ht="18.75" hidden="1" x14ac:dyDescent="0.25">
      <c r="A217" s="36" t="s">
        <v>206</v>
      </c>
      <c r="B217" s="6"/>
      <c r="C217" s="6"/>
      <c r="D217" s="7">
        <f t="shared" si="3"/>
        <v>0</v>
      </c>
    </row>
    <row r="218" spans="1:4" ht="18.75" hidden="1" x14ac:dyDescent="0.25">
      <c r="A218" s="9" t="s">
        <v>207</v>
      </c>
      <c r="B218" s="6"/>
      <c r="C218" s="6"/>
      <c r="D218" s="7">
        <f t="shared" si="3"/>
        <v>0</v>
      </c>
    </row>
    <row r="219" spans="1:4" ht="18.75" hidden="1" x14ac:dyDescent="0.25">
      <c r="A219" s="11" t="s">
        <v>208</v>
      </c>
      <c r="B219" s="6"/>
      <c r="C219" s="6"/>
      <c r="D219" s="7">
        <f t="shared" si="3"/>
        <v>0</v>
      </c>
    </row>
    <row r="220" spans="1:4" ht="18.75" hidden="1" x14ac:dyDescent="0.25">
      <c r="A220" s="9" t="s">
        <v>209</v>
      </c>
      <c r="B220" s="6"/>
      <c r="C220" s="6"/>
      <c r="D220" s="7">
        <f t="shared" si="3"/>
        <v>0</v>
      </c>
    </row>
    <row r="221" spans="1:4" ht="18.75" x14ac:dyDescent="0.25">
      <c r="A221" s="9" t="s">
        <v>210</v>
      </c>
      <c r="B221" s="6">
        <f>30+10+10+10</f>
        <v>60</v>
      </c>
      <c r="C221" s="6">
        <v>12000</v>
      </c>
      <c r="D221" s="7">
        <f t="shared" si="3"/>
        <v>720000</v>
      </c>
    </row>
    <row r="222" spans="1:4" ht="18.75" hidden="1" x14ac:dyDescent="0.25">
      <c r="A222" s="9" t="s">
        <v>211</v>
      </c>
      <c r="B222" s="6"/>
      <c r="C222" s="6"/>
      <c r="D222" s="7">
        <f t="shared" si="3"/>
        <v>0</v>
      </c>
    </row>
    <row r="223" spans="1:4" ht="18.75" hidden="1" x14ac:dyDescent="0.25">
      <c r="A223" s="9" t="s">
        <v>212</v>
      </c>
      <c r="B223" s="6"/>
      <c r="C223" s="6"/>
      <c r="D223" s="7">
        <f t="shared" si="3"/>
        <v>0</v>
      </c>
    </row>
    <row r="224" spans="1:4" ht="18.75" hidden="1" x14ac:dyDescent="0.25">
      <c r="A224" s="37" t="s">
        <v>213</v>
      </c>
      <c r="B224" s="6"/>
      <c r="C224" s="6"/>
      <c r="D224" s="7">
        <f t="shared" si="3"/>
        <v>0</v>
      </c>
    </row>
    <row r="225" spans="1:4" ht="18.75" hidden="1" x14ac:dyDescent="0.25">
      <c r="A225" s="9" t="s">
        <v>214</v>
      </c>
      <c r="B225" s="6"/>
      <c r="C225" s="6"/>
      <c r="D225" s="7">
        <f t="shared" si="3"/>
        <v>0</v>
      </c>
    </row>
    <row r="226" spans="1:4" ht="18.75" x14ac:dyDescent="0.25">
      <c r="A226" s="9" t="s">
        <v>215</v>
      </c>
      <c r="B226" s="6">
        <f>-300+220+110+60</f>
        <v>90</v>
      </c>
      <c r="C226" s="6">
        <v>15000</v>
      </c>
      <c r="D226" s="7">
        <f t="shared" si="3"/>
        <v>1350000</v>
      </c>
    </row>
    <row r="227" spans="1:4" ht="18.75" hidden="1" x14ac:dyDescent="0.25">
      <c r="A227" s="9" t="s">
        <v>216</v>
      </c>
      <c r="B227" s="6"/>
      <c r="C227" s="6"/>
      <c r="D227" s="7">
        <f t="shared" si="3"/>
        <v>0</v>
      </c>
    </row>
    <row r="228" spans="1:4" ht="18.75" hidden="1" x14ac:dyDescent="0.25">
      <c r="A228" s="9" t="s">
        <v>217</v>
      </c>
      <c r="B228" s="6"/>
      <c r="C228" s="6"/>
      <c r="D228" s="7">
        <f t="shared" si="3"/>
        <v>0</v>
      </c>
    </row>
    <row r="229" spans="1:4" ht="18.75" hidden="1" x14ac:dyDescent="0.25">
      <c r="A229" s="17" t="s">
        <v>218</v>
      </c>
      <c r="B229" s="6"/>
      <c r="C229" s="6"/>
      <c r="D229" s="7">
        <f t="shared" si="3"/>
        <v>0</v>
      </c>
    </row>
    <row r="230" spans="1:4" ht="18.75" hidden="1" x14ac:dyDescent="0.25">
      <c r="A230" s="17" t="s">
        <v>219</v>
      </c>
      <c r="B230" s="6"/>
      <c r="C230" s="6"/>
      <c r="D230" s="7">
        <f t="shared" si="3"/>
        <v>0</v>
      </c>
    </row>
    <row r="231" spans="1:4" ht="18.75" x14ac:dyDescent="0.25">
      <c r="A231" s="17" t="s">
        <v>220</v>
      </c>
      <c r="B231" s="6">
        <v>1</v>
      </c>
      <c r="C231" s="6">
        <v>45000</v>
      </c>
      <c r="D231" s="7">
        <f t="shared" si="3"/>
        <v>45000</v>
      </c>
    </row>
    <row r="232" spans="1:4" ht="18.75" hidden="1" x14ac:dyDescent="0.25">
      <c r="A232" s="17" t="s">
        <v>221</v>
      </c>
      <c r="B232" s="6"/>
      <c r="C232" s="6"/>
      <c r="D232" s="7">
        <f t="shared" si="3"/>
        <v>0</v>
      </c>
    </row>
    <row r="233" spans="1:4" ht="18.75" hidden="1" x14ac:dyDescent="0.25">
      <c r="A233" s="9" t="s">
        <v>222</v>
      </c>
      <c r="B233" s="6"/>
      <c r="C233" s="6"/>
      <c r="D233" s="7">
        <f t="shared" si="3"/>
        <v>0</v>
      </c>
    </row>
    <row r="234" spans="1:4" ht="18.75" hidden="1" x14ac:dyDescent="0.25">
      <c r="A234" s="9" t="s">
        <v>223</v>
      </c>
      <c r="B234" s="6"/>
      <c r="C234" s="6"/>
      <c r="D234" s="7">
        <f t="shared" si="3"/>
        <v>0</v>
      </c>
    </row>
    <row r="235" spans="1:4" ht="18.75" hidden="1" x14ac:dyDescent="0.25">
      <c r="A235" s="17" t="s">
        <v>224</v>
      </c>
      <c r="B235" s="6"/>
      <c r="C235" s="6"/>
      <c r="D235" s="7">
        <f t="shared" si="3"/>
        <v>0</v>
      </c>
    </row>
    <row r="236" spans="1:4" ht="18.75" hidden="1" x14ac:dyDescent="0.25">
      <c r="A236" s="17" t="s">
        <v>225</v>
      </c>
      <c r="B236" s="6"/>
      <c r="C236" s="6"/>
      <c r="D236" s="7">
        <f t="shared" si="3"/>
        <v>0</v>
      </c>
    </row>
    <row r="237" spans="1:4" ht="18.75" hidden="1" x14ac:dyDescent="0.25">
      <c r="A237" s="11" t="s">
        <v>226</v>
      </c>
      <c r="B237" s="6"/>
      <c r="C237" s="6"/>
      <c r="D237" s="7">
        <f t="shared" si="3"/>
        <v>0</v>
      </c>
    </row>
    <row r="238" spans="1:4" ht="18.75" hidden="1" x14ac:dyDescent="0.25">
      <c r="A238" s="12" t="s">
        <v>227</v>
      </c>
      <c r="B238" s="6"/>
      <c r="C238" s="6"/>
      <c r="D238" s="7">
        <f t="shared" si="3"/>
        <v>0</v>
      </c>
    </row>
    <row r="239" spans="1:4" ht="18.75" hidden="1" x14ac:dyDescent="0.25">
      <c r="A239" s="11" t="s">
        <v>228</v>
      </c>
      <c r="B239" s="6"/>
      <c r="C239" s="6"/>
      <c r="D239" s="7">
        <f t="shared" si="3"/>
        <v>0</v>
      </c>
    </row>
    <row r="240" spans="1:4" ht="18.75" hidden="1" x14ac:dyDescent="0.25">
      <c r="A240" s="17" t="s">
        <v>229</v>
      </c>
      <c r="B240" s="6"/>
      <c r="C240" s="6"/>
      <c r="D240" s="7">
        <f t="shared" si="3"/>
        <v>0</v>
      </c>
    </row>
    <row r="241" spans="1:4" ht="18.75" hidden="1" x14ac:dyDescent="0.25">
      <c r="A241" s="11" t="s">
        <v>230</v>
      </c>
      <c r="B241" s="6"/>
      <c r="C241" s="6"/>
      <c r="D241" s="7">
        <f t="shared" si="3"/>
        <v>0</v>
      </c>
    </row>
    <row r="242" spans="1:4" ht="18.75" hidden="1" x14ac:dyDescent="0.25">
      <c r="A242" s="11" t="s">
        <v>231</v>
      </c>
      <c r="B242" s="6"/>
      <c r="C242" s="6"/>
      <c r="D242" s="7">
        <f t="shared" si="3"/>
        <v>0</v>
      </c>
    </row>
    <row r="243" spans="1:4" ht="18.75" hidden="1" x14ac:dyDescent="0.25">
      <c r="A243" s="11" t="s">
        <v>232</v>
      </c>
      <c r="B243" s="6"/>
      <c r="C243" s="6"/>
      <c r="D243" s="7">
        <f t="shared" si="3"/>
        <v>0</v>
      </c>
    </row>
    <row r="244" spans="1:4" ht="18.75" hidden="1" x14ac:dyDescent="0.25">
      <c r="A244" s="9" t="s">
        <v>233</v>
      </c>
      <c r="B244" s="6"/>
      <c r="C244" s="6"/>
      <c r="D244" s="7">
        <f t="shared" si="3"/>
        <v>0</v>
      </c>
    </row>
    <row r="245" spans="1:4" ht="18.75" hidden="1" x14ac:dyDescent="0.25">
      <c r="A245" s="9" t="s">
        <v>234</v>
      </c>
      <c r="B245" s="6"/>
      <c r="C245" s="6"/>
      <c r="D245" s="7">
        <f t="shared" si="3"/>
        <v>0</v>
      </c>
    </row>
    <row r="246" spans="1:4" ht="18.75" hidden="1" x14ac:dyDescent="0.25">
      <c r="A246" s="11" t="s">
        <v>235</v>
      </c>
      <c r="B246" s="6"/>
      <c r="C246" s="6"/>
      <c r="D246" s="7">
        <f t="shared" si="3"/>
        <v>0</v>
      </c>
    </row>
    <row r="247" spans="1:4" ht="18.75" hidden="1" x14ac:dyDescent="0.25">
      <c r="A247" s="36" t="s">
        <v>236</v>
      </c>
      <c r="B247" s="6"/>
      <c r="C247" s="6"/>
      <c r="D247" s="7">
        <f t="shared" si="3"/>
        <v>0</v>
      </c>
    </row>
    <row r="248" spans="1:4" ht="18.75" hidden="1" x14ac:dyDescent="0.25">
      <c r="A248" s="9" t="s">
        <v>237</v>
      </c>
      <c r="B248" s="6"/>
      <c r="C248" s="6"/>
      <c r="D248" s="7">
        <f t="shared" si="3"/>
        <v>0</v>
      </c>
    </row>
    <row r="249" spans="1:4" ht="18.75" hidden="1" x14ac:dyDescent="0.25">
      <c r="A249" s="9" t="s">
        <v>238</v>
      </c>
      <c r="B249" s="6"/>
      <c r="C249" s="6"/>
      <c r="D249" s="7">
        <f t="shared" si="3"/>
        <v>0</v>
      </c>
    </row>
    <row r="250" spans="1:4" ht="18.75" hidden="1" x14ac:dyDescent="0.25">
      <c r="A250" s="13" t="s">
        <v>239</v>
      </c>
      <c r="B250" s="6"/>
      <c r="C250" s="6"/>
      <c r="D250" s="7">
        <f t="shared" si="3"/>
        <v>0</v>
      </c>
    </row>
    <row r="251" spans="1:4" ht="18.75" hidden="1" x14ac:dyDescent="0.25">
      <c r="A251" s="13" t="s">
        <v>240</v>
      </c>
      <c r="B251" s="6"/>
      <c r="C251" s="6"/>
      <c r="D251" s="7">
        <f t="shared" si="3"/>
        <v>0</v>
      </c>
    </row>
    <row r="252" spans="1:4" ht="18.75" hidden="1" x14ac:dyDescent="0.25">
      <c r="A252" s="34" t="s">
        <v>241</v>
      </c>
      <c r="B252" s="6"/>
      <c r="C252" s="6"/>
      <c r="D252" s="7">
        <f t="shared" si="3"/>
        <v>0</v>
      </c>
    </row>
    <row r="253" spans="1:4" ht="18.75" hidden="1" x14ac:dyDescent="0.25">
      <c r="A253" s="9" t="s">
        <v>242</v>
      </c>
      <c r="B253" s="6"/>
      <c r="C253" s="6"/>
      <c r="D253" s="7">
        <f t="shared" si="3"/>
        <v>0</v>
      </c>
    </row>
    <row r="254" spans="1:4" ht="18.75" hidden="1" x14ac:dyDescent="0.25">
      <c r="A254" s="9" t="s">
        <v>243</v>
      </c>
      <c r="B254" s="6"/>
      <c r="C254" s="6"/>
      <c r="D254" s="7">
        <f t="shared" si="3"/>
        <v>0</v>
      </c>
    </row>
    <row r="255" spans="1:4" ht="18.75" hidden="1" x14ac:dyDescent="0.25">
      <c r="A255" s="9" t="s">
        <v>244</v>
      </c>
      <c r="B255" s="15"/>
      <c r="C255" s="15"/>
      <c r="D255" s="7">
        <f t="shared" si="3"/>
        <v>0</v>
      </c>
    </row>
    <row r="256" spans="1:4" ht="18.75" hidden="1" x14ac:dyDescent="0.25">
      <c r="A256" s="34" t="s">
        <v>245</v>
      </c>
      <c r="B256" s="6"/>
      <c r="C256" s="6"/>
      <c r="D256" s="7">
        <f t="shared" si="3"/>
        <v>0</v>
      </c>
    </row>
    <row r="257" spans="1:4" ht="18.75" hidden="1" x14ac:dyDescent="0.25">
      <c r="A257" s="9" t="s">
        <v>246</v>
      </c>
      <c r="B257" s="15"/>
      <c r="C257" s="15"/>
      <c r="D257" s="7">
        <f t="shared" si="3"/>
        <v>0</v>
      </c>
    </row>
    <row r="258" spans="1:4" ht="18.75" x14ac:dyDescent="0.25">
      <c r="A258" s="9" t="s">
        <v>247</v>
      </c>
      <c r="B258" s="6">
        <v>2</v>
      </c>
      <c r="C258" s="6">
        <v>14000</v>
      </c>
      <c r="D258" s="7">
        <f t="shared" si="3"/>
        <v>28000</v>
      </c>
    </row>
    <row r="259" spans="1:4" ht="18.75" hidden="1" x14ac:dyDescent="0.25">
      <c r="A259" s="11" t="s">
        <v>248</v>
      </c>
      <c r="B259" s="6"/>
      <c r="C259" s="6"/>
      <c r="D259" s="7">
        <f t="shared" si="3"/>
        <v>0</v>
      </c>
    </row>
    <row r="260" spans="1:4" ht="18.75" hidden="1" x14ac:dyDescent="0.25">
      <c r="A260" s="11" t="s">
        <v>249</v>
      </c>
      <c r="B260" s="6"/>
      <c r="C260" s="6"/>
      <c r="D260" s="7">
        <f t="shared" ref="D260:D323" si="4">B260*C260</f>
        <v>0</v>
      </c>
    </row>
    <row r="261" spans="1:4" ht="18.75" x14ac:dyDescent="0.25">
      <c r="A261" s="9" t="s">
        <v>250</v>
      </c>
      <c r="B261" s="6">
        <f>-20+40+160+50+25+40+25</f>
        <v>320</v>
      </c>
      <c r="C261" s="6">
        <v>27000</v>
      </c>
      <c r="D261" s="7">
        <f t="shared" si="4"/>
        <v>8640000</v>
      </c>
    </row>
    <row r="262" spans="1:4" ht="18.75" x14ac:dyDescent="0.25">
      <c r="A262" s="9" t="s">
        <v>251</v>
      </c>
      <c r="B262" s="6">
        <v>20</v>
      </c>
      <c r="C262" s="6">
        <v>20000</v>
      </c>
      <c r="D262" s="7">
        <f t="shared" si="4"/>
        <v>400000</v>
      </c>
    </row>
    <row r="263" spans="1:4" ht="18.75" hidden="1" x14ac:dyDescent="0.25">
      <c r="A263" s="9" t="s">
        <v>252</v>
      </c>
      <c r="B263" s="6"/>
      <c r="C263" s="6"/>
      <c r="D263" s="7">
        <f t="shared" si="4"/>
        <v>0</v>
      </c>
    </row>
    <row r="264" spans="1:4" ht="18.75" hidden="1" x14ac:dyDescent="0.25">
      <c r="A264" s="9" t="s">
        <v>253</v>
      </c>
      <c r="B264" s="6"/>
      <c r="C264" s="6"/>
      <c r="D264" s="7">
        <f t="shared" si="4"/>
        <v>0</v>
      </c>
    </row>
    <row r="265" spans="1:4" ht="18.75" hidden="1" x14ac:dyDescent="0.25">
      <c r="A265" s="9" t="s">
        <v>254</v>
      </c>
      <c r="B265" s="6"/>
      <c r="C265" s="6"/>
      <c r="D265" s="7">
        <f t="shared" si="4"/>
        <v>0</v>
      </c>
    </row>
    <row r="266" spans="1:4" ht="18.75" hidden="1" x14ac:dyDescent="0.25">
      <c r="A266" s="17" t="s">
        <v>255</v>
      </c>
      <c r="B266" s="6"/>
      <c r="C266" s="6"/>
      <c r="D266" s="7">
        <f t="shared" si="4"/>
        <v>0</v>
      </c>
    </row>
    <row r="267" spans="1:4" ht="18.75" hidden="1" x14ac:dyDescent="0.25">
      <c r="A267" s="21" t="s">
        <v>256</v>
      </c>
      <c r="B267" s="6"/>
      <c r="C267" s="6"/>
      <c r="D267" s="7">
        <f t="shared" si="4"/>
        <v>0</v>
      </c>
    </row>
    <row r="268" spans="1:4" ht="18.75" x14ac:dyDescent="0.25">
      <c r="A268" s="9" t="s">
        <v>258</v>
      </c>
      <c r="B268" s="6">
        <f>-20+100+40+20+10</f>
        <v>150</v>
      </c>
      <c r="C268" s="6">
        <v>25000</v>
      </c>
      <c r="D268" s="7">
        <f t="shared" si="4"/>
        <v>3750000</v>
      </c>
    </row>
    <row r="269" spans="1:4" ht="18.75" x14ac:dyDescent="0.25">
      <c r="A269" s="9" t="s">
        <v>259</v>
      </c>
      <c r="B269" s="6">
        <f>4+20+20</f>
        <v>44</v>
      </c>
      <c r="C269" s="6">
        <v>20000</v>
      </c>
      <c r="D269" s="7">
        <f t="shared" si="4"/>
        <v>880000</v>
      </c>
    </row>
    <row r="270" spans="1:4" ht="18.75" hidden="1" x14ac:dyDescent="0.25">
      <c r="A270" s="9" t="s">
        <v>260</v>
      </c>
      <c r="B270" s="6"/>
      <c r="C270" s="6"/>
      <c r="D270" s="7">
        <f t="shared" si="4"/>
        <v>0</v>
      </c>
    </row>
    <row r="271" spans="1:4" ht="18.75" hidden="1" x14ac:dyDescent="0.25">
      <c r="A271" s="9" t="s">
        <v>261</v>
      </c>
      <c r="B271" s="6"/>
      <c r="C271" s="6"/>
      <c r="D271" s="7">
        <f t="shared" si="4"/>
        <v>0</v>
      </c>
    </row>
    <row r="272" spans="1:4" ht="18.75" x14ac:dyDescent="0.25">
      <c r="A272" s="9" t="s">
        <v>262</v>
      </c>
      <c r="B272" s="6">
        <f>-20+40+10+20</f>
        <v>50</v>
      </c>
      <c r="C272" s="6">
        <v>24000</v>
      </c>
      <c r="D272" s="7">
        <f t="shared" si="4"/>
        <v>1200000</v>
      </c>
    </row>
    <row r="273" spans="1:4" ht="18.75" x14ac:dyDescent="0.25">
      <c r="A273" s="9" t="s">
        <v>263</v>
      </c>
      <c r="B273" s="6">
        <f>15+10+25+25</f>
        <v>75</v>
      </c>
      <c r="C273" s="6">
        <v>17000</v>
      </c>
      <c r="D273" s="7">
        <f t="shared" si="4"/>
        <v>1275000</v>
      </c>
    </row>
    <row r="274" spans="1:4" ht="18.75" hidden="1" x14ac:dyDescent="0.25">
      <c r="A274" s="9" t="s">
        <v>264</v>
      </c>
      <c r="B274" s="6"/>
      <c r="C274" s="6"/>
      <c r="D274" s="7">
        <f t="shared" si="4"/>
        <v>0</v>
      </c>
    </row>
    <row r="275" spans="1:4" ht="18.75" hidden="1" x14ac:dyDescent="0.25">
      <c r="A275" s="9" t="s">
        <v>265</v>
      </c>
      <c r="B275" s="15"/>
      <c r="C275" s="15"/>
      <c r="D275" s="7">
        <f t="shared" si="4"/>
        <v>0</v>
      </c>
    </row>
    <row r="276" spans="1:4" ht="18.75" hidden="1" x14ac:dyDescent="0.25">
      <c r="A276" s="13" t="s">
        <v>266</v>
      </c>
      <c r="B276" s="6"/>
      <c r="C276" s="6"/>
      <c r="D276" s="7">
        <f t="shared" si="4"/>
        <v>0</v>
      </c>
    </row>
    <row r="277" spans="1:4" ht="18.75" hidden="1" x14ac:dyDescent="0.25">
      <c r="A277" s="9" t="s">
        <v>267</v>
      </c>
      <c r="B277" s="6"/>
      <c r="C277" s="6"/>
      <c r="D277" s="7">
        <f t="shared" si="4"/>
        <v>0</v>
      </c>
    </row>
    <row r="278" spans="1:4" ht="18.75" hidden="1" x14ac:dyDescent="0.25">
      <c r="A278" s="11" t="s">
        <v>268</v>
      </c>
      <c r="B278" s="6"/>
      <c r="C278" s="6"/>
      <c r="D278" s="7">
        <f t="shared" si="4"/>
        <v>0</v>
      </c>
    </row>
    <row r="279" spans="1:4" ht="18.75" hidden="1" x14ac:dyDescent="0.25">
      <c r="A279" s="9" t="s">
        <v>269</v>
      </c>
      <c r="B279" s="6"/>
      <c r="C279" s="6"/>
      <c r="D279" s="7">
        <f t="shared" si="4"/>
        <v>0</v>
      </c>
    </row>
    <row r="280" spans="1:4" ht="18.75" hidden="1" x14ac:dyDescent="0.25">
      <c r="A280" s="9" t="s">
        <v>270</v>
      </c>
      <c r="B280" s="6"/>
      <c r="C280" s="6"/>
      <c r="D280" s="7">
        <f t="shared" si="4"/>
        <v>0</v>
      </c>
    </row>
    <row r="281" spans="1:4" ht="18.75" hidden="1" x14ac:dyDescent="0.25">
      <c r="A281" s="9" t="s">
        <v>271</v>
      </c>
      <c r="B281" s="6"/>
      <c r="C281" s="6"/>
      <c r="D281" s="7">
        <f t="shared" si="4"/>
        <v>0</v>
      </c>
    </row>
    <row r="282" spans="1:4" ht="18.75" hidden="1" x14ac:dyDescent="0.25">
      <c r="A282" s="9" t="s">
        <v>272</v>
      </c>
      <c r="B282" s="6"/>
      <c r="C282" s="6"/>
      <c r="D282" s="7">
        <f t="shared" si="4"/>
        <v>0</v>
      </c>
    </row>
    <row r="283" spans="1:4" ht="18.75" x14ac:dyDescent="0.25">
      <c r="A283" s="9" t="s">
        <v>273</v>
      </c>
      <c r="B283" s="6">
        <v>10</v>
      </c>
      <c r="C283" s="6">
        <v>33000</v>
      </c>
      <c r="D283" s="7">
        <f t="shared" si="4"/>
        <v>330000</v>
      </c>
    </row>
    <row r="284" spans="1:4" ht="18.75" hidden="1" x14ac:dyDescent="0.25">
      <c r="A284" s="9" t="s">
        <v>274</v>
      </c>
      <c r="B284" s="6"/>
      <c r="C284" s="6"/>
      <c r="D284" s="7">
        <f t="shared" si="4"/>
        <v>0</v>
      </c>
    </row>
    <row r="285" spans="1:4" ht="18.75" hidden="1" x14ac:dyDescent="0.25">
      <c r="A285" s="9" t="s">
        <v>275</v>
      </c>
      <c r="B285" s="6"/>
      <c r="C285" s="6"/>
      <c r="D285" s="7">
        <f t="shared" si="4"/>
        <v>0</v>
      </c>
    </row>
    <row r="286" spans="1:4" ht="18.75" hidden="1" x14ac:dyDescent="0.25">
      <c r="A286" s="34" t="s">
        <v>276</v>
      </c>
      <c r="B286" s="6"/>
      <c r="C286" s="6"/>
      <c r="D286" s="7">
        <f t="shared" si="4"/>
        <v>0</v>
      </c>
    </row>
    <row r="287" spans="1:4" ht="18.75" hidden="1" x14ac:dyDescent="0.25">
      <c r="A287" s="9" t="s">
        <v>277</v>
      </c>
      <c r="B287" s="6"/>
      <c r="C287" s="6"/>
      <c r="D287" s="7">
        <f t="shared" si="4"/>
        <v>0</v>
      </c>
    </row>
    <row r="288" spans="1:4" ht="18.75" hidden="1" x14ac:dyDescent="0.25">
      <c r="A288" s="34" t="s">
        <v>278</v>
      </c>
      <c r="B288" s="6"/>
      <c r="C288" s="6"/>
      <c r="D288" s="7">
        <f t="shared" si="4"/>
        <v>0</v>
      </c>
    </row>
    <row r="289" spans="1:4" ht="18.75" hidden="1" x14ac:dyDescent="0.25">
      <c r="A289" s="34" t="s">
        <v>279</v>
      </c>
      <c r="B289" s="6"/>
      <c r="C289" s="6"/>
      <c r="D289" s="7">
        <f t="shared" si="4"/>
        <v>0</v>
      </c>
    </row>
    <row r="290" spans="1:4" ht="18.75" hidden="1" x14ac:dyDescent="0.25">
      <c r="A290" s="12" t="s">
        <v>280</v>
      </c>
      <c r="B290" s="15"/>
      <c r="C290" s="15"/>
      <c r="D290" s="7">
        <f t="shared" si="4"/>
        <v>0</v>
      </c>
    </row>
    <row r="291" spans="1:4" ht="18.75" hidden="1" x14ac:dyDescent="0.25">
      <c r="A291" s="12" t="s">
        <v>281</v>
      </c>
      <c r="B291" s="6"/>
      <c r="C291" s="6"/>
      <c r="D291" s="7">
        <f t="shared" si="4"/>
        <v>0</v>
      </c>
    </row>
    <row r="292" spans="1:4" ht="18.75" hidden="1" x14ac:dyDescent="0.25">
      <c r="A292" s="11" t="s">
        <v>282</v>
      </c>
      <c r="B292" s="6"/>
      <c r="C292" s="6"/>
      <c r="D292" s="7">
        <f t="shared" si="4"/>
        <v>0</v>
      </c>
    </row>
    <row r="293" spans="1:4" ht="18.75" hidden="1" x14ac:dyDescent="0.25">
      <c r="A293" s="11" t="s">
        <v>283</v>
      </c>
      <c r="B293" s="6"/>
      <c r="C293" s="6"/>
      <c r="D293" s="7">
        <f t="shared" si="4"/>
        <v>0</v>
      </c>
    </row>
    <row r="294" spans="1:4" ht="18.75" hidden="1" x14ac:dyDescent="0.25">
      <c r="A294" s="17" t="s">
        <v>284</v>
      </c>
      <c r="B294" s="6"/>
      <c r="C294" s="6"/>
      <c r="D294" s="7">
        <f t="shared" si="4"/>
        <v>0</v>
      </c>
    </row>
    <row r="295" spans="1:4" ht="18.75" hidden="1" x14ac:dyDescent="0.25">
      <c r="A295" s="17" t="s">
        <v>285</v>
      </c>
      <c r="B295" s="6"/>
      <c r="C295" s="6"/>
      <c r="D295" s="7">
        <f t="shared" si="4"/>
        <v>0</v>
      </c>
    </row>
    <row r="296" spans="1:4" ht="18.75" hidden="1" x14ac:dyDescent="0.25">
      <c r="A296" s="17" t="s">
        <v>286</v>
      </c>
      <c r="B296" s="6"/>
      <c r="C296" s="6"/>
      <c r="D296" s="7">
        <f t="shared" si="4"/>
        <v>0</v>
      </c>
    </row>
    <row r="297" spans="1:4" ht="18.75" x14ac:dyDescent="0.25">
      <c r="A297" s="9" t="s">
        <v>287</v>
      </c>
      <c r="B297" s="6">
        <f>5+15+25</f>
        <v>45</v>
      </c>
      <c r="C297" s="6">
        <v>14000</v>
      </c>
      <c r="D297" s="7">
        <f t="shared" si="4"/>
        <v>630000</v>
      </c>
    </row>
    <row r="298" spans="1:4" ht="18.75" hidden="1" x14ac:dyDescent="0.25">
      <c r="A298" s="17" t="s">
        <v>288</v>
      </c>
      <c r="B298" s="6"/>
      <c r="C298" s="6"/>
      <c r="D298" s="7">
        <f t="shared" si="4"/>
        <v>0</v>
      </c>
    </row>
    <row r="299" spans="1:4" ht="18.75" hidden="1" x14ac:dyDescent="0.25">
      <c r="A299" s="9" t="s">
        <v>289</v>
      </c>
      <c r="B299" s="6"/>
      <c r="C299" s="6"/>
      <c r="D299" s="7">
        <f t="shared" si="4"/>
        <v>0</v>
      </c>
    </row>
    <row r="300" spans="1:4" ht="18.75" x14ac:dyDescent="0.25">
      <c r="A300" s="9" t="s">
        <v>290</v>
      </c>
      <c r="B300" s="6">
        <f>30+30+40</f>
        <v>100</v>
      </c>
      <c r="C300" s="6">
        <v>5500</v>
      </c>
      <c r="D300" s="7">
        <f t="shared" si="4"/>
        <v>550000</v>
      </c>
    </row>
    <row r="301" spans="1:4" ht="18.75" hidden="1" x14ac:dyDescent="0.25">
      <c r="A301" s="17" t="s">
        <v>291</v>
      </c>
      <c r="B301" s="6"/>
      <c r="C301" s="6"/>
      <c r="D301" s="7">
        <f t="shared" si="4"/>
        <v>0</v>
      </c>
    </row>
    <row r="302" spans="1:4" ht="18.75" hidden="1" x14ac:dyDescent="0.25">
      <c r="A302" s="25" t="s">
        <v>292</v>
      </c>
      <c r="B302" s="6"/>
      <c r="C302" s="6"/>
      <c r="D302" s="7">
        <f t="shared" si="4"/>
        <v>0</v>
      </c>
    </row>
    <row r="303" spans="1:4" ht="18.75" hidden="1" x14ac:dyDescent="0.25">
      <c r="A303" s="9" t="s">
        <v>293</v>
      </c>
      <c r="B303" s="6"/>
      <c r="C303" s="6"/>
      <c r="D303" s="7">
        <f t="shared" si="4"/>
        <v>0</v>
      </c>
    </row>
    <row r="304" spans="1:4" ht="18.75" hidden="1" x14ac:dyDescent="0.25">
      <c r="A304" s="13" t="s">
        <v>294</v>
      </c>
      <c r="B304" s="6"/>
      <c r="C304" s="6"/>
      <c r="D304" s="7">
        <f t="shared" si="4"/>
        <v>0</v>
      </c>
    </row>
    <row r="305" spans="1:4" ht="18.75" hidden="1" x14ac:dyDescent="0.25">
      <c r="A305" s="35" t="s">
        <v>385</v>
      </c>
      <c r="B305" s="6"/>
      <c r="C305" s="6"/>
      <c r="D305" s="7">
        <f t="shared" si="4"/>
        <v>0</v>
      </c>
    </row>
    <row r="306" spans="1:4" ht="18.75" hidden="1" x14ac:dyDescent="0.25">
      <c r="A306" s="13" t="s">
        <v>295</v>
      </c>
      <c r="B306" s="6"/>
      <c r="C306" s="6"/>
      <c r="D306" s="7">
        <f t="shared" si="4"/>
        <v>0</v>
      </c>
    </row>
    <row r="307" spans="1:4" ht="18.75" hidden="1" x14ac:dyDescent="0.25">
      <c r="A307" s="21" t="s">
        <v>377</v>
      </c>
      <c r="B307" s="6"/>
      <c r="C307" s="6"/>
      <c r="D307" s="7">
        <f t="shared" si="4"/>
        <v>0</v>
      </c>
    </row>
    <row r="308" spans="1:4" ht="18.75" hidden="1" x14ac:dyDescent="0.25">
      <c r="A308" s="17" t="s">
        <v>404</v>
      </c>
      <c r="B308" s="6"/>
      <c r="C308" s="6"/>
      <c r="D308" s="7">
        <f t="shared" si="4"/>
        <v>0</v>
      </c>
    </row>
    <row r="309" spans="1:4" ht="18.75" hidden="1" x14ac:dyDescent="0.25">
      <c r="A309" s="12" t="s">
        <v>296</v>
      </c>
      <c r="B309" s="6"/>
      <c r="C309" s="6"/>
      <c r="D309" s="7">
        <f t="shared" si="4"/>
        <v>0</v>
      </c>
    </row>
    <row r="310" spans="1:4" ht="18.75" hidden="1" x14ac:dyDescent="0.25">
      <c r="A310" s="13" t="s">
        <v>298</v>
      </c>
      <c r="B310" s="6"/>
      <c r="C310" s="6"/>
      <c r="D310" s="7">
        <f t="shared" si="4"/>
        <v>0</v>
      </c>
    </row>
    <row r="311" spans="1:4" ht="18.75" hidden="1" x14ac:dyDescent="0.25">
      <c r="A311" s="9" t="s">
        <v>299</v>
      </c>
      <c r="B311" s="6"/>
      <c r="C311" s="6"/>
      <c r="D311" s="7">
        <f t="shared" si="4"/>
        <v>0</v>
      </c>
    </row>
    <row r="312" spans="1:4" ht="18.75" hidden="1" x14ac:dyDescent="0.25">
      <c r="A312" s="17" t="s">
        <v>300</v>
      </c>
      <c r="B312" s="6"/>
      <c r="C312" s="6"/>
      <c r="D312" s="7">
        <f t="shared" si="4"/>
        <v>0</v>
      </c>
    </row>
    <row r="313" spans="1:4" ht="18.75" hidden="1" x14ac:dyDescent="0.25">
      <c r="A313" s="9" t="s">
        <v>301</v>
      </c>
      <c r="B313" s="6"/>
      <c r="C313" s="6"/>
      <c r="D313" s="7">
        <f t="shared" si="4"/>
        <v>0</v>
      </c>
    </row>
    <row r="314" spans="1:4" ht="18.75" hidden="1" x14ac:dyDescent="0.25">
      <c r="A314" s="9" t="s">
        <v>302</v>
      </c>
      <c r="B314" s="6"/>
      <c r="C314" s="6"/>
      <c r="D314" s="7">
        <f t="shared" si="4"/>
        <v>0</v>
      </c>
    </row>
    <row r="315" spans="1:4" ht="18.75" hidden="1" x14ac:dyDescent="0.25">
      <c r="A315" s="11" t="s">
        <v>303</v>
      </c>
      <c r="B315" s="6"/>
      <c r="C315" s="6"/>
      <c r="D315" s="7">
        <f t="shared" si="4"/>
        <v>0</v>
      </c>
    </row>
    <row r="316" spans="1:4" ht="18.75" hidden="1" x14ac:dyDescent="0.25">
      <c r="A316" s="12" t="s">
        <v>304</v>
      </c>
      <c r="B316" s="6"/>
      <c r="C316" s="6"/>
      <c r="D316" s="7">
        <f t="shared" si="4"/>
        <v>0</v>
      </c>
    </row>
    <row r="317" spans="1:4" ht="18.75" hidden="1" x14ac:dyDescent="0.25">
      <c r="A317" s="12" t="s">
        <v>305</v>
      </c>
      <c r="B317" s="6"/>
      <c r="C317" s="6"/>
      <c r="D317" s="7">
        <f t="shared" si="4"/>
        <v>0</v>
      </c>
    </row>
    <row r="318" spans="1:4" ht="18.75" hidden="1" x14ac:dyDescent="0.25">
      <c r="A318" s="9" t="s">
        <v>306</v>
      </c>
      <c r="B318" s="6"/>
      <c r="C318" s="6"/>
      <c r="D318" s="7">
        <f t="shared" si="4"/>
        <v>0</v>
      </c>
    </row>
    <row r="319" spans="1:4" ht="18.75" hidden="1" x14ac:dyDescent="0.25">
      <c r="A319" s="9" t="s">
        <v>307</v>
      </c>
      <c r="B319" s="6"/>
      <c r="C319" s="6"/>
      <c r="D319" s="7">
        <f t="shared" si="4"/>
        <v>0</v>
      </c>
    </row>
    <row r="320" spans="1:4" ht="18.75" hidden="1" x14ac:dyDescent="0.25">
      <c r="A320" s="9" t="s">
        <v>308</v>
      </c>
      <c r="B320" s="6"/>
      <c r="C320" s="6"/>
      <c r="D320" s="7">
        <f t="shared" si="4"/>
        <v>0</v>
      </c>
    </row>
    <row r="321" spans="1:4" ht="18.75" hidden="1" x14ac:dyDescent="0.25">
      <c r="A321" s="13" t="s">
        <v>309</v>
      </c>
      <c r="B321" s="6"/>
      <c r="C321" s="6"/>
      <c r="D321" s="7">
        <f t="shared" si="4"/>
        <v>0</v>
      </c>
    </row>
    <row r="322" spans="1:4" ht="18.75" hidden="1" x14ac:dyDescent="0.25">
      <c r="A322" s="13" t="s">
        <v>310</v>
      </c>
      <c r="B322" s="6"/>
      <c r="C322" s="6"/>
      <c r="D322" s="7">
        <f t="shared" si="4"/>
        <v>0</v>
      </c>
    </row>
    <row r="323" spans="1:4" ht="18.75" hidden="1" x14ac:dyDescent="0.25">
      <c r="A323" s="21" t="s">
        <v>311</v>
      </c>
      <c r="B323" s="6"/>
      <c r="C323" s="6"/>
      <c r="D323" s="7">
        <f t="shared" si="4"/>
        <v>0</v>
      </c>
    </row>
    <row r="324" spans="1:4" ht="18.75" hidden="1" x14ac:dyDescent="0.25">
      <c r="A324" s="13" t="s">
        <v>312</v>
      </c>
      <c r="B324" s="6"/>
      <c r="C324" s="6"/>
      <c r="D324" s="7">
        <f t="shared" ref="D324:D387" si="5">B324*C324</f>
        <v>0</v>
      </c>
    </row>
    <row r="325" spans="1:4" ht="18.75" hidden="1" x14ac:dyDescent="0.25">
      <c r="A325" s="9" t="s">
        <v>313</v>
      </c>
      <c r="B325" s="6"/>
      <c r="C325" s="6"/>
      <c r="D325" s="7">
        <f t="shared" si="5"/>
        <v>0</v>
      </c>
    </row>
    <row r="326" spans="1:4" ht="18.75" hidden="1" x14ac:dyDescent="0.25">
      <c r="A326" s="9" t="s">
        <v>314</v>
      </c>
      <c r="B326" s="6"/>
      <c r="C326" s="6"/>
      <c r="D326" s="7">
        <f t="shared" si="5"/>
        <v>0</v>
      </c>
    </row>
    <row r="327" spans="1:4" ht="18.75" hidden="1" x14ac:dyDescent="0.25">
      <c r="A327" s="9" t="s">
        <v>315</v>
      </c>
      <c r="B327" s="6"/>
      <c r="C327" s="6"/>
      <c r="D327" s="7">
        <f t="shared" si="5"/>
        <v>0</v>
      </c>
    </row>
    <row r="328" spans="1:4" ht="18.75" hidden="1" x14ac:dyDescent="0.25">
      <c r="A328" s="9" t="s">
        <v>316</v>
      </c>
      <c r="B328" s="6"/>
      <c r="C328" s="6"/>
      <c r="D328" s="7">
        <f t="shared" si="5"/>
        <v>0</v>
      </c>
    </row>
    <row r="329" spans="1:4" ht="18.75" hidden="1" x14ac:dyDescent="0.25">
      <c r="A329" s="21" t="s">
        <v>317</v>
      </c>
      <c r="B329" s="6"/>
      <c r="C329" s="6"/>
      <c r="D329" s="7">
        <f t="shared" si="5"/>
        <v>0</v>
      </c>
    </row>
    <row r="330" spans="1:4" ht="18.75" hidden="1" x14ac:dyDescent="0.25">
      <c r="A330" s="9" t="s">
        <v>318</v>
      </c>
      <c r="B330" s="6"/>
      <c r="C330" s="6"/>
      <c r="D330" s="7">
        <f t="shared" si="5"/>
        <v>0</v>
      </c>
    </row>
    <row r="331" spans="1:4" ht="18.75" hidden="1" x14ac:dyDescent="0.25">
      <c r="A331" s="9" t="s">
        <v>319</v>
      </c>
      <c r="B331" s="6"/>
      <c r="C331" s="6"/>
      <c r="D331" s="7">
        <f t="shared" si="5"/>
        <v>0</v>
      </c>
    </row>
    <row r="332" spans="1:4" ht="18.75" hidden="1" x14ac:dyDescent="0.25">
      <c r="A332" s="12" t="s">
        <v>320</v>
      </c>
      <c r="B332" s="6"/>
      <c r="C332" s="6"/>
      <c r="D332" s="7">
        <f t="shared" si="5"/>
        <v>0</v>
      </c>
    </row>
    <row r="333" spans="1:4" ht="18.75" hidden="1" x14ac:dyDescent="0.25">
      <c r="A333" s="9" t="s">
        <v>321</v>
      </c>
      <c r="B333" s="38"/>
      <c r="C333" s="38"/>
      <c r="D333" s="7">
        <f t="shared" si="5"/>
        <v>0</v>
      </c>
    </row>
    <row r="334" spans="1:4" ht="18.75" hidden="1" x14ac:dyDescent="0.25">
      <c r="A334" s="9" t="s">
        <v>322</v>
      </c>
      <c r="B334" s="6"/>
      <c r="C334" s="6"/>
      <c r="D334" s="7">
        <f t="shared" si="5"/>
        <v>0</v>
      </c>
    </row>
    <row r="335" spans="1:4" ht="18.75" hidden="1" x14ac:dyDescent="0.25">
      <c r="A335" s="9" t="s">
        <v>323</v>
      </c>
      <c r="B335" s="6"/>
      <c r="C335" s="6"/>
      <c r="D335" s="7">
        <f t="shared" si="5"/>
        <v>0</v>
      </c>
    </row>
    <row r="336" spans="1:4" ht="18.75" hidden="1" x14ac:dyDescent="0.25">
      <c r="A336" s="21" t="s">
        <v>324</v>
      </c>
      <c r="B336" s="6"/>
      <c r="C336" s="6"/>
      <c r="D336" s="7">
        <f t="shared" si="5"/>
        <v>0</v>
      </c>
    </row>
    <row r="337" spans="1:4" ht="18.75" hidden="1" x14ac:dyDescent="0.25">
      <c r="A337" s="21" t="s">
        <v>325</v>
      </c>
      <c r="B337" s="6"/>
      <c r="C337" s="6"/>
      <c r="D337" s="7">
        <f t="shared" si="5"/>
        <v>0</v>
      </c>
    </row>
    <row r="338" spans="1:4" ht="18.75" hidden="1" x14ac:dyDescent="0.25">
      <c r="A338" s="9" t="s">
        <v>326</v>
      </c>
      <c r="B338" s="6"/>
      <c r="C338" s="6"/>
      <c r="D338" s="7">
        <f t="shared" si="5"/>
        <v>0</v>
      </c>
    </row>
    <row r="339" spans="1:4" ht="18.75" hidden="1" x14ac:dyDescent="0.25">
      <c r="A339" s="9" t="s">
        <v>327</v>
      </c>
      <c r="B339" s="6"/>
      <c r="C339" s="6"/>
      <c r="D339" s="7">
        <f t="shared" si="5"/>
        <v>0</v>
      </c>
    </row>
    <row r="340" spans="1:4" ht="18.75" hidden="1" x14ac:dyDescent="0.25">
      <c r="A340" s="21" t="s">
        <v>328</v>
      </c>
      <c r="B340" s="6"/>
      <c r="C340" s="6"/>
      <c r="D340" s="7">
        <f t="shared" si="5"/>
        <v>0</v>
      </c>
    </row>
    <row r="341" spans="1:4" ht="18.75" hidden="1" x14ac:dyDescent="0.25">
      <c r="A341" s="9" t="s">
        <v>329</v>
      </c>
      <c r="B341" s="6"/>
      <c r="C341" s="6"/>
      <c r="D341" s="7">
        <f t="shared" si="5"/>
        <v>0</v>
      </c>
    </row>
    <row r="342" spans="1:4" ht="18.75" hidden="1" x14ac:dyDescent="0.25">
      <c r="A342" s="9" t="s">
        <v>330</v>
      </c>
      <c r="B342" s="6"/>
      <c r="C342" s="6"/>
      <c r="D342" s="7">
        <f t="shared" si="5"/>
        <v>0</v>
      </c>
    </row>
    <row r="343" spans="1:4" ht="18.75" hidden="1" x14ac:dyDescent="0.25">
      <c r="A343" s="9" t="s">
        <v>331</v>
      </c>
      <c r="B343" s="6"/>
      <c r="C343" s="6"/>
      <c r="D343" s="7">
        <f t="shared" si="5"/>
        <v>0</v>
      </c>
    </row>
    <row r="344" spans="1:4" ht="18.75" hidden="1" x14ac:dyDescent="0.25">
      <c r="A344" s="9" t="s">
        <v>332</v>
      </c>
      <c r="B344" s="6"/>
      <c r="C344" s="6"/>
      <c r="D344" s="7">
        <f t="shared" si="5"/>
        <v>0</v>
      </c>
    </row>
    <row r="345" spans="1:4" ht="18.75" hidden="1" x14ac:dyDescent="0.25">
      <c r="A345" s="9" t="s">
        <v>333</v>
      </c>
      <c r="B345" s="6"/>
      <c r="C345" s="6"/>
      <c r="D345" s="7">
        <f t="shared" si="5"/>
        <v>0</v>
      </c>
    </row>
    <row r="346" spans="1:4" ht="18.75" hidden="1" x14ac:dyDescent="0.25">
      <c r="A346" s="9" t="s">
        <v>334</v>
      </c>
      <c r="B346" s="6"/>
      <c r="C346" s="6"/>
      <c r="D346" s="7">
        <f t="shared" si="5"/>
        <v>0</v>
      </c>
    </row>
    <row r="347" spans="1:4" ht="18.75" hidden="1" x14ac:dyDescent="0.25">
      <c r="A347" s="9" t="s">
        <v>335</v>
      </c>
      <c r="B347" s="6"/>
      <c r="C347" s="6"/>
      <c r="D347" s="7">
        <f t="shared" si="5"/>
        <v>0</v>
      </c>
    </row>
    <row r="348" spans="1:4" ht="18.75" hidden="1" x14ac:dyDescent="0.25">
      <c r="A348" s="9" t="s">
        <v>336</v>
      </c>
      <c r="B348" s="6"/>
      <c r="C348" s="6"/>
      <c r="D348" s="7">
        <f t="shared" si="5"/>
        <v>0</v>
      </c>
    </row>
    <row r="349" spans="1:4" ht="18.75" hidden="1" x14ac:dyDescent="0.25">
      <c r="A349" s="11" t="s">
        <v>337</v>
      </c>
      <c r="B349" s="6"/>
      <c r="C349" s="6"/>
      <c r="D349" s="7">
        <f t="shared" si="5"/>
        <v>0</v>
      </c>
    </row>
    <row r="350" spans="1:4" ht="18.75" hidden="1" x14ac:dyDescent="0.25">
      <c r="A350" s="11" t="s">
        <v>338</v>
      </c>
      <c r="B350" s="6"/>
      <c r="C350" s="6"/>
      <c r="D350" s="7">
        <f t="shared" si="5"/>
        <v>0</v>
      </c>
    </row>
    <row r="351" spans="1:4" ht="18.75" x14ac:dyDescent="0.25">
      <c r="A351" s="40"/>
      <c r="B351" s="41">
        <f>SUM(B3:B350)</f>
        <v>12579.833333333334</v>
      </c>
      <c r="C351" s="41"/>
      <c r="D351" s="7">
        <f>SUM(D3:D300)</f>
        <v>134665000</v>
      </c>
    </row>
    <row r="352" spans="1:4" ht="18.75" hidden="1" x14ac:dyDescent="0.25">
      <c r="D352" s="7">
        <f t="shared" si="5"/>
        <v>0</v>
      </c>
    </row>
    <row r="353" spans="1:4" ht="18.75" x14ac:dyDescent="0.25">
      <c r="A353" s="1" t="s">
        <v>447</v>
      </c>
      <c r="B353" s="2"/>
      <c r="C353" s="2"/>
      <c r="D353" s="7"/>
    </row>
    <row r="354" spans="1:4" ht="25.5" x14ac:dyDescent="0.25">
      <c r="A354" s="88" t="s">
        <v>0</v>
      </c>
      <c r="B354" s="3" t="s">
        <v>1</v>
      </c>
      <c r="C354" s="3" t="s">
        <v>368</v>
      </c>
      <c r="D354" s="7" t="s">
        <v>369</v>
      </c>
    </row>
    <row r="355" spans="1:4" ht="18.75" hidden="1" x14ac:dyDescent="0.25">
      <c r="A355" s="89"/>
      <c r="B355" s="4"/>
      <c r="C355" s="4"/>
      <c r="D355" s="7">
        <f t="shared" si="5"/>
        <v>0</v>
      </c>
    </row>
    <row r="356" spans="1:4" ht="18.75" hidden="1" x14ac:dyDescent="0.25">
      <c r="A356" s="5" t="s">
        <v>2</v>
      </c>
      <c r="B356" s="6"/>
      <c r="C356" s="6"/>
      <c r="D356" s="7">
        <f t="shared" si="5"/>
        <v>0</v>
      </c>
    </row>
    <row r="357" spans="1:4" ht="18.75" hidden="1" x14ac:dyDescent="0.25">
      <c r="A357" s="8" t="s">
        <v>3</v>
      </c>
      <c r="B357" s="6"/>
      <c r="C357" s="6"/>
      <c r="D357" s="7">
        <f t="shared" si="5"/>
        <v>0</v>
      </c>
    </row>
    <row r="358" spans="1:4" ht="18.75" hidden="1" x14ac:dyDescent="0.25">
      <c r="A358" s="5" t="s">
        <v>4</v>
      </c>
      <c r="B358" s="6"/>
      <c r="C358" s="6"/>
      <c r="D358" s="7">
        <f t="shared" si="5"/>
        <v>0</v>
      </c>
    </row>
    <row r="359" spans="1:4" ht="18.75" x14ac:dyDescent="0.25">
      <c r="A359" s="5" t="s">
        <v>5</v>
      </c>
      <c r="B359" s="6">
        <v>1110</v>
      </c>
      <c r="C359" s="6">
        <v>5500</v>
      </c>
      <c r="D359" s="7">
        <f t="shared" si="5"/>
        <v>6105000</v>
      </c>
    </row>
    <row r="360" spans="1:4" ht="18.75" hidden="1" x14ac:dyDescent="0.25">
      <c r="A360" s="9" t="s">
        <v>6</v>
      </c>
      <c r="B360" s="6"/>
      <c r="C360" s="6"/>
      <c r="D360" s="7">
        <f t="shared" si="5"/>
        <v>0</v>
      </c>
    </row>
    <row r="361" spans="1:4" ht="18.75" hidden="1" x14ac:dyDescent="0.25">
      <c r="A361" s="10" t="s">
        <v>7</v>
      </c>
      <c r="B361" s="6"/>
      <c r="C361" s="6"/>
      <c r="D361" s="7">
        <f t="shared" si="5"/>
        <v>0</v>
      </c>
    </row>
    <row r="362" spans="1:4" ht="18.75" hidden="1" x14ac:dyDescent="0.25">
      <c r="A362" s="5" t="s">
        <v>8</v>
      </c>
      <c r="B362" s="6"/>
      <c r="C362" s="6"/>
      <c r="D362" s="7">
        <f t="shared" si="5"/>
        <v>0</v>
      </c>
    </row>
    <row r="363" spans="1:4" ht="18.75" hidden="1" x14ac:dyDescent="0.25">
      <c r="A363" s="5" t="s">
        <v>9</v>
      </c>
      <c r="B363" s="6"/>
      <c r="C363" s="6"/>
      <c r="D363" s="7">
        <f t="shared" si="5"/>
        <v>0</v>
      </c>
    </row>
    <row r="364" spans="1:4" ht="18.75" hidden="1" x14ac:dyDescent="0.25">
      <c r="A364" s="11" t="s">
        <v>339</v>
      </c>
      <c r="B364" s="6"/>
      <c r="C364" s="6"/>
      <c r="D364" s="7">
        <f t="shared" si="5"/>
        <v>0</v>
      </c>
    </row>
    <row r="365" spans="1:4" ht="18.75" hidden="1" x14ac:dyDescent="0.25">
      <c r="A365" s="9" t="s">
        <v>11</v>
      </c>
      <c r="B365" s="6"/>
      <c r="C365" s="6"/>
      <c r="D365" s="7">
        <f t="shared" si="5"/>
        <v>0</v>
      </c>
    </row>
    <row r="366" spans="1:4" ht="18.75" hidden="1" x14ac:dyDescent="0.25">
      <c r="A366" s="9" t="s">
        <v>12</v>
      </c>
      <c r="B366" s="6"/>
      <c r="C366" s="6"/>
      <c r="D366" s="7">
        <f t="shared" si="5"/>
        <v>0</v>
      </c>
    </row>
    <row r="367" spans="1:4" ht="18.75" hidden="1" x14ac:dyDescent="0.25">
      <c r="A367" s="12" t="s">
        <v>13</v>
      </c>
      <c r="B367" s="6"/>
      <c r="C367" s="6"/>
      <c r="D367" s="7">
        <f t="shared" si="5"/>
        <v>0</v>
      </c>
    </row>
    <row r="368" spans="1:4" ht="18.75" hidden="1" x14ac:dyDescent="0.25">
      <c r="A368" s="12" t="s">
        <v>14</v>
      </c>
      <c r="B368" s="6"/>
      <c r="C368" s="6"/>
      <c r="D368" s="7">
        <f t="shared" si="5"/>
        <v>0</v>
      </c>
    </row>
    <row r="369" spans="1:4" ht="18.75" hidden="1" x14ac:dyDescent="0.25">
      <c r="A369" s="9" t="s">
        <v>15</v>
      </c>
      <c r="B369" s="6"/>
      <c r="C369" s="6"/>
      <c r="D369" s="7">
        <f t="shared" si="5"/>
        <v>0</v>
      </c>
    </row>
    <row r="370" spans="1:4" ht="18.75" hidden="1" x14ac:dyDescent="0.25">
      <c r="A370" s="9" t="s">
        <v>16</v>
      </c>
      <c r="B370" s="6"/>
      <c r="C370" s="6"/>
      <c r="D370" s="7">
        <f t="shared" si="5"/>
        <v>0</v>
      </c>
    </row>
    <row r="371" spans="1:4" ht="18.75" hidden="1" x14ac:dyDescent="0.25">
      <c r="A371" s="13" t="s">
        <v>17</v>
      </c>
      <c r="B371" s="6"/>
      <c r="C371" s="6"/>
      <c r="D371" s="7">
        <f t="shared" si="5"/>
        <v>0</v>
      </c>
    </row>
    <row r="372" spans="1:4" ht="18.75" hidden="1" x14ac:dyDescent="0.25">
      <c r="A372" s="11" t="s">
        <v>18</v>
      </c>
      <c r="B372" s="6"/>
      <c r="C372" s="6"/>
      <c r="D372" s="7">
        <f t="shared" si="5"/>
        <v>0</v>
      </c>
    </row>
    <row r="373" spans="1:4" ht="18.75" x14ac:dyDescent="0.25">
      <c r="A373" s="9" t="s">
        <v>19</v>
      </c>
      <c r="B373" s="64">
        <v>100</v>
      </c>
      <c r="C373" s="64">
        <v>7500</v>
      </c>
      <c r="D373" s="52">
        <f t="shared" si="5"/>
        <v>750000</v>
      </c>
    </row>
    <row r="374" spans="1:4" ht="18.75" hidden="1" x14ac:dyDescent="0.25">
      <c r="A374" s="12" t="s">
        <v>20</v>
      </c>
      <c r="B374" s="6"/>
      <c r="C374" s="6"/>
      <c r="D374" s="7">
        <f t="shared" si="5"/>
        <v>0</v>
      </c>
    </row>
    <row r="375" spans="1:4" ht="18.75" hidden="1" x14ac:dyDescent="0.25">
      <c r="A375" s="12" t="s">
        <v>21</v>
      </c>
      <c r="B375" s="6"/>
      <c r="C375" s="6"/>
      <c r="D375" s="7">
        <f t="shared" si="5"/>
        <v>0</v>
      </c>
    </row>
    <row r="376" spans="1:4" ht="18.75" hidden="1" x14ac:dyDescent="0.25">
      <c r="A376" s="9" t="s">
        <v>22</v>
      </c>
      <c r="B376" s="6"/>
      <c r="C376" s="6"/>
      <c r="D376" s="7">
        <f t="shared" si="5"/>
        <v>0</v>
      </c>
    </row>
    <row r="377" spans="1:4" ht="18.75" hidden="1" x14ac:dyDescent="0.25">
      <c r="A377" s="9" t="s">
        <v>23</v>
      </c>
      <c r="B377" s="6"/>
      <c r="C377" s="6"/>
      <c r="D377" s="7">
        <f t="shared" si="5"/>
        <v>0</v>
      </c>
    </row>
    <row r="378" spans="1:4" ht="18.75" hidden="1" x14ac:dyDescent="0.25">
      <c r="A378" s="9" t="s">
        <v>24</v>
      </c>
      <c r="B378" s="6"/>
      <c r="C378" s="6"/>
      <c r="D378" s="7">
        <f t="shared" si="5"/>
        <v>0</v>
      </c>
    </row>
    <row r="379" spans="1:4" ht="18.75" hidden="1" x14ac:dyDescent="0.25">
      <c r="A379" s="9" t="s">
        <v>25</v>
      </c>
      <c r="B379" s="6"/>
      <c r="C379" s="6"/>
      <c r="D379" s="7">
        <f t="shared" si="5"/>
        <v>0</v>
      </c>
    </row>
    <row r="380" spans="1:4" ht="18.75" hidden="1" x14ac:dyDescent="0.25">
      <c r="A380" s="9" t="s">
        <v>26</v>
      </c>
      <c r="B380" s="6"/>
      <c r="C380" s="6"/>
      <c r="D380" s="7">
        <f t="shared" si="5"/>
        <v>0</v>
      </c>
    </row>
    <row r="381" spans="1:4" ht="18.75" hidden="1" x14ac:dyDescent="0.25">
      <c r="A381" s="9" t="s">
        <v>27</v>
      </c>
      <c r="B381" s="6"/>
      <c r="C381" s="6"/>
      <c r="D381" s="7">
        <f t="shared" si="5"/>
        <v>0</v>
      </c>
    </row>
    <row r="382" spans="1:4" ht="18.75" hidden="1" x14ac:dyDescent="0.25">
      <c r="A382" s="12" t="s">
        <v>29</v>
      </c>
      <c r="B382" s="6"/>
      <c r="C382" s="6"/>
      <c r="D382" s="7">
        <f t="shared" si="5"/>
        <v>0</v>
      </c>
    </row>
    <row r="383" spans="1:4" ht="18.75" hidden="1" x14ac:dyDescent="0.25">
      <c r="A383" s="12" t="s">
        <v>37</v>
      </c>
      <c r="B383" s="6"/>
      <c r="C383" s="6"/>
      <c r="D383" s="7">
        <f t="shared" si="5"/>
        <v>0</v>
      </c>
    </row>
    <row r="384" spans="1:4" ht="18.75" hidden="1" x14ac:dyDescent="0.25">
      <c r="A384" s="9" t="s">
        <v>38</v>
      </c>
      <c r="B384" s="6"/>
      <c r="C384" s="6"/>
      <c r="D384" s="7">
        <f t="shared" si="5"/>
        <v>0</v>
      </c>
    </row>
    <row r="385" spans="1:4" ht="18.75" hidden="1" x14ac:dyDescent="0.25">
      <c r="A385" s="9" t="s">
        <v>39</v>
      </c>
      <c r="B385" s="6"/>
      <c r="C385" s="6"/>
      <c r="D385" s="7">
        <f t="shared" si="5"/>
        <v>0</v>
      </c>
    </row>
    <row r="386" spans="1:4" ht="18.75" hidden="1" x14ac:dyDescent="0.25">
      <c r="A386" s="11" t="s">
        <v>340</v>
      </c>
      <c r="B386" s="15"/>
      <c r="C386" s="15"/>
      <c r="D386" s="7">
        <f t="shared" si="5"/>
        <v>0</v>
      </c>
    </row>
    <row r="387" spans="1:4" ht="18.75" hidden="1" x14ac:dyDescent="0.25">
      <c r="A387" s="11" t="s">
        <v>40</v>
      </c>
      <c r="B387" s="15"/>
      <c r="C387" s="15"/>
      <c r="D387" s="7">
        <f t="shared" si="5"/>
        <v>0</v>
      </c>
    </row>
    <row r="388" spans="1:4" ht="18.75" hidden="1" x14ac:dyDescent="0.25">
      <c r="A388" s="9" t="s">
        <v>41</v>
      </c>
      <c r="B388" s="6"/>
      <c r="C388" s="6"/>
      <c r="D388" s="7">
        <f t="shared" ref="D388:D451" si="6">B388*C388</f>
        <v>0</v>
      </c>
    </row>
    <row r="389" spans="1:4" ht="18.75" hidden="1" x14ac:dyDescent="0.25">
      <c r="A389" s="9" t="s">
        <v>42</v>
      </c>
      <c r="B389" s="6"/>
      <c r="C389" s="6"/>
      <c r="D389" s="7">
        <f t="shared" si="6"/>
        <v>0</v>
      </c>
    </row>
    <row r="390" spans="1:4" ht="18.75" hidden="1" x14ac:dyDescent="0.25">
      <c r="A390" s="17" t="s">
        <v>43</v>
      </c>
      <c r="B390" s="6"/>
      <c r="C390" s="6"/>
      <c r="D390" s="7">
        <f t="shared" si="6"/>
        <v>0</v>
      </c>
    </row>
    <row r="391" spans="1:4" ht="18.75" hidden="1" x14ac:dyDescent="0.25">
      <c r="A391" s="9" t="s">
        <v>44</v>
      </c>
      <c r="B391" s="6"/>
      <c r="C391" s="6"/>
      <c r="D391" s="7">
        <f t="shared" si="6"/>
        <v>0</v>
      </c>
    </row>
    <row r="392" spans="1:4" ht="18.75" hidden="1" x14ac:dyDescent="0.25">
      <c r="A392" s="9" t="s">
        <v>45</v>
      </c>
      <c r="B392" s="6"/>
      <c r="C392" s="6"/>
      <c r="D392" s="7">
        <f t="shared" si="6"/>
        <v>0</v>
      </c>
    </row>
    <row r="393" spans="1:4" ht="18.75" hidden="1" x14ac:dyDescent="0.25">
      <c r="A393" s="9" t="s">
        <v>46</v>
      </c>
      <c r="B393" s="6"/>
      <c r="C393" s="6"/>
      <c r="D393" s="7">
        <f t="shared" si="6"/>
        <v>0</v>
      </c>
    </row>
    <row r="394" spans="1:4" ht="18.75" hidden="1" x14ac:dyDescent="0.25">
      <c r="A394" s="9" t="s">
        <v>47</v>
      </c>
      <c r="B394" s="6"/>
      <c r="C394" s="6"/>
      <c r="D394" s="7">
        <f t="shared" si="6"/>
        <v>0</v>
      </c>
    </row>
    <row r="395" spans="1:4" ht="18.75" hidden="1" x14ac:dyDescent="0.25">
      <c r="A395" s="13" t="s">
        <v>48</v>
      </c>
      <c r="B395" s="6"/>
      <c r="C395" s="6"/>
      <c r="D395" s="7">
        <f t="shared" si="6"/>
        <v>0</v>
      </c>
    </row>
    <row r="396" spans="1:4" ht="18.75" hidden="1" x14ac:dyDescent="0.25">
      <c r="A396" s="11" t="s">
        <v>49</v>
      </c>
      <c r="B396" s="6"/>
      <c r="C396" s="6"/>
      <c r="D396" s="7">
        <f t="shared" si="6"/>
        <v>0</v>
      </c>
    </row>
    <row r="397" spans="1:4" ht="18.75" hidden="1" x14ac:dyDescent="0.25">
      <c r="A397" s="13" t="s">
        <v>50</v>
      </c>
      <c r="B397" s="6"/>
      <c r="C397" s="6"/>
      <c r="D397" s="7">
        <f t="shared" si="6"/>
        <v>0</v>
      </c>
    </row>
    <row r="398" spans="1:4" ht="18.75" hidden="1" x14ac:dyDescent="0.25">
      <c r="A398" s="9" t="s">
        <v>51</v>
      </c>
      <c r="B398" s="6"/>
      <c r="C398" s="6"/>
      <c r="D398" s="7">
        <f t="shared" si="6"/>
        <v>0</v>
      </c>
    </row>
    <row r="399" spans="1:4" ht="18.75" hidden="1" x14ac:dyDescent="0.25">
      <c r="A399" s="9" t="s">
        <v>52</v>
      </c>
      <c r="B399" s="6"/>
      <c r="C399" s="6"/>
      <c r="D399" s="7">
        <f t="shared" si="6"/>
        <v>0</v>
      </c>
    </row>
    <row r="400" spans="1:4" ht="18.75" x14ac:dyDescent="0.25">
      <c r="A400" s="12" t="s">
        <v>53</v>
      </c>
      <c r="B400" s="6">
        <v>300</v>
      </c>
      <c r="C400" s="6">
        <v>24000</v>
      </c>
      <c r="D400" s="7">
        <f t="shared" si="6"/>
        <v>7200000</v>
      </c>
    </row>
    <row r="401" spans="1:4" ht="18.75" hidden="1" x14ac:dyDescent="0.25">
      <c r="A401" s="18" t="s">
        <v>54</v>
      </c>
      <c r="B401" s="6"/>
      <c r="C401" s="6"/>
      <c r="D401" s="7">
        <f t="shared" si="6"/>
        <v>0</v>
      </c>
    </row>
    <row r="402" spans="1:4" ht="18.75" hidden="1" x14ac:dyDescent="0.25">
      <c r="A402" s="17" t="s">
        <v>55</v>
      </c>
      <c r="B402" s="6"/>
      <c r="C402" s="6"/>
      <c r="D402" s="7">
        <f t="shared" si="6"/>
        <v>0</v>
      </c>
    </row>
    <row r="403" spans="1:4" ht="18.75" hidden="1" x14ac:dyDescent="0.25">
      <c r="A403" s="17" t="s">
        <v>56</v>
      </c>
      <c r="B403" s="6"/>
      <c r="C403" s="6"/>
      <c r="D403" s="7">
        <f t="shared" si="6"/>
        <v>0</v>
      </c>
    </row>
    <row r="404" spans="1:4" ht="18.75" hidden="1" x14ac:dyDescent="0.25">
      <c r="A404" s="17" t="s">
        <v>57</v>
      </c>
      <c r="B404" s="6"/>
      <c r="C404" s="6"/>
      <c r="D404" s="7">
        <f t="shared" si="6"/>
        <v>0</v>
      </c>
    </row>
    <row r="405" spans="1:4" ht="18.75" hidden="1" x14ac:dyDescent="0.25">
      <c r="A405" s="9" t="s">
        <v>58</v>
      </c>
      <c r="B405" s="6"/>
      <c r="C405" s="6"/>
      <c r="D405" s="7">
        <f t="shared" si="6"/>
        <v>0</v>
      </c>
    </row>
    <row r="406" spans="1:4" ht="18.75" hidden="1" x14ac:dyDescent="0.25">
      <c r="A406" s="11" t="s">
        <v>59</v>
      </c>
      <c r="B406" s="6"/>
      <c r="C406" s="6"/>
      <c r="D406" s="7">
        <f t="shared" si="6"/>
        <v>0</v>
      </c>
    </row>
    <row r="407" spans="1:4" ht="18.75" hidden="1" x14ac:dyDescent="0.25">
      <c r="A407" s="9" t="s">
        <v>60</v>
      </c>
      <c r="B407" s="6"/>
      <c r="C407" s="6"/>
      <c r="D407" s="7">
        <f t="shared" si="6"/>
        <v>0</v>
      </c>
    </row>
    <row r="408" spans="1:4" ht="18.75" hidden="1" x14ac:dyDescent="0.25">
      <c r="A408" s="9" t="s">
        <v>61</v>
      </c>
      <c r="B408" s="6"/>
      <c r="C408" s="6"/>
      <c r="D408" s="7">
        <f t="shared" si="6"/>
        <v>0</v>
      </c>
    </row>
    <row r="409" spans="1:4" ht="18.75" hidden="1" x14ac:dyDescent="0.25">
      <c r="A409" s="17" t="s">
        <v>62</v>
      </c>
      <c r="B409" s="6"/>
      <c r="C409" s="6"/>
      <c r="D409" s="7">
        <f t="shared" si="6"/>
        <v>0</v>
      </c>
    </row>
    <row r="410" spans="1:4" ht="18.75" hidden="1" x14ac:dyDescent="0.25">
      <c r="A410" s="9" t="s">
        <v>63</v>
      </c>
      <c r="B410" s="6"/>
      <c r="C410" s="6"/>
      <c r="D410" s="7">
        <f t="shared" si="6"/>
        <v>0</v>
      </c>
    </row>
    <row r="411" spans="1:4" ht="18.75" hidden="1" x14ac:dyDescent="0.25">
      <c r="A411" s="19" t="s">
        <v>64</v>
      </c>
      <c r="B411" s="6"/>
      <c r="C411" s="6"/>
      <c r="D411" s="7">
        <f t="shared" si="6"/>
        <v>0</v>
      </c>
    </row>
    <row r="412" spans="1:4" ht="18.75" hidden="1" x14ac:dyDescent="0.25">
      <c r="A412" s="9" t="s">
        <v>65</v>
      </c>
      <c r="B412" s="6"/>
      <c r="C412" s="6"/>
      <c r="D412" s="7">
        <f t="shared" si="6"/>
        <v>0</v>
      </c>
    </row>
    <row r="413" spans="1:4" ht="18.75" hidden="1" x14ac:dyDescent="0.25">
      <c r="A413" s="9" t="s">
        <v>66</v>
      </c>
      <c r="B413" s="6"/>
      <c r="C413" s="6"/>
      <c r="D413" s="7">
        <f t="shared" si="6"/>
        <v>0</v>
      </c>
    </row>
    <row r="414" spans="1:4" ht="18.75" hidden="1" x14ac:dyDescent="0.25">
      <c r="A414" s="20" t="s">
        <v>67</v>
      </c>
      <c r="B414" s="6"/>
      <c r="C414" s="6"/>
      <c r="D414" s="7">
        <f t="shared" si="6"/>
        <v>0</v>
      </c>
    </row>
    <row r="415" spans="1:4" ht="18.75" hidden="1" x14ac:dyDescent="0.25">
      <c r="A415" s="42" t="s">
        <v>68</v>
      </c>
      <c r="B415" s="6"/>
      <c r="C415" s="6"/>
      <c r="D415" s="7">
        <f t="shared" si="6"/>
        <v>0</v>
      </c>
    </row>
    <row r="416" spans="1:4" ht="18.75" hidden="1" x14ac:dyDescent="0.25">
      <c r="A416" s="12" t="s">
        <v>69</v>
      </c>
      <c r="B416" s="6"/>
      <c r="C416" s="6"/>
      <c r="D416" s="7">
        <f t="shared" si="6"/>
        <v>0</v>
      </c>
    </row>
    <row r="417" spans="1:4" ht="18.75" hidden="1" x14ac:dyDescent="0.25">
      <c r="A417" s="11" t="s">
        <v>70</v>
      </c>
      <c r="B417" s="6"/>
      <c r="C417" s="6"/>
      <c r="D417" s="7">
        <f t="shared" si="6"/>
        <v>0</v>
      </c>
    </row>
    <row r="418" spans="1:4" ht="18.75" hidden="1" x14ac:dyDescent="0.25">
      <c r="A418" s="12" t="s">
        <v>71</v>
      </c>
      <c r="B418" s="6"/>
      <c r="C418" s="6"/>
      <c r="D418" s="7">
        <f t="shared" si="6"/>
        <v>0</v>
      </c>
    </row>
    <row r="419" spans="1:4" ht="18.75" hidden="1" x14ac:dyDescent="0.25">
      <c r="A419" s="12" t="s">
        <v>72</v>
      </c>
      <c r="B419" s="6"/>
      <c r="C419" s="6"/>
      <c r="D419" s="7">
        <f t="shared" si="6"/>
        <v>0</v>
      </c>
    </row>
    <row r="420" spans="1:4" ht="18.75" hidden="1" x14ac:dyDescent="0.25">
      <c r="A420" s="12" t="s">
        <v>73</v>
      </c>
      <c r="B420" s="6"/>
      <c r="C420" s="6"/>
      <c r="D420" s="7">
        <f t="shared" si="6"/>
        <v>0</v>
      </c>
    </row>
    <row r="421" spans="1:4" ht="18.75" hidden="1" x14ac:dyDescent="0.25">
      <c r="A421" s="20" t="s">
        <v>74</v>
      </c>
      <c r="B421" s="6"/>
      <c r="C421" s="6"/>
      <c r="D421" s="7">
        <f t="shared" si="6"/>
        <v>0</v>
      </c>
    </row>
    <row r="422" spans="1:4" ht="18.75" hidden="1" x14ac:dyDescent="0.25">
      <c r="A422" s="9" t="s">
        <v>75</v>
      </c>
      <c r="B422" s="6"/>
      <c r="C422" s="6"/>
      <c r="D422" s="7">
        <f t="shared" si="6"/>
        <v>0</v>
      </c>
    </row>
    <row r="423" spans="1:4" ht="18.75" hidden="1" x14ac:dyDescent="0.25">
      <c r="A423" s="9" t="s">
        <v>76</v>
      </c>
      <c r="B423" s="6"/>
      <c r="C423" s="6"/>
      <c r="D423" s="7">
        <f t="shared" si="6"/>
        <v>0</v>
      </c>
    </row>
    <row r="424" spans="1:4" ht="18.75" hidden="1" x14ac:dyDescent="0.25">
      <c r="A424" s="12" t="s">
        <v>341</v>
      </c>
      <c r="B424" s="6"/>
      <c r="C424" s="6"/>
      <c r="D424" s="7">
        <f t="shared" si="6"/>
        <v>0</v>
      </c>
    </row>
    <row r="425" spans="1:4" ht="18.75" x14ac:dyDescent="0.25">
      <c r="A425" s="9" t="s">
        <v>77</v>
      </c>
      <c r="B425" s="6">
        <v>100</v>
      </c>
      <c r="C425" s="6">
        <v>22000</v>
      </c>
      <c r="D425" s="7">
        <f t="shared" si="6"/>
        <v>2200000</v>
      </c>
    </row>
    <row r="426" spans="1:4" ht="18.75" hidden="1" x14ac:dyDescent="0.25">
      <c r="A426" s="13" t="s">
        <v>78</v>
      </c>
      <c r="B426" s="6"/>
      <c r="C426" s="6"/>
      <c r="D426" s="7">
        <f t="shared" si="6"/>
        <v>0</v>
      </c>
    </row>
    <row r="427" spans="1:4" ht="18.75" hidden="1" x14ac:dyDescent="0.25">
      <c r="A427" s="9" t="s">
        <v>79</v>
      </c>
      <c r="B427" s="6"/>
      <c r="C427" s="6"/>
      <c r="D427" s="7">
        <f t="shared" si="6"/>
        <v>0</v>
      </c>
    </row>
    <row r="428" spans="1:4" ht="18.75" hidden="1" x14ac:dyDescent="0.25">
      <c r="A428" s="9" t="s">
        <v>80</v>
      </c>
      <c r="B428" s="6"/>
      <c r="C428" s="6"/>
      <c r="D428" s="7">
        <f t="shared" si="6"/>
        <v>0</v>
      </c>
    </row>
    <row r="429" spans="1:4" ht="18.75" hidden="1" x14ac:dyDescent="0.25">
      <c r="A429" s="9" t="s">
        <v>81</v>
      </c>
      <c r="B429" s="6"/>
      <c r="C429" s="6"/>
      <c r="D429" s="7">
        <f t="shared" si="6"/>
        <v>0</v>
      </c>
    </row>
    <row r="430" spans="1:4" ht="18.75" hidden="1" x14ac:dyDescent="0.25">
      <c r="A430" s="12" t="s">
        <v>82</v>
      </c>
      <c r="B430" s="15"/>
      <c r="C430" s="15"/>
      <c r="D430" s="7">
        <f t="shared" si="6"/>
        <v>0</v>
      </c>
    </row>
    <row r="431" spans="1:4" ht="18.75" hidden="1" x14ac:dyDescent="0.25">
      <c r="A431" s="12" t="s">
        <v>83</v>
      </c>
      <c r="B431" s="15"/>
      <c r="C431" s="15"/>
      <c r="D431" s="7">
        <f t="shared" si="6"/>
        <v>0</v>
      </c>
    </row>
    <row r="432" spans="1:4" ht="18.75" hidden="1" x14ac:dyDescent="0.25">
      <c r="A432" s="12" t="s">
        <v>84</v>
      </c>
      <c r="B432" s="15"/>
      <c r="C432" s="15"/>
      <c r="D432" s="7">
        <f t="shared" si="6"/>
        <v>0</v>
      </c>
    </row>
    <row r="433" spans="1:4" ht="18.75" hidden="1" x14ac:dyDescent="0.25">
      <c r="A433" s="9" t="s">
        <v>85</v>
      </c>
      <c r="B433" s="6"/>
      <c r="C433" s="6"/>
      <c r="D433" s="7">
        <f t="shared" si="6"/>
        <v>0</v>
      </c>
    </row>
    <row r="434" spans="1:4" ht="18.75" hidden="1" x14ac:dyDescent="0.25">
      <c r="A434" s="9" t="s">
        <v>86</v>
      </c>
      <c r="B434" s="6"/>
      <c r="C434" s="6"/>
      <c r="D434" s="7">
        <f t="shared" si="6"/>
        <v>0</v>
      </c>
    </row>
    <row r="435" spans="1:4" ht="18.75" hidden="1" x14ac:dyDescent="0.25">
      <c r="A435" s="9" t="s">
        <v>87</v>
      </c>
      <c r="B435" s="6"/>
      <c r="C435" s="6"/>
      <c r="D435" s="7">
        <f t="shared" si="6"/>
        <v>0</v>
      </c>
    </row>
    <row r="436" spans="1:4" ht="18.75" hidden="1" x14ac:dyDescent="0.25">
      <c r="A436" s="9" t="s">
        <v>88</v>
      </c>
      <c r="B436" s="6"/>
      <c r="C436" s="6"/>
      <c r="D436" s="7">
        <f t="shared" si="6"/>
        <v>0</v>
      </c>
    </row>
    <row r="437" spans="1:4" ht="18.75" hidden="1" x14ac:dyDescent="0.25">
      <c r="A437" s="9" t="s">
        <v>89</v>
      </c>
      <c r="B437" s="6"/>
      <c r="C437" s="6"/>
      <c r="D437" s="7">
        <f t="shared" si="6"/>
        <v>0</v>
      </c>
    </row>
    <row r="438" spans="1:4" ht="18.75" hidden="1" x14ac:dyDescent="0.25">
      <c r="A438" s="9" t="s">
        <v>90</v>
      </c>
      <c r="B438" s="6"/>
      <c r="C438" s="6"/>
      <c r="D438" s="7">
        <f t="shared" si="6"/>
        <v>0</v>
      </c>
    </row>
    <row r="439" spans="1:4" ht="18.75" hidden="1" x14ac:dyDescent="0.25">
      <c r="A439" s="21" t="s">
        <v>91</v>
      </c>
      <c r="B439" s="6"/>
      <c r="C439" s="6"/>
      <c r="D439" s="7">
        <f t="shared" si="6"/>
        <v>0</v>
      </c>
    </row>
    <row r="440" spans="1:4" ht="18.75" hidden="1" x14ac:dyDescent="0.25">
      <c r="A440" s="21" t="s">
        <v>92</v>
      </c>
      <c r="B440" s="6"/>
      <c r="C440" s="6"/>
      <c r="D440" s="7">
        <f t="shared" si="6"/>
        <v>0</v>
      </c>
    </row>
    <row r="441" spans="1:4" ht="18.75" hidden="1" x14ac:dyDescent="0.25">
      <c r="A441" s="21" t="s">
        <v>93</v>
      </c>
      <c r="B441" s="6"/>
      <c r="C441" s="6"/>
      <c r="D441" s="7">
        <f t="shared" si="6"/>
        <v>0</v>
      </c>
    </row>
    <row r="442" spans="1:4" ht="18.75" hidden="1" x14ac:dyDescent="0.25">
      <c r="A442" s="11" t="s">
        <v>94</v>
      </c>
      <c r="B442" s="6"/>
      <c r="C442" s="6"/>
      <c r="D442" s="7">
        <f t="shared" si="6"/>
        <v>0</v>
      </c>
    </row>
    <row r="443" spans="1:4" ht="18.75" hidden="1" x14ac:dyDescent="0.25">
      <c r="A443" s="13" t="s">
        <v>95</v>
      </c>
      <c r="B443" s="6"/>
      <c r="C443" s="6"/>
      <c r="D443" s="7">
        <f t="shared" si="6"/>
        <v>0</v>
      </c>
    </row>
    <row r="444" spans="1:4" ht="18.75" hidden="1" x14ac:dyDescent="0.25">
      <c r="A444" s="11" t="s">
        <v>342</v>
      </c>
      <c r="B444" s="6"/>
      <c r="C444" s="6"/>
      <c r="D444" s="7">
        <f t="shared" si="6"/>
        <v>0</v>
      </c>
    </row>
    <row r="445" spans="1:4" ht="18.75" hidden="1" x14ac:dyDescent="0.25">
      <c r="A445" s="9" t="s">
        <v>96</v>
      </c>
      <c r="B445" s="6"/>
      <c r="C445" s="6"/>
      <c r="D445" s="7">
        <f t="shared" si="6"/>
        <v>0</v>
      </c>
    </row>
    <row r="446" spans="1:4" ht="18.75" hidden="1" x14ac:dyDescent="0.25">
      <c r="A446" s="9" t="s">
        <v>97</v>
      </c>
      <c r="B446" s="6"/>
      <c r="C446" s="6"/>
      <c r="D446" s="7">
        <f t="shared" si="6"/>
        <v>0</v>
      </c>
    </row>
    <row r="447" spans="1:4" ht="18.75" hidden="1" x14ac:dyDescent="0.25">
      <c r="A447" s="11" t="s">
        <v>343</v>
      </c>
      <c r="B447" s="6"/>
      <c r="C447" s="6"/>
      <c r="D447" s="7">
        <f t="shared" si="6"/>
        <v>0</v>
      </c>
    </row>
    <row r="448" spans="1:4" ht="18.75" hidden="1" x14ac:dyDescent="0.25">
      <c r="A448" s="11" t="s">
        <v>344</v>
      </c>
      <c r="B448" s="6"/>
      <c r="C448" s="6"/>
      <c r="D448" s="7">
        <f t="shared" si="6"/>
        <v>0</v>
      </c>
    </row>
    <row r="449" spans="1:4" ht="18.75" hidden="1" x14ac:dyDescent="0.25">
      <c r="A449" s="9" t="s">
        <v>99</v>
      </c>
      <c r="B449" s="15"/>
      <c r="C449" s="15"/>
      <c r="D449" s="7">
        <f t="shared" si="6"/>
        <v>0</v>
      </c>
    </row>
    <row r="450" spans="1:4" ht="18.75" hidden="1" x14ac:dyDescent="0.25">
      <c r="A450" s="21" t="s">
        <v>101</v>
      </c>
      <c r="B450" s="6"/>
      <c r="C450" s="6"/>
      <c r="D450" s="7">
        <f t="shared" si="6"/>
        <v>0</v>
      </c>
    </row>
    <row r="451" spans="1:4" ht="18.75" hidden="1" x14ac:dyDescent="0.25">
      <c r="A451" s="11" t="s">
        <v>102</v>
      </c>
      <c r="B451" s="6"/>
      <c r="C451" s="6"/>
      <c r="D451" s="7">
        <f t="shared" si="6"/>
        <v>0</v>
      </c>
    </row>
    <row r="452" spans="1:4" ht="18.75" hidden="1" x14ac:dyDescent="0.25">
      <c r="A452" s="11" t="s">
        <v>345</v>
      </c>
      <c r="B452" s="6"/>
      <c r="C452" s="6"/>
      <c r="D452" s="7">
        <f t="shared" ref="D452:D515" si="7">B452*C452</f>
        <v>0</v>
      </c>
    </row>
    <row r="453" spans="1:4" ht="18.75" hidden="1" x14ac:dyDescent="0.25">
      <c r="A453" s="9" t="s">
        <v>103</v>
      </c>
      <c r="B453" s="6"/>
      <c r="C453" s="6"/>
      <c r="D453" s="7">
        <f t="shared" si="7"/>
        <v>0</v>
      </c>
    </row>
    <row r="454" spans="1:4" ht="18.75" hidden="1" x14ac:dyDescent="0.25">
      <c r="A454" s="17" t="s">
        <v>104</v>
      </c>
      <c r="B454" s="6"/>
      <c r="C454" s="6"/>
      <c r="D454" s="7">
        <f t="shared" si="7"/>
        <v>0</v>
      </c>
    </row>
    <row r="455" spans="1:4" ht="18.75" hidden="1" x14ac:dyDescent="0.25">
      <c r="A455" s="24" t="s">
        <v>105</v>
      </c>
      <c r="B455" s="6"/>
      <c r="C455" s="6"/>
      <c r="D455" s="7">
        <f t="shared" si="7"/>
        <v>0</v>
      </c>
    </row>
    <row r="456" spans="1:4" ht="18.75" hidden="1" x14ac:dyDescent="0.25">
      <c r="A456" s="24" t="s">
        <v>106</v>
      </c>
      <c r="B456" s="6"/>
      <c r="C456" s="6"/>
      <c r="D456" s="7">
        <f t="shared" si="7"/>
        <v>0</v>
      </c>
    </row>
    <row r="457" spans="1:4" ht="18.75" x14ac:dyDescent="0.25">
      <c r="A457" s="23" t="s">
        <v>107</v>
      </c>
      <c r="B457" s="6">
        <v>1000</v>
      </c>
      <c r="C457" s="6">
        <v>6000</v>
      </c>
      <c r="D457" s="7">
        <f t="shared" si="7"/>
        <v>6000000</v>
      </c>
    </row>
    <row r="458" spans="1:4" ht="18.75" hidden="1" x14ac:dyDescent="0.25">
      <c r="A458" s="25" t="s">
        <v>108</v>
      </c>
      <c r="B458" s="6"/>
      <c r="C458" s="6"/>
      <c r="D458" s="7">
        <f t="shared" si="7"/>
        <v>0</v>
      </c>
    </row>
    <row r="459" spans="1:4" ht="18.75" hidden="1" x14ac:dyDescent="0.25">
      <c r="A459" s="9" t="s">
        <v>109</v>
      </c>
      <c r="B459" s="6"/>
      <c r="C459" s="6"/>
      <c r="D459" s="7">
        <f t="shared" si="7"/>
        <v>0</v>
      </c>
    </row>
    <row r="460" spans="1:4" ht="18.75" hidden="1" x14ac:dyDescent="0.25">
      <c r="A460" s="9" t="s">
        <v>110</v>
      </c>
      <c r="B460" s="6"/>
      <c r="C460" s="6"/>
      <c r="D460" s="7">
        <f t="shared" si="7"/>
        <v>0</v>
      </c>
    </row>
    <row r="461" spans="1:4" ht="18.75" hidden="1" x14ac:dyDescent="0.25">
      <c r="A461" s="9" t="s">
        <v>111</v>
      </c>
      <c r="B461" s="6"/>
      <c r="C461" s="6"/>
      <c r="D461" s="7">
        <f t="shared" si="7"/>
        <v>0</v>
      </c>
    </row>
    <row r="462" spans="1:4" ht="18.75" hidden="1" x14ac:dyDescent="0.25">
      <c r="A462" s="9" t="s">
        <v>112</v>
      </c>
      <c r="B462" s="6"/>
      <c r="C462" s="6"/>
      <c r="D462" s="7">
        <f t="shared" si="7"/>
        <v>0</v>
      </c>
    </row>
    <row r="463" spans="1:4" ht="18.75" hidden="1" x14ac:dyDescent="0.25">
      <c r="A463" s="9" t="s">
        <v>114</v>
      </c>
      <c r="B463" s="6"/>
      <c r="C463" s="6"/>
      <c r="D463" s="7">
        <f t="shared" si="7"/>
        <v>0</v>
      </c>
    </row>
    <row r="464" spans="1:4" ht="18.75" hidden="1" x14ac:dyDescent="0.25">
      <c r="A464" s="9" t="s">
        <v>115</v>
      </c>
      <c r="B464" s="6"/>
      <c r="C464" s="6"/>
      <c r="D464" s="7">
        <f t="shared" si="7"/>
        <v>0</v>
      </c>
    </row>
    <row r="465" spans="1:4" ht="18.75" x14ac:dyDescent="0.25">
      <c r="A465" s="9" t="s">
        <v>346</v>
      </c>
      <c r="B465" s="6">
        <v>3</v>
      </c>
      <c r="C465" s="6">
        <v>22000</v>
      </c>
      <c r="D465" s="7">
        <f t="shared" si="7"/>
        <v>66000</v>
      </c>
    </row>
    <row r="466" spans="1:4" ht="18.75" hidden="1" x14ac:dyDescent="0.25">
      <c r="A466" s="9" t="s">
        <v>116</v>
      </c>
      <c r="B466" s="6"/>
      <c r="C466" s="6"/>
      <c r="D466" s="7">
        <f t="shared" si="7"/>
        <v>0</v>
      </c>
    </row>
    <row r="467" spans="1:4" ht="18.75" hidden="1" x14ac:dyDescent="0.25">
      <c r="A467" s="11" t="s">
        <v>117</v>
      </c>
      <c r="B467" s="6"/>
      <c r="C467" s="6"/>
      <c r="D467" s="7">
        <f t="shared" si="7"/>
        <v>0</v>
      </c>
    </row>
    <row r="468" spans="1:4" ht="18.75" hidden="1" x14ac:dyDescent="0.25">
      <c r="A468" s="21" t="s">
        <v>118</v>
      </c>
      <c r="B468" s="6"/>
      <c r="C468" s="6"/>
      <c r="D468" s="7">
        <f t="shared" si="7"/>
        <v>0</v>
      </c>
    </row>
    <row r="469" spans="1:4" ht="18.75" hidden="1" x14ac:dyDescent="0.25">
      <c r="A469" s="9" t="s">
        <v>119</v>
      </c>
      <c r="B469" s="6"/>
      <c r="C469" s="6"/>
      <c r="D469" s="7">
        <f t="shared" si="7"/>
        <v>0</v>
      </c>
    </row>
    <row r="470" spans="1:4" ht="18.75" hidden="1" x14ac:dyDescent="0.25">
      <c r="A470" s="11" t="s">
        <v>120</v>
      </c>
      <c r="B470" s="6"/>
      <c r="C470" s="6"/>
      <c r="D470" s="7">
        <f t="shared" si="7"/>
        <v>0</v>
      </c>
    </row>
    <row r="471" spans="1:4" ht="18.75" hidden="1" x14ac:dyDescent="0.25">
      <c r="A471" s="11" t="s">
        <v>121</v>
      </c>
      <c r="B471" s="6"/>
      <c r="C471" s="6"/>
      <c r="D471" s="7">
        <f t="shared" si="7"/>
        <v>0</v>
      </c>
    </row>
    <row r="472" spans="1:4" ht="18.75" x14ac:dyDescent="0.25">
      <c r="A472" s="9" t="s">
        <v>122</v>
      </c>
      <c r="B472" s="6">
        <v>20</v>
      </c>
      <c r="C472" s="6">
        <v>14000</v>
      </c>
      <c r="D472" s="7">
        <f t="shared" si="7"/>
        <v>280000</v>
      </c>
    </row>
    <row r="473" spans="1:4" ht="18.75" hidden="1" x14ac:dyDescent="0.25">
      <c r="A473" s="10" t="s">
        <v>124</v>
      </c>
      <c r="B473" s="6"/>
      <c r="C473" s="6"/>
      <c r="D473" s="7">
        <f t="shared" si="7"/>
        <v>0</v>
      </c>
    </row>
    <row r="474" spans="1:4" ht="18.75" hidden="1" x14ac:dyDescent="0.25">
      <c r="A474" s="13" t="s">
        <v>125</v>
      </c>
      <c r="B474" s="6"/>
      <c r="C474" s="6"/>
      <c r="D474" s="7">
        <f t="shared" si="7"/>
        <v>0</v>
      </c>
    </row>
    <row r="475" spans="1:4" ht="18.75" hidden="1" x14ac:dyDescent="0.25">
      <c r="A475" s="12" t="s">
        <v>126</v>
      </c>
      <c r="B475" s="15"/>
      <c r="C475" s="15"/>
      <c r="D475" s="7">
        <f t="shared" si="7"/>
        <v>0</v>
      </c>
    </row>
    <row r="476" spans="1:4" ht="18.75" hidden="1" x14ac:dyDescent="0.25">
      <c r="A476" s="12" t="s">
        <v>127</v>
      </c>
      <c r="B476" s="15"/>
      <c r="C476" s="15"/>
      <c r="D476" s="7">
        <f t="shared" si="7"/>
        <v>0</v>
      </c>
    </row>
    <row r="477" spans="1:4" ht="18.75" hidden="1" x14ac:dyDescent="0.25">
      <c r="A477" s="12" t="s">
        <v>128</v>
      </c>
      <c r="B477" s="15"/>
      <c r="C477" s="15"/>
      <c r="D477" s="7">
        <f t="shared" si="7"/>
        <v>0</v>
      </c>
    </row>
    <row r="478" spans="1:4" ht="18.75" hidden="1" x14ac:dyDescent="0.25">
      <c r="A478" s="12" t="s">
        <v>129</v>
      </c>
      <c r="B478" s="26"/>
      <c r="C478" s="26"/>
      <c r="D478" s="7">
        <f t="shared" si="7"/>
        <v>0</v>
      </c>
    </row>
    <row r="479" spans="1:4" ht="18.75" x14ac:dyDescent="0.25">
      <c r="A479" s="28" t="s">
        <v>130</v>
      </c>
      <c r="B479" s="6">
        <v>10</v>
      </c>
      <c r="C479" s="6">
        <v>4000</v>
      </c>
      <c r="D479" s="7">
        <f t="shared" si="7"/>
        <v>40000</v>
      </c>
    </row>
    <row r="480" spans="1:4" ht="18.75" hidden="1" x14ac:dyDescent="0.25">
      <c r="A480" s="12" t="s">
        <v>131</v>
      </c>
      <c r="B480" s="15"/>
      <c r="C480" s="15"/>
      <c r="D480" s="7">
        <f t="shared" si="7"/>
        <v>0</v>
      </c>
    </row>
    <row r="481" spans="1:4" ht="18.75" hidden="1" x14ac:dyDescent="0.25">
      <c r="A481" s="9" t="s">
        <v>132</v>
      </c>
      <c r="B481" s="6"/>
      <c r="C481" s="6"/>
      <c r="D481" s="7">
        <f t="shared" si="7"/>
        <v>0</v>
      </c>
    </row>
    <row r="482" spans="1:4" ht="18.75" hidden="1" x14ac:dyDescent="0.25">
      <c r="A482" s="9" t="s">
        <v>133</v>
      </c>
      <c r="B482" s="6"/>
      <c r="C482" s="6"/>
      <c r="D482" s="7">
        <f t="shared" si="7"/>
        <v>0</v>
      </c>
    </row>
    <row r="483" spans="1:4" ht="18.75" x14ac:dyDescent="0.25">
      <c r="A483" s="9" t="s">
        <v>135</v>
      </c>
      <c r="B483" s="6">
        <v>60</v>
      </c>
      <c r="C483" s="6">
        <v>16000</v>
      </c>
      <c r="D483" s="7">
        <f t="shared" si="7"/>
        <v>960000</v>
      </c>
    </row>
    <row r="484" spans="1:4" ht="18.75" hidden="1" x14ac:dyDescent="0.25">
      <c r="A484" s="17" t="s">
        <v>136</v>
      </c>
      <c r="B484" s="6"/>
      <c r="C484" s="6"/>
      <c r="D484" s="7">
        <f t="shared" si="7"/>
        <v>0</v>
      </c>
    </row>
    <row r="485" spans="1:4" ht="18.75" hidden="1" x14ac:dyDescent="0.25">
      <c r="A485" s="12" t="s">
        <v>137</v>
      </c>
      <c r="B485" s="6"/>
      <c r="C485" s="6"/>
      <c r="D485" s="7">
        <f t="shared" si="7"/>
        <v>0</v>
      </c>
    </row>
    <row r="486" spans="1:4" ht="18.75" hidden="1" x14ac:dyDescent="0.25">
      <c r="A486" s="12" t="s">
        <v>138</v>
      </c>
      <c r="B486" s="6"/>
      <c r="C486" s="6"/>
      <c r="D486" s="7">
        <f t="shared" si="7"/>
        <v>0</v>
      </c>
    </row>
    <row r="487" spans="1:4" ht="18.75" hidden="1" x14ac:dyDescent="0.25">
      <c r="A487" s="9" t="s">
        <v>139</v>
      </c>
      <c r="B487" s="6"/>
      <c r="C487" s="6"/>
      <c r="D487" s="7">
        <f t="shared" si="7"/>
        <v>0</v>
      </c>
    </row>
    <row r="488" spans="1:4" ht="18.75" hidden="1" x14ac:dyDescent="0.25">
      <c r="A488" s="9" t="s">
        <v>347</v>
      </c>
      <c r="B488" s="6"/>
      <c r="C488" s="6"/>
      <c r="D488" s="7">
        <f t="shared" si="7"/>
        <v>0</v>
      </c>
    </row>
    <row r="489" spans="1:4" ht="18.75" hidden="1" x14ac:dyDescent="0.25">
      <c r="A489" s="9" t="s">
        <v>141</v>
      </c>
      <c r="B489" s="15"/>
      <c r="C489" s="15"/>
      <c r="D489" s="7">
        <f t="shared" si="7"/>
        <v>0</v>
      </c>
    </row>
    <row r="490" spans="1:4" ht="18.75" hidden="1" x14ac:dyDescent="0.25">
      <c r="A490" s="9" t="s">
        <v>142</v>
      </c>
      <c r="B490" s="15"/>
      <c r="C490" s="15"/>
      <c r="D490" s="7">
        <f t="shared" si="7"/>
        <v>0</v>
      </c>
    </row>
    <row r="491" spans="1:4" ht="18.75" hidden="1" x14ac:dyDescent="0.25">
      <c r="A491" s="9" t="s">
        <v>143</v>
      </c>
      <c r="B491" s="6"/>
      <c r="C491" s="6"/>
      <c r="D491" s="7">
        <f t="shared" si="7"/>
        <v>0</v>
      </c>
    </row>
    <row r="492" spans="1:4" ht="18.75" hidden="1" x14ac:dyDescent="0.25">
      <c r="A492" s="9" t="s">
        <v>144</v>
      </c>
      <c r="B492" s="15"/>
      <c r="C492" s="15"/>
      <c r="D492" s="7">
        <f t="shared" si="7"/>
        <v>0</v>
      </c>
    </row>
    <row r="493" spans="1:4" ht="18.75" hidden="1" x14ac:dyDescent="0.25">
      <c r="A493" s="9" t="s">
        <v>145</v>
      </c>
      <c r="B493" s="15"/>
      <c r="C493" s="15"/>
      <c r="D493" s="7">
        <f t="shared" si="7"/>
        <v>0</v>
      </c>
    </row>
    <row r="494" spans="1:4" ht="18.75" hidden="1" x14ac:dyDescent="0.25">
      <c r="A494" s="9" t="s">
        <v>146</v>
      </c>
      <c r="B494" s="15"/>
      <c r="C494" s="15"/>
      <c r="D494" s="7">
        <f t="shared" si="7"/>
        <v>0</v>
      </c>
    </row>
    <row r="495" spans="1:4" ht="18.75" hidden="1" x14ac:dyDescent="0.25">
      <c r="A495" s="9" t="s">
        <v>147</v>
      </c>
      <c r="B495" s="15"/>
      <c r="C495" s="15"/>
      <c r="D495" s="7">
        <f t="shared" si="7"/>
        <v>0</v>
      </c>
    </row>
    <row r="496" spans="1:4" ht="18.75" hidden="1" x14ac:dyDescent="0.25">
      <c r="A496" s="9" t="s">
        <v>148</v>
      </c>
      <c r="B496" s="15"/>
      <c r="C496" s="15"/>
      <c r="D496" s="7">
        <f t="shared" si="7"/>
        <v>0</v>
      </c>
    </row>
    <row r="497" spans="1:4" ht="18.75" hidden="1" x14ac:dyDescent="0.25">
      <c r="A497" s="9" t="s">
        <v>149</v>
      </c>
      <c r="B497" s="15"/>
      <c r="C497" s="15"/>
      <c r="D497" s="7">
        <f t="shared" si="7"/>
        <v>0</v>
      </c>
    </row>
    <row r="498" spans="1:4" ht="18.75" hidden="1" x14ac:dyDescent="0.25">
      <c r="A498" s="9" t="s">
        <v>150</v>
      </c>
      <c r="B498" s="15"/>
      <c r="C498" s="15"/>
      <c r="D498" s="7">
        <f t="shared" si="7"/>
        <v>0</v>
      </c>
    </row>
    <row r="499" spans="1:4" ht="18.75" hidden="1" x14ac:dyDescent="0.25">
      <c r="A499" s="9" t="s">
        <v>151</v>
      </c>
      <c r="B499" s="15"/>
      <c r="C499" s="15"/>
      <c r="D499" s="7">
        <f t="shared" si="7"/>
        <v>0</v>
      </c>
    </row>
    <row r="500" spans="1:4" ht="18.75" hidden="1" x14ac:dyDescent="0.25">
      <c r="A500" s="9" t="s">
        <v>152</v>
      </c>
      <c r="B500" s="6"/>
      <c r="C500" s="6"/>
      <c r="D500" s="7">
        <f t="shared" si="7"/>
        <v>0</v>
      </c>
    </row>
    <row r="501" spans="1:4" ht="18.75" hidden="1" x14ac:dyDescent="0.25">
      <c r="A501" s="9" t="s">
        <v>348</v>
      </c>
      <c r="B501" s="6"/>
      <c r="C501" s="6"/>
      <c r="D501" s="7">
        <f t="shared" si="7"/>
        <v>0</v>
      </c>
    </row>
    <row r="502" spans="1:4" ht="18.75" hidden="1" x14ac:dyDescent="0.25">
      <c r="A502" s="9" t="s">
        <v>153</v>
      </c>
      <c r="B502" s="6"/>
      <c r="C502" s="6"/>
      <c r="D502" s="7">
        <f t="shared" si="7"/>
        <v>0</v>
      </c>
    </row>
    <row r="503" spans="1:4" ht="18.75" x14ac:dyDescent="0.25">
      <c r="A503" s="9" t="s">
        <v>154</v>
      </c>
      <c r="B503" s="6">
        <v>10</v>
      </c>
      <c r="C503" s="6">
        <v>10000</v>
      </c>
      <c r="D503" s="7">
        <f t="shared" si="7"/>
        <v>100000</v>
      </c>
    </row>
    <row r="504" spans="1:4" ht="18.75" hidden="1" x14ac:dyDescent="0.25">
      <c r="A504" s="9" t="s">
        <v>155</v>
      </c>
      <c r="B504" s="6"/>
      <c r="C504" s="6"/>
      <c r="D504" s="7">
        <f t="shared" si="7"/>
        <v>0</v>
      </c>
    </row>
    <row r="505" spans="1:4" ht="18.75" hidden="1" x14ac:dyDescent="0.25">
      <c r="A505" s="17" t="s">
        <v>156</v>
      </c>
      <c r="B505" s="6"/>
      <c r="C505" s="6"/>
      <c r="D505" s="7">
        <f t="shared" si="7"/>
        <v>0</v>
      </c>
    </row>
    <row r="506" spans="1:4" ht="18.75" hidden="1" x14ac:dyDescent="0.25">
      <c r="A506" s="9" t="s">
        <v>157</v>
      </c>
      <c r="B506" s="6"/>
      <c r="C506" s="6"/>
      <c r="D506" s="7">
        <f t="shared" si="7"/>
        <v>0</v>
      </c>
    </row>
    <row r="507" spans="1:4" ht="18.75" hidden="1" x14ac:dyDescent="0.25">
      <c r="A507" s="9" t="s">
        <v>158</v>
      </c>
      <c r="B507" s="6"/>
      <c r="C507" s="6"/>
      <c r="D507" s="7">
        <f t="shared" si="7"/>
        <v>0</v>
      </c>
    </row>
    <row r="508" spans="1:4" ht="18.75" hidden="1" x14ac:dyDescent="0.25">
      <c r="A508" s="9" t="s">
        <v>159</v>
      </c>
      <c r="B508" s="6"/>
      <c r="C508" s="6"/>
      <c r="D508" s="7">
        <f t="shared" si="7"/>
        <v>0</v>
      </c>
    </row>
    <row r="509" spans="1:4" ht="18.75" hidden="1" x14ac:dyDescent="0.25">
      <c r="A509" s="9" t="s">
        <v>160</v>
      </c>
      <c r="B509" s="6"/>
      <c r="C509" s="6"/>
      <c r="D509" s="7">
        <f t="shared" si="7"/>
        <v>0</v>
      </c>
    </row>
    <row r="510" spans="1:4" ht="18.75" hidden="1" x14ac:dyDescent="0.25">
      <c r="A510" s="9" t="s">
        <v>161</v>
      </c>
      <c r="B510" s="15"/>
      <c r="C510" s="15"/>
      <c r="D510" s="7">
        <f t="shared" si="7"/>
        <v>0</v>
      </c>
    </row>
    <row r="511" spans="1:4" ht="18.75" hidden="1" x14ac:dyDescent="0.25">
      <c r="A511" s="18" t="s">
        <v>162</v>
      </c>
      <c r="B511" s="15"/>
      <c r="C511" s="15"/>
      <c r="D511" s="7">
        <f t="shared" si="7"/>
        <v>0</v>
      </c>
    </row>
    <row r="512" spans="1:4" ht="18.75" hidden="1" x14ac:dyDescent="0.25">
      <c r="A512" s="9" t="s">
        <v>163</v>
      </c>
      <c r="B512" s="15"/>
      <c r="C512" s="15"/>
      <c r="D512" s="7">
        <f t="shared" si="7"/>
        <v>0</v>
      </c>
    </row>
    <row r="513" spans="1:4" ht="18.75" hidden="1" x14ac:dyDescent="0.25">
      <c r="A513" s="9" t="s">
        <v>165</v>
      </c>
      <c r="B513" s="6"/>
      <c r="C513" s="6"/>
      <c r="D513" s="7">
        <f t="shared" si="7"/>
        <v>0</v>
      </c>
    </row>
    <row r="514" spans="1:4" ht="18.75" hidden="1" x14ac:dyDescent="0.25">
      <c r="A514" s="17" t="s">
        <v>166</v>
      </c>
      <c r="B514" s="6"/>
      <c r="C514" s="6"/>
      <c r="D514" s="7">
        <f t="shared" si="7"/>
        <v>0</v>
      </c>
    </row>
    <row r="515" spans="1:4" ht="18.75" hidden="1" x14ac:dyDescent="0.25">
      <c r="A515" s="9" t="s">
        <v>349</v>
      </c>
      <c r="B515" s="6"/>
      <c r="C515" s="6"/>
      <c r="D515" s="7">
        <f t="shared" si="7"/>
        <v>0</v>
      </c>
    </row>
    <row r="516" spans="1:4" ht="18.75" hidden="1" x14ac:dyDescent="0.25">
      <c r="A516" s="12" t="s">
        <v>167</v>
      </c>
      <c r="B516" s="6"/>
      <c r="C516" s="6"/>
      <c r="D516" s="7">
        <f t="shared" ref="D516:D579" si="8">B516*C516</f>
        <v>0</v>
      </c>
    </row>
    <row r="517" spans="1:4" ht="18.75" hidden="1" x14ac:dyDescent="0.25">
      <c r="A517" s="9" t="s">
        <v>168</v>
      </c>
      <c r="B517" s="6"/>
      <c r="C517" s="6"/>
      <c r="D517" s="7">
        <f t="shared" si="8"/>
        <v>0</v>
      </c>
    </row>
    <row r="518" spans="1:4" ht="18.75" hidden="1" x14ac:dyDescent="0.25">
      <c r="A518" s="9" t="s">
        <v>170</v>
      </c>
      <c r="B518" s="6"/>
      <c r="C518" s="6"/>
      <c r="D518" s="7">
        <f t="shared" si="8"/>
        <v>0</v>
      </c>
    </row>
    <row r="519" spans="1:4" ht="18.75" hidden="1" x14ac:dyDescent="0.25">
      <c r="A519" s="9" t="s">
        <v>171</v>
      </c>
      <c r="B519" s="6"/>
      <c r="C519" s="6"/>
      <c r="D519" s="7">
        <f t="shared" si="8"/>
        <v>0</v>
      </c>
    </row>
    <row r="520" spans="1:4" ht="18.75" hidden="1" x14ac:dyDescent="0.25">
      <c r="A520" s="20" t="s">
        <v>172</v>
      </c>
      <c r="B520" s="6"/>
      <c r="C520" s="6"/>
      <c r="D520" s="7">
        <f t="shared" si="8"/>
        <v>0</v>
      </c>
    </row>
    <row r="521" spans="1:4" ht="18.75" hidden="1" x14ac:dyDescent="0.25">
      <c r="A521" s="9" t="s">
        <v>173</v>
      </c>
      <c r="B521" s="6"/>
      <c r="C521" s="6"/>
      <c r="D521" s="7">
        <f t="shared" si="8"/>
        <v>0</v>
      </c>
    </row>
    <row r="522" spans="1:4" ht="18.75" hidden="1" x14ac:dyDescent="0.25">
      <c r="A522" s="31" t="s">
        <v>174</v>
      </c>
      <c r="B522" s="32"/>
      <c r="C522" s="32"/>
      <c r="D522" s="7">
        <f t="shared" si="8"/>
        <v>0</v>
      </c>
    </row>
    <row r="523" spans="1:4" ht="18.75" hidden="1" x14ac:dyDescent="0.25">
      <c r="A523" s="11" t="s">
        <v>175</v>
      </c>
      <c r="B523" s="6"/>
      <c r="C523" s="6"/>
      <c r="D523" s="7">
        <f t="shared" si="8"/>
        <v>0</v>
      </c>
    </row>
    <row r="524" spans="1:4" ht="18.75" hidden="1" x14ac:dyDescent="0.25">
      <c r="A524" s="9" t="s">
        <v>176</v>
      </c>
      <c r="B524" s="6"/>
      <c r="C524" s="6"/>
      <c r="D524" s="7">
        <f t="shared" si="8"/>
        <v>0</v>
      </c>
    </row>
    <row r="525" spans="1:4" ht="18.75" hidden="1" x14ac:dyDescent="0.25">
      <c r="A525" s="9" t="s">
        <v>350</v>
      </c>
      <c r="B525" s="6"/>
      <c r="C525" s="6"/>
      <c r="D525" s="7">
        <f t="shared" si="8"/>
        <v>0</v>
      </c>
    </row>
    <row r="526" spans="1:4" ht="18.75" hidden="1" x14ac:dyDescent="0.25">
      <c r="A526" s="12" t="s">
        <v>178</v>
      </c>
      <c r="B526" s="6"/>
      <c r="C526" s="6"/>
      <c r="D526" s="7">
        <f t="shared" si="8"/>
        <v>0</v>
      </c>
    </row>
    <row r="527" spans="1:4" ht="18.75" hidden="1" x14ac:dyDescent="0.25">
      <c r="A527" s="9" t="s">
        <v>179</v>
      </c>
      <c r="B527" s="6"/>
      <c r="C527" s="6"/>
      <c r="D527" s="7">
        <f t="shared" si="8"/>
        <v>0</v>
      </c>
    </row>
    <row r="528" spans="1:4" ht="18.75" hidden="1" x14ac:dyDescent="0.25">
      <c r="A528" s="9" t="s">
        <v>180</v>
      </c>
      <c r="B528" s="6"/>
      <c r="C528" s="6"/>
      <c r="D528" s="7">
        <f t="shared" si="8"/>
        <v>0</v>
      </c>
    </row>
    <row r="529" spans="1:4" ht="18.75" hidden="1" x14ac:dyDescent="0.25">
      <c r="A529" s="12" t="s">
        <v>181</v>
      </c>
      <c r="B529" s="6"/>
      <c r="C529" s="6"/>
      <c r="D529" s="7">
        <f t="shared" si="8"/>
        <v>0</v>
      </c>
    </row>
    <row r="530" spans="1:4" ht="18.75" hidden="1" x14ac:dyDescent="0.25">
      <c r="A530" s="12" t="s">
        <v>182</v>
      </c>
      <c r="B530" s="6"/>
      <c r="C530" s="6"/>
      <c r="D530" s="7">
        <f t="shared" si="8"/>
        <v>0</v>
      </c>
    </row>
    <row r="531" spans="1:4" ht="18.75" hidden="1" x14ac:dyDescent="0.25">
      <c r="A531" s="12" t="s">
        <v>183</v>
      </c>
      <c r="B531" s="6"/>
      <c r="C531" s="6"/>
      <c r="D531" s="7">
        <f t="shared" si="8"/>
        <v>0</v>
      </c>
    </row>
    <row r="532" spans="1:4" ht="18.75" hidden="1" x14ac:dyDescent="0.25">
      <c r="A532" s="9" t="s">
        <v>184</v>
      </c>
      <c r="B532" s="6"/>
      <c r="C532" s="6"/>
      <c r="D532" s="7">
        <f t="shared" si="8"/>
        <v>0</v>
      </c>
    </row>
    <row r="533" spans="1:4" ht="18.75" hidden="1" x14ac:dyDescent="0.25">
      <c r="A533" s="12" t="s">
        <v>186</v>
      </c>
      <c r="B533" s="6"/>
      <c r="C533" s="6"/>
      <c r="D533" s="7">
        <f t="shared" si="8"/>
        <v>0</v>
      </c>
    </row>
    <row r="534" spans="1:4" ht="18.75" hidden="1" x14ac:dyDescent="0.25">
      <c r="A534" s="12" t="s">
        <v>187</v>
      </c>
      <c r="B534" s="6"/>
      <c r="C534" s="6"/>
      <c r="D534" s="7">
        <f t="shared" si="8"/>
        <v>0</v>
      </c>
    </row>
    <row r="535" spans="1:4" ht="18.75" hidden="1" x14ac:dyDescent="0.25">
      <c r="A535" s="12" t="s">
        <v>188</v>
      </c>
      <c r="B535" s="6"/>
      <c r="C535" s="6"/>
      <c r="D535" s="7">
        <f t="shared" si="8"/>
        <v>0</v>
      </c>
    </row>
    <row r="536" spans="1:4" ht="18.75" hidden="1" x14ac:dyDescent="0.25">
      <c r="A536" s="9" t="s">
        <v>351</v>
      </c>
      <c r="B536" s="6"/>
      <c r="C536" s="6"/>
      <c r="D536" s="7">
        <f t="shared" si="8"/>
        <v>0</v>
      </c>
    </row>
    <row r="537" spans="1:4" ht="18.75" hidden="1" x14ac:dyDescent="0.25">
      <c r="A537" s="17" t="s">
        <v>189</v>
      </c>
      <c r="B537" s="6"/>
      <c r="C537" s="6"/>
      <c r="D537" s="7">
        <f t="shared" si="8"/>
        <v>0</v>
      </c>
    </row>
    <row r="538" spans="1:4" ht="18.75" hidden="1" x14ac:dyDescent="0.25">
      <c r="A538" s="17" t="s">
        <v>190</v>
      </c>
      <c r="B538" s="6"/>
      <c r="C538" s="6"/>
      <c r="D538" s="7">
        <f t="shared" si="8"/>
        <v>0</v>
      </c>
    </row>
    <row r="539" spans="1:4" ht="18.75" hidden="1" x14ac:dyDescent="0.25">
      <c r="A539" s="17" t="s">
        <v>191</v>
      </c>
      <c r="B539" s="6"/>
      <c r="C539" s="6"/>
      <c r="D539" s="7">
        <f t="shared" si="8"/>
        <v>0</v>
      </c>
    </row>
    <row r="540" spans="1:4" ht="18.75" hidden="1" x14ac:dyDescent="0.25">
      <c r="A540" s="17" t="s">
        <v>192</v>
      </c>
      <c r="B540" s="6"/>
      <c r="C540" s="6"/>
      <c r="D540" s="7">
        <f t="shared" si="8"/>
        <v>0</v>
      </c>
    </row>
    <row r="541" spans="1:4" ht="18.75" hidden="1" x14ac:dyDescent="0.25">
      <c r="A541" s="12" t="s">
        <v>193</v>
      </c>
      <c r="B541" s="6"/>
      <c r="C541" s="6"/>
      <c r="D541" s="7">
        <f t="shared" si="8"/>
        <v>0</v>
      </c>
    </row>
    <row r="542" spans="1:4" ht="18.75" hidden="1" x14ac:dyDescent="0.25">
      <c r="A542" s="9" t="s">
        <v>194</v>
      </c>
      <c r="B542" s="6"/>
      <c r="C542" s="6"/>
      <c r="D542" s="7">
        <f t="shared" si="8"/>
        <v>0</v>
      </c>
    </row>
    <row r="543" spans="1:4" ht="18.75" hidden="1" x14ac:dyDescent="0.25">
      <c r="A543" s="34" t="s">
        <v>195</v>
      </c>
      <c r="B543" s="6"/>
      <c r="C543" s="6"/>
      <c r="D543" s="7">
        <f t="shared" si="8"/>
        <v>0</v>
      </c>
    </row>
    <row r="544" spans="1:4" ht="18.75" hidden="1" x14ac:dyDescent="0.25">
      <c r="A544" s="34" t="s">
        <v>196</v>
      </c>
      <c r="B544" s="6"/>
      <c r="C544" s="6"/>
      <c r="D544" s="7">
        <f t="shared" si="8"/>
        <v>0</v>
      </c>
    </row>
    <row r="545" spans="1:4" ht="18.75" hidden="1" x14ac:dyDescent="0.25">
      <c r="A545" s="34" t="s">
        <v>197</v>
      </c>
      <c r="B545" s="6"/>
      <c r="C545" s="6"/>
      <c r="D545" s="7">
        <f t="shared" si="8"/>
        <v>0</v>
      </c>
    </row>
    <row r="546" spans="1:4" ht="18.75" hidden="1" x14ac:dyDescent="0.25">
      <c r="A546" s="34" t="s">
        <v>198</v>
      </c>
      <c r="B546" s="6"/>
      <c r="C546" s="6"/>
      <c r="D546" s="7">
        <f t="shared" si="8"/>
        <v>0</v>
      </c>
    </row>
    <row r="547" spans="1:4" ht="18.75" hidden="1" x14ac:dyDescent="0.25">
      <c r="A547" s="9" t="s">
        <v>199</v>
      </c>
      <c r="B547" s="6"/>
      <c r="C547" s="6"/>
      <c r="D547" s="7">
        <f t="shared" si="8"/>
        <v>0</v>
      </c>
    </row>
    <row r="548" spans="1:4" ht="18.75" hidden="1" x14ac:dyDescent="0.25">
      <c r="A548" s="35" t="s">
        <v>352</v>
      </c>
      <c r="B548" s="6"/>
      <c r="C548" s="6"/>
      <c r="D548" s="7">
        <f t="shared" si="8"/>
        <v>0</v>
      </c>
    </row>
    <row r="549" spans="1:4" ht="18.75" hidden="1" x14ac:dyDescent="0.25">
      <c r="A549" s="9" t="s">
        <v>201</v>
      </c>
      <c r="B549" s="6"/>
      <c r="C549" s="6"/>
      <c r="D549" s="7">
        <f t="shared" si="8"/>
        <v>0</v>
      </c>
    </row>
    <row r="550" spans="1:4" ht="18.75" hidden="1" x14ac:dyDescent="0.25">
      <c r="A550" s="12" t="s">
        <v>202</v>
      </c>
      <c r="B550" s="6"/>
      <c r="C550" s="6"/>
      <c r="D550" s="7">
        <f t="shared" si="8"/>
        <v>0</v>
      </c>
    </row>
    <row r="551" spans="1:4" ht="18.75" hidden="1" x14ac:dyDescent="0.25">
      <c r="A551" s="9" t="s">
        <v>353</v>
      </c>
      <c r="B551" s="6"/>
      <c r="C551" s="6"/>
      <c r="D551" s="7">
        <f t="shared" si="8"/>
        <v>0</v>
      </c>
    </row>
    <row r="552" spans="1:4" ht="18.75" hidden="1" x14ac:dyDescent="0.25">
      <c r="A552" s="9" t="s">
        <v>203</v>
      </c>
      <c r="B552" s="6"/>
      <c r="C552" s="6"/>
      <c r="D552" s="7">
        <f t="shared" si="8"/>
        <v>0</v>
      </c>
    </row>
    <row r="553" spans="1:4" ht="18.75" x14ac:dyDescent="0.25">
      <c r="A553" s="9" t="s">
        <v>204</v>
      </c>
      <c r="B553" s="6">
        <v>100</v>
      </c>
      <c r="C553" s="6">
        <v>20000</v>
      </c>
      <c r="D553" s="7">
        <f t="shared" si="8"/>
        <v>2000000</v>
      </c>
    </row>
    <row r="554" spans="1:4" ht="18.75" hidden="1" x14ac:dyDescent="0.25">
      <c r="A554" s="36" t="s">
        <v>205</v>
      </c>
      <c r="B554" s="6"/>
      <c r="C554" s="6"/>
      <c r="D554" s="7">
        <f t="shared" si="8"/>
        <v>0</v>
      </c>
    </row>
    <row r="555" spans="1:4" ht="18.75" hidden="1" x14ac:dyDescent="0.25">
      <c r="A555" s="36" t="s">
        <v>206</v>
      </c>
      <c r="B555" s="6"/>
      <c r="C555" s="6"/>
      <c r="D555" s="7">
        <f t="shared" si="8"/>
        <v>0</v>
      </c>
    </row>
    <row r="556" spans="1:4" ht="18.75" hidden="1" x14ac:dyDescent="0.25">
      <c r="A556" s="9" t="s">
        <v>207</v>
      </c>
      <c r="B556" s="6"/>
      <c r="C556" s="6"/>
      <c r="D556" s="7">
        <f t="shared" si="8"/>
        <v>0</v>
      </c>
    </row>
    <row r="557" spans="1:4" ht="18.75" hidden="1" x14ac:dyDescent="0.25">
      <c r="A557" s="11" t="s">
        <v>208</v>
      </c>
      <c r="B557" s="6"/>
      <c r="C557" s="6"/>
      <c r="D557" s="7">
        <f t="shared" si="8"/>
        <v>0</v>
      </c>
    </row>
    <row r="558" spans="1:4" ht="18.75" hidden="1" x14ac:dyDescent="0.25">
      <c r="A558" s="9" t="s">
        <v>209</v>
      </c>
      <c r="B558" s="6"/>
      <c r="C558" s="6"/>
      <c r="D558" s="7">
        <f t="shared" si="8"/>
        <v>0</v>
      </c>
    </row>
    <row r="559" spans="1:4" ht="18.75" hidden="1" x14ac:dyDescent="0.25">
      <c r="A559" s="11" t="s">
        <v>354</v>
      </c>
      <c r="B559" s="6"/>
      <c r="C559" s="6"/>
      <c r="D559" s="7">
        <f t="shared" si="8"/>
        <v>0</v>
      </c>
    </row>
    <row r="560" spans="1:4" ht="18.75" hidden="1" x14ac:dyDescent="0.25">
      <c r="A560" s="9" t="s">
        <v>210</v>
      </c>
      <c r="B560" s="6"/>
      <c r="C560" s="6"/>
      <c r="D560" s="7">
        <f t="shared" si="8"/>
        <v>0</v>
      </c>
    </row>
    <row r="561" spans="1:4" ht="18.75" hidden="1" x14ac:dyDescent="0.25">
      <c r="A561" s="9" t="s">
        <v>211</v>
      </c>
      <c r="B561" s="6"/>
      <c r="C561" s="6"/>
      <c r="D561" s="7">
        <f t="shared" si="8"/>
        <v>0</v>
      </c>
    </row>
    <row r="562" spans="1:4" ht="18.75" hidden="1" x14ac:dyDescent="0.25">
      <c r="A562" s="9" t="s">
        <v>355</v>
      </c>
      <c r="B562" s="6"/>
      <c r="C562" s="6"/>
      <c r="D562" s="7">
        <f t="shared" si="8"/>
        <v>0</v>
      </c>
    </row>
    <row r="563" spans="1:4" ht="18.75" hidden="1" x14ac:dyDescent="0.25">
      <c r="A563" s="9" t="s">
        <v>356</v>
      </c>
      <c r="B563" s="6"/>
      <c r="C563" s="6"/>
      <c r="D563" s="7">
        <f t="shared" si="8"/>
        <v>0</v>
      </c>
    </row>
    <row r="564" spans="1:4" ht="18.75" hidden="1" x14ac:dyDescent="0.25">
      <c r="A564" s="9" t="s">
        <v>212</v>
      </c>
      <c r="B564" s="6"/>
      <c r="C564" s="6"/>
      <c r="D564" s="7">
        <f t="shared" si="8"/>
        <v>0</v>
      </c>
    </row>
    <row r="565" spans="1:4" ht="18.75" hidden="1" x14ac:dyDescent="0.25">
      <c r="A565" s="37" t="s">
        <v>213</v>
      </c>
      <c r="B565" s="6"/>
      <c r="C565" s="6"/>
      <c r="D565" s="7">
        <f t="shared" si="8"/>
        <v>0</v>
      </c>
    </row>
    <row r="566" spans="1:4" ht="18.75" hidden="1" x14ac:dyDescent="0.25">
      <c r="A566" s="9" t="s">
        <v>214</v>
      </c>
      <c r="B566" s="6"/>
      <c r="C566" s="6"/>
      <c r="D566" s="7">
        <f t="shared" si="8"/>
        <v>0</v>
      </c>
    </row>
    <row r="567" spans="1:4" ht="18.75" x14ac:dyDescent="0.25">
      <c r="A567" s="9" t="s">
        <v>215</v>
      </c>
      <c r="B567" s="6">
        <v>300</v>
      </c>
      <c r="C567" s="6">
        <v>15000</v>
      </c>
      <c r="D567" s="7">
        <f t="shared" si="8"/>
        <v>4500000</v>
      </c>
    </row>
    <row r="568" spans="1:4" ht="18.75" hidden="1" x14ac:dyDescent="0.25">
      <c r="A568" s="9" t="s">
        <v>216</v>
      </c>
      <c r="B568" s="6"/>
      <c r="C568" s="6"/>
      <c r="D568" s="7">
        <f t="shared" si="8"/>
        <v>0</v>
      </c>
    </row>
    <row r="569" spans="1:4" ht="18.75" hidden="1" x14ac:dyDescent="0.25">
      <c r="A569" s="9" t="s">
        <v>357</v>
      </c>
      <c r="B569" s="6"/>
      <c r="C569" s="6"/>
      <c r="D569" s="7">
        <f t="shared" si="8"/>
        <v>0</v>
      </c>
    </row>
    <row r="570" spans="1:4" ht="18.75" hidden="1" x14ac:dyDescent="0.25">
      <c r="A570" s="9" t="s">
        <v>217</v>
      </c>
      <c r="B570" s="6"/>
      <c r="C570" s="6"/>
      <c r="D570" s="7">
        <f t="shared" si="8"/>
        <v>0</v>
      </c>
    </row>
    <row r="571" spans="1:4" ht="18.75" hidden="1" x14ac:dyDescent="0.25">
      <c r="A571" s="17" t="s">
        <v>218</v>
      </c>
      <c r="B571" s="6"/>
      <c r="C571" s="6"/>
      <c r="D571" s="7">
        <f t="shared" si="8"/>
        <v>0</v>
      </c>
    </row>
    <row r="572" spans="1:4" ht="18.75" hidden="1" x14ac:dyDescent="0.25">
      <c r="A572" s="17" t="s">
        <v>219</v>
      </c>
      <c r="B572" s="6"/>
      <c r="C572" s="6"/>
      <c r="D572" s="7">
        <f t="shared" si="8"/>
        <v>0</v>
      </c>
    </row>
    <row r="573" spans="1:4" ht="18.75" hidden="1" x14ac:dyDescent="0.25">
      <c r="A573" s="17" t="s">
        <v>220</v>
      </c>
      <c r="B573" s="6"/>
      <c r="C573" s="6"/>
      <c r="D573" s="7">
        <f t="shared" si="8"/>
        <v>0</v>
      </c>
    </row>
    <row r="574" spans="1:4" ht="18.75" hidden="1" x14ac:dyDescent="0.25">
      <c r="A574" s="17" t="s">
        <v>221</v>
      </c>
      <c r="B574" s="6"/>
      <c r="C574" s="6"/>
      <c r="D574" s="7">
        <f t="shared" si="8"/>
        <v>0</v>
      </c>
    </row>
    <row r="575" spans="1:4" ht="18.75" hidden="1" x14ac:dyDescent="0.25">
      <c r="A575" s="9" t="s">
        <v>222</v>
      </c>
      <c r="B575" s="6"/>
      <c r="C575" s="6"/>
      <c r="D575" s="7">
        <f t="shared" si="8"/>
        <v>0</v>
      </c>
    </row>
    <row r="576" spans="1:4" ht="18.75" hidden="1" x14ac:dyDescent="0.25">
      <c r="A576" s="9" t="s">
        <v>223</v>
      </c>
      <c r="B576" s="6"/>
      <c r="C576" s="6"/>
      <c r="D576" s="7">
        <f t="shared" si="8"/>
        <v>0</v>
      </c>
    </row>
    <row r="577" spans="1:4" ht="18.75" hidden="1" x14ac:dyDescent="0.25">
      <c r="A577" s="17" t="s">
        <v>224</v>
      </c>
      <c r="B577" s="6"/>
      <c r="C577" s="6"/>
      <c r="D577" s="7">
        <f t="shared" si="8"/>
        <v>0</v>
      </c>
    </row>
    <row r="578" spans="1:4" ht="18.75" hidden="1" x14ac:dyDescent="0.25">
      <c r="A578" s="17" t="s">
        <v>225</v>
      </c>
      <c r="B578" s="6"/>
      <c r="C578" s="6"/>
      <c r="D578" s="7">
        <f t="shared" si="8"/>
        <v>0</v>
      </c>
    </row>
    <row r="579" spans="1:4" ht="18.75" hidden="1" x14ac:dyDescent="0.25">
      <c r="A579" s="11" t="s">
        <v>226</v>
      </c>
      <c r="B579" s="6"/>
      <c r="C579" s="6"/>
      <c r="D579" s="7">
        <f t="shared" si="8"/>
        <v>0</v>
      </c>
    </row>
    <row r="580" spans="1:4" ht="18.75" hidden="1" x14ac:dyDescent="0.25">
      <c r="A580" s="12" t="s">
        <v>227</v>
      </c>
      <c r="B580" s="6"/>
      <c r="C580" s="6"/>
      <c r="D580" s="7">
        <f t="shared" ref="D580:D643" si="9">B580*C580</f>
        <v>0</v>
      </c>
    </row>
    <row r="581" spans="1:4" ht="18.75" hidden="1" x14ac:dyDescent="0.25">
      <c r="A581" s="21" t="s">
        <v>358</v>
      </c>
      <c r="B581" s="6"/>
      <c r="C581" s="6"/>
      <c r="D581" s="7">
        <f t="shared" si="9"/>
        <v>0</v>
      </c>
    </row>
    <row r="582" spans="1:4" ht="18.75" hidden="1" x14ac:dyDescent="0.25">
      <c r="A582" s="21" t="s">
        <v>359</v>
      </c>
      <c r="B582" s="6"/>
      <c r="C582" s="6"/>
      <c r="D582" s="7">
        <f t="shared" si="9"/>
        <v>0</v>
      </c>
    </row>
    <row r="583" spans="1:4" ht="18.75" hidden="1" x14ac:dyDescent="0.25">
      <c r="A583" s="11" t="s">
        <v>232</v>
      </c>
      <c r="B583" s="6"/>
      <c r="C583" s="6"/>
      <c r="D583" s="7">
        <f t="shared" si="9"/>
        <v>0</v>
      </c>
    </row>
    <row r="584" spans="1:4" ht="18.75" hidden="1" x14ac:dyDescent="0.25">
      <c r="A584" s="9" t="s">
        <v>237</v>
      </c>
      <c r="B584" s="6"/>
      <c r="C584" s="6"/>
      <c r="D584" s="7">
        <f t="shared" si="9"/>
        <v>0</v>
      </c>
    </row>
    <row r="585" spans="1:4" ht="18.75" hidden="1" x14ac:dyDescent="0.25">
      <c r="A585" s="9" t="s">
        <v>238</v>
      </c>
      <c r="B585" s="6"/>
      <c r="C585" s="6"/>
      <c r="D585" s="7">
        <f t="shared" si="9"/>
        <v>0</v>
      </c>
    </row>
    <row r="586" spans="1:4" ht="18.75" hidden="1" x14ac:dyDescent="0.25">
      <c r="A586" s="13" t="s">
        <v>239</v>
      </c>
      <c r="B586" s="6"/>
      <c r="C586" s="6"/>
      <c r="D586" s="7">
        <f t="shared" si="9"/>
        <v>0</v>
      </c>
    </row>
    <row r="587" spans="1:4" ht="18.75" hidden="1" x14ac:dyDescent="0.25">
      <c r="A587" s="13" t="s">
        <v>240</v>
      </c>
      <c r="B587" s="6"/>
      <c r="C587" s="6"/>
      <c r="D587" s="7">
        <f t="shared" si="9"/>
        <v>0</v>
      </c>
    </row>
    <row r="588" spans="1:4" ht="18.75" hidden="1" x14ac:dyDescent="0.25">
      <c r="A588" s="34" t="s">
        <v>241</v>
      </c>
      <c r="B588" s="6"/>
      <c r="C588" s="6"/>
      <c r="D588" s="7">
        <f t="shared" si="9"/>
        <v>0</v>
      </c>
    </row>
    <row r="589" spans="1:4" ht="18.75" hidden="1" x14ac:dyDescent="0.25">
      <c r="A589" s="9" t="s">
        <v>242</v>
      </c>
      <c r="B589" s="6"/>
      <c r="C589" s="6"/>
      <c r="D589" s="7">
        <f t="shared" si="9"/>
        <v>0</v>
      </c>
    </row>
    <row r="590" spans="1:4" ht="18.75" hidden="1" x14ac:dyDescent="0.25">
      <c r="A590" s="9" t="s">
        <v>243</v>
      </c>
      <c r="B590" s="6"/>
      <c r="C590" s="6"/>
      <c r="D590" s="7">
        <f t="shared" si="9"/>
        <v>0</v>
      </c>
    </row>
    <row r="591" spans="1:4" ht="18.75" hidden="1" x14ac:dyDescent="0.25">
      <c r="A591" s="9" t="s">
        <v>244</v>
      </c>
      <c r="B591" s="15"/>
      <c r="C591" s="15"/>
      <c r="D591" s="7">
        <f t="shared" si="9"/>
        <v>0</v>
      </c>
    </row>
    <row r="592" spans="1:4" ht="18.75" hidden="1" x14ac:dyDescent="0.25">
      <c r="A592" s="34" t="s">
        <v>245</v>
      </c>
      <c r="B592" s="6"/>
      <c r="C592" s="6"/>
      <c r="D592" s="7">
        <f t="shared" si="9"/>
        <v>0</v>
      </c>
    </row>
    <row r="593" spans="1:4" ht="18.75" hidden="1" x14ac:dyDescent="0.25">
      <c r="A593" s="9" t="s">
        <v>246</v>
      </c>
      <c r="B593" s="15"/>
      <c r="C593" s="15"/>
      <c r="D593" s="7">
        <f t="shared" si="9"/>
        <v>0</v>
      </c>
    </row>
    <row r="594" spans="1:4" ht="18.75" hidden="1" x14ac:dyDescent="0.25">
      <c r="A594" s="9" t="s">
        <v>247</v>
      </c>
      <c r="B594" s="6"/>
      <c r="C594" s="6"/>
      <c r="D594" s="7">
        <f t="shared" si="9"/>
        <v>0</v>
      </c>
    </row>
    <row r="595" spans="1:4" ht="18.75" hidden="1" x14ac:dyDescent="0.25">
      <c r="A595" s="11" t="s">
        <v>249</v>
      </c>
      <c r="B595" s="6"/>
      <c r="C595" s="6"/>
      <c r="D595" s="7">
        <f t="shared" si="9"/>
        <v>0</v>
      </c>
    </row>
    <row r="596" spans="1:4" ht="18.75" x14ac:dyDescent="0.25">
      <c r="A596" s="9" t="s">
        <v>250</v>
      </c>
      <c r="B596" s="6">
        <v>20</v>
      </c>
      <c r="C596" s="6">
        <v>27000</v>
      </c>
      <c r="D596" s="7">
        <f t="shared" si="9"/>
        <v>540000</v>
      </c>
    </row>
    <row r="597" spans="1:4" ht="18.75" hidden="1" x14ac:dyDescent="0.25">
      <c r="A597" s="9" t="s">
        <v>251</v>
      </c>
      <c r="B597" s="6"/>
      <c r="C597" s="6"/>
      <c r="D597" s="7">
        <f t="shared" si="9"/>
        <v>0</v>
      </c>
    </row>
    <row r="598" spans="1:4" ht="18.75" hidden="1" x14ac:dyDescent="0.25">
      <c r="A598" s="9" t="s">
        <v>252</v>
      </c>
      <c r="B598" s="6"/>
      <c r="C598" s="6"/>
      <c r="D598" s="7">
        <f t="shared" si="9"/>
        <v>0</v>
      </c>
    </row>
    <row r="599" spans="1:4" ht="18.75" hidden="1" x14ac:dyDescent="0.25">
      <c r="A599" s="9" t="s">
        <v>253</v>
      </c>
      <c r="B599" s="6"/>
      <c r="C599" s="6"/>
      <c r="D599" s="7">
        <f t="shared" si="9"/>
        <v>0</v>
      </c>
    </row>
    <row r="600" spans="1:4" ht="18.75" hidden="1" x14ac:dyDescent="0.25">
      <c r="A600" s="9" t="s">
        <v>254</v>
      </c>
      <c r="B600" s="6"/>
      <c r="C600" s="6"/>
      <c r="D600" s="7">
        <f t="shared" si="9"/>
        <v>0</v>
      </c>
    </row>
    <row r="601" spans="1:4" ht="18.75" hidden="1" x14ac:dyDescent="0.25">
      <c r="A601" s="17" t="s">
        <v>255</v>
      </c>
      <c r="B601" s="6"/>
      <c r="C601" s="6"/>
      <c r="D601" s="7">
        <f t="shared" si="9"/>
        <v>0</v>
      </c>
    </row>
    <row r="602" spans="1:4" ht="18.75" hidden="1" x14ac:dyDescent="0.25">
      <c r="A602" s="21" t="s">
        <v>256</v>
      </c>
      <c r="B602" s="6"/>
      <c r="C602" s="6"/>
      <c r="D602" s="7">
        <f t="shared" si="9"/>
        <v>0</v>
      </c>
    </row>
    <row r="603" spans="1:4" ht="18.75" hidden="1" x14ac:dyDescent="0.25">
      <c r="A603" s="21" t="s">
        <v>257</v>
      </c>
      <c r="B603" s="6"/>
      <c r="C603" s="6"/>
      <c r="D603" s="7">
        <f t="shared" si="9"/>
        <v>0</v>
      </c>
    </row>
    <row r="604" spans="1:4" ht="18.75" x14ac:dyDescent="0.25">
      <c r="A604" s="9" t="s">
        <v>258</v>
      </c>
      <c r="B604" s="6">
        <v>20</v>
      </c>
      <c r="C604" s="6">
        <v>25000</v>
      </c>
      <c r="D604" s="7">
        <f t="shared" si="9"/>
        <v>500000</v>
      </c>
    </row>
    <row r="605" spans="1:4" ht="18.75" hidden="1" x14ac:dyDescent="0.25">
      <c r="A605" s="9" t="s">
        <v>259</v>
      </c>
      <c r="B605" s="6"/>
      <c r="C605" s="6"/>
      <c r="D605" s="7">
        <f t="shared" si="9"/>
        <v>0</v>
      </c>
    </row>
    <row r="606" spans="1:4" ht="18.75" hidden="1" x14ac:dyDescent="0.25">
      <c r="A606" s="9" t="s">
        <v>260</v>
      </c>
      <c r="B606" s="6"/>
      <c r="C606" s="6"/>
      <c r="D606" s="7">
        <f t="shared" si="9"/>
        <v>0</v>
      </c>
    </row>
    <row r="607" spans="1:4" ht="18.75" hidden="1" x14ac:dyDescent="0.25">
      <c r="A607" s="9" t="s">
        <v>261</v>
      </c>
      <c r="B607" s="6"/>
      <c r="C607" s="6"/>
      <c r="D607" s="7">
        <f t="shared" si="9"/>
        <v>0</v>
      </c>
    </row>
    <row r="608" spans="1:4" ht="18.75" x14ac:dyDescent="0.25">
      <c r="A608" s="9" t="s">
        <v>262</v>
      </c>
      <c r="B608" s="6">
        <v>20</v>
      </c>
      <c r="C608" s="6">
        <v>24000</v>
      </c>
      <c r="D608" s="7">
        <f t="shared" si="9"/>
        <v>480000</v>
      </c>
    </row>
    <row r="609" spans="1:4" ht="18.75" hidden="1" x14ac:dyDescent="0.25">
      <c r="A609" s="9" t="s">
        <v>263</v>
      </c>
      <c r="B609" s="6"/>
      <c r="C609" s="6"/>
      <c r="D609" s="7">
        <f t="shared" si="9"/>
        <v>0</v>
      </c>
    </row>
    <row r="610" spans="1:4" ht="18.75" hidden="1" x14ac:dyDescent="0.25">
      <c r="A610" s="9" t="s">
        <v>264</v>
      </c>
      <c r="B610" s="6"/>
      <c r="C610" s="6"/>
      <c r="D610" s="7">
        <f t="shared" si="9"/>
        <v>0</v>
      </c>
    </row>
    <row r="611" spans="1:4" ht="18.75" hidden="1" x14ac:dyDescent="0.25">
      <c r="A611" s="9" t="s">
        <v>265</v>
      </c>
      <c r="B611" s="15"/>
      <c r="C611" s="15"/>
      <c r="D611" s="7">
        <f t="shared" si="9"/>
        <v>0</v>
      </c>
    </row>
    <row r="612" spans="1:4" ht="18.75" hidden="1" x14ac:dyDescent="0.25">
      <c r="A612" s="13" t="s">
        <v>266</v>
      </c>
      <c r="B612" s="6"/>
      <c r="C612" s="6"/>
      <c r="D612" s="7">
        <f t="shared" si="9"/>
        <v>0</v>
      </c>
    </row>
    <row r="613" spans="1:4" ht="18.75" hidden="1" x14ac:dyDescent="0.25">
      <c r="A613" s="9" t="s">
        <v>267</v>
      </c>
      <c r="B613" s="6"/>
      <c r="C613" s="6"/>
      <c r="D613" s="7">
        <f t="shared" si="9"/>
        <v>0</v>
      </c>
    </row>
    <row r="614" spans="1:4" ht="18.75" hidden="1" x14ac:dyDescent="0.25">
      <c r="A614" s="11" t="s">
        <v>360</v>
      </c>
      <c r="B614" s="6"/>
      <c r="C614" s="6"/>
      <c r="D614" s="7">
        <f t="shared" si="9"/>
        <v>0</v>
      </c>
    </row>
    <row r="615" spans="1:4" ht="18.75" hidden="1" x14ac:dyDescent="0.25">
      <c r="A615" s="11" t="s">
        <v>268</v>
      </c>
      <c r="B615" s="6"/>
      <c r="C615" s="6"/>
      <c r="D615" s="7">
        <f t="shared" si="9"/>
        <v>0</v>
      </c>
    </row>
    <row r="616" spans="1:4" ht="18.75" hidden="1" x14ac:dyDescent="0.25">
      <c r="A616" s="9" t="s">
        <v>269</v>
      </c>
      <c r="B616" s="6"/>
      <c r="C616" s="6"/>
      <c r="D616" s="7">
        <f t="shared" si="9"/>
        <v>0</v>
      </c>
    </row>
    <row r="617" spans="1:4" ht="18.75" hidden="1" x14ac:dyDescent="0.25">
      <c r="A617" s="9" t="s">
        <v>361</v>
      </c>
      <c r="B617" s="6"/>
      <c r="C617" s="6"/>
      <c r="D617" s="7">
        <f t="shared" si="9"/>
        <v>0</v>
      </c>
    </row>
    <row r="618" spans="1:4" ht="18.75" hidden="1" x14ac:dyDescent="0.25">
      <c r="A618" s="9" t="s">
        <v>270</v>
      </c>
      <c r="B618" s="6"/>
      <c r="C618" s="6"/>
      <c r="D618" s="7">
        <f t="shared" si="9"/>
        <v>0</v>
      </c>
    </row>
    <row r="619" spans="1:4" ht="18.75" hidden="1" x14ac:dyDescent="0.25">
      <c r="A619" s="9" t="s">
        <v>362</v>
      </c>
      <c r="B619" s="6"/>
      <c r="C619" s="6"/>
      <c r="D619" s="7">
        <f t="shared" si="9"/>
        <v>0</v>
      </c>
    </row>
    <row r="620" spans="1:4" ht="18.75" hidden="1" x14ac:dyDescent="0.25">
      <c r="A620" s="9" t="s">
        <v>272</v>
      </c>
      <c r="B620" s="6"/>
      <c r="C620" s="6"/>
      <c r="D620" s="7">
        <f t="shared" si="9"/>
        <v>0</v>
      </c>
    </row>
    <row r="621" spans="1:4" ht="18.75" hidden="1" x14ac:dyDescent="0.25">
      <c r="A621" s="9" t="s">
        <v>273</v>
      </c>
      <c r="B621" s="6"/>
      <c r="C621" s="6"/>
      <c r="D621" s="7">
        <f t="shared" si="9"/>
        <v>0</v>
      </c>
    </row>
    <row r="622" spans="1:4" ht="18.75" hidden="1" x14ac:dyDescent="0.25">
      <c r="A622" s="9" t="s">
        <v>274</v>
      </c>
      <c r="B622" s="6"/>
      <c r="C622" s="6"/>
      <c r="D622" s="7">
        <f t="shared" si="9"/>
        <v>0</v>
      </c>
    </row>
    <row r="623" spans="1:4" ht="18.75" hidden="1" x14ac:dyDescent="0.25">
      <c r="A623" s="34" t="s">
        <v>276</v>
      </c>
      <c r="B623" s="6"/>
      <c r="C623" s="6"/>
      <c r="D623" s="7">
        <f t="shared" si="9"/>
        <v>0</v>
      </c>
    </row>
    <row r="624" spans="1:4" ht="18.75" hidden="1" x14ac:dyDescent="0.25">
      <c r="A624" s="9" t="s">
        <v>277</v>
      </c>
      <c r="B624" s="6"/>
      <c r="C624" s="6"/>
      <c r="D624" s="7">
        <f t="shared" si="9"/>
        <v>0</v>
      </c>
    </row>
    <row r="625" spans="1:4" ht="18.75" hidden="1" x14ac:dyDescent="0.25">
      <c r="A625" s="34" t="s">
        <v>278</v>
      </c>
      <c r="B625" s="6"/>
      <c r="C625" s="6"/>
      <c r="D625" s="7">
        <f t="shared" si="9"/>
        <v>0</v>
      </c>
    </row>
    <row r="626" spans="1:4" ht="18.75" hidden="1" x14ac:dyDescent="0.25">
      <c r="A626" s="11" t="s">
        <v>363</v>
      </c>
      <c r="B626" s="6"/>
      <c r="C626" s="6"/>
      <c r="D626" s="7">
        <f t="shared" si="9"/>
        <v>0</v>
      </c>
    </row>
    <row r="627" spans="1:4" ht="18.75" hidden="1" x14ac:dyDescent="0.25">
      <c r="A627" s="34" t="s">
        <v>279</v>
      </c>
      <c r="B627" s="6"/>
      <c r="C627" s="6"/>
      <c r="D627" s="7">
        <f t="shared" si="9"/>
        <v>0</v>
      </c>
    </row>
    <row r="628" spans="1:4" ht="18.75" hidden="1" x14ac:dyDescent="0.25">
      <c r="A628" s="12" t="s">
        <v>280</v>
      </c>
      <c r="B628" s="15"/>
      <c r="C628" s="15"/>
      <c r="D628" s="7">
        <f t="shared" si="9"/>
        <v>0</v>
      </c>
    </row>
    <row r="629" spans="1:4" ht="18.75" hidden="1" x14ac:dyDescent="0.25">
      <c r="A629" s="17" t="s">
        <v>284</v>
      </c>
      <c r="B629" s="6"/>
      <c r="C629" s="6"/>
      <c r="D629" s="7">
        <f t="shared" si="9"/>
        <v>0</v>
      </c>
    </row>
    <row r="630" spans="1:4" ht="18.75" hidden="1" x14ac:dyDescent="0.25">
      <c r="A630" s="17" t="s">
        <v>285</v>
      </c>
      <c r="B630" s="6"/>
      <c r="C630" s="6"/>
      <c r="D630" s="7">
        <f t="shared" si="9"/>
        <v>0</v>
      </c>
    </row>
    <row r="631" spans="1:4" ht="18.75" hidden="1" x14ac:dyDescent="0.25">
      <c r="A631" s="17" t="s">
        <v>286</v>
      </c>
      <c r="B631" s="6"/>
      <c r="C631" s="6"/>
      <c r="D631" s="7">
        <f t="shared" si="9"/>
        <v>0</v>
      </c>
    </row>
    <row r="632" spans="1:4" ht="18.75" hidden="1" x14ac:dyDescent="0.25">
      <c r="A632" s="9" t="s">
        <v>287</v>
      </c>
      <c r="B632" s="6"/>
      <c r="C632" s="6"/>
      <c r="D632" s="7">
        <f t="shared" si="9"/>
        <v>0</v>
      </c>
    </row>
    <row r="633" spans="1:4" ht="18.75" hidden="1" x14ac:dyDescent="0.25">
      <c r="A633" s="17" t="s">
        <v>288</v>
      </c>
      <c r="B633" s="6"/>
      <c r="C633" s="6"/>
      <c r="D633" s="7">
        <f t="shared" si="9"/>
        <v>0</v>
      </c>
    </row>
    <row r="634" spans="1:4" ht="18.75" hidden="1" x14ac:dyDescent="0.25">
      <c r="A634" s="9" t="s">
        <v>289</v>
      </c>
      <c r="B634" s="6"/>
      <c r="C634" s="6"/>
      <c r="D634" s="7">
        <f t="shared" si="9"/>
        <v>0</v>
      </c>
    </row>
    <row r="635" spans="1:4" ht="18.75" hidden="1" x14ac:dyDescent="0.25">
      <c r="A635" s="9" t="s">
        <v>290</v>
      </c>
      <c r="B635" s="6"/>
      <c r="C635" s="6"/>
      <c r="D635" s="7">
        <f t="shared" si="9"/>
        <v>0</v>
      </c>
    </row>
    <row r="636" spans="1:4" ht="18.75" hidden="1" x14ac:dyDescent="0.25">
      <c r="A636" s="17" t="s">
        <v>291</v>
      </c>
      <c r="B636" s="6"/>
      <c r="C636" s="6"/>
      <c r="D636" s="7">
        <f t="shared" si="9"/>
        <v>0</v>
      </c>
    </row>
    <row r="637" spans="1:4" ht="18.75" hidden="1" x14ac:dyDescent="0.25">
      <c r="A637" s="25" t="s">
        <v>292</v>
      </c>
      <c r="B637" s="6"/>
      <c r="C637" s="6"/>
      <c r="D637" s="7">
        <f t="shared" si="9"/>
        <v>0</v>
      </c>
    </row>
    <row r="638" spans="1:4" ht="18.75" hidden="1" x14ac:dyDescent="0.25">
      <c r="A638" s="9" t="s">
        <v>293</v>
      </c>
      <c r="B638" s="6"/>
      <c r="C638" s="6"/>
      <c r="D638" s="7">
        <f t="shared" si="9"/>
        <v>0</v>
      </c>
    </row>
    <row r="639" spans="1:4" ht="18.75" hidden="1" x14ac:dyDescent="0.25">
      <c r="A639" s="13" t="s">
        <v>294</v>
      </c>
      <c r="B639" s="6"/>
      <c r="C639" s="6"/>
      <c r="D639" s="7">
        <f t="shared" si="9"/>
        <v>0</v>
      </c>
    </row>
    <row r="640" spans="1:4" ht="18.75" hidden="1" x14ac:dyDescent="0.25">
      <c r="A640" s="12" t="s">
        <v>296</v>
      </c>
      <c r="B640" s="6"/>
      <c r="C640" s="6"/>
      <c r="D640" s="7">
        <f t="shared" si="9"/>
        <v>0</v>
      </c>
    </row>
    <row r="641" spans="1:4" ht="18.75" hidden="1" x14ac:dyDescent="0.25">
      <c r="A641" s="17" t="s">
        <v>297</v>
      </c>
      <c r="B641" s="6"/>
      <c r="C641" s="6"/>
      <c r="D641" s="7">
        <f t="shared" si="9"/>
        <v>0</v>
      </c>
    </row>
    <row r="642" spans="1:4" ht="18.75" hidden="1" x14ac:dyDescent="0.25">
      <c r="A642" s="13" t="s">
        <v>298</v>
      </c>
      <c r="B642" s="6"/>
      <c r="C642" s="6"/>
      <c r="D642" s="7">
        <f t="shared" si="9"/>
        <v>0</v>
      </c>
    </row>
    <row r="643" spans="1:4" ht="18.75" hidden="1" x14ac:dyDescent="0.25">
      <c r="A643" s="9" t="s">
        <v>299</v>
      </c>
      <c r="B643" s="6"/>
      <c r="C643" s="6"/>
      <c r="D643" s="7">
        <f t="shared" si="9"/>
        <v>0</v>
      </c>
    </row>
    <row r="644" spans="1:4" ht="18.75" hidden="1" x14ac:dyDescent="0.25">
      <c r="A644" s="17" t="s">
        <v>300</v>
      </c>
      <c r="B644" s="6"/>
      <c r="C644" s="6"/>
      <c r="D644" s="7">
        <f t="shared" ref="D644:D682" si="10">B644*C644</f>
        <v>0</v>
      </c>
    </row>
    <row r="645" spans="1:4" ht="18.75" hidden="1" x14ac:dyDescent="0.25">
      <c r="A645" s="12" t="s">
        <v>364</v>
      </c>
      <c r="B645" s="6"/>
      <c r="C645" s="6"/>
      <c r="D645" s="7">
        <f t="shared" si="10"/>
        <v>0</v>
      </c>
    </row>
    <row r="646" spans="1:4" ht="18.75" hidden="1" x14ac:dyDescent="0.25">
      <c r="A646" s="9" t="s">
        <v>365</v>
      </c>
      <c r="B646" s="6"/>
      <c r="C646" s="6"/>
      <c r="D646" s="7">
        <f t="shared" si="10"/>
        <v>0</v>
      </c>
    </row>
    <row r="647" spans="1:4" ht="18.75" hidden="1" x14ac:dyDescent="0.25">
      <c r="A647" s="11" t="s">
        <v>303</v>
      </c>
      <c r="B647" s="6"/>
      <c r="C647" s="6"/>
      <c r="D647" s="7">
        <f t="shared" si="10"/>
        <v>0</v>
      </c>
    </row>
    <row r="648" spans="1:4" ht="18.75" hidden="1" x14ac:dyDescent="0.25">
      <c r="A648" s="9" t="s">
        <v>366</v>
      </c>
      <c r="B648" s="6"/>
      <c r="C648" s="6"/>
      <c r="D648" s="7">
        <f t="shared" si="10"/>
        <v>0</v>
      </c>
    </row>
    <row r="649" spans="1:4" ht="18.75" hidden="1" x14ac:dyDescent="0.25">
      <c r="A649" s="12" t="s">
        <v>304</v>
      </c>
      <c r="B649" s="6"/>
      <c r="C649" s="6"/>
      <c r="D649" s="7">
        <f t="shared" si="10"/>
        <v>0</v>
      </c>
    </row>
    <row r="650" spans="1:4" ht="18.75" hidden="1" x14ac:dyDescent="0.25">
      <c r="A650" s="12" t="s">
        <v>305</v>
      </c>
      <c r="B650" s="6"/>
      <c r="C650" s="6"/>
      <c r="D650" s="7">
        <f t="shared" si="10"/>
        <v>0</v>
      </c>
    </row>
    <row r="651" spans="1:4" ht="18.75" hidden="1" x14ac:dyDescent="0.25">
      <c r="A651" s="9" t="s">
        <v>306</v>
      </c>
      <c r="B651" s="6"/>
      <c r="C651" s="6"/>
      <c r="D651" s="7">
        <f t="shared" si="10"/>
        <v>0</v>
      </c>
    </row>
    <row r="652" spans="1:4" ht="18.75" hidden="1" x14ac:dyDescent="0.25">
      <c r="A652" s="9" t="s">
        <v>307</v>
      </c>
      <c r="B652" s="6"/>
      <c r="C652" s="6"/>
      <c r="D652" s="7">
        <f t="shared" si="10"/>
        <v>0</v>
      </c>
    </row>
    <row r="653" spans="1:4" ht="18.75" hidden="1" x14ac:dyDescent="0.25">
      <c r="A653" s="9" t="s">
        <v>308</v>
      </c>
      <c r="B653" s="6"/>
      <c r="C653" s="6"/>
      <c r="D653" s="7">
        <f t="shared" si="10"/>
        <v>0</v>
      </c>
    </row>
    <row r="654" spans="1:4" ht="18.75" hidden="1" x14ac:dyDescent="0.25">
      <c r="A654" s="13" t="s">
        <v>309</v>
      </c>
      <c r="B654" s="6"/>
      <c r="C654" s="6"/>
      <c r="D654" s="7">
        <f t="shared" si="10"/>
        <v>0</v>
      </c>
    </row>
    <row r="655" spans="1:4" ht="18.75" hidden="1" x14ac:dyDescent="0.25">
      <c r="A655" s="13" t="s">
        <v>310</v>
      </c>
      <c r="B655" s="6"/>
      <c r="C655" s="6"/>
      <c r="D655" s="7">
        <f t="shared" si="10"/>
        <v>0</v>
      </c>
    </row>
    <row r="656" spans="1:4" ht="18.75" hidden="1" x14ac:dyDescent="0.25">
      <c r="A656" s="21" t="s">
        <v>311</v>
      </c>
      <c r="B656" s="6"/>
      <c r="C656" s="6"/>
      <c r="D656" s="7">
        <f t="shared" si="10"/>
        <v>0</v>
      </c>
    </row>
    <row r="657" spans="1:4" ht="18.75" hidden="1" x14ac:dyDescent="0.25">
      <c r="A657" s="13" t="s">
        <v>312</v>
      </c>
      <c r="B657" s="6"/>
      <c r="C657" s="6"/>
      <c r="D657" s="7">
        <f t="shared" si="10"/>
        <v>0</v>
      </c>
    </row>
    <row r="658" spans="1:4" ht="18.75" hidden="1" x14ac:dyDescent="0.25">
      <c r="A658" s="9" t="s">
        <v>313</v>
      </c>
      <c r="B658" s="6"/>
      <c r="C658" s="6"/>
      <c r="D658" s="7">
        <f t="shared" si="10"/>
        <v>0</v>
      </c>
    </row>
    <row r="659" spans="1:4" ht="18.75" hidden="1" x14ac:dyDescent="0.25">
      <c r="A659" s="9" t="s">
        <v>314</v>
      </c>
      <c r="B659" s="6"/>
      <c r="C659" s="6"/>
      <c r="D659" s="7">
        <f t="shared" si="10"/>
        <v>0</v>
      </c>
    </row>
    <row r="660" spans="1:4" ht="18.75" hidden="1" x14ac:dyDescent="0.25">
      <c r="A660" s="9" t="s">
        <v>315</v>
      </c>
      <c r="B660" s="6"/>
      <c r="C660" s="6"/>
      <c r="D660" s="7">
        <f t="shared" si="10"/>
        <v>0</v>
      </c>
    </row>
    <row r="661" spans="1:4" ht="18.75" hidden="1" x14ac:dyDescent="0.25">
      <c r="A661" s="9" t="s">
        <v>316</v>
      </c>
      <c r="B661" s="6"/>
      <c r="C661" s="6"/>
      <c r="D661" s="7">
        <f t="shared" si="10"/>
        <v>0</v>
      </c>
    </row>
    <row r="662" spans="1:4" ht="18.75" hidden="1" x14ac:dyDescent="0.25">
      <c r="A662" s="21" t="s">
        <v>317</v>
      </c>
      <c r="B662" s="6"/>
      <c r="C662" s="6"/>
      <c r="D662" s="7">
        <f t="shared" si="10"/>
        <v>0</v>
      </c>
    </row>
    <row r="663" spans="1:4" ht="18.75" hidden="1" x14ac:dyDescent="0.25">
      <c r="A663" s="9" t="s">
        <v>318</v>
      </c>
      <c r="B663" s="6"/>
      <c r="C663" s="6"/>
      <c r="D663" s="7">
        <f t="shared" si="10"/>
        <v>0</v>
      </c>
    </row>
    <row r="664" spans="1:4" ht="18.75" hidden="1" x14ac:dyDescent="0.25">
      <c r="A664" s="9" t="s">
        <v>319</v>
      </c>
      <c r="B664" s="6"/>
      <c r="C664" s="6"/>
      <c r="D664" s="7">
        <f t="shared" si="10"/>
        <v>0</v>
      </c>
    </row>
    <row r="665" spans="1:4" ht="18.75" hidden="1" x14ac:dyDescent="0.25">
      <c r="A665" s="12" t="s">
        <v>320</v>
      </c>
      <c r="B665" s="6"/>
      <c r="C665" s="6"/>
      <c r="D665" s="7">
        <f t="shared" si="10"/>
        <v>0</v>
      </c>
    </row>
    <row r="666" spans="1:4" ht="18.75" hidden="1" x14ac:dyDescent="0.25">
      <c r="A666" s="9" t="s">
        <v>321</v>
      </c>
      <c r="B666" s="38"/>
      <c r="C666" s="38"/>
      <c r="D666" s="7">
        <f t="shared" si="10"/>
        <v>0</v>
      </c>
    </row>
    <row r="667" spans="1:4" ht="18.75" hidden="1" x14ac:dyDescent="0.25">
      <c r="A667" s="9" t="s">
        <v>322</v>
      </c>
      <c r="B667" s="6"/>
      <c r="C667" s="6"/>
      <c r="D667" s="7">
        <f t="shared" si="10"/>
        <v>0</v>
      </c>
    </row>
    <row r="668" spans="1:4" ht="18.75" hidden="1" x14ac:dyDescent="0.25">
      <c r="A668" s="9" t="s">
        <v>323</v>
      </c>
      <c r="B668" s="6"/>
      <c r="C668" s="6"/>
      <c r="D668" s="7">
        <f t="shared" si="10"/>
        <v>0</v>
      </c>
    </row>
    <row r="669" spans="1:4" ht="18.75" hidden="1" x14ac:dyDescent="0.25">
      <c r="A669" s="21" t="s">
        <v>324</v>
      </c>
      <c r="B669" s="6"/>
      <c r="C669" s="6"/>
      <c r="D669" s="7">
        <f t="shared" si="10"/>
        <v>0</v>
      </c>
    </row>
    <row r="670" spans="1:4" ht="18.75" hidden="1" x14ac:dyDescent="0.25">
      <c r="A670" s="21" t="s">
        <v>325</v>
      </c>
      <c r="B670" s="6"/>
      <c r="C670" s="6"/>
      <c r="D670" s="7">
        <f t="shared" si="10"/>
        <v>0</v>
      </c>
    </row>
    <row r="671" spans="1:4" ht="18.75" hidden="1" x14ac:dyDescent="0.25">
      <c r="A671" s="9" t="s">
        <v>326</v>
      </c>
      <c r="B671" s="6"/>
      <c r="C671" s="6"/>
      <c r="D671" s="7">
        <f t="shared" si="10"/>
        <v>0</v>
      </c>
    </row>
    <row r="672" spans="1:4" ht="18.75" hidden="1" x14ac:dyDescent="0.25">
      <c r="A672" s="9" t="s">
        <v>327</v>
      </c>
      <c r="B672" s="6"/>
      <c r="C672" s="6"/>
      <c r="D672" s="7">
        <f t="shared" si="10"/>
        <v>0</v>
      </c>
    </row>
    <row r="673" spans="1:4" ht="18.75" hidden="1" x14ac:dyDescent="0.25">
      <c r="A673" s="21" t="s">
        <v>328</v>
      </c>
      <c r="B673" s="6"/>
      <c r="C673" s="6"/>
      <c r="D673" s="7">
        <f t="shared" si="10"/>
        <v>0</v>
      </c>
    </row>
    <row r="674" spans="1:4" ht="18.75" hidden="1" x14ac:dyDescent="0.25">
      <c r="A674" s="9" t="s">
        <v>329</v>
      </c>
      <c r="B674" s="6"/>
      <c r="C674" s="6"/>
      <c r="D674" s="7">
        <f t="shared" si="10"/>
        <v>0</v>
      </c>
    </row>
    <row r="675" spans="1:4" ht="18.75" hidden="1" x14ac:dyDescent="0.25">
      <c r="A675" s="9" t="s">
        <v>330</v>
      </c>
      <c r="B675" s="6"/>
      <c r="C675" s="6"/>
      <c r="D675" s="7">
        <f t="shared" si="10"/>
        <v>0</v>
      </c>
    </row>
    <row r="676" spans="1:4" ht="18.75" hidden="1" x14ac:dyDescent="0.25">
      <c r="A676" s="9" t="s">
        <v>331</v>
      </c>
      <c r="B676" s="6"/>
      <c r="C676" s="6"/>
      <c r="D676" s="7">
        <f t="shared" si="10"/>
        <v>0</v>
      </c>
    </row>
    <row r="677" spans="1:4" ht="18.75" hidden="1" x14ac:dyDescent="0.25">
      <c r="A677" s="9" t="s">
        <v>332</v>
      </c>
      <c r="B677" s="6"/>
      <c r="C677" s="6"/>
      <c r="D677" s="7">
        <f t="shared" si="10"/>
        <v>0</v>
      </c>
    </row>
    <row r="678" spans="1:4" ht="18.75" hidden="1" x14ac:dyDescent="0.25">
      <c r="A678" s="9" t="s">
        <v>333</v>
      </c>
      <c r="B678" s="6"/>
      <c r="C678" s="6"/>
      <c r="D678" s="7">
        <f t="shared" si="10"/>
        <v>0</v>
      </c>
    </row>
    <row r="679" spans="1:4" ht="18.75" hidden="1" x14ac:dyDescent="0.25">
      <c r="A679" s="9" t="s">
        <v>334</v>
      </c>
      <c r="B679" s="6"/>
      <c r="C679" s="6"/>
      <c r="D679" s="7">
        <f t="shared" si="10"/>
        <v>0</v>
      </c>
    </row>
    <row r="680" spans="1:4" ht="18.75" hidden="1" x14ac:dyDescent="0.25">
      <c r="A680" s="9" t="s">
        <v>335</v>
      </c>
      <c r="B680" s="6"/>
      <c r="C680" s="6"/>
      <c r="D680" s="7">
        <f t="shared" si="10"/>
        <v>0</v>
      </c>
    </row>
    <row r="681" spans="1:4" ht="18.75" hidden="1" x14ac:dyDescent="0.25">
      <c r="A681" s="9" t="s">
        <v>336</v>
      </c>
      <c r="B681" s="6"/>
      <c r="C681" s="6"/>
      <c r="D681" s="7">
        <f t="shared" si="10"/>
        <v>0</v>
      </c>
    </row>
    <row r="682" spans="1:4" ht="18.75" hidden="1" x14ac:dyDescent="0.25">
      <c r="A682" s="11" t="s">
        <v>338</v>
      </c>
      <c r="B682" s="6"/>
      <c r="C682" s="6"/>
      <c r="D682" s="7">
        <f t="shared" si="10"/>
        <v>0</v>
      </c>
    </row>
    <row r="683" spans="1:4" ht="18.75" x14ac:dyDescent="0.25">
      <c r="A683" s="40"/>
      <c r="B683" s="41">
        <f>SUM(B356:B682)</f>
        <v>3173</v>
      </c>
      <c r="C683" s="41"/>
      <c r="D683" s="41">
        <f t="shared" ref="D683" si="11">SUM(D356:D682)</f>
        <v>31721000</v>
      </c>
    </row>
    <row r="685" spans="1:4" x14ac:dyDescent="0.25">
      <c r="D685" s="53">
        <f>D683+D351</f>
        <v>166386000</v>
      </c>
    </row>
  </sheetData>
  <protectedRanges>
    <protectedRange password="CF71" sqref="B3:C350 B1:D2" name="tho"/>
    <protectedRange password="CF71" sqref="D3:D682" name="tho_2"/>
    <protectedRange password="CF71" sqref="B353:C353 C354:C682" name="tho_1"/>
    <protectedRange password="CF71" sqref="B354:B682" name="tho_2_1"/>
  </protectedRanges>
  <autoFilter ref="A2:D683" xr:uid="{00000000-0009-0000-0000-00001C000000}">
    <filterColumn colId="1">
      <customFilters>
        <customFilter operator="notEqual" val=" "/>
      </customFilters>
    </filterColumn>
  </autoFilter>
  <mergeCells count="1">
    <mergeCell ref="A354:A35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E151"/>
  <sheetViews>
    <sheetView topLeftCell="A14" workbookViewId="0">
      <selection activeCell="E151" sqref="E151"/>
    </sheetView>
  </sheetViews>
  <sheetFormatPr defaultRowHeight="15" x14ac:dyDescent="0.25"/>
  <cols>
    <col min="1" max="1" width="39.140625" customWidth="1"/>
    <col min="2" max="2" width="0" hidden="1" customWidth="1"/>
    <col min="3" max="3" width="10.5703125" customWidth="1"/>
    <col min="4" max="4" width="14.7109375" customWidth="1"/>
    <col min="5" max="5" width="24.42578125" customWidth="1"/>
  </cols>
  <sheetData>
    <row r="1" spans="1:5" ht="25.5" x14ac:dyDescent="0.25">
      <c r="A1" s="65" t="s">
        <v>448</v>
      </c>
      <c r="B1" s="66" t="s">
        <v>449</v>
      </c>
      <c r="C1" s="67" t="s">
        <v>451</v>
      </c>
      <c r="D1" s="67" t="s">
        <v>368</v>
      </c>
      <c r="E1" s="68" t="s">
        <v>369</v>
      </c>
    </row>
    <row r="2" spans="1:5" x14ac:dyDescent="0.25">
      <c r="A2" s="69" t="str">
        <f>VLOOKUP(B2,'[1]DANH SÁCH HÀNG HÓA, DỊCH VỤ'!B:C,2,0)</f>
        <v>Cà Rốt</v>
      </c>
      <c r="B2" s="70" t="s">
        <v>452</v>
      </c>
      <c r="C2" s="71">
        <v>30</v>
      </c>
      <c r="D2" s="71">
        <v>20000</v>
      </c>
      <c r="E2" s="71">
        <f>C2*D2</f>
        <v>600000</v>
      </c>
    </row>
    <row r="3" spans="1:5" hidden="1" x14ac:dyDescent="0.25">
      <c r="A3" s="69" t="str">
        <f>VLOOKUP(B3,'[1]DANH SÁCH HÀNG HÓA, DỊCH VỤ'!B:C,2,0)</f>
        <v>Cà Rốt</v>
      </c>
      <c r="B3" s="70" t="s">
        <v>452</v>
      </c>
      <c r="C3" s="71"/>
      <c r="D3" s="71"/>
      <c r="E3" s="71">
        <f t="shared" ref="E3:E66" si="0">C3*D3</f>
        <v>0</v>
      </c>
    </row>
    <row r="4" spans="1:5" hidden="1" x14ac:dyDescent="0.25">
      <c r="A4" s="69" t="str">
        <f>VLOOKUP(B4,'[1]DANH SÁCH HÀNG HÓA, DỊCH VỤ'!B:C,2,0)</f>
        <v>Cà Rốt Baby</v>
      </c>
      <c r="B4" s="70" t="s">
        <v>453</v>
      </c>
      <c r="C4" s="71"/>
      <c r="D4" s="71"/>
      <c r="E4" s="71">
        <f t="shared" si="0"/>
        <v>0</v>
      </c>
    </row>
    <row r="5" spans="1:5" hidden="1" x14ac:dyDescent="0.25">
      <c r="A5" s="69" t="str">
        <f>VLOOKUP(B5,'[1]DANH SÁCH HÀNG HÓA, DỊCH VỤ'!B:C,2,0)</f>
        <v>Cà Rốt Baby</v>
      </c>
      <c r="B5" s="70" t="s">
        <v>453</v>
      </c>
      <c r="C5" s="71"/>
      <c r="D5" s="71"/>
      <c r="E5" s="71">
        <f t="shared" si="0"/>
        <v>0</v>
      </c>
    </row>
    <row r="6" spans="1:5" hidden="1" x14ac:dyDescent="0.25">
      <c r="A6" s="69" t="str">
        <f>VLOOKUP(B6,'[1]DANH SÁCH HÀNG HÓA, DỊCH VỤ'!B:C,2,0)</f>
        <v>Củ Cải Đỏ</v>
      </c>
      <c r="B6" s="70" t="s">
        <v>454</v>
      </c>
      <c r="C6" s="71"/>
      <c r="D6" s="71"/>
      <c r="E6" s="71">
        <f t="shared" si="0"/>
        <v>0</v>
      </c>
    </row>
    <row r="7" spans="1:5" hidden="1" x14ac:dyDescent="0.25">
      <c r="A7" s="69" t="str">
        <f>VLOOKUP(B7,'[1]DANH SÁCH HÀNG HÓA, DỊCH VỤ'!B:C,2,0)</f>
        <v>Củ Cải Đỏ 300Gr</v>
      </c>
      <c r="B7" s="70" t="s">
        <v>455</v>
      </c>
      <c r="C7" s="71"/>
      <c r="D7" s="71"/>
      <c r="E7" s="71">
        <f t="shared" si="0"/>
        <v>0</v>
      </c>
    </row>
    <row r="8" spans="1:5" hidden="1" x14ac:dyDescent="0.25">
      <c r="A8" s="69" t="str">
        <f>VLOOKUP(B8,'[1]DANH SÁCH HÀNG HÓA, DỊCH VỤ'!B:C,2,0)</f>
        <v>Củ Cải Trắng</v>
      </c>
      <c r="B8" s="70" t="s">
        <v>456</v>
      </c>
      <c r="C8" s="71"/>
      <c r="D8" s="71"/>
      <c r="E8" s="71">
        <f t="shared" si="0"/>
        <v>0</v>
      </c>
    </row>
    <row r="9" spans="1:5" x14ac:dyDescent="0.25">
      <c r="A9" s="69" t="str">
        <f>VLOOKUP(B9,'[1]DANH SÁCH HÀNG HÓA, DỊCH VỤ'!B:C,2,0)</f>
        <v>Củ Dền</v>
      </c>
      <c r="B9" s="70" t="s">
        <v>457</v>
      </c>
      <c r="C9" s="71">
        <v>90</v>
      </c>
      <c r="D9" s="83">
        <v>16000</v>
      </c>
      <c r="E9" s="83">
        <f t="shared" si="0"/>
        <v>1440000</v>
      </c>
    </row>
    <row r="10" spans="1:5" hidden="1" x14ac:dyDescent="0.25">
      <c r="A10" s="69" t="str">
        <f>VLOOKUP(B10,'[1]DANH SÁCH HÀNG HÓA, DỊCH VỤ'!B:C,2,0)</f>
        <v>Củ Dền</v>
      </c>
      <c r="B10" s="70" t="s">
        <v>457</v>
      </c>
      <c r="C10" s="71"/>
      <c r="D10" s="71"/>
      <c r="E10" s="71">
        <f t="shared" si="0"/>
        <v>0</v>
      </c>
    </row>
    <row r="11" spans="1:5" hidden="1" x14ac:dyDescent="0.25">
      <c r="A11" s="69" t="str">
        <f>VLOOKUP(B11,'[1]DANH SÁCH HÀNG HÓA, DỊCH VỤ'!B:C,2,0)</f>
        <v>Củ Gừng</v>
      </c>
      <c r="B11" s="70" t="s">
        <v>458</v>
      </c>
      <c r="C11" s="71"/>
      <c r="D11" s="71"/>
      <c r="E11" s="71">
        <f t="shared" si="0"/>
        <v>0</v>
      </c>
    </row>
    <row r="12" spans="1:5" x14ac:dyDescent="0.25">
      <c r="A12" s="69" t="str">
        <f>VLOOKUP(B12,'[1]DANH SÁCH HÀNG HÓA, DỊCH VỤ'!B:C,2,0)</f>
        <v>Củ Hành Tây</v>
      </c>
      <c r="B12" s="70" t="s">
        <v>459</v>
      </c>
      <c r="C12" s="71">
        <v>70</v>
      </c>
      <c r="D12" s="83">
        <v>12000</v>
      </c>
      <c r="E12" s="83">
        <f t="shared" si="0"/>
        <v>840000</v>
      </c>
    </row>
    <row r="13" spans="1:5" x14ac:dyDescent="0.25">
      <c r="A13" s="69" t="str">
        <f>VLOOKUP(B13,'[1]DANH SÁCH HÀNG HÓA, DỊCH VỤ'!B:C,2,0)</f>
        <v>Củ Hành Tây Tím</v>
      </c>
      <c r="B13" s="70" t="s">
        <v>460</v>
      </c>
      <c r="C13" s="71">
        <v>25</v>
      </c>
      <c r="D13" s="83">
        <v>20000</v>
      </c>
      <c r="E13" s="83">
        <f t="shared" si="0"/>
        <v>500000</v>
      </c>
    </row>
    <row r="14" spans="1:5" x14ac:dyDescent="0.25">
      <c r="A14" s="69" t="str">
        <f>VLOOKUP(B14,'[1]DANH SÁCH HÀNG HÓA, DỊCH VỤ'!B:C,2,0)</f>
        <v>Củ Hành Tây Trung</v>
      </c>
      <c r="B14" s="70" t="s">
        <v>461</v>
      </c>
      <c r="C14" s="71">
        <v>120</v>
      </c>
      <c r="D14" s="83">
        <v>9000</v>
      </c>
      <c r="E14" s="83">
        <f t="shared" si="0"/>
        <v>1080000</v>
      </c>
    </row>
    <row r="15" spans="1:5" x14ac:dyDescent="0.25">
      <c r="A15" s="69" t="str">
        <f>VLOOKUP(B15,'[1]DANH SÁCH HÀNG HÓA, DỊCH VỤ'!B:C,2,0)</f>
        <v>Củ Khoai Lang Mật</v>
      </c>
      <c r="B15" s="70" t="s">
        <v>462</v>
      </c>
      <c r="C15" s="71">
        <v>720</v>
      </c>
      <c r="D15" s="83">
        <v>21000</v>
      </c>
      <c r="E15" s="83">
        <f t="shared" si="0"/>
        <v>15120000</v>
      </c>
    </row>
    <row r="16" spans="1:5" hidden="1" x14ac:dyDescent="0.25">
      <c r="A16" s="69" t="str">
        <f>VLOOKUP(B16,'[1]DANH SÁCH HÀNG HÓA, DỊCH VỤ'!B:C,2,0)</f>
        <v>Củ Khoai Lang Mật</v>
      </c>
      <c r="B16" s="70" t="s">
        <v>462</v>
      </c>
      <c r="C16" s="71"/>
      <c r="D16" s="71"/>
      <c r="E16" s="71">
        <f t="shared" si="0"/>
        <v>0</v>
      </c>
    </row>
    <row r="17" spans="1:5" x14ac:dyDescent="0.25">
      <c r="A17" s="69" t="str">
        <f>VLOOKUP(B17,'[1]DANH SÁCH HÀNG HÓA, DỊCH VỤ'!B:C,2,0)</f>
        <v>Củ Khoai Lang Nhật</v>
      </c>
      <c r="B17" s="70" t="s">
        <v>463</v>
      </c>
      <c r="C17" s="71">
        <v>140</v>
      </c>
      <c r="D17" s="83">
        <v>21000</v>
      </c>
      <c r="E17" s="83">
        <f t="shared" si="0"/>
        <v>2940000</v>
      </c>
    </row>
    <row r="18" spans="1:5" hidden="1" x14ac:dyDescent="0.25">
      <c r="A18" s="69" t="str">
        <f>VLOOKUP(B18,'[1]DANH SÁCH HÀNG HÓA, DỊCH VỤ'!B:C,2,0)</f>
        <v>Củ Khoai Lang Nhật</v>
      </c>
      <c r="B18" s="70" t="s">
        <v>463</v>
      </c>
      <c r="C18" s="71"/>
      <c r="D18" s="71"/>
      <c r="E18" s="71">
        <f t="shared" si="0"/>
        <v>0</v>
      </c>
    </row>
    <row r="19" spans="1:5" hidden="1" x14ac:dyDescent="0.25">
      <c r="A19" s="69" t="str">
        <f>VLOOKUP(B19,'[1]DANH SÁCH HÀNG HÓA, DỊCH VỤ'!B:C,2,0)</f>
        <v>Củ Khoai Mỡ</v>
      </c>
      <c r="B19" s="70" t="s">
        <v>464</v>
      </c>
      <c r="C19" s="71"/>
      <c r="D19" s="71"/>
      <c r="E19" s="71">
        <f t="shared" si="0"/>
        <v>0</v>
      </c>
    </row>
    <row r="20" spans="1:5" hidden="1" x14ac:dyDescent="0.25">
      <c r="A20" s="69" t="str">
        <f>VLOOKUP(B20,'[1]DANH SÁCH HÀNG HÓA, DỊCH VỤ'!B:C,2,0)</f>
        <v>Củ Khoai Tây Bi Vàng</v>
      </c>
      <c r="B20" s="70" t="s">
        <v>465</v>
      </c>
      <c r="C20" s="71"/>
      <c r="D20" s="71"/>
      <c r="E20" s="71">
        <f t="shared" si="0"/>
        <v>0</v>
      </c>
    </row>
    <row r="21" spans="1:5" x14ac:dyDescent="0.25">
      <c r="A21" s="69" t="str">
        <f>VLOOKUP(B21,'[1]DANH SÁCH HÀNG HÓA, DỊCH VỤ'!B:C,2,0)</f>
        <v>Củ Khoai Tây Vàng</v>
      </c>
      <c r="B21" s="70" t="s">
        <v>466</v>
      </c>
      <c r="C21" s="71">
        <v>150</v>
      </c>
      <c r="D21" s="83">
        <v>15000</v>
      </c>
      <c r="E21" s="83">
        <f t="shared" si="0"/>
        <v>2250000</v>
      </c>
    </row>
    <row r="22" spans="1:5" hidden="1" x14ac:dyDescent="0.25">
      <c r="A22" s="69" t="str">
        <f>VLOOKUP(B22,'[1]DANH SÁCH HÀNG HÓA, DỊCH VỤ'!B:C,2,0)</f>
        <v>Củ Khoai Tây Vàng</v>
      </c>
      <c r="B22" s="70" t="s">
        <v>466</v>
      </c>
      <c r="C22" s="71"/>
      <c r="D22" s="71"/>
      <c r="E22" s="71">
        <f t="shared" si="0"/>
        <v>0</v>
      </c>
    </row>
    <row r="23" spans="1:5" x14ac:dyDescent="0.25">
      <c r="A23" s="69" t="str">
        <f>VLOOKUP(B23,'[1]DANH SÁCH HÀNG HÓA, DỊCH VỤ'!B:C,2,0)</f>
        <v>Củ Su Hào</v>
      </c>
      <c r="B23" s="70" t="s">
        <v>467</v>
      </c>
      <c r="C23" s="71">
        <v>15</v>
      </c>
      <c r="D23" s="83">
        <v>14000</v>
      </c>
      <c r="E23" s="83">
        <f t="shared" si="0"/>
        <v>210000</v>
      </c>
    </row>
    <row r="24" spans="1:5" hidden="1" x14ac:dyDescent="0.25">
      <c r="A24" s="69" t="str">
        <f>VLOOKUP(B24,'[1]DANH SÁCH HÀNG HÓA, DỊCH VỤ'!B:C,2,0)</f>
        <v>Bông Cải Trắng</v>
      </c>
      <c r="B24" s="70" t="s">
        <v>468</v>
      </c>
      <c r="C24" s="71"/>
      <c r="D24" s="71"/>
      <c r="E24" s="71">
        <f t="shared" si="0"/>
        <v>0</v>
      </c>
    </row>
    <row r="25" spans="1:5" hidden="1" x14ac:dyDescent="0.25">
      <c r="A25" s="69" t="str">
        <f>VLOOKUP(B25,'[1]DANH SÁCH HÀNG HÓA, DỊCH VỤ'!B:C,2,0)</f>
        <v>Bông Cải Xanh 7Cm</v>
      </c>
      <c r="B25" s="70" t="s">
        <v>469</v>
      </c>
      <c r="C25" s="71"/>
      <c r="D25" s="71"/>
      <c r="E25" s="71">
        <f t="shared" si="0"/>
        <v>0</v>
      </c>
    </row>
    <row r="26" spans="1:5" hidden="1" x14ac:dyDescent="0.25">
      <c r="A26" s="69" t="str">
        <f>VLOOKUP(B26,'[1]DANH SÁCH HÀNG HÓA, DỊCH VỤ'!B:C,2,0)</f>
        <v>Bông Cải Xanh Baby</v>
      </c>
      <c r="B26" s="70" t="s">
        <v>470</v>
      </c>
      <c r="C26" s="71"/>
      <c r="D26" s="71"/>
      <c r="E26" s="71">
        <f t="shared" si="0"/>
        <v>0</v>
      </c>
    </row>
    <row r="27" spans="1:5" hidden="1" x14ac:dyDescent="0.25">
      <c r="A27" s="69" t="str">
        <f>VLOOKUP(B27,'[1]DANH SÁCH HÀNG HÓA, DỊCH VỤ'!B:C,2,0)</f>
        <v>Bông Cải Xanh Baby</v>
      </c>
      <c r="B27" s="70" t="s">
        <v>470</v>
      </c>
      <c r="C27" s="71"/>
      <c r="D27" s="71"/>
      <c r="E27" s="71">
        <f t="shared" si="0"/>
        <v>0</v>
      </c>
    </row>
    <row r="28" spans="1:5" hidden="1" x14ac:dyDescent="0.25">
      <c r="A28" s="69" t="str">
        <f>VLOOKUP(B28,'[1]DANH SÁCH HÀNG HÓA, DỊCH VỤ'!B:C,2,0)</f>
        <v>Bắp Cải Tím</v>
      </c>
      <c r="B28" s="70" t="s">
        <v>471</v>
      </c>
      <c r="C28" s="71"/>
      <c r="D28" s="71"/>
      <c r="E28" s="71">
        <f t="shared" si="0"/>
        <v>0</v>
      </c>
    </row>
    <row r="29" spans="1:5" x14ac:dyDescent="0.25">
      <c r="A29" s="69" t="str">
        <f>VLOOKUP(B29,'[1]DANH SÁCH HÀNG HÓA, DỊCH VỤ'!B:C,2,0)</f>
        <v>Bắp Cải Trái Tim</v>
      </c>
      <c r="B29" s="70" t="s">
        <v>472</v>
      </c>
      <c r="C29" s="71">
        <v>270</v>
      </c>
      <c r="D29" s="83">
        <v>9000</v>
      </c>
      <c r="E29" s="83">
        <f t="shared" si="0"/>
        <v>2430000</v>
      </c>
    </row>
    <row r="30" spans="1:5" x14ac:dyDescent="0.25">
      <c r="A30" s="69" t="str">
        <f>VLOOKUP(B30,'[1]DANH SÁCH HÀNG HÓA, DỊCH VỤ'!B:C,2,0)</f>
        <v>Bắp Cải Trắng</v>
      </c>
      <c r="B30" s="70" t="s">
        <v>473</v>
      </c>
      <c r="C30" s="71">
        <v>4472</v>
      </c>
      <c r="D30" s="83">
        <v>5500</v>
      </c>
      <c r="E30" s="83">
        <f t="shared" si="0"/>
        <v>24596000</v>
      </c>
    </row>
    <row r="31" spans="1:5" x14ac:dyDescent="0.25">
      <c r="A31" s="69" t="str">
        <f>VLOOKUP(B31,'[1]DANH SÁCH HÀNG HÓA, DỊCH VỤ'!B:C,2,0)</f>
        <v>Cải Bó Xôi</v>
      </c>
      <c r="B31" s="70" t="s">
        <v>474</v>
      </c>
      <c r="C31" s="71">
        <v>5</v>
      </c>
      <c r="D31" s="83">
        <v>26000</v>
      </c>
      <c r="E31" s="83">
        <f t="shared" si="0"/>
        <v>130000</v>
      </c>
    </row>
    <row r="32" spans="1:5" hidden="1" x14ac:dyDescent="0.25">
      <c r="A32" s="69" t="str">
        <f>VLOOKUP(B32,'[1]DANH SÁCH HÀNG HÓA, DỊCH VỤ'!B:C,2,0)</f>
        <v>Cải Bó Xôi</v>
      </c>
      <c r="B32" s="70" t="s">
        <v>474</v>
      </c>
      <c r="C32" s="71"/>
      <c r="D32" s="71"/>
      <c r="E32" s="71">
        <f t="shared" si="0"/>
        <v>0</v>
      </c>
    </row>
    <row r="33" spans="1:5" hidden="1" x14ac:dyDescent="0.25">
      <c r="A33" s="69" t="str">
        <f>VLOOKUP(B33,'[1]DANH SÁCH HÀNG HÓA, DỊCH VỤ'!B:C,2,0)</f>
        <v>Cải Bó Xôi Túi</v>
      </c>
      <c r="B33" s="70" t="s">
        <v>475</v>
      </c>
      <c r="C33" s="71"/>
      <c r="D33" s="71"/>
      <c r="E33" s="71">
        <f t="shared" si="0"/>
        <v>0</v>
      </c>
    </row>
    <row r="34" spans="1:5" hidden="1" x14ac:dyDescent="0.25">
      <c r="A34" s="69" t="str">
        <f>VLOOKUP(B34,'[1]DANH SÁCH HÀNG HÓA, DỊCH VỤ'!B:C,2,0)</f>
        <v>Cải Cầu Vồng</v>
      </c>
      <c r="B34" s="70" t="s">
        <v>476</v>
      </c>
      <c r="C34" s="71"/>
      <c r="D34" s="71"/>
      <c r="E34" s="71">
        <f t="shared" si="0"/>
        <v>0</v>
      </c>
    </row>
    <row r="35" spans="1:5" hidden="1" x14ac:dyDescent="0.25">
      <c r="A35" s="69" t="str">
        <f>VLOOKUP(B35,'[1]DANH SÁCH HÀNG HÓA, DỊCH VỤ'!B:C,2,0)</f>
        <v>Cải Cầu Vồng</v>
      </c>
      <c r="B35" s="70" t="s">
        <v>476</v>
      </c>
      <c r="C35" s="71"/>
      <c r="D35" s="71"/>
      <c r="E35" s="71">
        <f t="shared" si="0"/>
        <v>0</v>
      </c>
    </row>
    <row r="36" spans="1:5" hidden="1" x14ac:dyDescent="0.25">
      <c r="A36" s="69" t="str">
        <f>VLOOKUP(B36,'[1]DANH SÁCH HÀNG HÓA, DỊCH VỤ'!B:C,2,0)</f>
        <v>Cải Cầu Vồng</v>
      </c>
      <c r="B36" s="70" t="s">
        <v>476</v>
      </c>
      <c r="C36" s="71"/>
      <c r="D36" s="71"/>
      <c r="E36" s="71">
        <f t="shared" si="0"/>
        <v>0</v>
      </c>
    </row>
    <row r="37" spans="1:5" hidden="1" x14ac:dyDescent="0.25">
      <c r="A37" s="69" t="str">
        <f>VLOOKUP(B37,'[1]DANH SÁCH HÀNG HÓA, DỊCH VỤ'!B:C,2,0)</f>
        <v>Cải Kale</v>
      </c>
      <c r="B37" s="70" t="s">
        <v>477</v>
      </c>
      <c r="C37" s="71"/>
      <c r="D37" s="71"/>
      <c r="E37" s="71">
        <f t="shared" si="0"/>
        <v>0</v>
      </c>
    </row>
    <row r="38" spans="1:5" hidden="1" x14ac:dyDescent="0.25">
      <c r="A38" s="69" t="str">
        <f>VLOOKUP(B38,'[1]DANH SÁCH HÀNG HÓA, DỊCH VỤ'!B:C,2,0)</f>
        <v>Cải Kale</v>
      </c>
      <c r="B38" s="70" t="s">
        <v>477</v>
      </c>
      <c r="C38" s="71"/>
      <c r="D38" s="71"/>
      <c r="E38" s="71">
        <f t="shared" si="0"/>
        <v>0</v>
      </c>
    </row>
    <row r="39" spans="1:5" hidden="1" x14ac:dyDescent="0.25">
      <c r="A39" s="69" t="str">
        <f>VLOOKUP(B39,'[1]DANH SÁCH HÀNG HÓA, DỊCH VỤ'!B:C,2,0)</f>
        <v>Cải Kale</v>
      </c>
      <c r="B39" s="70" t="s">
        <v>477</v>
      </c>
      <c r="C39" s="71"/>
      <c r="D39" s="71"/>
      <c r="E39" s="71">
        <f t="shared" si="0"/>
        <v>0</v>
      </c>
    </row>
    <row r="40" spans="1:5" hidden="1" x14ac:dyDescent="0.25">
      <c r="A40" s="69" t="str">
        <f>VLOOKUP(B40,'[1]DANH SÁCH HÀNG HÓA, DỊCH VỤ'!B:C,2,0)</f>
        <v>Cải Thảo</v>
      </c>
      <c r="B40" s="70" t="s">
        <v>478</v>
      </c>
      <c r="C40" s="71"/>
      <c r="D40" s="71"/>
      <c r="E40" s="71">
        <f t="shared" si="0"/>
        <v>0</v>
      </c>
    </row>
    <row r="41" spans="1:5" hidden="1" x14ac:dyDescent="0.25">
      <c r="A41" s="69" t="str">
        <f>VLOOKUP(B41,'[1]DANH SÁCH HÀNG HÓA, DỊCH VỤ'!B:C,2,0)</f>
        <v>Cần Tây</v>
      </c>
      <c r="B41" s="70" t="s">
        <v>479</v>
      </c>
      <c r="C41" s="71"/>
      <c r="D41" s="71"/>
      <c r="E41" s="71">
        <f t="shared" si="0"/>
        <v>0</v>
      </c>
    </row>
    <row r="42" spans="1:5" x14ac:dyDescent="0.25">
      <c r="A42" s="69" t="str">
        <f>VLOOKUP(B42,'[1]DANH SÁCH HÀNG HÓA, DỊCH VỤ'!B:C,2,0)</f>
        <v>Cần Tây</v>
      </c>
      <c r="B42" s="70" t="s">
        <v>479</v>
      </c>
      <c r="C42" s="71">
        <v>15</v>
      </c>
      <c r="D42" s="83">
        <v>17000</v>
      </c>
      <c r="E42" s="83">
        <f t="shared" si="0"/>
        <v>255000</v>
      </c>
    </row>
    <row r="43" spans="1:5" hidden="1" x14ac:dyDescent="0.25">
      <c r="A43" s="69" t="str">
        <f>VLOOKUP(B43,'[1]DANH SÁCH HÀNG HÓA, DỊCH VỤ'!B:C,2,0)</f>
        <v>Hành Paro</v>
      </c>
      <c r="B43" s="70" t="s">
        <v>480</v>
      </c>
      <c r="C43" s="71"/>
      <c r="D43" s="71"/>
      <c r="E43" s="71">
        <f t="shared" si="0"/>
        <v>0</v>
      </c>
    </row>
    <row r="44" spans="1:5" x14ac:dyDescent="0.25">
      <c r="A44" s="69" t="str">
        <f>VLOOKUP(B44,'[1]DANH SÁCH HÀNG HÓA, DỊCH VỤ'!B:C,2,0)</f>
        <v>Hành Paro</v>
      </c>
      <c r="B44" s="70" t="s">
        <v>480</v>
      </c>
      <c r="C44" s="71">
        <v>6</v>
      </c>
      <c r="D44" s="83">
        <v>33000</v>
      </c>
      <c r="E44" s="83">
        <f t="shared" si="0"/>
        <v>198000</v>
      </c>
    </row>
    <row r="45" spans="1:5" hidden="1" x14ac:dyDescent="0.25">
      <c r="A45" s="69" t="str">
        <f>VLOOKUP(B45,'[1]DANH SÁCH HÀNG HÓA, DỊCH VỤ'!B:C,2,0)</f>
        <v>Lá É</v>
      </c>
      <c r="B45" s="70" t="s">
        <v>481</v>
      </c>
      <c r="C45" s="71"/>
      <c r="D45" s="71"/>
      <c r="E45" s="71">
        <f t="shared" si="0"/>
        <v>0</v>
      </c>
    </row>
    <row r="46" spans="1:5" hidden="1" x14ac:dyDescent="0.25">
      <c r="A46" s="69" t="str">
        <f>VLOOKUP(B46,'[1]DANH SÁCH HÀNG HÓA, DỊCH VỤ'!B:C,2,0)</f>
        <v>Lá Mè</v>
      </c>
      <c r="B46" s="70" t="s">
        <v>482</v>
      </c>
      <c r="C46" s="71"/>
      <c r="D46" s="71"/>
      <c r="E46" s="71">
        <f t="shared" si="0"/>
        <v>0</v>
      </c>
    </row>
    <row r="47" spans="1:5" hidden="1" x14ac:dyDescent="0.25">
      <c r="A47" s="69" t="str">
        <f>VLOOKUP(B47,'[1]DANH SÁCH HÀNG HÓA, DỊCH VỤ'!B:C,2,0)</f>
        <v>Lá Mè</v>
      </c>
      <c r="B47" s="70" t="s">
        <v>482</v>
      </c>
      <c r="C47" s="71"/>
      <c r="D47" s="71"/>
      <c r="E47" s="71">
        <f t="shared" si="0"/>
        <v>0</v>
      </c>
    </row>
    <row r="48" spans="1:5" hidden="1" x14ac:dyDescent="0.25">
      <c r="A48" s="69" t="str">
        <f>VLOOKUP(B48,'[1]DANH SÁCH HÀNG HÓA, DỊCH VỤ'!B:C,2,0)</f>
        <v>Lá Mè</v>
      </c>
      <c r="B48" s="70" t="s">
        <v>482</v>
      </c>
      <c r="C48" s="71"/>
      <c r="D48" s="71"/>
      <c r="E48" s="71">
        <f t="shared" si="0"/>
        <v>0</v>
      </c>
    </row>
    <row r="49" spans="1:5" hidden="1" x14ac:dyDescent="0.25">
      <c r="A49" s="69" t="str">
        <f>VLOOKUP(B49,'[1]DANH SÁCH HÀNG HÓA, DỊCH VỤ'!B:C,2,0)</f>
        <v>Lá Nha Đam</v>
      </c>
      <c r="B49" s="70" t="s">
        <v>483</v>
      </c>
      <c r="C49" s="71"/>
      <c r="D49" s="71"/>
      <c r="E49" s="71">
        <f t="shared" si="0"/>
        <v>0</v>
      </c>
    </row>
    <row r="50" spans="1:5" hidden="1" x14ac:dyDescent="0.25">
      <c r="A50" s="69" t="str">
        <f>VLOOKUP(B50,'[1]DANH SÁCH HÀNG HÓA, DỊCH VỤ'!B:C,2,0)</f>
        <v>Lá Tía Tô</v>
      </c>
      <c r="B50" s="70" t="s">
        <v>484</v>
      </c>
      <c r="C50" s="71"/>
      <c r="D50" s="71"/>
      <c r="E50" s="71">
        <f t="shared" si="0"/>
        <v>0</v>
      </c>
    </row>
    <row r="51" spans="1:5" hidden="1" x14ac:dyDescent="0.25">
      <c r="A51" s="69" t="str">
        <f>VLOOKUP(B51,'[1]DANH SÁCH HÀNG HÓA, DỊCH VỤ'!B:C,2,0)</f>
        <v>Măng Tây</v>
      </c>
      <c r="B51" s="70" t="s">
        <v>485</v>
      </c>
      <c r="C51" s="71"/>
      <c r="D51" s="71"/>
      <c r="E51" s="71">
        <f t="shared" si="0"/>
        <v>0</v>
      </c>
    </row>
    <row r="52" spans="1:5" hidden="1" x14ac:dyDescent="0.25">
      <c r="A52" s="69" t="str">
        <f>VLOOKUP(B52,'[1]DANH SÁCH HÀNG HÓA, DỊCH VỤ'!B:C,2,0)</f>
        <v>Măng Tây</v>
      </c>
      <c r="B52" s="70" t="s">
        <v>485</v>
      </c>
      <c r="C52" s="71"/>
      <c r="D52" s="71"/>
      <c r="E52" s="71">
        <f t="shared" si="0"/>
        <v>0</v>
      </c>
    </row>
    <row r="53" spans="1:5" hidden="1" x14ac:dyDescent="0.25">
      <c r="A53" s="69" t="str">
        <f>VLOOKUP(B53,'[1]DANH SÁCH HÀNG HÓA, DỊCH VỤ'!B:C,2,0)</f>
        <v>Rau Ngò Rí</v>
      </c>
      <c r="B53" s="70" t="s">
        <v>486</v>
      </c>
      <c r="C53" s="71"/>
      <c r="D53" s="71"/>
      <c r="E53" s="71">
        <f t="shared" si="0"/>
        <v>0</v>
      </c>
    </row>
    <row r="54" spans="1:5" hidden="1" x14ac:dyDescent="0.25">
      <c r="A54" s="69" t="str">
        <f>VLOOKUP(B54,'[1]DANH SÁCH HÀNG HÓA, DỊCH VỤ'!B:C,2,0)</f>
        <v>Xà Lách Lolo Xanh</v>
      </c>
      <c r="B54" s="70" t="s">
        <v>487</v>
      </c>
      <c r="C54" s="71"/>
      <c r="D54" s="71"/>
      <c r="E54" s="71">
        <f t="shared" si="0"/>
        <v>0</v>
      </c>
    </row>
    <row r="55" spans="1:5" hidden="1" x14ac:dyDescent="0.25">
      <c r="A55" s="69" t="str">
        <f>VLOOKUP(B55,'[1]DANH SÁCH HÀNG HÓA, DỊCH VỤ'!B:C,2,0)</f>
        <v>Xà Lách Lolo Xanh</v>
      </c>
      <c r="B55" s="70" t="s">
        <v>487</v>
      </c>
      <c r="C55" s="71"/>
      <c r="D55" s="71"/>
      <c r="E55" s="71">
        <f t="shared" si="0"/>
        <v>0</v>
      </c>
    </row>
    <row r="56" spans="1:5" hidden="1" x14ac:dyDescent="0.25">
      <c r="A56" s="69" t="str">
        <f>VLOOKUP(B56,'[1]DANH SÁCH HÀNG HÓA, DỊCH VỤ'!B:C,2,0)</f>
        <v>Xà Lách Lolo Xanh T.C</v>
      </c>
      <c r="B56" s="70" t="s">
        <v>488</v>
      </c>
      <c r="C56" s="71"/>
      <c r="D56" s="71"/>
      <c r="E56" s="71">
        <f t="shared" si="0"/>
        <v>0</v>
      </c>
    </row>
    <row r="57" spans="1:5" hidden="1" x14ac:dyDescent="0.25">
      <c r="A57" s="69" t="str">
        <f>VLOOKUP(B57,'[1]DANH SÁCH HÀNG HÓA, DỊCH VỤ'!B:C,2,0)</f>
        <v>Xà Lách Lolo Xanh T.C Cây</v>
      </c>
      <c r="B57" s="70" t="s">
        <v>489</v>
      </c>
      <c r="C57" s="71"/>
      <c r="D57" s="71"/>
      <c r="E57" s="71">
        <f t="shared" si="0"/>
        <v>0</v>
      </c>
    </row>
    <row r="58" spans="1:5" hidden="1" x14ac:dyDescent="0.25">
      <c r="A58" s="69" t="str">
        <f>VLOOKUP(B58,'[1]DANH SÁCH HÀNG HÓA, DỊCH VỤ'!B:C,2,0)</f>
        <v>Xà Lách Mỡ T.C</v>
      </c>
      <c r="B58" s="70" t="s">
        <v>490</v>
      </c>
      <c r="C58" s="71"/>
      <c r="D58" s="71"/>
      <c r="E58" s="71">
        <f t="shared" si="0"/>
        <v>0</v>
      </c>
    </row>
    <row r="59" spans="1:5" hidden="1" x14ac:dyDescent="0.25">
      <c r="A59" s="69" t="str">
        <f>VLOOKUP(B59,'[1]DANH SÁCH HÀNG HÓA, DỊCH VỤ'!B:C,2,0)</f>
        <v>Xà Lách Mỡ T.C Cây</v>
      </c>
      <c r="B59" s="70" t="s">
        <v>491</v>
      </c>
      <c r="C59" s="71"/>
      <c r="D59" s="71"/>
      <c r="E59" s="71">
        <f t="shared" si="0"/>
        <v>0</v>
      </c>
    </row>
    <row r="60" spans="1:5" hidden="1" x14ac:dyDescent="0.25">
      <c r="A60" s="69" t="str">
        <f>VLOOKUP(B60,'[1]DANH SÁCH HÀNG HÓA, DỊCH VỤ'!B:C,2,0)</f>
        <v>Xà Lách Mỹ</v>
      </c>
      <c r="B60" s="70" t="s">
        <v>492</v>
      </c>
      <c r="C60" s="71"/>
      <c r="D60" s="71"/>
      <c r="E60" s="71">
        <f t="shared" si="0"/>
        <v>0</v>
      </c>
    </row>
    <row r="61" spans="1:5" hidden="1" x14ac:dyDescent="0.25">
      <c r="A61" s="69" t="str">
        <f>VLOOKUP(B61,'[1]DANH SÁCH HÀNG HÓA, DỊCH VỤ'!B:C,2,0)</f>
        <v>Xà Lách Romaine</v>
      </c>
      <c r="B61" s="70" t="s">
        <v>493</v>
      </c>
      <c r="C61" s="71"/>
      <c r="D61" s="71"/>
      <c r="E61" s="71">
        <f t="shared" si="0"/>
        <v>0</v>
      </c>
    </row>
    <row r="62" spans="1:5" hidden="1" x14ac:dyDescent="0.25">
      <c r="A62" s="69" t="str">
        <f>VLOOKUP(B62,'[1]DANH SÁCH HÀNG HÓA, DỊCH VỤ'!B:C,2,0)</f>
        <v>Xà Lách Romaine</v>
      </c>
      <c r="B62" s="70" t="s">
        <v>493</v>
      </c>
      <c r="C62" s="71"/>
      <c r="D62" s="71"/>
      <c r="E62" s="71">
        <f t="shared" si="0"/>
        <v>0</v>
      </c>
    </row>
    <row r="63" spans="1:5" hidden="1" x14ac:dyDescent="0.25">
      <c r="A63" s="69" t="str">
        <f>VLOOKUP(B63,'[1]DANH SÁCH HÀNG HÓA, DỊCH VỤ'!B:C,2,0)</f>
        <v>Xà Lách Thủy Tinh T.C</v>
      </c>
      <c r="B63" s="70" t="s">
        <v>494</v>
      </c>
      <c r="C63" s="71"/>
      <c r="D63" s="71"/>
      <c r="E63" s="71">
        <f t="shared" si="0"/>
        <v>0</v>
      </c>
    </row>
    <row r="64" spans="1:5" hidden="1" x14ac:dyDescent="0.25">
      <c r="A64" s="69" t="str">
        <f>VLOOKUP(B64,'[1]DANH SÁCH HÀNG HÓA, DỊCH VỤ'!B:C,2,0)</f>
        <v>Xà Lách Thủy Tinh T.C Cây</v>
      </c>
      <c r="B64" s="70" t="s">
        <v>495</v>
      </c>
      <c r="C64" s="71"/>
      <c r="D64" s="71"/>
      <c r="E64" s="71">
        <f t="shared" si="0"/>
        <v>0</v>
      </c>
    </row>
    <row r="65" spans="1:5" hidden="1" x14ac:dyDescent="0.25">
      <c r="A65" s="69" t="str">
        <f>VLOOKUP(B65,'[1]DANH SÁCH HÀNG HÓA, DỊCH VỤ'!B:C,2,0)</f>
        <v>Xà Lách Mỡ</v>
      </c>
      <c r="B65" s="70" t="s">
        <v>496</v>
      </c>
      <c r="C65" s="71"/>
      <c r="D65" s="71"/>
      <c r="E65" s="71">
        <f t="shared" si="0"/>
        <v>0</v>
      </c>
    </row>
    <row r="66" spans="1:5" hidden="1" x14ac:dyDescent="0.25">
      <c r="A66" s="69" t="str">
        <f>VLOOKUP(B66,'[1]DANH SÁCH HÀNG HÓA, DỊCH VỤ'!B:C,2,0)</f>
        <v>Rau Thì Là</v>
      </c>
      <c r="B66" s="70" t="s">
        <v>497</v>
      </c>
      <c r="C66" s="71"/>
      <c r="D66" s="71"/>
      <c r="E66" s="71">
        <f t="shared" si="0"/>
        <v>0</v>
      </c>
    </row>
    <row r="67" spans="1:5" x14ac:dyDescent="0.25">
      <c r="A67" s="69" t="str">
        <f>VLOOKUP(B67,'[1]DANH SÁCH HÀNG HÓA, DỊCH VỤ'!B:C,2,0)</f>
        <v>Bí Đao Xanh</v>
      </c>
      <c r="B67" s="70" t="s">
        <v>498</v>
      </c>
      <c r="C67" s="71">
        <v>25</v>
      </c>
      <c r="D67" s="83">
        <v>10000</v>
      </c>
      <c r="E67" s="83">
        <f t="shared" ref="E67:E130" si="1">C67*D67</f>
        <v>250000</v>
      </c>
    </row>
    <row r="68" spans="1:5" x14ac:dyDescent="0.25">
      <c r="A68" s="69" t="str">
        <f>VLOOKUP(B68,'[1]DANH SÁCH HÀNG HÓA, DỊCH VỤ'!B:C,2,0)</f>
        <v>Bí Đỏ Hồ Lô</v>
      </c>
      <c r="B68" s="70" t="s">
        <v>499</v>
      </c>
      <c r="C68" s="71">
        <v>15</v>
      </c>
      <c r="D68" s="83">
        <v>6500</v>
      </c>
      <c r="E68" s="83">
        <f t="shared" si="1"/>
        <v>97500</v>
      </c>
    </row>
    <row r="69" spans="1:5" x14ac:dyDescent="0.25">
      <c r="A69" s="84" t="str">
        <f>VLOOKUP(B69,'[1]DANH SÁCH HÀNG HÓA, DỊCH VỤ'!B:C,2,0)</f>
        <v>Bí Đỏ Tròn</v>
      </c>
      <c r="B69" s="70" t="s">
        <v>500</v>
      </c>
      <c r="C69" s="85">
        <v>3330</v>
      </c>
      <c r="D69" s="86">
        <v>7500</v>
      </c>
      <c r="E69" s="86">
        <f t="shared" si="1"/>
        <v>24975000</v>
      </c>
    </row>
    <row r="70" spans="1:5" hidden="1" x14ac:dyDescent="0.25">
      <c r="A70" s="69" t="str">
        <f>VLOOKUP(B70,'[1]DANH SÁCH HÀNG HÓA, DỊCH VỤ'!B:C,2,0)</f>
        <v>Bí Ngòi Xanh</v>
      </c>
      <c r="B70" s="70" t="s">
        <v>501</v>
      </c>
      <c r="C70" s="71"/>
      <c r="D70" s="71"/>
      <c r="E70" s="71">
        <f t="shared" si="1"/>
        <v>0</v>
      </c>
    </row>
    <row r="71" spans="1:5" hidden="1" x14ac:dyDescent="0.25">
      <c r="A71" s="69" t="str">
        <f>VLOOKUP(B71,'[1]DANH SÁCH HÀNG HÓA, DỊCH VỤ'!B:C,2,0)</f>
        <v>Bí Ngòi Xanh</v>
      </c>
      <c r="B71" s="70" t="s">
        <v>501</v>
      </c>
      <c r="C71" s="71"/>
      <c r="D71" s="71"/>
      <c r="E71" s="71">
        <f t="shared" si="1"/>
        <v>0</v>
      </c>
    </row>
    <row r="72" spans="1:5" x14ac:dyDescent="0.25">
      <c r="A72" s="69" t="str">
        <f>VLOOKUP(B72,'[1]DANH SÁCH HÀNG HÓA, DỊCH VỤ'!B:C,2,0)</f>
        <v>Bí Non Nhật</v>
      </c>
      <c r="B72" s="70" t="s">
        <v>502</v>
      </c>
      <c r="C72" s="71">
        <v>40</v>
      </c>
      <c r="D72" s="83">
        <v>10500</v>
      </c>
      <c r="E72" s="83">
        <f t="shared" si="1"/>
        <v>420000</v>
      </c>
    </row>
    <row r="73" spans="1:5" hidden="1" x14ac:dyDescent="0.25">
      <c r="A73" s="69" t="str">
        <f>VLOOKUP(B73,'[1]DANH SÁCH HÀNG HÓA, DỊCH VỤ'!B:C,2,0)</f>
        <v>Bí Non Nhật</v>
      </c>
      <c r="B73" s="70" t="s">
        <v>502</v>
      </c>
      <c r="C73" s="71"/>
      <c r="D73" s="71"/>
      <c r="E73" s="71">
        <f t="shared" si="1"/>
        <v>0</v>
      </c>
    </row>
    <row r="74" spans="1:5" x14ac:dyDescent="0.25">
      <c r="A74" s="69" t="str">
        <f>VLOOKUP(B74,'[1]DANH SÁCH HÀNG HÓA, DỊCH VỤ'!B:C,2,0)</f>
        <v>Cà Chua Beef</v>
      </c>
      <c r="B74" s="70" t="s">
        <v>503</v>
      </c>
      <c r="C74" s="71">
        <v>80</v>
      </c>
      <c r="D74" s="83">
        <v>22000</v>
      </c>
      <c r="E74" s="83">
        <f t="shared" si="1"/>
        <v>1760000</v>
      </c>
    </row>
    <row r="75" spans="1:5" hidden="1" x14ac:dyDescent="0.25">
      <c r="A75" s="69" t="str">
        <f>VLOOKUP(B75,'[1]DANH SÁCH HÀNG HÓA, DỊCH VỤ'!B:C,2,0)</f>
        <v>Cà Chua Beef</v>
      </c>
      <c r="B75" s="70" t="s">
        <v>503</v>
      </c>
      <c r="C75" s="71"/>
      <c r="D75" s="71"/>
      <c r="E75" s="71">
        <f t="shared" si="1"/>
        <v>0</v>
      </c>
    </row>
    <row r="76" spans="1:5" x14ac:dyDescent="0.25">
      <c r="A76" s="69" t="str">
        <f>VLOOKUP(B76,'[1]DANH SÁCH HÀNG HÓA, DỊCH VỤ'!B:C,2,0)</f>
        <v>Cà Chua Beef 500Gr</v>
      </c>
      <c r="B76" s="70" t="s">
        <v>504</v>
      </c>
      <c r="C76" s="71">
        <v>36</v>
      </c>
      <c r="D76" s="83">
        <v>22000</v>
      </c>
      <c r="E76" s="83">
        <f t="shared" si="1"/>
        <v>792000</v>
      </c>
    </row>
    <row r="77" spans="1:5" hidden="1" x14ac:dyDescent="0.25">
      <c r="A77" s="69" t="str">
        <f>VLOOKUP(B77,'[1]DANH SÁCH HÀNG HÓA, DỊCH VỤ'!B:C,2,0)</f>
        <v>Cà Chua Beef 650Gr</v>
      </c>
      <c r="B77" s="70" t="s">
        <v>505</v>
      </c>
      <c r="C77" s="71"/>
      <c r="D77" s="71"/>
      <c r="E77" s="71">
        <f t="shared" si="1"/>
        <v>0</v>
      </c>
    </row>
    <row r="78" spans="1:5" x14ac:dyDescent="0.25">
      <c r="A78" s="69" t="str">
        <f>VLOOKUP(B78,'[1]DANH SÁCH HÀNG HÓA, DỊCH VỤ'!B:C,2,0)</f>
        <v>Cà Chua Bi 300Gr</v>
      </c>
      <c r="B78" s="70" t="s">
        <v>506</v>
      </c>
      <c r="C78" s="71">
        <f>96+40</f>
        <v>136</v>
      </c>
      <c r="D78" s="83">
        <v>10500</v>
      </c>
      <c r="E78" s="83">
        <f t="shared" si="1"/>
        <v>1428000</v>
      </c>
    </row>
    <row r="79" spans="1:5" hidden="1" x14ac:dyDescent="0.25">
      <c r="A79" s="69" t="str">
        <f>VLOOKUP(B79,'[1]DANH SÁCH HÀNG HÓA, DỊCH VỤ'!B:C,2,0)</f>
        <v>Cà Chua Bi Mix</v>
      </c>
      <c r="B79" s="70" t="s">
        <v>507</v>
      </c>
      <c r="C79" s="71"/>
      <c r="D79" s="71"/>
      <c r="E79" s="71">
        <f t="shared" si="1"/>
        <v>0</v>
      </c>
    </row>
    <row r="80" spans="1:5" hidden="1" x14ac:dyDescent="0.25">
      <c r="A80" s="69" t="str">
        <f>VLOOKUP(B80,'[1]DANH SÁCH HÀNG HÓA, DỊCH VỤ'!B:C,2,0)</f>
        <v>Cà Chua Bi Mix</v>
      </c>
      <c r="B80" s="70" t="s">
        <v>507</v>
      </c>
      <c r="C80" s="71"/>
      <c r="D80" s="71"/>
      <c r="E80" s="71">
        <f t="shared" si="1"/>
        <v>0</v>
      </c>
    </row>
    <row r="81" spans="1:5" hidden="1" x14ac:dyDescent="0.25">
      <c r="A81" s="69" t="str">
        <f>VLOOKUP(B81,'[1]DANH SÁCH HÀNG HÓA, DỊCH VỤ'!B:C,2,0)</f>
        <v>Cà Chua Socola</v>
      </c>
      <c r="B81" s="70" t="s">
        <v>508</v>
      </c>
      <c r="C81" s="71"/>
      <c r="D81" s="71"/>
      <c r="E81" s="71">
        <f t="shared" si="1"/>
        <v>0</v>
      </c>
    </row>
    <row r="82" spans="1:5" x14ac:dyDescent="0.25">
      <c r="A82" s="69" t="str">
        <f>VLOOKUP(B82,'[1]DANH SÁCH HÀNG HÓA, DỊCH VỤ'!B:C,2,0)</f>
        <v>Cà Chua Socola 250Gr</v>
      </c>
      <c r="B82" s="70" t="s">
        <v>509</v>
      </c>
      <c r="C82" s="71">
        <v>50</v>
      </c>
      <c r="D82" s="83">
        <v>6000</v>
      </c>
      <c r="E82" s="83">
        <f t="shared" si="1"/>
        <v>300000</v>
      </c>
    </row>
    <row r="83" spans="1:5" x14ac:dyDescent="0.25">
      <c r="A83" s="69" t="str">
        <f>VLOOKUP(B83,'[1]DANH SÁCH HÀNG HÓA, DỊCH VỤ'!B:C,2,0)</f>
        <v>Cà Chua Thường</v>
      </c>
      <c r="B83" s="70" t="s">
        <v>510</v>
      </c>
      <c r="C83" s="71">
        <f>250+320</f>
        <v>570</v>
      </c>
      <c r="D83" s="83">
        <v>23000</v>
      </c>
      <c r="E83" s="83">
        <f t="shared" si="1"/>
        <v>13110000</v>
      </c>
    </row>
    <row r="84" spans="1:5" hidden="1" x14ac:dyDescent="0.25">
      <c r="A84" s="69" t="str">
        <f>VLOOKUP(B84,'[1]DANH SÁCH HÀNG HÓA, DỊCH VỤ'!B:C,2,0)</f>
        <v>Cà Chua Thường</v>
      </c>
      <c r="B84" s="70" t="s">
        <v>510</v>
      </c>
      <c r="C84" s="71"/>
      <c r="D84" s="71"/>
      <c r="E84" s="71">
        <f t="shared" si="1"/>
        <v>0</v>
      </c>
    </row>
    <row r="85" spans="1:5" hidden="1" x14ac:dyDescent="0.25">
      <c r="A85" s="69" t="str">
        <f>VLOOKUP(B85,'[1]DANH SÁCH HÀNG HÓA, DỊCH VỤ'!B:C,2,0)</f>
        <v>Cà Chua Thường</v>
      </c>
      <c r="B85" s="70" t="s">
        <v>510</v>
      </c>
      <c r="C85" s="71"/>
      <c r="D85" s="71"/>
      <c r="E85" s="71">
        <f t="shared" si="1"/>
        <v>0</v>
      </c>
    </row>
    <row r="86" spans="1:5" x14ac:dyDescent="0.25">
      <c r="A86" s="69" t="str">
        <f>VLOOKUP(B86,'[1]DANH SÁCH HÀNG HÓA, DỊCH VỤ'!B:C,2,0)</f>
        <v>Cà Chua Thường Trung</v>
      </c>
      <c r="B86" s="70" t="s">
        <v>511</v>
      </c>
      <c r="C86" s="71">
        <v>40</v>
      </c>
      <c r="D86" s="83">
        <v>19000</v>
      </c>
      <c r="E86" s="83">
        <f t="shared" si="1"/>
        <v>760000</v>
      </c>
    </row>
    <row r="87" spans="1:5" hidden="1" x14ac:dyDescent="0.25">
      <c r="A87" s="69" t="str">
        <f>VLOOKUP(B87,'[1]DANH SÁCH HÀNG HÓA, DỊCH VỤ'!B:C,2,0)</f>
        <v>Cà Tím</v>
      </c>
      <c r="B87" s="70" t="s">
        <v>512</v>
      </c>
      <c r="C87" s="71"/>
      <c r="D87" s="71"/>
      <c r="E87" s="71">
        <f t="shared" si="1"/>
        <v>0</v>
      </c>
    </row>
    <row r="88" spans="1:5" hidden="1" x14ac:dyDescent="0.25">
      <c r="A88" s="69" t="str">
        <f>VLOOKUP(B88,'[1]DANH SÁCH HÀNG HÓA, DỊCH VỤ'!B:C,2,0)</f>
        <v>Cà Tím Cặp 400Gr</v>
      </c>
      <c r="B88" s="70" t="s">
        <v>513</v>
      </c>
      <c r="C88" s="71"/>
      <c r="D88" s="71"/>
      <c r="E88" s="71">
        <f t="shared" si="1"/>
        <v>0</v>
      </c>
    </row>
    <row r="89" spans="1:5" hidden="1" x14ac:dyDescent="0.25">
      <c r="A89" s="69" t="str">
        <f>VLOOKUP(B89,'[1]DANH SÁCH HÀNG HÓA, DỊCH VỤ'!B:C,2,0)</f>
        <v>Chanh Không Hạt</v>
      </c>
      <c r="B89" s="70" t="s">
        <v>514</v>
      </c>
      <c r="C89" s="71"/>
      <c r="D89" s="71"/>
      <c r="E89" s="71">
        <f t="shared" si="1"/>
        <v>0</v>
      </c>
    </row>
    <row r="90" spans="1:5" hidden="1" x14ac:dyDescent="0.25">
      <c r="A90" s="69" t="str">
        <f>VLOOKUP(B90,'[1]DANH SÁCH HÀNG HÓA, DỊCH VỤ'!B:C,2,0)</f>
        <v>Chanh Không Hạt</v>
      </c>
      <c r="B90" s="70" t="s">
        <v>514</v>
      </c>
      <c r="C90" s="71"/>
      <c r="D90" s="71"/>
      <c r="E90" s="71">
        <f t="shared" si="1"/>
        <v>0</v>
      </c>
    </row>
    <row r="91" spans="1:5" hidden="1" x14ac:dyDescent="0.25">
      <c r="A91" s="69" t="str">
        <f>VLOOKUP(B91,'[1]DANH SÁCH HÀNG HÓA, DỊCH VỤ'!B:C,2,0)</f>
        <v>Đậu Cove Trắng</v>
      </c>
      <c r="B91" s="70" t="s">
        <v>515</v>
      </c>
      <c r="C91" s="71"/>
      <c r="D91" s="71"/>
      <c r="E91" s="71">
        <f t="shared" si="1"/>
        <v>0</v>
      </c>
    </row>
    <row r="92" spans="1:5" hidden="1" x14ac:dyDescent="0.25">
      <c r="A92" s="69" t="str">
        <f>VLOOKUP(B92,'[1]DANH SÁCH HÀNG HÓA, DỊCH VỤ'!B:C,2,0)</f>
        <v>Đậu Cove Trắng 300Gr</v>
      </c>
      <c r="B92" s="70" t="s">
        <v>516</v>
      </c>
      <c r="C92" s="71"/>
      <c r="D92" s="71"/>
      <c r="E92" s="71">
        <f t="shared" si="1"/>
        <v>0</v>
      </c>
    </row>
    <row r="93" spans="1:5" hidden="1" x14ac:dyDescent="0.25">
      <c r="A93" s="69" t="str">
        <f>VLOOKUP(B93,'[1]DANH SÁCH HÀNG HÓA, DỊCH VỤ'!B:C,2,0)</f>
        <v>Đậu Cove Trắng 500Gr</v>
      </c>
      <c r="B93" s="70" t="s">
        <v>517</v>
      </c>
      <c r="C93" s="71"/>
      <c r="D93" s="71"/>
      <c r="E93" s="71">
        <f t="shared" si="1"/>
        <v>0</v>
      </c>
    </row>
    <row r="94" spans="1:5" hidden="1" x14ac:dyDescent="0.25">
      <c r="A94" s="69" t="str">
        <f>VLOOKUP(B94,'[1]DANH SÁCH HÀNG HÓA, DỊCH VỤ'!B:C,2,0)</f>
        <v>Đậu Cove Nhật 300Gr</v>
      </c>
      <c r="B94" s="70" t="s">
        <v>518</v>
      </c>
      <c r="C94" s="71"/>
      <c r="D94" s="71"/>
      <c r="E94" s="71">
        <f t="shared" si="1"/>
        <v>0</v>
      </c>
    </row>
    <row r="95" spans="1:5" hidden="1" x14ac:dyDescent="0.25">
      <c r="A95" s="69" t="str">
        <f>VLOOKUP(B95,'[1]DANH SÁCH HÀNG HÓA, DỊCH VỤ'!B:C,2,0)</f>
        <v>Đậu Đỏ</v>
      </c>
      <c r="B95" s="70" t="s">
        <v>519</v>
      </c>
      <c r="C95" s="71"/>
      <c r="D95" s="71"/>
      <c r="E95" s="71">
        <f t="shared" si="1"/>
        <v>0</v>
      </c>
    </row>
    <row r="96" spans="1:5" hidden="1" x14ac:dyDescent="0.25">
      <c r="A96" s="69" t="str">
        <f>VLOOKUP(B96,'[1]DANH SÁCH HÀNG HÓA, DỊCH VỤ'!B:C,2,0)</f>
        <v>Đậu Đỏ</v>
      </c>
      <c r="B96" s="70" t="s">
        <v>519</v>
      </c>
      <c r="C96" s="71"/>
      <c r="D96" s="71"/>
      <c r="E96" s="71">
        <f t="shared" si="1"/>
        <v>0</v>
      </c>
    </row>
    <row r="97" spans="1:5" hidden="1" x14ac:dyDescent="0.25">
      <c r="A97" s="69" t="str">
        <f>VLOOKUP(B97,'[1]DANH SÁCH HÀNG HÓA, DỊCH VỤ'!B:C,2,0)</f>
        <v>Đậu Ngự</v>
      </c>
      <c r="B97" s="70" t="s">
        <v>520</v>
      </c>
      <c r="C97" s="71"/>
      <c r="D97" s="71"/>
      <c r="E97" s="71">
        <f t="shared" si="1"/>
        <v>0</v>
      </c>
    </row>
    <row r="98" spans="1:5" hidden="1" x14ac:dyDescent="0.25">
      <c r="A98" s="69" t="str">
        <f>VLOOKUP(B98,'[1]DANH SÁCH HÀNG HÓA, DỊCH VỤ'!B:C,2,0)</f>
        <v>Dưa Leo Baby</v>
      </c>
      <c r="B98" s="70" t="s">
        <v>521</v>
      </c>
      <c r="C98" s="71"/>
      <c r="D98" s="71"/>
      <c r="E98" s="71">
        <f t="shared" si="1"/>
        <v>0</v>
      </c>
    </row>
    <row r="99" spans="1:5" hidden="1" x14ac:dyDescent="0.25">
      <c r="A99" s="69" t="str">
        <f>VLOOKUP(B99,'[1]DANH SÁCH HÀNG HÓA, DỊCH VỤ'!B:C,2,0)</f>
        <v>Dưa Leo Baby 500Gr</v>
      </c>
      <c r="B99" s="70" t="s">
        <v>522</v>
      </c>
      <c r="C99" s="71"/>
      <c r="D99" s="71"/>
      <c r="E99" s="71">
        <f t="shared" si="1"/>
        <v>0</v>
      </c>
    </row>
    <row r="100" spans="1:5" hidden="1" x14ac:dyDescent="0.25">
      <c r="A100" s="69" t="str">
        <f>VLOOKUP(B100,'[1]DANH SÁCH HÀNG HÓA, DỊCH VỤ'!B:C,2,0)</f>
        <v>Dưa Leo Nhật</v>
      </c>
      <c r="B100" s="70" t="s">
        <v>523</v>
      </c>
      <c r="C100" s="71"/>
      <c r="D100" s="71"/>
      <c r="E100" s="71">
        <f t="shared" si="1"/>
        <v>0</v>
      </c>
    </row>
    <row r="101" spans="1:5" hidden="1" x14ac:dyDescent="0.25">
      <c r="A101" s="69" t="str">
        <f>VLOOKUP(B101,'[1]DANH SÁCH HÀNG HÓA, DỊCH VỤ'!B:C,2,0)</f>
        <v>Dưa Leo Thường</v>
      </c>
      <c r="B101" s="70" t="s">
        <v>524</v>
      </c>
      <c r="C101" s="71"/>
      <c r="D101" s="71"/>
      <c r="E101" s="71">
        <f t="shared" si="1"/>
        <v>0</v>
      </c>
    </row>
    <row r="102" spans="1:5" hidden="1" x14ac:dyDescent="0.25">
      <c r="A102" s="69" t="str">
        <f>VLOOKUP(B102,'[1]DANH SÁCH HÀNG HÓA, DỊCH VỤ'!B:C,2,0)</f>
        <v>Ớt Chuông Baby</v>
      </c>
      <c r="B102" s="70" t="s">
        <v>525</v>
      </c>
      <c r="C102" s="71"/>
      <c r="D102" s="71"/>
      <c r="E102" s="71">
        <f t="shared" si="1"/>
        <v>0</v>
      </c>
    </row>
    <row r="103" spans="1:5" hidden="1" x14ac:dyDescent="0.25">
      <c r="A103" s="69" t="str">
        <f>VLOOKUP(B103,'[1]DANH SÁCH HÀNG HÓA, DỊCH VỤ'!B:C,2,0)</f>
        <v>Ớt Chuông Baby</v>
      </c>
      <c r="B103" s="70" t="s">
        <v>525</v>
      </c>
      <c r="C103" s="71"/>
      <c r="D103" s="71"/>
      <c r="E103" s="71">
        <f t="shared" si="1"/>
        <v>0</v>
      </c>
    </row>
    <row r="104" spans="1:5" x14ac:dyDescent="0.25">
      <c r="A104" s="69" t="str">
        <f>VLOOKUP(B104,'[1]DANH SÁCH HÀNG HÓA, DỊCH VỤ'!B:C,2,0)</f>
        <v>Ớt Chuông Đỏ</v>
      </c>
      <c r="B104" s="70" t="s">
        <v>526</v>
      </c>
      <c r="C104" s="71">
        <f>260+120+50</f>
        <v>430</v>
      </c>
      <c r="D104" s="83">
        <v>22000</v>
      </c>
      <c r="E104" s="83">
        <f t="shared" si="1"/>
        <v>9460000</v>
      </c>
    </row>
    <row r="105" spans="1:5" hidden="1" x14ac:dyDescent="0.25">
      <c r="A105" s="69" t="str">
        <f>VLOOKUP(B105,'[1]DANH SÁCH HÀNG HÓA, DỊCH VỤ'!B:C,2,0)</f>
        <v>Ớt Chuông Đỏ</v>
      </c>
      <c r="B105" s="70" t="s">
        <v>526</v>
      </c>
      <c r="C105" s="71"/>
      <c r="D105" s="71"/>
      <c r="E105" s="71">
        <f t="shared" si="1"/>
        <v>0</v>
      </c>
    </row>
    <row r="106" spans="1:5" hidden="1" x14ac:dyDescent="0.25">
      <c r="A106" s="69" t="str">
        <f>VLOOKUP(B106,'[1]DANH SÁCH HÀNG HÓA, DỊCH VỤ'!B:C,2,0)</f>
        <v>Ớt Chuông Snack</v>
      </c>
      <c r="B106" s="70" t="s">
        <v>527</v>
      </c>
      <c r="C106" s="71"/>
      <c r="D106" s="71"/>
      <c r="E106" s="71">
        <f t="shared" si="1"/>
        <v>0</v>
      </c>
    </row>
    <row r="107" spans="1:5" hidden="1" x14ac:dyDescent="0.25">
      <c r="A107" s="69" t="str">
        <f>VLOOKUP(B107,'[1]DANH SÁCH HÀNG HÓA, DỊCH VỤ'!B:C,2,0)</f>
        <v>Ớt Chuông Snack</v>
      </c>
      <c r="B107" s="70" t="s">
        <v>527</v>
      </c>
      <c r="C107" s="71"/>
      <c r="D107" s="71"/>
      <c r="E107" s="71">
        <f t="shared" si="1"/>
        <v>0</v>
      </c>
    </row>
    <row r="108" spans="1:5" x14ac:dyDescent="0.25">
      <c r="A108" s="69" t="str">
        <f>VLOOKUP(B108,'[1]DANH SÁCH HÀNG HÓA, DỊCH VỤ'!B:C,2,0)</f>
        <v>Ớt Chuông Vàng</v>
      </c>
      <c r="B108" s="70" t="s">
        <v>528</v>
      </c>
      <c r="C108" s="71">
        <f>118+50+40</f>
        <v>208</v>
      </c>
      <c r="D108" s="83">
        <v>22000</v>
      </c>
      <c r="E108" s="83">
        <f t="shared" si="1"/>
        <v>4576000</v>
      </c>
    </row>
    <row r="109" spans="1:5" hidden="1" x14ac:dyDescent="0.25">
      <c r="A109" s="69" t="str">
        <f>VLOOKUP(B109,'[1]DANH SÁCH HÀNG HÓA, DỊCH VỤ'!B:C,2,0)</f>
        <v>Ớt Chuông Vàng</v>
      </c>
      <c r="B109" s="70" t="s">
        <v>528</v>
      </c>
      <c r="C109" s="71"/>
      <c r="D109" s="71"/>
      <c r="E109" s="71">
        <f t="shared" si="1"/>
        <v>0</v>
      </c>
    </row>
    <row r="110" spans="1:5" x14ac:dyDescent="0.25">
      <c r="A110" s="69" t="str">
        <f>VLOOKUP(B110,'[1]DANH SÁCH HÀNG HÓA, DỊCH VỤ'!B:C,2,0)</f>
        <v>Ớt Chuông Xanh</v>
      </c>
      <c r="B110" s="70" t="s">
        <v>529</v>
      </c>
      <c r="C110" s="71">
        <v>80</v>
      </c>
      <c r="D110" s="83">
        <v>18000</v>
      </c>
      <c r="E110" s="83">
        <f t="shared" si="1"/>
        <v>1440000</v>
      </c>
    </row>
    <row r="111" spans="1:5" hidden="1" x14ac:dyDescent="0.25">
      <c r="A111" s="69" t="str">
        <f>VLOOKUP(B111,'[1]DANH SÁCH HÀNG HÓA, DỊCH VỤ'!B:C,2,0)</f>
        <v>Ớt Chuông Xanh</v>
      </c>
      <c r="B111" s="70" t="s">
        <v>529</v>
      </c>
      <c r="C111" s="71"/>
      <c r="D111" s="71"/>
      <c r="E111" s="71">
        <f t="shared" si="1"/>
        <v>0</v>
      </c>
    </row>
    <row r="112" spans="1:5" x14ac:dyDescent="0.25">
      <c r="A112" s="69" t="str">
        <f>VLOOKUP(B112,'[1]DANH SÁCH HÀNG HÓA, DỊCH VỤ'!B:C,2,0)</f>
        <v>Ớt Sweet Palemo 300Gr</v>
      </c>
      <c r="B112" s="70" t="s">
        <v>530</v>
      </c>
      <c r="C112" s="71">
        <v>6</v>
      </c>
      <c r="D112" s="83">
        <v>15000</v>
      </c>
      <c r="E112" s="83">
        <f t="shared" si="1"/>
        <v>90000</v>
      </c>
    </row>
    <row r="113" spans="1:5" hidden="1" x14ac:dyDescent="0.25">
      <c r="A113" s="69" t="str">
        <f>VLOOKUP(B113,'[1]DANH SÁCH HÀNG HÓA, DỊCH VỤ'!B:C,2,0)</f>
        <v>Ớt Sweet Palemo 300Gr</v>
      </c>
      <c r="B113" s="70" t="s">
        <v>530</v>
      </c>
      <c r="C113" s="71"/>
      <c r="D113" s="71"/>
      <c r="E113" s="71">
        <f t="shared" si="1"/>
        <v>0</v>
      </c>
    </row>
    <row r="114" spans="1:5" hidden="1" x14ac:dyDescent="0.25">
      <c r="A114" s="69" t="str">
        <f>VLOOKUP(B114,'[1]DANH SÁCH HÀNG HÓA, DỊCH VỤ'!B:C,2,0)</f>
        <v>Trái Chanh Vàng</v>
      </c>
      <c r="B114" s="70" t="s">
        <v>531</v>
      </c>
      <c r="C114" s="71"/>
      <c r="D114" s="71"/>
      <c r="E114" s="71">
        <f t="shared" si="1"/>
        <v>0</v>
      </c>
    </row>
    <row r="115" spans="1:5" x14ac:dyDescent="0.25">
      <c r="A115" s="69" t="str">
        <f>VLOOKUP(B115,'[1]DANH SÁCH HÀNG HÓA, DỊCH VỤ'!B:C,2,0)</f>
        <v>Trái Su Su</v>
      </c>
      <c r="B115" s="70" t="s">
        <v>532</v>
      </c>
      <c r="C115" s="71">
        <v>115</v>
      </c>
      <c r="D115" s="83">
        <v>5500</v>
      </c>
      <c r="E115" s="83">
        <f t="shared" si="1"/>
        <v>632500</v>
      </c>
    </row>
    <row r="116" spans="1:5" hidden="1" x14ac:dyDescent="0.25">
      <c r="A116" s="69" t="str">
        <f>VLOOKUP(B116,'[1]DANH SÁCH HÀNG HÓA, DỊCH VỤ'!B:C,2,0)</f>
        <v>Đậu Trắng</v>
      </c>
      <c r="B116" s="70" t="s">
        <v>533</v>
      </c>
      <c r="C116" s="71"/>
      <c r="D116" s="71"/>
      <c r="E116" s="71">
        <f t="shared" si="1"/>
        <v>0</v>
      </c>
    </row>
    <row r="117" spans="1:5" hidden="1" x14ac:dyDescent="0.25">
      <c r="A117" s="69" t="str">
        <f>VLOOKUP(B117,'[1]DANH SÁCH HÀNG HÓA, DỊCH VỤ'!B:C,2,0)</f>
        <v>Bí Ngô Mini</v>
      </c>
      <c r="B117" s="70" t="s">
        <v>534</v>
      </c>
      <c r="C117" s="71"/>
      <c r="D117" s="71"/>
      <c r="E117" s="71">
        <f t="shared" si="1"/>
        <v>0</v>
      </c>
    </row>
    <row r="118" spans="1:5" hidden="1" x14ac:dyDescent="0.25">
      <c r="A118" s="69" t="str">
        <f>VLOOKUP(B118,'[1]DANH SÁCH HÀNG HÓA, DỊCH VỤ'!B:C,2,0)</f>
        <v>Trái Khổ Qua</v>
      </c>
      <c r="B118" s="70" t="s">
        <v>535</v>
      </c>
      <c r="C118" s="71"/>
      <c r="D118" s="71"/>
      <c r="E118" s="71">
        <f t="shared" si="1"/>
        <v>0</v>
      </c>
    </row>
    <row r="119" spans="1:5" hidden="1" x14ac:dyDescent="0.25">
      <c r="A119" s="69" t="str">
        <f>VLOOKUP(B119,'[1]DANH SÁCH HÀNG HÓA, DỊCH VỤ'!B:C,2,0)</f>
        <v>Cà Chua Socola 300gr</v>
      </c>
      <c r="B119" s="70" t="s">
        <v>536</v>
      </c>
      <c r="C119" s="71"/>
      <c r="D119" s="71"/>
      <c r="E119" s="71">
        <f t="shared" si="1"/>
        <v>0</v>
      </c>
    </row>
    <row r="120" spans="1:5" x14ac:dyDescent="0.25">
      <c r="A120" s="69" t="str">
        <f>VLOOKUP(B120,'[1]DANH SÁCH HÀNG HÓA, DỊCH VỤ'!B:C,2,0)</f>
        <v>Chuối Laba</v>
      </c>
      <c r="B120" s="70" t="s">
        <v>537</v>
      </c>
      <c r="C120" s="71">
        <f>40+60</f>
        <v>100</v>
      </c>
      <c r="D120" s="83">
        <v>14000</v>
      </c>
      <c r="E120" s="83">
        <f t="shared" si="1"/>
        <v>1400000</v>
      </c>
    </row>
    <row r="121" spans="1:5" hidden="1" x14ac:dyDescent="0.25">
      <c r="A121" s="69" t="str">
        <f>VLOOKUP(B121,'[1]DANH SÁCH HÀNG HÓA, DỊCH VỤ'!B:C,2,0)</f>
        <v>Trái Mít Thái</v>
      </c>
      <c r="B121" s="70" t="s">
        <v>538</v>
      </c>
      <c r="C121" s="71"/>
      <c r="D121" s="71"/>
      <c r="E121" s="71">
        <f t="shared" si="1"/>
        <v>0</v>
      </c>
    </row>
    <row r="122" spans="1:5" hidden="1" x14ac:dyDescent="0.25">
      <c r="A122" s="69" t="str">
        <f>VLOOKUP(B122,'[1]DANH SÁCH HÀNG HÓA, DỊCH VỤ'!B:C,2,0)</f>
        <v>Bơ 034 L1</v>
      </c>
      <c r="B122" s="70" t="s">
        <v>539</v>
      </c>
      <c r="C122" s="71"/>
      <c r="D122" s="71"/>
      <c r="E122" s="71">
        <f t="shared" si="1"/>
        <v>0</v>
      </c>
    </row>
    <row r="123" spans="1:5" hidden="1" x14ac:dyDescent="0.25">
      <c r="A123" s="69" t="str">
        <f>VLOOKUP(B123,'[1]DANH SÁCH HÀNG HÓA, DỊCH VỤ'!B:C,2,0)</f>
        <v>Bơ Sáp</v>
      </c>
      <c r="B123" s="70" t="s">
        <v>540</v>
      </c>
      <c r="C123" s="71"/>
      <c r="D123" s="71"/>
      <c r="E123" s="71">
        <f t="shared" si="1"/>
        <v>0</v>
      </c>
    </row>
    <row r="124" spans="1:5" hidden="1" x14ac:dyDescent="0.25">
      <c r="A124" s="69" t="str">
        <f>VLOOKUP(B124,'[1]DANH SÁCH HÀNG HÓA, DỊCH VỤ'!B:C,2,0)</f>
        <v>Bơ Booth</v>
      </c>
      <c r="B124" s="70" t="s">
        <v>541</v>
      </c>
      <c r="C124" s="71"/>
      <c r="D124" s="71"/>
      <c r="E124" s="71">
        <f t="shared" si="1"/>
        <v>0</v>
      </c>
    </row>
    <row r="125" spans="1:5" hidden="1" x14ac:dyDescent="0.25">
      <c r="A125" s="69" t="str">
        <f>VLOOKUP(B125,'[1]DANH SÁCH HÀNG HÓA, DỊCH VỤ'!B:C,2,0)</f>
        <v>Hạt Dẻ Tươi</v>
      </c>
      <c r="B125" s="70" t="s">
        <v>542</v>
      </c>
      <c r="C125" s="71"/>
      <c r="D125" s="71"/>
      <c r="E125" s="71">
        <f t="shared" si="1"/>
        <v>0</v>
      </c>
    </row>
    <row r="126" spans="1:5" hidden="1" x14ac:dyDescent="0.25">
      <c r="A126" s="69" t="str">
        <f>VLOOKUP(B126,'[1]DANH SÁCH HÀNG HÓA, DỊCH VỤ'!B:C,2,0)</f>
        <v>Trái Sake</v>
      </c>
      <c r="B126" s="70" t="s">
        <v>543</v>
      </c>
      <c r="C126" s="71"/>
      <c r="D126" s="71"/>
      <c r="E126" s="71">
        <f t="shared" si="1"/>
        <v>0</v>
      </c>
    </row>
    <row r="127" spans="1:5" x14ac:dyDescent="0.25">
      <c r="A127" s="69" t="str">
        <f>VLOOKUP(B127,'[1]DANH SÁCH HÀNG HÓA, DỊCH VỤ'!B:C,2,0)</f>
        <v>Hồng Fuji</v>
      </c>
      <c r="B127" s="70" t="s">
        <v>544</v>
      </c>
      <c r="C127" s="71">
        <v>200</v>
      </c>
      <c r="D127" s="83">
        <v>35000</v>
      </c>
      <c r="E127" s="83">
        <f t="shared" si="1"/>
        <v>7000000</v>
      </c>
    </row>
    <row r="128" spans="1:5" hidden="1" x14ac:dyDescent="0.25">
      <c r="A128" s="69" t="str">
        <f>VLOOKUP(B128,'[1]DANH SÁCH HÀNG HÓA, DỊCH VỤ'!B:C,2,0)</f>
        <v>Ớt Chuông Ba Màu Vỉ 350gr</v>
      </c>
      <c r="B128" s="70" t="s">
        <v>545</v>
      </c>
      <c r="C128" s="71"/>
      <c r="D128" s="71"/>
      <c r="E128" s="71">
        <f t="shared" si="1"/>
        <v>0</v>
      </c>
    </row>
    <row r="129" spans="1:5" hidden="1" x14ac:dyDescent="0.25">
      <c r="A129" s="69" t="str">
        <f>VLOOKUP(B129,'[1]DANH SÁCH HÀNG HÓA, DỊCH VỤ'!B:C,2,0)</f>
        <v>Cà Chua Bi Xá</v>
      </c>
      <c r="B129" s="70" t="s">
        <v>546</v>
      </c>
      <c r="C129" s="71"/>
      <c r="D129" s="71"/>
      <c r="E129" s="71">
        <f t="shared" si="1"/>
        <v>0</v>
      </c>
    </row>
    <row r="130" spans="1:5" hidden="1" x14ac:dyDescent="0.25">
      <c r="A130" s="69" t="str">
        <f>VLOOKUP(B130,'[1]DANH SÁCH HÀNG HÓA, DỊCH VỤ'!B:C,2,0)</f>
        <v>Đậu Cove Nhật</v>
      </c>
      <c r="B130" s="70" t="s">
        <v>547</v>
      </c>
      <c r="C130" s="71"/>
      <c r="D130" s="71"/>
      <c r="E130" s="71">
        <f t="shared" si="1"/>
        <v>0</v>
      </c>
    </row>
    <row r="131" spans="1:5" hidden="1" x14ac:dyDescent="0.25">
      <c r="A131" s="69" t="str">
        <f>VLOOKUP(B131,'[1]DANH SÁCH HÀNG HÓA, DỊCH VỤ'!B:C,2,0)</f>
        <v>Cải Thảo Hỏa Tiễn</v>
      </c>
      <c r="B131" s="70" t="s">
        <v>548</v>
      </c>
      <c r="C131" s="71"/>
      <c r="D131" s="71"/>
      <c r="E131" s="71">
        <f t="shared" ref="E131:E150" si="2">C131*D131</f>
        <v>0</v>
      </c>
    </row>
    <row r="132" spans="1:5" hidden="1" x14ac:dyDescent="0.25">
      <c r="A132" s="69" t="str">
        <f>VLOOKUP(B132,'[1]DANH SÁCH HÀNG HÓA, DỊCH VỤ'!B:C,2,0)</f>
        <v>Ớt Chuông Ba Màu</v>
      </c>
      <c r="B132" s="70" t="s">
        <v>549</v>
      </c>
      <c r="C132" s="71"/>
      <c r="D132" s="71"/>
      <c r="E132" s="71">
        <f t="shared" si="2"/>
        <v>0</v>
      </c>
    </row>
    <row r="133" spans="1:5" hidden="1" x14ac:dyDescent="0.25">
      <c r="A133" s="69" t="str">
        <f>VLOOKUP(B133,'[1]DANH SÁCH HÀNG HÓA, DỊCH VỤ'!B:C,2,0)</f>
        <v>Củ Khoai Lang Mật Size 23</v>
      </c>
      <c r="B133" s="70" t="s">
        <v>550</v>
      </c>
      <c r="C133" s="71"/>
      <c r="D133" s="71"/>
      <c r="E133" s="71">
        <f t="shared" si="2"/>
        <v>0</v>
      </c>
    </row>
    <row r="134" spans="1:5" hidden="1" x14ac:dyDescent="0.25">
      <c r="A134" s="69" t="str">
        <f>VLOOKUP(B134,'[1]DANH SÁCH HÀNG HÓA, DỊCH VỤ'!B:C,2,0)</f>
        <v>Cà Chua Bi Đỏ</v>
      </c>
      <c r="B134" s="70" t="s">
        <v>551</v>
      </c>
      <c r="C134" s="71"/>
      <c r="D134" s="71"/>
      <c r="E134" s="71">
        <f t="shared" si="2"/>
        <v>0</v>
      </c>
    </row>
    <row r="135" spans="1:5" hidden="1" x14ac:dyDescent="0.25">
      <c r="A135" s="69" t="str">
        <f>VLOOKUP(B135,'[1]DANH SÁCH HÀNG HÓA, DỊCH VỤ'!B:C,2,0)</f>
        <v>Ớt Sweet Palemo</v>
      </c>
      <c r="B135" s="70" t="s">
        <v>552</v>
      </c>
      <c r="C135" s="71"/>
      <c r="D135" s="71"/>
      <c r="E135" s="71">
        <f t="shared" si="2"/>
        <v>0</v>
      </c>
    </row>
    <row r="136" spans="1:5" hidden="1" x14ac:dyDescent="0.25">
      <c r="A136" s="69" t="str">
        <f>VLOOKUP(B136,'[1]DANH SÁCH HÀNG HÓA, DỊCH VỤ'!B:C,2,0)</f>
        <v>Bông Bí Nụ</v>
      </c>
      <c r="B136" s="70" t="s">
        <v>553</v>
      </c>
      <c r="C136" s="71"/>
      <c r="D136" s="71"/>
      <c r="E136" s="71">
        <f t="shared" si="2"/>
        <v>0</v>
      </c>
    </row>
    <row r="137" spans="1:5" hidden="1" x14ac:dyDescent="0.25">
      <c r="A137" s="69" t="str">
        <f>VLOOKUP(B137,'[1]DANH SÁCH HÀNG HÓA, DỊCH VỤ'!B:C,2,0)</f>
        <v>Bông Cải Xanh 12Cm</v>
      </c>
      <c r="B137" s="70" t="s">
        <v>554</v>
      </c>
      <c r="C137" s="71"/>
      <c r="D137" s="71"/>
      <c r="E137" s="71">
        <f t="shared" si="2"/>
        <v>0</v>
      </c>
    </row>
    <row r="138" spans="1:5" hidden="1" x14ac:dyDescent="0.25">
      <c r="A138" s="69" t="str">
        <f>VLOOKUP(B138,'[1]DANH SÁCH HÀNG HÓA, DỊCH VỤ'!B:C,2,0)</f>
        <v>Củ Hành Đỏ</v>
      </c>
      <c r="B138" s="70" t="s">
        <v>555</v>
      </c>
      <c r="C138" s="71"/>
      <c r="D138" s="71"/>
      <c r="E138" s="71">
        <f t="shared" si="2"/>
        <v>0</v>
      </c>
    </row>
    <row r="139" spans="1:5" hidden="1" x14ac:dyDescent="0.25">
      <c r="A139" s="69" t="str">
        <f>VLOOKUP(B139,'[1]DANH SÁCH HÀNG HÓA, DỊCH VỤ'!B:C,2,0)</f>
        <v>Cà Tím Sọc Pha Lê</v>
      </c>
      <c r="B139" s="70" t="s">
        <v>556</v>
      </c>
      <c r="C139" s="71"/>
      <c r="D139" s="71"/>
      <c r="E139" s="71">
        <f t="shared" si="2"/>
        <v>0</v>
      </c>
    </row>
    <row r="140" spans="1:5" hidden="1" x14ac:dyDescent="0.25">
      <c r="A140" s="69" t="str">
        <f>VLOOKUP(B140,'[1]DANH SÁCH HÀNG HÓA, DỊCH VỤ'!B:C,2,0)</f>
        <v>Xà Lách Lolo Tím</v>
      </c>
      <c r="B140" s="70" t="s">
        <v>557</v>
      </c>
      <c r="C140" s="71"/>
      <c r="D140" s="71"/>
      <c r="E140" s="71">
        <f t="shared" si="2"/>
        <v>0</v>
      </c>
    </row>
    <row r="141" spans="1:5" hidden="1" x14ac:dyDescent="0.25">
      <c r="A141" s="72" t="str">
        <f>VLOOKUP(B141,'[1]DANH SÁCH HÀNG HÓA, DỊCH VỤ'!B:C,2,0)</f>
        <v>Lá Giang</v>
      </c>
      <c r="B141" s="73" t="s">
        <v>558</v>
      </c>
      <c r="C141" s="71"/>
      <c r="D141" s="71"/>
      <c r="E141" s="71">
        <f t="shared" si="2"/>
        <v>0</v>
      </c>
    </row>
    <row r="142" spans="1:5" hidden="1" x14ac:dyDescent="0.25">
      <c r="A142" s="72"/>
      <c r="B142" s="70" t="s">
        <v>450</v>
      </c>
      <c r="C142" s="71"/>
      <c r="D142" s="71"/>
      <c r="E142" s="71">
        <f t="shared" si="2"/>
        <v>0</v>
      </c>
    </row>
    <row r="143" spans="1:5" x14ac:dyDescent="0.25">
      <c r="A143" s="72" t="s">
        <v>559</v>
      </c>
      <c r="B143" s="70"/>
      <c r="C143" s="71">
        <v>50</v>
      </c>
      <c r="D143" s="83">
        <v>17000</v>
      </c>
      <c r="E143" s="83">
        <f t="shared" si="2"/>
        <v>850000</v>
      </c>
    </row>
    <row r="144" spans="1:5" x14ac:dyDescent="0.25">
      <c r="A144" s="72" t="s">
        <v>560</v>
      </c>
      <c r="B144" s="70"/>
      <c r="C144" s="71">
        <v>21</v>
      </c>
      <c r="D144" s="83">
        <v>20000</v>
      </c>
      <c r="E144" s="83">
        <f t="shared" si="2"/>
        <v>420000</v>
      </c>
    </row>
    <row r="145" spans="1:5" x14ac:dyDescent="0.25">
      <c r="A145" s="72" t="s">
        <v>561</v>
      </c>
      <c r="B145" s="70"/>
      <c r="C145" s="71">
        <v>0.5</v>
      </c>
      <c r="D145" s="83">
        <v>70000</v>
      </c>
      <c r="E145" s="83">
        <f t="shared" si="2"/>
        <v>35000</v>
      </c>
    </row>
    <row r="146" spans="1:5" hidden="1" x14ac:dyDescent="0.25">
      <c r="A146" s="72" t="s">
        <v>141</v>
      </c>
      <c r="B146" s="70"/>
      <c r="C146" s="71"/>
      <c r="D146" s="71"/>
      <c r="E146" s="71">
        <f t="shared" si="2"/>
        <v>0</v>
      </c>
    </row>
    <row r="147" spans="1:5" hidden="1" x14ac:dyDescent="0.25">
      <c r="A147" s="72" t="s">
        <v>562</v>
      </c>
      <c r="B147" s="70"/>
      <c r="C147" s="71"/>
      <c r="D147" s="71"/>
      <c r="E147" s="71">
        <f t="shared" si="2"/>
        <v>0</v>
      </c>
    </row>
    <row r="148" spans="1:5" hidden="1" x14ac:dyDescent="0.25">
      <c r="A148" s="72" t="s">
        <v>563</v>
      </c>
      <c r="B148" s="70"/>
      <c r="C148" s="71"/>
      <c r="D148" s="71"/>
      <c r="E148" s="71">
        <f t="shared" si="2"/>
        <v>0</v>
      </c>
    </row>
    <row r="149" spans="1:5" hidden="1" x14ac:dyDescent="0.25">
      <c r="A149" s="72" t="s">
        <v>564</v>
      </c>
      <c r="B149" s="70"/>
      <c r="C149" s="71"/>
      <c r="D149" s="71"/>
      <c r="E149" s="71">
        <f t="shared" si="2"/>
        <v>0</v>
      </c>
    </row>
    <row r="150" spans="1:5" hidden="1" x14ac:dyDescent="0.25">
      <c r="A150" s="72" t="s">
        <v>565</v>
      </c>
      <c r="B150" s="70"/>
      <c r="C150" s="71"/>
      <c r="D150" s="71"/>
      <c r="E150" s="71">
        <f t="shared" si="2"/>
        <v>0</v>
      </c>
    </row>
    <row r="151" spans="1:5" x14ac:dyDescent="0.25">
      <c r="E151" s="82">
        <f>SUM(E2:E145)</f>
        <v>122385000</v>
      </c>
    </row>
  </sheetData>
  <autoFilter ref="A1:O150" xr:uid="{00000000-0009-0000-0000-00001D000000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M189"/>
  <sheetViews>
    <sheetView tabSelected="1" topLeftCell="A80" workbookViewId="0">
      <selection activeCell="I113" sqref="I113"/>
    </sheetView>
  </sheetViews>
  <sheetFormatPr defaultRowHeight="15" x14ac:dyDescent="0.25"/>
  <cols>
    <col min="1" max="1" width="33.7109375" customWidth="1"/>
    <col min="3" max="3" width="15.42578125" customWidth="1"/>
    <col min="4" max="4" width="24" customWidth="1"/>
    <col min="9" max="9" width="40.140625" bestFit="1" customWidth="1"/>
    <col min="10" max="10" width="11" bestFit="1" customWidth="1"/>
    <col min="11" max="11" width="11.140625" bestFit="1" customWidth="1"/>
    <col min="12" max="12" width="12.7109375" bestFit="1" customWidth="1"/>
  </cols>
  <sheetData>
    <row r="1" spans="1:4" x14ac:dyDescent="0.25">
      <c r="A1" s="81" t="s">
        <v>676</v>
      </c>
    </row>
    <row r="2" spans="1:4" ht="19.5" x14ac:dyDescent="0.25">
      <c r="A2" s="74" t="s">
        <v>448</v>
      </c>
      <c r="B2" s="75" t="s">
        <v>451</v>
      </c>
      <c r="C2" s="79" t="s">
        <v>368</v>
      </c>
      <c r="D2" s="79" t="s">
        <v>369</v>
      </c>
    </row>
    <row r="3" spans="1:4" x14ac:dyDescent="0.25">
      <c r="A3" s="80" t="s">
        <v>566</v>
      </c>
      <c r="B3" s="76">
        <v>17</v>
      </c>
      <c r="C3" s="70">
        <v>20000</v>
      </c>
      <c r="D3" s="70">
        <f>B3*C3</f>
        <v>340000</v>
      </c>
    </row>
    <row r="4" spans="1:4" hidden="1" x14ac:dyDescent="0.25">
      <c r="A4" s="69" t="s">
        <v>566</v>
      </c>
      <c r="B4" s="76"/>
      <c r="C4" s="70"/>
      <c r="D4" s="70">
        <f t="shared" ref="D4:D67" si="0">B4*C4</f>
        <v>0</v>
      </c>
    </row>
    <row r="5" spans="1:4" hidden="1" x14ac:dyDescent="0.25">
      <c r="A5" s="69" t="s">
        <v>567</v>
      </c>
      <c r="B5" s="76"/>
      <c r="C5" s="70"/>
      <c r="D5" s="70">
        <f t="shared" si="0"/>
        <v>0</v>
      </c>
    </row>
    <row r="6" spans="1:4" hidden="1" x14ac:dyDescent="0.25">
      <c r="A6" s="69" t="s">
        <v>568</v>
      </c>
      <c r="B6" s="76"/>
      <c r="C6" s="70"/>
      <c r="D6" s="70">
        <f t="shared" si="0"/>
        <v>0</v>
      </c>
    </row>
    <row r="7" spans="1:4" hidden="1" x14ac:dyDescent="0.25">
      <c r="A7" s="69" t="s">
        <v>569</v>
      </c>
      <c r="B7" s="76"/>
      <c r="C7" s="70"/>
      <c r="D7" s="70">
        <f t="shared" si="0"/>
        <v>0</v>
      </c>
    </row>
    <row r="8" spans="1:4" hidden="1" x14ac:dyDescent="0.25">
      <c r="A8" s="69" t="s">
        <v>570</v>
      </c>
      <c r="B8" s="76"/>
      <c r="C8" s="70"/>
      <c r="D8" s="70">
        <f t="shared" si="0"/>
        <v>0</v>
      </c>
    </row>
    <row r="9" spans="1:4" x14ac:dyDescent="0.25">
      <c r="A9" s="80" t="s">
        <v>571</v>
      </c>
      <c r="B9" s="76">
        <v>130</v>
      </c>
      <c r="C9" s="70">
        <v>16000</v>
      </c>
      <c r="D9" s="70">
        <f t="shared" si="0"/>
        <v>2080000</v>
      </c>
    </row>
    <row r="10" spans="1:4" hidden="1" x14ac:dyDescent="0.25">
      <c r="A10" s="69" t="s">
        <v>571</v>
      </c>
      <c r="B10" s="76"/>
      <c r="C10" s="70"/>
      <c r="D10" s="70">
        <f t="shared" si="0"/>
        <v>0</v>
      </c>
    </row>
    <row r="11" spans="1:4" x14ac:dyDescent="0.25">
      <c r="A11" s="80" t="s">
        <v>572</v>
      </c>
      <c r="B11" s="76">
        <v>3</v>
      </c>
      <c r="C11" s="70">
        <v>43000</v>
      </c>
      <c r="D11" s="70">
        <f t="shared" si="0"/>
        <v>129000</v>
      </c>
    </row>
    <row r="12" spans="1:4" x14ac:dyDescent="0.25">
      <c r="A12" s="80" t="s">
        <v>573</v>
      </c>
      <c r="B12" s="76">
        <v>230</v>
      </c>
      <c r="C12" s="70">
        <v>18000</v>
      </c>
      <c r="D12" s="70">
        <f t="shared" si="0"/>
        <v>4140000</v>
      </c>
    </row>
    <row r="13" spans="1:4" x14ac:dyDescent="0.25">
      <c r="A13" s="80" t="s">
        <v>574</v>
      </c>
      <c r="B13" s="76">
        <v>30</v>
      </c>
      <c r="C13" s="70">
        <v>20000</v>
      </c>
      <c r="D13" s="70">
        <f t="shared" si="0"/>
        <v>600000</v>
      </c>
    </row>
    <row r="14" spans="1:4" hidden="1" x14ac:dyDescent="0.25">
      <c r="A14" s="69" t="s">
        <v>574</v>
      </c>
      <c r="B14" s="76"/>
      <c r="C14" s="70"/>
      <c r="D14" s="70">
        <f t="shared" si="0"/>
        <v>0</v>
      </c>
    </row>
    <row r="15" spans="1:4" hidden="1" x14ac:dyDescent="0.25">
      <c r="A15" s="69" t="s">
        <v>575</v>
      </c>
      <c r="B15" s="76"/>
      <c r="C15" s="70"/>
      <c r="D15" s="70">
        <f t="shared" si="0"/>
        <v>0</v>
      </c>
    </row>
    <row r="16" spans="1:4" x14ac:dyDescent="0.25">
      <c r="A16" s="80" t="s">
        <v>576</v>
      </c>
      <c r="B16" s="76">
        <v>310</v>
      </c>
      <c r="C16" s="70">
        <v>21000</v>
      </c>
      <c r="D16" s="70">
        <f t="shared" si="0"/>
        <v>6510000</v>
      </c>
    </row>
    <row r="17" spans="1:4" hidden="1" x14ac:dyDescent="0.25">
      <c r="A17" s="69" t="s">
        <v>576</v>
      </c>
      <c r="B17" s="76"/>
      <c r="C17" s="70"/>
      <c r="D17" s="70">
        <f t="shared" si="0"/>
        <v>0</v>
      </c>
    </row>
    <row r="18" spans="1:4" x14ac:dyDescent="0.25">
      <c r="A18" s="80" t="s">
        <v>577</v>
      </c>
      <c r="B18" s="76">
        <v>235</v>
      </c>
      <c r="C18" s="70">
        <v>21000</v>
      </c>
      <c r="D18" s="70">
        <f t="shared" si="0"/>
        <v>4935000</v>
      </c>
    </row>
    <row r="19" spans="1:4" hidden="1" x14ac:dyDescent="0.25">
      <c r="A19" s="69" t="s">
        <v>577</v>
      </c>
      <c r="B19" s="76"/>
      <c r="C19" s="70"/>
      <c r="D19" s="70">
        <f t="shared" si="0"/>
        <v>0</v>
      </c>
    </row>
    <row r="20" spans="1:4" hidden="1" x14ac:dyDescent="0.25">
      <c r="A20" s="69" t="s">
        <v>578</v>
      </c>
      <c r="B20" s="76"/>
      <c r="C20" s="70"/>
      <c r="D20" s="70">
        <f t="shared" si="0"/>
        <v>0</v>
      </c>
    </row>
    <row r="21" spans="1:4" x14ac:dyDescent="0.25">
      <c r="A21" s="80" t="s">
        <v>579</v>
      </c>
      <c r="B21" s="76">
        <v>10</v>
      </c>
      <c r="C21" s="70">
        <v>12000</v>
      </c>
      <c r="D21" s="70">
        <f t="shared" si="0"/>
        <v>120000</v>
      </c>
    </row>
    <row r="22" spans="1:4" x14ac:dyDescent="0.25">
      <c r="A22" s="80" t="s">
        <v>580</v>
      </c>
      <c r="B22" s="76">
        <v>470</v>
      </c>
      <c r="C22" s="70">
        <v>15000</v>
      </c>
      <c r="D22" s="70">
        <f t="shared" si="0"/>
        <v>7050000</v>
      </c>
    </row>
    <row r="23" spans="1:4" hidden="1" x14ac:dyDescent="0.25">
      <c r="A23" s="69" t="s">
        <v>580</v>
      </c>
      <c r="B23" s="76"/>
      <c r="C23" s="70"/>
      <c r="D23" s="70">
        <f t="shared" si="0"/>
        <v>0</v>
      </c>
    </row>
    <row r="24" spans="1:4" hidden="1" x14ac:dyDescent="0.25">
      <c r="A24" s="69" t="s">
        <v>581</v>
      </c>
      <c r="B24" s="76"/>
      <c r="C24" s="70"/>
      <c r="D24" s="70">
        <f t="shared" si="0"/>
        <v>0</v>
      </c>
    </row>
    <row r="25" spans="1:4" hidden="1" x14ac:dyDescent="0.25">
      <c r="A25" s="69" t="s">
        <v>582</v>
      </c>
      <c r="B25" s="76"/>
      <c r="C25" s="70"/>
      <c r="D25" s="70">
        <f t="shared" si="0"/>
        <v>0</v>
      </c>
    </row>
    <row r="26" spans="1:4" x14ac:dyDescent="0.25">
      <c r="A26" s="80" t="s">
        <v>583</v>
      </c>
      <c r="B26" s="76">
        <v>5</v>
      </c>
      <c r="C26" s="70">
        <v>37000</v>
      </c>
      <c r="D26" s="70">
        <f t="shared" si="0"/>
        <v>185000</v>
      </c>
    </row>
    <row r="27" spans="1:4" hidden="1" x14ac:dyDescent="0.25">
      <c r="A27" s="69" t="s">
        <v>584</v>
      </c>
      <c r="B27" s="76"/>
      <c r="C27" s="70"/>
      <c r="D27" s="70">
        <f t="shared" si="0"/>
        <v>0</v>
      </c>
    </row>
    <row r="28" spans="1:4" hidden="1" x14ac:dyDescent="0.25">
      <c r="A28" s="69" t="s">
        <v>584</v>
      </c>
      <c r="B28" s="76"/>
      <c r="C28" s="70"/>
      <c r="D28" s="70">
        <f t="shared" si="0"/>
        <v>0</v>
      </c>
    </row>
    <row r="29" spans="1:4" hidden="1" x14ac:dyDescent="0.25">
      <c r="A29" s="69" t="s">
        <v>585</v>
      </c>
      <c r="B29" s="76"/>
      <c r="C29" s="70"/>
      <c r="D29" s="70">
        <f t="shared" si="0"/>
        <v>0</v>
      </c>
    </row>
    <row r="30" spans="1:4" hidden="1" x14ac:dyDescent="0.25">
      <c r="A30" s="69" t="s">
        <v>586</v>
      </c>
      <c r="B30" s="76"/>
      <c r="C30" s="70"/>
      <c r="D30" s="70">
        <f t="shared" si="0"/>
        <v>0</v>
      </c>
    </row>
    <row r="31" spans="1:4" x14ac:dyDescent="0.25">
      <c r="A31" s="80" t="s">
        <v>587</v>
      </c>
      <c r="B31" s="76">
        <v>660</v>
      </c>
      <c r="C31" s="70">
        <v>9000</v>
      </c>
      <c r="D31" s="70">
        <f t="shared" si="0"/>
        <v>5940000</v>
      </c>
    </row>
    <row r="32" spans="1:4" x14ac:dyDescent="0.25">
      <c r="A32" s="80" t="s">
        <v>588</v>
      </c>
      <c r="B32" s="76">
        <v>5520</v>
      </c>
      <c r="C32" s="70">
        <v>5500</v>
      </c>
      <c r="D32" s="70">
        <f t="shared" si="0"/>
        <v>30360000</v>
      </c>
    </row>
    <row r="33" spans="1:4" hidden="1" x14ac:dyDescent="0.25">
      <c r="A33" s="69" t="s">
        <v>589</v>
      </c>
      <c r="B33" s="76"/>
      <c r="C33" s="70"/>
      <c r="D33" s="70">
        <f t="shared" si="0"/>
        <v>0</v>
      </c>
    </row>
    <row r="34" spans="1:4" hidden="1" x14ac:dyDescent="0.25">
      <c r="A34" s="69" t="s">
        <v>589</v>
      </c>
      <c r="B34" s="76"/>
      <c r="C34" s="70"/>
      <c r="D34" s="70">
        <f t="shared" si="0"/>
        <v>0</v>
      </c>
    </row>
    <row r="35" spans="1:4" hidden="1" x14ac:dyDescent="0.25">
      <c r="A35" s="69" t="s">
        <v>590</v>
      </c>
      <c r="B35" s="76"/>
      <c r="C35" s="70"/>
      <c r="D35" s="70">
        <f t="shared" si="0"/>
        <v>0</v>
      </c>
    </row>
    <row r="36" spans="1:4" hidden="1" x14ac:dyDescent="0.25">
      <c r="A36" s="69" t="s">
        <v>591</v>
      </c>
      <c r="B36" s="76"/>
      <c r="C36" s="70"/>
      <c r="D36" s="70">
        <f t="shared" si="0"/>
        <v>0</v>
      </c>
    </row>
    <row r="37" spans="1:4" hidden="1" x14ac:dyDescent="0.25">
      <c r="A37" s="69" t="s">
        <v>592</v>
      </c>
      <c r="B37" s="76"/>
      <c r="C37" s="70"/>
      <c r="D37" s="70">
        <f t="shared" si="0"/>
        <v>0</v>
      </c>
    </row>
    <row r="38" spans="1:4" hidden="1" x14ac:dyDescent="0.25">
      <c r="A38" s="69" t="s">
        <v>592</v>
      </c>
      <c r="B38" s="76"/>
      <c r="C38" s="70"/>
      <c r="D38" s="70">
        <f t="shared" si="0"/>
        <v>0</v>
      </c>
    </row>
    <row r="39" spans="1:4" hidden="1" x14ac:dyDescent="0.25">
      <c r="A39" s="69" t="s">
        <v>593</v>
      </c>
      <c r="B39" s="76"/>
      <c r="C39" s="70"/>
      <c r="D39" s="70">
        <f t="shared" si="0"/>
        <v>0</v>
      </c>
    </row>
    <row r="40" spans="1:4" hidden="1" x14ac:dyDescent="0.25">
      <c r="A40" s="69" t="s">
        <v>594</v>
      </c>
      <c r="B40" s="76"/>
      <c r="C40" s="70"/>
      <c r="D40" s="70">
        <f t="shared" si="0"/>
        <v>0</v>
      </c>
    </row>
    <row r="41" spans="1:4" x14ac:dyDescent="0.25">
      <c r="A41" s="80" t="s">
        <v>594</v>
      </c>
      <c r="B41" s="76">
        <v>290</v>
      </c>
      <c r="C41" s="70">
        <v>17000</v>
      </c>
      <c r="D41" s="70">
        <f t="shared" si="0"/>
        <v>4930000</v>
      </c>
    </row>
    <row r="42" spans="1:4" hidden="1" x14ac:dyDescent="0.25">
      <c r="A42" s="69" t="s">
        <v>595</v>
      </c>
      <c r="B42" s="76"/>
      <c r="C42" s="70"/>
      <c r="D42" s="70">
        <f t="shared" si="0"/>
        <v>0</v>
      </c>
    </row>
    <row r="43" spans="1:4" x14ac:dyDescent="0.25">
      <c r="A43" s="80" t="s">
        <v>595</v>
      </c>
      <c r="B43" s="76">
        <v>28</v>
      </c>
      <c r="C43" s="70">
        <v>33000</v>
      </c>
      <c r="D43" s="70">
        <f t="shared" si="0"/>
        <v>924000</v>
      </c>
    </row>
    <row r="44" spans="1:4" hidden="1" x14ac:dyDescent="0.25">
      <c r="A44" s="69" t="s">
        <v>596</v>
      </c>
      <c r="B44" s="76"/>
      <c r="C44" s="70"/>
      <c r="D44" s="70">
        <f t="shared" si="0"/>
        <v>0</v>
      </c>
    </row>
    <row r="45" spans="1:4" x14ac:dyDescent="0.25">
      <c r="A45" s="80" t="s">
        <v>597</v>
      </c>
      <c r="B45" s="76">
        <v>7</v>
      </c>
      <c r="C45" s="70">
        <v>14000</v>
      </c>
      <c r="D45" s="70">
        <f t="shared" si="0"/>
        <v>98000</v>
      </c>
    </row>
    <row r="46" spans="1:4" hidden="1" x14ac:dyDescent="0.25">
      <c r="A46" s="69" t="s">
        <v>598</v>
      </c>
      <c r="B46" s="76"/>
      <c r="C46" s="70"/>
      <c r="D46" s="70">
        <f t="shared" si="0"/>
        <v>0</v>
      </c>
    </row>
    <row r="47" spans="1:4" hidden="1" x14ac:dyDescent="0.25">
      <c r="A47" s="69" t="s">
        <v>599</v>
      </c>
      <c r="B47" s="76"/>
      <c r="C47" s="70"/>
      <c r="D47" s="70">
        <f t="shared" si="0"/>
        <v>0</v>
      </c>
    </row>
    <row r="48" spans="1:4" hidden="1" x14ac:dyDescent="0.25">
      <c r="A48" s="69" t="s">
        <v>562</v>
      </c>
      <c r="B48" s="76"/>
      <c r="C48" s="70"/>
      <c r="D48" s="70">
        <f t="shared" si="0"/>
        <v>0</v>
      </c>
    </row>
    <row r="49" spans="1:4" hidden="1" x14ac:dyDescent="0.25">
      <c r="A49" s="69" t="s">
        <v>600</v>
      </c>
      <c r="B49" s="76"/>
      <c r="C49" s="70"/>
      <c r="D49" s="70">
        <f t="shared" si="0"/>
        <v>0</v>
      </c>
    </row>
    <row r="50" spans="1:4" hidden="1" x14ac:dyDescent="0.25">
      <c r="A50" s="69" t="s">
        <v>600</v>
      </c>
      <c r="B50" s="76"/>
      <c r="C50" s="70"/>
      <c r="D50" s="70">
        <f t="shared" si="0"/>
        <v>0</v>
      </c>
    </row>
    <row r="51" spans="1:4" hidden="1" x14ac:dyDescent="0.25">
      <c r="A51" s="69" t="s">
        <v>601</v>
      </c>
      <c r="B51" s="76"/>
      <c r="C51" s="70"/>
      <c r="D51" s="70">
        <f t="shared" si="0"/>
        <v>0</v>
      </c>
    </row>
    <row r="52" spans="1:4" hidden="1" x14ac:dyDescent="0.25">
      <c r="A52" s="69" t="s">
        <v>602</v>
      </c>
      <c r="B52" s="76"/>
      <c r="C52" s="70"/>
      <c r="D52" s="70">
        <f t="shared" si="0"/>
        <v>0</v>
      </c>
    </row>
    <row r="53" spans="1:4" hidden="1" x14ac:dyDescent="0.25">
      <c r="A53" s="69" t="s">
        <v>602</v>
      </c>
      <c r="B53" s="76"/>
      <c r="C53" s="70"/>
      <c r="D53" s="70">
        <f t="shared" si="0"/>
        <v>0</v>
      </c>
    </row>
    <row r="54" spans="1:4" hidden="1" x14ac:dyDescent="0.25">
      <c r="A54" s="69" t="s">
        <v>603</v>
      </c>
      <c r="B54" s="76"/>
      <c r="C54" s="70"/>
      <c r="D54" s="70">
        <f t="shared" si="0"/>
        <v>0</v>
      </c>
    </row>
    <row r="55" spans="1:4" hidden="1" x14ac:dyDescent="0.25">
      <c r="A55" s="69" t="s">
        <v>604</v>
      </c>
      <c r="B55" s="76"/>
      <c r="C55" s="70"/>
      <c r="D55" s="70">
        <f t="shared" si="0"/>
        <v>0</v>
      </c>
    </row>
    <row r="56" spans="1:4" hidden="1" x14ac:dyDescent="0.25">
      <c r="A56" s="69" t="s">
        <v>605</v>
      </c>
      <c r="B56" s="76"/>
      <c r="C56" s="70"/>
      <c r="D56" s="70">
        <f t="shared" si="0"/>
        <v>0</v>
      </c>
    </row>
    <row r="57" spans="1:4" hidden="1" x14ac:dyDescent="0.25">
      <c r="A57" s="69" t="s">
        <v>606</v>
      </c>
      <c r="B57" s="76"/>
      <c r="C57" s="70"/>
      <c r="D57" s="70">
        <f t="shared" si="0"/>
        <v>0</v>
      </c>
    </row>
    <row r="58" spans="1:4" hidden="1" x14ac:dyDescent="0.25">
      <c r="A58" s="69" t="s">
        <v>607</v>
      </c>
      <c r="B58" s="76"/>
      <c r="C58" s="70"/>
      <c r="D58" s="70">
        <f t="shared" si="0"/>
        <v>0</v>
      </c>
    </row>
    <row r="59" spans="1:4" hidden="1" x14ac:dyDescent="0.25">
      <c r="A59" s="69" t="s">
        <v>565</v>
      </c>
      <c r="B59" s="76"/>
      <c r="C59" s="70"/>
      <c r="D59" s="70">
        <f t="shared" si="0"/>
        <v>0</v>
      </c>
    </row>
    <row r="60" spans="1:4" hidden="1" x14ac:dyDescent="0.25">
      <c r="A60" s="69" t="s">
        <v>608</v>
      </c>
      <c r="B60" s="76"/>
      <c r="C60" s="70"/>
      <c r="D60" s="70">
        <f t="shared" si="0"/>
        <v>0</v>
      </c>
    </row>
    <row r="61" spans="1:4" hidden="1" x14ac:dyDescent="0.25">
      <c r="A61" s="69" t="s">
        <v>608</v>
      </c>
      <c r="B61" s="76"/>
      <c r="C61" s="70"/>
      <c r="D61" s="70">
        <f t="shared" si="0"/>
        <v>0</v>
      </c>
    </row>
    <row r="62" spans="1:4" hidden="1" x14ac:dyDescent="0.25">
      <c r="A62" s="69" t="s">
        <v>609</v>
      </c>
      <c r="B62" s="76"/>
      <c r="C62" s="70"/>
      <c r="D62" s="70">
        <f t="shared" si="0"/>
        <v>0</v>
      </c>
    </row>
    <row r="63" spans="1:4" hidden="1" x14ac:dyDescent="0.25">
      <c r="A63" s="69" t="s">
        <v>610</v>
      </c>
      <c r="B63" s="76"/>
      <c r="C63" s="70"/>
      <c r="D63" s="70">
        <f t="shared" si="0"/>
        <v>0</v>
      </c>
    </row>
    <row r="64" spans="1:4" hidden="1" x14ac:dyDescent="0.25">
      <c r="A64" s="69" t="s">
        <v>611</v>
      </c>
      <c r="B64" s="76"/>
      <c r="C64" s="70"/>
      <c r="D64" s="70">
        <f t="shared" si="0"/>
        <v>0</v>
      </c>
    </row>
    <row r="65" spans="1:4" x14ac:dyDescent="0.25">
      <c r="A65" s="80" t="s">
        <v>612</v>
      </c>
      <c r="B65" s="76">
        <v>90</v>
      </c>
      <c r="C65" s="70">
        <v>10000</v>
      </c>
      <c r="D65" s="70">
        <f t="shared" si="0"/>
        <v>900000</v>
      </c>
    </row>
    <row r="66" spans="1:4" x14ac:dyDescent="0.25">
      <c r="A66" s="80" t="s">
        <v>613</v>
      </c>
      <c r="B66" s="76">
        <v>32</v>
      </c>
      <c r="C66" s="70">
        <v>6500</v>
      </c>
      <c r="D66" s="70">
        <f t="shared" si="0"/>
        <v>208000</v>
      </c>
    </row>
    <row r="67" spans="1:4" x14ac:dyDescent="0.25">
      <c r="A67" s="80" t="s">
        <v>614</v>
      </c>
      <c r="B67" s="76">
        <v>2960</v>
      </c>
      <c r="C67" s="70">
        <v>8000</v>
      </c>
      <c r="D67" s="70">
        <f t="shared" si="0"/>
        <v>23680000</v>
      </c>
    </row>
    <row r="68" spans="1:4" hidden="1" x14ac:dyDescent="0.25">
      <c r="A68" s="69" t="s">
        <v>615</v>
      </c>
      <c r="B68" s="76"/>
      <c r="C68" s="70"/>
      <c r="D68" s="70">
        <f t="shared" ref="D68:D131" si="1">B68*C68</f>
        <v>0</v>
      </c>
    </row>
    <row r="69" spans="1:4" hidden="1" x14ac:dyDescent="0.25">
      <c r="A69" s="69" t="s">
        <v>615</v>
      </c>
      <c r="B69" s="76"/>
      <c r="C69" s="70"/>
      <c r="D69" s="70">
        <f t="shared" si="1"/>
        <v>0</v>
      </c>
    </row>
    <row r="70" spans="1:4" x14ac:dyDescent="0.25">
      <c r="A70" s="80" t="s">
        <v>616</v>
      </c>
      <c r="B70" s="76">
        <v>59</v>
      </c>
      <c r="C70" s="70">
        <v>10500</v>
      </c>
      <c r="D70" s="70">
        <f t="shared" si="1"/>
        <v>619500</v>
      </c>
    </row>
    <row r="71" spans="1:4" hidden="1" x14ac:dyDescent="0.25">
      <c r="A71" s="69" t="s">
        <v>616</v>
      </c>
      <c r="B71" s="76"/>
      <c r="C71" s="70"/>
      <c r="D71" s="70">
        <f t="shared" si="1"/>
        <v>0</v>
      </c>
    </row>
    <row r="72" spans="1:4" x14ac:dyDescent="0.25">
      <c r="A72" s="80" t="s">
        <v>617</v>
      </c>
      <c r="B72" s="76">
        <v>75</v>
      </c>
      <c r="C72" s="70">
        <v>22000</v>
      </c>
      <c r="D72" s="70">
        <f t="shared" si="1"/>
        <v>1650000</v>
      </c>
    </row>
    <row r="73" spans="1:4" hidden="1" x14ac:dyDescent="0.25">
      <c r="A73" s="69" t="s">
        <v>617</v>
      </c>
      <c r="B73" s="76"/>
      <c r="C73" s="70"/>
      <c r="D73" s="70">
        <f t="shared" si="1"/>
        <v>0</v>
      </c>
    </row>
    <row r="74" spans="1:4" x14ac:dyDescent="0.25">
      <c r="A74" s="80" t="s">
        <v>618</v>
      </c>
      <c r="B74" s="76">
        <v>24</v>
      </c>
      <c r="C74" s="70">
        <v>22000</v>
      </c>
      <c r="D74" s="70">
        <f t="shared" si="1"/>
        <v>528000</v>
      </c>
    </row>
    <row r="75" spans="1:4" hidden="1" x14ac:dyDescent="0.25">
      <c r="A75" s="69" t="s">
        <v>619</v>
      </c>
      <c r="B75" s="76"/>
      <c r="C75" s="70"/>
      <c r="D75" s="70">
        <f t="shared" si="1"/>
        <v>0</v>
      </c>
    </row>
    <row r="76" spans="1:4" x14ac:dyDescent="0.25">
      <c r="A76" s="80" t="s">
        <v>620</v>
      </c>
      <c r="B76" s="76">
        <v>165</v>
      </c>
      <c r="C76" s="70">
        <v>10500</v>
      </c>
      <c r="D76" s="70">
        <f t="shared" si="1"/>
        <v>1732500</v>
      </c>
    </row>
    <row r="77" spans="1:4" hidden="1" x14ac:dyDescent="0.25">
      <c r="A77" s="69" t="s">
        <v>621</v>
      </c>
      <c r="B77" s="76"/>
      <c r="C77" s="70"/>
      <c r="D77" s="70">
        <f t="shared" si="1"/>
        <v>0</v>
      </c>
    </row>
    <row r="78" spans="1:4" hidden="1" x14ac:dyDescent="0.25">
      <c r="A78" s="69" t="s">
        <v>622</v>
      </c>
      <c r="B78" s="76"/>
      <c r="C78" s="70"/>
      <c r="D78" s="70">
        <f t="shared" si="1"/>
        <v>0</v>
      </c>
    </row>
    <row r="79" spans="1:4" hidden="1" x14ac:dyDescent="0.25">
      <c r="A79" s="69" t="s">
        <v>623</v>
      </c>
      <c r="B79" s="76"/>
      <c r="C79" s="70"/>
      <c r="D79" s="70">
        <f t="shared" si="1"/>
        <v>0</v>
      </c>
    </row>
    <row r="80" spans="1:4" x14ac:dyDescent="0.25">
      <c r="A80" s="80" t="s">
        <v>624</v>
      </c>
      <c r="B80" s="76">
        <v>830</v>
      </c>
      <c r="C80" s="70">
        <v>23000</v>
      </c>
      <c r="D80" s="70">
        <f t="shared" si="1"/>
        <v>19090000</v>
      </c>
    </row>
    <row r="81" spans="1:4" hidden="1" x14ac:dyDescent="0.25">
      <c r="A81" s="69" t="s">
        <v>624</v>
      </c>
      <c r="B81" s="76"/>
      <c r="C81" s="70"/>
      <c r="D81" s="70">
        <f t="shared" si="1"/>
        <v>0</v>
      </c>
    </row>
    <row r="82" spans="1:4" hidden="1" x14ac:dyDescent="0.25">
      <c r="A82" s="69" t="s">
        <v>624</v>
      </c>
      <c r="B82" s="76"/>
      <c r="C82" s="70"/>
      <c r="D82" s="70">
        <f t="shared" si="1"/>
        <v>0</v>
      </c>
    </row>
    <row r="83" spans="1:4" x14ac:dyDescent="0.25">
      <c r="A83" s="80" t="s">
        <v>625</v>
      </c>
      <c r="B83" s="76">
        <v>70</v>
      </c>
      <c r="C83" s="70">
        <v>21000</v>
      </c>
      <c r="D83" s="70">
        <f t="shared" si="1"/>
        <v>1470000</v>
      </c>
    </row>
    <row r="84" spans="1:4" x14ac:dyDescent="0.25">
      <c r="A84" s="80" t="s">
        <v>626</v>
      </c>
      <c r="B84" s="76">
        <v>5</v>
      </c>
      <c r="C84" s="70">
        <v>9000</v>
      </c>
      <c r="D84" s="70">
        <f t="shared" si="1"/>
        <v>45000</v>
      </c>
    </row>
    <row r="85" spans="1:4" hidden="1" x14ac:dyDescent="0.25">
      <c r="A85" s="69" t="s">
        <v>627</v>
      </c>
      <c r="B85" s="76"/>
      <c r="C85" s="70"/>
      <c r="D85" s="70">
        <f t="shared" si="1"/>
        <v>0</v>
      </c>
    </row>
    <row r="86" spans="1:4" hidden="1" x14ac:dyDescent="0.25">
      <c r="A86" s="69" t="s">
        <v>628</v>
      </c>
      <c r="B86" s="76"/>
      <c r="C86" s="70"/>
      <c r="D86" s="70">
        <f t="shared" si="1"/>
        <v>0</v>
      </c>
    </row>
    <row r="87" spans="1:4" hidden="1" x14ac:dyDescent="0.25">
      <c r="A87" s="69" t="s">
        <v>628</v>
      </c>
      <c r="B87" s="76"/>
      <c r="C87" s="70"/>
      <c r="D87" s="70">
        <f t="shared" si="1"/>
        <v>0</v>
      </c>
    </row>
    <row r="88" spans="1:4" hidden="1" x14ac:dyDescent="0.25">
      <c r="A88" s="69" t="s">
        <v>629</v>
      </c>
      <c r="B88" s="76"/>
      <c r="C88" s="70"/>
      <c r="D88" s="70">
        <f t="shared" si="1"/>
        <v>0</v>
      </c>
    </row>
    <row r="89" spans="1:4" hidden="1" x14ac:dyDescent="0.25">
      <c r="A89" s="69" t="s">
        <v>630</v>
      </c>
      <c r="B89" s="76"/>
      <c r="C89" s="70"/>
      <c r="D89" s="70">
        <f t="shared" si="1"/>
        <v>0</v>
      </c>
    </row>
    <row r="90" spans="1:4" hidden="1" x14ac:dyDescent="0.25">
      <c r="A90" s="69" t="s">
        <v>631</v>
      </c>
      <c r="B90" s="76"/>
      <c r="C90" s="70"/>
      <c r="D90" s="70">
        <f t="shared" si="1"/>
        <v>0</v>
      </c>
    </row>
    <row r="91" spans="1:4" hidden="1" x14ac:dyDescent="0.25">
      <c r="A91" s="69" t="s">
        <v>632</v>
      </c>
      <c r="B91" s="76"/>
      <c r="C91" s="70"/>
      <c r="D91" s="70">
        <f t="shared" si="1"/>
        <v>0</v>
      </c>
    </row>
    <row r="92" spans="1:4" hidden="1" x14ac:dyDescent="0.25">
      <c r="A92" s="69" t="s">
        <v>633</v>
      </c>
      <c r="B92" s="76"/>
      <c r="C92" s="70"/>
      <c r="D92" s="70">
        <f t="shared" si="1"/>
        <v>0</v>
      </c>
    </row>
    <row r="93" spans="1:4" hidden="1" x14ac:dyDescent="0.25">
      <c r="A93" s="69" t="s">
        <v>633</v>
      </c>
      <c r="B93" s="76"/>
      <c r="C93" s="70"/>
      <c r="D93" s="70">
        <f t="shared" si="1"/>
        <v>0</v>
      </c>
    </row>
    <row r="94" spans="1:4" hidden="1" x14ac:dyDescent="0.25">
      <c r="A94" s="69" t="s">
        <v>634</v>
      </c>
      <c r="B94" s="76"/>
      <c r="C94" s="70"/>
      <c r="D94" s="70">
        <f t="shared" si="1"/>
        <v>0</v>
      </c>
    </row>
    <row r="95" spans="1:4" hidden="1" x14ac:dyDescent="0.25">
      <c r="A95" s="69" t="s">
        <v>635</v>
      </c>
      <c r="B95" s="76"/>
      <c r="C95" s="70"/>
      <c r="D95" s="70">
        <f t="shared" si="1"/>
        <v>0</v>
      </c>
    </row>
    <row r="96" spans="1:4" hidden="1" x14ac:dyDescent="0.25">
      <c r="A96" s="69" t="s">
        <v>636</v>
      </c>
      <c r="B96" s="76"/>
      <c r="C96" s="70"/>
      <c r="D96" s="70">
        <f t="shared" si="1"/>
        <v>0</v>
      </c>
    </row>
    <row r="97" spans="1:4" x14ac:dyDescent="0.25">
      <c r="A97" s="80" t="s">
        <v>637</v>
      </c>
      <c r="B97" s="76">
        <v>20</v>
      </c>
      <c r="C97" s="70">
        <v>14000</v>
      </c>
      <c r="D97" s="70">
        <f t="shared" si="1"/>
        <v>280000</v>
      </c>
    </row>
    <row r="98" spans="1:4" hidden="1" x14ac:dyDescent="0.25">
      <c r="A98" s="69" t="s">
        <v>637</v>
      </c>
      <c r="B98" s="76"/>
      <c r="C98" s="70"/>
      <c r="D98" s="70">
        <f t="shared" si="1"/>
        <v>0</v>
      </c>
    </row>
    <row r="99" spans="1:4" hidden="1" x14ac:dyDescent="0.25">
      <c r="A99" s="69" t="s">
        <v>638</v>
      </c>
      <c r="B99" s="76"/>
      <c r="C99" s="70"/>
      <c r="D99" s="70">
        <f t="shared" si="1"/>
        <v>0</v>
      </c>
    </row>
    <row r="100" spans="1:4" hidden="1" x14ac:dyDescent="0.25">
      <c r="A100" s="69" t="s">
        <v>639</v>
      </c>
      <c r="B100" s="76"/>
      <c r="C100" s="70"/>
      <c r="D100" s="70">
        <f t="shared" si="1"/>
        <v>0</v>
      </c>
    </row>
    <row r="101" spans="1:4" hidden="1" x14ac:dyDescent="0.25">
      <c r="A101" s="69" t="s">
        <v>639</v>
      </c>
      <c r="B101" s="76"/>
      <c r="C101" s="70"/>
      <c r="D101" s="70">
        <f t="shared" si="1"/>
        <v>0</v>
      </c>
    </row>
    <row r="102" spans="1:4" x14ac:dyDescent="0.25">
      <c r="A102" s="80" t="s">
        <v>640</v>
      </c>
      <c r="B102" s="76">
        <v>350</v>
      </c>
      <c r="C102" s="70">
        <v>22000</v>
      </c>
      <c r="D102" s="70">
        <f t="shared" si="1"/>
        <v>7700000</v>
      </c>
    </row>
    <row r="103" spans="1:4" hidden="1" x14ac:dyDescent="0.25">
      <c r="A103" s="69" t="s">
        <v>640</v>
      </c>
      <c r="B103" s="76"/>
      <c r="C103" s="70"/>
      <c r="D103" s="70">
        <f t="shared" si="1"/>
        <v>0</v>
      </c>
    </row>
    <row r="104" spans="1:4" hidden="1" x14ac:dyDescent="0.25">
      <c r="A104" s="69" t="s">
        <v>641</v>
      </c>
      <c r="B104" s="76"/>
      <c r="C104" s="70"/>
      <c r="D104" s="70">
        <f t="shared" si="1"/>
        <v>0</v>
      </c>
    </row>
    <row r="105" spans="1:4" hidden="1" x14ac:dyDescent="0.25">
      <c r="A105" s="69" t="s">
        <v>641</v>
      </c>
      <c r="B105" s="76"/>
      <c r="C105" s="70"/>
      <c r="D105" s="70">
        <f t="shared" si="1"/>
        <v>0</v>
      </c>
    </row>
    <row r="106" spans="1:4" x14ac:dyDescent="0.25">
      <c r="A106" s="80" t="s">
        <v>642</v>
      </c>
      <c r="B106" s="76">
        <v>128</v>
      </c>
      <c r="C106" s="70">
        <v>20000</v>
      </c>
      <c r="D106" s="70">
        <f t="shared" si="1"/>
        <v>2560000</v>
      </c>
    </row>
    <row r="107" spans="1:4" hidden="1" x14ac:dyDescent="0.25">
      <c r="A107" s="69" t="s">
        <v>642</v>
      </c>
      <c r="B107" s="76"/>
      <c r="C107" s="70"/>
      <c r="D107" s="70">
        <f t="shared" si="1"/>
        <v>0</v>
      </c>
    </row>
    <row r="108" spans="1:4" x14ac:dyDescent="0.25">
      <c r="A108" s="80" t="s">
        <v>643</v>
      </c>
      <c r="B108" s="76">
        <v>95</v>
      </c>
      <c r="C108" s="70">
        <v>22000</v>
      </c>
      <c r="D108" s="70">
        <f t="shared" si="1"/>
        <v>2090000</v>
      </c>
    </row>
    <row r="109" spans="1:4" hidden="1" x14ac:dyDescent="0.25">
      <c r="A109" s="69" t="s">
        <v>643</v>
      </c>
      <c r="B109" s="76"/>
      <c r="C109" s="70"/>
      <c r="D109" s="70">
        <f t="shared" si="1"/>
        <v>0</v>
      </c>
    </row>
    <row r="110" spans="1:4" hidden="1" x14ac:dyDescent="0.25">
      <c r="A110" s="69" t="s">
        <v>644</v>
      </c>
      <c r="B110" s="76"/>
      <c r="C110" s="70"/>
      <c r="D110" s="70">
        <f t="shared" si="1"/>
        <v>0</v>
      </c>
    </row>
    <row r="111" spans="1:4" hidden="1" x14ac:dyDescent="0.25">
      <c r="A111" s="69" t="s">
        <v>645</v>
      </c>
      <c r="B111" s="76"/>
      <c r="C111" s="70"/>
      <c r="D111" s="70">
        <f t="shared" si="1"/>
        <v>0</v>
      </c>
    </row>
    <row r="112" spans="1:4" hidden="1" x14ac:dyDescent="0.25">
      <c r="A112" s="69" t="s">
        <v>645</v>
      </c>
      <c r="B112" s="76"/>
      <c r="C112" s="70"/>
      <c r="D112" s="70">
        <f t="shared" si="1"/>
        <v>0</v>
      </c>
    </row>
    <row r="113" spans="1:4" x14ac:dyDescent="0.25">
      <c r="A113" s="80" t="s">
        <v>646</v>
      </c>
      <c r="B113" s="76">
        <v>115</v>
      </c>
      <c r="C113" s="70">
        <v>5500</v>
      </c>
      <c r="D113" s="70">
        <f t="shared" si="1"/>
        <v>632500</v>
      </c>
    </row>
    <row r="114" spans="1:4" hidden="1" x14ac:dyDescent="0.25">
      <c r="A114" s="69" t="s">
        <v>647</v>
      </c>
      <c r="B114" s="76"/>
      <c r="C114" s="70"/>
      <c r="D114" s="70">
        <f t="shared" si="1"/>
        <v>0</v>
      </c>
    </row>
    <row r="115" spans="1:4" hidden="1" x14ac:dyDescent="0.25">
      <c r="A115" s="69" t="s">
        <v>648</v>
      </c>
      <c r="B115" s="76"/>
      <c r="C115" s="70"/>
      <c r="D115" s="70">
        <f t="shared" si="1"/>
        <v>0</v>
      </c>
    </row>
    <row r="116" spans="1:4" hidden="1" x14ac:dyDescent="0.25">
      <c r="A116" s="69" t="s">
        <v>649</v>
      </c>
      <c r="B116" s="76"/>
      <c r="C116" s="70"/>
      <c r="D116" s="70">
        <f t="shared" si="1"/>
        <v>0</v>
      </c>
    </row>
    <row r="117" spans="1:4" hidden="1" x14ac:dyDescent="0.25">
      <c r="A117" s="69" t="s">
        <v>650</v>
      </c>
      <c r="B117" s="76"/>
      <c r="C117" s="70"/>
      <c r="D117" s="70">
        <f t="shared" si="1"/>
        <v>0</v>
      </c>
    </row>
    <row r="118" spans="1:4" x14ac:dyDescent="0.25">
      <c r="A118" s="80" t="s">
        <v>651</v>
      </c>
      <c r="B118" s="76">
        <v>70</v>
      </c>
      <c r="C118" s="70">
        <v>14000</v>
      </c>
      <c r="D118" s="70">
        <f t="shared" si="1"/>
        <v>980000</v>
      </c>
    </row>
    <row r="119" spans="1:4" hidden="1" x14ac:dyDescent="0.25">
      <c r="A119" s="69" t="s">
        <v>563</v>
      </c>
      <c r="B119" s="76"/>
      <c r="C119" s="70"/>
      <c r="D119" s="70">
        <f t="shared" si="1"/>
        <v>0</v>
      </c>
    </row>
    <row r="120" spans="1:4" hidden="1" x14ac:dyDescent="0.25">
      <c r="A120" s="69" t="s">
        <v>652</v>
      </c>
      <c r="B120" s="76"/>
      <c r="C120" s="70"/>
      <c r="D120" s="70">
        <f t="shared" si="1"/>
        <v>0</v>
      </c>
    </row>
    <row r="121" spans="1:4" hidden="1" x14ac:dyDescent="0.25">
      <c r="A121" s="69" t="s">
        <v>653</v>
      </c>
      <c r="B121" s="76"/>
      <c r="C121" s="70"/>
      <c r="D121" s="70">
        <f t="shared" si="1"/>
        <v>0</v>
      </c>
    </row>
    <row r="122" spans="1:4" hidden="1" x14ac:dyDescent="0.25">
      <c r="A122" s="69" t="s">
        <v>654</v>
      </c>
      <c r="B122" s="76"/>
      <c r="C122" s="70"/>
      <c r="D122" s="70">
        <f t="shared" si="1"/>
        <v>0</v>
      </c>
    </row>
    <row r="123" spans="1:4" x14ac:dyDescent="0.25">
      <c r="A123" s="80" t="s">
        <v>655</v>
      </c>
      <c r="B123" s="76">
        <v>50</v>
      </c>
      <c r="C123" s="70">
        <v>11000</v>
      </c>
      <c r="D123" s="70">
        <f t="shared" si="1"/>
        <v>550000</v>
      </c>
    </row>
    <row r="124" spans="1:4" hidden="1" x14ac:dyDescent="0.25">
      <c r="A124" s="69" t="s">
        <v>656</v>
      </c>
      <c r="B124" s="76"/>
      <c r="C124" s="70"/>
      <c r="D124" s="70">
        <f t="shared" si="1"/>
        <v>0</v>
      </c>
    </row>
    <row r="125" spans="1:4" hidden="1" x14ac:dyDescent="0.25">
      <c r="A125" s="69" t="s">
        <v>657</v>
      </c>
      <c r="B125" s="76"/>
      <c r="C125" s="70"/>
      <c r="D125" s="70">
        <f t="shared" si="1"/>
        <v>0</v>
      </c>
    </row>
    <row r="126" spans="1:4" hidden="1" x14ac:dyDescent="0.25">
      <c r="A126" s="69" t="s">
        <v>658</v>
      </c>
      <c r="B126" s="76"/>
      <c r="C126" s="70"/>
      <c r="D126" s="70">
        <f t="shared" si="1"/>
        <v>0</v>
      </c>
    </row>
    <row r="127" spans="1:4" hidden="1" x14ac:dyDescent="0.25">
      <c r="A127" s="69" t="s">
        <v>659</v>
      </c>
      <c r="B127" s="76"/>
      <c r="C127" s="70"/>
      <c r="D127" s="70">
        <f t="shared" si="1"/>
        <v>0</v>
      </c>
    </row>
    <row r="128" spans="1:4" hidden="1" x14ac:dyDescent="0.25">
      <c r="A128" s="69" t="s">
        <v>660</v>
      </c>
      <c r="B128" s="76"/>
      <c r="C128" s="70"/>
      <c r="D128" s="70">
        <f t="shared" si="1"/>
        <v>0</v>
      </c>
    </row>
    <row r="129" spans="1:4" hidden="1" x14ac:dyDescent="0.25">
      <c r="A129" s="69" t="s">
        <v>661</v>
      </c>
      <c r="B129" s="76"/>
      <c r="C129" s="70"/>
      <c r="D129" s="70">
        <f t="shared" si="1"/>
        <v>0</v>
      </c>
    </row>
    <row r="130" spans="1:4" hidden="1" x14ac:dyDescent="0.25">
      <c r="A130" s="69" t="s">
        <v>662</v>
      </c>
      <c r="B130" s="76"/>
      <c r="C130" s="70"/>
      <c r="D130" s="70">
        <f t="shared" si="1"/>
        <v>0</v>
      </c>
    </row>
    <row r="131" spans="1:4" hidden="1" x14ac:dyDescent="0.25">
      <c r="A131" s="69" t="s">
        <v>663</v>
      </c>
      <c r="B131" s="76"/>
      <c r="C131" s="70"/>
      <c r="D131" s="70">
        <f t="shared" si="1"/>
        <v>0</v>
      </c>
    </row>
    <row r="132" spans="1:4" hidden="1" x14ac:dyDescent="0.25">
      <c r="A132" s="69" t="s">
        <v>664</v>
      </c>
      <c r="B132" s="76"/>
      <c r="C132" s="70"/>
      <c r="D132" s="70">
        <f t="shared" ref="D132:D182" si="2">B132*C132</f>
        <v>0</v>
      </c>
    </row>
    <row r="133" spans="1:4" hidden="1" x14ac:dyDescent="0.25">
      <c r="A133" s="69" t="s">
        <v>665</v>
      </c>
      <c r="B133" s="76"/>
      <c r="C133" s="70"/>
      <c r="D133" s="70">
        <f t="shared" si="2"/>
        <v>0</v>
      </c>
    </row>
    <row r="134" spans="1:4" x14ac:dyDescent="0.25">
      <c r="A134" s="80" t="s">
        <v>666</v>
      </c>
      <c r="B134" s="76">
        <v>365</v>
      </c>
      <c r="C134" s="70">
        <v>19000</v>
      </c>
      <c r="D134" s="70">
        <f t="shared" si="2"/>
        <v>6935000</v>
      </c>
    </row>
    <row r="135" spans="1:4" hidden="1" x14ac:dyDescent="0.25">
      <c r="A135" s="69" t="s">
        <v>667</v>
      </c>
      <c r="B135" s="76"/>
      <c r="C135" s="70"/>
      <c r="D135" s="70">
        <f t="shared" si="2"/>
        <v>0</v>
      </c>
    </row>
    <row r="136" spans="1:4" hidden="1" x14ac:dyDescent="0.25">
      <c r="A136" s="69" t="s">
        <v>668</v>
      </c>
      <c r="B136" s="76"/>
      <c r="C136" s="70"/>
      <c r="D136" s="70">
        <f t="shared" si="2"/>
        <v>0</v>
      </c>
    </row>
    <row r="137" spans="1:4" hidden="1" x14ac:dyDescent="0.25">
      <c r="C137" s="70"/>
      <c r="D137" s="70">
        <f t="shared" si="2"/>
        <v>0</v>
      </c>
    </row>
    <row r="138" spans="1:4" hidden="1" x14ac:dyDescent="0.25">
      <c r="A138" t="s">
        <v>566</v>
      </c>
      <c r="C138" s="70"/>
      <c r="D138" s="70">
        <f t="shared" si="2"/>
        <v>0</v>
      </c>
    </row>
    <row r="139" spans="1:4" hidden="1" x14ac:dyDescent="0.25">
      <c r="A139" t="s">
        <v>669</v>
      </c>
      <c r="C139" s="70"/>
      <c r="D139" s="70">
        <f t="shared" si="2"/>
        <v>0</v>
      </c>
    </row>
    <row r="140" spans="1:4" hidden="1" x14ac:dyDescent="0.25">
      <c r="A140" t="s">
        <v>570</v>
      </c>
      <c r="C140" s="70"/>
      <c r="D140" s="70">
        <f t="shared" si="2"/>
        <v>0</v>
      </c>
    </row>
    <row r="141" spans="1:4" hidden="1" x14ac:dyDescent="0.25">
      <c r="A141" t="s">
        <v>571</v>
      </c>
      <c r="C141" s="70"/>
      <c r="D141" s="70">
        <f t="shared" si="2"/>
        <v>0</v>
      </c>
    </row>
    <row r="142" spans="1:4" hidden="1" x14ac:dyDescent="0.25">
      <c r="A142" t="s">
        <v>573</v>
      </c>
      <c r="C142" s="70"/>
      <c r="D142" s="70">
        <f t="shared" si="2"/>
        <v>0</v>
      </c>
    </row>
    <row r="143" spans="1:4" hidden="1" x14ac:dyDescent="0.25">
      <c r="A143" t="s">
        <v>576</v>
      </c>
      <c r="C143" s="70"/>
      <c r="D143" s="70">
        <f t="shared" si="2"/>
        <v>0</v>
      </c>
    </row>
    <row r="144" spans="1:4" hidden="1" x14ac:dyDescent="0.25">
      <c r="A144" t="s">
        <v>577</v>
      </c>
      <c r="C144" s="70"/>
      <c r="D144" s="70">
        <f t="shared" si="2"/>
        <v>0</v>
      </c>
    </row>
    <row r="145" spans="1:4" hidden="1" x14ac:dyDescent="0.25">
      <c r="A145" t="s">
        <v>579</v>
      </c>
      <c r="C145" s="70"/>
      <c r="D145" s="70">
        <f t="shared" si="2"/>
        <v>0</v>
      </c>
    </row>
    <row r="146" spans="1:4" hidden="1" x14ac:dyDescent="0.25">
      <c r="A146" t="s">
        <v>580</v>
      </c>
      <c r="C146" s="70"/>
      <c r="D146" s="70">
        <f t="shared" si="2"/>
        <v>0</v>
      </c>
    </row>
    <row r="147" spans="1:4" hidden="1" x14ac:dyDescent="0.25">
      <c r="A147" t="s">
        <v>581</v>
      </c>
      <c r="C147" s="70"/>
      <c r="D147" s="70">
        <f t="shared" si="2"/>
        <v>0</v>
      </c>
    </row>
    <row r="148" spans="1:4" hidden="1" x14ac:dyDescent="0.25">
      <c r="A148" t="s">
        <v>670</v>
      </c>
      <c r="C148" s="70"/>
      <c r="D148" s="70">
        <f t="shared" si="2"/>
        <v>0</v>
      </c>
    </row>
    <row r="149" spans="1:4" hidden="1" x14ac:dyDescent="0.25">
      <c r="A149" t="s">
        <v>582</v>
      </c>
      <c r="C149" s="70"/>
      <c r="D149" s="70">
        <f t="shared" si="2"/>
        <v>0</v>
      </c>
    </row>
    <row r="150" spans="1:4" hidden="1" x14ac:dyDescent="0.25">
      <c r="A150" t="s">
        <v>586</v>
      </c>
      <c r="C150" s="70"/>
      <c r="D150" s="70">
        <f t="shared" si="2"/>
        <v>0</v>
      </c>
    </row>
    <row r="151" spans="1:4" hidden="1" x14ac:dyDescent="0.25">
      <c r="A151" t="s">
        <v>587</v>
      </c>
      <c r="C151" s="70"/>
      <c r="D151" s="70">
        <f t="shared" si="2"/>
        <v>0</v>
      </c>
    </row>
    <row r="152" spans="1:4" hidden="1" x14ac:dyDescent="0.25">
      <c r="A152" t="s">
        <v>588</v>
      </c>
      <c r="C152" s="70"/>
      <c r="D152" s="70">
        <f t="shared" si="2"/>
        <v>0</v>
      </c>
    </row>
    <row r="153" spans="1:4" hidden="1" x14ac:dyDescent="0.25">
      <c r="A153" t="s">
        <v>593</v>
      </c>
      <c r="C153" s="70"/>
      <c r="D153" s="70">
        <f t="shared" si="2"/>
        <v>0</v>
      </c>
    </row>
    <row r="154" spans="1:4" hidden="1" x14ac:dyDescent="0.25">
      <c r="A154" t="s">
        <v>594</v>
      </c>
      <c r="C154" s="70"/>
      <c r="D154" s="70">
        <f t="shared" si="2"/>
        <v>0</v>
      </c>
    </row>
    <row r="155" spans="1:4" hidden="1" x14ac:dyDescent="0.25">
      <c r="A155" t="s">
        <v>595</v>
      </c>
      <c r="C155" s="70"/>
      <c r="D155" s="70">
        <f t="shared" si="2"/>
        <v>0</v>
      </c>
    </row>
    <row r="156" spans="1:4" hidden="1" x14ac:dyDescent="0.25">
      <c r="A156" t="s">
        <v>604</v>
      </c>
      <c r="C156" s="70"/>
      <c r="D156" s="70">
        <f t="shared" si="2"/>
        <v>0</v>
      </c>
    </row>
    <row r="157" spans="1:4" hidden="1" x14ac:dyDescent="0.25">
      <c r="A157" t="s">
        <v>606</v>
      </c>
      <c r="C157" s="70"/>
      <c r="D157" s="70">
        <f t="shared" si="2"/>
        <v>0</v>
      </c>
    </row>
    <row r="158" spans="1:4" hidden="1" x14ac:dyDescent="0.25">
      <c r="A158" t="s">
        <v>610</v>
      </c>
      <c r="C158" s="70"/>
      <c r="D158" s="70">
        <f t="shared" si="2"/>
        <v>0</v>
      </c>
    </row>
    <row r="159" spans="1:4" hidden="1" x14ac:dyDescent="0.25">
      <c r="A159" t="s">
        <v>612</v>
      </c>
      <c r="C159" s="70"/>
      <c r="D159" s="70">
        <f t="shared" si="2"/>
        <v>0</v>
      </c>
    </row>
    <row r="160" spans="1:4" hidden="1" x14ac:dyDescent="0.25">
      <c r="A160" t="s">
        <v>614</v>
      </c>
      <c r="C160" s="70"/>
      <c r="D160" s="70">
        <f t="shared" si="2"/>
        <v>0</v>
      </c>
    </row>
    <row r="161" spans="1:4" hidden="1" x14ac:dyDescent="0.25">
      <c r="A161" t="s">
        <v>615</v>
      </c>
      <c r="C161" s="70"/>
      <c r="D161" s="70">
        <f t="shared" si="2"/>
        <v>0</v>
      </c>
    </row>
    <row r="162" spans="1:4" hidden="1" x14ac:dyDescent="0.25">
      <c r="A162" t="s">
        <v>617</v>
      </c>
      <c r="C162" s="70"/>
      <c r="D162" s="70">
        <f t="shared" si="2"/>
        <v>0</v>
      </c>
    </row>
    <row r="163" spans="1:4" x14ac:dyDescent="0.25">
      <c r="C163" s="70"/>
      <c r="D163" s="79">
        <f>SUM(D3:D134)</f>
        <v>139991500</v>
      </c>
    </row>
    <row r="164" spans="1:4" x14ac:dyDescent="0.25">
      <c r="A164" s="77" t="s">
        <v>677</v>
      </c>
      <c r="C164" s="79" t="s">
        <v>368</v>
      </c>
      <c r="D164" s="79" t="s">
        <v>369</v>
      </c>
    </row>
    <row r="165" spans="1:4" x14ac:dyDescent="0.25">
      <c r="A165" t="s">
        <v>620</v>
      </c>
      <c r="B165">
        <v>5</v>
      </c>
      <c r="C165" s="70">
        <v>10500</v>
      </c>
      <c r="D165" s="70">
        <f t="shared" si="2"/>
        <v>52500</v>
      </c>
    </row>
    <row r="166" spans="1:4" hidden="1" x14ac:dyDescent="0.25">
      <c r="A166" t="s">
        <v>624</v>
      </c>
      <c r="C166" s="70"/>
      <c r="D166" s="70">
        <f t="shared" si="2"/>
        <v>0</v>
      </c>
    </row>
    <row r="167" spans="1:4" hidden="1" x14ac:dyDescent="0.25">
      <c r="A167" t="s">
        <v>626</v>
      </c>
      <c r="C167" s="70"/>
      <c r="D167" s="70">
        <f t="shared" si="2"/>
        <v>0</v>
      </c>
    </row>
    <row r="168" spans="1:4" hidden="1" x14ac:dyDescent="0.25">
      <c r="A168" t="s">
        <v>631</v>
      </c>
      <c r="C168" s="70"/>
      <c r="D168" s="70">
        <f t="shared" si="2"/>
        <v>0</v>
      </c>
    </row>
    <row r="169" spans="1:4" hidden="1" x14ac:dyDescent="0.25">
      <c r="A169" t="s">
        <v>632</v>
      </c>
      <c r="C169" s="70"/>
      <c r="D169" s="70">
        <f t="shared" si="2"/>
        <v>0</v>
      </c>
    </row>
    <row r="170" spans="1:4" hidden="1" x14ac:dyDescent="0.25">
      <c r="A170" t="s">
        <v>636</v>
      </c>
      <c r="C170" s="70"/>
      <c r="D170" s="70">
        <f t="shared" si="2"/>
        <v>0</v>
      </c>
    </row>
    <row r="171" spans="1:4" hidden="1" x14ac:dyDescent="0.25">
      <c r="A171" t="s">
        <v>640</v>
      </c>
      <c r="C171" s="70"/>
      <c r="D171" s="70">
        <f t="shared" si="2"/>
        <v>0</v>
      </c>
    </row>
    <row r="172" spans="1:4" hidden="1" x14ac:dyDescent="0.25">
      <c r="A172" t="s">
        <v>642</v>
      </c>
      <c r="C172" s="70"/>
      <c r="D172" s="70">
        <f t="shared" si="2"/>
        <v>0</v>
      </c>
    </row>
    <row r="173" spans="1:4" hidden="1" x14ac:dyDescent="0.25">
      <c r="A173" t="s">
        <v>643</v>
      </c>
      <c r="C173" s="70"/>
      <c r="D173" s="70">
        <f t="shared" si="2"/>
        <v>0</v>
      </c>
    </row>
    <row r="174" spans="1:4" hidden="1" x14ac:dyDescent="0.25">
      <c r="A174" t="s">
        <v>646</v>
      </c>
      <c r="C174" s="70"/>
      <c r="D174" s="70">
        <f t="shared" si="2"/>
        <v>0</v>
      </c>
    </row>
    <row r="175" spans="1:4" hidden="1" x14ac:dyDescent="0.25">
      <c r="A175" t="s">
        <v>651</v>
      </c>
      <c r="C175" s="70"/>
      <c r="D175" s="70">
        <f t="shared" si="2"/>
        <v>0</v>
      </c>
    </row>
    <row r="176" spans="1:4" x14ac:dyDescent="0.25">
      <c r="A176" t="s">
        <v>671</v>
      </c>
      <c r="B176">
        <v>6</v>
      </c>
      <c r="C176" s="70">
        <v>22000</v>
      </c>
      <c r="D176" s="70">
        <f t="shared" si="2"/>
        <v>132000</v>
      </c>
    </row>
    <row r="177" spans="1:13" x14ac:dyDescent="0.25">
      <c r="A177" t="s">
        <v>672</v>
      </c>
      <c r="B177">
        <v>15</v>
      </c>
      <c r="C177" s="70">
        <v>15000</v>
      </c>
      <c r="D177" s="70">
        <f t="shared" si="2"/>
        <v>225000</v>
      </c>
    </row>
    <row r="178" spans="1:13" hidden="1" x14ac:dyDescent="0.25">
      <c r="A178" t="s">
        <v>664</v>
      </c>
      <c r="C178" s="70"/>
      <c r="D178" s="70">
        <f t="shared" si="2"/>
        <v>0</v>
      </c>
    </row>
    <row r="179" spans="1:13" hidden="1" x14ac:dyDescent="0.25">
      <c r="A179" t="s">
        <v>673</v>
      </c>
      <c r="C179" s="70"/>
      <c r="D179" s="70">
        <f t="shared" si="2"/>
        <v>0</v>
      </c>
    </row>
    <row r="180" spans="1:13" hidden="1" x14ac:dyDescent="0.25">
      <c r="A180" t="s">
        <v>674</v>
      </c>
      <c r="C180" s="70"/>
      <c r="D180" s="70">
        <f t="shared" si="2"/>
        <v>0</v>
      </c>
    </row>
    <row r="181" spans="1:13" hidden="1" x14ac:dyDescent="0.25">
      <c r="C181" s="70"/>
      <c r="D181" s="70">
        <f t="shared" si="2"/>
        <v>0</v>
      </c>
    </row>
    <row r="182" spans="1:13" x14ac:dyDescent="0.25">
      <c r="A182" t="s">
        <v>675</v>
      </c>
      <c r="B182">
        <v>500</v>
      </c>
      <c r="C182" s="70">
        <v>6000</v>
      </c>
      <c r="D182" s="70">
        <f t="shared" si="2"/>
        <v>3000000</v>
      </c>
    </row>
    <row r="183" spans="1:13" ht="15.75" x14ac:dyDescent="0.25">
      <c r="C183" s="70"/>
      <c r="D183" s="78">
        <f>SUM(D165:D182)</f>
        <v>3409500</v>
      </c>
    </row>
    <row r="184" spans="1:13" x14ac:dyDescent="0.25">
      <c r="J184" t="s">
        <v>678</v>
      </c>
      <c r="K184" t="s">
        <v>679</v>
      </c>
      <c r="L184" t="s">
        <v>680</v>
      </c>
    </row>
    <row r="185" spans="1:13" x14ac:dyDescent="0.25">
      <c r="I185" t="s">
        <v>682</v>
      </c>
      <c r="L185" s="87">
        <v>8808981238</v>
      </c>
      <c r="M185">
        <v>8990954</v>
      </c>
    </row>
    <row r="186" spans="1:13" x14ac:dyDescent="0.25">
      <c r="I186" t="s">
        <v>684</v>
      </c>
      <c r="J186" s="87">
        <v>68602092</v>
      </c>
      <c r="K186" s="87">
        <v>90109250</v>
      </c>
      <c r="L186" s="87">
        <f>+K186+J186</f>
        <v>158711342</v>
      </c>
    </row>
    <row r="187" spans="1:13" x14ac:dyDescent="0.25">
      <c r="I187" t="s">
        <v>683</v>
      </c>
      <c r="J187" s="87">
        <v>114480500</v>
      </c>
      <c r="K187" s="87">
        <f>+D183+D163</f>
        <v>143401000</v>
      </c>
      <c r="L187" s="87">
        <f>+K187+J187</f>
        <v>257881500</v>
      </c>
    </row>
    <row r="189" spans="1:13" x14ac:dyDescent="0.25">
      <c r="I189" t="s">
        <v>681</v>
      </c>
      <c r="L189" s="87">
        <f>+L185+L186-L187</f>
        <v>8709811080</v>
      </c>
    </row>
  </sheetData>
  <autoFilter ref="A2:D182" xr:uid="{00000000-0009-0000-0000-00001E000000}">
    <filterColumn colId="1">
      <customFilters>
        <customFilter operator="notEqual" val=" "/>
      </custom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1.8</vt:lpstr>
      <vt:lpstr>2.8</vt:lpstr>
      <vt:lpstr>3.8</vt:lpstr>
      <vt:lpstr>4.8</vt:lpstr>
      <vt:lpstr>5.8</vt:lpstr>
      <vt:lpstr>6.8</vt:lpstr>
      <vt:lpstr>7.8</vt:lpstr>
      <vt:lpstr>8.8</vt:lpstr>
      <vt:lpstr>9.8</vt:lpstr>
      <vt:lpstr>10.8</vt:lpstr>
      <vt:lpstr>11.8</vt:lpstr>
      <vt:lpstr>12.8</vt:lpstr>
      <vt:lpstr>13.8</vt:lpstr>
      <vt:lpstr>14.8</vt:lpstr>
      <vt:lpstr>15.8</vt:lpstr>
      <vt:lpstr>16.8</vt:lpstr>
      <vt:lpstr>17.8</vt:lpstr>
      <vt:lpstr>18.8</vt:lpstr>
      <vt:lpstr>19.8</vt:lpstr>
      <vt:lpstr>20.8</vt:lpstr>
      <vt:lpstr>21.8</vt:lpstr>
      <vt:lpstr>22.8</vt:lpstr>
      <vt:lpstr>23.8</vt:lpstr>
      <vt:lpstr>24.8</vt:lpstr>
      <vt:lpstr>25.8 </vt:lpstr>
      <vt:lpstr>26.8</vt:lpstr>
      <vt:lpstr>27.8</vt:lpstr>
      <vt:lpstr>28.8</vt:lpstr>
      <vt:lpstr>29.8</vt:lpstr>
      <vt:lpstr>30.8</vt:lpstr>
      <vt:lpstr>31.8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 Toan Hoei</cp:lastModifiedBy>
  <dcterms:created xsi:type="dcterms:W3CDTF">2024-08-02T03:51:58Z</dcterms:created>
  <dcterms:modified xsi:type="dcterms:W3CDTF">2024-09-23T04:14:24Z</dcterms:modified>
</cp:coreProperties>
</file>