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8" yWindow="-48" windowWidth="23256" windowHeight="12396" firstSheet="9" activeTab="27"/>
  </bookViews>
  <sheets>
    <sheet name="1.2" sheetId="1" r:id="rId1"/>
    <sheet name="2.2" sheetId="2" r:id="rId2"/>
    <sheet name="3.2" sheetId="3" r:id="rId3"/>
    <sheet name="4.2" sheetId="4" r:id="rId4"/>
    <sheet name="5.2" sheetId="5" r:id="rId5"/>
    <sheet name="6.2" sheetId="6" r:id="rId6"/>
    <sheet name="7.2" sheetId="7" r:id="rId7"/>
    <sheet name="8.2" sheetId="8" r:id="rId8"/>
    <sheet name="9.2" sheetId="9" r:id="rId9"/>
    <sheet name="10.2" sheetId="10" r:id="rId10"/>
    <sheet name="11.2" sheetId="11" r:id="rId11"/>
    <sheet name="12.2" sheetId="12" r:id="rId12"/>
    <sheet name="13.2" sheetId="13" r:id="rId13"/>
    <sheet name="14.2" sheetId="14" r:id="rId14"/>
    <sheet name="15.2" sheetId="16" r:id="rId15"/>
    <sheet name="16.2" sheetId="17" r:id="rId16"/>
    <sheet name="17.2" sheetId="18" r:id="rId17"/>
    <sheet name="18.2" sheetId="19" r:id="rId18"/>
    <sheet name="19.2" sheetId="20" r:id="rId19"/>
    <sheet name="20.2" sheetId="21" r:id="rId20"/>
    <sheet name="21.2" sheetId="22" r:id="rId21"/>
    <sheet name="22.2" sheetId="23" r:id="rId22"/>
    <sheet name="23.2" sheetId="24" r:id="rId23"/>
    <sheet name="24.2" sheetId="25" r:id="rId24"/>
    <sheet name="25.2" sheetId="26" r:id="rId25"/>
    <sheet name="26.2" sheetId="27" r:id="rId26"/>
    <sheet name="27.2" sheetId="28" r:id="rId27"/>
    <sheet name="28.2" sheetId="29" r:id="rId28"/>
  </sheets>
  <externalReferences>
    <externalReference r:id="rId29"/>
  </externalReferences>
  <definedNames>
    <definedName name="_xlnm._FilterDatabase" localSheetId="0" hidden="1">'1.2'!$A$1:$E$149</definedName>
    <definedName name="_xlnm._FilterDatabase" localSheetId="9" hidden="1">'10.2'!$A$2:$E$106</definedName>
    <definedName name="_xlnm._FilterDatabase" localSheetId="10" hidden="1">'11.2'!$A$2:$E$125</definedName>
    <definedName name="_xlnm._FilterDatabase" localSheetId="11" hidden="1">'12.2'!$A$2:$E$107</definedName>
    <definedName name="_xlnm._FilterDatabase" localSheetId="12" hidden="1">'13.2'!$A$2:$I$132</definedName>
    <definedName name="_xlnm._FilterDatabase" localSheetId="13" hidden="1">'14.2'!$A$2:$E$114</definedName>
    <definedName name="_xlnm._FilterDatabase" localSheetId="14" hidden="1">'15.2'!$A$2:$E$108</definedName>
    <definedName name="_xlnm._FilterDatabase" localSheetId="15" hidden="1">'16.2'!$A$2:$E$122</definedName>
    <definedName name="_xlnm._FilterDatabase" localSheetId="16" hidden="1">'17.2'!$A$2:$E$104</definedName>
    <definedName name="_xlnm._FilterDatabase" localSheetId="17" hidden="1">'18.2'!$A$2:$E$127</definedName>
    <definedName name="_xlnm._FilterDatabase" localSheetId="18" hidden="1">'19.2'!$A$2:$F$112</definedName>
    <definedName name="_xlnm._FilterDatabase" localSheetId="1" hidden="1">'2.2'!$A$2:$E$137</definedName>
    <definedName name="_xlnm._FilterDatabase" localSheetId="19" hidden="1">'20.2'!$A$2:$E$115</definedName>
    <definedName name="_xlnm._FilterDatabase" localSheetId="20" hidden="1">'21.2'!$A$2:$E$104</definedName>
    <definedName name="_xlnm._FilterDatabase" localSheetId="21" hidden="1">'22.2'!$A$2:$E$104</definedName>
    <definedName name="_xlnm._FilterDatabase" localSheetId="22" hidden="1">'23.2'!$A$2:$E$104</definedName>
    <definedName name="_xlnm._FilterDatabase" localSheetId="23" hidden="1">'24.2'!$A$2:$E$104</definedName>
    <definedName name="_xlnm._FilterDatabase" localSheetId="24" hidden="1">'25.2'!$A$2:$E$124</definedName>
    <definedName name="_xlnm._FilterDatabase" localSheetId="25" hidden="1">'26.2'!$A$2:$E$112</definedName>
    <definedName name="_xlnm._FilterDatabase" localSheetId="26" hidden="1">'27.2'!$A$2:$E$124</definedName>
    <definedName name="_xlnm._FilterDatabase" localSheetId="27" hidden="1">'28.2'!$A$2:$E$112</definedName>
    <definedName name="_xlnm._FilterDatabase" localSheetId="2" hidden="1">'3.2'!$A$1:$E$145</definedName>
    <definedName name="_xlnm._FilterDatabase" localSheetId="3" hidden="1">'4.2'!$A$2:$E$151</definedName>
    <definedName name="_xlnm._FilterDatabase" localSheetId="4" hidden="1">'5.2'!$A$2:$E$131</definedName>
    <definedName name="_xlnm._FilterDatabase" localSheetId="5" hidden="1">'6.2'!$A$2:$E$146</definedName>
    <definedName name="_xlnm._FilterDatabase" localSheetId="6" hidden="1">'7.2'!$A$2:$E$144</definedName>
    <definedName name="_xlnm._FilterDatabase" localSheetId="7" hidden="1">'8.2'!$A$1:$E$123</definedName>
    <definedName name="_xlnm._FilterDatabase" localSheetId="8" hidden="1">'9.2'!$A$1:$CS$150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3" i="29" l="1"/>
  <c r="E4" i="29"/>
  <c r="E5" i="29"/>
  <c r="E6" i="29"/>
  <c r="E7" i="29"/>
  <c r="E8" i="29"/>
  <c r="E9" i="29"/>
  <c r="E10" i="29"/>
  <c r="E11" i="29"/>
  <c r="E12" i="29"/>
  <c r="E13" i="29"/>
  <c r="E14" i="29"/>
  <c r="E15" i="29"/>
  <c r="E16" i="29"/>
  <c r="E17" i="29"/>
  <c r="E18" i="29"/>
  <c r="E19" i="29"/>
  <c r="E20" i="29"/>
  <c r="E21" i="29"/>
  <c r="E22" i="29"/>
  <c r="E23" i="29"/>
  <c r="E24" i="29"/>
  <c r="E25" i="29"/>
  <c r="E26" i="29"/>
  <c r="E27" i="29"/>
  <c r="E28" i="29"/>
  <c r="E29" i="29"/>
  <c r="E30" i="29"/>
  <c r="E31" i="29"/>
  <c r="E32" i="29"/>
  <c r="E33" i="29"/>
  <c r="E34" i="29"/>
  <c r="E35" i="29"/>
  <c r="E36" i="29"/>
  <c r="E37" i="29"/>
  <c r="E38" i="29"/>
  <c r="E39" i="29"/>
  <c r="E40" i="29"/>
  <c r="E41" i="29"/>
  <c r="E42" i="29"/>
  <c r="E43" i="29"/>
  <c r="E44" i="29"/>
  <c r="E45" i="29"/>
  <c r="E46" i="29"/>
  <c r="E47" i="29"/>
  <c r="E48" i="29"/>
  <c r="E49" i="29"/>
  <c r="E50" i="29"/>
  <c r="E51" i="29"/>
  <c r="E52" i="29"/>
  <c r="E53" i="29"/>
  <c r="E54" i="29"/>
  <c r="E55" i="29"/>
  <c r="E56" i="29"/>
  <c r="E57" i="29"/>
  <c r="E58" i="29"/>
  <c r="E59" i="29"/>
  <c r="E60" i="29"/>
  <c r="E61" i="29"/>
  <c r="E62" i="29"/>
  <c r="E63" i="29"/>
  <c r="E64" i="29"/>
  <c r="E65" i="29"/>
  <c r="E66" i="29"/>
  <c r="E67" i="29"/>
  <c r="E68" i="29"/>
  <c r="E69" i="29"/>
  <c r="E70" i="29"/>
  <c r="E71" i="29"/>
  <c r="E72" i="29"/>
  <c r="E73" i="29"/>
  <c r="E74" i="29"/>
  <c r="E75" i="29"/>
  <c r="E76" i="29"/>
  <c r="E77" i="29"/>
  <c r="E78" i="29"/>
  <c r="E79" i="29"/>
  <c r="E80" i="29"/>
  <c r="E81" i="29"/>
  <c r="E82" i="29"/>
  <c r="E83" i="29"/>
  <c r="E84" i="29"/>
  <c r="E85" i="29"/>
  <c r="E86" i="29"/>
  <c r="E87" i="29"/>
  <c r="E88" i="29"/>
  <c r="E89" i="29"/>
  <c r="E90" i="29"/>
  <c r="E91" i="29"/>
  <c r="E92" i="29"/>
  <c r="E93" i="29"/>
  <c r="E94" i="29"/>
  <c r="E95" i="29"/>
  <c r="E96" i="29"/>
  <c r="E97" i="29"/>
  <c r="E98" i="29"/>
  <c r="E99" i="29"/>
  <c r="E100" i="29"/>
  <c r="E101" i="29"/>
  <c r="E102" i="29"/>
  <c r="E103" i="29"/>
  <c r="E104" i="29"/>
  <c r="E105" i="29"/>
  <c r="E106" i="29"/>
  <c r="E107" i="29"/>
  <c r="E108" i="29"/>
  <c r="E109" i="29"/>
  <c r="E110" i="29"/>
  <c r="E111" i="29"/>
  <c r="E112" i="29"/>
  <c r="E3" i="29"/>
  <c r="E125" i="28" l="1"/>
  <c r="E4" i="28"/>
  <c r="E5" i="28"/>
  <c r="E6" i="28"/>
  <c r="E7" i="28"/>
  <c r="E8" i="28"/>
  <c r="E9" i="28"/>
  <c r="E10" i="28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32" i="28"/>
  <c r="E33" i="28"/>
  <c r="E34" i="28"/>
  <c r="E35" i="28"/>
  <c r="E36" i="28"/>
  <c r="E37" i="28"/>
  <c r="E38" i="28"/>
  <c r="E39" i="28"/>
  <c r="E40" i="28"/>
  <c r="E41" i="28"/>
  <c r="E42" i="28"/>
  <c r="E43" i="28"/>
  <c r="E44" i="28"/>
  <c r="E45" i="28"/>
  <c r="E46" i="28"/>
  <c r="E47" i="28"/>
  <c r="E48" i="28"/>
  <c r="E49" i="28"/>
  <c r="E50" i="28"/>
  <c r="E51" i="28"/>
  <c r="E52" i="28"/>
  <c r="E53" i="28"/>
  <c r="E54" i="28"/>
  <c r="E55" i="28"/>
  <c r="E56" i="28"/>
  <c r="E57" i="28"/>
  <c r="E58" i="28"/>
  <c r="E59" i="28"/>
  <c r="E60" i="28"/>
  <c r="E61" i="28"/>
  <c r="E62" i="28"/>
  <c r="E63" i="28"/>
  <c r="E64" i="28"/>
  <c r="E65" i="28"/>
  <c r="E66" i="28"/>
  <c r="E67" i="28"/>
  <c r="E68" i="28"/>
  <c r="E69" i="28"/>
  <c r="E70" i="28"/>
  <c r="E71" i="28"/>
  <c r="E72" i="28"/>
  <c r="E73" i="28"/>
  <c r="E74" i="28"/>
  <c r="E75" i="28"/>
  <c r="E76" i="28"/>
  <c r="E77" i="28"/>
  <c r="E78" i="28"/>
  <c r="E79" i="28"/>
  <c r="E80" i="28"/>
  <c r="E81" i="28"/>
  <c r="E82" i="28"/>
  <c r="E83" i="28"/>
  <c r="E84" i="28"/>
  <c r="E85" i="28"/>
  <c r="E86" i="28"/>
  <c r="E87" i="28"/>
  <c r="E88" i="28"/>
  <c r="E89" i="28"/>
  <c r="E90" i="28"/>
  <c r="E91" i="28"/>
  <c r="E92" i="28"/>
  <c r="E93" i="28"/>
  <c r="E94" i="28"/>
  <c r="E95" i="28"/>
  <c r="E96" i="28"/>
  <c r="E97" i="28"/>
  <c r="E98" i="28"/>
  <c r="E99" i="28"/>
  <c r="E100" i="28"/>
  <c r="E101" i="28"/>
  <c r="E102" i="28"/>
  <c r="E103" i="28"/>
  <c r="E104" i="28"/>
  <c r="E105" i="28"/>
  <c r="E106" i="28"/>
  <c r="E107" i="28"/>
  <c r="E108" i="28"/>
  <c r="E109" i="28"/>
  <c r="E110" i="28"/>
  <c r="E111" i="28"/>
  <c r="E112" i="28"/>
  <c r="E113" i="28"/>
  <c r="E114" i="28"/>
  <c r="E115" i="28"/>
  <c r="E116" i="28"/>
  <c r="E117" i="28"/>
  <c r="E118" i="28"/>
  <c r="E119" i="28"/>
  <c r="E120" i="28"/>
  <c r="E121" i="28"/>
  <c r="E122" i="28"/>
  <c r="E123" i="28"/>
  <c r="E124" i="28"/>
  <c r="E3" i="28"/>
  <c r="E113" i="27" l="1"/>
  <c r="E4" i="27"/>
  <c r="E5" i="27"/>
  <c r="E6" i="27"/>
  <c r="E7" i="27"/>
  <c r="E8" i="27"/>
  <c r="E9" i="27"/>
  <c r="E10" i="27"/>
  <c r="E11" i="27"/>
  <c r="E12" i="27"/>
  <c r="E13" i="27"/>
  <c r="E14" i="27"/>
  <c r="E15" i="27"/>
  <c r="E16" i="27"/>
  <c r="E17" i="27"/>
  <c r="E18" i="27"/>
  <c r="E19" i="27"/>
  <c r="E20" i="27"/>
  <c r="E21" i="27"/>
  <c r="E22" i="27"/>
  <c r="E23" i="27"/>
  <c r="E24" i="27"/>
  <c r="E25" i="27"/>
  <c r="E26" i="27"/>
  <c r="E27" i="27"/>
  <c r="E28" i="27"/>
  <c r="E29" i="27"/>
  <c r="E30" i="27"/>
  <c r="E31" i="27"/>
  <c r="E32" i="27"/>
  <c r="E33" i="27"/>
  <c r="E34" i="27"/>
  <c r="E35" i="27"/>
  <c r="E36" i="27"/>
  <c r="E37" i="27"/>
  <c r="E38" i="27"/>
  <c r="E39" i="27"/>
  <c r="E40" i="27"/>
  <c r="E41" i="27"/>
  <c r="E42" i="27"/>
  <c r="E43" i="27"/>
  <c r="E44" i="27"/>
  <c r="E45" i="27"/>
  <c r="E46" i="27"/>
  <c r="E47" i="27"/>
  <c r="E48" i="27"/>
  <c r="E49" i="27"/>
  <c r="E50" i="27"/>
  <c r="E51" i="27"/>
  <c r="E52" i="27"/>
  <c r="E53" i="27"/>
  <c r="E54" i="27"/>
  <c r="E55" i="27"/>
  <c r="E56" i="27"/>
  <c r="E57" i="27"/>
  <c r="E58" i="27"/>
  <c r="E59" i="27"/>
  <c r="E60" i="27"/>
  <c r="E61" i="27"/>
  <c r="E62" i="27"/>
  <c r="E63" i="27"/>
  <c r="E64" i="27"/>
  <c r="E65" i="27"/>
  <c r="E66" i="27"/>
  <c r="E67" i="27"/>
  <c r="E68" i="27"/>
  <c r="E69" i="27"/>
  <c r="E70" i="27"/>
  <c r="E71" i="27"/>
  <c r="E72" i="27"/>
  <c r="E73" i="27"/>
  <c r="E74" i="27"/>
  <c r="E75" i="27"/>
  <c r="E76" i="27"/>
  <c r="E77" i="27"/>
  <c r="E78" i="27"/>
  <c r="E79" i="27"/>
  <c r="E80" i="27"/>
  <c r="E81" i="27"/>
  <c r="E82" i="27"/>
  <c r="E83" i="27"/>
  <c r="E84" i="27"/>
  <c r="E85" i="27"/>
  <c r="E86" i="27"/>
  <c r="E87" i="27"/>
  <c r="E88" i="27"/>
  <c r="E89" i="27"/>
  <c r="E90" i="27"/>
  <c r="E91" i="27"/>
  <c r="E92" i="27"/>
  <c r="E93" i="27"/>
  <c r="E94" i="27"/>
  <c r="E95" i="27"/>
  <c r="E96" i="27"/>
  <c r="E97" i="27"/>
  <c r="E98" i="27"/>
  <c r="E99" i="27"/>
  <c r="E100" i="27"/>
  <c r="E101" i="27"/>
  <c r="E102" i="27"/>
  <c r="E103" i="27"/>
  <c r="E104" i="27"/>
  <c r="E105" i="27"/>
  <c r="E106" i="27"/>
  <c r="E107" i="27"/>
  <c r="E108" i="27"/>
  <c r="E109" i="27"/>
  <c r="E110" i="27"/>
  <c r="E111" i="27"/>
  <c r="E112" i="27"/>
  <c r="E3" i="27"/>
  <c r="E125" i="26" l="1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3" i="26"/>
  <c r="E105" i="25" l="1"/>
  <c r="E4" i="25"/>
  <c r="E5" i="25"/>
  <c r="E6" i="25"/>
  <c r="E7" i="25"/>
  <c r="E8" i="25"/>
  <c r="E9" i="25"/>
  <c r="E10" i="25"/>
  <c r="E11" i="25"/>
  <c r="E12" i="25"/>
  <c r="E13" i="25"/>
  <c r="E14" i="25"/>
  <c r="E15" i="25"/>
  <c r="E16" i="25"/>
  <c r="E17" i="25"/>
  <c r="E18" i="25"/>
  <c r="E19" i="25"/>
  <c r="E20" i="25"/>
  <c r="E21" i="25"/>
  <c r="E22" i="25"/>
  <c r="E23" i="25"/>
  <c r="E24" i="25"/>
  <c r="E25" i="25"/>
  <c r="E26" i="25"/>
  <c r="E27" i="25"/>
  <c r="E28" i="25"/>
  <c r="E29" i="25"/>
  <c r="E30" i="25"/>
  <c r="E31" i="25"/>
  <c r="E32" i="25"/>
  <c r="E33" i="25"/>
  <c r="E34" i="25"/>
  <c r="E35" i="25"/>
  <c r="E36" i="25"/>
  <c r="E37" i="25"/>
  <c r="E38" i="25"/>
  <c r="E39" i="25"/>
  <c r="E40" i="25"/>
  <c r="E41" i="25"/>
  <c r="E42" i="25"/>
  <c r="E43" i="25"/>
  <c r="E44" i="25"/>
  <c r="E45" i="25"/>
  <c r="E46" i="25"/>
  <c r="E47" i="25"/>
  <c r="E48" i="25"/>
  <c r="E49" i="25"/>
  <c r="E50" i="25"/>
  <c r="E51" i="25"/>
  <c r="E52" i="25"/>
  <c r="E53" i="25"/>
  <c r="E54" i="25"/>
  <c r="E55" i="25"/>
  <c r="E56" i="25"/>
  <c r="E57" i="25"/>
  <c r="E58" i="25"/>
  <c r="E59" i="25"/>
  <c r="E60" i="25"/>
  <c r="E61" i="25"/>
  <c r="E62" i="25"/>
  <c r="E63" i="25"/>
  <c r="E64" i="25"/>
  <c r="E65" i="25"/>
  <c r="E66" i="25"/>
  <c r="E67" i="25"/>
  <c r="E68" i="25"/>
  <c r="E69" i="25"/>
  <c r="E70" i="25"/>
  <c r="E71" i="25"/>
  <c r="E72" i="25"/>
  <c r="E73" i="25"/>
  <c r="E74" i="25"/>
  <c r="E75" i="25"/>
  <c r="E76" i="25"/>
  <c r="E77" i="25"/>
  <c r="E78" i="25"/>
  <c r="E79" i="25"/>
  <c r="E80" i="25"/>
  <c r="E81" i="25"/>
  <c r="E82" i="25"/>
  <c r="E83" i="25"/>
  <c r="E84" i="25"/>
  <c r="E85" i="25"/>
  <c r="E86" i="25"/>
  <c r="E87" i="25"/>
  <c r="E88" i="25"/>
  <c r="E89" i="25"/>
  <c r="E90" i="25"/>
  <c r="E91" i="25"/>
  <c r="E92" i="25"/>
  <c r="E93" i="25"/>
  <c r="E94" i="25"/>
  <c r="E95" i="25"/>
  <c r="E96" i="25"/>
  <c r="E97" i="25"/>
  <c r="E98" i="25"/>
  <c r="E99" i="25"/>
  <c r="E100" i="25"/>
  <c r="E101" i="25"/>
  <c r="E102" i="25"/>
  <c r="E103" i="25"/>
  <c r="E104" i="25"/>
  <c r="E3" i="25"/>
  <c r="E105" i="24" l="1"/>
  <c r="E4" i="24"/>
  <c r="E5" i="24"/>
  <c r="E6" i="24"/>
  <c r="E7" i="24"/>
  <c r="E8" i="24"/>
  <c r="E9" i="24"/>
  <c r="E10" i="24"/>
  <c r="E11" i="24"/>
  <c r="E12" i="24"/>
  <c r="E13" i="24"/>
  <c r="E14" i="24"/>
  <c r="E15" i="24"/>
  <c r="E16" i="24"/>
  <c r="E17" i="24"/>
  <c r="E18" i="24"/>
  <c r="E19" i="24"/>
  <c r="E20" i="24"/>
  <c r="E21" i="24"/>
  <c r="E22" i="24"/>
  <c r="E23" i="24"/>
  <c r="E24" i="24"/>
  <c r="E25" i="24"/>
  <c r="E26" i="24"/>
  <c r="E27" i="24"/>
  <c r="E28" i="24"/>
  <c r="E29" i="24"/>
  <c r="E30" i="24"/>
  <c r="E31" i="24"/>
  <c r="E32" i="24"/>
  <c r="E33" i="24"/>
  <c r="E34" i="24"/>
  <c r="E35" i="24"/>
  <c r="E36" i="24"/>
  <c r="E37" i="24"/>
  <c r="E38" i="24"/>
  <c r="E39" i="24"/>
  <c r="E40" i="24"/>
  <c r="E41" i="24"/>
  <c r="E42" i="24"/>
  <c r="E43" i="24"/>
  <c r="E44" i="24"/>
  <c r="E45" i="24"/>
  <c r="E46" i="24"/>
  <c r="E47" i="24"/>
  <c r="E48" i="24"/>
  <c r="E49" i="24"/>
  <c r="E50" i="24"/>
  <c r="E51" i="24"/>
  <c r="E52" i="24"/>
  <c r="E53" i="24"/>
  <c r="E54" i="24"/>
  <c r="E55" i="24"/>
  <c r="E56" i="24"/>
  <c r="E57" i="24"/>
  <c r="E58" i="24"/>
  <c r="E59" i="24"/>
  <c r="E60" i="24"/>
  <c r="E61" i="24"/>
  <c r="E62" i="24"/>
  <c r="E63" i="24"/>
  <c r="E64" i="24"/>
  <c r="E65" i="24"/>
  <c r="E66" i="24"/>
  <c r="E67" i="24"/>
  <c r="E68" i="24"/>
  <c r="E69" i="24"/>
  <c r="E70" i="24"/>
  <c r="E71" i="24"/>
  <c r="E72" i="24"/>
  <c r="E73" i="24"/>
  <c r="E74" i="24"/>
  <c r="E75" i="24"/>
  <c r="E76" i="24"/>
  <c r="E77" i="24"/>
  <c r="E78" i="24"/>
  <c r="E79" i="24"/>
  <c r="E80" i="24"/>
  <c r="E81" i="24"/>
  <c r="E82" i="24"/>
  <c r="E83" i="24"/>
  <c r="E84" i="24"/>
  <c r="E85" i="24"/>
  <c r="E86" i="24"/>
  <c r="E87" i="24"/>
  <c r="E88" i="24"/>
  <c r="E89" i="24"/>
  <c r="E90" i="24"/>
  <c r="E91" i="24"/>
  <c r="E92" i="24"/>
  <c r="E93" i="24"/>
  <c r="E94" i="24"/>
  <c r="E95" i="24"/>
  <c r="E96" i="24"/>
  <c r="E97" i="24"/>
  <c r="E98" i="24"/>
  <c r="E99" i="24"/>
  <c r="E100" i="24"/>
  <c r="E101" i="24"/>
  <c r="E102" i="24"/>
  <c r="E103" i="24"/>
  <c r="E104" i="24"/>
  <c r="E3" i="24"/>
  <c r="E105" i="23" l="1"/>
  <c r="E4" i="23" l="1"/>
  <c r="E5" i="23"/>
  <c r="E6" i="23"/>
  <c r="E7" i="23"/>
  <c r="E8" i="23"/>
  <c r="E9" i="23"/>
  <c r="E10" i="23"/>
  <c r="E11" i="23"/>
  <c r="E12" i="23"/>
  <c r="E13" i="23"/>
  <c r="E14" i="23"/>
  <c r="E15" i="23"/>
  <c r="E16" i="23"/>
  <c r="E17" i="23"/>
  <c r="E18" i="23"/>
  <c r="E19" i="23"/>
  <c r="E20" i="23"/>
  <c r="E21" i="23"/>
  <c r="E22" i="23"/>
  <c r="E23" i="23"/>
  <c r="E24" i="23"/>
  <c r="E25" i="23"/>
  <c r="E26" i="23"/>
  <c r="E27" i="23"/>
  <c r="E28" i="23"/>
  <c r="E29" i="23"/>
  <c r="E30" i="23"/>
  <c r="E31" i="23"/>
  <c r="E32" i="23"/>
  <c r="E33" i="23"/>
  <c r="E34" i="23"/>
  <c r="E35" i="23"/>
  <c r="E36" i="23"/>
  <c r="E37" i="23"/>
  <c r="E38" i="23"/>
  <c r="E39" i="23"/>
  <c r="E40" i="23"/>
  <c r="E41" i="23"/>
  <c r="E42" i="23"/>
  <c r="E43" i="23"/>
  <c r="E44" i="23"/>
  <c r="E45" i="23"/>
  <c r="E46" i="23"/>
  <c r="E47" i="23"/>
  <c r="E48" i="23"/>
  <c r="E49" i="23"/>
  <c r="E50" i="23"/>
  <c r="E51" i="23"/>
  <c r="E52" i="23"/>
  <c r="E53" i="23"/>
  <c r="E54" i="23"/>
  <c r="E55" i="23"/>
  <c r="E56" i="23"/>
  <c r="E57" i="23"/>
  <c r="E58" i="23"/>
  <c r="E59" i="23"/>
  <c r="E60" i="23"/>
  <c r="E61" i="23"/>
  <c r="E62" i="23"/>
  <c r="E63" i="23"/>
  <c r="E64" i="23"/>
  <c r="E65" i="23"/>
  <c r="E66" i="23"/>
  <c r="E67" i="23"/>
  <c r="E68" i="23"/>
  <c r="E69" i="23"/>
  <c r="E70" i="23"/>
  <c r="E71" i="23"/>
  <c r="E72" i="23"/>
  <c r="E73" i="23"/>
  <c r="E74" i="23"/>
  <c r="E75" i="23"/>
  <c r="E76" i="23"/>
  <c r="E77" i="23"/>
  <c r="E78" i="23"/>
  <c r="E79" i="23"/>
  <c r="E80" i="23"/>
  <c r="E81" i="23"/>
  <c r="E82" i="23"/>
  <c r="E83" i="23"/>
  <c r="E84" i="23"/>
  <c r="E85" i="23"/>
  <c r="E86" i="23"/>
  <c r="E87" i="23"/>
  <c r="E88" i="23"/>
  <c r="E89" i="23"/>
  <c r="E90" i="23"/>
  <c r="E91" i="23"/>
  <c r="E92" i="23"/>
  <c r="E93" i="23"/>
  <c r="E94" i="23"/>
  <c r="E95" i="23"/>
  <c r="E96" i="23"/>
  <c r="E97" i="23"/>
  <c r="E98" i="23"/>
  <c r="E99" i="23"/>
  <c r="E100" i="23"/>
  <c r="E101" i="23"/>
  <c r="E102" i="23"/>
  <c r="E103" i="23"/>
  <c r="E104" i="23"/>
  <c r="E3" i="23"/>
  <c r="E105" i="22" l="1"/>
  <c r="E4" i="22"/>
  <c r="E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32" i="22"/>
  <c r="E33" i="22"/>
  <c r="E34" i="22"/>
  <c r="E35" i="22"/>
  <c r="E36" i="22"/>
  <c r="E37" i="22"/>
  <c r="E38" i="22"/>
  <c r="E39" i="22"/>
  <c r="E40" i="22"/>
  <c r="E41" i="22"/>
  <c r="E42" i="22"/>
  <c r="E43" i="22"/>
  <c r="E44" i="22"/>
  <c r="E45" i="22"/>
  <c r="E46" i="22"/>
  <c r="E47" i="22"/>
  <c r="E48" i="22"/>
  <c r="E49" i="22"/>
  <c r="E50" i="22"/>
  <c r="E51" i="22"/>
  <c r="E52" i="22"/>
  <c r="E53" i="22"/>
  <c r="E54" i="22"/>
  <c r="E55" i="22"/>
  <c r="E56" i="22"/>
  <c r="E57" i="22"/>
  <c r="E58" i="22"/>
  <c r="E59" i="22"/>
  <c r="E60" i="22"/>
  <c r="E61" i="22"/>
  <c r="E62" i="22"/>
  <c r="E63" i="22"/>
  <c r="E64" i="22"/>
  <c r="E65" i="22"/>
  <c r="E66" i="22"/>
  <c r="E67" i="22"/>
  <c r="E68" i="22"/>
  <c r="E69" i="22"/>
  <c r="E70" i="22"/>
  <c r="E71" i="22"/>
  <c r="E72" i="22"/>
  <c r="E73" i="22"/>
  <c r="E74" i="22"/>
  <c r="E75" i="22"/>
  <c r="E76" i="22"/>
  <c r="E77" i="22"/>
  <c r="E78" i="22"/>
  <c r="E79" i="22"/>
  <c r="E80" i="22"/>
  <c r="E81" i="22"/>
  <c r="E82" i="22"/>
  <c r="E83" i="22"/>
  <c r="E84" i="22"/>
  <c r="E85" i="22"/>
  <c r="E86" i="22"/>
  <c r="E87" i="22"/>
  <c r="E88" i="22"/>
  <c r="E89" i="22"/>
  <c r="E90" i="22"/>
  <c r="E91" i="22"/>
  <c r="E92" i="22"/>
  <c r="E93" i="22"/>
  <c r="E94" i="22"/>
  <c r="E95" i="22"/>
  <c r="E96" i="22"/>
  <c r="E97" i="22"/>
  <c r="E98" i="22"/>
  <c r="E99" i="22"/>
  <c r="E100" i="22"/>
  <c r="E101" i="22"/>
  <c r="E102" i="22"/>
  <c r="E103" i="22"/>
  <c r="E104" i="22"/>
  <c r="E3" i="22"/>
  <c r="E116" i="21" l="1"/>
  <c r="E4" i="21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E33" i="21"/>
  <c r="E34" i="21"/>
  <c r="E35" i="21"/>
  <c r="E36" i="21"/>
  <c r="E37" i="21"/>
  <c r="E38" i="21"/>
  <c r="E39" i="21"/>
  <c r="E40" i="21"/>
  <c r="E41" i="21"/>
  <c r="E42" i="21"/>
  <c r="E43" i="21"/>
  <c r="E44" i="21"/>
  <c r="E45" i="21"/>
  <c r="E46" i="21"/>
  <c r="E47" i="21"/>
  <c r="E48" i="21"/>
  <c r="E49" i="21"/>
  <c r="E50" i="21"/>
  <c r="E51" i="21"/>
  <c r="E52" i="21"/>
  <c r="E53" i="21"/>
  <c r="E54" i="21"/>
  <c r="E55" i="21"/>
  <c r="E56" i="21"/>
  <c r="E57" i="21"/>
  <c r="E58" i="21"/>
  <c r="E59" i="21"/>
  <c r="E60" i="21"/>
  <c r="E61" i="21"/>
  <c r="E62" i="21"/>
  <c r="E63" i="21"/>
  <c r="E64" i="21"/>
  <c r="E65" i="21"/>
  <c r="E66" i="21"/>
  <c r="E67" i="21"/>
  <c r="E68" i="21"/>
  <c r="E69" i="21"/>
  <c r="E70" i="21"/>
  <c r="E71" i="21"/>
  <c r="E72" i="21"/>
  <c r="E73" i="21"/>
  <c r="E74" i="21"/>
  <c r="E75" i="21"/>
  <c r="E76" i="21"/>
  <c r="E77" i="21"/>
  <c r="E78" i="21"/>
  <c r="E79" i="21"/>
  <c r="E80" i="21"/>
  <c r="E81" i="21"/>
  <c r="E82" i="21"/>
  <c r="E83" i="21"/>
  <c r="E84" i="21"/>
  <c r="E85" i="21"/>
  <c r="E86" i="21"/>
  <c r="E87" i="21"/>
  <c r="E88" i="21"/>
  <c r="E89" i="21"/>
  <c r="E90" i="21"/>
  <c r="E91" i="21"/>
  <c r="E92" i="21"/>
  <c r="E93" i="21"/>
  <c r="E94" i="21"/>
  <c r="E95" i="21"/>
  <c r="E96" i="21"/>
  <c r="E97" i="21"/>
  <c r="E98" i="21"/>
  <c r="E99" i="21"/>
  <c r="E100" i="21"/>
  <c r="E101" i="21"/>
  <c r="E102" i="21"/>
  <c r="E103" i="21"/>
  <c r="E104" i="21"/>
  <c r="E105" i="21"/>
  <c r="E106" i="21"/>
  <c r="E107" i="21"/>
  <c r="E108" i="21"/>
  <c r="E109" i="21"/>
  <c r="E110" i="21"/>
  <c r="E111" i="21"/>
  <c r="E112" i="21"/>
  <c r="E113" i="21"/>
  <c r="E114" i="21"/>
  <c r="E115" i="21"/>
  <c r="E3" i="21"/>
  <c r="E113" i="20" l="1"/>
  <c r="E4" i="20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22" i="20"/>
  <c r="E23" i="20"/>
  <c r="E24" i="20"/>
  <c r="E25" i="20"/>
  <c r="E26" i="20"/>
  <c r="E27" i="20"/>
  <c r="E28" i="20"/>
  <c r="E29" i="20"/>
  <c r="E30" i="20"/>
  <c r="E31" i="20"/>
  <c r="E32" i="20"/>
  <c r="E33" i="20"/>
  <c r="E34" i="20"/>
  <c r="E35" i="20"/>
  <c r="E36" i="20"/>
  <c r="E37" i="20"/>
  <c r="E38" i="20"/>
  <c r="E39" i="20"/>
  <c r="E40" i="20"/>
  <c r="E41" i="20"/>
  <c r="E42" i="20"/>
  <c r="E43" i="20"/>
  <c r="E44" i="20"/>
  <c r="E45" i="20"/>
  <c r="E46" i="20"/>
  <c r="E47" i="20"/>
  <c r="E48" i="20"/>
  <c r="E49" i="20"/>
  <c r="E50" i="20"/>
  <c r="E51" i="20"/>
  <c r="E52" i="20"/>
  <c r="E53" i="20"/>
  <c r="E54" i="20"/>
  <c r="E55" i="20"/>
  <c r="E56" i="20"/>
  <c r="E57" i="20"/>
  <c r="E58" i="20"/>
  <c r="E59" i="20"/>
  <c r="E60" i="20"/>
  <c r="E61" i="20"/>
  <c r="E62" i="20"/>
  <c r="E63" i="20"/>
  <c r="E64" i="20"/>
  <c r="E65" i="20"/>
  <c r="E66" i="20"/>
  <c r="E67" i="20"/>
  <c r="E68" i="20"/>
  <c r="E69" i="20"/>
  <c r="E70" i="20"/>
  <c r="E71" i="20"/>
  <c r="E72" i="20"/>
  <c r="E73" i="20"/>
  <c r="E74" i="20"/>
  <c r="E75" i="20"/>
  <c r="E76" i="20"/>
  <c r="E77" i="20"/>
  <c r="E78" i="20"/>
  <c r="E79" i="20"/>
  <c r="E80" i="20"/>
  <c r="E81" i="20"/>
  <c r="E82" i="20"/>
  <c r="E83" i="20"/>
  <c r="E84" i="20"/>
  <c r="E85" i="20"/>
  <c r="E86" i="20"/>
  <c r="E87" i="20"/>
  <c r="E88" i="20"/>
  <c r="E89" i="20"/>
  <c r="E90" i="20"/>
  <c r="E91" i="20"/>
  <c r="E92" i="20"/>
  <c r="E93" i="20"/>
  <c r="E94" i="20"/>
  <c r="E95" i="20"/>
  <c r="E96" i="20"/>
  <c r="E97" i="20"/>
  <c r="E98" i="20"/>
  <c r="E99" i="20"/>
  <c r="E100" i="20"/>
  <c r="E101" i="20"/>
  <c r="E102" i="20"/>
  <c r="E103" i="20"/>
  <c r="E104" i="20"/>
  <c r="E105" i="20"/>
  <c r="E106" i="20"/>
  <c r="E107" i="20"/>
  <c r="E108" i="20"/>
  <c r="E109" i="20"/>
  <c r="E110" i="20"/>
  <c r="E111" i="20"/>
  <c r="E112" i="20"/>
  <c r="E3" i="20"/>
  <c r="E128" i="19" l="1"/>
  <c r="E4" i="19"/>
  <c r="E5" i="19"/>
  <c r="E6" i="19"/>
  <c r="E7" i="19"/>
  <c r="E8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7" i="19"/>
  <c r="E28" i="19"/>
  <c r="E29" i="19"/>
  <c r="E30" i="19"/>
  <c r="E31" i="19"/>
  <c r="E32" i="19"/>
  <c r="E33" i="19"/>
  <c r="E34" i="19"/>
  <c r="E35" i="19"/>
  <c r="E36" i="19"/>
  <c r="E37" i="19"/>
  <c r="E38" i="19"/>
  <c r="E39" i="19"/>
  <c r="E40" i="19"/>
  <c r="E41" i="19"/>
  <c r="E42" i="19"/>
  <c r="E43" i="19"/>
  <c r="E44" i="19"/>
  <c r="E45" i="19"/>
  <c r="E46" i="19"/>
  <c r="E47" i="19"/>
  <c r="E48" i="19"/>
  <c r="E49" i="19"/>
  <c r="E50" i="19"/>
  <c r="E51" i="19"/>
  <c r="E52" i="19"/>
  <c r="E53" i="19"/>
  <c r="E54" i="19"/>
  <c r="E55" i="19"/>
  <c r="E56" i="19"/>
  <c r="E57" i="19"/>
  <c r="E58" i="19"/>
  <c r="E59" i="19"/>
  <c r="E60" i="19"/>
  <c r="E61" i="19"/>
  <c r="E62" i="19"/>
  <c r="E63" i="19"/>
  <c r="E64" i="19"/>
  <c r="E65" i="19"/>
  <c r="E66" i="19"/>
  <c r="E67" i="19"/>
  <c r="E68" i="19"/>
  <c r="E69" i="19"/>
  <c r="E70" i="19"/>
  <c r="E71" i="19"/>
  <c r="E72" i="19"/>
  <c r="E73" i="19"/>
  <c r="E74" i="19"/>
  <c r="E75" i="19"/>
  <c r="E76" i="19"/>
  <c r="E77" i="19"/>
  <c r="E78" i="19"/>
  <c r="E79" i="19"/>
  <c r="E80" i="19"/>
  <c r="E81" i="19"/>
  <c r="E82" i="19"/>
  <c r="E83" i="19"/>
  <c r="E84" i="19"/>
  <c r="E85" i="19"/>
  <c r="E86" i="19"/>
  <c r="E87" i="19"/>
  <c r="E88" i="19"/>
  <c r="E89" i="19"/>
  <c r="E90" i="19"/>
  <c r="E91" i="19"/>
  <c r="E92" i="19"/>
  <c r="E93" i="19"/>
  <c r="E94" i="19"/>
  <c r="E95" i="19"/>
  <c r="E96" i="19"/>
  <c r="E97" i="19"/>
  <c r="E98" i="19"/>
  <c r="E99" i="19"/>
  <c r="E100" i="19"/>
  <c r="E101" i="19"/>
  <c r="E102" i="19"/>
  <c r="E103" i="19"/>
  <c r="E104" i="19"/>
  <c r="E105" i="19"/>
  <c r="E106" i="19"/>
  <c r="E107" i="19"/>
  <c r="E108" i="19"/>
  <c r="E109" i="19"/>
  <c r="E110" i="19"/>
  <c r="E111" i="19"/>
  <c r="E112" i="19"/>
  <c r="E113" i="19"/>
  <c r="E114" i="19"/>
  <c r="E115" i="19"/>
  <c r="E116" i="19"/>
  <c r="E117" i="19"/>
  <c r="E118" i="19"/>
  <c r="E119" i="19"/>
  <c r="E120" i="19"/>
  <c r="E121" i="19"/>
  <c r="E122" i="19"/>
  <c r="E123" i="19"/>
  <c r="E124" i="19"/>
  <c r="E125" i="19"/>
  <c r="E126" i="19"/>
  <c r="E127" i="19"/>
  <c r="E3" i="19"/>
  <c r="E105" i="18" l="1"/>
  <c r="E4" i="18"/>
  <c r="E5" i="18"/>
  <c r="E6" i="18"/>
  <c r="E7" i="18"/>
  <c r="E8" i="18"/>
  <c r="E9" i="18"/>
  <c r="E10" i="18"/>
  <c r="E11" i="18"/>
  <c r="E12" i="18"/>
  <c r="E13" i="18"/>
  <c r="E14" i="18"/>
  <c r="E15" i="18"/>
  <c r="E16" i="18"/>
  <c r="E17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36" i="18"/>
  <c r="E37" i="18"/>
  <c r="E38" i="18"/>
  <c r="E39" i="18"/>
  <c r="E40" i="18"/>
  <c r="E41" i="18"/>
  <c r="E42" i="18"/>
  <c r="E43" i="18"/>
  <c r="E44" i="18"/>
  <c r="E45" i="18"/>
  <c r="E46" i="18"/>
  <c r="E47" i="18"/>
  <c r="E48" i="18"/>
  <c r="E49" i="18"/>
  <c r="E50" i="18"/>
  <c r="E51" i="18"/>
  <c r="E52" i="18"/>
  <c r="E53" i="18"/>
  <c r="E54" i="18"/>
  <c r="E55" i="18"/>
  <c r="E56" i="18"/>
  <c r="E57" i="18"/>
  <c r="E58" i="18"/>
  <c r="E59" i="18"/>
  <c r="E60" i="18"/>
  <c r="E61" i="18"/>
  <c r="E62" i="18"/>
  <c r="E63" i="18"/>
  <c r="E64" i="18"/>
  <c r="E65" i="18"/>
  <c r="E66" i="18"/>
  <c r="E67" i="18"/>
  <c r="E68" i="18"/>
  <c r="E69" i="18"/>
  <c r="E70" i="18"/>
  <c r="E71" i="18"/>
  <c r="E72" i="18"/>
  <c r="E73" i="18"/>
  <c r="E74" i="18"/>
  <c r="E75" i="18"/>
  <c r="E76" i="18"/>
  <c r="E77" i="18"/>
  <c r="E78" i="18"/>
  <c r="E79" i="18"/>
  <c r="E80" i="18"/>
  <c r="E81" i="18"/>
  <c r="E82" i="18"/>
  <c r="E83" i="18"/>
  <c r="E84" i="18"/>
  <c r="E85" i="18"/>
  <c r="E86" i="18"/>
  <c r="E87" i="18"/>
  <c r="E88" i="18"/>
  <c r="E89" i="18"/>
  <c r="E90" i="18"/>
  <c r="E91" i="18"/>
  <c r="E92" i="18"/>
  <c r="E93" i="18"/>
  <c r="E94" i="18"/>
  <c r="E95" i="18"/>
  <c r="E96" i="18"/>
  <c r="E97" i="18"/>
  <c r="E98" i="18"/>
  <c r="E99" i="18"/>
  <c r="E100" i="18"/>
  <c r="E101" i="18"/>
  <c r="E102" i="18"/>
  <c r="E103" i="18"/>
  <c r="E104" i="18"/>
  <c r="E3" i="18"/>
  <c r="E123" i="17" l="1"/>
  <c r="E4" i="17"/>
  <c r="E5" i="17"/>
  <c r="E6" i="17"/>
  <c r="E7" i="17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0" i="17"/>
  <c r="E41" i="17"/>
  <c r="E42" i="17"/>
  <c r="E43" i="17"/>
  <c r="E44" i="17"/>
  <c r="E45" i="17"/>
  <c r="E46" i="17"/>
  <c r="E47" i="17"/>
  <c r="E48" i="17"/>
  <c r="E49" i="17"/>
  <c r="E50" i="17"/>
  <c r="E51" i="17"/>
  <c r="E52" i="17"/>
  <c r="E53" i="17"/>
  <c r="E54" i="17"/>
  <c r="E55" i="17"/>
  <c r="E56" i="17"/>
  <c r="E57" i="17"/>
  <c r="E58" i="17"/>
  <c r="E59" i="17"/>
  <c r="E60" i="17"/>
  <c r="E61" i="17"/>
  <c r="E62" i="17"/>
  <c r="E63" i="17"/>
  <c r="E64" i="17"/>
  <c r="E65" i="17"/>
  <c r="E66" i="17"/>
  <c r="E67" i="17"/>
  <c r="E68" i="17"/>
  <c r="E69" i="17"/>
  <c r="E70" i="17"/>
  <c r="E71" i="17"/>
  <c r="E72" i="17"/>
  <c r="E73" i="17"/>
  <c r="E74" i="17"/>
  <c r="E75" i="17"/>
  <c r="E76" i="17"/>
  <c r="E77" i="17"/>
  <c r="E78" i="17"/>
  <c r="E79" i="17"/>
  <c r="E80" i="17"/>
  <c r="E81" i="17"/>
  <c r="E82" i="17"/>
  <c r="E83" i="17"/>
  <c r="E84" i="17"/>
  <c r="E85" i="17"/>
  <c r="E86" i="17"/>
  <c r="E87" i="17"/>
  <c r="E88" i="17"/>
  <c r="E89" i="17"/>
  <c r="E90" i="17"/>
  <c r="E91" i="17"/>
  <c r="E92" i="17"/>
  <c r="E93" i="17"/>
  <c r="E94" i="17"/>
  <c r="E95" i="17"/>
  <c r="E96" i="17"/>
  <c r="E97" i="17"/>
  <c r="E98" i="17"/>
  <c r="E99" i="17"/>
  <c r="E100" i="17"/>
  <c r="E101" i="17"/>
  <c r="E102" i="17"/>
  <c r="E103" i="17"/>
  <c r="E104" i="17"/>
  <c r="E105" i="17"/>
  <c r="E106" i="17"/>
  <c r="E107" i="17"/>
  <c r="E108" i="17"/>
  <c r="E109" i="17"/>
  <c r="E110" i="17"/>
  <c r="E111" i="17"/>
  <c r="E112" i="17"/>
  <c r="E113" i="17"/>
  <c r="E114" i="17"/>
  <c r="E115" i="17"/>
  <c r="E116" i="17"/>
  <c r="E117" i="17"/>
  <c r="E118" i="17"/>
  <c r="E119" i="17"/>
  <c r="E120" i="17"/>
  <c r="E121" i="17"/>
  <c r="E122" i="17"/>
  <c r="E3" i="17"/>
  <c r="E109" i="16" l="1"/>
  <c r="E4" i="16"/>
  <c r="E5" i="16"/>
  <c r="E6" i="16"/>
  <c r="E7" i="16"/>
  <c r="E8" i="16"/>
  <c r="E9" i="16"/>
  <c r="E10" i="16"/>
  <c r="E11" i="16"/>
  <c r="E12" i="16"/>
  <c r="E13" i="16"/>
  <c r="E14" i="16"/>
  <c r="E15" i="16"/>
  <c r="E16" i="16"/>
  <c r="E17" i="16"/>
  <c r="E18" i="16"/>
  <c r="E19" i="16"/>
  <c r="E20" i="16"/>
  <c r="E21" i="16"/>
  <c r="E22" i="16"/>
  <c r="E23" i="16"/>
  <c r="E24" i="16"/>
  <c r="E25" i="16"/>
  <c r="E26" i="16"/>
  <c r="E27" i="16"/>
  <c r="E28" i="16"/>
  <c r="E29" i="16"/>
  <c r="E30" i="16"/>
  <c r="E31" i="16"/>
  <c r="E32" i="16"/>
  <c r="E33" i="16"/>
  <c r="E34" i="16"/>
  <c r="E35" i="16"/>
  <c r="E36" i="16"/>
  <c r="E37" i="16"/>
  <c r="E38" i="16"/>
  <c r="E39" i="16"/>
  <c r="E40" i="16"/>
  <c r="E41" i="16"/>
  <c r="E42" i="16"/>
  <c r="E43" i="16"/>
  <c r="E44" i="16"/>
  <c r="E45" i="16"/>
  <c r="E46" i="16"/>
  <c r="E47" i="16"/>
  <c r="E48" i="16"/>
  <c r="E49" i="16"/>
  <c r="E50" i="16"/>
  <c r="E51" i="16"/>
  <c r="E52" i="16"/>
  <c r="E53" i="16"/>
  <c r="E54" i="16"/>
  <c r="E55" i="16"/>
  <c r="E56" i="16"/>
  <c r="E57" i="16"/>
  <c r="E58" i="16"/>
  <c r="E59" i="16"/>
  <c r="E60" i="16"/>
  <c r="E61" i="16"/>
  <c r="E62" i="16"/>
  <c r="E63" i="16"/>
  <c r="E64" i="16"/>
  <c r="E65" i="16"/>
  <c r="E66" i="16"/>
  <c r="E67" i="16"/>
  <c r="E68" i="16"/>
  <c r="E69" i="16"/>
  <c r="E70" i="16"/>
  <c r="E71" i="16"/>
  <c r="E72" i="16"/>
  <c r="E73" i="16"/>
  <c r="E74" i="16"/>
  <c r="E75" i="16"/>
  <c r="E76" i="16"/>
  <c r="E77" i="16"/>
  <c r="E78" i="16"/>
  <c r="E79" i="16"/>
  <c r="E80" i="16"/>
  <c r="E81" i="16"/>
  <c r="E82" i="16"/>
  <c r="E83" i="16"/>
  <c r="E84" i="16"/>
  <c r="E85" i="16"/>
  <c r="E86" i="16"/>
  <c r="E87" i="16"/>
  <c r="E88" i="16"/>
  <c r="E89" i="16"/>
  <c r="E90" i="16"/>
  <c r="E91" i="16"/>
  <c r="E92" i="16"/>
  <c r="E93" i="16"/>
  <c r="E94" i="16"/>
  <c r="E95" i="16"/>
  <c r="E96" i="16"/>
  <c r="E97" i="16"/>
  <c r="E98" i="16"/>
  <c r="E99" i="16"/>
  <c r="E100" i="16"/>
  <c r="E101" i="16"/>
  <c r="E102" i="16"/>
  <c r="E103" i="16"/>
  <c r="E104" i="16"/>
  <c r="E105" i="16"/>
  <c r="E106" i="16"/>
  <c r="E107" i="16"/>
  <c r="E108" i="16"/>
  <c r="E3" i="16"/>
  <c r="E115" i="14" l="1"/>
  <c r="E4" i="14"/>
  <c r="E5" i="14"/>
  <c r="E6" i="14"/>
  <c r="E7" i="14"/>
  <c r="E8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E21" i="14"/>
  <c r="E22" i="14"/>
  <c r="E23" i="14"/>
  <c r="E24" i="14"/>
  <c r="E25" i="14"/>
  <c r="E26" i="14"/>
  <c r="E27" i="14"/>
  <c r="E28" i="14"/>
  <c r="E29" i="14"/>
  <c r="E30" i="14"/>
  <c r="E31" i="14"/>
  <c r="E32" i="14"/>
  <c r="E33" i="14"/>
  <c r="E34" i="14"/>
  <c r="E35" i="14"/>
  <c r="E36" i="14"/>
  <c r="E37" i="14"/>
  <c r="E38" i="14"/>
  <c r="E39" i="14"/>
  <c r="E40" i="14"/>
  <c r="E41" i="14"/>
  <c r="E42" i="14"/>
  <c r="E43" i="14"/>
  <c r="E44" i="14"/>
  <c r="E45" i="14"/>
  <c r="E46" i="14"/>
  <c r="E47" i="14"/>
  <c r="E48" i="14"/>
  <c r="E49" i="14"/>
  <c r="E50" i="14"/>
  <c r="E51" i="14"/>
  <c r="E52" i="14"/>
  <c r="E53" i="14"/>
  <c r="E54" i="14"/>
  <c r="E55" i="14"/>
  <c r="E56" i="14"/>
  <c r="E57" i="14"/>
  <c r="E58" i="14"/>
  <c r="E59" i="14"/>
  <c r="E60" i="14"/>
  <c r="E61" i="14"/>
  <c r="E62" i="14"/>
  <c r="E63" i="14"/>
  <c r="E64" i="14"/>
  <c r="E65" i="14"/>
  <c r="E66" i="14"/>
  <c r="E67" i="14"/>
  <c r="E68" i="14"/>
  <c r="E69" i="14"/>
  <c r="E70" i="14"/>
  <c r="E71" i="14"/>
  <c r="E72" i="14"/>
  <c r="E73" i="14"/>
  <c r="E74" i="14"/>
  <c r="E75" i="14"/>
  <c r="E76" i="14"/>
  <c r="E77" i="14"/>
  <c r="E78" i="14"/>
  <c r="E79" i="14"/>
  <c r="E80" i="14"/>
  <c r="E81" i="14"/>
  <c r="E82" i="14"/>
  <c r="E83" i="14"/>
  <c r="E84" i="14"/>
  <c r="E85" i="14"/>
  <c r="E86" i="14"/>
  <c r="E87" i="14"/>
  <c r="E88" i="14"/>
  <c r="E89" i="14"/>
  <c r="E90" i="14"/>
  <c r="E91" i="14"/>
  <c r="E92" i="14"/>
  <c r="E93" i="14"/>
  <c r="E94" i="14"/>
  <c r="E95" i="14"/>
  <c r="E96" i="14"/>
  <c r="E97" i="14"/>
  <c r="E98" i="14"/>
  <c r="E99" i="14"/>
  <c r="E100" i="14"/>
  <c r="E101" i="14"/>
  <c r="E102" i="14"/>
  <c r="E103" i="14"/>
  <c r="E104" i="14"/>
  <c r="E105" i="14"/>
  <c r="E106" i="14"/>
  <c r="E107" i="14"/>
  <c r="E108" i="14"/>
  <c r="E109" i="14"/>
  <c r="E110" i="14"/>
  <c r="E111" i="14"/>
  <c r="E112" i="14"/>
  <c r="E113" i="14"/>
  <c r="E114" i="14"/>
  <c r="E3" i="14"/>
  <c r="E133" i="13" l="1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130" i="13"/>
  <c r="E131" i="13"/>
  <c r="E132" i="13"/>
  <c r="E3" i="13"/>
  <c r="E108" i="12" l="1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3" i="12"/>
  <c r="E126" i="11" l="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3" i="11"/>
  <c r="E146" i="7" l="1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3" i="10"/>
  <c r="E107" i="10" s="1"/>
  <c r="E128" i="9" l="1"/>
  <c r="E129" i="9"/>
  <c r="E68" i="9"/>
  <c r="E132" i="9"/>
  <c r="E122" i="9"/>
  <c r="E95" i="9"/>
  <c r="E88" i="9"/>
  <c r="E85" i="9"/>
  <c r="E80" i="9"/>
  <c r="E72" i="9"/>
  <c r="E62" i="9"/>
  <c r="E58" i="9"/>
  <c r="E54" i="9"/>
  <c r="E53" i="9"/>
  <c r="E51" i="9"/>
  <c r="E49" i="9"/>
  <c r="E47" i="9"/>
  <c r="E44" i="9"/>
  <c r="E38" i="9"/>
  <c r="E35" i="9"/>
  <c r="E34" i="9"/>
  <c r="E31" i="9"/>
  <c r="E27" i="9"/>
  <c r="E24" i="9"/>
  <c r="E22" i="9"/>
  <c r="E19" i="9"/>
  <c r="E16" i="9"/>
  <c r="E13" i="9"/>
  <c r="E8" i="9"/>
  <c r="E2" i="9"/>
  <c r="E127" i="9"/>
  <c r="E147" i="9"/>
  <c r="E146" i="9"/>
  <c r="E140" i="9"/>
  <c r="E137" i="9"/>
  <c r="E135" i="9"/>
  <c r="E130" i="9"/>
  <c r="E120" i="9"/>
  <c r="E118" i="9"/>
  <c r="E115" i="9"/>
  <c r="E107" i="9"/>
  <c r="E91" i="9"/>
  <c r="E87" i="9"/>
  <c r="E84" i="9"/>
  <c r="E82" i="9"/>
  <c r="E81" i="9"/>
  <c r="E78" i="9"/>
  <c r="E70" i="9"/>
  <c r="E69" i="9"/>
  <c r="E65" i="9"/>
  <c r="E64" i="9"/>
  <c r="E59" i="9"/>
  <c r="E56" i="9"/>
  <c r="E52" i="9"/>
  <c r="E42" i="9"/>
  <c r="E40" i="9"/>
  <c r="E37" i="9"/>
  <c r="E33" i="9"/>
  <c r="E30" i="9"/>
  <c r="E29" i="9"/>
  <c r="E148" i="9" s="1"/>
  <c r="E28" i="9"/>
  <c r="E11" i="9"/>
  <c r="E4" i="9"/>
  <c r="E3" i="9"/>
  <c r="D114" i="8" l="1"/>
  <c r="D113" i="8"/>
  <c r="E113" i="8" s="1"/>
  <c r="D112" i="8"/>
  <c r="E112" i="8" s="1"/>
  <c r="D111" i="8"/>
  <c r="E111" i="8" s="1"/>
  <c r="D104" i="8"/>
  <c r="E104" i="8" s="1"/>
  <c r="D102" i="8"/>
  <c r="E102" i="8" s="1"/>
  <c r="D100" i="8"/>
  <c r="E100" i="8" s="1"/>
  <c r="D97" i="8"/>
  <c r="D86" i="8"/>
  <c r="D83" i="8"/>
  <c r="D77" i="8"/>
  <c r="E77" i="8" s="1"/>
  <c r="D74" i="8"/>
  <c r="E74" i="8" s="1"/>
  <c r="D73" i="8"/>
  <c r="E73" i="8" s="1"/>
  <c r="D70" i="8"/>
  <c r="E70" i="8" s="1"/>
  <c r="D65" i="8"/>
  <c r="E65" i="8" s="1"/>
  <c r="D62" i="8"/>
  <c r="E62" i="8" s="1"/>
  <c r="D61" i="8"/>
  <c r="E61" i="8" s="1"/>
  <c r="D58" i="8"/>
  <c r="E58" i="8" s="1"/>
  <c r="D57" i="8"/>
  <c r="D55" i="8"/>
  <c r="E55" i="8" s="1"/>
  <c r="D54" i="8"/>
  <c r="E54" i="8" s="1"/>
  <c r="D53" i="8"/>
  <c r="D50" i="8"/>
  <c r="E50" i="8" s="1"/>
  <c r="D48" i="8"/>
  <c r="E48" i="8" s="1"/>
  <c r="D47" i="8"/>
  <c r="D46" i="8"/>
  <c r="E46" i="8" s="1"/>
  <c r="D44" i="8"/>
  <c r="E44" i="8" s="1"/>
  <c r="D39" i="8"/>
  <c r="E39" i="8" s="1"/>
  <c r="D36" i="8"/>
  <c r="D35" i="8"/>
  <c r="E35" i="8" s="1"/>
  <c r="D33" i="8"/>
  <c r="E32" i="8"/>
  <c r="D29" i="8"/>
  <c r="E29" i="8" s="1"/>
  <c r="D28" i="8"/>
  <c r="E28" i="8" s="1"/>
  <c r="D26" i="8"/>
  <c r="E26" i="8" s="1"/>
  <c r="E22" i="8"/>
  <c r="D20" i="8"/>
  <c r="E20" i="8" s="1"/>
  <c r="D12" i="8"/>
  <c r="D10" i="8"/>
  <c r="D8" i="8"/>
  <c r="D4" i="8"/>
  <c r="E4" i="8" s="1"/>
  <c r="D3" i="8"/>
  <c r="D2" i="8"/>
  <c r="E2" i="8" s="1"/>
  <c r="E67" i="8"/>
  <c r="E53" i="8"/>
  <c r="E52" i="8"/>
  <c r="E38" i="8"/>
  <c r="E36" i="8"/>
  <c r="E33" i="8"/>
  <c r="E25" i="8"/>
  <c r="E16" i="8"/>
  <c r="E12" i="8"/>
  <c r="E8" i="8"/>
  <c r="E7" i="8"/>
  <c r="E57" i="8"/>
  <c r="E3" i="8"/>
  <c r="E31" i="8"/>
  <c r="E10" i="8"/>
  <c r="E114" i="8"/>
  <c r="E109" i="8"/>
  <c r="E108" i="8"/>
  <c r="E107" i="8"/>
  <c r="E97" i="8"/>
  <c r="E93" i="8"/>
  <c r="E86" i="8"/>
  <c r="E83" i="8"/>
  <c r="E82" i="8"/>
  <c r="E80" i="8"/>
  <c r="E63" i="8"/>
  <c r="E47" i="8"/>
  <c r="E43" i="8"/>
  <c r="E123" i="8" l="1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3" i="7"/>
  <c r="E104" i="7" l="1"/>
  <c r="E145" i="7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3" i="6"/>
  <c r="E106" i="6" l="1"/>
  <c r="E147" i="6"/>
  <c r="E148" i="6" s="1"/>
  <c r="E6" i="5"/>
  <c r="E4" i="5"/>
  <c r="E5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3" i="5"/>
  <c r="E94" i="5" l="1"/>
  <c r="E132" i="5"/>
  <c r="E133" i="5" s="1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3" i="4"/>
  <c r="E152" i="4" l="1"/>
  <c r="E112" i="4"/>
  <c r="E25" i="3"/>
  <c r="E73" i="3"/>
  <c r="E139" i="3"/>
  <c r="E123" i="3"/>
  <c r="E122" i="3"/>
  <c r="E119" i="3"/>
  <c r="E115" i="3"/>
  <c r="E113" i="3"/>
  <c r="E110" i="3"/>
  <c r="E109" i="3"/>
  <c r="E108" i="3"/>
  <c r="E127" i="3"/>
  <c r="E107" i="3"/>
  <c r="E97" i="3"/>
  <c r="E96" i="3"/>
  <c r="E95" i="3"/>
  <c r="E86" i="3"/>
  <c r="E78" i="3"/>
  <c r="E67" i="3"/>
  <c r="E66" i="3"/>
  <c r="E62" i="3"/>
  <c r="E60" i="3"/>
  <c r="E54" i="3"/>
  <c r="E51" i="3"/>
  <c r="E47" i="3"/>
  <c r="E46" i="3"/>
  <c r="E41" i="3"/>
  <c r="E35" i="3"/>
  <c r="E32" i="3"/>
  <c r="E31" i="3"/>
  <c r="E29" i="3"/>
  <c r="E22" i="3"/>
  <c r="E19" i="3"/>
  <c r="E17" i="3"/>
  <c r="E14" i="3"/>
  <c r="E9" i="3"/>
  <c r="E6" i="3"/>
  <c r="E5" i="3"/>
  <c r="E4" i="3"/>
  <c r="E2" i="3"/>
  <c r="E3" i="3"/>
  <c r="E7" i="3"/>
  <c r="E8" i="3"/>
  <c r="E10" i="3"/>
  <c r="E11" i="3"/>
  <c r="E12" i="3"/>
  <c r="E13" i="3"/>
  <c r="E15" i="3"/>
  <c r="E16" i="3"/>
  <c r="E18" i="3"/>
  <c r="E20" i="3"/>
  <c r="E21" i="3"/>
  <c r="E23" i="3"/>
  <c r="E24" i="3"/>
  <c r="E26" i="3"/>
  <c r="E27" i="3"/>
  <c r="E28" i="3"/>
  <c r="E30" i="3"/>
  <c r="E33" i="3"/>
  <c r="E34" i="3"/>
  <c r="E36" i="3"/>
  <c r="E37" i="3"/>
  <c r="E38" i="3"/>
  <c r="E39" i="3"/>
  <c r="E40" i="3"/>
  <c r="E42" i="3"/>
  <c r="E43" i="3"/>
  <c r="E44" i="3"/>
  <c r="E45" i="3"/>
  <c r="E48" i="3"/>
  <c r="E49" i="3"/>
  <c r="E50" i="3"/>
  <c r="E52" i="3"/>
  <c r="E53" i="3"/>
  <c r="E55" i="3"/>
  <c r="E56" i="3"/>
  <c r="E57" i="3"/>
  <c r="E58" i="3"/>
  <c r="E59" i="3"/>
  <c r="E61" i="3"/>
  <c r="E63" i="3"/>
  <c r="E64" i="3"/>
  <c r="E65" i="3"/>
  <c r="E68" i="3"/>
  <c r="E69" i="3"/>
  <c r="E70" i="3"/>
  <c r="E71" i="3"/>
  <c r="E72" i="3"/>
  <c r="E74" i="3"/>
  <c r="E75" i="3"/>
  <c r="E76" i="3"/>
  <c r="E77" i="3"/>
  <c r="E79" i="3"/>
  <c r="E80" i="3"/>
  <c r="E81" i="3"/>
  <c r="E82" i="3"/>
  <c r="E83" i="3"/>
  <c r="E84" i="3"/>
  <c r="E85" i="3"/>
  <c r="E87" i="3"/>
  <c r="E88" i="3"/>
  <c r="E89" i="3"/>
  <c r="E90" i="3"/>
  <c r="E91" i="3"/>
  <c r="E92" i="3"/>
  <c r="E93" i="3"/>
  <c r="E94" i="3"/>
  <c r="E98" i="3"/>
  <c r="E99" i="3"/>
  <c r="E100" i="3"/>
  <c r="E101" i="3"/>
  <c r="E102" i="3"/>
  <c r="E103" i="3"/>
  <c r="E104" i="3"/>
  <c r="E111" i="3"/>
  <c r="E112" i="3"/>
  <c r="E114" i="3"/>
  <c r="E116" i="3"/>
  <c r="E117" i="3"/>
  <c r="E118" i="3"/>
  <c r="E120" i="3"/>
  <c r="E121" i="3"/>
  <c r="E124" i="3"/>
  <c r="E125" i="3"/>
  <c r="E126" i="3"/>
  <c r="E128" i="3"/>
  <c r="E129" i="3"/>
  <c r="E130" i="3"/>
  <c r="E131" i="3"/>
  <c r="E132" i="3"/>
  <c r="E133" i="3"/>
  <c r="E134" i="3"/>
  <c r="E135" i="3"/>
  <c r="E136" i="3"/>
  <c r="E137" i="3"/>
  <c r="E138" i="3"/>
  <c r="E140" i="3"/>
  <c r="E141" i="3"/>
  <c r="E142" i="3"/>
  <c r="E143" i="3"/>
  <c r="E153" i="4" l="1"/>
  <c r="E144" i="3"/>
  <c r="E105" i="3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3" i="2"/>
  <c r="E145" i="3" l="1"/>
  <c r="E138" i="2"/>
  <c r="E104" i="2"/>
  <c r="E141" i="1"/>
  <c r="E137" i="1"/>
  <c r="E136" i="1"/>
  <c r="E131" i="1"/>
  <c r="E130" i="1"/>
  <c r="E127" i="1"/>
  <c r="E123" i="1"/>
  <c r="E121" i="1"/>
  <c r="E118" i="1"/>
  <c r="E111" i="1"/>
  <c r="E99" i="1"/>
  <c r="E96" i="1"/>
  <c r="E93" i="1"/>
  <c r="E92" i="1"/>
  <c r="E86" i="1"/>
  <c r="E84" i="1"/>
  <c r="E83" i="1"/>
  <c r="E80" i="1"/>
  <c r="E77" i="1"/>
  <c r="E75" i="1"/>
  <c r="E71" i="1"/>
  <c r="E64" i="1"/>
  <c r="E62" i="1"/>
  <c r="E58" i="1"/>
  <c r="E55" i="1"/>
  <c r="E52" i="1"/>
  <c r="E51" i="1"/>
  <c r="E45" i="1"/>
  <c r="E39" i="1"/>
  <c r="E37" i="1"/>
  <c r="E35" i="1"/>
  <c r="E30" i="1"/>
  <c r="E26" i="1"/>
  <c r="E24" i="1"/>
  <c r="E23" i="1"/>
  <c r="E20" i="1"/>
  <c r="E16" i="1"/>
  <c r="E7" i="1"/>
  <c r="E6" i="1"/>
  <c r="E5" i="1"/>
  <c r="E4" i="1"/>
  <c r="E143" i="1"/>
  <c r="E134" i="1"/>
  <c r="E129" i="1"/>
  <c r="E128" i="1"/>
  <c r="E126" i="1"/>
  <c r="E122" i="1"/>
  <c r="E120" i="1"/>
  <c r="E119" i="1"/>
  <c r="E117" i="1"/>
  <c r="E114" i="1"/>
  <c r="E112" i="1"/>
  <c r="E110" i="1"/>
  <c r="E98" i="1"/>
  <c r="E97" i="1"/>
  <c r="E94" i="1"/>
  <c r="E90" i="1"/>
  <c r="E89" i="1"/>
  <c r="E74" i="1"/>
  <c r="E69" i="1"/>
  <c r="E68" i="1"/>
  <c r="E67" i="1"/>
  <c r="E66" i="1"/>
  <c r="E60" i="1"/>
  <c r="E56" i="1"/>
  <c r="E54" i="1"/>
  <c r="E53" i="1"/>
  <c r="E49" i="1"/>
  <c r="E48" i="1"/>
  <c r="E46" i="1"/>
  <c r="E44" i="1"/>
  <c r="E33" i="1"/>
  <c r="E29" i="1"/>
  <c r="E27" i="1"/>
  <c r="E25" i="1"/>
  <c r="E17" i="1"/>
  <c r="E9" i="1"/>
  <c r="E139" i="2" l="1"/>
  <c r="E148" i="1"/>
  <c r="E107" i="1"/>
  <c r="E149" i="1" l="1"/>
</calcChain>
</file>

<file path=xl/sharedStrings.xml><?xml version="1.0" encoding="utf-8"?>
<sst xmlns="http://schemas.openxmlformats.org/spreadsheetml/2006/main" count="6916" uniqueCount="194">
  <si>
    <t>ĐVT</t>
  </si>
  <si>
    <t>Tồn
ĐL
現在個</t>
  </si>
  <si>
    <t>Bắp Cải Tím</t>
  </si>
  <si>
    <t>Kg</t>
  </si>
  <si>
    <t>Bắp Cải Trái Tim</t>
  </si>
  <si>
    <t>Bắp Cải Trắng</t>
  </si>
  <si>
    <t>Bí Đỏ Hồ Lô</t>
  </si>
  <si>
    <t>Bí Đỏ Tròn</t>
  </si>
  <si>
    <t>Bí Ngòi Xanh</t>
  </si>
  <si>
    <t>Trái</t>
  </si>
  <si>
    <t>Bí Non Nhật</t>
  </si>
  <si>
    <t>Bơ Booth</t>
  </si>
  <si>
    <t>Bông Cải Trắng</t>
  </si>
  <si>
    <t>Bông Cải Xanh 10Cm</t>
  </si>
  <si>
    <t>Bông Cải Xanh 12Cm</t>
  </si>
  <si>
    <t>Bông Cải Xanh 7Cm</t>
  </si>
  <si>
    <t>Bông Cải Xanh Baby</t>
  </si>
  <si>
    <t>Vỉ</t>
  </si>
  <si>
    <t>Cà Chua Beef</t>
  </si>
  <si>
    <t>Vỉ 650gr</t>
  </si>
  <si>
    <t>Cà Chua Beef Trung</t>
  </si>
  <si>
    <t>Vỉ 500gr</t>
  </si>
  <si>
    <t>Cà Chua Bi Đỏ</t>
  </si>
  <si>
    <t>Hộp 300gr</t>
  </si>
  <si>
    <t>Cà Chua Bi Mix</t>
  </si>
  <si>
    <t>Hộp</t>
  </si>
  <si>
    <t>Cà Chua Socola</t>
  </si>
  <si>
    <t>Hộp 250GR</t>
  </si>
  <si>
    <t>Cà Chua Thường</t>
  </si>
  <si>
    <t>Cà Chua Thường Trung</t>
  </si>
  <si>
    <t>Túi</t>
  </si>
  <si>
    <t>Cà Rốt</t>
  </si>
  <si>
    <t>Cà Rốt Baby</t>
  </si>
  <si>
    <t>Cà Tím</t>
  </si>
  <si>
    <t>Cặp</t>
  </si>
  <si>
    <t>Cải Bó Xôi</t>
  </si>
  <si>
    <t>Cải Cầu Vồng</t>
  </si>
  <si>
    <t>Cải Kale</t>
  </si>
  <si>
    <t>Cải Thảo</t>
  </si>
  <si>
    <t>Cần Tây</t>
  </si>
  <si>
    <t>Cây</t>
  </si>
  <si>
    <t>Chuối Laba</t>
  </si>
  <si>
    <t>Củ Cải Đỏ</t>
  </si>
  <si>
    <t>Củ Cải Muối</t>
  </si>
  <si>
    <t>Củ Cải Trắng</t>
  </si>
  <si>
    <t>Củ Dền</t>
  </si>
  <si>
    <t>Củ Gừng</t>
  </si>
  <si>
    <t>Củ Hành Tây</t>
  </si>
  <si>
    <t>Túi 300gr</t>
  </si>
  <si>
    <t>Củ Hành Tây Trung</t>
  </si>
  <si>
    <t>Củ Khoai Lang Mật Size 23</t>
  </si>
  <si>
    <t>Củ Khoai Lang Mật Size 46</t>
  </si>
  <si>
    <t>Củ Khoai Lang Mật xô</t>
  </si>
  <si>
    <t>Củ Khoai Lang Nhật</t>
  </si>
  <si>
    <t>Củ Khoai Mỡ</t>
  </si>
  <si>
    <t>Củ Khoai Sâm</t>
  </si>
  <si>
    <t>Củ Khoai Tây Vàng</t>
  </si>
  <si>
    <t>Củ Khoai Tây Vàng Trung</t>
  </si>
  <si>
    <t>Củ Su Hào</t>
  </si>
  <si>
    <t>Đậu Cove Nhật</t>
  </si>
  <si>
    <t>Đậu Cove Trắng</t>
  </si>
  <si>
    <t>Túi 500gr</t>
  </si>
  <si>
    <t>Đậu Đỏ</t>
  </si>
  <si>
    <t>Đậu Ngự</t>
  </si>
  <si>
    <t>Đậu Trắng</t>
  </si>
  <si>
    <t>Dưa Leo Baby</t>
  </si>
  <si>
    <t>Dưa Leo Nhật</t>
  </si>
  <si>
    <t>Dưa Leo Thường</t>
  </si>
  <si>
    <t>Hành Paro</t>
  </si>
  <si>
    <t>Hạt Dẻ Ngố</t>
  </si>
  <si>
    <t>Lá Mè</t>
  </si>
  <si>
    <t>Lá Nha Đam</t>
  </si>
  <si>
    <t>Ớt Chuông Ba Màu</t>
  </si>
  <si>
    <t>Ớt Chuông Baby</t>
  </si>
  <si>
    <t>Ớt Chuông Đỏ</t>
  </si>
  <si>
    <t>Ớt Chuông Đỏ Trung</t>
  </si>
  <si>
    <t>Ớt Chuông Vàng</t>
  </si>
  <si>
    <t>Ớt Chuông Vàng Trung</t>
  </si>
  <si>
    <t>Ớt Chuông Xanh</t>
  </si>
  <si>
    <t>Ớt Sweet Palemo</t>
  </si>
  <si>
    <t>Rau Bầu Đất</t>
  </si>
  <si>
    <t>Trái Bưởi Diễn</t>
  </si>
  <si>
    <t>Trái Bưởi Đường</t>
  </si>
  <si>
    <t>Trái Bưởi Tiến Vua</t>
  </si>
  <si>
    <t>Trái Cam Canh</t>
  </si>
  <si>
    <t>Trái Khổ Qua</t>
  </si>
  <si>
    <t>Trái Phật Thủ</t>
  </si>
  <si>
    <t>Trái Su Su</t>
  </si>
  <si>
    <t>Xà Lách Lolo Xanh</t>
  </si>
  <si>
    <t>Xà Lách Lolo Xanh T.C</t>
  </si>
  <si>
    <t>Xà Lách Lolo Xanh T.C Cây</t>
  </si>
  <si>
    <t>Xà Lách Mỡ T.C</t>
  </si>
  <si>
    <t>Xà Lách Mỡ T.C Cây</t>
  </si>
  <si>
    <t>Xà Lách Romaine T.C</t>
  </si>
  <si>
    <t>Xà Lách Thủy Tinh T.C</t>
  </si>
  <si>
    <t>Xà Lách Thủy Tinh T.C Cây</t>
  </si>
  <si>
    <t>Bí Đao Xanh</t>
  </si>
  <si>
    <t>Bông Cải Xanh Cọng</t>
  </si>
  <si>
    <t>Cải Thảo Hỏa Tiễn</t>
  </si>
  <si>
    <t>Cải Thảo Kim Chi</t>
  </si>
  <si>
    <t>Chanh Dây Tím</t>
  </si>
  <si>
    <t>Hồng Giòn Đà Lạt</t>
  </si>
  <si>
    <t>Gía nhập</t>
  </si>
  <si>
    <t>Thành tiền</t>
  </si>
  <si>
    <t>Tên Sản phẩm
VR</t>
  </si>
  <si>
    <t>Tên Sản phẩm
KQ</t>
  </si>
  <si>
    <t>Tên Sản phẩm</t>
  </si>
  <si>
    <t>Bông Cải Xanh CÂY</t>
  </si>
  <si>
    <t>Củ Khoai Tây Bi Vàng</t>
  </si>
  <si>
    <t>Trái Mâm Xôi</t>
  </si>
  <si>
    <t>hàng tồn cuối ngày 2/2 vr</t>
  </si>
  <si>
    <t>tồn</t>
  </si>
  <si>
    <t>giá</t>
  </si>
  <si>
    <t>thành tiền</t>
  </si>
  <si>
    <t>dvt</t>
  </si>
  <si>
    <t>kq</t>
  </si>
  <si>
    <t>Bí Ngòi Vàng</t>
  </si>
  <si>
    <t>Bông Cải Xanh 12Cm CÂY</t>
  </si>
  <si>
    <t>Củ Khoai Tây Hồng</t>
  </si>
  <si>
    <t>Đậu Hà Lan Trái</t>
  </si>
  <si>
    <t>Đậu Tươi Hỗn Hợp Túi 100gr</t>
  </si>
  <si>
    <t>Rau Mầm</t>
  </si>
  <si>
    <t>Xà Lách Lolo Xanh Sushi</t>
  </si>
  <si>
    <t>hàng tồn cuối ngày 4/2 vr</t>
  </si>
  <si>
    <t>hàng tồn cuối ngày 5/2 vr</t>
  </si>
  <si>
    <t>Xà Lách Carol</t>
  </si>
  <si>
    <t>hàng tồn cuối ngày 6/2 vr</t>
  </si>
  <si>
    <t xml:space="preserve"> thành tiền</t>
  </si>
  <si>
    <t>Bông Cải Xanh Gốc Dài</t>
  </si>
  <si>
    <t>Đậu Cúc</t>
  </si>
  <si>
    <t>hàng tồn cuối ngày 7/2 vr</t>
  </si>
  <si>
    <t>Bông Atiso</t>
  </si>
  <si>
    <t>Túi 150Gr</t>
  </si>
  <si>
    <t>Chanh Không Hạt</t>
  </si>
  <si>
    <t>Củ Hành Tây Tím</t>
  </si>
  <si>
    <t>Củ Khoai Lang Nhật Baby</t>
  </si>
  <si>
    <t>Lá É</t>
  </si>
  <si>
    <t>Lá Hương Thảo</t>
  </si>
  <si>
    <t>Măng Tây</t>
  </si>
  <si>
    <t>Ớt Chuông Snack</t>
  </si>
  <si>
    <t>Trái Bầu</t>
  </si>
  <si>
    <t>Xà Lách Mỡ</t>
  </si>
  <si>
    <t>Xà Lách Mỹ</t>
  </si>
  <si>
    <t xml:space="preserve">Tên Sản phẩm
</t>
  </si>
  <si>
    <t>Bí Ngô Mini</t>
  </si>
  <si>
    <t>Bông Cải Xanh Cây</t>
  </si>
  <si>
    <t>Cà Rốt Trung</t>
  </si>
  <si>
    <t>Hoa Atiso Đỏ</t>
  </si>
  <si>
    <t>Hồng Treo Gió</t>
  </si>
  <si>
    <t>Gói</t>
  </si>
  <si>
    <t>Bó</t>
  </si>
  <si>
    <t>Nguyên Liệu Cơm Chiên Dương Châu Túi 150gr</t>
  </si>
  <si>
    <t>Rau Ngò Rí</t>
  </si>
  <si>
    <t>Rau Ngót</t>
  </si>
  <si>
    <t>Trái Mít Thái</t>
  </si>
  <si>
    <t>Xà Lách Lolo Tím</t>
  </si>
  <si>
    <t>Xà Lách Rocket</t>
  </si>
  <si>
    <t>Xà Lách Romaine</t>
  </si>
  <si>
    <t>hàng tồn cuối ngày 10/2</t>
  </si>
  <si>
    <t>Bơ 034 L1</t>
  </si>
  <si>
    <t>Mận Hậu</t>
  </si>
  <si>
    <t>hàng tồn cuối ngày 11/2</t>
  </si>
  <si>
    <t>TỒN</t>
  </si>
  <si>
    <t>GIÁ</t>
  </si>
  <si>
    <t>THÀNH TIỀN</t>
  </si>
  <si>
    <t>hàng tồn cuối ngày 12/2</t>
  </si>
  <si>
    <t>sáng báo lại -150</t>
  </si>
  <si>
    <t>sáng báo có tồn 100kg</t>
  </si>
  <si>
    <t>báo sáng</t>
  </si>
  <si>
    <t>sáng báo +150 vỉ</t>
  </si>
  <si>
    <t>sáng báo lại +180</t>
  </si>
  <si>
    <t>Hộp 500gr</t>
  </si>
  <si>
    <t>Hộp 350gr</t>
  </si>
  <si>
    <t>Ớt Chuông Xanh Trung</t>
  </si>
  <si>
    <t>hàng tồn cuối ngày 14/2 vr</t>
  </si>
  <si>
    <t>Cải Thảo KIM CHI</t>
  </si>
  <si>
    <t>hàng tồn cuối ngày 15/1</t>
  </si>
  <si>
    <t>hàng tồn cuối ngày 17/2</t>
  </si>
  <si>
    <t>Trái 250gr</t>
  </si>
  <si>
    <t>Trái 150gr</t>
  </si>
  <si>
    <t xml:space="preserve">hàng tồn cuối ngày 19/2 </t>
  </si>
  <si>
    <t>hàng tồn cuối ngày 19/2</t>
  </si>
  <si>
    <t>Cà Chua Beef 500Gr</t>
  </si>
  <si>
    <t xml:space="preserve">tồn </t>
  </si>
  <si>
    <t>hàng tồn cuối ngày 23/2</t>
  </si>
  <si>
    <t xml:space="preserve">hàng tồn cuối ngày 25/2 </t>
  </si>
  <si>
    <t>hàng tồn cuối ngày 26/2</t>
  </si>
  <si>
    <t>Hộp 500GR</t>
  </si>
  <si>
    <t>Hộp 350GR</t>
  </si>
  <si>
    <t>hàng tồn cuối ngày 27/2</t>
  </si>
  <si>
    <t>Sen Đá</t>
  </si>
  <si>
    <t>Giỏ</t>
  </si>
  <si>
    <t>Chậu</t>
  </si>
  <si>
    <t>hàng tồn cuối ngày 28/2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</si>
</sst>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_-;\-* #,##0.00_-;_-* &quot;-&quot;??_-;_-@_-"/>
    <numFmt numFmtId="165" formatCode="_(* #,##0_);_(* \(#,##0\);_(* &quot;-&quot;??_);_(@_)"/>
    <numFmt numFmtId="166" formatCode="_-* #,##0_-;\-* #,##0_-;_-* &quot;-&quot;??_-;_-@_-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rgb="FFC00000"/>
      <name val="Aptos Narrow"/>
      <family val="2"/>
      <scheme val="minor"/>
    </font>
    <font>
      <b/>
      <sz val="11"/>
      <color theme="1"/>
      <name val="Times New Roman"/>
      <family val="2"/>
    </font>
    <font>
      <b/>
      <sz val="12"/>
      <color theme="1"/>
      <name val="Times New Roman"/>
      <family val="1"/>
      <charset val="163"/>
    </font>
    <font>
      <sz val="11"/>
      <color rgb="FFFF0000"/>
      <name val="Aptos Narrow"/>
      <family val="2"/>
      <scheme val="minor"/>
    </font>
    <font>
      <b/>
      <sz val="15"/>
      <color theme="1"/>
      <name val="Times New Roman"/>
      <family val="2"/>
    </font>
    <font>
      <b/>
      <sz val="15"/>
      <color theme="1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11"/>
      <color rgb="FFFF0000"/>
      <name val="Times New Roman"/>
      <family val="1"/>
    </font>
    <font>
      <b/>
      <sz val="12"/>
      <color rgb="FFFF0000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8">
    <xf numFmtId="0" fontId="0" fillId="0" borderId="0" xfId="0"/>
    <xf numFmtId="0" fontId="3" fillId="3" borderId="0" xfId="0" applyFont="1" applyFill="1"/>
    <xf numFmtId="0" fontId="2" fillId="2" borderId="1" xfId="0" applyFont="1" applyFill="1" applyBorder="1" applyAlignment="1">
      <alignment vertical="center"/>
    </xf>
    <xf numFmtId="165" fontId="2" fillId="3" borderId="1" xfId="1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/>
    <xf numFmtId="0" fontId="2" fillId="4" borderId="1" xfId="0" applyFont="1" applyFill="1" applyBorder="1" applyAlignment="1">
      <alignment horizontal="center" vertical="center"/>
    </xf>
    <xf numFmtId="165" fontId="2" fillId="5" borderId="1" xfId="1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165" fontId="3" fillId="3" borderId="1" xfId="0" applyNumberFormat="1" applyFont="1" applyFill="1" applyBorder="1"/>
    <xf numFmtId="0" fontId="2" fillId="6" borderId="1" xfId="0" applyFont="1" applyFill="1" applyBorder="1" applyAlignment="1">
      <alignment vertical="center"/>
    </xf>
    <xf numFmtId="165" fontId="2" fillId="7" borderId="1" xfId="1" applyNumberFormat="1" applyFont="1" applyFill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166" fontId="2" fillId="5" borderId="1" xfId="1" applyNumberFormat="1" applyFont="1" applyFill="1" applyBorder="1" applyAlignment="1">
      <alignment horizontal="center" vertical="center"/>
    </xf>
    <xf numFmtId="166" fontId="3" fillId="3" borderId="1" xfId="1" applyNumberFormat="1" applyFont="1" applyFill="1" applyBorder="1"/>
    <xf numFmtId="166" fontId="2" fillId="7" borderId="1" xfId="1" applyNumberFormat="1" applyFont="1" applyFill="1" applyBorder="1" applyAlignment="1">
      <alignment vertical="center"/>
    </xf>
    <xf numFmtId="166" fontId="3" fillId="7" borderId="1" xfId="1" applyNumberFormat="1" applyFont="1" applyFill="1" applyBorder="1"/>
    <xf numFmtId="166" fontId="3" fillId="3" borderId="0" xfId="1" applyNumberFormat="1" applyFont="1" applyFill="1"/>
    <xf numFmtId="165" fontId="2" fillId="7" borderId="1" xfId="0" applyNumberFormat="1" applyFont="1" applyFill="1" applyBorder="1"/>
    <xf numFmtId="165" fontId="3" fillId="8" borderId="0" xfId="0" applyNumberFormat="1" applyFont="1" applyFill="1"/>
    <xf numFmtId="0" fontId="4" fillId="0" borderId="0" xfId="0" applyFont="1"/>
    <xf numFmtId="0" fontId="5" fillId="9" borderId="1" xfId="0" applyFont="1" applyFill="1" applyBorder="1" applyAlignment="1">
      <alignment vertical="center"/>
    </xf>
    <xf numFmtId="0" fontId="6" fillId="9" borderId="1" xfId="0" applyFont="1" applyFill="1" applyBorder="1" applyAlignment="1">
      <alignment vertical="center"/>
    </xf>
    <xf numFmtId="0" fontId="5" fillId="9" borderId="0" xfId="0" applyFont="1" applyFill="1" applyAlignment="1">
      <alignment vertical="center"/>
    </xf>
    <xf numFmtId="165" fontId="3" fillId="7" borderId="1" xfId="0" applyNumberFormat="1" applyFont="1" applyFill="1" applyBorder="1"/>
    <xf numFmtId="165" fontId="3" fillId="10" borderId="0" xfId="0" applyNumberFormat="1" applyFont="1" applyFill="1"/>
    <xf numFmtId="0" fontId="7" fillId="0" borderId="0" xfId="0" applyFont="1"/>
    <xf numFmtId="164" fontId="0" fillId="0" borderId="0" xfId="1" applyFont="1"/>
    <xf numFmtId="166" fontId="0" fillId="0" borderId="0" xfId="1" applyNumberFormat="1" applyFont="1"/>
    <xf numFmtId="164" fontId="0" fillId="0" borderId="0" xfId="0" applyNumberFormat="1"/>
    <xf numFmtId="0" fontId="0" fillId="3" borderId="0" xfId="0" applyFill="1"/>
    <xf numFmtId="0" fontId="5" fillId="2" borderId="1" xfId="0" applyFont="1" applyFill="1" applyBorder="1" applyAlignment="1">
      <alignment vertical="center"/>
    </xf>
    <xf numFmtId="165" fontId="5" fillId="3" borderId="1" xfId="1" applyNumberFormat="1" applyFont="1" applyFill="1" applyBorder="1" applyAlignment="1">
      <alignment vertical="center"/>
    </xf>
    <xf numFmtId="0" fontId="0" fillId="3" borderId="1" xfId="0" applyFill="1" applyBorder="1"/>
    <xf numFmtId="166" fontId="2" fillId="7" borderId="1" xfId="1" applyNumberFormat="1" applyFont="1" applyFill="1" applyBorder="1"/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vertical="center"/>
    </xf>
    <xf numFmtId="165" fontId="3" fillId="3" borderId="0" xfId="1" applyNumberFormat="1" applyFont="1" applyFill="1" applyAlignment="1">
      <alignment vertical="center"/>
    </xf>
    <xf numFmtId="166" fontId="3" fillId="3" borderId="1" xfId="1" applyNumberFormat="1" applyFont="1" applyFill="1" applyBorder="1" applyAlignment="1">
      <alignment vertical="center"/>
    </xf>
    <xf numFmtId="166" fontId="3" fillId="7" borderId="1" xfId="1" applyNumberFormat="1" applyFont="1" applyFill="1" applyBorder="1" applyAlignment="1">
      <alignment vertical="center"/>
    </xf>
    <xf numFmtId="166" fontId="3" fillId="3" borderId="0" xfId="1" applyNumberFormat="1" applyFont="1" applyFill="1" applyAlignment="1">
      <alignment vertical="center"/>
    </xf>
    <xf numFmtId="166" fontId="0" fillId="0" borderId="0" xfId="0" applyNumberFormat="1"/>
    <xf numFmtId="0" fontId="8" fillId="9" borderId="1" xfId="0" applyFont="1" applyFill="1" applyBorder="1" applyAlignment="1">
      <alignment horizontal="center" vertical="center"/>
    </xf>
    <xf numFmtId="165" fontId="6" fillId="11" borderId="1" xfId="1" applyNumberFormat="1" applyFont="1" applyFill="1" applyBorder="1" applyAlignment="1">
      <alignment horizontal="center" vertical="center" wrapText="1"/>
    </xf>
    <xf numFmtId="165" fontId="8" fillId="0" borderId="1" xfId="1" applyNumberFormat="1" applyFont="1" applyBorder="1" applyAlignment="1">
      <alignment horizontal="center" vertical="center"/>
    </xf>
    <xf numFmtId="165" fontId="8" fillId="0" borderId="1" xfId="1" applyNumberFormat="1" applyFont="1" applyBorder="1" applyAlignment="1">
      <alignment horizontal="center" vertical="center" wrapText="1"/>
    </xf>
    <xf numFmtId="165" fontId="5" fillId="12" borderId="1" xfId="1" applyNumberFormat="1" applyFont="1" applyFill="1" applyBorder="1" applyAlignment="1">
      <alignment vertical="center"/>
    </xf>
    <xf numFmtId="165" fontId="0" fillId="0" borderId="1" xfId="1" applyNumberFormat="1" applyFont="1" applyBorder="1" applyAlignment="1">
      <alignment vertical="center"/>
    </xf>
    <xf numFmtId="165" fontId="5" fillId="0" borderId="1" xfId="1" applyNumberFormat="1" applyFont="1" applyBorder="1" applyAlignment="1">
      <alignment vertical="center"/>
    </xf>
    <xf numFmtId="165" fontId="5" fillId="0" borderId="1" xfId="1" applyNumberFormat="1" applyFont="1" applyBorder="1" applyAlignment="1">
      <alignment vertical="center" wrapText="1"/>
    </xf>
    <xf numFmtId="165" fontId="0" fillId="0" borderId="0" xfId="0" applyNumberFormat="1"/>
    <xf numFmtId="0" fontId="9" fillId="9" borderId="1" xfId="0" applyFont="1" applyFill="1" applyBorder="1" applyAlignment="1">
      <alignment horizontal="center" vertical="center"/>
    </xf>
    <xf numFmtId="165" fontId="2" fillId="11" borderId="1" xfId="1" applyNumberFormat="1" applyFont="1" applyFill="1" applyBorder="1" applyAlignment="1">
      <alignment horizontal="center" vertical="center" wrapText="1"/>
    </xf>
    <xf numFmtId="165" fontId="9" fillId="13" borderId="1" xfId="1" applyNumberFormat="1" applyFont="1" applyFill="1" applyBorder="1" applyAlignment="1">
      <alignment horizontal="center" vertical="center" wrapText="1"/>
    </xf>
    <xf numFmtId="165" fontId="5" fillId="13" borderId="1" xfId="1" applyNumberFormat="1" applyFont="1" applyFill="1" applyBorder="1" applyAlignment="1">
      <alignment vertical="center"/>
    </xf>
    <xf numFmtId="0" fontId="5" fillId="9" borderId="2" xfId="0" applyFont="1" applyFill="1" applyBorder="1" applyAlignment="1">
      <alignment vertical="center"/>
    </xf>
    <xf numFmtId="0" fontId="0" fillId="0" borderId="1" xfId="0" applyBorder="1"/>
    <xf numFmtId="0" fontId="10" fillId="9" borderId="1" xfId="0" applyFont="1" applyFill="1" applyBorder="1" applyAlignment="1">
      <alignment vertical="center"/>
    </xf>
    <xf numFmtId="165" fontId="11" fillId="11" borderId="1" xfId="1" applyNumberFormat="1" applyFont="1" applyFill="1" applyBorder="1" applyAlignment="1">
      <alignment horizontal="center" vertical="center" wrapText="1"/>
    </xf>
    <xf numFmtId="165" fontId="9" fillId="12" borderId="1" xfId="1" applyNumberFormat="1" applyFont="1" applyFill="1" applyBorder="1" applyAlignment="1">
      <alignment horizontal="center" vertical="center" wrapText="1"/>
    </xf>
    <xf numFmtId="165" fontId="2" fillId="14" borderId="1" xfId="1" applyNumberFormat="1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165" fontId="2" fillId="7" borderId="1" xfId="1" applyNumberFormat="1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vertical="center"/>
    </xf>
    <xf numFmtId="165" fontId="13" fillId="11" borderId="1" xfId="1" applyNumberFormat="1" applyFont="1" applyFill="1" applyBorder="1" applyAlignment="1">
      <alignment horizontal="center" vertical="center" wrapText="1"/>
    </xf>
    <xf numFmtId="165" fontId="12" fillId="13" borderId="1" xfId="1" applyNumberFormat="1" applyFont="1" applyFill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Desktop\So_chi_tiet_mua_ha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Ổ CHI TIẾT MUA HÀNG"/>
    </sheetNames>
    <sheetDataSet>
      <sheetData sheetId="0">
        <row r="5">
          <cell r="B5" t="str">
            <v>Bắp Cải Tím</v>
          </cell>
          <cell r="C5" t="str">
            <v>Kg</v>
          </cell>
          <cell r="D5">
            <v>86</v>
          </cell>
          <cell r="E5">
            <v>17000</v>
          </cell>
        </row>
        <row r="6">
          <cell r="B6" t="str">
            <v>Bắp Cải Tím</v>
          </cell>
          <cell r="C6" t="str">
            <v>Kg</v>
          </cell>
          <cell r="D6">
            <v>10</v>
          </cell>
          <cell r="E6">
            <v>17000</v>
          </cell>
        </row>
        <row r="7">
          <cell r="B7" t="str">
            <v>Bắp Cải Trái Tim</v>
          </cell>
          <cell r="C7" t="str">
            <v>Kg</v>
          </cell>
          <cell r="D7">
            <v>300</v>
          </cell>
          <cell r="E7">
            <v>6000</v>
          </cell>
        </row>
        <row r="8">
          <cell r="B8" t="str">
            <v>Bắp Cải Trái Tim</v>
          </cell>
          <cell r="C8" t="str">
            <v>Kg</v>
          </cell>
          <cell r="D8">
            <v>250</v>
          </cell>
          <cell r="E8">
            <v>6000</v>
          </cell>
        </row>
        <row r="9">
          <cell r="B9" t="str">
            <v>Bắp Cải Trắng</v>
          </cell>
          <cell r="C9" t="str">
            <v>Kg</v>
          </cell>
          <cell r="D9">
            <v>120</v>
          </cell>
          <cell r="E9">
            <v>5500</v>
          </cell>
        </row>
        <row r="10">
          <cell r="B10" t="str">
            <v>Bắp Cải Trắng</v>
          </cell>
          <cell r="C10" t="str">
            <v>Kg</v>
          </cell>
          <cell r="D10">
            <v>480</v>
          </cell>
          <cell r="E10">
            <v>6000</v>
          </cell>
        </row>
        <row r="11">
          <cell r="B11" t="str">
            <v>Bắp Cải Trắng</v>
          </cell>
          <cell r="C11" t="str">
            <v>Kg</v>
          </cell>
          <cell r="D11">
            <v>70</v>
          </cell>
          <cell r="E11">
            <v>6000</v>
          </cell>
        </row>
        <row r="12">
          <cell r="B12" t="str">
            <v>Bắp Cải Trắng</v>
          </cell>
          <cell r="C12" t="str">
            <v>Kg</v>
          </cell>
          <cell r="D12">
            <v>459</v>
          </cell>
          <cell r="E12">
            <v>6000</v>
          </cell>
        </row>
        <row r="13">
          <cell r="B13" t="str">
            <v>Bắp Cải Trắng</v>
          </cell>
          <cell r="C13" t="str">
            <v>Kg</v>
          </cell>
          <cell r="D13">
            <v>120</v>
          </cell>
          <cell r="E13">
            <v>6000</v>
          </cell>
        </row>
        <row r="14">
          <cell r="B14" t="str">
            <v>Bí Đỏ Tròn</v>
          </cell>
          <cell r="C14" t="str">
            <v>Kg</v>
          </cell>
          <cell r="D14">
            <v>200</v>
          </cell>
          <cell r="E14">
            <v>12000</v>
          </cell>
        </row>
        <row r="15">
          <cell r="B15" t="str">
            <v>Bí Đỏ Tròn</v>
          </cell>
          <cell r="C15" t="str">
            <v>Kg</v>
          </cell>
          <cell r="D15">
            <v>100</v>
          </cell>
          <cell r="E15">
            <v>12000</v>
          </cell>
        </row>
        <row r="16">
          <cell r="B16" t="str">
            <v>Bí Ngòi Vàng</v>
          </cell>
          <cell r="C16" t="str">
            <v>Kg</v>
          </cell>
          <cell r="D16">
            <v>5</v>
          </cell>
          <cell r="E16">
            <v>16000</v>
          </cell>
        </row>
        <row r="17">
          <cell r="B17" t="str">
            <v>Bí Ngòi Xanh</v>
          </cell>
          <cell r="C17" t="str">
            <v>Kg</v>
          </cell>
          <cell r="D17">
            <v>53</v>
          </cell>
          <cell r="E17">
            <v>15000</v>
          </cell>
        </row>
        <row r="18">
          <cell r="B18" t="str">
            <v>Bí Ngòi Xanh</v>
          </cell>
          <cell r="C18" t="str">
            <v>Kg</v>
          </cell>
          <cell r="D18">
            <v>67</v>
          </cell>
          <cell r="E18">
            <v>17000</v>
          </cell>
        </row>
        <row r="19">
          <cell r="B19" t="str">
            <v>Bí Ngòi Xanh</v>
          </cell>
          <cell r="C19" t="str">
            <v>Kg</v>
          </cell>
          <cell r="D19">
            <v>23</v>
          </cell>
          <cell r="E19">
            <v>9000</v>
          </cell>
        </row>
        <row r="20">
          <cell r="B20" t="str">
            <v>Bí Ngòi Xanh</v>
          </cell>
          <cell r="C20" t="str">
            <v>Kg</v>
          </cell>
          <cell r="D20">
            <v>35</v>
          </cell>
          <cell r="E20">
            <v>19000</v>
          </cell>
        </row>
        <row r="21">
          <cell r="B21" t="str">
            <v>Bí Ngô Mini</v>
          </cell>
          <cell r="C21" t="str">
            <v>Kg</v>
          </cell>
          <cell r="D21">
            <v>8.1999999999999993</v>
          </cell>
          <cell r="E21">
            <v>65000</v>
          </cell>
        </row>
        <row r="22">
          <cell r="B22" t="str">
            <v>Bí Non Nhật</v>
          </cell>
          <cell r="C22" t="str">
            <v>Kg</v>
          </cell>
          <cell r="D22">
            <v>71</v>
          </cell>
          <cell r="E22">
            <v>13000</v>
          </cell>
        </row>
        <row r="23">
          <cell r="B23" t="str">
            <v>Bông Cải Trắng</v>
          </cell>
          <cell r="C23" t="str">
            <v>Kg</v>
          </cell>
          <cell r="D23">
            <v>79</v>
          </cell>
          <cell r="E23">
            <v>10000</v>
          </cell>
        </row>
        <row r="24">
          <cell r="B24" t="str">
            <v>Bông Cải Trắng</v>
          </cell>
          <cell r="C24" t="str">
            <v>Kg</v>
          </cell>
          <cell r="D24">
            <v>30</v>
          </cell>
          <cell r="E24">
            <v>10000</v>
          </cell>
        </row>
        <row r="25">
          <cell r="B25" t="str">
            <v>Bông Cải Xanh 12Cm</v>
          </cell>
          <cell r="C25" t="str">
            <v>Kg</v>
          </cell>
          <cell r="D25">
            <v>89</v>
          </cell>
          <cell r="E25">
            <v>17000</v>
          </cell>
        </row>
        <row r="26">
          <cell r="B26" t="str">
            <v>Bông Cải Xanh 12Cm</v>
          </cell>
          <cell r="C26" t="str">
            <v>Kg</v>
          </cell>
          <cell r="D26">
            <v>50</v>
          </cell>
          <cell r="E26">
            <v>10000</v>
          </cell>
        </row>
        <row r="27">
          <cell r="B27" t="str">
            <v>Bông Cải Xanh 12Cm</v>
          </cell>
          <cell r="C27" t="str">
            <v>Kg</v>
          </cell>
          <cell r="D27">
            <v>47</v>
          </cell>
          <cell r="E27">
            <v>9000</v>
          </cell>
        </row>
        <row r="28">
          <cell r="B28" t="str">
            <v>Bông Cải Xanh 12Cm</v>
          </cell>
          <cell r="C28" t="str">
            <v>Kg</v>
          </cell>
          <cell r="D28">
            <v>66</v>
          </cell>
          <cell r="E28">
            <v>12000</v>
          </cell>
        </row>
        <row r="29">
          <cell r="B29" t="str">
            <v>Bông Cải Xanh 7Cm</v>
          </cell>
          <cell r="C29" t="str">
            <v>Kg</v>
          </cell>
          <cell r="D29">
            <v>217</v>
          </cell>
          <cell r="E29">
            <v>20000</v>
          </cell>
        </row>
        <row r="30">
          <cell r="B30" t="str">
            <v>Bông Cải Xanh 7Cm</v>
          </cell>
          <cell r="C30" t="str">
            <v>Kg</v>
          </cell>
          <cell r="D30">
            <v>35</v>
          </cell>
          <cell r="E30">
            <v>20000</v>
          </cell>
        </row>
        <row r="31">
          <cell r="B31" t="str">
            <v>Bông Cải Xanh 7Cm</v>
          </cell>
          <cell r="C31" t="str">
            <v>Kg</v>
          </cell>
          <cell r="D31">
            <v>33</v>
          </cell>
          <cell r="E31">
            <v>20000</v>
          </cell>
        </row>
        <row r="32">
          <cell r="B32" t="str">
            <v>Bông Cải Xanh 7Cm</v>
          </cell>
          <cell r="C32" t="str">
            <v>Kg</v>
          </cell>
          <cell r="D32">
            <v>210</v>
          </cell>
          <cell r="E32">
            <v>22000</v>
          </cell>
        </row>
        <row r="33">
          <cell r="B33" t="str">
            <v>Bông Cải Xanh 7Cm</v>
          </cell>
          <cell r="C33" t="str">
            <v>Kg</v>
          </cell>
          <cell r="D33">
            <v>108</v>
          </cell>
          <cell r="E33">
            <v>20000</v>
          </cell>
        </row>
        <row r="34">
          <cell r="B34" t="str">
            <v>Bông Cải Xanh Baby</v>
          </cell>
          <cell r="C34" t="str">
            <v>Vỉ</v>
          </cell>
          <cell r="D34">
            <v>90</v>
          </cell>
          <cell r="E34">
            <v>5000</v>
          </cell>
        </row>
        <row r="35">
          <cell r="B35" t="str">
            <v>Bông Cải Xanh Cây</v>
          </cell>
          <cell r="C35" t="str">
            <v>Cây</v>
          </cell>
          <cell r="D35">
            <v>720</v>
          </cell>
          <cell r="E35">
            <v>5000</v>
          </cell>
        </row>
        <row r="36">
          <cell r="B36" t="str">
            <v>Cà Chua Beef</v>
          </cell>
          <cell r="C36" t="str">
            <v>Vỉ 650gr</v>
          </cell>
          <cell r="D36">
            <v>81</v>
          </cell>
          <cell r="E36">
            <v>11050</v>
          </cell>
        </row>
        <row r="37">
          <cell r="B37" t="str">
            <v>Cà Chua Beef</v>
          </cell>
          <cell r="C37" t="str">
            <v>Kg</v>
          </cell>
          <cell r="D37">
            <v>100</v>
          </cell>
          <cell r="E37">
            <v>12000</v>
          </cell>
        </row>
        <row r="38">
          <cell r="B38" t="str">
            <v>Cà Chua Beef</v>
          </cell>
          <cell r="C38" t="str">
            <v>Kg</v>
          </cell>
          <cell r="D38">
            <v>150</v>
          </cell>
          <cell r="E38">
            <v>12000</v>
          </cell>
        </row>
        <row r="39">
          <cell r="B39" t="str">
            <v>Cà Chua Beef</v>
          </cell>
          <cell r="C39" t="str">
            <v>Kg</v>
          </cell>
          <cell r="D39">
            <v>191</v>
          </cell>
          <cell r="E39">
            <v>13000</v>
          </cell>
        </row>
        <row r="40">
          <cell r="B40" t="str">
            <v>Cà Chua Beef Trung</v>
          </cell>
          <cell r="C40" t="str">
            <v>Vỉ 500gr</v>
          </cell>
          <cell r="D40">
            <v>58</v>
          </cell>
          <cell r="E40">
            <v>7000</v>
          </cell>
        </row>
        <row r="41">
          <cell r="B41" t="str">
            <v>Cà Chua Beef Trung</v>
          </cell>
          <cell r="C41" t="str">
            <v>Kg</v>
          </cell>
          <cell r="D41">
            <v>15</v>
          </cell>
          <cell r="E41">
            <v>12000</v>
          </cell>
        </row>
        <row r="42">
          <cell r="B42" t="str">
            <v>Cà Chua Beef Trung</v>
          </cell>
          <cell r="C42" t="str">
            <v>Vỉ 500gr</v>
          </cell>
          <cell r="D42">
            <v>100</v>
          </cell>
          <cell r="E42">
            <v>6500</v>
          </cell>
        </row>
        <row r="43">
          <cell r="B43" t="str">
            <v>Cà Chua Bi Đỏ</v>
          </cell>
          <cell r="C43" t="str">
            <v>Hộp 300gr</v>
          </cell>
          <cell r="D43">
            <v>204</v>
          </cell>
          <cell r="E43">
            <v>5400</v>
          </cell>
        </row>
        <row r="44">
          <cell r="B44" t="str">
            <v>Cà Chua Bi Mix</v>
          </cell>
          <cell r="C44" t="str">
            <v>Hộp</v>
          </cell>
          <cell r="D44">
            <v>91</v>
          </cell>
          <cell r="E44">
            <v>11100</v>
          </cell>
        </row>
        <row r="45">
          <cell r="B45" t="str">
            <v>Cà Chua Socola</v>
          </cell>
          <cell r="C45" t="str">
            <v>Kg</v>
          </cell>
          <cell r="D45">
            <v>131</v>
          </cell>
          <cell r="E45">
            <v>20000</v>
          </cell>
        </row>
        <row r="46">
          <cell r="B46" t="str">
            <v>Cà Chua Socola</v>
          </cell>
          <cell r="C46" t="str">
            <v>Hộp 250GR</v>
          </cell>
          <cell r="D46">
            <v>229</v>
          </cell>
          <cell r="E46">
            <v>7500</v>
          </cell>
        </row>
        <row r="47">
          <cell r="B47" t="str">
            <v>Cà Chua Thường</v>
          </cell>
          <cell r="C47" t="str">
            <v>Kg</v>
          </cell>
          <cell r="D47">
            <v>420</v>
          </cell>
          <cell r="E47">
            <v>17000</v>
          </cell>
        </row>
        <row r="48">
          <cell r="B48" t="str">
            <v>Cà Chua Thường</v>
          </cell>
          <cell r="C48" t="str">
            <v>Kg</v>
          </cell>
          <cell r="D48">
            <v>220</v>
          </cell>
          <cell r="E48">
            <v>17000</v>
          </cell>
        </row>
        <row r="49">
          <cell r="B49" t="str">
            <v>Cà Chua Thường Trung</v>
          </cell>
          <cell r="C49" t="str">
            <v>Kg</v>
          </cell>
          <cell r="D49">
            <v>80</v>
          </cell>
          <cell r="E49">
            <v>12000</v>
          </cell>
        </row>
        <row r="50">
          <cell r="B50" t="str">
            <v>Cải Bó Xôi</v>
          </cell>
          <cell r="C50" t="str">
            <v>Kg</v>
          </cell>
          <cell r="D50">
            <v>40</v>
          </cell>
          <cell r="E50">
            <v>14000</v>
          </cell>
        </row>
        <row r="51">
          <cell r="B51" t="str">
            <v>Cải Bó Xôi</v>
          </cell>
          <cell r="C51" t="str">
            <v>Túi</v>
          </cell>
          <cell r="D51">
            <v>186</v>
          </cell>
          <cell r="E51">
            <v>6000</v>
          </cell>
        </row>
        <row r="52">
          <cell r="B52" t="str">
            <v>Cải Bó Xôi</v>
          </cell>
          <cell r="C52" t="str">
            <v>Kg</v>
          </cell>
          <cell r="D52">
            <v>1</v>
          </cell>
          <cell r="E52">
            <v>17000</v>
          </cell>
        </row>
        <row r="53">
          <cell r="B53" t="str">
            <v>Cải Kale</v>
          </cell>
          <cell r="C53" t="str">
            <v>Túi</v>
          </cell>
          <cell r="D53">
            <v>9</v>
          </cell>
          <cell r="E53">
            <v>4200</v>
          </cell>
        </row>
        <row r="54">
          <cell r="B54" t="str">
            <v>Cải Kale</v>
          </cell>
          <cell r="C54" t="str">
            <v>Túi</v>
          </cell>
          <cell r="D54">
            <v>50</v>
          </cell>
          <cell r="E54">
            <v>3900</v>
          </cell>
        </row>
        <row r="55">
          <cell r="B55" t="str">
            <v>Cải Thảo</v>
          </cell>
          <cell r="C55" t="str">
            <v>Kg</v>
          </cell>
          <cell r="D55">
            <v>230</v>
          </cell>
          <cell r="E55">
            <v>4500</v>
          </cell>
        </row>
        <row r="56">
          <cell r="B56" t="str">
            <v>Cải Thảo</v>
          </cell>
          <cell r="C56" t="str">
            <v>Kg</v>
          </cell>
          <cell r="D56">
            <v>1200</v>
          </cell>
          <cell r="E56">
            <v>5000</v>
          </cell>
        </row>
        <row r="57">
          <cell r="B57" t="str">
            <v>Cải Thảo</v>
          </cell>
          <cell r="C57" t="str">
            <v>Kg</v>
          </cell>
          <cell r="D57">
            <v>1000</v>
          </cell>
          <cell r="E57">
            <v>4500</v>
          </cell>
        </row>
        <row r="58">
          <cell r="B58" t="str">
            <v>Cải Thảo Hỏa Tiễn</v>
          </cell>
          <cell r="C58" t="str">
            <v>Kg</v>
          </cell>
          <cell r="D58">
            <v>10</v>
          </cell>
          <cell r="E58">
            <v>14000</v>
          </cell>
        </row>
        <row r="59">
          <cell r="B59" t="str">
            <v>Cải Thảo Hỏa Tiễn</v>
          </cell>
          <cell r="C59" t="str">
            <v>Kg</v>
          </cell>
          <cell r="D59">
            <v>8</v>
          </cell>
          <cell r="E59">
            <v>14000</v>
          </cell>
        </row>
        <row r="60">
          <cell r="B60" t="str">
            <v>Cần Tây</v>
          </cell>
          <cell r="C60" t="str">
            <v>Kg</v>
          </cell>
          <cell r="D60">
            <v>45</v>
          </cell>
          <cell r="E60">
            <v>15000</v>
          </cell>
        </row>
        <row r="61">
          <cell r="B61" t="str">
            <v>Cần Tây</v>
          </cell>
          <cell r="C61" t="str">
            <v>Kg</v>
          </cell>
          <cell r="D61">
            <v>27</v>
          </cell>
          <cell r="E61">
            <v>14000</v>
          </cell>
        </row>
        <row r="62">
          <cell r="B62" t="str">
            <v>Cần Tây</v>
          </cell>
          <cell r="C62" t="str">
            <v>Kg</v>
          </cell>
          <cell r="D62">
            <v>114</v>
          </cell>
          <cell r="E62">
            <v>16000</v>
          </cell>
        </row>
        <row r="63">
          <cell r="B63" t="str">
            <v>Cần Tây</v>
          </cell>
          <cell r="C63" t="str">
            <v>Kg</v>
          </cell>
          <cell r="D63">
            <v>186</v>
          </cell>
          <cell r="E63">
            <v>18000</v>
          </cell>
        </row>
        <row r="64">
          <cell r="B64" t="str">
            <v>Cần Tây</v>
          </cell>
          <cell r="C64" t="str">
            <v>Kg</v>
          </cell>
          <cell r="D64">
            <v>60</v>
          </cell>
          <cell r="E64">
            <v>15000</v>
          </cell>
        </row>
        <row r="65">
          <cell r="B65" t="str">
            <v>Cà Rốt</v>
          </cell>
          <cell r="C65" t="str">
            <v>Kg</v>
          </cell>
          <cell r="D65">
            <v>234</v>
          </cell>
          <cell r="E65">
            <v>8500</v>
          </cell>
        </row>
        <row r="66">
          <cell r="B66" t="str">
            <v>Cà Rốt</v>
          </cell>
          <cell r="C66" t="str">
            <v>Kg</v>
          </cell>
          <cell r="D66">
            <v>500</v>
          </cell>
          <cell r="E66">
            <v>9000</v>
          </cell>
        </row>
        <row r="67">
          <cell r="B67" t="str">
            <v>Cà Rốt</v>
          </cell>
          <cell r="C67" t="str">
            <v>Kg</v>
          </cell>
          <cell r="D67">
            <v>140</v>
          </cell>
          <cell r="E67">
            <v>9000</v>
          </cell>
        </row>
        <row r="68">
          <cell r="B68" t="str">
            <v>Cà Rốt</v>
          </cell>
          <cell r="C68" t="str">
            <v>Kg</v>
          </cell>
          <cell r="D68">
            <v>252</v>
          </cell>
          <cell r="E68">
            <v>8500</v>
          </cell>
        </row>
        <row r="69">
          <cell r="B69" t="str">
            <v>Cà Tím</v>
          </cell>
          <cell r="C69" t="str">
            <v>Kg</v>
          </cell>
          <cell r="D69">
            <v>100</v>
          </cell>
          <cell r="E69">
            <v>8000</v>
          </cell>
        </row>
        <row r="70">
          <cell r="B70" t="str">
            <v>Cà Tím Sọc Pha Lê</v>
          </cell>
          <cell r="C70" t="str">
            <v>Kg</v>
          </cell>
          <cell r="D70">
            <v>5</v>
          </cell>
          <cell r="E70">
            <v>18000</v>
          </cell>
        </row>
        <row r="71">
          <cell r="B71" t="str">
            <v>Chanh Dây Tím</v>
          </cell>
          <cell r="C71" t="str">
            <v>Kg</v>
          </cell>
          <cell r="D71">
            <v>29</v>
          </cell>
          <cell r="E71">
            <v>27000</v>
          </cell>
        </row>
        <row r="72">
          <cell r="B72" t="str">
            <v>Chanh Không Hạt</v>
          </cell>
          <cell r="C72" t="str">
            <v>Vỉ</v>
          </cell>
          <cell r="D72">
            <v>51</v>
          </cell>
          <cell r="E72">
            <v>7500</v>
          </cell>
        </row>
        <row r="73">
          <cell r="B73" t="str">
            <v>CT - BÍ NGÒI XANH</v>
          </cell>
          <cell r="C73" t="str">
            <v>Kg</v>
          </cell>
          <cell r="D73">
            <v>80</v>
          </cell>
          <cell r="E73">
            <v>15000</v>
          </cell>
        </row>
        <row r="74">
          <cell r="B74" t="str">
            <v>Củ Cải Đỏ</v>
          </cell>
          <cell r="C74" t="str">
            <v>Hộp</v>
          </cell>
          <cell r="D74">
            <v>10</v>
          </cell>
          <cell r="E74">
            <v>10000</v>
          </cell>
        </row>
        <row r="75">
          <cell r="B75" t="str">
            <v>Củ Cải Trắng</v>
          </cell>
          <cell r="C75" t="str">
            <v>Kg</v>
          </cell>
          <cell r="D75">
            <v>120</v>
          </cell>
          <cell r="E75">
            <v>4500</v>
          </cell>
        </row>
        <row r="76">
          <cell r="B76" t="str">
            <v>Củ Cải Trắng</v>
          </cell>
          <cell r="C76" t="str">
            <v>Kg</v>
          </cell>
          <cell r="D76">
            <v>80</v>
          </cell>
          <cell r="E76">
            <v>5000</v>
          </cell>
        </row>
        <row r="77">
          <cell r="B77" t="str">
            <v>Củ Cải Trắng</v>
          </cell>
          <cell r="C77" t="str">
            <v>Kg</v>
          </cell>
          <cell r="D77">
            <v>20</v>
          </cell>
          <cell r="E77">
            <v>5000</v>
          </cell>
        </row>
        <row r="78">
          <cell r="B78" t="str">
            <v>Củ Dền</v>
          </cell>
          <cell r="C78" t="str">
            <v>Kg</v>
          </cell>
          <cell r="D78">
            <v>140</v>
          </cell>
          <cell r="E78">
            <v>10000</v>
          </cell>
        </row>
        <row r="79">
          <cell r="B79" t="str">
            <v>Củ Gừng</v>
          </cell>
          <cell r="C79" t="str">
            <v>Kg</v>
          </cell>
          <cell r="D79">
            <v>15</v>
          </cell>
          <cell r="E79">
            <v>18000</v>
          </cell>
        </row>
        <row r="80">
          <cell r="B80" t="str">
            <v>Củ Hành Tây</v>
          </cell>
          <cell r="C80" t="str">
            <v>Kg</v>
          </cell>
          <cell r="D80">
            <v>200</v>
          </cell>
          <cell r="E80">
            <v>9000</v>
          </cell>
        </row>
        <row r="81">
          <cell r="B81" t="str">
            <v>Củ Hành Tây</v>
          </cell>
          <cell r="C81" t="str">
            <v>Kg</v>
          </cell>
          <cell r="D81">
            <v>174</v>
          </cell>
          <cell r="E81">
            <v>8700</v>
          </cell>
        </row>
        <row r="82">
          <cell r="B82" t="str">
            <v>Củ Hành Tây Trung</v>
          </cell>
          <cell r="C82" t="str">
            <v>Kg</v>
          </cell>
          <cell r="D82">
            <v>40</v>
          </cell>
          <cell r="E82">
            <v>6500</v>
          </cell>
        </row>
        <row r="83">
          <cell r="B83" t="str">
            <v>Củ Khoai Lang Mật Size 23</v>
          </cell>
          <cell r="C83" t="str">
            <v>Kg</v>
          </cell>
          <cell r="D83">
            <v>500</v>
          </cell>
          <cell r="E83">
            <v>26500</v>
          </cell>
        </row>
        <row r="84">
          <cell r="B84" t="str">
            <v>Củ Khoai Lang Nhật</v>
          </cell>
          <cell r="C84" t="str">
            <v>Kg</v>
          </cell>
          <cell r="D84">
            <v>140</v>
          </cell>
          <cell r="E84">
            <v>16000</v>
          </cell>
        </row>
        <row r="85">
          <cell r="B85" t="str">
            <v>Củ Khoai Lang Nhật</v>
          </cell>
          <cell r="C85" t="str">
            <v>Kg</v>
          </cell>
          <cell r="D85">
            <v>300</v>
          </cell>
          <cell r="E85">
            <v>17255</v>
          </cell>
        </row>
        <row r="86">
          <cell r="B86" t="str">
            <v>Củ Khoai Tây Vàng</v>
          </cell>
          <cell r="C86" t="str">
            <v>Kg</v>
          </cell>
          <cell r="D86">
            <v>420</v>
          </cell>
          <cell r="E86">
            <v>12200</v>
          </cell>
        </row>
        <row r="87">
          <cell r="B87" t="str">
            <v>Củ Khoai Tây Vàng</v>
          </cell>
          <cell r="C87" t="str">
            <v>Kg</v>
          </cell>
          <cell r="D87">
            <v>100</v>
          </cell>
          <cell r="E87">
            <v>15000</v>
          </cell>
        </row>
        <row r="88">
          <cell r="B88" t="str">
            <v>Củ Khoai Tây Vàng Trung</v>
          </cell>
          <cell r="C88" t="str">
            <v>Kg</v>
          </cell>
          <cell r="D88">
            <v>85</v>
          </cell>
          <cell r="E88">
            <v>10000</v>
          </cell>
        </row>
        <row r="89">
          <cell r="B89" t="str">
            <v>Cước đường bộ xe 49C37197T đi qua trạm Cầu Phú Mỹ thời gian GD 06:00:50 ngày 08/02/2025 mã GD 1634703855</v>
          </cell>
          <cell r="C89" t="str">
            <v>Lần</v>
          </cell>
          <cell r="D89">
            <v>1</v>
          </cell>
          <cell r="E89">
            <v>22222</v>
          </cell>
        </row>
        <row r="90">
          <cell r="B90" t="str">
            <v>Cước đường bộ xe 49C37197T đi qua trạm Xa Lộ - Hà Nội thời gian GD 02:40:44 ngày 08/02/2025 mã GD 1634593249</v>
          </cell>
          <cell r="C90" t="str">
            <v>Lần</v>
          </cell>
          <cell r="D90">
            <v>1</v>
          </cell>
          <cell r="E90">
            <v>50000</v>
          </cell>
        </row>
        <row r="91">
          <cell r="B91" t="str">
            <v>Củ Su Hào</v>
          </cell>
          <cell r="C91" t="str">
            <v>Kg</v>
          </cell>
          <cell r="D91">
            <v>90</v>
          </cell>
          <cell r="E91">
            <v>9000</v>
          </cell>
        </row>
        <row r="92">
          <cell r="B92" t="str">
            <v>Đậu Cove Nhật</v>
          </cell>
          <cell r="C92" t="str">
            <v>Túi</v>
          </cell>
          <cell r="D92">
            <v>11</v>
          </cell>
          <cell r="E92">
            <v>6000</v>
          </cell>
        </row>
        <row r="93">
          <cell r="B93" t="str">
            <v>Đậu Cove Nhật</v>
          </cell>
          <cell r="C93" t="str">
            <v>Túi</v>
          </cell>
          <cell r="D93">
            <v>20</v>
          </cell>
          <cell r="E93">
            <v>6000</v>
          </cell>
        </row>
        <row r="94">
          <cell r="B94" t="str">
            <v>Đậu Cove Trắng</v>
          </cell>
          <cell r="C94" t="str">
            <v>Kg</v>
          </cell>
          <cell r="D94">
            <v>40</v>
          </cell>
          <cell r="E94">
            <v>11000</v>
          </cell>
        </row>
        <row r="95">
          <cell r="B95" t="str">
            <v>DO 0.05S-II</v>
          </cell>
          <cell r="C95" t="str">
            <v>Lít</v>
          </cell>
          <cell r="D95">
            <v>20.587</v>
          </cell>
          <cell r="E95">
            <v>17663.64</v>
          </cell>
        </row>
        <row r="96">
          <cell r="B96" t="str">
            <v>Dưa Leo Baby</v>
          </cell>
          <cell r="C96" t="str">
            <v>Kg</v>
          </cell>
          <cell r="D96">
            <v>63</v>
          </cell>
          <cell r="E96">
            <v>7000</v>
          </cell>
        </row>
        <row r="97">
          <cell r="B97" t="str">
            <v>Dưa Leo Baby</v>
          </cell>
          <cell r="C97" t="str">
            <v>Kg</v>
          </cell>
          <cell r="D97">
            <v>164</v>
          </cell>
          <cell r="E97">
            <v>9500</v>
          </cell>
        </row>
        <row r="98">
          <cell r="B98" t="str">
            <v>Dưa Leo Baby</v>
          </cell>
          <cell r="C98" t="str">
            <v>Vỉ</v>
          </cell>
          <cell r="D98">
            <v>215</v>
          </cell>
          <cell r="E98">
            <v>6500</v>
          </cell>
        </row>
        <row r="99">
          <cell r="B99" t="str">
            <v>Dưa Leo Baby</v>
          </cell>
          <cell r="C99" t="str">
            <v>Vỉ</v>
          </cell>
          <cell r="D99">
            <v>258</v>
          </cell>
          <cell r="E99">
            <v>6500</v>
          </cell>
        </row>
        <row r="100">
          <cell r="B100" t="str">
            <v>Dưa Leo Baby</v>
          </cell>
          <cell r="C100" t="str">
            <v>Vỉ</v>
          </cell>
          <cell r="D100">
            <v>300</v>
          </cell>
          <cell r="E100">
            <v>6300</v>
          </cell>
        </row>
        <row r="101">
          <cell r="B101" t="str">
            <v>Dưa Leo Baby</v>
          </cell>
          <cell r="C101" t="str">
            <v>Vỉ</v>
          </cell>
          <cell r="D101">
            <v>189</v>
          </cell>
          <cell r="E101">
            <v>6000</v>
          </cell>
        </row>
        <row r="102">
          <cell r="B102" t="str">
            <v>Dưa Leo Baby</v>
          </cell>
          <cell r="C102" t="str">
            <v>Vỉ</v>
          </cell>
          <cell r="D102">
            <v>500</v>
          </cell>
          <cell r="E102">
            <v>6500</v>
          </cell>
        </row>
        <row r="103">
          <cell r="B103" t="str">
            <v>Dưa Leo Baby</v>
          </cell>
          <cell r="C103" t="str">
            <v>Vỉ</v>
          </cell>
          <cell r="D103">
            <v>321</v>
          </cell>
          <cell r="E103">
            <v>6000</v>
          </cell>
        </row>
        <row r="104">
          <cell r="B104" t="str">
            <v>Dưa Leo Baby</v>
          </cell>
          <cell r="C104" t="str">
            <v>Vỉ</v>
          </cell>
          <cell r="D104">
            <v>780</v>
          </cell>
          <cell r="E104">
            <v>6300</v>
          </cell>
        </row>
        <row r="105">
          <cell r="B105" t="str">
            <v>Dưa Leo Nhật</v>
          </cell>
          <cell r="C105" t="str">
            <v>Kg</v>
          </cell>
          <cell r="D105">
            <v>38</v>
          </cell>
          <cell r="E105">
            <v>12000</v>
          </cell>
        </row>
        <row r="106">
          <cell r="B106" t="str">
            <v>Dưa Leo Thường</v>
          </cell>
          <cell r="C106" t="str">
            <v>Kg</v>
          </cell>
          <cell r="D106">
            <v>31</v>
          </cell>
          <cell r="E106">
            <v>15000</v>
          </cell>
        </row>
        <row r="107">
          <cell r="B107" t="str">
            <v>Gia Công Rau Củ Quả</v>
          </cell>
          <cell r="C107" t="str">
            <v>Kg</v>
          </cell>
          <cell r="D107">
            <v>227</v>
          </cell>
          <cell r="E107">
            <v>1700</v>
          </cell>
        </row>
        <row r="108">
          <cell r="B108" t="str">
            <v>Gia Công Rau Củ Quả</v>
          </cell>
          <cell r="C108" t="str">
            <v>Kg</v>
          </cell>
          <cell r="D108">
            <v>171</v>
          </cell>
          <cell r="E108">
            <v>1700</v>
          </cell>
        </row>
        <row r="109">
          <cell r="B109" t="str">
            <v>Gia Công Rau Củ Quả</v>
          </cell>
          <cell r="C109" t="str">
            <v>Kg</v>
          </cell>
          <cell r="D109">
            <v>203</v>
          </cell>
          <cell r="E109">
            <v>1700</v>
          </cell>
        </row>
        <row r="110">
          <cell r="B110" t="str">
            <v>Gia Công Rau Củ Quả</v>
          </cell>
          <cell r="C110" t="str">
            <v>Kg</v>
          </cell>
          <cell r="D110">
            <v>50</v>
          </cell>
          <cell r="E110">
            <v>1000</v>
          </cell>
        </row>
        <row r="111">
          <cell r="B111" t="str">
            <v>Gia Công Rau Củ Quả</v>
          </cell>
          <cell r="C111" t="str">
            <v>Kg</v>
          </cell>
          <cell r="D111">
            <v>570</v>
          </cell>
          <cell r="E111">
            <v>700</v>
          </cell>
        </row>
        <row r="112">
          <cell r="B112" t="str">
            <v>Hành Paro</v>
          </cell>
          <cell r="C112" t="str">
            <v>Kg</v>
          </cell>
          <cell r="D112">
            <v>50</v>
          </cell>
          <cell r="E112">
            <v>12000</v>
          </cell>
        </row>
        <row r="113">
          <cell r="B113" t="str">
            <v>Hành Paro</v>
          </cell>
          <cell r="C113" t="str">
            <v>Kg</v>
          </cell>
          <cell r="D113">
            <v>12</v>
          </cell>
          <cell r="E113">
            <v>11000</v>
          </cell>
        </row>
        <row r="114">
          <cell r="B114" t="str">
            <v>Hành Paro</v>
          </cell>
          <cell r="C114" t="str">
            <v>Kg</v>
          </cell>
          <cell r="D114">
            <v>10</v>
          </cell>
          <cell r="E114">
            <v>11000</v>
          </cell>
        </row>
        <row r="115">
          <cell r="B115" t="str">
            <v>Lá É</v>
          </cell>
          <cell r="C115" t="str">
            <v>Kg</v>
          </cell>
          <cell r="D115">
            <v>10</v>
          </cell>
          <cell r="E115">
            <v>25000</v>
          </cell>
        </row>
        <row r="116">
          <cell r="B116" t="str">
            <v>Lá Mè</v>
          </cell>
          <cell r="C116" t="str">
            <v>Túi</v>
          </cell>
          <cell r="D116">
            <v>158</v>
          </cell>
          <cell r="E116">
            <v>2900</v>
          </cell>
        </row>
        <row r="117">
          <cell r="B117" t="str">
            <v>Măng Tây</v>
          </cell>
          <cell r="C117" t="str">
            <v>Kg</v>
          </cell>
          <cell r="D117">
            <v>30</v>
          </cell>
          <cell r="E117">
            <v>53000</v>
          </cell>
        </row>
        <row r="118">
          <cell r="B118" t="str">
            <v>Măng Tây</v>
          </cell>
          <cell r="C118" t="str">
            <v>Kg</v>
          </cell>
          <cell r="D118">
            <v>5</v>
          </cell>
          <cell r="E118">
            <v>40000</v>
          </cell>
        </row>
        <row r="119">
          <cell r="B119" t="str">
            <v>Ớt Chuông Baby</v>
          </cell>
          <cell r="C119" t="str">
            <v>Kg</v>
          </cell>
          <cell r="D119">
            <v>15</v>
          </cell>
          <cell r="E119">
            <v>50000</v>
          </cell>
        </row>
        <row r="120">
          <cell r="B120" t="str">
            <v>Ớt Chuông Đỏ</v>
          </cell>
          <cell r="C120" t="str">
            <v>Kg</v>
          </cell>
          <cell r="D120">
            <v>40</v>
          </cell>
          <cell r="E120">
            <v>47000</v>
          </cell>
        </row>
        <row r="121">
          <cell r="B121" t="str">
            <v>Ớt Chuông Đỏ</v>
          </cell>
          <cell r="C121" t="str">
            <v>Kg</v>
          </cell>
          <cell r="D121">
            <v>80</v>
          </cell>
          <cell r="E121">
            <v>60000</v>
          </cell>
        </row>
        <row r="122">
          <cell r="B122" t="str">
            <v>Ớt Chuông Snack</v>
          </cell>
          <cell r="C122" t="str">
            <v>Kg</v>
          </cell>
          <cell r="D122">
            <v>5</v>
          </cell>
          <cell r="E122">
            <v>60000</v>
          </cell>
        </row>
        <row r="123">
          <cell r="B123" t="str">
            <v>Ớt Chuông Vàng</v>
          </cell>
          <cell r="C123" t="str">
            <v>Kg</v>
          </cell>
          <cell r="D123">
            <v>30</v>
          </cell>
          <cell r="E123">
            <v>47000</v>
          </cell>
        </row>
        <row r="124">
          <cell r="B124" t="str">
            <v>Ớt Chuông Vàng</v>
          </cell>
          <cell r="C124" t="str">
            <v>Kg</v>
          </cell>
          <cell r="D124">
            <v>60</v>
          </cell>
          <cell r="E124">
            <v>60000</v>
          </cell>
        </row>
        <row r="125">
          <cell r="B125" t="str">
            <v>Ớt Chuông Vàng</v>
          </cell>
          <cell r="C125" t="str">
            <v>Kg</v>
          </cell>
          <cell r="D125">
            <v>10</v>
          </cell>
          <cell r="E125">
            <v>47000</v>
          </cell>
        </row>
        <row r="126">
          <cell r="B126" t="str">
            <v>Ớt Chuông Xanh</v>
          </cell>
          <cell r="C126" t="str">
            <v>Kg</v>
          </cell>
          <cell r="D126">
            <v>55</v>
          </cell>
          <cell r="E126">
            <v>30000</v>
          </cell>
        </row>
        <row r="127">
          <cell r="B127" t="str">
            <v>Ớt Sweet Palemo</v>
          </cell>
          <cell r="C127" t="str">
            <v>Túi</v>
          </cell>
          <cell r="D127">
            <v>150</v>
          </cell>
          <cell r="E127">
            <v>18000</v>
          </cell>
        </row>
        <row r="128">
          <cell r="B128" t="str">
            <v>Ớt Sweet Palemo</v>
          </cell>
          <cell r="C128" t="str">
            <v>Túi</v>
          </cell>
          <cell r="D128">
            <v>80</v>
          </cell>
          <cell r="E128">
            <v>17000</v>
          </cell>
        </row>
        <row r="129">
          <cell r="B129" t="str">
            <v>Ớt Sweet Palemo</v>
          </cell>
          <cell r="C129" t="str">
            <v>Túi</v>
          </cell>
          <cell r="D129">
            <v>120</v>
          </cell>
          <cell r="E129">
            <v>18000</v>
          </cell>
        </row>
        <row r="130">
          <cell r="B130" t="str">
            <v>Rau Bầu Đất</v>
          </cell>
          <cell r="C130" t="str">
            <v>Kg</v>
          </cell>
          <cell r="D130">
            <v>5.5</v>
          </cell>
          <cell r="E130">
            <v>35000</v>
          </cell>
        </row>
        <row r="131">
          <cell r="B131" t="str">
            <v>Rau Ngò Rí</v>
          </cell>
          <cell r="C131" t="str">
            <v>Kg</v>
          </cell>
          <cell r="D131">
            <v>5</v>
          </cell>
          <cell r="E131">
            <v>35000</v>
          </cell>
        </row>
        <row r="132">
          <cell r="B132" t="str">
            <v>Tem dán VR 50*50MM</v>
          </cell>
          <cell r="C132" t="str">
            <v>Cái</v>
          </cell>
          <cell r="D132">
            <v>126000</v>
          </cell>
          <cell r="E132">
            <v>50</v>
          </cell>
        </row>
        <row r="133">
          <cell r="B133" t="str">
            <v>Trái Khổ Qua</v>
          </cell>
          <cell r="C133" t="str">
            <v>Kg</v>
          </cell>
          <cell r="D133">
            <v>40</v>
          </cell>
          <cell r="E133">
            <v>10000</v>
          </cell>
        </row>
        <row r="134">
          <cell r="B134" t="str">
            <v>Trái Mít Thái</v>
          </cell>
          <cell r="C134" t="str">
            <v>Kg</v>
          </cell>
          <cell r="D134">
            <v>64</v>
          </cell>
          <cell r="E134">
            <v>20125</v>
          </cell>
        </row>
        <row r="135">
          <cell r="B135" t="str">
            <v>Trái Su Su</v>
          </cell>
          <cell r="C135" t="str">
            <v>Kg</v>
          </cell>
          <cell r="D135">
            <v>80</v>
          </cell>
          <cell r="E135">
            <v>4000</v>
          </cell>
        </row>
        <row r="136">
          <cell r="B136" t="str">
            <v>Trái Su Su</v>
          </cell>
          <cell r="C136" t="str">
            <v>Kg</v>
          </cell>
          <cell r="D136">
            <v>100</v>
          </cell>
          <cell r="E136">
            <v>4000</v>
          </cell>
        </row>
        <row r="137">
          <cell r="B137" t="str">
            <v>Trái Su Su</v>
          </cell>
          <cell r="C137" t="str">
            <v>Kg</v>
          </cell>
          <cell r="D137">
            <v>32</v>
          </cell>
          <cell r="E137">
            <v>8000</v>
          </cell>
        </row>
        <row r="138">
          <cell r="B138" t="str">
            <v>Xà Lách Lolo Tím</v>
          </cell>
          <cell r="C138" t="str">
            <v>Kg</v>
          </cell>
          <cell r="D138">
            <v>8</v>
          </cell>
          <cell r="E138">
            <v>18000</v>
          </cell>
        </row>
        <row r="139">
          <cell r="B139" t="str">
            <v>Xà Lách Lolo Xanh</v>
          </cell>
          <cell r="C139" t="str">
            <v>Kg</v>
          </cell>
          <cell r="D139">
            <v>140</v>
          </cell>
          <cell r="E139">
            <v>13000</v>
          </cell>
        </row>
        <row r="140">
          <cell r="B140" t="str">
            <v>Xà Lách Lolo Xanh</v>
          </cell>
          <cell r="C140" t="str">
            <v>Kg</v>
          </cell>
          <cell r="D140">
            <v>40</v>
          </cell>
          <cell r="E140">
            <v>9000</v>
          </cell>
        </row>
        <row r="141">
          <cell r="B141" t="str">
            <v>Xà Lách Lolo Xanh</v>
          </cell>
          <cell r="C141" t="str">
            <v>Kg</v>
          </cell>
          <cell r="D141">
            <v>20</v>
          </cell>
          <cell r="E141">
            <v>12000</v>
          </cell>
        </row>
        <row r="142">
          <cell r="B142" t="str">
            <v>Xà Lách Lolo Xanh T.C</v>
          </cell>
          <cell r="C142" t="str">
            <v>Kg</v>
          </cell>
          <cell r="D142">
            <v>26</v>
          </cell>
          <cell r="E142">
            <v>25000</v>
          </cell>
        </row>
        <row r="143">
          <cell r="B143" t="str">
            <v>Xà Lách Lolo Xanh T.C</v>
          </cell>
          <cell r="C143" t="str">
            <v>Kg</v>
          </cell>
          <cell r="D143">
            <v>27.5</v>
          </cell>
          <cell r="E143">
            <v>26000</v>
          </cell>
        </row>
        <row r="144">
          <cell r="B144" t="str">
            <v>Xà Lách Lolo Xanh T.C Cây</v>
          </cell>
          <cell r="C144" t="str">
            <v>Cây</v>
          </cell>
          <cell r="D144">
            <v>75</v>
          </cell>
          <cell r="E144">
            <v>6800</v>
          </cell>
        </row>
        <row r="145">
          <cell r="B145" t="str">
            <v>Xà Lách Lolo Xanh T.C Cây</v>
          </cell>
          <cell r="C145" t="str">
            <v>Cây</v>
          </cell>
          <cell r="D145">
            <v>80</v>
          </cell>
          <cell r="E145">
            <v>6800</v>
          </cell>
        </row>
        <row r="146">
          <cell r="B146" t="str">
            <v>Xà Lách Lolo Xanh T.C Cây</v>
          </cell>
          <cell r="C146" t="str">
            <v>Cây</v>
          </cell>
          <cell r="D146">
            <v>75</v>
          </cell>
          <cell r="E146">
            <v>6800</v>
          </cell>
        </row>
        <row r="147">
          <cell r="B147" t="str">
            <v>Xà Lách Mỡ T.C</v>
          </cell>
          <cell r="C147" t="str">
            <v>Kg</v>
          </cell>
          <cell r="D147">
            <v>14</v>
          </cell>
          <cell r="E147">
            <v>24000</v>
          </cell>
        </row>
        <row r="148">
          <cell r="B148" t="str">
            <v>Xà Lách Mỡ T.C</v>
          </cell>
          <cell r="C148" t="str">
            <v>Kg</v>
          </cell>
          <cell r="D148">
            <v>50</v>
          </cell>
          <cell r="E148">
            <v>28000</v>
          </cell>
        </row>
        <row r="149">
          <cell r="B149" t="str">
            <v>Xà Lách Mỡ T.C</v>
          </cell>
          <cell r="C149" t="str">
            <v>Kg</v>
          </cell>
          <cell r="D149">
            <v>29.2</v>
          </cell>
          <cell r="E149">
            <v>26000</v>
          </cell>
        </row>
        <row r="150">
          <cell r="B150" t="str">
            <v>Xà Lách Mỡ T.C Cây</v>
          </cell>
          <cell r="C150" t="str">
            <v>Cây</v>
          </cell>
          <cell r="D150">
            <v>25</v>
          </cell>
          <cell r="E150">
            <v>6800</v>
          </cell>
        </row>
        <row r="151">
          <cell r="B151" t="str">
            <v>Xà Lách Mỡ T.C Cây</v>
          </cell>
          <cell r="C151" t="str">
            <v>Cây</v>
          </cell>
          <cell r="D151">
            <v>15</v>
          </cell>
          <cell r="E151">
            <v>6800</v>
          </cell>
        </row>
        <row r="152">
          <cell r="B152" t="str">
            <v>Xà Lách Mỹ</v>
          </cell>
          <cell r="C152" t="str">
            <v>Kg</v>
          </cell>
          <cell r="D152">
            <v>35</v>
          </cell>
          <cell r="E152">
            <v>18000</v>
          </cell>
        </row>
        <row r="153">
          <cell r="B153" t="str">
            <v>Xà Lách Rocket</v>
          </cell>
          <cell r="C153" t="str">
            <v>Kg</v>
          </cell>
          <cell r="D153">
            <v>23</v>
          </cell>
          <cell r="E153">
            <v>70000</v>
          </cell>
        </row>
        <row r="154">
          <cell r="B154" t="str">
            <v>Xà Lách Thủy Tinh T.C</v>
          </cell>
          <cell r="C154" t="str">
            <v>Kg</v>
          </cell>
          <cell r="D154">
            <v>18</v>
          </cell>
          <cell r="E154">
            <v>30000</v>
          </cell>
        </row>
        <row r="155">
          <cell r="B155" t="str">
            <v>Xà Lách Thủy Tinh T.C Cây</v>
          </cell>
          <cell r="C155" t="str">
            <v>Cây</v>
          </cell>
          <cell r="D155">
            <v>273</v>
          </cell>
          <cell r="E155">
            <v>6500</v>
          </cell>
        </row>
        <row r="156">
          <cell r="B156" t="str">
            <v>Xà Lách Thủy Tinh T.C Cây</v>
          </cell>
          <cell r="C156" t="str">
            <v>Cây</v>
          </cell>
          <cell r="D156">
            <v>200</v>
          </cell>
          <cell r="E156">
            <v>6800</v>
          </cell>
        </row>
        <row r="157">
          <cell r="B157" t="str">
            <v>Xà Lách Thủy Tinh T.C Cây</v>
          </cell>
          <cell r="C157" t="str">
            <v>Cây</v>
          </cell>
          <cell r="D157">
            <v>5</v>
          </cell>
          <cell r="E157">
            <v>6800</v>
          </cell>
        </row>
        <row r="158">
          <cell r="B158" t="str">
            <v>Xà Lách Thủy Tinh T.C Cây</v>
          </cell>
          <cell r="C158" t="str">
            <v>Cây</v>
          </cell>
          <cell r="D158">
            <v>100</v>
          </cell>
          <cell r="E158">
            <v>7500</v>
          </cell>
        </row>
        <row r="159">
          <cell r="B159" t="str">
            <v>Xà Lách Thủy Tinh T.C Cây</v>
          </cell>
          <cell r="C159" t="str">
            <v>Cây</v>
          </cell>
          <cell r="D159">
            <v>328</v>
          </cell>
          <cell r="E159">
            <v>6800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149"/>
  <sheetViews>
    <sheetView workbookViewId="0">
      <pane xSplit="1" ySplit="3" topLeftCell="B137" activePane="bottomRight" state="frozen"/>
      <selection pane="topRight" activeCell="B1" sqref="B1"/>
      <selection pane="bottomLeft" activeCell="A4" sqref="A4"/>
      <selection pane="bottomRight" sqref="A1:E1"/>
    </sheetView>
  </sheetViews>
  <sheetFormatPr defaultColWidth="8.8984375" defaultRowHeight="15.6"/>
  <cols>
    <col min="1" max="1" width="27.796875" style="1" bestFit="1" customWidth="1"/>
    <col min="2" max="2" width="12.09765625" style="1" bestFit="1" customWidth="1"/>
    <col min="3" max="3" width="8.8984375" style="1"/>
    <col min="4" max="4" width="16.296875" style="18" customWidth="1"/>
    <col min="5" max="5" width="18.8984375" style="1" customWidth="1"/>
    <col min="6" max="16384" width="8.8984375" style="1"/>
  </cols>
  <sheetData>
    <row r="1" spans="1:5" ht="62.4">
      <c r="A1" s="9" t="s">
        <v>104</v>
      </c>
      <c r="B1" s="6" t="s">
        <v>0</v>
      </c>
      <c r="C1" s="7" t="s">
        <v>1</v>
      </c>
      <c r="D1" s="14" t="s">
        <v>102</v>
      </c>
      <c r="E1" s="8" t="s">
        <v>103</v>
      </c>
    </row>
    <row r="2" spans="1:5" hidden="1">
      <c r="A2" s="2" t="s">
        <v>2</v>
      </c>
      <c r="B2" s="2" t="s">
        <v>3</v>
      </c>
      <c r="C2" s="3">
        <v>0</v>
      </c>
      <c r="D2" s="5"/>
      <c r="E2" s="5"/>
    </row>
    <row r="3" spans="1:5" hidden="1">
      <c r="A3" s="2" t="s">
        <v>4</v>
      </c>
      <c r="B3" s="2" t="s">
        <v>3</v>
      </c>
      <c r="C3" s="3">
        <v>0</v>
      </c>
      <c r="D3" s="5"/>
      <c r="E3" s="5"/>
    </row>
    <row r="4" spans="1:5">
      <c r="A4" s="2" t="s">
        <v>5</v>
      </c>
      <c r="B4" s="2" t="s">
        <v>3</v>
      </c>
      <c r="C4" s="3">
        <v>1410</v>
      </c>
      <c r="D4" s="15">
        <v>6000</v>
      </c>
      <c r="E4" s="10">
        <f>+D4*C4</f>
        <v>8460000</v>
      </c>
    </row>
    <row r="5" spans="1:5">
      <c r="A5" s="2" t="s">
        <v>6</v>
      </c>
      <c r="B5" s="2" t="s">
        <v>3</v>
      </c>
      <c r="C5" s="3">
        <v>32</v>
      </c>
      <c r="D5" s="15">
        <v>9500</v>
      </c>
      <c r="E5" s="10">
        <f t="shared" ref="E5:E7" si="0">+D5*C5</f>
        <v>304000</v>
      </c>
    </row>
    <row r="6" spans="1:5">
      <c r="A6" s="2" t="s">
        <v>7</v>
      </c>
      <c r="B6" s="2" t="s">
        <v>3</v>
      </c>
      <c r="C6" s="3">
        <v>638</v>
      </c>
      <c r="D6" s="15">
        <v>11000</v>
      </c>
      <c r="E6" s="10">
        <f t="shared" si="0"/>
        <v>7018000</v>
      </c>
    </row>
    <row r="7" spans="1:5">
      <c r="A7" s="2" t="s">
        <v>8</v>
      </c>
      <c r="B7" s="2" t="s">
        <v>3</v>
      </c>
      <c r="C7" s="3">
        <v>222</v>
      </c>
      <c r="D7" s="15">
        <v>13000</v>
      </c>
      <c r="E7" s="10">
        <f t="shared" si="0"/>
        <v>2886000</v>
      </c>
    </row>
    <row r="8" spans="1:5" hidden="1">
      <c r="A8" s="2" t="s">
        <v>8</v>
      </c>
      <c r="B8" s="2" t="s">
        <v>9</v>
      </c>
      <c r="C8" s="3">
        <v>0</v>
      </c>
      <c r="D8" s="5"/>
      <c r="E8" s="5"/>
    </row>
    <row r="9" spans="1:5">
      <c r="A9" s="2" t="s">
        <v>10</v>
      </c>
      <c r="B9" s="2" t="s">
        <v>3</v>
      </c>
      <c r="C9" s="3">
        <v>55</v>
      </c>
      <c r="D9" s="15">
        <v>10000</v>
      </c>
      <c r="E9" s="10">
        <f>+D9*C9</f>
        <v>550000</v>
      </c>
    </row>
    <row r="10" spans="1:5" hidden="1">
      <c r="A10" s="2" t="s">
        <v>10</v>
      </c>
      <c r="B10" s="2" t="s">
        <v>9</v>
      </c>
      <c r="C10" s="3">
        <v>0</v>
      </c>
      <c r="D10" s="5"/>
      <c r="E10" s="5"/>
    </row>
    <row r="11" spans="1:5" hidden="1">
      <c r="A11" s="2" t="s">
        <v>11</v>
      </c>
      <c r="B11" s="2" t="s">
        <v>3</v>
      </c>
      <c r="C11" s="3">
        <v>0</v>
      </c>
      <c r="D11" s="5"/>
      <c r="E11" s="5"/>
    </row>
    <row r="12" spans="1:5" hidden="1">
      <c r="A12" s="2" t="s">
        <v>12</v>
      </c>
      <c r="B12" s="2" t="s">
        <v>3</v>
      </c>
      <c r="C12" s="3">
        <v>0</v>
      </c>
      <c r="D12" s="5"/>
      <c r="E12" s="5"/>
    </row>
    <row r="13" spans="1:5" hidden="1">
      <c r="A13" s="2" t="s">
        <v>13</v>
      </c>
      <c r="B13" s="2" t="s">
        <v>3</v>
      </c>
      <c r="C13" s="3">
        <v>0</v>
      </c>
      <c r="D13" s="5"/>
      <c r="E13" s="5"/>
    </row>
    <row r="14" spans="1:5" hidden="1">
      <c r="A14" s="2" t="s">
        <v>14</v>
      </c>
      <c r="B14" s="2" t="s">
        <v>3</v>
      </c>
      <c r="C14" s="3">
        <v>0</v>
      </c>
      <c r="D14" s="5"/>
      <c r="E14" s="5"/>
    </row>
    <row r="15" spans="1:5" hidden="1">
      <c r="A15" s="2" t="s">
        <v>15</v>
      </c>
      <c r="B15" s="2" t="s">
        <v>3</v>
      </c>
      <c r="C15" s="3">
        <v>0</v>
      </c>
      <c r="D15" s="5"/>
      <c r="E15" s="5"/>
    </row>
    <row r="16" spans="1:5">
      <c r="A16" s="2" t="s">
        <v>16</v>
      </c>
      <c r="B16" s="2" t="s">
        <v>17</v>
      </c>
      <c r="C16" s="3">
        <v>10</v>
      </c>
      <c r="D16" s="15">
        <v>6000</v>
      </c>
      <c r="E16" s="10">
        <f t="shared" ref="E16:E17" si="1">+D16*C16</f>
        <v>60000</v>
      </c>
    </row>
    <row r="17" spans="1:5">
      <c r="A17" s="2" t="s">
        <v>18</v>
      </c>
      <c r="B17" s="2" t="s">
        <v>3</v>
      </c>
      <c r="C17" s="3">
        <v>830</v>
      </c>
      <c r="D17" s="15">
        <v>16000</v>
      </c>
      <c r="E17" s="10">
        <f t="shared" si="1"/>
        <v>13280000</v>
      </c>
    </row>
    <row r="18" spans="1:5" hidden="1">
      <c r="A18" s="2" t="s">
        <v>18</v>
      </c>
      <c r="B18" s="2" t="s">
        <v>17</v>
      </c>
      <c r="C18" s="3">
        <v>0</v>
      </c>
      <c r="D18" s="5"/>
      <c r="E18" s="5"/>
    </row>
    <row r="19" spans="1:5" hidden="1">
      <c r="A19" s="2" t="s">
        <v>18</v>
      </c>
      <c r="B19" s="2" t="s">
        <v>19</v>
      </c>
      <c r="C19" s="3">
        <v>0</v>
      </c>
      <c r="D19" s="5"/>
      <c r="E19" s="5"/>
    </row>
    <row r="20" spans="1:5">
      <c r="A20" s="2" t="s">
        <v>20</v>
      </c>
      <c r="B20" s="2" t="s">
        <v>3</v>
      </c>
      <c r="C20" s="3">
        <v>125</v>
      </c>
      <c r="D20" s="15">
        <v>13000</v>
      </c>
      <c r="E20" s="10">
        <f>+D20*C20</f>
        <v>1625000</v>
      </c>
    </row>
    <row r="21" spans="1:5" hidden="1">
      <c r="A21" s="2" t="s">
        <v>20</v>
      </c>
      <c r="B21" s="2" t="s">
        <v>21</v>
      </c>
      <c r="C21" s="3">
        <v>0</v>
      </c>
      <c r="D21" s="5"/>
      <c r="E21" s="5"/>
    </row>
    <row r="22" spans="1:5" hidden="1">
      <c r="A22" s="2" t="s">
        <v>22</v>
      </c>
      <c r="B22" s="2" t="s">
        <v>3</v>
      </c>
      <c r="C22" s="3">
        <v>0</v>
      </c>
      <c r="D22" s="5"/>
      <c r="E22" s="5"/>
    </row>
    <row r="23" spans="1:5">
      <c r="A23" s="2" t="s">
        <v>22</v>
      </c>
      <c r="B23" s="2" t="s">
        <v>23</v>
      </c>
      <c r="C23" s="3">
        <v>97</v>
      </c>
      <c r="D23" s="15">
        <v>5400</v>
      </c>
      <c r="E23" s="10">
        <f t="shared" ref="E23:E27" si="2">+D23*C23</f>
        <v>523800</v>
      </c>
    </row>
    <row r="24" spans="1:5">
      <c r="A24" s="2" t="s">
        <v>24</v>
      </c>
      <c r="B24" s="2" t="s">
        <v>25</v>
      </c>
      <c r="C24" s="3">
        <v>15</v>
      </c>
      <c r="D24" s="15">
        <v>12000</v>
      </c>
      <c r="E24" s="10">
        <f t="shared" si="2"/>
        <v>180000</v>
      </c>
    </row>
    <row r="25" spans="1:5">
      <c r="A25" s="2" t="s">
        <v>26</v>
      </c>
      <c r="B25" s="2" t="s">
        <v>3</v>
      </c>
      <c r="C25" s="3">
        <v>10</v>
      </c>
      <c r="D25" s="15">
        <v>25000</v>
      </c>
      <c r="E25" s="10">
        <f t="shared" si="2"/>
        <v>250000</v>
      </c>
    </row>
    <row r="26" spans="1:5">
      <c r="A26" s="2" t="s">
        <v>26</v>
      </c>
      <c r="B26" s="2" t="s">
        <v>27</v>
      </c>
      <c r="C26" s="3">
        <v>48</v>
      </c>
      <c r="D26" s="15">
        <v>7500</v>
      </c>
      <c r="E26" s="10">
        <f t="shared" si="2"/>
        <v>360000</v>
      </c>
    </row>
    <row r="27" spans="1:5">
      <c r="A27" s="2" t="s">
        <v>28</v>
      </c>
      <c r="B27" s="2" t="s">
        <v>3</v>
      </c>
      <c r="C27" s="3">
        <v>165</v>
      </c>
      <c r="D27" s="15">
        <v>13000</v>
      </c>
      <c r="E27" s="10">
        <f t="shared" si="2"/>
        <v>2145000</v>
      </c>
    </row>
    <row r="28" spans="1:5" hidden="1">
      <c r="A28" s="2" t="s">
        <v>28</v>
      </c>
      <c r="B28" s="2" t="s">
        <v>17</v>
      </c>
      <c r="C28" s="3">
        <v>0</v>
      </c>
      <c r="D28" s="5"/>
      <c r="E28" s="5"/>
    </row>
    <row r="29" spans="1:5">
      <c r="A29" s="2" t="s">
        <v>29</v>
      </c>
      <c r="B29" s="2" t="s">
        <v>30</v>
      </c>
      <c r="C29" s="3">
        <v>290</v>
      </c>
      <c r="D29" s="15">
        <v>13000</v>
      </c>
      <c r="E29" s="10">
        <f t="shared" ref="E29:E30" si="3">+D29*C29</f>
        <v>3770000</v>
      </c>
    </row>
    <row r="30" spans="1:5">
      <c r="A30" s="2" t="s">
        <v>31</v>
      </c>
      <c r="B30" s="2" t="s">
        <v>3</v>
      </c>
      <c r="C30" s="3">
        <v>160</v>
      </c>
      <c r="D30" s="15">
        <v>10000</v>
      </c>
      <c r="E30" s="10">
        <f t="shared" si="3"/>
        <v>1600000</v>
      </c>
    </row>
    <row r="31" spans="1:5" hidden="1">
      <c r="A31" s="2" t="s">
        <v>31</v>
      </c>
      <c r="B31" s="2" t="s">
        <v>30</v>
      </c>
      <c r="C31" s="3">
        <v>0</v>
      </c>
      <c r="D31" s="5"/>
      <c r="E31" s="5"/>
    </row>
    <row r="32" spans="1:5" hidden="1">
      <c r="A32" s="2" t="s">
        <v>32</v>
      </c>
      <c r="B32" s="2" t="s">
        <v>17</v>
      </c>
      <c r="C32" s="3">
        <v>0</v>
      </c>
      <c r="D32" s="5"/>
      <c r="E32" s="5"/>
    </row>
    <row r="33" spans="1:5">
      <c r="A33" s="2" t="s">
        <v>33</v>
      </c>
      <c r="B33" s="2" t="s">
        <v>3</v>
      </c>
      <c r="C33" s="3">
        <v>175</v>
      </c>
      <c r="D33" s="15">
        <v>8000</v>
      </c>
      <c r="E33" s="10">
        <f>+D33*C33</f>
        <v>1400000</v>
      </c>
    </row>
    <row r="34" spans="1:5" hidden="1">
      <c r="A34" s="2" t="s">
        <v>33</v>
      </c>
      <c r="B34" s="2" t="s">
        <v>34</v>
      </c>
      <c r="C34" s="3">
        <v>0</v>
      </c>
      <c r="D34" s="5"/>
      <c r="E34" s="5"/>
    </row>
    <row r="35" spans="1:5">
      <c r="A35" s="2" t="s">
        <v>35</v>
      </c>
      <c r="B35" s="2" t="s">
        <v>3</v>
      </c>
      <c r="C35" s="3">
        <v>2</v>
      </c>
      <c r="D35" s="15">
        <v>20000</v>
      </c>
      <c r="E35" s="10">
        <f>+D35*C35</f>
        <v>40000</v>
      </c>
    </row>
    <row r="36" spans="1:5" hidden="1">
      <c r="A36" s="2" t="s">
        <v>35</v>
      </c>
      <c r="B36" s="2" t="s">
        <v>30</v>
      </c>
      <c r="C36" s="3">
        <v>0</v>
      </c>
      <c r="D36" s="5"/>
      <c r="E36" s="5"/>
    </row>
    <row r="37" spans="1:5">
      <c r="A37" s="2" t="s">
        <v>36</v>
      </c>
      <c r="B37" s="2" t="s">
        <v>30</v>
      </c>
      <c r="C37" s="3">
        <v>29</v>
      </c>
      <c r="D37" s="15">
        <v>8000</v>
      </c>
      <c r="E37" s="10">
        <f>+D37*C37</f>
        <v>232000</v>
      </c>
    </row>
    <row r="38" spans="1:5" hidden="1">
      <c r="A38" s="2" t="s">
        <v>37</v>
      </c>
      <c r="B38" s="2" t="s">
        <v>30</v>
      </c>
      <c r="C38" s="3">
        <v>0</v>
      </c>
      <c r="D38" s="5"/>
      <c r="E38" s="5"/>
    </row>
    <row r="39" spans="1:5">
      <c r="A39" s="2" t="s">
        <v>38</v>
      </c>
      <c r="B39" s="2" t="s">
        <v>3</v>
      </c>
      <c r="C39" s="3">
        <v>160</v>
      </c>
      <c r="D39" s="15">
        <v>5500</v>
      </c>
      <c r="E39" s="10">
        <f>+D39*C39</f>
        <v>880000</v>
      </c>
    </row>
    <row r="40" spans="1:5" hidden="1">
      <c r="A40" s="2" t="s">
        <v>39</v>
      </c>
      <c r="B40" s="2" t="s">
        <v>40</v>
      </c>
      <c r="C40" s="3">
        <v>0</v>
      </c>
      <c r="D40" s="5"/>
      <c r="E40" s="5"/>
    </row>
    <row r="41" spans="1:5" hidden="1">
      <c r="A41" s="2" t="s">
        <v>39</v>
      </c>
      <c r="B41" s="2" t="s">
        <v>3</v>
      </c>
      <c r="C41" s="3">
        <v>0</v>
      </c>
      <c r="D41" s="5"/>
      <c r="E41" s="5"/>
    </row>
    <row r="42" spans="1:5" hidden="1">
      <c r="A42" s="2" t="s">
        <v>41</v>
      </c>
      <c r="B42" s="2" t="s">
        <v>3</v>
      </c>
      <c r="C42" s="3">
        <v>0</v>
      </c>
      <c r="D42" s="5"/>
      <c r="E42" s="5"/>
    </row>
    <row r="43" spans="1:5" hidden="1">
      <c r="A43" s="2" t="s">
        <v>42</v>
      </c>
      <c r="B43" s="2" t="s">
        <v>25</v>
      </c>
      <c r="C43" s="3">
        <v>0</v>
      </c>
      <c r="D43" s="5"/>
      <c r="E43" s="5"/>
    </row>
    <row r="44" spans="1:5">
      <c r="A44" s="2" t="s">
        <v>43</v>
      </c>
      <c r="B44" s="2" t="s">
        <v>3</v>
      </c>
      <c r="C44" s="3">
        <v>2</v>
      </c>
      <c r="D44" s="15">
        <v>16000</v>
      </c>
      <c r="E44" s="10">
        <f t="shared" ref="E44:E46" si="4">+D44*C44</f>
        <v>32000</v>
      </c>
    </row>
    <row r="45" spans="1:5">
      <c r="A45" s="2" t="s">
        <v>44</v>
      </c>
      <c r="B45" s="2" t="s">
        <v>3</v>
      </c>
      <c r="C45" s="3">
        <v>18</v>
      </c>
      <c r="D45" s="15">
        <v>6500</v>
      </c>
      <c r="E45" s="10">
        <f t="shared" si="4"/>
        <v>117000</v>
      </c>
    </row>
    <row r="46" spans="1:5">
      <c r="A46" s="2" t="s">
        <v>45</v>
      </c>
      <c r="B46" s="2" t="s">
        <v>3</v>
      </c>
      <c r="C46" s="3">
        <v>45</v>
      </c>
      <c r="D46" s="15">
        <v>11000</v>
      </c>
      <c r="E46" s="10">
        <f t="shared" si="4"/>
        <v>495000</v>
      </c>
    </row>
    <row r="47" spans="1:5" hidden="1">
      <c r="A47" s="2" t="s">
        <v>45</v>
      </c>
      <c r="B47" s="2" t="s">
        <v>30</v>
      </c>
      <c r="C47" s="3">
        <v>0</v>
      </c>
      <c r="D47" s="5"/>
      <c r="E47" s="5"/>
    </row>
    <row r="48" spans="1:5">
      <c r="A48" s="2" t="s">
        <v>46</v>
      </c>
      <c r="B48" s="2" t="s">
        <v>3</v>
      </c>
      <c r="C48" s="3">
        <v>2</v>
      </c>
      <c r="D48" s="15">
        <v>18000</v>
      </c>
      <c r="E48" s="10">
        <f t="shared" ref="E48:E49" si="5">+D48*C48</f>
        <v>36000</v>
      </c>
    </row>
    <row r="49" spans="1:5">
      <c r="A49" s="2" t="s">
        <v>47</v>
      </c>
      <c r="B49" s="2" t="s">
        <v>3</v>
      </c>
      <c r="C49" s="3">
        <v>350</v>
      </c>
      <c r="D49" s="15">
        <v>10000</v>
      </c>
      <c r="E49" s="10">
        <f t="shared" si="5"/>
        <v>3500000</v>
      </c>
    </row>
    <row r="50" spans="1:5" hidden="1">
      <c r="A50" s="2" t="s">
        <v>47</v>
      </c>
      <c r="B50" s="2" t="s">
        <v>48</v>
      </c>
      <c r="C50" s="3">
        <v>0</v>
      </c>
      <c r="D50" s="5"/>
      <c r="E50" s="5"/>
    </row>
    <row r="51" spans="1:5">
      <c r="A51" s="2" t="s">
        <v>49</v>
      </c>
      <c r="B51" s="2" t="s">
        <v>30</v>
      </c>
      <c r="C51" s="3">
        <v>200</v>
      </c>
      <c r="D51" s="15">
        <v>2100</v>
      </c>
      <c r="E51" s="10">
        <f t="shared" ref="E51:E56" si="6">+D51*C51</f>
        <v>420000</v>
      </c>
    </row>
    <row r="52" spans="1:5">
      <c r="A52" s="2" t="s">
        <v>50</v>
      </c>
      <c r="B52" s="2" t="s">
        <v>3</v>
      </c>
      <c r="C52" s="3">
        <v>370</v>
      </c>
      <c r="D52" s="15">
        <v>28000</v>
      </c>
      <c r="E52" s="10">
        <f t="shared" si="6"/>
        <v>10360000</v>
      </c>
    </row>
    <row r="53" spans="1:5">
      <c r="A53" s="2" t="s">
        <v>51</v>
      </c>
      <c r="B53" s="2" t="s">
        <v>3</v>
      </c>
      <c r="C53" s="3">
        <v>1835</v>
      </c>
      <c r="D53" s="15">
        <v>27000</v>
      </c>
      <c r="E53" s="10">
        <f t="shared" si="6"/>
        <v>49545000</v>
      </c>
    </row>
    <row r="54" spans="1:5">
      <c r="A54" s="2" t="s">
        <v>52</v>
      </c>
      <c r="B54" s="2" t="s">
        <v>3</v>
      </c>
      <c r="C54" s="3">
        <v>200</v>
      </c>
      <c r="D54" s="15">
        <v>27000</v>
      </c>
      <c r="E54" s="10">
        <f t="shared" si="6"/>
        <v>5400000</v>
      </c>
    </row>
    <row r="55" spans="1:5">
      <c r="A55" s="2" t="s">
        <v>53</v>
      </c>
      <c r="B55" s="2" t="s">
        <v>3</v>
      </c>
      <c r="C55" s="3">
        <v>70</v>
      </c>
      <c r="D55" s="15">
        <v>18000</v>
      </c>
      <c r="E55" s="10">
        <f t="shared" si="6"/>
        <v>1260000</v>
      </c>
    </row>
    <row r="56" spans="1:5">
      <c r="A56" s="2" t="s">
        <v>54</v>
      </c>
      <c r="B56" s="2" t="s">
        <v>3</v>
      </c>
      <c r="C56" s="3">
        <v>7</v>
      </c>
      <c r="D56" s="15">
        <v>27000</v>
      </c>
      <c r="E56" s="10">
        <f t="shared" si="6"/>
        <v>189000</v>
      </c>
    </row>
    <row r="57" spans="1:5" hidden="1">
      <c r="A57" s="2" t="s">
        <v>55</v>
      </c>
      <c r="B57" s="2" t="s">
        <v>3</v>
      </c>
      <c r="C57" s="3">
        <v>0</v>
      </c>
      <c r="D57" s="5"/>
      <c r="E57" s="5"/>
    </row>
    <row r="58" spans="1:5">
      <c r="A58" s="2" t="s">
        <v>56</v>
      </c>
      <c r="B58" s="2" t="s">
        <v>3</v>
      </c>
      <c r="C58" s="3">
        <v>55</v>
      </c>
      <c r="D58" s="15">
        <v>16000</v>
      </c>
      <c r="E58" s="10">
        <f>+D58*C58</f>
        <v>880000</v>
      </c>
    </row>
    <row r="59" spans="1:5" hidden="1">
      <c r="A59" s="2" t="s">
        <v>56</v>
      </c>
      <c r="B59" s="2" t="s">
        <v>30</v>
      </c>
      <c r="C59" s="3">
        <v>0</v>
      </c>
      <c r="D59" s="5"/>
      <c r="E59" s="5"/>
    </row>
    <row r="60" spans="1:5">
      <c r="A60" s="2" t="s">
        <v>57</v>
      </c>
      <c r="B60" s="2" t="s">
        <v>30</v>
      </c>
      <c r="C60" s="3">
        <v>80</v>
      </c>
      <c r="D60" s="15">
        <v>7000</v>
      </c>
      <c r="E60" s="10">
        <f>+D60*C60</f>
        <v>560000</v>
      </c>
    </row>
    <row r="61" spans="1:5" hidden="1">
      <c r="A61" s="2" t="s">
        <v>58</v>
      </c>
      <c r="B61" s="2" t="s">
        <v>3</v>
      </c>
      <c r="C61" s="3">
        <v>0</v>
      </c>
      <c r="D61" s="5"/>
      <c r="E61" s="5"/>
    </row>
    <row r="62" spans="1:5">
      <c r="A62" s="2" t="s">
        <v>59</v>
      </c>
      <c r="B62" s="2" t="s">
        <v>30</v>
      </c>
      <c r="C62" s="3">
        <v>13</v>
      </c>
      <c r="D62" s="15">
        <v>6000</v>
      </c>
      <c r="E62" s="10">
        <f>+D62*C62</f>
        <v>78000</v>
      </c>
    </row>
    <row r="63" spans="1:5" hidden="1">
      <c r="A63" s="2" t="s">
        <v>60</v>
      </c>
      <c r="B63" s="2" t="s">
        <v>3</v>
      </c>
      <c r="C63" s="3">
        <v>0</v>
      </c>
      <c r="D63" s="5"/>
      <c r="E63" s="5"/>
    </row>
    <row r="64" spans="1:5">
      <c r="A64" s="2" t="s">
        <v>60</v>
      </c>
      <c r="B64" s="2" t="s">
        <v>61</v>
      </c>
      <c r="C64" s="3">
        <v>45</v>
      </c>
      <c r="D64" s="15">
        <v>13000</v>
      </c>
      <c r="E64" s="10">
        <f>+D64*C64</f>
        <v>585000</v>
      </c>
    </row>
    <row r="65" spans="1:5" hidden="1">
      <c r="A65" s="2" t="s">
        <v>62</v>
      </c>
      <c r="B65" s="2" t="s">
        <v>3</v>
      </c>
      <c r="C65" s="3">
        <v>0</v>
      </c>
      <c r="D65" s="5"/>
      <c r="E65" s="5"/>
    </row>
    <row r="66" spans="1:5">
      <c r="A66" s="2" t="s">
        <v>63</v>
      </c>
      <c r="B66" s="2" t="s">
        <v>3</v>
      </c>
      <c r="C66" s="3">
        <v>1.75</v>
      </c>
      <c r="D66" s="15">
        <v>70000</v>
      </c>
      <c r="E66" s="10">
        <f t="shared" ref="E66:E69" si="7">+D66*C66</f>
        <v>122500</v>
      </c>
    </row>
    <row r="67" spans="1:5">
      <c r="A67" s="2" t="s">
        <v>64</v>
      </c>
      <c r="B67" s="2" t="s">
        <v>3</v>
      </c>
      <c r="C67" s="3">
        <v>1.5</v>
      </c>
      <c r="D67" s="15">
        <v>70000</v>
      </c>
      <c r="E67" s="10">
        <f t="shared" si="7"/>
        <v>105000</v>
      </c>
    </row>
    <row r="68" spans="1:5">
      <c r="A68" s="2" t="s">
        <v>65</v>
      </c>
      <c r="B68" s="2" t="s">
        <v>3</v>
      </c>
      <c r="C68" s="3">
        <v>120</v>
      </c>
      <c r="D68" s="15">
        <v>9500</v>
      </c>
      <c r="E68" s="10">
        <f t="shared" si="7"/>
        <v>1140000</v>
      </c>
    </row>
    <row r="69" spans="1:5">
      <c r="A69" s="2" t="s">
        <v>65</v>
      </c>
      <c r="B69" s="2" t="s">
        <v>17</v>
      </c>
      <c r="C69" s="3">
        <v>442</v>
      </c>
      <c r="D69" s="15">
        <v>6500</v>
      </c>
      <c r="E69" s="10">
        <f t="shared" si="7"/>
        <v>2873000</v>
      </c>
    </row>
    <row r="70" spans="1:5" hidden="1">
      <c r="A70" s="2" t="s">
        <v>66</v>
      </c>
      <c r="B70" s="2" t="s">
        <v>3</v>
      </c>
      <c r="C70" s="3">
        <v>0</v>
      </c>
      <c r="D70" s="5"/>
      <c r="E70" s="5"/>
    </row>
    <row r="71" spans="1:5">
      <c r="A71" s="2" t="s">
        <v>67</v>
      </c>
      <c r="B71" s="2" t="s">
        <v>3</v>
      </c>
      <c r="C71" s="3">
        <v>90</v>
      </c>
      <c r="D71" s="15">
        <v>12000</v>
      </c>
      <c r="E71" s="10">
        <f>+D71*C71</f>
        <v>1080000</v>
      </c>
    </row>
    <row r="72" spans="1:5" hidden="1">
      <c r="A72" s="2" t="s">
        <v>68</v>
      </c>
      <c r="B72" s="2" t="s">
        <v>40</v>
      </c>
      <c r="C72" s="3">
        <v>0</v>
      </c>
      <c r="D72" s="5"/>
      <c r="E72" s="5"/>
    </row>
    <row r="73" spans="1:5" hidden="1">
      <c r="A73" s="2" t="s">
        <v>68</v>
      </c>
      <c r="B73" s="2" t="s">
        <v>3</v>
      </c>
      <c r="C73" s="3">
        <v>0</v>
      </c>
      <c r="D73" s="5"/>
      <c r="E73" s="5"/>
    </row>
    <row r="74" spans="1:5">
      <c r="A74" s="2" t="s">
        <v>69</v>
      </c>
      <c r="B74" s="2" t="s">
        <v>3</v>
      </c>
      <c r="C74" s="3">
        <v>300</v>
      </c>
      <c r="D74" s="15">
        <v>27600</v>
      </c>
      <c r="E74" s="10">
        <f t="shared" ref="E74:E75" si="8">+D74*C74</f>
        <v>8280000</v>
      </c>
    </row>
    <row r="75" spans="1:5">
      <c r="A75" s="2" t="s">
        <v>70</v>
      </c>
      <c r="B75" s="2" t="s">
        <v>3</v>
      </c>
      <c r="C75" s="3">
        <v>14</v>
      </c>
      <c r="D75" s="15">
        <v>3400</v>
      </c>
      <c r="E75" s="10">
        <f t="shared" si="8"/>
        <v>47600</v>
      </c>
    </row>
    <row r="76" spans="1:5" hidden="1">
      <c r="A76" s="2" t="s">
        <v>70</v>
      </c>
      <c r="B76" s="2" t="s">
        <v>30</v>
      </c>
      <c r="C76" s="3">
        <v>0</v>
      </c>
      <c r="D76" s="5"/>
      <c r="E76" s="5"/>
    </row>
    <row r="77" spans="1:5">
      <c r="A77" s="2" t="s">
        <v>71</v>
      </c>
      <c r="B77" s="2" t="s">
        <v>3</v>
      </c>
      <c r="C77" s="3">
        <v>5</v>
      </c>
      <c r="D77" s="15">
        <v>14000</v>
      </c>
      <c r="E77" s="10">
        <f>+D77*C77</f>
        <v>70000</v>
      </c>
    </row>
    <row r="78" spans="1:5" hidden="1">
      <c r="A78" s="2" t="s">
        <v>72</v>
      </c>
      <c r="B78" s="2" t="s">
        <v>17</v>
      </c>
      <c r="C78" s="3">
        <v>0</v>
      </c>
      <c r="D78" s="5"/>
      <c r="E78" s="5"/>
    </row>
    <row r="79" spans="1:5" hidden="1">
      <c r="A79" s="2" t="s">
        <v>73</v>
      </c>
      <c r="B79" s="2" t="s">
        <v>25</v>
      </c>
      <c r="C79" s="3">
        <v>0</v>
      </c>
      <c r="D79" s="5"/>
      <c r="E79" s="5"/>
    </row>
    <row r="80" spans="1:5">
      <c r="A80" s="2" t="s">
        <v>73</v>
      </c>
      <c r="B80" s="2" t="s">
        <v>3</v>
      </c>
      <c r="C80" s="3">
        <v>21</v>
      </c>
      <c r="D80" s="15">
        <v>55000</v>
      </c>
      <c r="E80" s="10">
        <f>+D80*C80</f>
        <v>1155000</v>
      </c>
    </row>
    <row r="81" spans="1:5" hidden="1">
      <c r="A81" s="2" t="s">
        <v>74</v>
      </c>
      <c r="B81" s="2" t="s">
        <v>3</v>
      </c>
      <c r="C81" s="3">
        <v>0</v>
      </c>
      <c r="D81" s="5"/>
      <c r="E81" s="5"/>
    </row>
    <row r="82" spans="1:5" hidden="1">
      <c r="A82" s="2" t="s">
        <v>74</v>
      </c>
      <c r="B82" s="2" t="s">
        <v>9</v>
      </c>
      <c r="C82" s="3">
        <v>0</v>
      </c>
      <c r="D82" s="5"/>
      <c r="E82" s="5"/>
    </row>
    <row r="83" spans="1:5">
      <c r="A83" s="2" t="s">
        <v>75</v>
      </c>
      <c r="B83" s="2" t="s">
        <v>3</v>
      </c>
      <c r="C83" s="3">
        <v>10</v>
      </c>
      <c r="D83" s="15">
        <v>47000</v>
      </c>
      <c r="E83" s="10">
        <f t="shared" ref="E83:E84" si="9">+D83*C83</f>
        <v>470000</v>
      </c>
    </row>
    <row r="84" spans="1:5">
      <c r="A84" s="2" t="s">
        <v>76</v>
      </c>
      <c r="B84" s="2" t="s">
        <v>3</v>
      </c>
      <c r="C84" s="3">
        <v>7</v>
      </c>
      <c r="D84" s="15">
        <v>52000</v>
      </c>
      <c r="E84" s="10">
        <f t="shared" si="9"/>
        <v>364000</v>
      </c>
    </row>
    <row r="85" spans="1:5" hidden="1">
      <c r="A85" s="2" t="s">
        <v>76</v>
      </c>
      <c r="B85" s="2" t="s">
        <v>9</v>
      </c>
      <c r="C85" s="3">
        <v>0</v>
      </c>
      <c r="D85" s="5"/>
      <c r="E85" s="5"/>
    </row>
    <row r="86" spans="1:5">
      <c r="A86" s="2" t="s">
        <v>77</v>
      </c>
      <c r="B86" s="2" t="s">
        <v>3</v>
      </c>
      <c r="C86" s="3">
        <v>10</v>
      </c>
      <c r="D86" s="15">
        <v>47000</v>
      </c>
      <c r="E86" s="10">
        <f>+D86*C86</f>
        <v>470000</v>
      </c>
    </row>
    <row r="87" spans="1:5" hidden="1">
      <c r="A87" s="2" t="s">
        <v>78</v>
      </c>
      <c r="B87" s="2" t="s">
        <v>3</v>
      </c>
      <c r="C87" s="3">
        <v>0</v>
      </c>
      <c r="D87" s="5"/>
      <c r="E87" s="5"/>
    </row>
    <row r="88" spans="1:5" hidden="1">
      <c r="A88" s="2" t="s">
        <v>78</v>
      </c>
      <c r="B88" s="2" t="s">
        <v>9</v>
      </c>
      <c r="C88" s="3">
        <v>0</v>
      </c>
      <c r="D88" s="5"/>
      <c r="E88" s="5"/>
    </row>
    <row r="89" spans="1:5">
      <c r="A89" s="2" t="s">
        <v>79</v>
      </c>
      <c r="B89" s="2" t="s">
        <v>3</v>
      </c>
      <c r="C89" s="3">
        <v>45</v>
      </c>
      <c r="D89" s="15">
        <v>50000</v>
      </c>
      <c r="E89" s="10">
        <f t="shared" ref="E89:E90" si="10">+D89*C89</f>
        <v>2250000</v>
      </c>
    </row>
    <row r="90" spans="1:5">
      <c r="A90" s="2" t="s">
        <v>79</v>
      </c>
      <c r="B90" s="2" t="s">
        <v>30</v>
      </c>
      <c r="C90" s="3">
        <v>80</v>
      </c>
      <c r="D90" s="15">
        <v>18000</v>
      </c>
      <c r="E90" s="10">
        <f t="shared" si="10"/>
        <v>1440000</v>
      </c>
    </row>
    <row r="91" spans="1:5" hidden="1">
      <c r="A91" s="2" t="s">
        <v>80</v>
      </c>
      <c r="B91" s="2" t="s">
        <v>30</v>
      </c>
      <c r="C91" s="3">
        <v>0</v>
      </c>
      <c r="D91" s="5"/>
      <c r="E91" s="5"/>
    </row>
    <row r="92" spans="1:5">
      <c r="A92" s="2" t="s">
        <v>81</v>
      </c>
      <c r="B92" s="2" t="s">
        <v>9</v>
      </c>
      <c r="C92" s="3">
        <v>370</v>
      </c>
      <c r="D92" s="15">
        <v>10000</v>
      </c>
      <c r="E92" s="10">
        <f t="shared" ref="E92:E94" si="11">+D92*C92</f>
        <v>3700000</v>
      </c>
    </row>
    <row r="93" spans="1:5">
      <c r="A93" s="2" t="s">
        <v>82</v>
      </c>
      <c r="B93" s="2" t="s">
        <v>9</v>
      </c>
      <c r="C93" s="3">
        <v>270</v>
      </c>
      <c r="D93" s="15">
        <v>11361</v>
      </c>
      <c r="E93" s="10">
        <f t="shared" si="11"/>
        <v>3067470</v>
      </c>
    </row>
    <row r="94" spans="1:5">
      <c r="A94" s="2" t="s">
        <v>83</v>
      </c>
      <c r="B94" s="2" t="s">
        <v>9</v>
      </c>
      <c r="C94" s="3">
        <v>53</v>
      </c>
      <c r="D94" s="15">
        <v>100000</v>
      </c>
      <c r="E94" s="10">
        <f t="shared" si="11"/>
        <v>5300000</v>
      </c>
    </row>
    <row r="95" spans="1:5" hidden="1">
      <c r="A95" s="2" t="s">
        <v>84</v>
      </c>
      <c r="B95" s="2" t="s">
        <v>3</v>
      </c>
      <c r="C95" s="3">
        <v>0</v>
      </c>
      <c r="D95" s="5"/>
      <c r="E95" s="5"/>
    </row>
    <row r="96" spans="1:5">
      <c r="A96" s="2" t="s">
        <v>85</v>
      </c>
      <c r="B96" s="2" t="s">
        <v>3</v>
      </c>
      <c r="C96" s="3">
        <v>40</v>
      </c>
      <c r="D96" s="15">
        <v>15000</v>
      </c>
      <c r="E96" s="10">
        <f t="shared" ref="E96:E99" si="12">+D96*C96</f>
        <v>600000</v>
      </c>
    </row>
    <row r="97" spans="1:5">
      <c r="A97" s="2" t="s">
        <v>86</v>
      </c>
      <c r="B97" s="2" t="s">
        <v>9</v>
      </c>
      <c r="C97" s="3">
        <v>21</v>
      </c>
      <c r="D97" s="15">
        <v>26000</v>
      </c>
      <c r="E97" s="10">
        <f t="shared" si="12"/>
        <v>546000</v>
      </c>
    </row>
    <row r="98" spans="1:5">
      <c r="A98" s="2" t="s">
        <v>87</v>
      </c>
      <c r="B98" s="2" t="s">
        <v>3</v>
      </c>
      <c r="C98" s="3">
        <v>325</v>
      </c>
      <c r="D98" s="15">
        <v>10000</v>
      </c>
      <c r="E98" s="10">
        <f t="shared" si="12"/>
        <v>3250000</v>
      </c>
    </row>
    <row r="99" spans="1:5">
      <c r="A99" s="2" t="s">
        <v>88</v>
      </c>
      <c r="B99" s="2" t="s">
        <v>3</v>
      </c>
      <c r="C99" s="3">
        <v>22</v>
      </c>
      <c r="D99" s="15">
        <v>19000</v>
      </c>
      <c r="E99" s="10">
        <f t="shared" si="12"/>
        <v>418000</v>
      </c>
    </row>
    <row r="100" spans="1:5" hidden="1">
      <c r="A100" s="2" t="s">
        <v>89</v>
      </c>
      <c r="B100" s="2" t="s">
        <v>3</v>
      </c>
      <c r="C100" s="3">
        <v>0</v>
      </c>
      <c r="D100" s="5"/>
      <c r="E100" s="5"/>
    </row>
    <row r="101" spans="1:5" hidden="1">
      <c r="A101" s="2" t="s">
        <v>90</v>
      </c>
      <c r="B101" s="2" t="s">
        <v>40</v>
      </c>
      <c r="C101" s="3">
        <v>0</v>
      </c>
      <c r="D101" s="5"/>
      <c r="E101" s="5"/>
    </row>
    <row r="102" spans="1:5" hidden="1">
      <c r="A102" s="2" t="s">
        <v>91</v>
      </c>
      <c r="B102" s="2" t="s">
        <v>3</v>
      </c>
      <c r="C102" s="3">
        <v>0</v>
      </c>
      <c r="D102" s="5"/>
      <c r="E102" s="5"/>
    </row>
    <row r="103" spans="1:5" hidden="1">
      <c r="A103" s="2" t="s">
        <v>92</v>
      </c>
      <c r="B103" s="2" t="s">
        <v>40</v>
      </c>
      <c r="C103" s="3">
        <v>0</v>
      </c>
      <c r="D103" s="5"/>
      <c r="E103" s="5"/>
    </row>
    <row r="104" spans="1:5" hidden="1">
      <c r="A104" s="2" t="s">
        <v>93</v>
      </c>
      <c r="B104" s="2" t="s">
        <v>3</v>
      </c>
      <c r="C104" s="3">
        <v>0</v>
      </c>
      <c r="D104" s="5"/>
      <c r="E104" s="5"/>
    </row>
    <row r="105" spans="1:5" hidden="1">
      <c r="A105" s="2" t="s">
        <v>94</v>
      </c>
      <c r="B105" s="2" t="s">
        <v>3</v>
      </c>
      <c r="C105" s="3">
        <v>0</v>
      </c>
      <c r="D105" s="5"/>
      <c r="E105" s="5"/>
    </row>
    <row r="106" spans="1:5" hidden="1">
      <c r="A106" s="2" t="s">
        <v>95</v>
      </c>
      <c r="B106" s="2" t="s">
        <v>40</v>
      </c>
      <c r="C106" s="3">
        <v>0</v>
      </c>
      <c r="D106" s="5"/>
      <c r="E106" s="5"/>
    </row>
    <row r="107" spans="1:5">
      <c r="A107" s="11" t="e">
        <v>#N/A</v>
      </c>
      <c r="B107" s="11">
        <v>0</v>
      </c>
      <c r="C107" s="12">
        <v>10013.25</v>
      </c>
      <c r="D107" s="16">
        <v>10013.25</v>
      </c>
      <c r="E107" s="19">
        <f>SUBTOTAL(9,E4:E99)</f>
        <v>155769370</v>
      </c>
    </row>
    <row r="108" spans="1:5" ht="62.4">
      <c r="A108" s="9" t="s">
        <v>105</v>
      </c>
      <c r="B108" s="6" t="s">
        <v>0</v>
      </c>
      <c r="C108" s="7" t="s">
        <v>1</v>
      </c>
      <c r="D108" s="14" t="s">
        <v>102</v>
      </c>
      <c r="E108" s="8" t="s">
        <v>103</v>
      </c>
    </row>
    <row r="109" spans="1:5" hidden="1">
      <c r="A109" s="2" t="s">
        <v>2</v>
      </c>
      <c r="B109" s="2" t="s">
        <v>3</v>
      </c>
      <c r="C109" s="4">
        <v>0</v>
      </c>
      <c r="D109" s="5"/>
      <c r="E109" s="5"/>
    </row>
    <row r="110" spans="1:5">
      <c r="A110" s="2" t="s">
        <v>4</v>
      </c>
      <c r="B110" s="2" t="s">
        <v>3</v>
      </c>
      <c r="C110" s="4">
        <v>110</v>
      </c>
      <c r="D110" s="15">
        <v>5000</v>
      </c>
      <c r="E110" s="10">
        <f t="shared" ref="E110:E112" si="13">+D110*C110</f>
        <v>550000</v>
      </c>
    </row>
    <row r="111" spans="1:5">
      <c r="A111" s="2" t="s">
        <v>5</v>
      </c>
      <c r="B111" s="2" t="s">
        <v>3</v>
      </c>
      <c r="C111" s="4">
        <v>40</v>
      </c>
      <c r="D111" s="15">
        <v>6000</v>
      </c>
      <c r="E111" s="10">
        <f t="shared" si="13"/>
        <v>240000</v>
      </c>
    </row>
    <row r="112" spans="1:5">
      <c r="A112" s="2" t="s">
        <v>96</v>
      </c>
      <c r="B112" s="2" t="s">
        <v>3</v>
      </c>
      <c r="C112" s="4">
        <v>7</v>
      </c>
      <c r="D112" s="15">
        <v>10000</v>
      </c>
      <c r="E112" s="10">
        <f t="shared" si="13"/>
        <v>70000</v>
      </c>
    </row>
    <row r="113" spans="1:5" hidden="1">
      <c r="A113" s="2" t="s">
        <v>7</v>
      </c>
      <c r="B113" s="2" t="s">
        <v>3</v>
      </c>
      <c r="C113" s="4">
        <v>0</v>
      </c>
      <c r="D113" s="5"/>
      <c r="E113" s="5"/>
    </row>
    <row r="114" spans="1:5">
      <c r="A114" s="2" t="s">
        <v>8</v>
      </c>
      <c r="B114" s="2" t="s">
        <v>3</v>
      </c>
      <c r="C114" s="4">
        <v>8</v>
      </c>
      <c r="D114" s="15">
        <v>13000</v>
      </c>
      <c r="E114" s="10">
        <f>+D114*C114</f>
        <v>104000</v>
      </c>
    </row>
    <row r="115" spans="1:5" hidden="1">
      <c r="A115" s="2" t="s">
        <v>12</v>
      </c>
      <c r="B115" s="2" t="s">
        <v>3</v>
      </c>
      <c r="C115" s="4">
        <v>0</v>
      </c>
      <c r="D115" s="5"/>
      <c r="E115" s="5"/>
    </row>
    <row r="116" spans="1:5" hidden="1">
      <c r="A116" s="2" t="s">
        <v>97</v>
      </c>
      <c r="B116" s="2" t="s">
        <v>3</v>
      </c>
      <c r="C116" s="4">
        <v>0</v>
      </c>
      <c r="D116" s="5"/>
      <c r="E116" s="5"/>
    </row>
    <row r="117" spans="1:5">
      <c r="A117" s="2" t="s">
        <v>18</v>
      </c>
      <c r="B117" s="2" t="s">
        <v>3</v>
      </c>
      <c r="C117" s="4">
        <v>30</v>
      </c>
      <c r="D117" s="15">
        <v>16000</v>
      </c>
      <c r="E117" s="10">
        <f t="shared" ref="E117:E123" si="14">+D117*C117</f>
        <v>480000</v>
      </c>
    </row>
    <row r="118" spans="1:5">
      <c r="A118" s="2" t="s">
        <v>28</v>
      </c>
      <c r="B118" s="2" t="s">
        <v>3</v>
      </c>
      <c r="C118" s="4">
        <v>60</v>
      </c>
      <c r="D118" s="15">
        <v>13000</v>
      </c>
      <c r="E118" s="10">
        <f t="shared" si="14"/>
        <v>780000</v>
      </c>
    </row>
    <row r="119" spans="1:5">
      <c r="A119" s="2" t="s">
        <v>31</v>
      </c>
      <c r="B119" s="2" t="s">
        <v>3</v>
      </c>
      <c r="C119" s="4">
        <v>85</v>
      </c>
      <c r="D119" s="15">
        <v>10000</v>
      </c>
      <c r="E119" s="10">
        <f t="shared" si="14"/>
        <v>850000</v>
      </c>
    </row>
    <row r="120" spans="1:5">
      <c r="A120" s="2" t="s">
        <v>33</v>
      </c>
      <c r="B120" s="2" t="s">
        <v>3</v>
      </c>
      <c r="C120" s="4">
        <v>5</v>
      </c>
      <c r="D120" s="15">
        <v>8000</v>
      </c>
      <c r="E120" s="10">
        <f t="shared" si="14"/>
        <v>40000</v>
      </c>
    </row>
    <row r="121" spans="1:5">
      <c r="A121" s="2" t="s">
        <v>38</v>
      </c>
      <c r="B121" s="2" t="s">
        <v>3</v>
      </c>
      <c r="C121" s="4">
        <v>60</v>
      </c>
      <c r="D121" s="15">
        <v>5500</v>
      </c>
      <c r="E121" s="10">
        <f t="shared" si="14"/>
        <v>330000</v>
      </c>
    </row>
    <row r="122" spans="1:5">
      <c r="A122" s="2" t="s">
        <v>98</v>
      </c>
      <c r="B122" s="2" t="s">
        <v>3</v>
      </c>
      <c r="C122" s="4">
        <v>10</v>
      </c>
      <c r="D122" s="15">
        <v>14000</v>
      </c>
      <c r="E122" s="10">
        <f t="shared" si="14"/>
        <v>140000</v>
      </c>
    </row>
    <row r="123" spans="1:5">
      <c r="A123" s="2" t="s">
        <v>99</v>
      </c>
      <c r="B123" s="2" t="s">
        <v>3</v>
      </c>
      <c r="C123" s="4">
        <v>420</v>
      </c>
      <c r="D123" s="15">
        <v>3000</v>
      </c>
      <c r="E123" s="10">
        <f t="shared" si="14"/>
        <v>1260000</v>
      </c>
    </row>
    <row r="124" spans="1:5" hidden="1">
      <c r="A124" s="2" t="s">
        <v>39</v>
      </c>
      <c r="B124" s="2" t="s">
        <v>3</v>
      </c>
      <c r="C124" s="4">
        <v>0</v>
      </c>
      <c r="D124" s="5"/>
      <c r="E124" s="5"/>
    </row>
    <row r="125" spans="1:5" hidden="1">
      <c r="A125" s="2" t="s">
        <v>100</v>
      </c>
      <c r="B125" s="2" t="s">
        <v>3</v>
      </c>
      <c r="C125" s="4">
        <v>0</v>
      </c>
      <c r="D125" s="5"/>
      <c r="E125" s="5"/>
    </row>
    <row r="126" spans="1:5">
      <c r="A126" s="2" t="s">
        <v>41</v>
      </c>
      <c r="B126" s="2" t="s">
        <v>3</v>
      </c>
      <c r="C126" s="4">
        <v>15</v>
      </c>
      <c r="D126" s="15">
        <v>14000</v>
      </c>
      <c r="E126" s="10">
        <f t="shared" ref="E126:E131" si="15">+D126*C126</f>
        <v>210000</v>
      </c>
    </row>
    <row r="127" spans="1:5">
      <c r="A127" s="2" t="s">
        <v>44</v>
      </c>
      <c r="B127" s="2" t="s">
        <v>3</v>
      </c>
      <c r="C127" s="4">
        <v>22</v>
      </c>
      <c r="D127" s="15">
        <v>6500</v>
      </c>
      <c r="E127" s="10">
        <f t="shared" si="15"/>
        <v>143000</v>
      </c>
    </row>
    <row r="128" spans="1:5">
      <c r="A128" s="2" t="s">
        <v>45</v>
      </c>
      <c r="B128" s="2" t="s">
        <v>3</v>
      </c>
      <c r="C128" s="4">
        <v>5</v>
      </c>
      <c r="D128" s="15">
        <v>11000</v>
      </c>
      <c r="E128" s="10">
        <f t="shared" si="15"/>
        <v>55000</v>
      </c>
    </row>
    <row r="129" spans="1:5">
      <c r="A129" s="2" t="s">
        <v>47</v>
      </c>
      <c r="B129" s="2" t="s">
        <v>3</v>
      </c>
      <c r="C129" s="4">
        <v>40</v>
      </c>
      <c r="D129" s="15">
        <v>10000</v>
      </c>
      <c r="E129" s="10">
        <f t="shared" si="15"/>
        <v>400000</v>
      </c>
    </row>
    <row r="130" spans="1:5">
      <c r="A130" s="2" t="s">
        <v>53</v>
      </c>
      <c r="B130" s="2" t="s">
        <v>3</v>
      </c>
      <c r="C130" s="4">
        <v>40</v>
      </c>
      <c r="D130" s="15">
        <v>18000</v>
      </c>
      <c r="E130" s="10">
        <f t="shared" si="15"/>
        <v>720000</v>
      </c>
    </row>
    <row r="131" spans="1:5">
      <c r="A131" s="2" t="s">
        <v>56</v>
      </c>
      <c r="B131" s="2" t="s">
        <v>3</v>
      </c>
      <c r="C131" s="4">
        <v>30</v>
      </c>
      <c r="D131" s="15">
        <v>16000</v>
      </c>
      <c r="E131" s="10">
        <f t="shared" si="15"/>
        <v>480000</v>
      </c>
    </row>
    <row r="132" spans="1:5" hidden="1">
      <c r="A132" s="2" t="s">
        <v>58</v>
      </c>
      <c r="B132" s="2" t="s">
        <v>3</v>
      </c>
      <c r="C132" s="4">
        <v>0</v>
      </c>
      <c r="D132" s="5"/>
      <c r="E132" s="5"/>
    </row>
    <row r="133" spans="1:5" hidden="1">
      <c r="A133" s="2" t="s">
        <v>59</v>
      </c>
      <c r="B133" s="2" t="s">
        <v>30</v>
      </c>
      <c r="C133" s="4">
        <v>0</v>
      </c>
      <c r="D133" s="5"/>
      <c r="E133" s="5"/>
    </row>
    <row r="134" spans="1:5">
      <c r="A134" s="2" t="s">
        <v>60</v>
      </c>
      <c r="B134" s="2" t="s">
        <v>30</v>
      </c>
      <c r="C134" s="4">
        <v>55</v>
      </c>
      <c r="D134" s="15">
        <v>13000</v>
      </c>
      <c r="E134" s="10">
        <f>+D134*C134</f>
        <v>715000</v>
      </c>
    </row>
    <row r="135" spans="1:5" hidden="1">
      <c r="A135" s="2" t="s">
        <v>65</v>
      </c>
      <c r="B135" s="2" t="s">
        <v>3</v>
      </c>
      <c r="C135" s="4">
        <v>0</v>
      </c>
      <c r="D135" s="5"/>
      <c r="E135" s="5"/>
    </row>
    <row r="136" spans="1:5">
      <c r="A136" s="2" t="s">
        <v>65</v>
      </c>
      <c r="B136" s="2" t="s">
        <v>17</v>
      </c>
      <c r="C136" s="4">
        <v>35</v>
      </c>
      <c r="D136" s="15">
        <v>8000</v>
      </c>
      <c r="E136" s="10">
        <f t="shared" ref="E136:E137" si="16">+D136*C136</f>
        <v>280000</v>
      </c>
    </row>
    <row r="137" spans="1:5">
      <c r="A137" s="2" t="s">
        <v>68</v>
      </c>
      <c r="B137" s="2" t="s">
        <v>3</v>
      </c>
      <c r="C137" s="4">
        <v>10</v>
      </c>
      <c r="D137" s="15">
        <v>17000</v>
      </c>
      <c r="E137" s="10">
        <f t="shared" si="16"/>
        <v>170000</v>
      </c>
    </row>
    <row r="138" spans="1:5" hidden="1">
      <c r="A138" s="2" t="s">
        <v>69</v>
      </c>
      <c r="B138" s="2" t="s">
        <v>3</v>
      </c>
      <c r="C138" s="4">
        <v>0</v>
      </c>
      <c r="D138" s="5"/>
      <c r="E138" s="5"/>
    </row>
    <row r="139" spans="1:5" hidden="1">
      <c r="A139" s="2" t="s">
        <v>101</v>
      </c>
      <c r="B139" s="2" t="s">
        <v>3</v>
      </c>
      <c r="C139" s="4">
        <v>0</v>
      </c>
      <c r="D139" s="5"/>
      <c r="E139" s="5"/>
    </row>
    <row r="140" spans="1:5" hidden="1">
      <c r="A140" s="2" t="s">
        <v>74</v>
      </c>
      <c r="B140" s="2" t="s">
        <v>3</v>
      </c>
      <c r="C140" s="4">
        <v>0</v>
      </c>
      <c r="D140" s="5"/>
      <c r="E140" s="5"/>
    </row>
    <row r="141" spans="1:5">
      <c r="A141" s="2" t="s">
        <v>76</v>
      </c>
      <c r="B141" s="2" t="s">
        <v>3</v>
      </c>
      <c r="C141" s="4">
        <v>3</v>
      </c>
      <c r="D141" s="15">
        <v>52000</v>
      </c>
      <c r="E141" s="10">
        <f>+D141*C141</f>
        <v>156000</v>
      </c>
    </row>
    <row r="142" spans="1:5" hidden="1">
      <c r="A142" s="2" t="s">
        <v>78</v>
      </c>
      <c r="B142" s="2" t="s">
        <v>3</v>
      </c>
      <c r="C142" s="4">
        <v>0</v>
      </c>
      <c r="D142" s="5"/>
      <c r="E142" s="5"/>
    </row>
    <row r="143" spans="1:5">
      <c r="A143" s="2" t="s">
        <v>87</v>
      </c>
      <c r="B143" s="2" t="s">
        <v>3</v>
      </c>
      <c r="C143" s="4">
        <v>15</v>
      </c>
      <c r="D143" s="15">
        <v>9000</v>
      </c>
      <c r="E143" s="10">
        <f>+D143*C143</f>
        <v>135000</v>
      </c>
    </row>
    <row r="144" spans="1:5" hidden="1">
      <c r="A144" s="2" t="s">
        <v>89</v>
      </c>
      <c r="B144" s="2" t="s">
        <v>40</v>
      </c>
      <c r="C144" s="4">
        <v>0</v>
      </c>
      <c r="D144" s="5"/>
      <c r="E144" s="5"/>
    </row>
    <row r="145" spans="1:5" hidden="1">
      <c r="A145" s="2" t="s">
        <v>90</v>
      </c>
      <c r="B145" s="2" t="s">
        <v>40</v>
      </c>
      <c r="C145" s="4">
        <v>0</v>
      </c>
      <c r="D145" s="5"/>
      <c r="E145" s="5"/>
    </row>
    <row r="146" spans="1:5" hidden="1">
      <c r="A146" s="2" t="s">
        <v>92</v>
      </c>
      <c r="B146" s="2" t="s">
        <v>40</v>
      </c>
      <c r="C146" s="4">
        <v>0</v>
      </c>
      <c r="D146" s="5"/>
      <c r="E146" s="5"/>
    </row>
    <row r="147" spans="1:5" hidden="1">
      <c r="A147" s="2" t="s">
        <v>95</v>
      </c>
      <c r="B147" s="2" t="s">
        <v>40</v>
      </c>
      <c r="C147" s="4">
        <v>0</v>
      </c>
      <c r="D147" s="5"/>
      <c r="E147" s="5"/>
    </row>
    <row r="148" spans="1:5">
      <c r="A148" s="11" t="e">
        <v>#N/A</v>
      </c>
      <c r="B148" s="11">
        <v>0</v>
      </c>
      <c r="C148" s="13">
        <v>1105</v>
      </c>
      <c r="D148" s="17"/>
      <c r="E148" s="17">
        <f>SUBTOTAL(9,E110:E143)</f>
        <v>8308000</v>
      </c>
    </row>
    <row r="149" spans="1:5">
      <c r="E149" s="20">
        <f>+E148+E107</f>
        <v>164077370</v>
      </c>
    </row>
  </sheetData>
  <autoFilter ref="A1:E149">
    <filterColumn colId="2">
      <filters blank="1">
        <filter val="1,410"/>
        <filter val="1,835"/>
        <filter val="10"/>
        <filter val="10,013"/>
        <filter val="110"/>
        <filter val="1105"/>
        <filter val="120"/>
        <filter val="125"/>
        <filter val="13"/>
        <filter val="14"/>
        <filter val="15"/>
        <filter val="160"/>
        <filter val="165"/>
        <filter val="175"/>
        <filter val="18"/>
        <filter val="2"/>
        <filter val="200"/>
        <filter val="21"/>
        <filter val="22"/>
        <filter val="222"/>
        <filter val="270"/>
        <filter val="29"/>
        <filter val="290"/>
        <filter val="3"/>
        <filter val="30"/>
        <filter val="300"/>
        <filter val="32"/>
        <filter val="325"/>
        <filter val="35"/>
        <filter val="350"/>
        <filter val="370"/>
        <filter val="40"/>
        <filter val="420"/>
        <filter val="442"/>
        <filter val="45"/>
        <filter val="48"/>
        <filter val="5"/>
        <filter val="53"/>
        <filter val="55"/>
        <filter val="60"/>
        <filter val="638"/>
        <filter val="7"/>
        <filter val="70"/>
        <filter val="8"/>
        <filter val="80"/>
        <filter val="830"/>
        <filter val="85"/>
        <filter val="90"/>
        <filter val="97"/>
        <filter val="Tồn_x000a_ĐL_x000a__x000a_現在個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139"/>
  <sheetViews>
    <sheetView workbookViewId="0">
      <selection activeCell="E139" sqref="E139"/>
    </sheetView>
  </sheetViews>
  <sheetFormatPr defaultRowHeight="13.8"/>
  <cols>
    <col min="1" max="1" width="23.69921875" customWidth="1"/>
    <col min="2" max="2" width="5.3984375" customWidth="1"/>
    <col min="4" max="4" width="11.3984375" customWidth="1"/>
    <col min="5" max="5" width="15.3984375" customWidth="1"/>
  </cols>
  <sheetData>
    <row r="1" spans="1:5">
      <c r="A1" s="21" t="s">
        <v>110</v>
      </c>
      <c r="B1" s="21"/>
    </row>
    <row r="2" spans="1:5">
      <c r="A2" t="s">
        <v>106</v>
      </c>
      <c r="B2" t="s">
        <v>114</v>
      </c>
      <c r="C2" t="s">
        <v>111</v>
      </c>
      <c r="D2" t="s">
        <v>112</v>
      </c>
      <c r="E2" t="s">
        <v>113</v>
      </c>
    </row>
    <row r="3" spans="1:5">
      <c r="A3" t="s">
        <v>2</v>
      </c>
      <c r="B3" s="22" t="s">
        <v>3</v>
      </c>
      <c r="C3">
        <v>8</v>
      </c>
      <c r="D3">
        <v>15000</v>
      </c>
      <c r="E3">
        <f>C3*D3</f>
        <v>120000</v>
      </c>
    </row>
    <row r="4" spans="1:5" hidden="1">
      <c r="A4" t="s">
        <v>4</v>
      </c>
      <c r="B4" s="22" t="s">
        <v>3</v>
      </c>
      <c r="C4">
        <v>0</v>
      </c>
      <c r="E4">
        <f t="shared" ref="E4:E67" si="0">C4*D4</f>
        <v>0</v>
      </c>
    </row>
    <row r="5" spans="1:5">
      <c r="A5" t="s">
        <v>5</v>
      </c>
      <c r="B5" s="22" t="s">
        <v>3</v>
      </c>
      <c r="C5">
        <v>1060</v>
      </c>
      <c r="D5">
        <v>6000</v>
      </c>
      <c r="E5">
        <f t="shared" si="0"/>
        <v>6360000</v>
      </c>
    </row>
    <row r="6" spans="1:5">
      <c r="A6" t="s">
        <v>6</v>
      </c>
      <c r="B6" s="22" t="s">
        <v>3</v>
      </c>
      <c r="C6">
        <v>1</v>
      </c>
      <c r="D6">
        <v>9500</v>
      </c>
      <c r="E6">
        <f t="shared" si="0"/>
        <v>9500</v>
      </c>
    </row>
    <row r="7" spans="1:5">
      <c r="A7" t="s">
        <v>7</v>
      </c>
      <c r="B7" s="22" t="s">
        <v>3</v>
      </c>
      <c r="C7">
        <v>498</v>
      </c>
      <c r="D7">
        <v>11000</v>
      </c>
      <c r="E7">
        <f t="shared" si="0"/>
        <v>5478000</v>
      </c>
    </row>
    <row r="8" spans="1:5">
      <c r="A8" t="s">
        <v>8</v>
      </c>
      <c r="B8" s="22" t="s">
        <v>3</v>
      </c>
      <c r="C8">
        <v>166</v>
      </c>
      <c r="D8">
        <v>12000</v>
      </c>
      <c r="E8">
        <f t="shared" si="0"/>
        <v>1992000</v>
      </c>
    </row>
    <row r="9" spans="1:5" hidden="1">
      <c r="A9" t="s">
        <v>8</v>
      </c>
      <c r="B9" s="22" t="s">
        <v>9</v>
      </c>
      <c r="C9">
        <v>0</v>
      </c>
      <c r="E9">
        <f t="shared" si="0"/>
        <v>0</v>
      </c>
    </row>
    <row r="10" spans="1:5">
      <c r="A10" t="s">
        <v>10</v>
      </c>
      <c r="B10" s="22" t="s">
        <v>3</v>
      </c>
      <c r="C10">
        <v>22</v>
      </c>
      <c r="D10">
        <v>14000</v>
      </c>
      <c r="E10">
        <f t="shared" si="0"/>
        <v>308000</v>
      </c>
    </row>
    <row r="11" spans="1:5" hidden="1">
      <c r="A11" t="s">
        <v>10</v>
      </c>
      <c r="B11" s="22" t="s">
        <v>9</v>
      </c>
      <c r="C11">
        <v>0</v>
      </c>
      <c r="E11">
        <f t="shared" si="0"/>
        <v>0</v>
      </c>
    </row>
    <row r="12" spans="1:5" hidden="1">
      <c r="A12" t="s">
        <v>12</v>
      </c>
      <c r="B12" s="22" t="s">
        <v>3</v>
      </c>
      <c r="C12">
        <v>0</v>
      </c>
      <c r="E12">
        <f t="shared" si="0"/>
        <v>0</v>
      </c>
    </row>
    <row r="13" spans="1:5">
      <c r="A13" t="s">
        <v>14</v>
      </c>
      <c r="B13" s="22" t="s">
        <v>3</v>
      </c>
      <c r="C13">
        <v>20</v>
      </c>
      <c r="D13">
        <v>10000</v>
      </c>
      <c r="E13">
        <f t="shared" si="0"/>
        <v>200000</v>
      </c>
    </row>
    <row r="14" spans="1:5">
      <c r="A14" t="s">
        <v>15</v>
      </c>
      <c r="B14" s="22" t="s">
        <v>3</v>
      </c>
      <c r="C14">
        <v>59</v>
      </c>
      <c r="D14">
        <v>22000</v>
      </c>
      <c r="E14">
        <f t="shared" si="0"/>
        <v>1298000</v>
      </c>
    </row>
    <row r="15" spans="1:5" hidden="1">
      <c r="A15" t="s">
        <v>16</v>
      </c>
      <c r="B15" s="22" t="s">
        <v>17</v>
      </c>
      <c r="C15">
        <v>0</v>
      </c>
      <c r="E15">
        <f t="shared" si="0"/>
        <v>0</v>
      </c>
    </row>
    <row r="16" spans="1:5">
      <c r="A16" t="s">
        <v>107</v>
      </c>
      <c r="B16" s="22" t="s">
        <v>40</v>
      </c>
      <c r="C16">
        <v>162</v>
      </c>
      <c r="D16">
        <v>5000</v>
      </c>
      <c r="E16">
        <f t="shared" si="0"/>
        <v>810000</v>
      </c>
    </row>
    <row r="17" spans="1:5">
      <c r="A17" t="s">
        <v>18</v>
      </c>
      <c r="B17" s="22" t="s">
        <v>3</v>
      </c>
      <c r="C17">
        <v>522</v>
      </c>
      <c r="D17">
        <v>16000</v>
      </c>
      <c r="E17">
        <f t="shared" si="0"/>
        <v>8352000</v>
      </c>
    </row>
    <row r="18" spans="1:5" hidden="1">
      <c r="A18" t="s">
        <v>18</v>
      </c>
      <c r="B18" s="22" t="s">
        <v>19</v>
      </c>
      <c r="C18">
        <v>0</v>
      </c>
      <c r="E18">
        <f t="shared" si="0"/>
        <v>0</v>
      </c>
    </row>
    <row r="19" spans="1:5">
      <c r="A19" t="s">
        <v>20</v>
      </c>
      <c r="B19" s="22" t="s">
        <v>3</v>
      </c>
      <c r="C19">
        <v>60</v>
      </c>
      <c r="D19">
        <v>15000</v>
      </c>
      <c r="E19">
        <f t="shared" si="0"/>
        <v>900000</v>
      </c>
    </row>
    <row r="20" spans="1:5" hidden="1">
      <c r="A20" t="s">
        <v>20</v>
      </c>
      <c r="B20" s="22" t="s">
        <v>21</v>
      </c>
      <c r="C20">
        <v>0</v>
      </c>
      <c r="E20">
        <f t="shared" si="0"/>
        <v>0</v>
      </c>
    </row>
    <row r="21" spans="1:5" hidden="1">
      <c r="A21" t="s">
        <v>22</v>
      </c>
      <c r="B21" s="22" t="s">
        <v>3</v>
      </c>
      <c r="C21">
        <v>0</v>
      </c>
      <c r="E21">
        <f t="shared" si="0"/>
        <v>0</v>
      </c>
    </row>
    <row r="22" spans="1:5">
      <c r="A22" t="s">
        <v>22</v>
      </c>
      <c r="B22" s="22" t="s">
        <v>23</v>
      </c>
      <c r="C22">
        <v>44</v>
      </c>
      <c r="D22">
        <v>5400</v>
      </c>
      <c r="E22">
        <f t="shared" si="0"/>
        <v>237600</v>
      </c>
    </row>
    <row r="23" spans="1:5" hidden="1">
      <c r="A23" t="s">
        <v>24</v>
      </c>
      <c r="B23" s="22" t="s">
        <v>25</v>
      </c>
      <c r="C23">
        <v>0</v>
      </c>
      <c r="E23">
        <f t="shared" si="0"/>
        <v>0</v>
      </c>
    </row>
    <row r="24" spans="1:5">
      <c r="A24" t="s">
        <v>26</v>
      </c>
      <c r="B24" s="22" t="s">
        <v>3</v>
      </c>
      <c r="C24">
        <v>100</v>
      </c>
      <c r="D24">
        <v>25000</v>
      </c>
      <c r="E24">
        <f t="shared" si="0"/>
        <v>2500000</v>
      </c>
    </row>
    <row r="25" spans="1:5" hidden="1">
      <c r="A25" t="s">
        <v>26</v>
      </c>
      <c r="B25" s="22" t="s">
        <v>27</v>
      </c>
      <c r="C25">
        <v>0</v>
      </c>
      <c r="E25">
        <f t="shared" si="0"/>
        <v>0</v>
      </c>
    </row>
    <row r="26" spans="1:5">
      <c r="A26" t="s">
        <v>28</v>
      </c>
      <c r="B26" s="22" t="s">
        <v>3</v>
      </c>
      <c r="C26">
        <v>94</v>
      </c>
      <c r="D26">
        <v>12000</v>
      </c>
      <c r="E26">
        <f t="shared" si="0"/>
        <v>1128000</v>
      </c>
    </row>
    <row r="27" spans="1:5" hidden="1">
      <c r="A27" t="s">
        <v>28</v>
      </c>
      <c r="B27" s="22" t="s">
        <v>17</v>
      </c>
      <c r="C27">
        <v>0</v>
      </c>
      <c r="E27">
        <f t="shared" si="0"/>
        <v>0</v>
      </c>
    </row>
    <row r="28" spans="1:5">
      <c r="A28" t="s">
        <v>29</v>
      </c>
      <c r="B28" s="22" t="s">
        <v>30</v>
      </c>
      <c r="C28">
        <v>200</v>
      </c>
      <c r="D28">
        <v>13000</v>
      </c>
      <c r="E28">
        <f t="shared" si="0"/>
        <v>2600000</v>
      </c>
    </row>
    <row r="29" spans="1:5">
      <c r="A29" t="s">
        <v>31</v>
      </c>
      <c r="B29" s="22" t="s">
        <v>3</v>
      </c>
      <c r="C29">
        <v>172</v>
      </c>
      <c r="D29">
        <v>9500</v>
      </c>
      <c r="E29">
        <f t="shared" si="0"/>
        <v>1634000</v>
      </c>
    </row>
    <row r="30" spans="1:5" hidden="1">
      <c r="A30" t="s">
        <v>31</v>
      </c>
      <c r="B30" s="22" t="s">
        <v>30</v>
      </c>
      <c r="C30">
        <v>0</v>
      </c>
      <c r="E30">
        <f t="shared" si="0"/>
        <v>0</v>
      </c>
    </row>
    <row r="31" spans="1:5" hidden="1">
      <c r="A31" t="s">
        <v>32</v>
      </c>
      <c r="B31" s="22" t="s">
        <v>17</v>
      </c>
      <c r="C31">
        <v>0</v>
      </c>
      <c r="E31">
        <f t="shared" si="0"/>
        <v>0</v>
      </c>
    </row>
    <row r="32" spans="1:5">
      <c r="A32" t="s">
        <v>33</v>
      </c>
      <c r="B32" s="22" t="s">
        <v>3</v>
      </c>
      <c r="C32">
        <v>134</v>
      </c>
      <c r="D32">
        <v>8000</v>
      </c>
      <c r="E32">
        <f t="shared" si="0"/>
        <v>1072000</v>
      </c>
    </row>
    <row r="33" spans="1:5" hidden="1">
      <c r="A33" t="s">
        <v>33</v>
      </c>
      <c r="B33" s="22" t="s">
        <v>34</v>
      </c>
      <c r="C33">
        <v>0</v>
      </c>
      <c r="E33">
        <f t="shared" si="0"/>
        <v>0</v>
      </c>
    </row>
    <row r="34" spans="1:5">
      <c r="A34" t="s">
        <v>35</v>
      </c>
      <c r="B34" s="22" t="s">
        <v>3</v>
      </c>
      <c r="C34">
        <v>8</v>
      </c>
      <c r="D34">
        <v>19000</v>
      </c>
      <c r="E34">
        <f t="shared" si="0"/>
        <v>152000</v>
      </c>
    </row>
    <row r="35" spans="1:5" hidden="1">
      <c r="A35" t="s">
        <v>35</v>
      </c>
      <c r="B35" s="22" t="s">
        <v>30</v>
      </c>
      <c r="C35">
        <v>0</v>
      </c>
      <c r="E35">
        <f t="shared" si="0"/>
        <v>0</v>
      </c>
    </row>
    <row r="36" spans="1:5">
      <c r="A36" t="s">
        <v>36</v>
      </c>
      <c r="B36" s="22" t="s">
        <v>30</v>
      </c>
      <c r="C36">
        <v>20</v>
      </c>
      <c r="D36">
        <v>5000</v>
      </c>
      <c r="E36">
        <f t="shared" si="0"/>
        <v>100000</v>
      </c>
    </row>
    <row r="37" spans="1:5">
      <c r="A37" t="s">
        <v>37</v>
      </c>
      <c r="B37" s="22" t="s">
        <v>30</v>
      </c>
      <c r="C37">
        <v>7</v>
      </c>
      <c r="D37">
        <v>3300</v>
      </c>
      <c r="E37">
        <f t="shared" si="0"/>
        <v>23100</v>
      </c>
    </row>
    <row r="38" spans="1:5">
      <c r="A38" t="s">
        <v>38</v>
      </c>
      <c r="B38" s="22" t="s">
        <v>3</v>
      </c>
      <c r="C38">
        <v>295</v>
      </c>
      <c r="D38">
        <v>7000</v>
      </c>
      <c r="E38">
        <f t="shared" si="0"/>
        <v>2065000</v>
      </c>
    </row>
    <row r="39" spans="1:5" hidden="1">
      <c r="A39" t="s">
        <v>39</v>
      </c>
      <c r="B39" s="22" t="s">
        <v>40</v>
      </c>
      <c r="C39">
        <v>0</v>
      </c>
      <c r="E39">
        <f t="shared" si="0"/>
        <v>0</v>
      </c>
    </row>
    <row r="40" spans="1:5">
      <c r="A40" t="s">
        <v>39</v>
      </c>
      <c r="B40" s="22" t="s">
        <v>3</v>
      </c>
      <c r="C40">
        <v>50</v>
      </c>
      <c r="D40">
        <v>19000</v>
      </c>
      <c r="E40">
        <f t="shared" si="0"/>
        <v>950000</v>
      </c>
    </row>
    <row r="41" spans="1:5" hidden="1">
      <c r="A41" t="s">
        <v>41</v>
      </c>
      <c r="B41" s="22" t="s">
        <v>3</v>
      </c>
      <c r="C41">
        <v>0</v>
      </c>
      <c r="E41">
        <f t="shared" si="0"/>
        <v>0</v>
      </c>
    </row>
    <row r="42" spans="1:5">
      <c r="A42" t="s">
        <v>42</v>
      </c>
      <c r="B42" s="22" t="s">
        <v>25</v>
      </c>
      <c r="C42">
        <v>6</v>
      </c>
      <c r="D42">
        <v>11000</v>
      </c>
      <c r="E42">
        <f t="shared" si="0"/>
        <v>66000</v>
      </c>
    </row>
    <row r="43" spans="1:5" hidden="1">
      <c r="A43" t="s">
        <v>44</v>
      </c>
      <c r="B43" s="22" t="s">
        <v>3</v>
      </c>
      <c r="C43">
        <v>0</v>
      </c>
      <c r="E43">
        <f t="shared" si="0"/>
        <v>0</v>
      </c>
    </row>
    <row r="44" spans="1:5">
      <c r="A44" t="s">
        <v>45</v>
      </c>
      <c r="B44" s="22" t="s">
        <v>3</v>
      </c>
      <c r="C44">
        <v>21</v>
      </c>
      <c r="D44">
        <v>10000</v>
      </c>
      <c r="E44">
        <f t="shared" si="0"/>
        <v>210000</v>
      </c>
    </row>
    <row r="45" spans="1:5" hidden="1">
      <c r="A45" t="s">
        <v>45</v>
      </c>
      <c r="B45" s="22" t="s">
        <v>30</v>
      </c>
      <c r="C45">
        <v>0</v>
      </c>
      <c r="E45">
        <f t="shared" si="0"/>
        <v>0</v>
      </c>
    </row>
    <row r="46" spans="1:5" hidden="1">
      <c r="A46" t="s">
        <v>46</v>
      </c>
      <c r="B46" s="22" t="s">
        <v>3</v>
      </c>
      <c r="C46">
        <v>0</v>
      </c>
      <c r="E46">
        <f t="shared" si="0"/>
        <v>0</v>
      </c>
    </row>
    <row r="47" spans="1:5">
      <c r="A47" t="s">
        <v>47</v>
      </c>
      <c r="B47" s="22" t="s">
        <v>3</v>
      </c>
      <c r="C47">
        <v>171</v>
      </c>
      <c r="D47">
        <v>10000</v>
      </c>
      <c r="E47">
        <f t="shared" si="0"/>
        <v>1710000</v>
      </c>
    </row>
    <row r="48" spans="1:5" hidden="1">
      <c r="A48" t="s">
        <v>47</v>
      </c>
      <c r="B48" s="22" t="s">
        <v>48</v>
      </c>
      <c r="C48">
        <v>0</v>
      </c>
      <c r="E48">
        <f t="shared" si="0"/>
        <v>0</v>
      </c>
    </row>
    <row r="49" spans="1:5">
      <c r="A49" t="s">
        <v>49</v>
      </c>
      <c r="B49" s="22" t="s">
        <v>30</v>
      </c>
      <c r="C49">
        <v>190</v>
      </c>
      <c r="D49">
        <v>2400</v>
      </c>
      <c r="E49">
        <f t="shared" si="0"/>
        <v>456000</v>
      </c>
    </row>
    <row r="50" spans="1:5">
      <c r="A50" t="s">
        <v>50</v>
      </c>
      <c r="B50" s="22" t="s">
        <v>3</v>
      </c>
      <c r="C50">
        <v>1070</v>
      </c>
      <c r="D50">
        <v>26500</v>
      </c>
      <c r="E50">
        <f t="shared" si="0"/>
        <v>28355000</v>
      </c>
    </row>
    <row r="51" spans="1:5">
      <c r="A51" t="s">
        <v>51</v>
      </c>
      <c r="B51" s="22" t="s">
        <v>3</v>
      </c>
      <c r="C51">
        <v>1925</v>
      </c>
      <c r="D51">
        <v>27000</v>
      </c>
      <c r="E51">
        <f t="shared" si="0"/>
        <v>51975000</v>
      </c>
    </row>
    <row r="52" spans="1:5" hidden="1">
      <c r="A52" t="s">
        <v>51</v>
      </c>
      <c r="B52" s="22" t="s">
        <v>30</v>
      </c>
      <c r="C52">
        <v>0</v>
      </c>
      <c r="E52">
        <f t="shared" si="0"/>
        <v>0</v>
      </c>
    </row>
    <row r="53" spans="1:5" hidden="1">
      <c r="A53" t="s">
        <v>53</v>
      </c>
      <c r="B53" s="22" t="s">
        <v>3</v>
      </c>
      <c r="C53">
        <v>0</v>
      </c>
      <c r="E53">
        <f t="shared" si="0"/>
        <v>0</v>
      </c>
    </row>
    <row r="54" spans="1:5" hidden="1">
      <c r="A54" t="s">
        <v>54</v>
      </c>
      <c r="B54" s="22" t="s">
        <v>3</v>
      </c>
      <c r="C54">
        <v>0</v>
      </c>
      <c r="E54">
        <f t="shared" si="0"/>
        <v>0</v>
      </c>
    </row>
    <row r="55" spans="1:5" hidden="1">
      <c r="A55" t="s">
        <v>108</v>
      </c>
      <c r="B55" s="22" t="s">
        <v>30</v>
      </c>
      <c r="C55">
        <v>0</v>
      </c>
      <c r="E55">
        <f t="shared" si="0"/>
        <v>0</v>
      </c>
    </row>
    <row r="56" spans="1:5">
      <c r="A56" t="s">
        <v>56</v>
      </c>
      <c r="B56" s="22" t="s">
        <v>3</v>
      </c>
      <c r="C56">
        <v>821</v>
      </c>
      <c r="D56">
        <v>14500</v>
      </c>
      <c r="E56">
        <f t="shared" si="0"/>
        <v>11904500</v>
      </c>
    </row>
    <row r="57" spans="1:5" hidden="1">
      <c r="A57" t="s">
        <v>56</v>
      </c>
      <c r="B57" s="22" t="s">
        <v>30</v>
      </c>
      <c r="C57">
        <v>0</v>
      </c>
      <c r="E57">
        <f t="shared" si="0"/>
        <v>0</v>
      </c>
    </row>
    <row r="58" spans="1:5">
      <c r="A58" t="s">
        <v>57</v>
      </c>
      <c r="B58" s="22" t="s">
        <v>30</v>
      </c>
      <c r="C58">
        <v>70</v>
      </c>
      <c r="D58">
        <v>7000</v>
      </c>
      <c r="E58">
        <f t="shared" si="0"/>
        <v>490000</v>
      </c>
    </row>
    <row r="59" spans="1:5" hidden="1">
      <c r="A59" t="s">
        <v>58</v>
      </c>
      <c r="B59" s="22" t="s">
        <v>3</v>
      </c>
      <c r="C59">
        <v>0</v>
      </c>
      <c r="E59">
        <f t="shared" si="0"/>
        <v>0</v>
      </c>
    </row>
    <row r="60" spans="1:5" hidden="1">
      <c r="A60" t="s">
        <v>59</v>
      </c>
      <c r="B60" s="22" t="s">
        <v>30</v>
      </c>
      <c r="C60">
        <v>0</v>
      </c>
      <c r="E60">
        <f t="shared" si="0"/>
        <v>0</v>
      </c>
    </row>
    <row r="61" spans="1:5" hidden="1">
      <c r="A61" t="s">
        <v>60</v>
      </c>
      <c r="B61" s="22" t="s">
        <v>3</v>
      </c>
      <c r="C61">
        <v>0</v>
      </c>
      <c r="E61">
        <f t="shared" si="0"/>
        <v>0</v>
      </c>
    </row>
    <row r="62" spans="1:5">
      <c r="A62" t="s">
        <v>60</v>
      </c>
      <c r="B62" s="22" t="s">
        <v>48</v>
      </c>
      <c r="C62">
        <v>10</v>
      </c>
      <c r="D62">
        <v>6000</v>
      </c>
      <c r="E62">
        <f t="shared" si="0"/>
        <v>60000</v>
      </c>
    </row>
    <row r="63" spans="1:5">
      <c r="A63" t="s">
        <v>60</v>
      </c>
      <c r="B63" s="22" t="s">
        <v>61</v>
      </c>
      <c r="C63">
        <v>5</v>
      </c>
      <c r="D63">
        <v>7500</v>
      </c>
      <c r="E63">
        <f t="shared" si="0"/>
        <v>37500</v>
      </c>
    </row>
    <row r="64" spans="1:5" hidden="1">
      <c r="A64" t="s">
        <v>62</v>
      </c>
      <c r="B64" s="22" t="s">
        <v>3</v>
      </c>
      <c r="C64">
        <v>0</v>
      </c>
      <c r="E64">
        <f t="shared" si="0"/>
        <v>0</v>
      </c>
    </row>
    <row r="65" spans="1:5" hidden="1">
      <c r="A65" t="s">
        <v>63</v>
      </c>
      <c r="B65" s="22" t="s">
        <v>3</v>
      </c>
      <c r="C65">
        <v>0</v>
      </c>
      <c r="E65">
        <f t="shared" si="0"/>
        <v>0</v>
      </c>
    </row>
    <row r="66" spans="1:5" hidden="1">
      <c r="A66" t="s">
        <v>64</v>
      </c>
      <c r="B66" s="22" t="s">
        <v>3</v>
      </c>
      <c r="C66">
        <v>0</v>
      </c>
      <c r="E66">
        <f t="shared" si="0"/>
        <v>0</v>
      </c>
    </row>
    <row r="67" spans="1:5" hidden="1">
      <c r="A67" t="s">
        <v>65</v>
      </c>
      <c r="B67" s="22" t="s">
        <v>3</v>
      </c>
      <c r="C67">
        <v>0</v>
      </c>
      <c r="E67">
        <f t="shared" si="0"/>
        <v>0</v>
      </c>
    </row>
    <row r="68" spans="1:5">
      <c r="A68" t="s">
        <v>65</v>
      </c>
      <c r="B68" s="22" t="s">
        <v>17</v>
      </c>
      <c r="C68">
        <v>20</v>
      </c>
      <c r="D68">
        <v>6500</v>
      </c>
      <c r="E68">
        <f t="shared" ref="E68:E133" si="1">C68*D68</f>
        <v>130000</v>
      </c>
    </row>
    <row r="69" spans="1:5" hidden="1">
      <c r="A69" t="s">
        <v>66</v>
      </c>
      <c r="B69" s="22" t="s">
        <v>3</v>
      </c>
      <c r="C69">
        <v>0</v>
      </c>
      <c r="E69">
        <f t="shared" si="1"/>
        <v>0</v>
      </c>
    </row>
    <row r="70" spans="1:5">
      <c r="A70" t="s">
        <v>67</v>
      </c>
      <c r="B70" s="22" t="s">
        <v>3</v>
      </c>
      <c r="C70">
        <v>90</v>
      </c>
      <c r="D70">
        <v>12000</v>
      </c>
      <c r="E70">
        <f t="shared" si="1"/>
        <v>1080000</v>
      </c>
    </row>
    <row r="71" spans="1:5" hidden="1">
      <c r="A71" t="s">
        <v>68</v>
      </c>
      <c r="B71" s="22" t="s">
        <v>40</v>
      </c>
      <c r="C71">
        <v>0</v>
      </c>
      <c r="E71">
        <f t="shared" si="1"/>
        <v>0</v>
      </c>
    </row>
    <row r="72" spans="1:5">
      <c r="A72" t="s">
        <v>68</v>
      </c>
      <c r="B72" s="22" t="s">
        <v>3</v>
      </c>
      <c r="C72">
        <v>6</v>
      </c>
      <c r="D72">
        <v>14000</v>
      </c>
      <c r="E72">
        <f t="shared" si="1"/>
        <v>84000</v>
      </c>
    </row>
    <row r="73" spans="1:5" hidden="1">
      <c r="A73" t="s">
        <v>69</v>
      </c>
      <c r="B73" s="22" t="s">
        <v>3</v>
      </c>
      <c r="C73">
        <v>0</v>
      </c>
      <c r="E73">
        <f t="shared" si="1"/>
        <v>0</v>
      </c>
    </row>
    <row r="74" spans="1:5" hidden="1">
      <c r="A74" t="s">
        <v>70</v>
      </c>
      <c r="B74" s="22" t="s">
        <v>30</v>
      </c>
      <c r="C74">
        <v>0</v>
      </c>
      <c r="E74">
        <f t="shared" si="1"/>
        <v>0</v>
      </c>
    </row>
    <row r="75" spans="1:5" hidden="1">
      <c r="A75" t="s">
        <v>71</v>
      </c>
      <c r="B75" s="22" t="s">
        <v>3</v>
      </c>
      <c r="C75">
        <v>0</v>
      </c>
      <c r="E75">
        <f t="shared" si="1"/>
        <v>0</v>
      </c>
    </row>
    <row r="76" spans="1:5" hidden="1">
      <c r="A76" t="s">
        <v>72</v>
      </c>
      <c r="B76" s="22" t="s">
        <v>17</v>
      </c>
      <c r="C76">
        <v>0</v>
      </c>
      <c r="E76">
        <f t="shared" si="1"/>
        <v>0</v>
      </c>
    </row>
    <row r="77" spans="1:5" hidden="1">
      <c r="A77" t="s">
        <v>73</v>
      </c>
      <c r="B77" s="22" t="s">
        <v>25</v>
      </c>
      <c r="C77">
        <v>0</v>
      </c>
      <c r="E77">
        <f t="shared" si="1"/>
        <v>0</v>
      </c>
    </row>
    <row r="78" spans="1:5">
      <c r="A78" t="s">
        <v>73</v>
      </c>
      <c r="B78" s="22" t="s">
        <v>3</v>
      </c>
      <c r="C78">
        <v>16</v>
      </c>
      <c r="D78">
        <v>60000</v>
      </c>
      <c r="E78">
        <f t="shared" si="1"/>
        <v>960000</v>
      </c>
    </row>
    <row r="79" spans="1:5" hidden="1">
      <c r="A79" t="s">
        <v>74</v>
      </c>
      <c r="B79" s="22" t="s">
        <v>3</v>
      </c>
      <c r="C79">
        <v>0</v>
      </c>
      <c r="E79">
        <f t="shared" si="1"/>
        <v>0</v>
      </c>
    </row>
    <row r="80" spans="1:5" hidden="1">
      <c r="A80" t="s">
        <v>74</v>
      </c>
      <c r="B80" s="22" t="s">
        <v>9</v>
      </c>
      <c r="C80">
        <v>0</v>
      </c>
      <c r="E80">
        <f t="shared" si="1"/>
        <v>0</v>
      </c>
    </row>
    <row r="81" spans="1:5">
      <c r="A81" t="s">
        <v>75</v>
      </c>
      <c r="B81" s="22" t="s">
        <v>3</v>
      </c>
      <c r="C81">
        <v>3</v>
      </c>
      <c r="D81">
        <v>47000</v>
      </c>
      <c r="E81">
        <f t="shared" si="1"/>
        <v>141000</v>
      </c>
    </row>
    <row r="82" spans="1:5" hidden="1">
      <c r="A82" t="s">
        <v>76</v>
      </c>
      <c r="B82" s="22" t="s">
        <v>3</v>
      </c>
      <c r="C82">
        <v>0</v>
      </c>
      <c r="E82">
        <f t="shared" si="1"/>
        <v>0</v>
      </c>
    </row>
    <row r="83" spans="1:5" hidden="1">
      <c r="A83" t="s">
        <v>76</v>
      </c>
      <c r="B83" s="22" t="s">
        <v>9</v>
      </c>
      <c r="C83">
        <v>0</v>
      </c>
      <c r="E83">
        <f t="shared" si="1"/>
        <v>0</v>
      </c>
    </row>
    <row r="84" spans="1:5">
      <c r="A84" t="s">
        <v>77</v>
      </c>
      <c r="B84" s="22" t="s">
        <v>3</v>
      </c>
      <c r="C84">
        <v>3</v>
      </c>
      <c r="D84">
        <v>47000</v>
      </c>
      <c r="E84">
        <f t="shared" si="1"/>
        <v>141000</v>
      </c>
    </row>
    <row r="85" spans="1:5" hidden="1">
      <c r="A85" t="s">
        <v>78</v>
      </c>
      <c r="B85" s="22" t="s">
        <v>3</v>
      </c>
      <c r="C85">
        <v>0</v>
      </c>
      <c r="E85">
        <f t="shared" si="1"/>
        <v>0</v>
      </c>
    </row>
    <row r="86" spans="1:5" hidden="1">
      <c r="A86" t="s">
        <v>78</v>
      </c>
      <c r="B86" s="22" t="s">
        <v>9</v>
      </c>
      <c r="C86">
        <v>0</v>
      </c>
      <c r="E86">
        <f t="shared" si="1"/>
        <v>0</v>
      </c>
    </row>
    <row r="87" spans="1:5">
      <c r="A87" t="s">
        <v>79</v>
      </c>
      <c r="B87" s="22" t="s">
        <v>3</v>
      </c>
      <c r="C87">
        <v>25</v>
      </c>
      <c r="D87">
        <v>50000</v>
      </c>
      <c r="E87">
        <f t="shared" si="1"/>
        <v>1250000</v>
      </c>
    </row>
    <row r="88" spans="1:5" hidden="1">
      <c r="A88" t="s">
        <v>79</v>
      </c>
      <c r="B88" s="22" t="s">
        <v>30</v>
      </c>
      <c r="C88">
        <v>0</v>
      </c>
      <c r="E88">
        <f t="shared" si="1"/>
        <v>0</v>
      </c>
    </row>
    <row r="89" spans="1:5" hidden="1">
      <c r="A89" t="s">
        <v>80</v>
      </c>
      <c r="B89" s="22" t="s">
        <v>30</v>
      </c>
      <c r="C89">
        <v>0</v>
      </c>
      <c r="E89">
        <f t="shared" si="1"/>
        <v>0</v>
      </c>
    </row>
    <row r="90" spans="1:5">
      <c r="A90" t="s">
        <v>81</v>
      </c>
      <c r="B90" s="22" t="s">
        <v>9</v>
      </c>
      <c r="C90">
        <v>370</v>
      </c>
      <c r="D90">
        <v>9000</v>
      </c>
      <c r="E90">
        <f t="shared" si="1"/>
        <v>3330000</v>
      </c>
    </row>
    <row r="91" spans="1:5">
      <c r="A91" t="s">
        <v>82</v>
      </c>
      <c r="B91" s="22" t="s">
        <v>9</v>
      </c>
      <c r="C91">
        <v>270</v>
      </c>
      <c r="D91">
        <v>11361</v>
      </c>
      <c r="E91">
        <f t="shared" si="1"/>
        <v>3067470</v>
      </c>
    </row>
    <row r="92" spans="1:5" hidden="1">
      <c r="A92" t="s">
        <v>84</v>
      </c>
      <c r="B92" s="22" t="s">
        <v>3</v>
      </c>
      <c r="C92">
        <v>0</v>
      </c>
      <c r="E92">
        <f t="shared" si="1"/>
        <v>0</v>
      </c>
    </row>
    <row r="93" spans="1:5">
      <c r="A93" t="s">
        <v>85</v>
      </c>
      <c r="B93" s="22" t="s">
        <v>3</v>
      </c>
      <c r="C93">
        <v>24</v>
      </c>
      <c r="D93">
        <v>15000</v>
      </c>
      <c r="E93">
        <f t="shared" si="1"/>
        <v>360000</v>
      </c>
    </row>
    <row r="94" spans="1:5" hidden="1">
      <c r="A94" t="s">
        <v>109</v>
      </c>
      <c r="B94" s="22" t="s">
        <v>25</v>
      </c>
      <c r="C94">
        <v>0</v>
      </c>
      <c r="E94">
        <f t="shared" si="1"/>
        <v>0</v>
      </c>
    </row>
    <row r="95" spans="1:5" hidden="1">
      <c r="A95" t="s">
        <v>87</v>
      </c>
      <c r="B95" s="22" t="s">
        <v>3</v>
      </c>
      <c r="C95">
        <v>0</v>
      </c>
      <c r="E95">
        <f t="shared" si="1"/>
        <v>0</v>
      </c>
    </row>
    <row r="96" spans="1:5">
      <c r="A96" t="s">
        <v>88</v>
      </c>
      <c r="B96" s="22" t="s">
        <v>3</v>
      </c>
      <c r="C96">
        <v>15</v>
      </c>
      <c r="D96">
        <v>13000</v>
      </c>
      <c r="E96">
        <f t="shared" si="1"/>
        <v>195000</v>
      </c>
    </row>
    <row r="97" spans="1:5" hidden="1">
      <c r="A97" t="s">
        <v>89</v>
      </c>
      <c r="B97" s="22" t="s">
        <v>3</v>
      </c>
      <c r="C97">
        <v>0</v>
      </c>
      <c r="E97">
        <f t="shared" si="1"/>
        <v>0</v>
      </c>
    </row>
    <row r="98" spans="1:5" hidden="1">
      <c r="A98" t="s">
        <v>90</v>
      </c>
      <c r="B98" s="22" t="s">
        <v>40</v>
      </c>
      <c r="C98">
        <v>0</v>
      </c>
      <c r="E98">
        <f t="shared" si="1"/>
        <v>0</v>
      </c>
    </row>
    <row r="99" spans="1:5" hidden="1">
      <c r="A99" t="s">
        <v>91</v>
      </c>
      <c r="B99" s="22" t="s">
        <v>3</v>
      </c>
      <c r="C99">
        <v>0</v>
      </c>
      <c r="E99">
        <f t="shared" si="1"/>
        <v>0</v>
      </c>
    </row>
    <row r="100" spans="1:5" hidden="1">
      <c r="A100" t="s">
        <v>92</v>
      </c>
      <c r="B100" s="22" t="s">
        <v>40</v>
      </c>
      <c r="C100">
        <v>0</v>
      </c>
      <c r="E100">
        <f t="shared" si="1"/>
        <v>0</v>
      </c>
    </row>
    <row r="101" spans="1:5" hidden="1">
      <c r="A101" t="s">
        <v>93</v>
      </c>
      <c r="B101" s="22" t="s">
        <v>3</v>
      </c>
      <c r="C101">
        <v>0</v>
      </c>
      <c r="E101">
        <f t="shared" si="1"/>
        <v>0</v>
      </c>
    </row>
    <row r="102" spans="1:5" hidden="1">
      <c r="A102" t="s">
        <v>94</v>
      </c>
      <c r="B102" s="22" t="s">
        <v>3</v>
      </c>
      <c r="C102">
        <v>0</v>
      </c>
      <c r="E102">
        <f t="shared" si="1"/>
        <v>0</v>
      </c>
    </row>
    <row r="103" spans="1:5">
      <c r="A103" t="s">
        <v>95</v>
      </c>
      <c r="B103" s="22" t="s">
        <v>40</v>
      </c>
      <c r="C103">
        <v>105</v>
      </c>
      <c r="D103">
        <v>7500</v>
      </c>
      <c r="E103">
        <f t="shared" si="1"/>
        <v>787500</v>
      </c>
    </row>
    <row r="104" spans="1:5">
      <c r="E104">
        <f>SUM(E3:E103)</f>
        <v>145079170</v>
      </c>
    </row>
    <row r="105" spans="1:5">
      <c r="A105" t="s">
        <v>115</v>
      </c>
    </row>
    <row r="106" spans="1:5">
      <c r="A106" t="s">
        <v>106</v>
      </c>
      <c r="B106" s="24" t="s">
        <v>114</v>
      </c>
      <c r="C106" t="s">
        <v>111</v>
      </c>
      <c r="D106" t="s">
        <v>112</v>
      </c>
      <c r="E106" t="s">
        <v>113</v>
      </c>
    </row>
    <row r="107" spans="1:5" ht="15.6">
      <c r="A107" t="s">
        <v>4</v>
      </c>
      <c r="B107" s="23" t="s">
        <v>3</v>
      </c>
      <c r="C107">
        <v>370</v>
      </c>
      <c r="D107">
        <v>4500</v>
      </c>
      <c r="E107">
        <f t="shared" si="1"/>
        <v>1665000</v>
      </c>
    </row>
    <row r="108" spans="1:5" ht="15.6">
      <c r="A108" t="s">
        <v>5</v>
      </c>
      <c r="B108" s="23" t="s">
        <v>3</v>
      </c>
      <c r="C108">
        <v>44</v>
      </c>
      <c r="D108">
        <v>6000</v>
      </c>
      <c r="E108">
        <f t="shared" si="1"/>
        <v>264000</v>
      </c>
    </row>
    <row r="109" spans="1:5" ht="15.6">
      <c r="A109" t="s">
        <v>7</v>
      </c>
      <c r="B109" s="23" t="s">
        <v>3</v>
      </c>
      <c r="C109">
        <v>22</v>
      </c>
      <c r="D109">
        <v>11000</v>
      </c>
      <c r="E109">
        <f t="shared" si="1"/>
        <v>242000</v>
      </c>
    </row>
    <row r="110" spans="1:5" ht="15.6">
      <c r="A110" t="s">
        <v>8</v>
      </c>
      <c r="B110" s="23" t="s">
        <v>3</v>
      </c>
      <c r="C110">
        <v>8.8000000000000007</v>
      </c>
      <c r="D110">
        <v>12000</v>
      </c>
      <c r="E110">
        <f t="shared" si="1"/>
        <v>105600.00000000001</v>
      </c>
    </row>
    <row r="111" spans="1:5" ht="15.6" hidden="1">
      <c r="A111" t="s">
        <v>97</v>
      </c>
      <c r="B111" s="23" t="s">
        <v>3</v>
      </c>
      <c r="C111">
        <v>0</v>
      </c>
      <c r="E111">
        <f t="shared" si="1"/>
        <v>0</v>
      </c>
    </row>
    <row r="112" spans="1:5" ht="15.6">
      <c r="A112" t="s">
        <v>18</v>
      </c>
      <c r="B112" s="23" t="s">
        <v>3</v>
      </c>
      <c r="C112">
        <v>27.5</v>
      </c>
      <c r="D112">
        <v>16000</v>
      </c>
      <c r="E112">
        <f t="shared" si="1"/>
        <v>440000</v>
      </c>
    </row>
    <row r="113" spans="1:5" ht="15.6">
      <c r="A113" t="s">
        <v>28</v>
      </c>
      <c r="B113" s="23" t="s">
        <v>3</v>
      </c>
      <c r="C113">
        <v>66</v>
      </c>
      <c r="D113">
        <v>12000</v>
      </c>
      <c r="E113">
        <f t="shared" si="1"/>
        <v>792000</v>
      </c>
    </row>
    <row r="114" spans="1:5" ht="15.6">
      <c r="A114" t="s">
        <v>31</v>
      </c>
      <c r="B114" s="23" t="s">
        <v>3</v>
      </c>
      <c r="C114">
        <v>93.5</v>
      </c>
      <c r="D114">
        <v>9500</v>
      </c>
      <c r="E114">
        <f t="shared" si="1"/>
        <v>888250</v>
      </c>
    </row>
    <row r="115" spans="1:5" ht="15.6">
      <c r="A115" t="s">
        <v>38</v>
      </c>
      <c r="B115" s="23" t="s">
        <v>3</v>
      </c>
      <c r="C115">
        <v>55</v>
      </c>
      <c r="D115">
        <v>7000</v>
      </c>
      <c r="E115">
        <f t="shared" si="1"/>
        <v>385000</v>
      </c>
    </row>
    <row r="116" spans="1:5" ht="15.6">
      <c r="A116" t="s">
        <v>98</v>
      </c>
      <c r="B116" s="23" t="s">
        <v>3</v>
      </c>
      <c r="C116">
        <v>9</v>
      </c>
      <c r="D116">
        <v>12000</v>
      </c>
      <c r="E116">
        <f t="shared" si="1"/>
        <v>108000</v>
      </c>
    </row>
    <row r="117" spans="1:5" ht="15.6" hidden="1">
      <c r="A117" t="s">
        <v>99</v>
      </c>
      <c r="B117" s="23" t="s">
        <v>3</v>
      </c>
      <c r="C117">
        <v>0</v>
      </c>
      <c r="E117">
        <f t="shared" si="1"/>
        <v>0</v>
      </c>
    </row>
    <row r="118" spans="1:5" ht="15.6" hidden="1">
      <c r="A118" t="s">
        <v>39</v>
      </c>
      <c r="B118" s="23" t="s">
        <v>3</v>
      </c>
      <c r="C118">
        <v>0</v>
      </c>
      <c r="E118">
        <f t="shared" si="1"/>
        <v>0</v>
      </c>
    </row>
    <row r="119" spans="1:5" ht="15.6" hidden="1">
      <c r="A119" t="s">
        <v>100</v>
      </c>
      <c r="B119" s="23" t="s">
        <v>3</v>
      </c>
      <c r="C119">
        <v>0</v>
      </c>
      <c r="E119">
        <f t="shared" si="1"/>
        <v>0</v>
      </c>
    </row>
    <row r="120" spans="1:5" ht="15.6">
      <c r="A120" t="s">
        <v>41</v>
      </c>
      <c r="B120" s="23" t="s">
        <v>3</v>
      </c>
      <c r="C120">
        <v>20</v>
      </c>
      <c r="D120">
        <v>14000</v>
      </c>
      <c r="E120">
        <f t="shared" si="1"/>
        <v>280000</v>
      </c>
    </row>
    <row r="121" spans="1:5" ht="15.6">
      <c r="A121" t="s">
        <v>43</v>
      </c>
      <c r="B121" s="23" t="s">
        <v>17</v>
      </c>
      <c r="C121">
        <v>8</v>
      </c>
      <c r="D121">
        <v>16000</v>
      </c>
      <c r="E121">
        <f t="shared" si="1"/>
        <v>128000</v>
      </c>
    </row>
    <row r="122" spans="1:5" ht="15.6">
      <c r="A122" t="s">
        <v>44</v>
      </c>
      <c r="B122" s="23" t="s">
        <v>3</v>
      </c>
      <c r="C122">
        <v>7</v>
      </c>
      <c r="D122">
        <v>6000</v>
      </c>
      <c r="E122">
        <f t="shared" si="1"/>
        <v>42000</v>
      </c>
    </row>
    <row r="123" spans="1:5" ht="15.6">
      <c r="A123" t="s">
        <v>47</v>
      </c>
      <c r="B123" s="23" t="s">
        <v>3</v>
      </c>
      <c r="C123">
        <v>44</v>
      </c>
      <c r="D123">
        <v>10000</v>
      </c>
      <c r="E123">
        <f t="shared" si="1"/>
        <v>440000</v>
      </c>
    </row>
    <row r="124" spans="1:5" ht="15.6" hidden="1">
      <c r="A124" t="s">
        <v>53</v>
      </c>
      <c r="B124" s="23" t="s">
        <v>3</v>
      </c>
      <c r="C124">
        <v>0</v>
      </c>
      <c r="E124">
        <f t="shared" si="1"/>
        <v>0</v>
      </c>
    </row>
    <row r="125" spans="1:5" ht="15.6">
      <c r="A125" t="s">
        <v>56</v>
      </c>
      <c r="B125" s="23" t="s">
        <v>3</v>
      </c>
      <c r="C125">
        <v>44</v>
      </c>
      <c r="D125">
        <v>14500</v>
      </c>
      <c r="E125">
        <f t="shared" si="1"/>
        <v>638000</v>
      </c>
    </row>
    <row r="126" spans="1:5" ht="15.6">
      <c r="A126" t="s">
        <v>58</v>
      </c>
      <c r="B126" s="23" t="s">
        <v>3</v>
      </c>
      <c r="C126">
        <v>3</v>
      </c>
      <c r="D126">
        <v>13000</v>
      </c>
      <c r="E126">
        <f t="shared" si="1"/>
        <v>39000</v>
      </c>
    </row>
    <row r="127" spans="1:5" ht="15.6">
      <c r="A127" t="s">
        <v>60</v>
      </c>
      <c r="B127" s="23" t="s">
        <v>30</v>
      </c>
      <c r="C127">
        <v>25</v>
      </c>
      <c r="D127">
        <v>7500</v>
      </c>
      <c r="E127">
        <f t="shared" si="1"/>
        <v>187500</v>
      </c>
    </row>
    <row r="128" spans="1:5" ht="15.6" hidden="1">
      <c r="A128" t="s">
        <v>65</v>
      </c>
      <c r="B128" s="23" t="s">
        <v>3</v>
      </c>
      <c r="C128">
        <v>0</v>
      </c>
      <c r="E128">
        <f t="shared" si="1"/>
        <v>0</v>
      </c>
    </row>
    <row r="129" spans="1:5" ht="15.6">
      <c r="A129" t="s">
        <v>65</v>
      </c>
      <c r="B129" s="23" t="s">
        <v>17</v>
      </c>
      <c r="C129">
        <v>100</v>
      </c>
      <c r="D129">
        <v>6500</v>
      </c>
      <c r="E129">
        <f t="shared" si="1"/>
        <v>650000</v>
      </c>
    </row>
    <row r="130" spans="1:5" ht="15.6" hidden="1">
      <c r="A130" t="s">
        <v>68</v>
      </c>
      <c r="B130" s="23" t="s">
        <v>3</v>
      </c>
      <c r="C130">
        <v>0</v>
      </c>
      <c r="E130">
        <f t="shared" si="1"/>
        <v>0</v>
      </c>
    </row>
    <row r="131" spans="1:5" ht="15.6" hidden="1">
      <c r="A131" t="s">
        <v>74</v>
      </c>
      <c r="B131" s="23" t="s">
        <v>3</v>
      </c>
      <c r="C131">
        <v>0</v>
      </c>
      <c r="E131">
        <f t="shared" si="1"/>
        <v>0</v>
      </c>
    </row>
    <row r="132" spans="1:5" ht="15.6" hidden="1">
      <c r="A132" t="s">
        <v>76</v>
      </c>
      <c r="B132" s="23" t="s">
        <v>3</v>
      </c>
      <c r="C132">
        <v>0</v>
      </c>
      <c r="E132">
        <f t="shared" si="1"/>
        <v>0</v>
      </c>
    </row>
    <row r="133" spans="1:5" ht="15.6">
      <c r="A133" t="s">
        <v>78</v>
      </c>
      <c r="B133" s="23" t="s">
        <v>3</v>
      </c>
      <c r="C133">
        <v>6</v>
      </c>
      <c r="D133">
        <v>35000</v>
      </c>
      <c r="E133">
        <f t="shared" si="1"/>
        <v>210000</v>
      </c>
    </row>
    <row r="134" spans="1:5" ht="15.6">
      <c r="A134" t="s">
        <v>87</v>
      </c>
      <c r="B134" s="23" t="s">
        <v>3</v>
      </c>
      <c r="C134">
        <v>260</v>
      </c>
      <c r="D134">
        <v>6000</v>
      </c>
      <c r="E134">
        <f t="shared" ref="E134:E137" si="2">C134*D134</f>
        <v>1560000</v>
      </c>
    </row>
    <row r="135" spans="1:5" ht="15.6" hidden="1">
      <c r="A135" t="s">
        <v>90</v>
      </c>
      <c r="B135" s="23" t="s">
        <v>40</v>
      </c>
      <c r="C135">
        <v>0</v>
      </c>
      <c r="E135">
        <f t="shared" si="2"/>
        <v>0</v>
      </c>
    </row>
    <row r="136" spans="1:5" ht="15.6" hidden="1">
      <c r="A136" t="s">
        <v>92</v>
      </c>
      <c r="B136" s="23" t="s">
        <v>40</v>
      </c>
      <c r="C136">
        <v>0</v>
      </c>
      <c r="E136">
        <f t="shared" si="2"/>
        <v>0</v>
      </c>
    </row>
    <row r="137" spans="1:5" ht="15.6" hidden="1">
      <c r="A137" t="s">
        <v>95</v>
      </c>
      <c r="B137" s="23" t="s">
        <v>40</v>
      </c>
      <c r="C137">
        <v>0</v>
      </c>
      <c r="E137">
        <f t="shared" si="2"/>
        <v>0</v>
      </c>
    </row>
    <row r="138" spans="1:5">
      <c r="E138">
        <f>SUM(E107:E134)</f>
        <v>9064350</v>
      </c>
    </row>
    <row r="139" spans="1:5">
      <c r="E139">
        <f>E138+E104</f>
        <v>154143520</v>
      </c>
    </row>
  </sheetData>
  <autoFilter ref="A2:E137">
    <filterColumn colId="2">
      <filters blank="1">
        <filter val="1"/>
        <filter val="10"/>
        <filter val="100"/>
        <filter val="105"/>
        <filter val="1060"/>
        <filter val="1070"/>
        <filter val="134"/>
        <filter val="15"/>
        <filter val="16"/>
        <filter val="162"/>
        <filter val="166"/>
        <filter val="171"/>
        <filter val="172"/>
        <filter val="190"/>
        <filter val="1925"/>
        <filter val="20"/>
        <filter val="200"/>
        <filter val="21"/>
        <filter val="22"/>
        <filter val="24"/>
        <filter val="25"/>
        <filter val="260"/>
        <filter val="27.5"/>
        <filter val="270"/>
        <filter val="295"/>
        <filter val="3"/>
        <filter val="370"/>
        <filter val="44"/>
        <filter val="498"/>
        <filter val="5"/>
        <filter val="50"/>
        <filter val="522"/>
        <filter val="55"/>
        <filter val="59"/>
        <filter val="6"/>
        <filter val="60"/>
        <filter val="66"/>
        <filter val="7"/>
        <filter val="70"/>
        <filter val="8"/>
        <filter val="8.8"/>
        <filter val="821"/>
        <filter val="9"/>
        <filter val="90"/>
        <filter val="93.5"/>
        <filter val="94"/>
        <filter val="Tồn_x000a_ĐL_x000a__x000a_現在庫"/>
      </filters>
    </filterColumn>
  </autoFilter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145"/>
  <sheetViews>
    <sheetView workbookViewId="0">
      <pane xSplit="1" ySplit="1" topLeftCell="B85" activePane="bottomRight" state="frozen"/>
      <selection pane="topRight" activeCell="B1" sqref="B1"/>
      <selection pane="bottomLeft" activeCell="A2" sqref="A2"/>
      <selection pane="bottomRight" activeCell="D47" sqref="D47"/>
    </sheetView>
  </sheetViews>
  <sheetFormatPr defaultColWidth="8.8984375" defaultRowHeight="15.6"/>
  <cols>
    <col min="1" max="1" width="27.796875" style="1" bestFit="1" customWidth="1"/>
    <col min="2" max="3" width="8.8984375" style="1"/>
    <col min="4" max="4" width="17.69921875" style="18" customWidth="1"/>
    <col min="5" max="5" width="21.09765625" style="1" customWidth="1"/>
    <col min="6" max="16384" width="8.8984375" style="1"/>
  </cols>
  <sheetData>
    <row r="1" spans="1:5" ht="62.4">
      <c r="A1" s="9" t="s">
        <v>104</v>
      </c>
      <c r="B1" s="6" t="s">
        <v>0</v>
      </c>
      <c r="C1" s="7" t="s">
        <v>1</v>
      </c>
      <c r="D1" s="14" t="s">
        <v>102</v>
      </c>
      <c r="E1" s="8" t="s">
        <v>103</v>
      </c>
    </row>
    <row r="2" spans="1:5">
      <c r="A2" s="2" t="s">
        <v>2</v>
      </c>
      <c r="B2" s="2" t="s">
        <v>3</v>
      </c>
      <c r="C2" s="3">
        <v>11</v>
      </c>
      <c r="D2" s="15">
        <v>15000</v>
      </c>
      <c r="E2" s="10">
        <f>+D2*C2</f>
        <v>165000</v>
      </c>
    </row>
    <row r="3" spans="1:5" hidden="1">
      <c r="A3" s="2" t="s">
        <v>4</v>
      </c>
      <c r="B3" s="2" t="s">
        <v>3</v>
      </c>
      <c r="C3" s="3">
        <v>0</v>
      </c>
      <c r="D3" s="5"/>
      <c r="E3" s="10">
        <f t="shared" ref="E3:E66" si="0">+D3*C3</f>
        <v>0</v>
      </c>
    </row>
    <row r="4" spans="1:5">
      <c r="A4" s="2" t="s">
        <v>5</v>
      </c>
      <c r="B4" s="2" t="s">
        <v>3</v>
      </c>
      <c r="C4" s="3">
        <v>851</v>
      </c>
      <c r="D4" s="15">
        <v>6000</v>
      </c>
      <c r="E4" s="10">
        <f t="shared" si="0"/>
        <v>5106000</v>
      </c>
    </row>
    <row r="5" spans="1:5">
      <c r="A5" s="2" t="s">
        <v>96</v>
      </c>
      <c r="B5" s="2" t="s">
        <v>3</v>
      </c>
      <c r="C5" s="3">
        <v>10</v>
      </c>
      <c r="D5" s="15">
        <v>10000</v>
      </c>
      <c r="E5" s="10">
        <f t="shared" si="0"/>
        <v>100000</v>
      </c>
    </row>
    <row r="6" spans="1:5">
      <c r="A6" s="2" t="s">
        <v>6</v>
      </c>
      <c r="B6" s="2" t="s">
        <v>3</v>
      </c>
      <c r="C6" s="3">
        <v>10</v>
      </c>
      <c r="D6" s="15">
        <v>9500</v>
      </c>
      <c r="E6" s="10">
        <f t="shared" si="0"/>
        <v>95000</v>
      </c>
    </row>
    <row r="7" spans="1:5">
      <c r="A7" s="2" t="s">
        <v>7</v>
      </c>
      <c r="B7" s="2" t="s">
        <v>3</v>
      </c>
      <c r="C7" s="3">
        <v>302</v>
      </c>
      <c r="D7" s="15">
        <v>11000</v>
      </c>
      <c r="E7" s="10">
        <f t="shared" si="0"/>
        <v>3322000</v>
      </c>
    </row>
    <row r="8" spans="1:5">
      <c r="A8" s="2" t="s">
        <v>116</v>
      </c>
      <c r="B8" s="2" t="s">
        <v>3</v>
      </c>
      <c r="C8" s="3">
        <v>2</v>
      </c>
      <c r="D8" s="15">
        <v>11000</v>
      </c>
      <c r="E8" s="10">
        <f t="shared" si="0"/>
        <v>22000</v>
      </c>
    </row>
    <row r="9" spans="1:5">
      <c r="A9" s="2" t="s">
        <v>8</v>
      </c>
      <c r="B9" s="2" t="s">
        <v>3</v>
      </c>
      <c r="C9" s="3">
        <v>60</v>
      </c>
      <c r="D9" s="15">
        <v>12000</v>
      </c>
      <c r="E9" s="10">
        <f t="shared" si="0"/>
        <v>720000</v>
      </c>
    </row>
    <row r="10" spans="1:5" hidden="1">
      <c r="A10" s="2" t="s">
        <v>8</v>
      </c>
      <c r="B10" s="2" t="s">
        <v>9</v>
      </c>
      <c r="C10" s="3">
        <v>0</v>
      </c>
      <c r="D10" s="5"/>
      <c r="E10" s="10">
        <f t="shared" si="0"/>
        <v>0</v>
      </c>
    </row>
    <row r="11" spans="1:5">
      <c r="A11" s="2" t="s">
        <v>10</v>
      </c>
      <c r="B11" s="2" t="s">
        <v>3</v>
      </c>
      <c r="C11" s="3">
        <v>70</v>
      </c>
      <c r="D11" s="15">
        <v>10000</v>
      </c>
      <c r="E11" s="10">
        <f t="shared" si="0"/>
        <v>700000</v>
      </c>
    </row>
    <row r="12" spans="1:5" hidden="1">
      <c r="A12" s="2" t="s">
        <v>10</v>
      </c>
      <c r="B12" s="2" t="s">
        <v>9</v>
      </c>
      <c r="C12" s="3">
        <v>0</v>
      </c>
      <c r="D12" s="5"/>
      <c r="E12" s="10">
        <f t="shared" si="0"/>
        <v>0</v>
      </c>
    </row>
    <row r="13" spans="1:5" hidden="1">
      <c r="A13" s="2" t="s">
        <v>11</v>
      </c>
      <c r="B13" s="2" t="s">
        <v>3</v>
      </c>
      <c r="C13" s="3">
        <v>0</v>
      </c>
      <c r="D13" s="5"/>
      <c r="E13" s="10">
        <f t="shared" si="0"/>
        <v>0</v>
      </c>
    </row>
    <row r="14" spans="1:5">
      <c r="A14" s="2" t="s">
        <v>12</v>
      </c>
      <c r="B14" s="2" t="s">
        <v>3</v>
      </c>
      <c r="C14" s="3">
        <v>12</v>
      </c>
      <c r="D14" s="15">
        <v>12000</v>
      </c>
      <c r="E14" s="10">
        <f t="shared" si="0"/>
        <v>144000</v>
      </c>
    </row>
    <row r="15" spans="1:5">
      <c r="A15" s="2" t="s">
        <v>14</v>
      </c>
      <c r="B15" s="2" t="s">
        <v>3</v>
      </c>
      <c r="C15" s="3">
        <v>62</v>
      </c>
      <c r="D15" s="15">
        <v>10000</v>
      </c>
      <c r="E15" s="10">
        <f t="shared" si="0"/>
        <v>620000</v>
      </c>
    </row>
    <row r="16" spans="1:5" hidden="1">
      <c r="A16" s="2" t="s">
        <v>15</v>
      </c>
      <c r="B16" s="2" t="s">
        <v>3</v>
      </c>
      <c r="C16" s="3">
        <v>0</v>
      </c>
      <c r="D16" s="5"/>
      <c r="E16" s="10">
        <f t="shared" si="0"/>
        <v>0</v>
      </c>
    </row>
    <row r="17" spans="1:5">
      <c r="A17" s="2" t="s">
        <v>16</v>
      </c>
      <c r="B17" s="2" t="s">
        <v>17</v>
      </c>
      <c r="C17" s="3">
        <v>10</v>
      </c>
      <c r="D17" s="15">
        <v>6000</v>
      </c>
      <c r="E17" s="10">
        <f t="shared" si="0"/>
        <v>60000</v>
      </c>
    </row>
    <row r="18" spans="1:5">
      <c r="A18" s="2" t="s">
        <v>107</v>
      </c>
      <c r="B18" s="2" t="s">
        <v>40</v>
      </c>
      <c r="C18" s="3">
        <v>76</v>
      </c>
      <c r="D18" s="15">
        <v>5500</v>
      </c>
      <c r="E18" s="10">
        <f t="shared" si="0"/>
        <v>418000</v>
      </c>
    </row>
    <row r="19" spans="1:5">
      <c r="A19" s="2" t="s">
        <v>18</v>
      </c>
      <c r="B19" s="2" t="s">
        <v>3</v>
      </c>
      <c r="C19" s="3">
        <v>257</v>
      </c>
      <c r="D19" s="15">
        <v>16000</v>
      </c>
      <c r="E19" s="10">
        <f t="shared" si="0"/>
        <v>4112000</v>
      </c>
    </row>
    <row r="20" spans="1:5" hidden="1">
      <c r="A20" s="2" t="s">
        <v>18</v>
      </c>
      <c r="B20" s="2" t="s">
        <v>17</v>
      </c>
      <c r="C20" s="3">
        <v>0</v>
      </c>
      <c r="D20" s="5"/>
      <c r="E20" s="10">
        <f t="shared" si="0"/>
        <v>0</v>
      </c>
    </row>
    <row r="21" spans="1:5" hidden="1">
      <c r="A21" s="2" t="s">
        <v>18</v>
      </c>
      <c r="B21" s="2" t="s">
        <v>19</v>
      </c>
      <c r="C21" s="3">
        <v>0</v>
      </c>
      <c r="D21" s="5"/>
      <c r="E21" s="10">
        <f t="shared" si="0"/>
        <v>0</v>
      </c>
    </row>
    <row r="22" spans="1:5">
      <c r="A22" s="2" t="s">
        <v>20</v>
      </c>
      <c r="B22" s="2" t="s">
        <v>3</v>
      </c>
      <c r="C22" s="3">
        <v>45</v>
      </c>
      <c r="D22" s="15">
        <v>7500</v>
      </c>
      <c r="E22" s="10">
        <f t="shared" si="0"/>
        <v>337500</v>
      </c>
    </row>
    <row r="23" spans="1:5" hidden="1">
      <c r="A23" s="2" t="s">
        <v>20</v>
      </c>
      <c r="B23" s="2" t="s">
        <v>21</v>
      </c>
      <c r="C23" s="3">
        <v>0</v>
      </c>
      <c r="D23" s="5"/>
      <c r="E23" s="10">
        <f t="shared" si="0"/>
        <v>0</v>
      </c>
    </row>
    <row r="24" spans="1:5" hidden="1">
      <c r="A24" s="2" t="s">
        <v>22</v>
      </c>
      <c r="B24" s="2" t="s">
        <v>3</v>
      </c>
      <c r="C24" s="3">
        <v>0</v>
      </c>
      <c r="D24" s="5"/>
      <c r="E24" s="10">
        <f t="shared" si="0"/>
        <v>0</v>
      </c>
    </row>
    <row r="25" spans="1:5">
      <c r="A25" s="2" t="s">
        <v>22</v>
      </c>
      <c r="B25" s="2" t="s">
        <v>23</v>
      </c>
      <c r="C25" s="3">
        <v>60</v>
      </c>
      <c r="D25" s="15">
        <v>5400</v>
      </c>
      <c r="E25" s="10">
        <f t="shared" si="0"/>
        <v>324000</v>
      </c>
    </row>
    <row r="26" spans="1:5" hidden="1">
      <c r="A26" s="2" t="s">
        <v>24</v>
      </c>
      <c r="B26" s="2" t="s">
        <v>25</v>
      </c>
      <c r="C26" s="3">
        <v>0</v>
      </c>
      <c r="D26" s="5"/>
      <c r="E26" s="10">
        <f t="shared" si="0"/>
        <v>0</v>
      </c>
    </row>
    <row r="27" spans="1:5" hidden="1">
      <c r="A27" s="2" t="s">
        <v>26</v>
      </c>
      <c r="B27" s="2" t="s">
        <v>3</v>
      </c>
      <c r="C27" s="3">
        <v>0</v>
      </c>
      <c r="D27" s="5"/>
      <c r="E27" s="10">
        <f t="shared" si="0"/>
        <v>0</v>
      </c>
    </row>
    <row r="28" spans="1:5" hidden="1">
      <c r="A28" s="2" t="s">
        <v>26</v>
      </c>
      <c r="B28" s="2" t="s">
        <v>27</v>
      </c>
      <c r="C28" s="3">
        <v>0</v>
      </c>
      <c r="D28" s="5"/>
      <c r="E28" s="10">
        <f t="shared" si="0"/>
        <v>0</v>
      </c>
    </row>
    <row r="29" spans="1:5">
      <c r="A29" s="2" t="s">
        <v>28</v>
      </c>
      <c r="B29" s="2" t="s">
        <v>3</v>
      </c>
      <c r="C29" s="3">
        <v>150</v>
      </c>
      <c r="D29" s="15">
        <v>12000</v>
      </c>
      <c r="E29" s="10">
        <f t="shared" si="0"/>
        <v>1800000</v>
      </c>
    </row>
    <row r="30" spans="1:5" hidden="1">
      <c r="A30" s="2" t="s">
        <v>28</v>
      </c>
      <c r="B30" s="2" t="s">
        <v>17</v>
      </c>
      <c r="C30" s="3">
        <v>0</v>
      </c>
      <c r="D30" s="5"/>
      <c r="E30" s="10">
        <f t="shared" si="0"/>
        <v>0</v>
      </c>
    </row>
    <row r="31" spans="1:5">
      <c r="A31" s="2" t="s">
        <v>29</v>
      </c>
      <c r="B31" s="2" t="s">
        <v>30</v>
      </c>
      <c r="C31" s="3">
        <v>100</v>
      </c>
      <c r="D31" s="15">
        <v>13000</v>
      </c>
      <c r="E31" s="10">
        <f t="shared" si="0"/>
        <v>1300000</v>
      </c>
    </row>
    <row r="32" spans="1:5">
      <c r="A32" s="2" t="s">
        <v>31</v>
      </c>
      <c r="B32" s="2" t="s">
        <v>3</v>
      </c>
      <c r="C32" s="3">
        <v>272</v>
      </c>
      <c r="D32" s="15">
        <v>9500</v>
      </c>
      <c r="E32" s="10">
        <f t="shared" si="0"/>
        <v>2584000</v>
      </c>
    </row>
    <row r="33" spans="1:5" hidden="1">
      <c r="A33" s="2" t="s">
        <v>31</v>
      </c>
      <c r="B33" s="2" t="s">
        <v>30</v>
      </c>
      <c r="C33" s="3">
        <v>0</v>
      </c>
      <c r="D33" s="5"/>
      <c r="E33" s="10">
        <f t="shared" si="0"/>
        <v>0</v>
      </c>
    </row>
    <row r="34" spans="1:5" hidden="1">
      <c r="A34" s="2" t="s">
        <v>32</v>
      </c>
      <c r="B34" s="2" t="s">
        <v>17</v>
      </c>
      <c r="C34" s="3">
        <v>0</v>
      </c>
      <c r="D34" s="5"/>
      <c r="E34" s="10">
        <f t="shared" si="0"/>
        <v>0</v>
      </c>
    </row>
    <row r="35" spans="1:5">
      <c r="A35" s="2" t="s">
        <v>33</v>
      </c>
      <c r="B35" s="2" t="s">
        <v>3</v>
      </c>
      <c r="C35" s="3">
        <v>71</v>
      </c>
      <c r="D35" s="15">
        <v>8000</v>
      </c>
      <c r="E35" s="10">
        <f t="shared" si="0"/>
        <v>568000</v>
      </c>
    </row>
    <row r="36" spans="1:5" hidden="1">
      <c r="A36" s="2" t="s">
        <v>33</v>
      </c>
      <c r="B36" s="2" t="s">
        <v>34</v>
      </c>
      <c r="C36" s="3">
        <v>0</v>
      </c>
      <c r="D36" s="5"/>
      <c r="E36" s="10">
        <f t="shared" si="0"/>
        <v>0</v>
      </c>
    </row>
    <row r="37" spans="1:5">
      <c r="A37" s="2" t="s">
        <v>35</v>
      </c>
      <c r="B37" s="2" t="s">
        <v>3</v>
      </c>
      <c r="C37" s="3">
        <v>20</v>
      </c>
      <c r="D37" s="15">
        <v>20000</v>
      </c>
      <c r="E37" s="10">
        <f t="shared" si="0"/>
        <v>400000</v>
      </c>
    </row>
    <row r="38" spans="1:5" hidden="1">
      <c r="A38" s="2" t="s">
        <v>35</v>
      </c>
      <c r="B38" s="2" t="s">
        <v>30</v>
      </c>
      <c r="C38" s="3">
        <v>0</v>
      </c>
      <c r="D38" s="5"/>
      <c r="E38" s="10">
        <f t="shared" si="0"/>
        <v>0</v>
      </c>
    </row>
    <row r="39" spans="1:5">
      <c r="A39" s="2" t="s">
        <v>36</v>
      </c>
      <c r="B39" s="2" t="s">
        <v>30</v>
      </c>
      <c r="C39" s="3">
        <v>22</v>
      </c>
      <c r="D39" s="15">
        <v>3000</v>
      </c>
      <c r="E39" s="10">
        <f t="shared" si="0"/>
        <v>66000</v>
      </c>
    </row>
    <row r="40" spans="1:5">
      <c r="A40" s="2" t="s">
        <v>37</v>
      </c>
      <c r="B40" s="2" t="s">
        <v>30</v>
      </c>
      <c r="C40" s="3">
        <v>8</v>
      </c>
      <c r="D40" s="15">
        <v>3300</v>
      </c>
      <c r="E40" s="10">
        <f t="shared" si="0"/>
        <v>26400</v>
      </c>
    </row>
    <row r="41" spans="1:5">
      <c r="A41" s="2" t="s">
        <v>38</v>
      </c>
      <c r="B41" s="2" t="s">
        <v>3</v>
      </c>
      <c r="C41" s="3">
        <v>661</v>
      </c>
      <c r="D41" s="15">
        <v>7000</v>
      </c>
      <c r="E41" s="10">
        <f t="shared" si="0"/>
        <v>4627000</v>
      </c>
    </row>
    <row r="42" spans="1:5" hidden="1">
      <c r="A42" s="2" t="s">
        <v>39</v>
      </c>
      <c r="B42" s="2" t="s">
        <v>40</v>
      </c>
      <c r="C42" s="3">
        <v>0</v>
      </c>
      <c r="D42" s="5"/>
      <c r="E42" s="10">
        <f t="shared" si="0"/>
        <v>0</v>
      </c>
    </row>
    <row r="43" spans="1:5" hidden="1">
      <c r="A43" s="2" t="s">
        <v>39</v>
      </c>
      <c r="B43" s="2" t="s">
        <v>3</v>
      </c>
      <c r="C43" s="3">
        <v>0</v>
      </c>
      <c r="D43" s="5"/>
      <c r="E43" s="10">
        <f t="shared" si="0"/>
        <v>0</v>
      </c>
    </row>
    <row r="44" spans="1:5" hidden="1">
      <c r="A44" s="2" t="s">
        <v>41</v>
      </c>
      <c r="B44" s="2" t="s">
        <v>3</v>
      </c>
      <c r="C44" s="3">
        <v>0</v>
      </c>
      <c r="D44" s="5"/>
      <c r="E44" s="10">
        <f t="shared" si="0"/>
        <v>0</v>
      </c>
    </row>
    <row r="45" spans="1:5" hidden="1">
      <c r="A45" s="2" t="s">
        <v>42</v>
      </c>
      <c r="B45" s="2" t="s">
        <v>25</v>
      </c>
      <c r="C45" s="3">
        <v>0</v>
      </c>
      <c r="D45" s="5"/>
      <c r="E45" s="10">
        <f t="shared" si="0"/>
        <v>0</v>
      </c>
    </row>
    <row r="46" spans="1:5">
      <c r="A46" s="2" t="s">
        <v>43</v>
      </c>
      <c r="B46" s="2" t="s">
        <v>3</v>
      </c>
      <c r="C46" s="3">
        <v>1</v>
      </c>
      <c r="D46" s="15">
        <v>16000</v>
      </c>
      <c r="E46" s="10">
        <f t="shared" si="0"/>
        <v>16000</v>
      </c>
    </row>
    <row r="47" spans="1:5">
      <c r="A47" s="2" t="s">
        <v>44</v>
      </c>
      <c r="B47" s="2" t="s">
        <v>3</v>
      </c>
      <c r="C47" s="3">
        <v>28</v>
      </c>
      <c r="D47" s="15">
        <v>6000</v>
      </c>
      <c r="E47" s="10">
        <f t="shared" si="0"/>
        <v>168000</v>
      </c>
    </row>
    <row r="48" spans="1:5">
      <c r="A48" s="2" t="s">
        <v>45</v>
      </c>
      <c r="B48" s="2" t="s">
        <v>3</v>
      </c>
      <c r="C48" s="3">
        <v>31</v>
      </c>
      <c r="D48" s="15">
        <v>11000</v>
      </c>
      <c r="E48" s="10">
        <f t="shared" si="0"/>
        <v>341000</v>
      </c>
    </row>
    <row r="49" spans="1:5" hidden="1">
      <c r="A49" s="2" t="s">
        <v>45</v>
      </c>
      <c r="B49" s="2" t="s">
        <v>30</v>
      </c>
      <c r="C49" s="3">
        <v>0</v>
      </c>
      <c r="D49" s="5"/>
      <c r="E49" s="10">
        <f t="shared" si="0"/>
        <v>0</v>
      </c>
    </row>
    <row r="50" spans="1:5">
      <c r="A50" s="2" t="s">
        <v>46</v>
      </c>
      <c r="B50" s="2" t="s">
        <v>3</v>
      </c>
      <c r="C50" s="3">
        <v>10</v>
      </c>
      <c r="D50" s="15">
        <v>18000</v>
      </c>
      <c r="E50" s="10">
        <f t="shared" si="0"/>
        <v>180000</v>
      </c>
    </row>
    <row r="51" spans="1:5">
      <c r="A51" s="2" t="s">
        <v>47</v>
      </c>
      <c r="B51" s="2" t="s">
        <v>3</v>
      </c>
      <c r="C51" s="3">
        <v>186</v>
      </c>
      <c r="D51" s="15">
        <v>10000</v>
      </c>
      <c r="E51" s="10">
        <f t="shared" si="0"/>
        <v>1860000</v>
      </c>
    </row>
    <row r="52" spans="1:5" hidden="1">
      <c r="A52" s="2" t="s">
        <v>47</v>
      </c>
      <c r="B52" s="2" t="s">
        <v>48</v>
      </c>
      <c r="C52" s="3">
        <v>0</v>
      </c>
      <c r="D52" s="5"/>
      <c r="E52" s="10">
        <f t="shared" si="0"/>
        <v>0</v>
      </c>
    </row>
    <row r="53" spans="1:5">
      <c r="A53" s="2" t="s">
        <v>49</v>
      </c>
      <c r="B53" s="2" t="s">
        <v>30</v>
      </c>
      <c r="C53" s="3">
        <v>20</v>
      </c>
      <c r="D53" s="15">
        <v>2100</v>
      </c>
      <c r="E53" s="10">
        <f t="shared" si="0"/>
        <v>42000</v>
      </c>
    </row>
    <row r="54" spans="1:5">
      <c r="A54" s="2" t="s">
        <v>50</v>
      </c>
      <c r="B54" s="2" t="s">
        <v>3</v>
      </c>
      <c r="C54" s="3">
        <v>1015</v>
      </c>
      <c r="D54" s="15">
        <v>28000</v>
      </c>
      <c r="E54" s="10">
        <f t="shared" si="0"/>
        <v>28420000</v>
      </c>
    </row>
    <row r="55" spans="1:5">
      <c r="A55" s="2" t="s">
        <v>51</v>
      </c>
      <c r="B55" s="2" t="s">
        <v>3</v>
      </c>
      <c r="C55" s="3">
        <v>1680</v>
      </c>
      <c r="D55" s="15">
        <v>27000</v>
      </c>
      <c r="E55" s="10">
        <f t="shared" si="0"/>
        <v>45360000</v>
      </c>
    </row>
    <row r="56" spans="1:5" hidden="1">
      <c r="A56" s="2" t="s">
        <v>51</v>
      </c>
      <c r="B56" s="2" t="s">
        <v>30</v>
      </c>
      <c r="C56" s="3">
        <v>0</v>
      </c>
      <c r="D56" s="5"/>
      <c r="E56" s="10">
        <f t="shared" si="0"/>
        <v>0</v>
      </c>
    </row>
    <row r="57" spans="1:5">
      <c r="A57" s="2" t="s">
        <v>53</v>
      </c>
      <c r="B57" s="2" t="s">
        <v>3</v>
      </c>
      <c r="C57" s="3">
        <v>85</v>
      </c>
      <c r="D57" s="15">
        <v>18000</v>
      </c>
      <c r="E57" s="10">
        <f t="shared" si="0"/>
        <v>1530000</v>
      </c>
    </row>
    <row r="58" spans="1:5">
      <c r="A58" s="2" t="s">
        <v>54</v>
      </c>
      <c r="B58" s="2" t="s">
        <v>3</v>
      </c>
      <c r="C58" s="3">
        <v>10</v>
      </c>
      <c r="D58" s="15">
        <v>27000</v>
      </c>
      <c r="E58" s="10">
        <f t="shared" si="0"/>
        <v>270000</v>
      </c>
    </row>
    <row r="59" spans="1:5" hidden="1">
      <c r="A59" s="2" t="s">
        <v>55</v>
      </c>
      <c r="B59" s="2" t="s">
        <v>3</v>
      </c>
      <c r="C59" s="3">
        <v>0</v>
      </c>
      <c r="D59" s="5"/>
      <c r="E59" s="10">
        <f t="shared" si="0"/>
        <v>0</v>
      </c>
    </row>
    <row r="60" spans="1:5">
      <c r="A60" s="2" t="s">
        <v>56</v>
      </c>
      <c r="B60" s="2" t="s">
        <v>3</v>
      </c>
      <c r="C60" s="3">
        <v>1924</v>
      </c>
      <c r="D60" s="15">
        <v>14500</v>
      </c>
      <c r="E60" s="10">
        <f t="shared" si="0"/>
        <v>27898000</v>
      </c>
    </row>
    <row r="61" spans="1:5" hidden="1">
      <c r="A61" s="2" t="s">
        <v>56</v>
      </c>
      <c r="B61" s="2" t="s">
        <v>30</v>
      </c>
      <c r="C61" s="3">
        <v>0</v>
      </c>
      <c r="D61" s="5"/>
      <c r="E61" s="10">
        <f t="shared" si="0"/>
        <v>0</v>
      </c>
    </row>
    <row r="62" spans="1:5">
      <c r="A62" s="2" t="s">
        <v>57</v>
      </c>
      <c r="B62" s="2" t="s">
        <v>30</v>
      </c>
      <c r="C62" s="3">
        <v>64</v>
      </c>
      <c r="D62" s="15">
        <v>7000</v>
      </c>
      <c r="E62" s="10">
        <f t="shared" si="0"/>
        <v>448000</v>
      </c>
    </row>
    <row r="63" spans="1:5" hidden="1">
      <c r="A63" s="2" t="s">
        <v>58</v>
      </c>
      <c r="B63" s="2" t="s">
        <v>3</v>
      </c>
      <c r="C63" s="3">
        <v>0</v>
      </c>
      <c r="D63" s="5"/>
      <c r="E63" s="10">
        <f t="shared" si="0"/>
        <v>0</v>
      </c>
    </row>
    <row r="64" spans="1:5">
      <c r="A64" s="2" t="s">
        <v>59</v>
      </c>
      <c r="B64" s="2" t="s">
        <v>30</v>
      </c>
      <c r="C64" s="3">
        <v>20</v>
      </c>
      <c r="D64" s="15">
        <v>6000</v>
      </c>
      <c r="E64" s="10">
        <f t="shared" si="0"/>
        <v>120000</v>
      </c>
    </row>
    <row r="65" spans="1:5" hidden="1">
      <c r="A65" s="2" t="s">
        <v>60</v>
      </c>
      <c r="B65" s="2" t="s">
        <v>3</v>
      </c>
      <c r="C65" s="3">
        <v>0</v>
      </c>
      <c r="D65" s="5"/>
      <c r="E65" s="10">
        <f t="shared" si="0"/>
        <v>0</v>
      </c>
    </row>
    <row r="66" spans="1:5">
      <c r="A66" s="2" t="s">
        <v>60</v>
      </c>
      <c r="B66" s="2" t="s">
        <v>61</v>
      </c>
      <c r="C66" s="3">
        <v>23</v>
      </c>
      <c r="D66" s="15">
        <v>7500</v>
      </c>
      <c r="E66" s="10">
        <f t="shared" si="0"/>
        <v>172500</v>
      </c>
    </row>
    <row r="67" spans="1:5">
      <c r="A67" s="2" t="s">
        <v>62</v>
      </c>
      <c r="B67" s="2" t="s">
        <v>3</v>
      </c>
      <c r="C67" s="3">
        <v>0.5</v>
      </c>
      <c r="D67" s="15">
        <v>80000</v>
      </c>
      <c r="E67" s="10">
        <f t="shared" ref="E67:E130" si="1">+D67*C67</f>
        <v>40000</v>
      </c>
    </row>
    <row r="68" spans="1:5">
      <c r="A68" s="2" t="s">
        <v>63</v>
      </c>
      <c r="B68" s="2" t="s">
        <v>3</v>
      </c>
      <c r="C68" s="3">
        <v>1</v>
      </c>
      <c r="D68" s="15">
        <v>70000</v>
      </c>
      <c r="E68" s="10">
        <f t="shared" si="1"/>
        <v>70000</v>
      </c>
    </row>
    <row r="69" spans="1:5">
      <c r="A69" s="2" t="s">
        <v>64</v>
      </c>
      <c r="B69" s="2" t="s">
        <v>3</v>
      </c>
      <c r="C69" s="3">
        <v>0.5</v>
      </c>
      <c r="D69" s="15">
        <v>70000</v>
      </c>
      <c r="E69" s="10">
        <f t="shared" si="1"/>
        <v>35000</v>
      </c>
    </row>
    <row r="70" spans="1:5" hidden="1">
      <c r="A70" s="2" t="s">
        <v>65</v>
      </c>
      <c r="B70" s="2" t="s">
        <v>3</v>
      </c>
      <c r="C70" s="3">
        <v>0</v>
      </c>
      <c r="D70" s="5"/>
      <c r="E70" s="10">
        <f t="shared" si="1"/>
        <v>0</v>
      </c>
    </row>
    <row r="71" spans="1:5">
      <c r="A71" s="2" t="s">
        <v>65</v>
      </c>
      <c r="B71" s="2" t="s">
        <v>17</v>
      </c>
      <c r="C71" s="3">
        <v>69</v>
      </c>
      <c r="D71" s="15">
        <v>8000</v>
      </c>
      <c r="E71" s="10">
        <f t="shared" si="1"/>
        <v>552000</v>
      </c>
    </row>
    <row r="72" spans="1:5" hidden="1">
      <c r="A72" s="2" t="s">
        <v>66</v>
      </c>
      <c r="B72" s="2" t="s">
        <v>3</v>
      </c>
      <c r="C72" s="3">
        <v>0</v>
      </c>
      <c r="D72" s="5"/>
      <c r="E72" s="10">
        <f t="shared" si="1"/>
        <v>0</v>
      </c>
    </row>
    <row r="73" spans="1:5">
      <c r="A73" s="2" t="s">
        <v>67</v>
      </c>
      <c r="B73" s="2" t="s">
        <v>3</v>
      </c>
      <c r="C73" s="3">
        <v>51</v>
      </c>
      <c r="D73" s="15">
        <v>12000</v>
      </c>
      <c r="E73" s="10">
        <f t="shared" si="1"/>
        <v>612000</v>
      </c>
    </row>
    <row r="74" spans="1:5" hidden="1">
      <c r="A74" s="2" t="s">
        <v>68</v>
      </c>
      <c r="B74" s="2" t="s">
        <v>40</v>
      </c>
      <c r="C74" s="3">
        <v>0</v>
      </c>
      <c r="D74" s="5"/>
      <c r="E74" s="10">
        <f t="shared" si="1"/>
        <v>0</v>
      </c>
    </row>
    <row r="75" spans="1:5" hidden="1">
      <c r="A75" s="2" t="s">
        <v>68</v>
      </c>
      <c r="B75" s="2" t="s">
        <v>3</v>
      </c>
      <c r="C75" s="3">
        <v>0</v>
      </c>
      <c r="D75" s="5"/>
      <c r="E75" s="10">
        <f t="shared" si="1"/>
        <v>0</v>
      </c>
    </row>
    <row r="76" spans="1:5" hidden="1">
      <c r="A76" s="2" t="s">
        <v>69</v>
      </c>
      <c r="B76" s="2" t="s">
        <v>3</v>
      </c>
      <c r="C76" s="3">
        <v>0</v>
      </c>
      <c r="D76" s="5"/>
      <c r="E76" s="10">
        <f t="shared" si="1"/>
        <v>0</v>
      </c>
    </row>
    <row r="77" spans="1:5" hidden="1">
      <c r="A77" s="2" t="s">
        <v>70</v>
      </c>
      <c r="B77" s="2" t="s">
        <v>30</v>
      </c>
      <c r="C77" s="3">
        <v>0</v>
      </c>
      <c r="D77" s="5"/>
      <c r="E77" s="10">
        <f t="shared" si="1"/>
        <v>0</v>
      </c>
    </row>
    <row r="78" spans="1:5">
      <c r="A78" s="2" t="s">
        <v>71</v>
      </c>
      <c r="B78" s="2" t="s">
        <v>3</v>
      </c>
      <c r="C78" s="3">
        <v>10</v>
      </c>
      <c r="D78" s="15">
        <v>14000</v>
      </c>
      <c r="E78" s="10">
        <f t="shared" si="1"/>
        <v>140000</v>
      </c>
    </row>
    <row r="79" spans="1:5" hidden="1">
      <c r="A79" s="2" t="s">
        <v>72</v>
      </c>
      <c r="B79" s="2" t="s">
        <v>17</v>
      </c>
      <c r="C79" s="3">
        <v>0</v>
      </c>
      <c r="D79" s="5"/>
      <c r="E79" s="10">
        <f t="shared" si="1"/>
        <v>0</v>
      </c>
    </row>
    <row r="80" spans="1:5" hidden="1">
      <c r="A80" s="2" t="s">
        <v>73</v>
      </c>
      <c r="B80" s="2" t="s">
        <v>25</v>
      </c>
      <c r="C80" s="3">
        <v>0</v>
      </c>
      <c r="D80" s="5"/>
      <c r="E80" s="10">
        <f t="shared" si="1"/>
        <v>0</v>
      </c>
    </row>
    <row r="81" spans="1:5" hidden="1">
      <c r="A81" s="2" t="s">
        <v>74</v>
      </c>
      <c r="B81" s="2" t="s">
        <v>3</v>
      </c>
      <c r="C81" s="3">
        <v>0</v>
      </c>
      <c r="D81" s="5"/>
      <c r="E81" s="10">
        <f t="shared" si="1"/>
        <v>0</v>
      </c>
    </row>
    <row r="82" spans="1:5" hidden="1">
      <c r="A82" s="2" t="s">
        <v>74</v>
      </c>
      <c r="B82" s="2" t="s">
        <v>9</v>
      </c>
      <c r="C82" s="3">
        <v>0</v>
      </c>
      <c r="D82" s="5"/>
      <c r="E82" s="10">
        <f t="shared" si="1"/>
        <v>0</v>
      </c>
    </row>
    <row r="83" spans="1:5" hidden="1">
      <c r="A83" s="2" t="s">
        <v>76</v>
      </c>
      <c r="B83" s="2" t="s">
        <v>3</v>
      </c>
      <c r="C83" s="3">
        <v>0</v>
      </c>
      <c r="D83" s="5"/>
      <c r="E83" s="10">
        <f t="shared" si="1"/>
        <v>0</v>
      </c>
    </row>
    <row r="84" spans="1:5" hidden="1">
      <c r="A84" s="2" t="s">
        <v>76</v>
      </c>
      <c r="B84" s="2" t="s">
        <v>9</v>
      </c>
      <c r="C84" s="3">
        <v>0</v>
      </c>
      <c r="D84" s="5"/>
      <c r="E84" s="10">
        <f t="shared" si="1"/>
        <v>0</v>
      </c>
    </row>
    <row r="85" spans="1:5">
      <c r="A85" s="2" t="s">
        <v>77</v>
      </c>
      <c r="B85" s="2" t="s">
        <v>3</v>
      </c>
      <c r="C85" s="3">
        <v>3</v>
      </c>
      <c r="D85" s="15">
        <v>47000</v>
      </c>
      <c r="E85" s="10">
        <f t="shared" si="1"/>
        <v>141000</v>
      </c>
    </row>
    <row r="86" spans="1:5">
      <c r="A86" s="2" t="s">
        <v>78</v>
      </c>
      <c r="B86" s="2" t="s">
        <v>3</v>
      </c>
      <c r="C86" s="3">
        <v>63</v>
      </c>
      <c r="D86" s="15">
        <v>35000</v>
      </c>
      <c r="E86" s="10">
        <f t="shared" si="1"/>
        <v>2205000</v>
      </c>
    </row>
    <row r="87" spans="1:5" hidden="1">
      <c r="A87" s="2" t="s">
        <v>78</v>
      </c>
      <c r="B87" s="2" t="s">
        <v>9</v>
      </c>
      <c r="C87" s="3">
        <v>0</v>
      </c>
      <c r="D87" s="5"/>
      <c r="E87" s="10">
        <f t="shared" si="1"/>
        <v>0</v>
      </c>
    </row>
    <row r="88" spans="1:5" hidden="1">
      <c r="A88" s="2" t="s">
        <v>79</v>
      </c>
      <c r="B88" s="2" t="s">
        <v>30</v>
      </c>
      <c r="C88" s="3">
        <v>0</v>
      </c>
      <c r="D88" s="5"/>
      <c r="E88" s="10">
        <f t="shared" si="1"/>
        <v>0</v>
      </c>
    </row>
    <row r="89" spans="1:5" hidden="1">
      <c r="A89" s="2" t="s">
        <v>80</v>
      </c>
      <c r="B89" s="2" t="s">
        <v>30</v>
      </c>
      <c r="C89" s="3">
        <v>0</v>
      </c>
      <c r="D89" s="5"/>
      <c r="E89" s="10">
        <f t="shared" si="1"/>
        <v>0</v>
      </c>
    </row>
    <row r="90" spans="1:5">
      <c r="A90" s="2" t="s">
        <v>81</v>
      </c>
      <c r="B90" s="2" t="s">
        <v>9</v>
      </c>
      <c r="C90" s="3">
        <v>370</v>
      </c>
      <c r="D90" s="15">
        <v>9000</v>
      </c>
      <c r="E90" s="10">
        <f t="shared" si="1"/>
        <v>3330000</v>
      </c>
    </row>
    <row r="91" spans="1:5">
      <c r="A91" s="2" t="s">
        <v>82</v>
      </c>
      <c r="B91" s="2" t="s">
        <v>9</v>
      </c>
      <c r="C91" s="3">
        <v>270</v>
      </c>
      <c r="D91" s="15">
        <v>11361</v>
      </c>
      <c r="E91" s="10">
        <f t="shared" si="1"/>
        <v>3067470</v>
      </c>
    </row>
    <row r="92" spans="1:5">
      <c r="A92" s="2" t="s">
        <v>83</v>
      </c>
      <c r="B92" s="2" t="s">
        <v>9</v>
      </c>
      <c r="C92" s="3">
        <v>53</v>
      </c>
      <c r="D92" s="15">
        <v>100000</v>
      </c>
      <c r="E92" s="10">
        <f t="shared" si="1"/>
        <v>5300000</v>
      </c>
    </row>
    <row r="93" spans="1:5" hidden="1">
      <c r="A93" s="2" t="s">
        <v>84</v>
      </c>
      <c r="B93" s="2" t="s">
        <v>3</v>
      </c>
      <c r="C93" s="3">
        <v>0</v>
      </c>
      <c r="D93" s="5"/>
      <c r="E93" s="10">
        <f t="shared" si="1"/>
        <v>0</v>
      </c>
    </row>
    <row r="94" spans="1:5" hidden="1">
      <c r="A94" s="2" t="s">
        <v>85</v>
      </c>
      <c r="B94" s="2" t="s">
        <v>3</v>
      </c>
      <c r="C94" s="3">
        <v>0</v>
      </c>
      <c r="D94" s="5"/>
      <c r="E94" s="10">
        <f t="shared" si="1"/>
        <v>0</v>
      </c>
    </row>
    <row r="95" spans="1:5">
      <c r="A95" s="2" t="s">
        <v>86</v>
      </c>
      <c r="B95" s="2" t="s">
        <v>9</v>
      </c>
      <c r="C95" s="3">
        <v>21</v>
      </c>
      <c r="D95" s="15">
        <v>26000</v>
      </c>
      <c r="E95" s="10">
        <f t="shared" si="1"/>
        <v>546000</v>
      </c>
    </row>
    <row r="96" spans="1:5">
      <c r="A96" s="2" t="s">
        <v>87</v>
      </c>
      <c r="B96" s="2" t="s">
        <v>3</v>
      </c>
      <c r="C96" s="3">
        <v>100</v>
      </c>
      <c r="D96" s="15">
        <v>6000</v>
      </c>
      <c r="E96" s="10">
        <f t="shared" si="1"/>
        <v>600000</v>
      </c>
    </row>
    <row r="97" spans="1:5">
      <c r="A97" s="2" t="s">
        <v>88</v>
      </c>
      <c r="B97" s="2" t="s">
        <v>3</v>
      </c>
      <c r="C97" s="3">
        <v>20</v>
      </c>
      <c r="D97" s="15">
        <v>12000</v>
      </c>
      <c r="E97" s="10">
        <f t="shared" si="1"/>
        <v>240000</v>
      </c>
    </row>
    <row r="98" spans="1:5" hidden="1">
      <c r="A98" s="2" t="s">
        <v>89</v>
      </c>
      <c r="B98" s="2" t="s">
        <v>3</v>
      </c>
      <c r="C98" s="3">
        <v>0</v>
      </c>
      <c r="D98" s="5"/>
      <c r="E98" s="10">
        <f t="shared" si="1"/>
        <v>0</v>
      </c>
    </row>
    <row r="99" spans="1:5">
      <c r="A99" s="2" t="s">
        <v>90</v>
      </c>
      <c r="B99" s="2" t="s">
        <v>40</v>
      </c>
      <c r="C99" s="3">
        <v>20</v>
      </c>
      <c r="D99" s="15">
        <v>6800</v>
      </c>
      <c r="E99" s="10">
        <f t="shared" si="1"/>
        <v>136000</v>
      </c>
    </row>
    <row r="100" spans="1:5" hidden="1">
      <c r="A100" s="2" t="s">
        <v>91</v>
      </c>
      <c r="B100" s="2" t="s">
        <v>3</v>
      </c>
      <c r="C100" s="3">
        <v>0</v>
      </c>
      <c r="D100" s="5"/>
      <c r="E100" s="10">
        <f t="shared" si="1"/>
        <v>0</v>
      </c>
    </row>
    <row r="101" spans="1:5" hidden="1">
      <c r="A101" s="2" t="s">
        <v>92</v>
      </c>
      <c r="B101" s="2" t="s">
        <v>40</v>
      </c>
      <c r="C101" s="3">
        <v>0</v>
      </c>
      <c r="D101" s="5"/>
      <c r="E101" s="10">
        <f t="shared" si="1"/>
        <v>0</v>
      </c>
    </row>
    <row r="102" spans="1:5" hidden="1">
      <c r="A102" s="2" t="s">
        <v>93</v>
      </c>
      <c r="B102" s="2" t="s">
        <v>3</v>
      </c>
      <c r="C102" s="3">
        <v>0</v>
      </c>
      <c r="D102" s="5"/>
      <c r="E102" s="10">
        <f t="shared" si="1"/>
        <v>0</v>
      </c>
    </row>
    <row r="103" spans="1:5" hidden="1">
      <c r="A103" s="2" t="s">
        <v>94</v>
      </c>
      <c r="B103" s="2" t="s">
        <v>3</v>
      </c>
      <c r="C103" s="3">
        <v>0</v>
      </c>
      <c r="D103" s="5"/>
      <c r="E103" s="10">
        <f t="shared" si="1"/>
        <v>0</v>
      </c>
    </row>
    <row r="104" spans="1:5">
      <c r="A104" s="2" t="s">
        <v>95</v>
      </c>
      <c r="B104" s="2" t="s">
        <v>40</v>
      </c>
      <c r="C104" s="3">
        <v>10</v>
      </c>
      <c r="D104" s="15">
        <v>6800</v>
      </c>
      <c r="E104" s="10">
        <f t="shared" si="1"/>
        <v>68000</v>
      </c>
    </row>
    <row r="105" spans="1:5">
      <c r="A105" s="11" t="e">
        <v>#N/A</v>
      </c>
      <c r="B105" s="11">
        <v>0</v>
      </c>
      <c r="C105" s="12">
        <v>9301</v>
      </c>
      <c r="D105" s="17"/>
      <c r="E105" s="25">
        <f>SUM(E2:E104)</f>
        <v>151524870</v>
      </c>
    </row>
    <row r="106" spans="1:5" ht="62.4">
      <c r="A106" s="9" t="s">
        <v>104</v>
      </c>
      <c r="B106" s="6" t="s">
        <v>0</v>
      </c>
      <c r="C106" s="7" t="s">
        <v>1</v>
      </c>
      <c r="D106" s="14" t="s">
        <v>102</v>
      </c>
      <c r="E106" s="8" t="s">
        <v>103</v>
      </c>
    </row>
    <row r="107" spans="1:5">
      <c r="A107" s="2" t="s">
        <v>2</v>
      </c>
      <c r="B107" s="2" t="s">
        <v>3</v>
      </c>
      <c r="C107" s="4">
        <v>5.5</v>
      </c>
      <c r="D107" s="15">
        <v>8000</v>
      </c>
      <c r="E107" s="10">
        <f t="shared" si="1"/>
        <v>44000</v>
      </c>
    </row>
    <row r="108" spans="1:5">
      <c r="A108" s="2" t="s">
        <v>4</v>
      </c>
      <c r="B108" s="2" t="s">
        <v>3</v>
      </c>
      <c r="C108" s="4">
        <v>430</v>
      </c>
      <c r="D108" s="15">
        <v>6000</v>
      </c>
      <c r="E108" s="10">
        <f t="shared" si="1"/>
        <v>2580000</v>
      </c>
    </row>
    <row r="109" spans="1:5">
      <c r="A109" s="2" t="s">
        <v>5</v>
      </c>
      <c r="B109" s="2" t="s">
        <v>3</v>
      </c>
      <c r="C109" s="4">
        <v>44</v>
      </c>
      <c r="D109" s="15">
        <v>6000</v>
      </c>
      <c r="E109" s="10">
        <f t="shared" si="1"/>
        <v>264000</v>
      </c>
    </row>
    <row r="110" spans="1:5">
      <c r="A110" s="2" t="s">
        <v>7</v>
      </c>
      <c r="B110" s="2" t="s">
        <v>3</v>
      </c>
      <c r="C110" s="4">
        <v>33</v>
      </c>
      <c r="D110" s="15">
        <v>11000</v>
      </c>
      <c r="E110" s="10">
        <f t="shared" si="1"/>
        <v>363000</v>
      </c>
    </row>
    <row r="111" spans="1:5" hidden="1">
      <c r="A111" s="2" t="s">
        <v>8</v>
      </c>
      <c r="B111" s="2" t="s">
        <v>3</v>
      </c>
      <c r="C111" s="4">
        <v>0</v>
      </c>
      <c r="D111" s="5"/>
      <c r="E111" s="10">
        <f t="shared" si="1"/>
        <v>0</v>
      </c>
    </row>
    <row r="112" spans="1:5" hidden="1">
      <c r="A112" s="2" t="s">
        <v>97</v>
      </c>
      <c r="B112" s="2" t="s">
        <v>3</v>
      </c>
      <c r="C112" s="4">
        <v>0</v>
      </c>
      <c r="D112" s="5"/>
      <c r="E112" s="10">
        <f t="shared" si="1"/>
        <v>0</v>
      </c>
    </row>
    <row r="113" spans="1:5">
      <c r="A113" s="2" t="s">
        <v>18</v>
      </c>
      <c r="B113" s="2" t="s">
        <v>3</v>
      </c>
      <c r="C113" s="4">
        <v>27.5</v>
      </c>
      <c r="D113" s="15">
        <v>16000</v>
      </c>
      <c r="E113" s="10">
        <f t="shared" si="1"/>
        <v>440000</v>
      </c>
    </row>
    <row r="114" spans="1:5" hidden="1">
      <c r="A114" s="2" t="s">
        <v>28</v>
      </c>
      <c r="B114" s="2" t="s">
        <v>3</v>
      </c>
      <c r="C114" s="4">
        <v>0</v>
      </c>
      <c r="D114" s="5"/>
      <c r="E114" s="10">
        <f t="shared" si="1"/>
        <v>0</v>
      </c>
    </row>
    <row r="115" spans="1:5">
      <c r="A115" s="2" t="s">
        <v>31</v>
      </c>
      <c r="B115" s="2" t="s">
        <v>3</v>
      </c>
      <c r="C115" s="4">
        <v>66</v>
      </c>
      <c r="D115" s="15">
        <v>9500</v>
      </c>
      <c r="E115" s="10">
        <f t="shared" si="1"/>
        <v>627000</v>
      </c>
    </row>
    <row r="116" spans="1:5">
      <c r="A116" s="2" t="s">
        <v>33</v>
      </c>
      <c r="B116" s="2" t="s">
        <v>3</v>
      </c>
      <c r="C116" s="4">
        <v>5.5</v>
      </c>
      <c r="D116" s="15">
        <v>8000</v>
      </c>
      <c r="E116" s="10">
        <f t="shared" si="1"/>
        <v>44000</v>
      </c>
    </row>
    <row r="117" spans="1:5">
      <c r="A117" s="2" t="s">
        <v>38</v>
      </c>
      <c r="B117" s="2" t="s">
        <v>3</v>
      </c>
      <c r="C117" s="4">
        <v>44</v>
      </c>
      <c r="D117" s="15">
        <v>7000</v>
      </c>
      <c r="E117" s="10">
        <f t="shared" si="1"/>
        <v>308000</v>
      </c>
    </row>
    <row r="118" spans="1:5" hidden="1">
      <c r="A118" s="2" t="s">
        <v>98</v>
      </c>
      <c r="B118" s="2" t="s">
        <v>3</v>
      </c>
      <c r="C118" s="4">
        <v>0</v>
      </c>
      <c r="D118" s="5"/>
      <c r="E118" s="10">
        <f t="shared" si="1"/>
        <v>0</v>
      </c>
    </row>
    <row r="119" spans="1:5">
      <c r="A119" s="2" t="s">
        <v>99</v>
      </c>
      <c r="B119" s="2" t="s">
        <v>3</v>
      </c>
      <c r="C119" s="4">
        <v>180</v>
      </c>
      <c r="D119" s="15">
        <v>4000</v>
      </c>
      <c r="E119" s="10">
        <f t="shared" si="1"/>
        <v>720000</v>
      </c>
    </row>
    <row r="120" spans="1:5" hidden="1">
      <c r="A120" s="2" t="s">
        <v>39</v>
      </c>
      <c r="B120" s="2" t="s">
        <v>3</v>
      </c>
      <c r="C120" s="4">
        <v>0</v>
      </c>
      <c r="D120" s="5"/>
      <c r="E120" s="10">
        <f t="shared" si="1"/>
        <v>0</v>
      </c>
    </row>
    <row r="121" spans="1:5">
      <c r="A121" s="2" t="s">
        <v>100</v>
      </c>
      <c r="B121" s="2" t="s">
        <v>3</v>
      </c>
      <c r="C121" s="4">
        <v>13</v>
      </c>
      <c r="D121" s="15">
        <v>27000</v>
      </c>
      <c r="E121" s="10">
        <f t="shared" si="1"/>
        <v>351000</v>
      </c>
    </row>
    <row r="122" spans="1:5">
      <c r="A122" s="2" t="s">
        <v>41</v>
      </c>
      <c r="B122" s="2" t="s">
        <v>3</v>
      </c>
      <c r="C122" s="4">
        <v>13</v>
      </c>
      <c r="D122" s="15">
        <v>14000</v>
      </c>
      <c r="E122" s="10">
        <f t="shared" si="1"/>
        <v>182000</v>
      </c>
    </row>
    <row r="123" spans="1:5">
      <c r="A123" s="2" t="s">
        <v>44</v>
      </c>
      <c r="B123" s="2" t="s">
        <v>3</v>
      </c>
      <c r="C123" s="4">
        <v>44</v>
      </c>
      <c r="D123" s="15">
        <v>6000</v>
      </c>
      <c r="E123" s="10">
        <f t="shared" si="1"/>
        <v>264000</v>
      </c>
    </row>
    <row r="124" spans="1:5">
      <c r="A124" s="2" t="s">
        <v>45</v>
      </c>
      <c r="B124" s="2" t="s">
        <v>3</v>
      </c>
      <c r="C124" s="4">
        <v>4.4000000000000004</v>
      </c>
      <c r="D124" s="15">
        <v>11000</v>
      </c>
      <c r="E124" s="10">
        <f t="shared" si="1"/>
        <v>48400.000000000007</v>
      </c>
    </row>
    <row r="125" spans="1:5">
      <c r="A125" s="2" t="s">
        <v>47</v>
      </c>
      <c r="B125" s="2" t="s">
        <v>3</v>
      </c>
      <c r="C125" s="4">
        <v>44</v>
      </c>
      <c r="D125" s="15">
        <v>10000</v>
      </c>
      <c r="E125" s="10">
        <f t="shared" si="1"/>
        <v>440000</v>
      </c>
    </row>
    <row r="126" spans="1:5" hidden="1">
      <c r="A126" s="2" t="s">
        <v>53</v>
      </c>
      <c r="B126" s="2" t="s">
        <v>3</v>
      </c>
      <c r="C126" s="4">
        <v>0</v>
      </c>
      <c r="D126" s="5"/>
      <c r="E126" s="10">
        <f t="shared" si="1"/>
        <v>0</v>
      </c>
    </row>
    <row r="127" spans="1:5">
      <c r="A127" s="2" t="s">
        <v>56</v>
      </c>
      <c r="B127" s="2" t="s">
        <v>3</v>
      </c>
      <c r="C127" s="4">
        <v>60.5</v>
      </c>
      <c r="D127" s="15">
        <v>15000</v>
      </c>
      <c r="E127" s="10">
        <f t="shared" si="1"/>
        <v>907500</v>
      </c>
    </row>
    <row r="128" spans="1:5" hidden="1">
      <c r="A128" s="2" t="s">
        <v>58</v>
      </c>
      <c r="B128" s="2" t="s">
        <v>3</v>
      </c>
      <c r="C128" s="4">
        <v>0</v>
      </c>
      <c r="D128" s="5"/>
      <c r="E128" s="10">
        <f t="shared" si="1"/>
        <v>0</v>
      </c>
    </row>
    <row r="129" spans="1:5" hidden="1">
      <c r="A129" s="2" t="s">
        <v>59</v>
      </c>
      <c r="B129" s="2" t="s">
        <v>30</v>
      </c>
      <c r="C129" s="4">
        <v>0</v>
      </c>
      <c r="D129" s="5"/>
      <c r="E129" s="10">
        <f t="shared" si="1"/>
        <v>0</v>
      </c>
    </row>
    <row r="130" spans="1:5">
      <c r="A130" s="2" t="s">
        <v>60</v>
      </c>
      <c r="B130" s="2" t="s">
        <v>30</v>
      </c>
      <c r="C130" s="4">
        <v>15</v>
      </c>
      <c r="D130" s="15">
        <v>7500</v>
      </c>
      <c r="E130" s="10">
        <f t="shared" si="1"/>
        <v>112500</v>
      </c>
    </row>
    <row r="131" spans="1:5" hidden="1">
      <c r="A131" s="2" t="s">
        <v>65</v>
      </c>
      <c r="B131" s="2" t="s">
        <v>3</v>
      </c>
      <c r="C131" s="4">
        <v>0</v>
      </c>
      <c r="D131" s="5"/>
      <c r="E131" s="10">
        <f t="shared" ref="E131:E143" si="2">+D131*C131</f>
        <v>0</v>
      </c>
    </row>
    <row r="132" spans="1:5">
      <c r="A132" s="2" t="s">
        <v>65</v>
      </c>
      <c r="B132" s="2" t="s">
        <v>17</v>
      </c>
      <c r="C132" s="4">
        <v>35</v>
      </c>
      <c r="D132" s="15">
        <v>6500</v>
      </c>
      <c r="E132" s="10">
        <f t="shared" si="2"/>
        <v>227500</v>
      </c>
    </row>
    <row r="133" spans="1:5" hidden="1">
      <c r="A133" s="2" t="s">
        <v>68</v>
      </c>
      <c r="B133" s="2" t="s">
        <v>3</v>
      </c>
      <c r="C133" s="4">
        <v>0</v>
      </c>
      <c r="D133" s="5"/>
      <c r="E133" s="10">
        <f t="shared" si="2"/>
        <v>0</v>
      </c>
    </row>
    <row r="134" spans="1:5" hidden="1">
      <c r="A134" s="2" t="s">
        <v>69</v>
      </c>
      <c r="B134" s="2" t="s">
        <v>3</v>
      </c>
      <c r="C134" s="4">
        <v>0</v>
      </c>
      <c r="D134" s="5"/>
      <c r="E134" s="10">
        <f t="shared" si="2"/>
        <v>0</v>
      </c>
    </row>
    <row r="135" spans="1:5" hidden="1">
      <c r="A135" s="2" t="s">
        <v>101</v>
      </c>
      <c r="B135" s="2" t="s">
        <v>3</v>
      </c>
      <c r="C135" s="4">
        <v>0</v>
      </c>
      <c r="D135" s="5"/>
      <c r="E135" s="10">
        <f t="shared" si="2"/>
        <v>0</v>
      </c>
    </row>
    <row r="136" spans="1:5" hidden="1">
      <c r="A136" s="2" t="s">
        <v>74</v>
      </c>
      <c r="B136" s="2" t="s">
        <v>3</v>
      </c>
      <c r="C136" s="4">
        <v>0</v>
      </c>
      <c r="D136" s="5"/>
      <c r="E136" s="10">
        <f t="shared" si="2"/>
        <v>0</v>
      </c>
    </row>
    <row r="137" spans="1:5" hidden="1">
      <c r="A137" s="2" t="s">
        <v>76</v>
      </c>
      <c r="B137" s="2" t="s">
        <v>3</v>
      </c>
      <c r="C137" s="4">
        <v>0</v>
      </c>
      <c r="D137" s="5"/>
      <c r="E137" s="10">
        <f t="shared" si="2"/>
        <v>0</v>
      </c>
    </row>
    <row r="138" spans="1:5">
      <c r="A138" s="2" t="s">
        <v>78</v>
      </c>
      <c r="B138" s="2" t="s">
        <v>3</v>
      </c>
      <c r="C138" s="4">
        <v>2.2000000000000002</v>
      </c>
      <c r="D138" s="15">
        <v>32000</v>
      </c>
      <c r="E138" s="10">
        <f t="shared" si="2"/>
        <v>70400</v>
      </c>
    </row>
    <row r="139" spans="1:5">
      <c r="A139" s="2" t="s">
        <v>87</v>
      </c>
      <c r="B139" s="2" t="s">
        <v>3</v>
      </c>
      <c r="C139" s="4">
        <v>16.5</v>
      </c>
      <c r="D139" s="15">
        <v>7000</v>
      </c>
      <c r="E139" s="10">
        <f t="shared" si="2"/>
        <v>115500</v>
      </c>
    </row>
    <row r="140" spans="1:5" hidden="1">
      <c r="A140" s="2" t="s">
        <v>89</v>
      </c>
      <c r="B140" s="2" t="s">
        <v>40</v>
      </c>
      <c r="C140" s="4">
        <v>0</v>
      </c>
      <c r="D140" s="5"/>
      <c r="E140" s="10">
        <f t="shared" si="2"/>
        <v>0</v>
      </c>
    </row>
    <row r="141" spans="1:5" hidden="1">
      <c r="A141" s="2" t="s">
        <v>90</v>
      </c>
      <c r="B141" s="2" t="s">
        <v>40</v>
      </c>
      <c r="C141" s="4">
        <v>0</v>
      </c>
      <c r="D141" s="5"/>
      <c r="E141" s="10">
        <f t="shared" si="2"/>
        <v>0</v>
      </c>
    </row>
    <row r="142" spans="1:5" hidden="1">
      <c r="A142" s="2" t="s">
        <v>92</v>
      </c>
      <c r="B142" s="2" t="s">
        <v>40</v>
      </c>
      <c r="C142" s="4">
        <v>0</v>
      </c>
      <c r="D142" s="5"/>
      <c r="E142" s="10">
        <f t="shared" si="2"/>
        <v>0</v>
      </c>
    </row>
    <row r="143" spans="1:5" hidden="1">
      <c r="A143" s="2" t="s">
        <v>95</v>
      </c>
      <c r="B143" s="2" t="s">
        <v>40</v>
      </c>
      <c r="C143" s="4">
        <v>0</v>
      </c>
      <c r="D143" s="5"/>
      <c r="E143" s="10">
        <f t="shared" si="2"/>
        <v>0</v>
      </c>
    </row>
    <row r="144" spans="1:5">
      <c r="A144" s="11" t="e">
        <v>#N/A</v>
      </c>
      <c r="B144" s="11">
        <v>0</v>
      </c>
      <c r="C144" s="13">
        <v>1083.0999999999999</v>
      </c>
      <c r="D144" s="17"/>
      <c r="E144" s="25">
        <f>SUM(E107:E143)</f>
        <v>8108800</v>
      </c>
    </row>
    <row r="145" spans="5:5">
      <c r="E145" s="26">
        <f>+E144+E105</f>
        <v>159633670</v>
      </c>
    </row>
  </sheetData>
  <autoFilter ref="A1:E145">
    <filterColumn colId="2">
      <filters blank="1">
        <filter val="1"/>
        <filter val="1,015"/>
        <filter val="1,680"/>
        <filter val="1,924"/>
        <filter val="10"/>
        <filter val="100"/>
        <filter val="1083.1"/>
        <filter val="11"/>
        <filter val="12"/>
        <filter val="13"/>
        <filter val="15"/>
        <filter val="150"/>
        <filter val="16.5"/>
        <filter val="180"/>
        <filter val="186"/>
        <filter val="2"/>
        <filter val="2.2"/>
        <filter val="20"/>
        <filter val="21"/>
        <filter val="22"/>
        <filter val="23"/>
        <filter val="257"/>
        <filter val="27.5"/>
        <filter val="270"/>
        <filter val="272"/>
        <filter val="28"/>
        <filter val="3"/>
        <filter val="302"/>
        <filter val="31"/>
        <filter val="33"/>
        <filter val="35"/>
        <filter val="370"/>
        <filter val="4.4"/>
        <filter val="430"/>
        <filter val="44"/>
        <filter val="45"/>
        <filter val="5.5"/>
        <filter val="51"/>
        <filter val="53"/>
        <filter val="60"/>
        <filter val="60.5"/>
        <filter val="62"/>
        <filter val="63"/>
        <filter val="64"/>
        <filter val="66"/>
        <filter val="661"/>
        <filter val="69"/>
        <filter val="70"/>
        <filter val="71"/>
        <filter val="76"/>
        <filter val="8"/>
        <filter val="85"/>
        <filter val="851"/>
        <filter val="9,301"/>
        <filter val="Tồn_x000a_ĐL_x000a__x000a_現在個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153"/>
  <sheetViews>
    <sheetView topLeftCell="A98" workbookViewId="0">
      <selection activeCell="E153" sqref="E153"/>
    </sheetView>
  </sheetViews>
  <sheetFormatPr defaultRowHeight="13.8"/>
  <cols>
    <col min="1" max="1" width="23.8984375" customWidth="1"/>
    <col min="5" max="5" width="16.19921875" customWidth="1"/>
  </cols>
  <sheetData>
    <row r="1" spans="1:5">
      <c r="A1" s="27" t="s">
        <v>123</v>
      </c>
    </row>
    <row r="2" spans="1:5">
      <c r="A2" t="s">
        <v>104</v>
      </c>
      <c r="B2" t="s">
        <v>0</v>
      </c>
      <c r="C2" t="s">
        <v>111</v>
      </c>
      <c r="D2" t="s">
        <v>112</v>
      </c>
      <c r="E2" t="s">
        <v>113</v>
      </c>
    </row>
    <row r="3" spans="1:5" hidden="1">
      <c r="A3" t="s">
        <v>2</v>
      </c>
      <c r="B3" t="s">
        <v>3</v>
      </c>
      <c r="C3">
        <v>0</v>
      </c>
      <c r="E3">
        <f>C3*D3</f>
        <v>0</v>
      </c>
    </row>
    <row r="4" spans="1:5" hidden="1">
      <c r="A4" t="s">
        <v>4</v>
      </c>
      <c r="B4" t="s">
        <v>3</v>
      </c>
      <c r="C4">
        <v>0</v>
      </c>
      <c r="E4">
        <f t="shared" ref="E4:E67" si="0">C4*D4</f>
        <v>0</v>
      </c>
    </row>
    <row r="5" spans="1:5">
      <c r="A5" t="s">
        <v>5</v>
      </c>
      <c r="B5" t="s">
        <v>3</v>
      </c>
      <c r="C5">
        <v>360</v>
      </c>
      <c r="D5">
        <v>6000</v>
      </c>
      <c r="E5">
        <f t="shared" si="0"/>
        <v>2160000</v>
      </c>
    </row>
    <row r="6" spans="1:5">
      <c r="A6" t="s">
        <v>96</v>
      </c>
      <c r="B6" t="s">
        <v>3</v>
      </c>
      <c r="C6">
        <v>15</v>
      </c>
      <c r="D6">
        <v>10000</v>
      </c>
      <c r="E6">
        <f t="shared" si="0"/>
        <v>150000</v>
      </c>
    </row>
    <row r="7" spans="1:5">
      <c r="A7" t="s">
        <v>6</v>
      </c>
      <c r="B7" t="s">
        <v>3</v>
      </c>
      <c r="C7">
        <v>4</v>
      </c>
      <c r="D7">
        <v>8000</v>
      </c>
      <c r="E7">
        <f t="shared" si="0"/>
        <v>32000</v>
      </c>
    </row>
    <row r="8" spans="1:5">
      <c r="A8" t="s">
        <v>7</v>
      </c>
      <c r="B8" t="s">
        <v>3</v>
      </c>
      <c r="C8">
        <v>198</v>
      </c>
      <c r="D8">
        <v>11000</v>
      </c>
      <c r="E8">
        <f t="shared" si="0"/>
        <v>2178000</v>
      </c>
    </row>
    <row r="9" spans="1:5">
      <c r="A9" t="s">
        <v>116</v>
      </c>
      <c r="B9" t="s">
        <v>3</v>
      </c>
      <c r="C9">
        <v>2</v>
      </c>
      <c r="D9">
        <v>12000</v>
      </c>
      <c r="E9">
        <f t="shared" si="0"/>
        <v>24000</v>
      </c>
    </row>
    <row r="10" spans="1:5">
      <c r="A10" t="s">
        <v>8</v>
      </c>
      <c r="B10" t="s">
        <v>3</v>
      </c>
      <c r="C10">
        <v>155</v>
      </c>
      <c r="D10">
        <v>12000</v>
      </c>
      <c r="E10">
        <f t="shared" si="0"/>
        <v>1860000</v>
      </c>
    </row>
    <row r="11" spans="1:5" hidden="1">
      <c r="A11" t="s">
        <v>8</v>
      </c>
      <c r="B11" t="s">
        <v>9</v>
      </c>
      <c r="C11">
        <v>0</v>
      </c>
      <c r="E11">
        <f t="shared" si="0"/>
        <v>0</v>
      </c>
    </row>
    <row r="12" spans="1:5">
      <c r="A12" t="s">
        <v>10</v>
      </c>
      <c r="B12" t="s">
        <v>3</v>
      </c>
      <c r="C12">
        <v>15</v>
      </c>
      <c r="D12">
        <v>14000</v>
      </c>
      <c r="E12">
        <f t="shared" si="0"/>
        <v>210000</v>
      </c>
    </row>
    <row r="13" spans="1:5" hidden="1">
      <c r="A13" t="s">
        <v>10</v>
      </c>
      <c r="B13" t="s">
        <v>9</v>
      </c>
      <c r="C13">
        <v>0</v>
      </c>
      <c r="E13">
        <f t="shared" si="0"/>
        <v>0</v>
      </c>
    </row>
    <row r="14" spans="1:5" hidden="1">
      <c r="A14" t="s">
        <v>11</v>
      </c>
      <c r="B14" t="s">
        <v>3</v>
      </c>
      <c r="C14">
        <v>0</v>
      </c>
      <c r="E14">
        <f t="shared" si="0"/>
        <v>0</v>
      </c>
    </row>
    <row r="15" spans="1:5">
      <c r="A15" t="s">
        <v>12</v>
      </c>
      <c r="B15" t="s">
        <v>3</v>
      </c>
      <c r="C15">
        <v>40</v>
      </c>
      <c r="D15">
        <v>10000</v>
      </c>
      <c r="E15">
        <f t="shared" si="0"/>
        <v>400000</v>
      </c>
    </row>
    <row r="16" spans="1:5" hidden="1">
      <c r="A16" t="s">
        <v>13</v>
      </c>
      <c r="B16" t="s">
        <v>3</v>
      </c>
      <c r="C16">
        <v>0</v>
      </c>
      <c r="E16">
        <f t="shared" si="0"/>
        <v>0</v>
      </c>
    </row>
    <row r="17" spans="1:5" hidden="1">
      <c r="A17" t="s">
        <v>14</v>
      </c>
      <c r="B17" t="s">
        <v>3</v>
      </c>
      <c r="C17">
        <v>0</v>
      </c>
      <c r="E17">
        <f t="shared" si="0"/>
        <v>0</v>
      </c>
    </row>
    <row r="18" spans="1:5">
      <c r="A18" t="s">
        <v>117</v>
      </c>
      <c r="B18" t="s">
        <v>40</v>
      </c>
      <c r="C18">
        <v>143</v>
      </c>
      <c r="D18">
        <v>10000</v>
      </c>
      <c r="E18">
        <f t="shared" si="0"/>
        <v>1430000</v>
      </c>
    </row>
    <row r="19" spans="1:5">
      <c r="A19" t="s">
        <v>15</v>
      </c>
      <c r="B19" t="s">
        <v>3</v>
      </c>
      <c r="C19">
        <v>32</v>
      </c>
      <c r="D19">
        <v>22000</v>
      </c>
      <c r="E19">
        <f t="shared" si="0"/>
        <v>704000</v>
      </c>
    </row>
    <row r="20" spans="1:5">
      <c r="A20" t="s">
        <v>16</v>
      </c>
      <c r="B20" t="s">
        <v>17</v>
      </c>
      <c r="C20">
        <v>45</v>
      </c>
      <c r="D20">
        <v>6000</v>
      </c>
      <c r="E20">
        <f t="shared" si="0"/>
        <v>270000</v>
      </c>
    </row>
    <row r="21" spans="1:5">
      <c r="A21" t="s">
        <v>18</v>
      </c>
      <c r="B21" t="s">
        <v>3</v>
      </c>
      <c r="C21">
        <v>248</v>
      </c>
      <c r="D21">
        <v>13000</v>
      </c>
      <c r="E21">
        <f t="shared" si="0"/>
        <v>3224000</v>
      </c>
    </row>
    <row r="22" spans="1:5" hidden="1">
      <c r="A22" t="s">
        <v>18</v>
      </c>
      <c r="B22" t="s">
        <v>17</v>
      </c>
      <c r="C22">
        <v>0</v>
      </c>
      <c r="E22">
        <f t="shared" si="0"/>
        <v>0</v>
      </c>
    </row>
    <row r="23" spans="1:5" hidden="1">
      <c r="A23" t="s">
        <v>18</v>
      </c>
      <c r="B23" t="s">
        <v>19</v>
      </c>
      <c r="C23">
        <v>0</v>
      </c>
      <c r="E23">
        <f t="shared" si="0"/>
        <v>0</v>
      </c>
    </row>
    <row r="24" spans="1:5">
      <c r="A24" t="s">
        <v>20</v>
      </c>
      <c r="B24" t="s">
        <v>3</v>
      </c>
      <c r="C24">
        <v>10</v>
      </c>
      <c r="D24">
        <v>12000</v>
      </c>
      <c r="E24">
        <f t="shared" si="0"/>
        <v>120000</v>
      </c>
    </row>
    <row r="25" spans="1:5" hidden="1">
      <c r="A25" t="s">
        <v>20</v>
      </c>
      <c r="B25" t="s">
        <v>21</v>
      </c>
      <c r="C25">
        <v>0</v>
      </c>
      <c r="E25">
        <f t="shared" si="0"/>
        <v>0</v>
      </c>
    </row>
    <row r="26" spans="1:5" hidden="1">
      <c r="A26" t="s">
        <v>22</v>
      </c>
      <c r="B26" t="s">
        <v>3</v>
      </c>
      <c r="C26">
        <v>0</v>
      </c>
      <c r="E26">
        <f t="shared" si="0"/>
        <v>0</v>
      </c>
    </row>
    <row r="27" spans="1:5">
      <c r="A27" t="s">
        <v>22</v>
      </c>
      <c r="B27" t="s">
        <v>23</v>
      </c>
      <c r="C27">
        <v>80</v>
      </c>
      <c r="D27">
        <v>5400</v>
      </c>
      <c r="E27">
        <f t="shared" si="0"/>
        <v>432000</v>
      </c>
    </row>
    <row r="28" spans="1:5">
      <c r="A28" t="s">
        <v>24</v>
      </c>
      <c r="B28" t="s">
        <v>25</v>
      </c>
      <c r="C28">
        <v>9</v>
      </c>
      <c r="D28">
        <v>11400</v>
      </c>
      <c r="E28">
        <f t="shared" si="0"/>
        <v>102600</v>
      </c>
    </row>
    <row r="29" spans="1:5" hidden="1">
      <c r="A29" t="s">
        <v>26</v>
      </c>
      <c r="B29" t="s">
        <v>3</v>
      </c>
      <c r="C29">
        <v>0</v>
      </c>
      <c r="E29">
        <f t="shared" si="0"/>
        <v>0</v>
      </c>
    </row>
    <row r="30" spans="1:5">
      <c r="A30" t="s">
        <v>26</v>
      </c>
      <c r="B30" t="s">
        <v>27</v>
      </c>
      <c r="C30">
        <v>405</v>
      </c>
      <c r="D30">
        <v>7500</v>
      </c>
      <c r="E30">
        <f t="shared" si="0"/>
        <v>3037500</v>
      </c>
    </row>
    <row r="31" spans="1:5" hidden="1">
      <c r="A31" t="s">
        <v>28</v>
      </c>
      <c r="B31" t="s">
        <v>3</v>
      </c>
      <c r="C31">
        <v>0</v>
      </c>
      <c r="E31">
        <f t="shared" si="0"/>
        <v>0</v>
      </c>
    </row>
    <row r="32" spans="1:5" hidden="1">
      <c r="A32" t="s">
        <v>28</v>
      </c>
      <c r="B32" t="s">
        <v>17</v>
      </c>
      <c r="C32">
        <v>0</v>
      </c>
      <c r="E32">
        <f t="shared" si="0"/>
        <v>0</v>
      </c>
    </row>
    <row r="33" spans="1:5">
      <c r="A33" t="s">
        <v>29</v>
      </c>
      <c r="B33" t="s">
        <v>30</v>
      </c>
      <c r="C33">
        <v>140</v>
      </c>
      <c r="D33">
        <v>7000</v>
      </c>
      <c r="E33">
        <f t="shared" si="0"/>
        <v>980000</v>
      </c>
    </row>
    <row r="34" spans="1:5">
      <c r="A34" t="s">
        <v>31</v>
      </c>
      <c r="B34" t="s">
        <v>3</v>
      </c>
      <c r="C34">
        <v>350</v>
      </c>
      <c r="D34">
        <v>9500</v>
      </c>
      <c r="E34">
        <f t="shared" si="0"/>
        <v>3325000</v>
      </c>
    </row>
    <row r="35" spans="1:5" hidden="1">
      <c r="A35" t="s">
        <v>31</v>
      </c>
      <c r="B35" t="s">
        <v>30</v>
      </c>
      <c r="C35">
        <v>0</v>
      </c>
      <c r="E35">
        <f t="shared" si="0"/>
        <v>0</v>
      </c>
    </row>
    <row r="36" spans="1:5" hidden="1">
      <c r="A36" t="s">
        <v>32</v>
      </c>
      <c r="B36" t="s">
        <v>17</v>
      </c>
      <c r="C36">
        <v>0</v>
      </c>
      <c r="E36">
        <f t="shared" si="0"/>
        <v>0</v>
      </c>
    </row>
    <row r="37" spans="1:5">
      <c r="A37" t="s">
        <v>33</v>
      </c>
      <c r="B37" t="s">
        <v>3</v>
      </c>
      <c r="C37">
        <v>10</v>
      </c>
      <c r="D37">
        <v>8000</v>
      </c>
      <c r="E37">
        <f t="shared" si="0"/>
        <v>80000</v>
      </c>
    </row>
    <row r="38" spans="1:5" hidden="1">
      <c r="A38" t="s">
        <v>33</v>
      </c>
      <c r="B38" t="s">
        <v>34</v>
      </c>
      <c r="C38">
        <v>0</v>
      </c>
      <c r="E38">
        <f t="shared" si="0"/>
        <v>0</v>
      </c>
    </row>
    <row r="39" spans="1:5" hidden="1">
      <c r="A39" t="s">
        <v>35</v>
      </c>
      <c r="B39" t="s">
        <v>3</v>
      </c>
      <c r="C39">
        <v>0</v>
      </c>
      <c r="E39">
        <f t="shared" si="0"/>
        <v>0</v>
      </c>
    </row>
    <row r="40" spans="1:5" hidden="1">
      <c r="A40" t="s">
        <v>35</v>
      </c>
      <c r="B40" t="s">
        <v>30</v>
      </c>
      <c r="C40">
        <v>0</v>
      </c>
      <c r="E40">
        <f t="shared" si="0"/>
        <v>0</v>
      </c>
    </row>
    <row r="41" spans="1:5" hidden="1">
      <c r="A41" t="s">
        <v>36</v>
      </c>
      <c r="B41" t="s">
        <v>30</v>
      </c>
      <c r="C41">
        <v>0</v>
      </c>
      <c r="E41">
        <f t="shared" si="0"/>
        <v>0</v>
      </c>
    </row>
    <row r="42" spans="1:5">
      <c r="A42" t="s">
        <v>37</v>
      </c>
      <c r="B42" t="s">
        <v>30</v>
      </c>
      <c r="C42">
        <v>2</v>
      </c>
      <c r="D42">
        <v>4000</v>
      </c>
      <c r="E42">
        <f t="shared" si="0"/>
        <v>8000</v>
      </c>
    </row>
    <row r="43" spans="1:5">
      <c r="A43" t="s">
        <v>38</v>
      </c>
      <c r="B43" t="s">
        <v>3</v>
      </c>
      <c r="C43">
        <v>783</v>
      </c>
      <c r="D43">
        <v>6000</v>
      </c>
      <c r="E43">
        <f t="shared" si="0"/>
        <v>4698000</v>
      </c>
    </row>
    <row r="44" spans="1:5" hidden="1">
      <c r="A44" t="s">
        <v>39</v>
      </c>
      <c r="B44" t="s">
        <v>40</v>
      </c>
      <c r="C44">
        <v>0</v>
      </c>
      <c r="E44">
        <f t="shared" si="0"/>
        <v>0</v>
      </c>
    </row>
    <row r="45" spans="1:5" hidden="1">
      <c r="A45" t="s">
        <v>39</v>
      </c>
      <c r="B45" t="s">
        <v>3</v>
      </c>
      <c r="C45">
        <v>0</v>
      </c>
      <c r="E45">
        <f t="shared" si="0"/>
        <v>0</v>
      </c>
    </row>
    <row r="46" spans="1:5" hidden="1">
      <c r="A46" t="s">
        <v>41</v>
      </c>
      <c r="B46" t="s">
        <v>3</v>
      </c>
      <c r="C46">
        <v>0</v>
      </c>
      <c r="E46">
        <f t="shared" si="0"/>
        <v>0</v>
      </c>
    </row>
    <row r="47" spans="1:5" hidden="1">
      <c r="A47" t="s">
        <v>42</v>
      </c>
      <c r="B47" t="s">
        <v>25</v>
      </c>
      <c r="C47">
        <v>0</v>
      </c>
      <c r="E47">
        <f t="shared" si="0"/>
        <v>0</v>
      </c>
    </row>
    <row r="48" spans="1:5" hidden="1">
      <c r="A48" t="s">
        <v>42</v>
      </c>
      <c r="B48" t="s">
        <v>3</v>
      </c>
      <c r="C48">
        <v>0</v>
      </c>
      <c r="E48">
        <f t="shared" si="0"/>
        <v>0</v>
      </c>
    </row>
    <row r="49" spans="1:5">
      <c r="A49" t="s">
        <v>44</v>
      </c>
      <c r="B49" t="s">
        <v>3</v>
      </c>
      <c r="C49">
        <v>54</v>
      </c>
      <c r="D49">
        <v>5500</v>
      </c>
      <c r="E49">
        <f t="shared" si="0"/>
        <v>297000</v>
      </c>
    </row>
    <row r="50" spans="1:5">
      <c r="A50" t="s">
        <v>45</v>
      </c>
      <c r="B50" t="s">
        <v>3</v>
      </c>
      <c r="C50">
        <v>56</v>
      </c>
      <c r="D50">
        <v>10000</v>
      </c>
      <c r="E50">
        <f t="shared" si="0"/>
        <v>560000</v>
      </c>
    </row>
    <row r="51" spans="1:5" hidden="1">
      <c r="A51" t="s">
        <v>45</v>
      </c>
      <c r="B51" t="s">
        <v>30</v>
      </c>
      <c r="C51">
        <v>0</v>
      </c>
      <c r="E51">
        <f t="shared" si="0"/>
        <v>0</v>
      </c>
    </row>
    <row r="52" spans="1:5">
      <c r="A52" t="s">
        <v>46</v>
      </c>
      <c r="B52" t="s">
        <v>3</v>
      </c>
      <c r="C52">
        <v>11</v>
      </c>
      <c r="D52">
        <v>18000</v>
      </c>
      <c r="E52">
        <f t="shared" si="0"/>
        <v>198000</v>
      </c>
    </row>
    <row r="53" spans="1:5">
      <c r="A53" t="s">
        <v>47</v>
      </c>
      <c r="B53" t="s">
        <v>3</v>
      </c>
      <c r="C53">
        <v>20</v>
      </c>
      <c r="D53">
        <v>9000</v>
      </c>
      <c r="E53">
        <f t="shared" si="0"/>
        <v>180000</v>
      </c>
    </row>
    <row r="54" spans="1:5" hidden="1">
      <c r="A54" t="s">
        <v>47</v>
      </c>
      <c r="B54" t="s">
        <v>48</v>
      </c>
      <c r="C54">
        <v>0</v>
      </c>
      <c r="E54">
        <f t="shared" si="0"/>
        <v>0</v>
      </c>
    </row>
    <row r="55" spans="1:5">
      <c r="A55" t="s">
        <v>49</v>
      </c>
      <c r="B55" t="s">
        <v>30</v>
      </c>
      <c r="C55">
        <v>260</v>
      </c>
      <c r="D55">
        <v>2100</v>
      </c>
      <c r="E55">
        <f t="shared" si="0"/>
        <v>546000</v>
      </c>
    </row>
    <row r="56" spans="1:5">
      <c r="A56" t="s">
        <v>50</v>
      </c>
      <c r="B56" t="s">
        <v>3</v>
      </c>
      <c r="C56">
        <v>1655</v>
      </c>
      <c r="D56">
        <v>26500</v>
      </c>
      <c r="E56">
        <f t="shared" si="0"/>
        <v>43857500</v>
      </c>
    </row>
    <row r="57" spans="1:5">
      <c r="A57" t="s">
        <v>51</v>
      </c>
      <c r="B57" t="s">
        <v>3</v>
      </c>
      <c r="C57">
        <v>1675</v>
      </c>
      <c r="D57">
        <v>27000</v>
      </c>
      <c r="E57">
        <f t="shared" si="0"/>
        <v>45225000</v>
      </c>
    </row>
    <row r="58" spans="1:5" hidden="1">
      <c r="A58" t="s">
        <v>51</v>
      </c>
      <c r="B58" t="s">
        <v>30</v>
      </c>
      <c r="C58">
        <v>0</v>
      </c>
      <c r="E58">
        <f t="shared" si="0"/>
        <v>0</v>
      </c>
    </row>
    <row r="59" spans="1:5">
      <c r="A59" t="s">
        <v>53</v>
      </c>
      <c r="B59" t="s">
        <v>3</v>
      </c>
      <c r="C59">
        <v>320</v>
      </c>
      <c r="D59">
        <v>17000</v>
      </c>
      <c r="E59">
        <f t="shared" si="0"/>
        <v>5440000</v>
      </c>
    </row>
    <row r="60" spans="1:5" hidden="1">
      <c r="A60" t="s">
        <v>54</v>
      </c>
      <c r="B60" t="s">
        <v>3</v>
      </c>
      <c r="C60">
        <v>0</v>
      </c>
      <c r="E60">
        <f t="shared" si="0"/>
        <v>0</v>
      </c>
    </row>
    <row r="61" spans="1:5" hidden="1">
      <c r="A61" t="s">
        <v>55</v>
      </c>
      <c r="B61" t="s">
        <v>3</v>
      </c>
      <c r="C61">
        <v>0</v>
      </c>
      <c r="E61">
        <f t="shared" si="0"/>
        <v>0</v>
      </c>
    </row>
    <row r="62" spans="1:5" hidden="1">
      <c r="A62" t="s">
        <v>108</v>
      </c>
      <c r="B62" t="s">
        <v>3</v>
      </c>
      <c r="C62">
        <v>0</v>
      </c>
      <c r="E62">
        <f t="shared" si="0"/>
        <v>0</v>
      </c>
    </row>
    <row r="63" spans="1:5" hidden="1">
      <c r="A63" t="s">
        <v>118</v>
      </c>
      <c r="B63" t="s">
        <v>3</v>
      </c>
      <c r="C63">
        <v>0</v>
      </c>
      <c r="E63">
        <f t="shared" si="0"/>
        <v>0</v>
      </c>
    </row>
    <row r="64" spans="1:5">
      <c r="A64" t="s">
        <v>56</v>
      </c>
      <c r="B64" t="s">
        <v>3</v>
      </c>
      <c r="C64">
        <v>1625</v>
      </c>
      <c r="D64">
        <v>14500</v>
      </c>
      <c r="E64">
        <f t="shared" si="0"/>
        <v>23562500</v>
      </c>
    </row>
    <row r="65" spans="1:5" hidden="1">
      <c r="A65" t="s">
        <v>56</v>
      </c>
      <c r="B65" t="s">
        <v>30</v>
      </c>
      <c r="C65">
        <v>0</v>
      </c>
      <c r="E65">
        <f t="shared" si="0"/>
        <v>0</v>
      </c>
    </row>
    <row r="66" spans="1:5">
      <c r="A66" t="s">
        <v>57</v>
      </c>
      <c r="B66" t="s">
        <v>30</v>
      </c>
      <c r="C66">
        <v>60</v>
      </c>
      <c r="D66">
        <v>7000</v>
      </c>
      <c r="E66">
        <f t="shared" si="0"/>
        <v>420000</v>
      </c>
    </row>
    <row r="67" spans="1:5" hidden="1">
      <c r="A67" t="s">
        <v>58</v>
      </c>
      <c r="B67" t="s">
        <v>3</v>
      </c>
      <c r="C67">
        <v>0</v>
      </c>
      <c r="E67">
        <f t="shared" si="0"/>
        <v>0</v>
      </c>
    </row>
    <row r="68" spans="1:5">
      <c r="A68" t="s">
        <v>59</v>
      </c>
      <c r="B68" t="s">
        <v>30</v>
      </c>
      <c r="C68">
        <v>11</v>
      </c>
      <c r="D68">
        <v>6000</v>
      </c>
      <c r="E68">
        <f t="shared" ref="E68:E133" si="1">C68*D68</f>
        <v>66000</v>
      </c>
    </row>
    <row r="69" spans="1:5">
      <c r="A69" t="s">
        <v>60</v>
      </c>
      <c r="B69" t="s">
        <v>3</v>
      </c>
      <c r="C69">
        <v>25</v>
      </c>
      <c r="D69">
        <v>11000</v>
      </c>
      <c r="E69">
        <f t="shared" si="1"/>
        <v>275000</v>
      </c>
    </row>
    <row r="70" spans="1:5">
      <c r="A70" t="s">
        <v>60</v>
      </c>
      <c r="B70" t="s">
        <v>61</v>
      </c>
      <c r="C70">
        <v>38</v>
      </c>
      <c r="D70">
        <v>7000</v>
      </c>
      <c r="E70">
        <f t="shared" si="1"/>
        <v>266000</v>
      </c>
    </row>
    <row r="71" spans="1:5" hidden="1">
      <c r="A71" t="s">
        <v>62</v>
      </c>
      <c r="B71" t="s">
        <v>3</v>
      </c>
      <c r="C71">
        <v>0</v>
      </c>
      <c r="E71">
        <f t="shared" si="1"/>
        <v>0</v>
      </c>
    </row>
    <row r="72" spans="1:5" hidden="1">
      <c r="A72" t="s">
        <v>119</v>
      </c>
      <c r="B72" t="s">
        <v>3</v>
      </c>
      <c r="C72">
        <v>0</v>
      </c>
      <c r="E72">
        <f t="shared" si="1"/>
        <v>0</v>
      </c>
    </row>
    <row r="73" spans="1:5">
      <c r="A73" t="s">
        <v>63</v>
      </c>
      <c r="B73" t="s">
        <v>3</v>
      </c>
      <c r="C73">
        <v>1</v>
      </c>
      <c r="D73">
        <v>70000</v>
      </c>
      <c r="E73">
        <f t="shared" si="1"/>
        <v>70000</v>
      </c>
    </row>
    <row r="74" spans="1:5" hidden="1">
      <c r="A74" t="s">
        <v>64</v>
      </c>
      <c r="B74" t="s">
        <v>3</v>
      </c>
      <c r="C74">
        <v>0</v>
      </c>
      <c r="E74">
        <f t="shared" si="1"/>
        <v>0</v>
      </c>
    </row>
    <row r="75" spans="1:5" hidden="1">
      <c r="A75" t="s">
        <v>120</v>
      </c>
      <c r="B75" t="s">
        <v>30</v>
      </c>
      <c r="C75">
        <v>0</v>
      </c>
      <c r="E75">
        <f t="shared" si="1"/>
        <v>0</v>
      </c>
    </row>
    <row r="76" spans="1:5" hidden="1">
      <c r="A76" t="s">
        <v>65</v>
      </c>
      <c r="B76" t="s">
        <v>3</v>
      </c>
      <c r="C76">
        <v>0</v>
      </c>
      <c r="E76">
        <f t="shared" si="1"/>
        <v>0</v>
      </c>
    </row>
    <row r="77" spans="1:5" hidden="1">
      <c r="A77" t="s">
        <v>65</v>
      </c>
      <c r="B77" t="s">
        <v>17</v>
      </c>
      <c r="C77">
        <v>0</v>
      </c>
      <c r="E77">
        <f t="shared" si="1"/>
        <v>0</v>
      </c>
    </row>
    <row r="78" spans="1:5" hidden="1">
      <c r="A78" t="s">
        <v>66</v>
      </c>
      <c r="B78" t="s">
        <v>3</v>
      </c>
      <c r="C78">
        <v>0</v>
      </c>
      <c r="E78">
        <f t="shared" si="1"/>
        <v>0</v>
      </c>
    </row>
    <row r="79" spans="1:5">
      <c r="A79" t="s">
        <v>67</v>
      </c>
      <c r="B79" t="s">
        <v>3</v>
      </c>
      <c r="C79">
        <v>22</v>
      </c>
      <c r="D79">
        <v>15000</v>
      </c>
      <c r="E79">
        <f t="shared" si="1"/>
        <v>330000</v>
      </c>
    </row>
    <row r="80" spans="1:5" hidden="1">
      <c r="A80" t="s">
        <v>68</v>
      </c>
      <c r="B80" t="s">
        <v>40</v>
      </c>
      <c r="C80">
        <v>0</v>
      </c>
      <c r="E80">
        <f t="shared" si="1"/>
        <v>0</v>
      </c>
    </row>
    <row r="81" spans="1:5">
      <c r="A81" t="s">
        <v>68</v>
      </c>
      <c r="B81" t="s">
        <v>3</v>
      </c>
      <c r="C81">
        <v>18</v>
      </c>
      <c r="D81">
        <v>13000</v>
      </c>
      <c r="E81">
        <f t="shared" si="1"/>
        <v>234000</v>
      </c>
    </row>
    <row r="82" spans="1:5" hidden="1">
      <c r="A82" t="s">
        <v>69</v>
      </c>
      <c r="B82" t="s">
        <v>3</v>
      </c>
      <c r="C82">
        <v>0</v>
      </c>
      <c r="E82">
        <f t="shared" si="1"/>
        <v>0</v>
      </c>
    </row>
    <row r="83" spans="1:5" hidden="1">
      <c r="A83" t="s">
        <v>70</v>
      </c>
      <c r="B83" t="s">
        <v>30</v>
      </c>
      <c r="C83">
        <v>0</v>
      </c>
      <c r="E83">
        <f t="shared" si="1"/>
        <v>0</v>
      </c>
    </row>
    <row r="84" spans="1:5">
      <c r="A84" t="s">
        <v>71</v>
      </c>
      <c r="B84" t="s">
        <v>3</v>
      </c>
      <c r="C84">
        <v>15</v>
      </c>
      <c r="D84">
        <v>14000</v>
      </c>
      <c r="E84">
        <f t="shared" si="1"/>
        <v>210000</v>
      </c>
    </row>
    <row r="85" spans="1:5" hidden="1">
      <c r="A85" t="s">
        <v>72</v>
      </c>
      <c r="B85" t="s">
        <v>17</v>
      </c>
      <c r="C85">
        <v>0</v>
      </c>
      <c r="E85">
        <f t="shared" si="1"/>
        <v>0</v>
      </c>
    </row>
    <row r="86" spans="1:5" hidden="1">
      <c r="A86" t="s">
        <v>73</v>
      </c>
      <c r="B86" t="s">
        <v>25</v>
      </c>
      <c r="C86">
        <v>0</v>
      </c>
      <c r="E86">
        <f t="shared" si="1"/>
        <v>0</v>
      </c>
    </row>
    <row r="87" spans="1:5" hidden="1">
      <c r="A87" t="s">
        <v>74</v>
      </c>
      <c r="B87" t="s">
        <v>3</v>
      </c>
      <c r="C87">
        <v>0</v>
      </c>
      <c r="E87">
        <f t="shared" si="1"/>
        <v>0</v>
      </c>
    </row>
    <row r="88" spans="1:5" hidden="1">
      <c r="A88" t="s">
        <v>74</v>
      </c>
      <c r="B88" t="s">
        <v>9</v>
      </c>
      <c r="C88">
        <v>0</v>
      </c>
      <c r="E88">
        <f t="shared" si="1"/>
        <v>0</v>
      </c>
    </row>
    <row r="89" spans="1:5">
      <c r="A89" t="s">
        <v>76</v>
      </c>
      <c r="B89" t="s">
        <v>3</v>
      </c>
      <c r="C89">
        <v>5</v>
      </c>
      <c r="D89">
        <v>52000</v>
      </c>
      <c r="E89">
        <f t="shared" si="1"/>
        <v>260000</v>
      </c>
    </row>
    <row r="90" spans="1:5" hidden="1">
      <c r="A90" t="s">
        <v>76</v>
      </c>
      <c r="B90" t="s">
        <v>9</v>
      </c>
      <c r="C90">
        <v>0</v>
      </c>
      <c r="E90">
        <f t="shared" si="1"/>
        <v>0</v>
      </c>
    </row>
    <row r="91" spans="1:5">
      <c r="A91" t="s">
        <v>78</v>
      </c>
      <c r="B91" t="s">
        <v>3</v>
      </c>
      <c r="C91">
        <v>44</v>
      </c>
      <c r="D91">
        <v>52000</v>
      </c>
      <c r="E91">
        <f t="shared" si="1"/>
        <v>2288000</v>
      </c>
    </row>
    <row r="92" spans="1:5" hidden="1">
      <c r="A92" t="s">
        <v>78</v>
      </c>
      <c r="B92" t="s">
        <v>9</v>
      </c>
      <c r="C92">
        <v>0</v>
      </c>
      <c r="E92">
        <f t="shared" si="1"/>
        <v>0</v>
      </c>
    </row>
    <row r="93" spans="1:5">
      <c r="A93" t="s">
        <v>79</v>
      </c>
      <c r="B93" t="s">
        <v>30</v>
      </c>
      <c r="C93">
        <v>80</v>
      </c>
      <c r="D93">
        <v>18000</v>
      </c>
      <c r="E93">
        <f t="shared" si="1"/>
        <v>1440000</v>
      </c>
    </row>
    <row r="94" spans="1:5" hidden="1">
      <c r="A94" t="s">
        <v>80</v>
      </c>
      <c r="B94" t="s">
        <v>30</v>
      </c>
      <c r="C94">
        <v>0</v>
      </c>
      <c r="E94">
        <f t="shared" si="1"/>
        <v>0</v>
      </c>
    </row>
    <row r="95" spans="1:5" hidden="1">
      <c r="A95" t="s">
        <v>121</v>
      </c>
      <c r="B95" t="s">
        <v>3</v>
      </c>
      <c r="C95">
        <v>0</v>
      </c>
      <c r="E95">
        <f t="shared" si="1"/>
        <v>0</v>
      </c>
    </row>
    <row r="96" spans="1:5">
      <c r="A96" t="s">
        <v>81</v>
      </c>
      <c r="B96" t="s">
        <v>9</v>
      </c>
      <c r="C96">
        <v>365</v>
      </c>
      <c r="D96">
        <v>9000</v>
      </c>
      <c r="E96">
        <f t="shared" si="1"/>
        <v>3285000</v>
      </c>
    </row>
    <row r="97" spans="1:5">
      <c r="A97" t="s">
        <v>82</v>
      </c>
      <c r="B97" t="s">
        <v>9</v>
      </c>
      <c r="C97">
        <v>270</v>
      </c>
      <c r="D97">
        <v>11361</v>
      </c>
      <c r="E97">
        <f t="shared" si="1"/>
        <v>3067470</v>
      </c>
    </row>
    <row r="98" spans="1:5">
      <c r="A98" t="s">
        <v>83</v>
      </c>
      <c r="B98" t="s">
        <v>9</v>
      </c>
      <c r="C98">
        <v>58</v>
      </c>
      <c r="D98">
        <v>100000</v>
      </c>
      <c r="E98">
        <f t="shared" si="1"/>
        <v>5800000</v>
      </c>
    </row>
    <row r="99" spans="1:5" hidden="1">
      <c r="A99" t="s">
        <v>84</v>
      </c>
      <c r="B99" t="s">
        <v>3</v>
      </c>
      <c r="C99">
        <v>0</v>
      </c>
      <c r="E99">
        <f t="shared" si="1"/>
        <v>0</v>
      </c>
    </row>
    <row r="100" spans="1:5">
      <c r="A100" t="s">
        <v>85</v>
      </c>
      <c r="B100" t="s">
        <v>3</v>
      </c>
      <c r="C100">
        <v>10</v>
      </c>
      <c r="D100">
        <v>15000</v>
      </c>
      <c r="E100">
        <f t="shared" si="1"/>
        <v>150000</v>
      </c>
    </row>
    <row r="101" spans="1:5" hidden="1">
      <c r="A101" t="s">
        <v>109</v>
      </c>
      <c r="B101" t="s">
        <v>25</v>
      </c>
      <c r="C101">
        <v>0</v>
      </c>
      <c r="E101">
        <f t="shared" si="1"/>
        <v>0</v>
      </c>
    </row>
    <row r="102" spans="1:5">
      <c r="A102" t="s">
        <v>87</v>
      </c>
      <c r="B102" t="s">
        <v>3</v>
      </c>
      <c r="C102">
        <v>226</v>
      </c>
      <c r="D102">
        <v>4000</v>
      </c>
      <c r="E102">
        <f t="shared" si="1"/>
        <v>904000</v>
      </c>
    </row>
    <row r="103" spans="1:5" hidden="1">
      <c r="A103" t="s">
        <v>88</v>
      </c>
      <c r="B103" t="s">
        <v>3</v>
      </c>
      <c r="C103">
        <v>0</v>
      </c>
      <c r="E103">
        <f t="shared" si="1"/>
        <v>0</v>
      </c>
    </row>
    <row r="104" spans="1:5" hidden="1">
      <c r="A104" t="s">
        <v>122</v>
      </c>
      <c r="B104" t="s">
        <v>3</v>
      </c>
      <c r="C104">
        <v>0</v>
      </c>
      <c r="E104">
        <f t="shared" si="1"/>
        <v>0</v>
      </c>
    </row>
    <row r="105" spans="1:5">
      <c r="A105" t="s">
        <v>89</v>
      </c>
      <c r="B105" t="s">
        <v>3</v>
      </c>
      <c r="C105">
        <v>2</v>
      </c>
      <c r="D105">
        <v>28000</v>
      </c>
      <c r="E105">
        <f t="shared" si="1"/>
        <v>56000</v>
      </c>
    </row>
    <row r="106" spans="1:5" hidden="1">
      <c r="A106" t="s">
        <v>90</v>
      </c>
      <c r="B106" t="s">
        <v>40</v>
      </c>
      <c r="C106">
        <v>0</v>
      </c>
      <c r="E106">
        <f t="shared" si="1"/>
        <v>0</v>
      </c>
    </row>
    <row r="107" spans="1:5" hidden="1">
      <c r="A107" t="s">
        <v>91</v>
      </c>
      <c r="B107" t="s">
        <v>3</v>
      </c>
      <c r="C107">
        <v>0</v>
      </c>
      <c r="E107">
        <f t="shared" si="1"/>
        <v>0</v>
      </c>
    </row>
    <row r="108" spans="1:5" hidden="1">
      <c r="A108" t="s">
        <v>92</v>
      </c>
      <c r="B108" t="s">
        <v>40</v>
      </c>
      <c r="C108">
        <v>0</v>
      </c>
      <c r="E108">
        <f t="shared" si="1"/>
        <v>0</v>
      </c>
    </row>
    <row r="109" spans="1:5" hidden="1">
      <c r="A109" t="s">
        <v>93</v>
      </c>
      <c r="B109" t="s">
        <v>3</v>
      </c>
      <c r="C109">
        <v>0</v>
      </c>
      <c r="E109">
        <f t="shared" si="1"/>
        <v>0</v>
      </c>
    </row>
    <row r="110" spans="1:5" hidden="1">
      <c r="A110" t="s">
        <v>94</v>
      </c>
      <c r="B110" t="s">
        <v>3</v>
      </c>
      <c r="C110">
        <v>0</v>
      </c>
      <c r="E110">
        <f t="shared" si="1"/>
        <v>0</v>
      </c>
    </row>
    <row r="111" spans="1:5">
      <c r="A111" t="s">
        <v>95</v>
      </c>
      <c r="B111" t="s">
        <v>40</v>
      </c>
      <c r="C111">
        <v>30</v>
      </c>
      <c r="D111">
        <v>7000</v>
      </c>
      <c r="E111">
        <f t="shared" si="1"/>
        <v>210000</v>
      </c>
    </row>
    <row r="112" spans="1:5">
      <c r="E112">
        <f>SUM(E5:E111)</f>
        <v>164622570</v>
      </c>
    </row>
    <row r="113" spans="1:5">
      <c r="A113" t="s">
        <v>115</v>
      </c>
    </row>
    <row r="114" spans="1:5">
      <c r="A114" t="s">
        <v>105</v>
      </c>
      <c r="B114" t="s">
        <v>0</v>
      </c>
      <c r="C114" t="s">
        <v>111</v>
      </c>
      <c r="D114" t="s">
        <v>112</v>
      </c>
      <c r="E114" t="s">
        <v>113</v>
      </c>
    </row>
    <row r="115" spans="1:5">
      <c r="A115" t="s">
        <v>2</v>
      </c>
      <c r="B115" t="s">
        <v>3</v>
      </c>
      <c r="C115">
        <v>10</v>
      </c>
      <c r="D115">
        <v>15000</v>
      </c>
      <c r="E115">
        <f t="shared" si="1"/>
        <v>150000</v>
      </c>
    </row>
    <row r="116" spans="1:5">
      <c r="A116" t="s">
        <v>4</v>
      </c>
      <c r="B116" t="s">
        <v>3</v>
      </c>
      <c r="C116">
        <v>310</v>
      </c>
      <c r="D116">
        <v>6000</v>
      </c>
      <c r="E116">
        <f t="shared" si="1"/>
        <v>1860000</v>
      </c>
    </row>
    <row r="117" spans="1:5">
      <c r="A117" t="s">
        <v>5</v>
      </c>
      <c r="B117" t="s">
        <v>3</v>
      </c>
      <c r="C117">
        <v>66</v>
      </c>
      <c r="D117">
        <v>6000</v>
      </c>
      <c r="E117">
        <f t="shared" si="1"/>
        <v>396000</v>
      </c>
    </row>
    <row r="118" spans="1:5">
      <c r="A118" t="s">
        <v>7</v>
      </c>
      <c r="B118" t="s">
        <v>3</v>
      </c>
      <c r="C118">
        <v>22</v>
      </c>
      <c r="D118">
        <v>11000</v>
      </c>
      <c r="E118">
        <f t="shared" si="1"/>
        <v>242000</v>
      </c>
    </row>
    <row r="119" spans="1:5" hidden="1">
      <c r="A119" t="s">
        <v>8</v>
      </c>
      <c r="B119" t="s">
        <v>3</v>
      </c>
      <c r="C119">
        <v>0</v>
      </c>
      <c r="E119">
        <f t="shared" si="1"/>
        <v>0</v>
      </c>
    </row>
    <row r="120" spans="1:5" hidden="1">
      <c r="A120" t="s">
        <v>97</v>
      </c>
      <c r="B120" t="s">
        <v>3</v>
      </c>
      <c r="C120">
        <v>0</v>
      </c>
      <c r="E120">
        <f t="shared" si="1"/>
        <v>0</v>
      </c>
    </row>
    <row r="121" spans="1:5">
      <c r="A121" t="s">
        <v>18</v>
      </c>
      <c r="B121" t="s">
        <v>3</v>
      </c>
      <c r="C121">
        <v>22</v>
      </c>
      <c r="D121">
        <v>13000</v>
      </c>
      <c r="E121">
        <f t="shared" si="1"/>
        <v>286000</v>
      </c>
    </row>
    <row r="122" spans="1:5" hidden="1">
      <c r="A122" t="s">
        <v>28</v>
      </c>
      <c r="B122" t="s">
        <v>3</v>
      </c>
      <c r="C122">
        <v>0</v>
      </c>
      <c r="E122">
        <f t="shared" si="1"/>
        <v>0</v>
      </c>
    </row>
    <row r="123" spans="1:5">
      <c r="A123" t="s">
        <v>31</v>
      </c>
      <c r="B123" t="s">
        <v>3</v>
      </c>
      <c r="C123">
        <v>110</v>
      </c>
      <c r="D123">
        <v>9500</v>
      </c>
      <c r="E123">
        <f t="shared" si="1"/>
        <v>1045000</v>
      </c>
    </row>
    <row r="124" spans="1:5" hidden="1">
      <c r="A124" t="s">
        <v>33</v>
      </c>
      <c r="B124" t="s">
        <v>3</v>
      </c>
      <c r="C124">
        <v>0</v>
      </c>
      <c r="E124">
        <f t="shared" si="1"/>
        <v>0</v>
      </c>
    </row>
    <row r="125" spans="1:5">
      <c r="A125" t="s">
        <v>38</v>
      </c>
      <c r="B125" t="s">
        <v>3</v>
      </c>
      <c r="C125">
        <v>77</v>
      </c>
      <c r="D125">
        <v>6000</v>
      </c>
      <c r="E125">
        <f t="shared" si="1"/>
        <v>462000</v>
      </c>
    </row>
    <row r="126" spans="1:5" hidden="1">
      <c r="A126" t="s">
        <v>98</v>
      </c>
      <c r="B126" t="s">
        <v>3</v>
      </c>
      <c r="C126">
        <v>0</v>
      </c>
      <c r="E126">
        <f t="shared" si="1"/>
        <v>0</v>
      </c>
    </row>
    <row r="127" spans="1:5">
      <c r="A127" t="s">
        <v>99</v>
      </c>
      <c r="B127" t="s">
        <v>3</v>
      </c>
      <c r="C127">
        <v>180</v>
      </c>
      <c r="D127">
        <v>4000</v>
      </c>
      <c r="E127">
        <f t="shared" si="1"/>
        <v>720000</v>
      </c>
    </row>
    <row r="128" spans="1:5">
      <c r="A128" t="s">
        <v>39</v>
      </c>
      <c r="B128" t="s">
        <v>3</v>
      </c>
      <c r="C128">
        <v>7</v>
      </c>
      <c r="D128">
        <v>18000</v>
      </c>
      <c r="E128">
        <f t="shared" si="1"/>
        <v>126000</v>
      </c>
    </row>
    <row r="129" spans="1:5">
      <c r="A129" t="s">
        <v>100</v>
      </c>
      <c r="B129" t="s">
        <v>3</v>
      </c>
      <c r="C129">
        <v>10</v>
      </c>
      <c r="D129">
        <v>27000</v>
      </c>
      <c r="E129">
        <f t="shared" si="1"/>
        <v>270000</v>
      </c>
    </row>
    <row r="130" spans="1:5">
      <c r="A130" t="s">
        <v>41</v>
      </c>
      <c r="B130" t="s">
        <v>3</v>
      </c>
      <c r="C130">
        <v>10</v>
      </c>
      <c r="D130">
        <v>14000</v>
      </c>
      <c r="E130">
        <f t="shared" si="1"/>
        <v>140000</v>
      </c>
    </row>
    <row r="131" spans="1:5">
      <c r="A131" t="s">
        <v>44</v>
      </c>
      <c r="B131" t="s">
        <v>3</v>
      </c>
      <c r="C131">
        <v>30.8</v>
      </c>
      <c r="D131">
        <v>5500</v>
      </c>
      <c r="E131">
        <f t="shared" si="1"/>
        <v>169400</v>
      </c>
    </row>
    <row r="132" spans="1:5">
      <c r="A132" t="s">
        <v>45</v>
      </c>
      <c r="B132" t="s">
        <v>3</v>
      </c>
      <c r="C132">
        <v>4.4000000000000004</v>
      </c>
      <c r="D132">
        <v>10000</v>
      </c>
      <c r="E132">
        <f t="shared" si="1"/>
        <v>44000</v>
      </c>
    </row>
    <row r="133" spans="1:5">
      <c r="A133" t="s">
        <v>47</v>
      </c>
      <c r="B133" t="s">
        <v>3</v>
      </c>
      <c r="C133">
        <v>20</v>
      </c>
      <c r="D133">
        <v>9000</v>
      </c>
      <c r="E133">
        <f t="shared" si="1"/>
        <v>180000</v>
      </c>
    </row>
    <row r="134" spans="1:5" hidden="1">
      <c r="A134" t="s">
        <v>53</v>
      </c>
      <c r="B134" t="s">
        <v>3</v>
      </c>
      <c r="C134">
        <v>0</v>
      </c>
      <c r="E134">
        <f t="shared" ref="E134:E151" si="2">C134*D134</f>
        <v>0</v>
      </c>
    </row>
    <row r="135" spans="1:5">
      <c r="A135" t="s">
        <v>56</v>
      </c>
      <c r="B135" t="s">
        <v>3</v>
      </c>
      <c r="C135">
        <v>55</v>
      </c>
      <c r="D135">
        <v>14500</v>
      </c>
      <c r="E135">
        <f t="shared" si="2"/>
        <v>797500</v>
      </c>
    </row>
    <row r="136" spans="1:5" hidden="1">
      <c r="A136" t="s">
        <v>58</v>
      </c>
      <c r="B136" t="s">
        <v>3</v>
      </c>
      <c r="C136">
        <v>0</v>
      </c>
      <c r="E136">
        <f t="shared" si="2"/>
        <v>0</v>
      </c>
    </row>
    <row r="137" spans="1:5" hidden="1">
      <c r="A137" t="s">
        <v>59</v>
      </c>
      <c r="B137" t="s">
        <v>30</v>
      </c>
      <c r="C137">
        <v>0</v>
      </c>
      <c r="E137">
        <f t="shared" si="2"/>
        <v>0</v>
      </c>
    </row>
    <row r="138" spans="1:5">
      <c r="A138" t="s">
        <v>60</v>
      </c>
      <c r="B138" t="s">
        <v>30</v>
      </c>
      <c r="C138">
        <v>22</v>
      </c>
      <c r="D138">
        <v>7000</v>
      </c>
      <c r="E138">
        <f t="shared" si="2"/>
        <v>154000</v>
      </c>
    </row>
    <row r="139" spans="1:5" hidden="1">
      <c r="A139" t="s">
        <v>65</v>
      </c>
      <c r="B139" t="s">
        <v>3</v>
      </c>
      <c r="C139">
        <v>0</v>
      </c>
      <c r="E139">
        <f t="shared" si="2"/>
        <v>0</v>
      </c>
    </row>
    <row r="140" spans="1:5" hidden="1">
      <c r="A140" t="s">
        <v>65</v>
      </c>
      <c r="B140" t="s">
        <v>17</v>
      </c>
      <c r="C140">
        <v>0</v>
      </c>
      <c r="E140">
        <f t="shared" si="2"/>
        <v>0</v>
      </c>
    </row>
    <row r="141" spans="1:5">
      <c r="A141" t="s">
        <v>68</v>
      </c>
      <c r="B141" t="s">
        <v>3</v>
      </c>
      <c r="C141">
        <v>8.8000000000000007</v>
      </c>
      <c r="D141">
        <v>13000</v>
      </c>
      <c r="E141">
        <f t="shared" si="2"/>
        <v>114400.00000000001</v>
      </c>
    </row>
    <row r="142" spans="1:5" hidden="1">
      <c r="A142" t="s">
        <v>69</v>
      </c>
      <c r="B142" t="s">
        <v>3</v>
      </c>
      <c r="C142">
        <v>0</v>
      </c>
      <c r="E142">
        <f t="shared" si="2"/>
        <v>0</v>
      </c>
    </row>
    <row r="143" spans="1:5" hidden="1">
      <c r="A143" t="s">
        <v>101</v>
      </c>
      <c r="B143" t="s">
        <v>3</v>
      </c>
      <c r="C143">
        <v>0</v>
      </c>
      <c r="E143">
        <f t="shared" si="2"/>
        <v>0</v>
      </c>
    </row>
    <row r="144" spans="1:5" hidden="1">
      <c r="A144" t="s">
        <v>74</v>
      </c>
      <c r="B144" t="s">
        <v>3</v>
      </c>
      <c r="C144">
        <v>0</v>
      </c>
      <c r="E144">
        <f t="shared" si="2"/>
        <v>0</v>
      </c>
    </row>
    <row r="145" spans="1:5" hidden="1">
      <c r="A145" t="s">
        <v>76</v>
      </c>
      <c r="B145" t="s">
        <v>3</v>
      </c>
      <c r="C145">
        <v>0</v>
      </c>
      <c r="E145">
        <f t="shared" si="2"/>
        <v>0</v>
      </c>
    </row>
    <row r="146" spans="1:5">
      <c r="A146" t="s">
        <v>78</v>
      </c>
      <c r="B146" t="s">
        <v>3</v>
      </c>
      <c r="C146">
        <v>2.2000000000000002</v>
      </c>
      <c r="D146">
        <v>35000</v>
      </c>
      <c r="E146">
        <f t="shared" si="2"/>
        <v>77000</v>
      </c>
    </row>
    <row r="147" spans="1:5">
      <c r="A147" t="s">
        <v>87</v>
      </c>
      <c r="B147" t="s">
        <v>3</v>
      </c>
      <c r="C147">
        <v>8.8000000000000007</v>
      </c>
      <c r="D147">
        <v>4000</v>
      </c>
      <c r="E147">
        <f t="shared" si="2"/>
        <v>35200</v>
      </c>
    </row>
    <row r="148" spans="1:5" hidden="1">
      <c r="A148" t="s">
        <v>89</v>
      </c>
      <c r="B148" t="s">
        <v>40</v>
      </c>
      <c r="C148">
        <v>0</v>
      </c>
      <c r="E148">
        <f t="shared" si="2"/>
        <v>0</v>
      </c>
    </row>
    <row r="149" spans="1:5" hidden="1">
      <c r="A149" t="s">
        <v>90</v>
      </c>
      <c r="B149" t="s">
        <v>40</v>
      </c>
      <c r="C149">
        <v>0</v>
      </c>
      <c r="E149">
        <f t="shared" si="2"/>
        <v>0</v>
      </c>
    </row>
    <row r="150" spans="1:5" hidden="1">
      <c r="A150" t="s">
        <v>92</v>
      </c>
      <c r="B150" t="s">
        <v>40</v>
      </c>
      <c r="C150">
        <v>0</v>
      </c>
      <c r="E150">
        <f t="shared" si="2"/>
        <v>0</v>
      </c>
    </row>
    <row r="151" spans="1:5" hidden="1">
      <c r="A151" t="s">
        <v>95</v>
      </c>
      <c r="B151" t="s">
        <v>40</v>
      </c>
      <c r="C151">
        <v>0</v>
      </c>
      <c r="E151">
        <f t="shared" si="2"/>
        <v>0</v>
      </c>
    </row>
    <row r="152" spans="1:5">
      <c r="E152">
        <f>SUM(E115:E147)</f>
        <v>7268500</v>
      </c>
    </row>
    <row r="153" spans="1:5">
      <c r="E153">
        <f>E152+E112</f>
        <v>171891070</v>
      </c>
    </row>
  </sheetData>
  <autoFilter ref="A2:E151">
    <filterColumn colId="2">
      <filters>
        <filter val="1"/>
        <filter val="10"/>
        <filter val="11"/>
        <filter val="110"/>
        <filter val="140"/>
        <filter val="143"/>
        <filter val="15"/>
        <filter val="155"/>
        <filter val="1625"/>
        <filter val="1655"/>
        <filter val="1675"/>
        <filter val="18"/>
        <filter val="180"/>
        <filter val="198"/>
        <filter val="2"/>
        <filter val="2.2"/>
        <filter val="20"/>
        <filter val="22"/>
        <filter val="226"/>
        <filter val="248"/>
        <filter val="25"/>
        <filter val="260"/>
        <filter val="270"/>
        <filter val="30"/>
        <filter val="30.8"/>
        <filter val="310"/>
        <filter val="32"/>
        <filter val="320"/>
        <filter val="350"/>
        <filter val="360"/>
        <filter val="365"/>
        <filter val="38"/>
        <filter val="4"/>
        <filter val="4.4"/>
        <filter val="40"/>
        <filter val="405"/>
        <filter val="44"/>
        <filter val="45"/>
        <filter val="5"/>
        <filter val="54"/>
        <filter val="55"/>
        <filter val="56"/>
        <filter val="58"/>
        <filter val="60"/>
        <filter val="66"/>
        <filter val="7"/>
        <filter val="77"/>
        <filter val="783"/>
        <filter val="8.8"/>
        <filter val="80"/>
        <filter val="9"/>
        <filter val="Tồn_x000a_ĐL_x000a__x000a_現在庫"/>
      </filters>
    </filterColumn>
  </autoFilter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133"/>
  <sheetViews>
    <sheetView topLeftCell="A106" workbookViewId="0">
      <selection activeCell="E133" sqref="E133"/>
    </sheetView>
  </sheetViews>
  <sheetFormatPr defaultRowHeight="13.8"/>
  <cols>
    <col min="1" max="1" width="23.3984375" customWidth="1"/>
    <col min="5" max="5" width="16.19921875" customWidth="1"/>
  </cols>
  <sheetData>
    <row r="1" spans="1:5">
      <c r="A1" t="s">
        <v>124</v>
      </c>
    </row>
    <row r="2" spans="1:5">
      <c r="A2" t="s">
        <v>106</v>
      </c>
      <c r="B2" t="s">
        <v>0</v>
      </c>
      <c r="C2" t="s">
        <v>111</v>
      </c>
      <c r="D2" t="s">
        <v>112</v>
      </c>
      <c r="E2" t="s">
        <v>113</v>
      </c>
    </row>
    <row r="3" spans="1:5">
      <c r="A3" t="s">
        <v>31</v>
      </c>
      <c r="B3" t="s">
        <v>3</v>
      </c>
      <c r="C3">
        <v>218</v>
      </c>
      <c r="D3">
        <v>9000</v>
      </c>
      <c r="E3">
        <f>C3*D3</f>
        <v>1962000</v>
      </c>
    </row>
    <row r="4" spans="1:5" hidden="1">
      <c r="A4" t="s">
        <v>31</v>
      </c>
      <c r="B4" t="s">
        <v>30</v>
      </c>
      <c r="C4">
        <v>0</v>
      </c>
      <c r="E4">
        <f t="shared" ref="E4:E67" si="0">C4*D4</f>
        <v>0</v>
      </c>
    </row>
    <row r="5" spans="1:5">
      <c r="A5" t="s">
        <v>32</v>
      </c>
      <c r="B5" t="s">
        <v>17</v>
      </c>
      <c r="C5">
        <v>15</v>
      </c>
      <c r="D5">
        <v>6000</v>
      </c>
      <c r="E5">
        <f t="shared" si="0"/>
        <v>90000</v>
      </c>
    </row>
    <row r="6" spans="1:5">
      <c r="A6" t="s">
        <v>42</v>
      </c>
      <c r="B6" t="s">
        <v>25</v>
      </c>
      <c r="C6">
        <v>34</v>
      </c>
      <c r="D6">
        <v>10000</v>
      </c>
      <c r="E6">
        <f t="shared" si="0"/>
        <v>340000</v>
      </c>
    </row>
    <row r="7" spans="1:5">
      <c r="A7" t="s">
        <v>45</v>
      </c>
      <c r="B7" t="s">
        <v>3</v>
      </c>
      <c r="C7">
        <v>19</v>
      </c>
      <c r="D7">
        <v>10000</v>
      </c>
      <c r="E7">
        <f t="shared" si="0"/>
        <v>190000</v>
      </c>
    </row>
    <row r="8" spans="1:5" hidden="1">
      <c r="A8" t="s">
        <v>45</v>
      </c>
      <c r="B8" t="s">
        <v>30</v>
      </c>
      <c r="C8">
        <v>0</v>
      </c>
      <c r="E8">
        <f t="shared" si="0"/>
        <v>0</v>
      </c>
    </row>
    <row r="9" spans="1:5">
      <c r="A9" t="s">
        <v>47</v>
      </c>
      <c r="B9" t="s">
        <v>3</v>
      </c>
      <c r="C9">
        <v>361</v>
      </c>
      <c r="D9">
        <v>9000</v>
      </c>
      <c r="E9">
        <f t="shared" si="0"/>
        <v>3249000</v>
      </c>
    </row>
    <row r="10" spans="1:5" hidden="1">
      <c r="A10" t="s">
        <v>47</v>
      </c>
      <c r="B10" t="s">
        <v>48</v>
      </c>
      <c r="C10">
        <v>0</v>
      </c>
      <c r="E10">
        <f t="shared" si="0"/>
        <v>0</v>
      </c>
    </row>
    <row r="11" spans="1:5">
      <c r="A11" t="s">
        <v>49</v>
      </c>
      <c r="B11" t="s">
        <v>30</v>
      </c>
      <c r="C11">
        <v>130</v>
      </c>
      <c r="D11">
        <v>2100</v>
      </c>
      <c r="E11">
        <f t="shared" si="0"/>
        <v>273000</v>
      </c>
    </row>
    <row r="12" spans="1:5">
      <c r="A12" t="s">
        <v>51</v>
      </c>
      <c r="B12" t="s">
        <v>3</v>
      </c>
      <c r="C12">
        <v>1575</v>
      </c>
      <c r="D12">
        <v>27000</v>
      </c>
      <c r="E12">
        <f t="shared" si="0"/>
        <v>42525000</v>
      </c>
    </row>
    <row r="13" spans="1:5" hidden="1">
      <c r="A13" t="s">
        <v>51</v>
      </c>
      <c r="B13" t="s">
        <v>30</v>
      </c>
      <c r="C13">
        <v>0</v>
      </c>
      <c r="E13">
        <f t="shared" si="0"/>
        <v>0</v>
      </c>
    </row>
    <row r="14" spans="1:5">
      <c r="A14" t="s">
        <v>53</v>
      </c>
      <c r="B14" t="s">
        <v>3</v>
      </c>
      <c r="C14">
        <v>285</v>
      </c>
      <c r="D14">
        <v>17000</v>
      </c>
      <c r="E14">
        <f t="shared" si="0"/>
        <v>4845000</v>
      </c>
    </row>
    <row r="15" spans="1:5">
      <c r="A15" t="s">
        <v>56</v>
      </c>
      <c r="B15" t="s">
        <v>3</v>
      </c>
      <c r="C15">
        <v>1400</v>
      </c>
      <c r="D15">
        <v>14500</v>
      </c>
      <c r="E15">
        <f t="shared" si="0"/>
        <v>20300000</v>
      </c>
    </row>
    <row r="16" spans="1:5" hidden="1">
      <c r="A16" t="s">
        <v>56</v>
      </c>
      <c r="B16" t="s">
        <v>30</v>
      </c>
      <c r="C16">
        <v>0</v>
      </c>
      <c r="E16">
        <f t="shared" si="0"/>
        <v>0</v>
      </c>
    </row>
    <row r="17" spans="1:5">
      <c r="A17" t="s">
        <v>5</v>
      </c>
      <c r="B17" t="s">
        <v>3</v>
      </c>
      <c r="C17">
        <v>282</v>
      </c>
      <c r="D17">
        <v>6000</v>
      </c>
      <c r="E17">
        <f t="shared" si="0"/>
        <v>1692000</v>
      </c>
    </row>
    <row r="18" spans="1:5">
      <c r="A18" t="s">
        <v>35</v>
      </c>
      <c r="B18" t="s">
        <v>3</v>
      </c>
      <c r="C18">
        <v>20</v>
      </c>
      <c r="D18">
        <v>15000</v>
      </c>
      <c r="E18">
        <f t="shared" si="0"/>
        <v>300000</v>
      </c>
    </row>
    <row r="19" spans="1:5" hidden="1">
      <c r="A19" t="s">
        <v>35</v>
      </c>
      <c r="B19" t="s">
        <v>30</v>
      </c>
      <c r="C19">
        <v>0</v>
      </c>
      <c r="E19">
        <f t="shared" si="0"/>
        <v>0</v>
      </c>
    </row>
    <row r="20" spans="1:5">
      <c r="A20" t="s">
        <v>37</v>
      </c>
      <c r="B20" t="s">
        <v>30</v>
      </c>
      <c r="C20">
        <v>2</v>
      </c>
      <c r="D20">
        <v>4000</v>
      </c>
      <c r="E20">
        <f t="shared" si="0"/>
        <v>8000</v>
      </c>
    </row>
    <row r="21" spans="1:5">
      <c r="A21" t="s">
        <v>38</v>
      </c>
      <c r="B21" t="s">
        <v>3</v>
      </c>
      <c r="C21">
        <v>400</v>
      </c>
      <c r="D21">
        <v>5500</v>
      </c>
      <c r="E21">
        <f t="shared" si="0"/>
        <v>2200000</v>
      </c>
    </row>
    <row r="22" spans="1:5" hidden="1">
      <c r="A22" t="s">
        <v>39</v>
      </c>
      <c r="B22" t="s">
        <v>40</v>
      </c>
      <c r="C22">
        <v>0</v>
      </c>
      <c r="E22">
        <f t="shared" si="0"/>
        <v>0</v>
      </c>
    </row>
    <row r="23" spans="1:5">
      <c r="A23" t="s">
        <v>39</v>
      </c>
      <c r="B23" t="s">
        <v>3</v>
      </c>
      <c r="C23">
        <v>53</v>
      </c>
      <c r="D23">
        <v>18000</v>
      </c>
      <c r="E23">
        <f t="shared" si="0"/>
        <v>954000</v>
      </c>
    </row>
    <row r="24" spans="1:5" hidden="1">
      <c r="A24" t="s">
        <v>89</v>
      </c>
      <c r="B24" t="s">
        <v>3</v>
      </c>
      <c r="C24">
        <v>0</v>
      </c>
      <c r="E24">
        <f t="shared" si="0"/>
        <v>0</v>
      </c>
    </row>
    <row r="25" spans="1:5">
      <c r="A25" t="s">
        <v>7</v>
      </c>
      <c r="B25" t="s">
        <v>3</v>
      </c>
      <c r="C25">
        <v>86</v>
      </c>
      <c r="D25">
        <v>11000</v>
      </c>
      <c r="E25">
        <f t="shared" si="0"/>
        <v>946000</v>
      </c>
    </row>
    <row r="26" spans="1:5">
      <c r="A26" t="s">
        <v>8</v>
      </c>
      <c r="B26" t="s">
        <v>3</v>
      </c>
      <c r="C26">
        <v>49</v>
      </c>
      <c r="D26">
        <v>12000</v>
      </c>
      <c r="E26">
        <f t="shared" si="0"/>
        <v>588000</v>
      </c>
    </row>
    <row r="27" spans="1:5" hidden="1">
      <c r="A27" t="s">
        <v>8</v>
      </c>
      <c r="B27" t="s">
        <v>9</v>
      </c>
      <c r="C27">
        <v>0</v>
      </c>
      <c r="E27">
        <f t="shared" si="0"/>
        <v>0</v>
      </c>
    </row>
    <row r="28" spans="1:5">
      <c r="A28" t="s">
        <v>10</v>
      </c>
      <c r="B28" t="s">
        <v>3</v>
      </c>
      <c r="C28">
        <v>45</v>
      </c>
      <c r="D28">
        <v>14000</v>
      </c>
      <c r="E28">
        <f t="shared" si="0"/>
        <v>630000</v>
      </c>
    </row>
    <row r="29" spans="1:5" hidden="1">
      <c r="A29" t="s">
        <v>10</v>
      </c>
      <c r="B29" t="s">
        <v>9</v>
      </c>
      <c r="C29">
        <v>0</v>
      </c>
      <c r="E29">
        <f t="shared" si="0"/>
        <v>0</v>
      </c>
    </row>
    <row r="30" spans="1:5">
      <c r="A30" t="s">
        <v>18</v>
      </c>
      <c r="B30" t="s">
        <v>3</v>
      </c>
      <c r="C30">
        <v>72</v>
      </c>
      <c r="D30">
        <v>12000</v>
      </c>
      <c r="E30">
        <f t="shared" si="0"/>
        <v>864000</v>
      </c>
    </row>
    <row r="31" spans="1:5">
      <c r="A31" t="s">
        <v>18</v>
      </c>
      <c r="B31" t="s">
        <v>19</v>
      </c>
      <c r="C31">
        <v>20</v>
      </c>
      <c r="D31">
        <v>11500</v>
      </c>
      <c r="E31">
        <f t="shared" si="0"/>
        <v>230000</v>
      </c>
    </row>
    <row r="32" spans="1:5">
      <c r="A32" t="s">
        <v>28</v>
      </c>
      <c r="B32" t="s">
        <v>3</v>
      </c>
      <c r="C32">
        <v>250</v>
      </c>
      <c r="D32">
        <v>12000</v>
      </c>
      <c r="E32">
        <f t="shared" si="0"/>
        <v>3000000</v>
      </c>
    </row>
    <row r="33" spans="1:5" hidden="1">
      <c r="A33" t="s">
        <v>28</v>
      </c>
      <c r="B33" t="s">
        <v>17</v>
      </c>
      <c r="C33">
        <v>0</v>
      </c>
      <c r="E33">
        <f t="shared" si="0"/>
        <v>0</v>
      </c>
    </row>
    <row r="34" spans="1:5" hidden="1">
      <c r="A34" t="s">
        <v>29</v>
      </c>
      <c r="B34" t="s">
        <v>30</v>
      </c>
      <c r="C34">
        <v>0</v>
      </c>
      <c r="E34">
        <f t="shared" si="0"/>
        <v>0</v>
      </c>
    </row>
    <row r="35" spans="1:5" hidden="1">
      <c r="A35" t="s">
        <v>65</v>
      </c>
      <c r="B35" t="s">
        <v>3</v>
      </c>
      <c r="C35">
        <v>0</v>
      </c>
      <c r="E35">
        <f t="shared" si="0"/>
        <v>0</v>
      </c>
    </row>
    <row r="36" spans="1:5">
      <c r="A36" t="s">
        <v>65</v>
      </c>
      <c r="B36" t="s">
        <v>17</v>
      </c>
      <c r="C36">
        <v>367</v>
      </c>
      <c r="D36">
        <v>6500</v>
      </c>
      <c r="E36">
        <f t="shared" si="0"/>
        <v>2385500</v>
      </c>
    </row>
    <row r="37" spans="1:5">
      <c r="A37" t="s">
        <v>67</v>
      </c>
      <c r="B37" t="s">
        <v>3</v>
      </c>
      <c r="C37">
        <v>14</v>
      </c>
      <c r="D37">
        <v>12000</v>
      </c>
      <c r="E37">
        <f t="shared" si="0"/>
        <v>168000</v>
      </c>
    </row>
    <row r="38" spans="1:5" hidden="1">
      <c r="A38" t="s">
        <v>74</v>
      </c>
      <c r="B38" t="s">
        <v>3</v>
      </c>
      <c r="C38">
        <v>0</v>
      </c>
      <c r="E38">
        <f t="shared" si="0"/>
        <v>0</v>
      </c>
    </row>
    <row r="39" spans="1:5" hidden="1">
      <c r="A39" t="s">
        <v>74</v>
      </c>
      <c r="B39" t="s">
        <v>9</v>
      </c>
      <c r="C39">
        <v>0</v>
      </c>
      <c r="E39">
        <f t="shared" si="0"/>
        <v>0</v>
      </c>
    </row>
    <row r="40" spans="1:5">
      <c r="A40" t="s">
        <v>76</v>
      </c>
      <c r="B40" t="s">
        <v>3</v>
      </c>
      <c r="C40">
        <v>2</v>
      </c>
      <c r="D40">
        <v>52000</v>
      </c>
      <c r="E40">
        <f t="shared" si="0"/>
        <v>104000</v>
      </c>
    </row>
    <row r="41" spans="1:5" hidden="1">
      <c r="A41" t="s">
        <v>76</v>
      </c>
      <c r="B41" t="s">
        <v>9</v>
      </c>
      <c r="C41">
        <v>0</v>
      </c>
      <c r="E41">
        <f t="shared" si="0"/>
        <v>0</v>
      </c>
    </row>
    <row r="42" spans="1:5">
      <c r="A42" t="s">
        <v>78</v>
      </c>
      <c r="B42" t="s">
        <v>3</v>
      </c>
      <c r="C42">
        <v>62</v>
      </c>
      <c r="D42">
        <v>35000</v>
      </c>
      <c r="E42">
        <f t="shared" si="0"/>
        <v>2170000</v>
      </c>
    </row>
    <row r="43" spans="1:5" hidden="1">
      <c r="A43" t="s">
        <v>78</v>
      </c>
      <c r="B43" t="s">
        <v>9</v>
      </c>
      <c r="C43">
        <v>0</v>
      </c>
      <c r="E43">
        <f t="shared" si="0"/>
        <v>0</v>
      </c>
    </row>
    <row r="44" spans="1:5" hidden="1">
      <c r="A44" t="s">
        <v>72</v>
      </c>
      <c r="B44" t="s">
        <v>17</v>
      </c>
      <c r="C44">
        <v>0</v>
      </c>
      <c r="E44">
        <f t="shared" si="0"/>
        <v>0</v>
      </c>
    </row>
    <row r="45" spans="1:5">
      <c r="A45" t="s">
        <v>50</v>
      </c>
      <c r="B45" t="s">
        <v>3</v>
      </c>
      <c r="C45">
        <v>1550</v>
      </c>
      <c r="D45">
        <v>26500</v>
      </c>
      <c r="E45">
        <f t="shared" si="0"/>
        <v>41075000</v>
      </c>
    </row>
    <row r="46" spans="1:5" hidden="1">
      <c r="A46" t="s">
        <v>22</v>
      </c>
      <c r="B46" t="s">
        <v>3</v>
      </c>
      <c r="C46">
        <v>0</v>
      </c>
      <c r="E46">
        <f t="shared" si="0"/>
        <v>0</v>
      </c>
    </row>
    <row r="47" spans="1:5">
      <c r="A47" t="s">
        <v>22</v>
      </c>
      <c r="B47" t="s">
        <v>23</v>
      </c>
      <c r="C47">
        <v>80</v>
      </c>
      <c r="D47">
        <v>5400</v>
      </c>
      <c r="E47">
        <f t="shared" si="0"/>
        <v>432000</v>
      </c>
    </row>
    <row r="48" spans="1:5" hidden="1">
      <c r="A48" t="s">
        <v>69</v>
      </c>
      <c r="B48" t="s">
        <v>3</v>
      </c>
      <c r="C48">
        <v>0</v>
      </c>
      <c r="E48">
        <f t="shared" si="0"/>
        <v>0</v>
      </c>
    </row>
    <row r="49" spans="1:5">
      <c r="A49" t="s">
        <v>2</v>
      </c>
      <c r="B49" t="s">
        <v>3</v>
      </c>
      <c r="C49">
        <v>27</v>
      </c>
      <c r="D49">
        <v>15000</v>
      </c>
      <c r="E49">
        <f t="shared" si="0"/>
        <v>405000</v>
      </c>
    </row>
    <row r="50" spans="1:5" hidden="1">
      <c r="A50" t="s">
        <v>4</v>
      </c>
      <c r="B50" t="s">
        <v>3</v>
      </c>
      <c r="C50">
        <v>0</v>
      </c>
      <c r="E50">
        <f t="shared" si="0"/>
        <v>0</v>
      </c>
    </row>
    <row r="51" spans="1:5" hidden="1">
      <c r="A51" t="s">
        <v>12</v>
      </c>
      <c r="B51" t="s">
        <v>3</v>
      </c>
      <c r="C51">
        <v>0</v>
      </c>
      <c r="E51">
        <f t="shared" si="0"/>
        <v>0</v>
      </c>
    </row>
    <row r="52" spans="1:5">
      <c r="A52" t="s">
        <v>20</v>
      </c>
      <c r="B52" t="s">
        <v>3</v>
      </c>
      <c r="C52">
        <v>27</v>
      </c>
      <c r="D52">
        <v>12000</v>
      </c>
      <c r="E52">
        <f t="shared" si="0"/>
        <v>324000</v>
      </c>
    </row>
    <row r="53" spans="1:5" hidden="1">
      <c r="A53" t="s">
        <v>20</v>
      </c>
      <c r="B53" t="s">
        <v>21</v>
      </c>
      <c r="C53">
        <v>0</v>
      </c>
      <c r="E53">
        <f t="shared" si="0"/>
        <v>0</v>
      </c>
    </row>
    <row r="54" spans="1:5" hidden="1">
      <c r="A54" t="s">
        <v>26</v>
      </c>
      <c r="B54" t="s">
        <v>3</v>
      </c>
      <c r="C54">
        <v>0</v>
      </c>
      <c r="E54">
        <f t="shared" si="0"/>
        <v>0</v>
      </c>
    </row>
    <row r="55" spans="1:5">
      <c r="A55" t="s">
        <v>26</v>
      </c>
      <c r="B55" t="s">
        <v>27</v>
      </c>
      <c r="C55">
        <v>220</v>
      </c>
      <c r="D55">
        <v>7500</v>
      </c>
      <c r="E55">
        <f t="shared" si="0"/>
        <v>1650000</v>
      </c>
    </row>
    <row r="56" spans="1:5" hidden="1">
      <c r="A56" t="s">
        <v>33</v>
      </c>
      <c r="B56" t="s">
        <v>3</v>
      </c>
      <c r="C56">
        <v>0</v>
      </c>
      <c r="E56">
        <f t="shared" si="0"/>
        <v>0</v>
      </c>
    </row>
    <row r="57" spans="1:5" hidden="1">
      <c r="A57" t="s">
        <v>33</v>
      </c>
      <c r="B57" t="s">
        <v>34</v>
      </c>
      <c r="C57">
        <v>0</v>
      </c>
      <c r="E57">
        <f t="shared" si="0"/>
        <v>0</v>
      </c>
    </row>
    <row r="58" spans="1:5">
      <c r="A58" t="s">
        <v>36</v>
      </c>
      <c r="B58" t="s">
        <v>30</v>
      </c>
      <c r="C58">
        <v>7</v>
      </c>
      <c r="D58">
        <v>3000</v>
      </c>
      <c r="E58">
        <f t="shared" si="0"/>
        <v>21000</v>
      </c>
    </row>
    <row r="59" spans="1:5" hidden="1">
      <c r="A59" t="s">
        <v>54</v>
      </c>
      <c r="B59" t="s">
        <v>3</v>
      </c>
      <c r="C59">
        <v>0</v>
      </c>
      <c r="E59">
        <f t="shared" si="0"/>
        <v>0</v>
      </c>
    </row>
    <row r="60" spans="1:5">
      <c r="A60" t="s">
        <v>41</v>
      </c>
      <c r="B60" t="s">
        <v>3</v>
      </c>
      <c r="C60">
        <v>144</v>
      </c>
      <c r="D60">
        <v>14000</v>
      </c>
      <c r="E60">
        <f t="shared" si="0"/>
        <v>2016000</v>
      </c>
    </row>
    <row r="61" spans="1:5">
      <c r="A61" t="s">
        <v>44</v>
      </c>
      <c r="B61" t="s">
        <v>3</v>
      </c>
      <c r="C61">
        <v>32</v>
      </c>
      <c r="D61">
        <v>5500</v>
      </c>
      <c r="E61">
        <f t="shared" si="0"/>
        <v>176000</v>
      </c>
    </row>
    <row r="62" spans="1:5">
      <c r="A62" t="s">
        <v>46</v>
      </c>
      <c r="B62" t="s">
        <v>3</v>
      </c>
      <c r="C62">
        <v>5</v>
      </c>
      <c r="D62">
        <v>18000</v>
      </c>
      <c r="E62">
        <f t="shared" si="0"/>
        <v>90000</v>
      </c>
    </row>
    <row r="63" spans="1:5" hidden="1">
      <c r="A63" t="s">
        <v>58</v>
      </c>
      <c r="B63" t="s">
        <v>3</v>
      </c>
      <c r="C63">
        <v>0</v>
      </c>
      <c r="E63">
        <f t="shared" si="0"/>
        <v>0</v>
      </c>
    </row>
    <row r="64" spans="1:5" hidden="1">
      <c r="A64" t="s">
        <v>59</v>
      </c>
      <c r="B64" t="s">
        <v>30</v>
      </c>
      <c r="C64">
        <v>0</v>
      </c>
      <c r="E64">
        <f t="shared" si="0"/>
        <v>0</v>
      </c>
    </row>
    <row r="65" spans="1:5" hidden="1">
      <c r="A65" t="s">
        <v>60</v>
      </c>
      <c r="B65" t="s">
        <v>3</v>
      </c>
      <c r="C65">
        <v>0</v>
      </c>
      <c r="E65">
        <f t="shared" si="0"/>
        <v>0</v>
      </c>
    </row>
    <row r="66" spans="1:5">
      <c r="A66" t="s">
        <v>60</v>
      </c>
      <c r="B66" t="s">
        <v>61</v>
      </c>
      <c r="C66">
        <v>86</v>
      </c>
      <c r="D66">
        <v>7000</v>
      </c>
      <c r="E66">
        <f t="shared" si="0"/>
        <v>602000</v>
      </c>
    </row>
    <row r="67" spans="1:5" hidden="1">
      <c r="A67" t="s">
        <v>62</v>
      </c>
      <c r="B67" t="s">
        <v>3</v>
      </c>
      <c r="C67">
        <v>0</v>
      </c>
      <c r="E67">
        <f t="shared" si="0"/>
        <v>0</v>
      </c>
    </row>
    <row r="68" spans="1:5">
      <c r="A68" t="s">
        <v>63</v>
      </c>
      <c r="B68" t="s">
        <v>3</v>
      </c>
      <c r="C68">
        <v>1</v>
      </c>
      <c r="D68">
        <v>70000</v>
      </c>
      <c r="E68">
        <f t="shared" ref="E68:E131" si="1">C68*D68</f>
        <v>70000</v>
      </c>
    </row>
    <row r="69" spans="1:5" hidden="1">
      <c r="A69" t="s">
        <v>64</v>
      </c>
      <c r="B69" t="s">
        <v>3</v>
      </c>
      <c r="C69">
        <v>0</v>
      </c>
      <c r="E69">
        <f t="shared" si="1"/>
        <v>0</v>
      </c>
    </row>
    <row r="70" spans="1:5" hidden="1">
      <c r="A70" t="s">
        <v>68</v>
      </c>
      <c r="B70" t="s">
        <v>40</v>
      </c>
      <c r="C70">
        <v>0</v>
      </c>
      <c r="E70">
        <f t="shared" si="1"/>
        <v>0</v>
      </c>
    </row>
    <row r="71" spans="1:5">
      <c r="A71" t="s">
        <v>68</v>
      </c>
      <c r="B71" t="s">
        <v>3</v>
      </c>
      <c r="C71">
        <v>64</v>
      </c>
      <c r="D71">
        <v>12000</v>
      </c>
      <c r="E71">
        <f t="shared" si="1"/>
        <v>768000</v>
      </c>
    </row>
    <row r="72" spans="1:5">
      <c r="A72" t="s">
        <v>85</v>
      </c>
      <c r="B72" t="s">
        <v>3</v>
      </c>
      <c r="C72">
        <v>7</v>
      </c>
      <c r="D72">
        <v>14000</v>
      </c>
      <c r="E72">
        <f t="shared" si="1"/>
        <v>98000</v>
      </c>
    </row>
    <row r="73" spans="1:5">
      <c r="A73" t="s">
        <v>70</v>
      </c>
      <c r="B73" t="s">
        <v>3</v>
      </c>
      <c r="C73">
        <v>17</v>
      </c>
      <c r="D73">
        <v>3000</v>
      </c>
      <c r="E73">
        <f t="shared" si="1"/>
        <v>51000</v>
      </c>
    </row>
    <row r="74" spans="1:5" hidden="1">
      <c r="A74" t="s">
        <v>70</v>
      </c>
      <c r="B74" t="s">
        <v>30</v>
      </c>
      <c r="C74">
        <v>0</v>
      </c>
      <c r="E74">
        <f t="shared" si="1"/>
        <v>0</v>
      </c>
    </row>
    <row r="75" spans="1:5">
      <c r="A75" t="s">
        <v>71</v>
      </c>
      <c r="B75" t="s">
        <v>3</v>
      </c>
      <c r="C75">
        <v>68</v>
      </c>
      <c r="D75">
        <v>14000</v>
      </c>
      <c r="E75">
        <f t="shared" si="1"/>
        <v>952000</v>
      </c>
    </row>
    <row r="76" spans="1:5" hidden="1">
      <c r="A76" t="s">
        <v>73</v>
      </c>
      <c r="B76" t="s">
        <v>25</v>
      </c>
      <c r="C76">
        <v>0</v>
      </c>
      <c r="E76">
        <f t="shared" si="1"/>
        <v>0</v>
      </c>
    </row>
    <row r="77" spans="1:5">
      <c r="A77" t="s">
        <v>73</v>
      </c>
      <c r="B77" t="s">
        <v>3</v>
      </c>
      <c r="C77">
        <v>6</v>
      </c>
      <c r="D77">
        <v>50000</v>
      </c>
      <c r="E77">
        <f t="shared" si="1"/>
        <v>300000</v>
      </c>
    </row>
    <row r="78" spans="1:5">
      <c r="A78" t="s">
        <v>79</v>
      </c>
      <c r="B78" t="s">
        <v>30</v>
      </c>
      <c r="C78">
        <v>45</v>
      </c>
      <c r="D78">
        <v>18000</v>
      </c>
      <c r="E78">
        <f t="shared" si="1"/>
        <v>810000</v>
      </c>
    </row>
    <row r="79" spans="1:5">
      <c r="A79" t="s">
        <v>87</v>
      </c>
      <c r="B79" t="s">
        <v>3</v>
      </c>
      <c r="C79">
        <v>169</v>
      </c>
      <c r="D79">
        <v>4000</v>
      </c>
      <c r="E79">
        <f t="shared" si="1"/>
        <v>676000</v>
      </c>
    </row>
    <row r="80" spans="1:5" hidden="1">
      <c r="A80" t="s">
        <v>91</v>
      </c>
      <c r="B80" t="s">
        <v>3</v>
      </c>
      <c r="C80">
        <v>0</v>
      </c>
      <c r="E80">
        <f t="shared" si="1"/>
        <v>0</v>
      </c>
    </row>
    <row r="81" spans="1:5">
      <c r="A81" t="s">
        <v>94</v>
      </c>
      <c r="B81" t="s">
        <v>3</v>
      </c>
      <c r="C81">
        <v>6</v>
      </c>
      <c r="D81">
        <v>30000</v>
      </c>
      <c r="E81">
        <f t="shared" si="1"/>
        <v>180000</v>
      </c>
    </row>
    <row r="82" spans="1:5" hidden="1">
      <c r="A82" t="s">
        <v>15</v>
      </c>
      <c r="B82" t="s">
        <v>3</v>
      </c>
      <c r="C82">
        <v>0</v>
      </c>
      <c r="E82">
        <f t="shared" si="1"/>
        <v>0</v>
      </c>
    </row>
    <row r="83" spans="1:5">
      <c r="A83" t="s">
        <v>6</v>
      </c>
      <c r="B83" t="s">
        <v>3</v>
      </c>
      <c r="C83">
        <v>290</v>
      </c>
      <c r="D83">
        <v>9000</v>
      </c>
      <c r="E83">
        <f t="shared" si="1"/>
        <v>2610000</v>
      </c>
    </row>
    <row r="84" spans="1:5" hidden="1">
      <c r="A84" t="s">
        <v>80</v>
      </c>
      <c r="B84" t="s">
        <v>30</v>
      </c>
      <c r="C84">
        <v>0</v>
      </c>
      <c r="E84">
        <f t="shared" si="1"/>
        <v>0</v>
      </c>
    </row>
    <row r="85" spans="1:5" hidden="1">
      <c r="A85" t="s">
        <v>90</v>
      </c>
      <c r="B85" t="s">
        <v>40</v>
      </c>
      <c r="C85">
        <v>0</v>
      </c>
      <c r="E85">
        <f t="shared" si="1"/>
        <v>0</v>
      </c>
    </row>
    <row r="86" spans="1:5">
      <c r="A86" t="s">
        <v>57</v>
      </c>
      <c r="B86" t="s">
        <v>30</v>
      </c>
      <c r="C86">
        <v>40</v>
      </c>
      <c r="D86">
        <v>7000</v>
      </c>
      <c r="E86">
        <f t="shared" si="1"/>
        <v>280000</v>
      </c>
    </row>
    <row r="87" spans="1:5" hidden="1">
      <c r="A87" t="s">
        <v>95</v>
      </c>
      <c r="B87" t="s">
        <v>40</v>
      </c>
      <c r="C87">
        <v>0</v>
      </c>
      <c r="E87">
        <f t="shared" si="1"/>
        <v>0</v>
      </c>
    </row>
    <row r="88" spans="1:5" hidden="1">
      <c r="A88" t="s">
        <v>92</v>
      </c>
      <c r="B88" t="s">
        <v>40</v>
      </c>
      <c r="C88">
        <v>0</v>
      </c>
      <c r="E88">
        <f t="shared" si="1"/>
        <v>0</v>
      </c>
    </row>
    <row r="89" spans="1:5" hidden="1">
      <c r="A89" t="s">
        <v>109</v>
      </c>
      <c r="B89" t="s">
        <v>25</v>
      </c>
      <c r="C89">
        <v>0</v>
      </c>
      <c r="E89">
        <f t="shared" si="1"/>
        <v>0</v>
      </c>
    </row>
    <row r="90" spans="1:5">
      <c r="A90" t="s">
        <v>14</v>
      </c>
      <c r="B90" t="s">
        <v>3</v>
      </c>
      <c r="C90">
        <v>210</v>
      </c>
      <c r="D90">
        <v>10000</v>
      </c>
      <c r="E90">
        <f t="shared" si="1"/>
        <v>2100000</v>
      </c>
    </row>
    <row r="91" spans="1:5">
      <c r="A91" t="s">
        <v>88</v>
      </c>
      <c r="B91" t="s">
        <v>3</v>
      </c>
      <c r="C91">
        <v>8</v>
      </c>
      <c r="D91">
        <v>13000</v>
      </c>
      <c r="E91">
        <f t="shared" si="1"/>
        <v>104000</v>
      </c>
    </row>
    <row r="92" spans="1:5" hidden="1">
      <c r="A92" t="s">
        <v>66</v>
      </c>
      <c r="B92" t="s">
        <v>3</v>
      </c>
      <c r="C92">
        <v>0</v>
      </c>
      <c r="E92">
        <f t="shared" si="1"/>
        <v>0</v>
      </c>
    </row>
    <row r="93" spans="1:5">
      <c r="A93" t="s">
        <v>96</v>
      </c>
      <c r="B93" t="s">
        <v>3</v>
      </c>
      <c r="C93">
        <v>7</v>
      </c>
      <c r="D93">
        <v>12000</v>
      </c>
      <c r="E93">
        <f t="shared" si="1"/>
        <v>84000</v>
      </c>
    </row>
    <row r="94" spans="1:5">
      <c r="E94">
        <f>SUM(E3:E93)</f>
        <v>145887500</v>
      </c>
    </row>
    <row r="95" spans="1:5">
      <c r="A95" t="s">
        <v>115</v>
      </c>
    </row>
    <row r="96" spans="1:5">
      <c r="A96" t="s">
        <v>106</v>
      </c>
      <c r="B96" t="s">
        <v>0</v>
      </c>
      <c r="C96" t="s">
        <v>111</v>
      </c>
      <c r="D96" t="s">
        <v>112</v>
      </c>
      <c r="E96" t="s">
        <v>113</v>
      </c>
    </row>
    <row r="97" spans="1:5">
      <c r="A97" t="s">
        <v>31</v>
      </c>
      <c r="B97" t="s">
        <v>3</v>
      </c>
      <c r="C97">
        <v>71.5</v>
      </c>
      <c r="D97">
        <v>9000</v>
      </c>
      <c r="E97">
        <f t="shared" si="1"/>
        <v>643500</v>
      </c>
    </row>
    <row r="98" spans="1:5">
      <c r="A98" t="s">
        <v>44</v>
      </c>
      <c r="B98" t="s">
        <v>3</v>
      </c>
      <c r="C98">
        <v>27.5</v>
      </c>
      <c r="D98">
        <v>5500</v>
      </c>
      <c r="E98">
        <f t="shared" si="1"/>
        <v>151250</v>
      </c>
    </row>
    <row r="99" spans="1:5">
      <c r="A99" t="s">
        <v>45</v>
      </c>
      <c r="B99" t="s">
        <v>3</v>
      </c>
      <c r="C99">
        <v>5.5</v>
      </c>
      <c r="D99">
        <v>10000</v>
      </c>
      <c r="E99">
        <f t="shared" si="1"/>
        <v>55000</v>
      </c>
    </row>
    <row r="100" spans="1:5">
      <c r="A100" t="s">
        <v>47</v>
      </c>
      <c r="B100" t="s">
        <v>3</v>
      </c>
      <c r="C100">
        <v>44</v>
      </c>
      <c r="D100">
        <v>9000</v>
      </c>
      <c r="E100">
        <f t="shared" si="1"/>
        <v>396000</v>
      </c>
    </row>
    <row r="101" spans="1:5" hidden="1">
      <c r="A101" t="s">
        <v>53</v>
      </c>
      <c r="B101" t="s">
        <v>3</v>
      </c>
      <c r="C101">
        <v>0</v>
      </c>
      <c r="E101">
        <f t="shared" si="1"/>
        <v>0</v>
      </c>
    </row>
    <row r="102" spans="1:5">
      <c r="A102" t="s">
        <v>56</v>
      </c>
      <c r="B102" t="s">
        <v>3</v>
      </c>
      <c r="C102">
        <v>38.5</v>
      </c>
      <c r="D102">
        <v>14500</v>
      </c>
      <c r="E102">
        <f t="shared" si="1"/>
        <v>558250</v>
      </c>
    </row>
    <row r="103" spans="1:5">
      <c r="A103" t="s">
        <v>58</v>
      </c>
      <c r="B103" t="s">
        <v>3</v>
      </c>
      <c r="C103">
        <v>10</v>
      </c>
      <c r="D103">
        <v>11000</v>
      </c>
      <c r="E103">
        <f t="shared" si="1"/>
        <v>110000</v>
      </c>
    </row>
    <row r="104" spans="1:5">
      <c r="A104" t="s">
        <v>97</v>
      </c>
      <c r="B104" t="s">
        <v>3</v>
      </c>
      <c r="C104">
        <v>67</v>
      </c>
      <c r="D104">
        <v>13000</v>
      </c>
      <c r="E104">
        <f t="shared" si="1"/>
        <v>871000</v>
      </c>
    </row>
    <row r="105" spans="1:5" hidden="1">
      <c r="A105" t="s">
        <v>2</v>
      </c>
      <c r="B105" t="s">
        <v>3</v>
      </c>
      <c r="C105">
        <v>0</v>
      </c>
      <c r="E105">
        <f t="shared" si="1"/>
        <v>0</v>
      </c>
    </row>
    <row r="106" spans="1:5">
      <c r="A106" t="s">
        <v>4</v>
      </c>
      <c r="B106" t="s">
        <v>3</v>
      </c>
      <c r="C106">
        <v>271</v>
      </c>
      <c r="D106">
        <v>6000</v>
      </c>
      <c r="E106">
        <f t="shared" si="1"/>
        <v>1626000</v>
      </c>
    </row>
    <row r="107" spans="1:5">
      <c r="A107" t="s">
        <v>5</v>
      </c>
      <c r="B107" t="s">
        <v>3</v>
      </c>
      <c r="C107">
        <v>88</v>
      </c>
      <c r="D107">
        <v>6000</v>
      </c>
      <c r="E107">
        <f t="shared" si="1"/>
        <v>528000</v>
      </c>
    </row>
    <row r="108" spans="1:5">
      <c r="A108" t="s">
        <v>38</v>
      </c>
      <c r="B108" t="s">
        <v>3</v>
      </c>
      <c r="C108">
        <v>1034</v>
      </c>
      <c r="D108">
        <v>6000</v>
      </c>
      <c r="E108">
        <f t="shared" si="1"/>
        <v>6204000</v>
      </c>
    </row>
    <row r="109" spans="1:5">
      <c r="A109" t="s">
        <v>39</v>
      </c>
      <c r="B109" t="s">
        <v>3</v>
      </c>
      <c r="C109">
        <v>16.5</v>
      </c>
      <c r="D109">
        <v>18000</v>
      </c>
      <c r="E109">
        <f t="shared" si="1"/>
        <v>297000</v>
      </c>
    </row>
    <row r="110" spans="1:5">
      <c r="A110" t="s">
        <v>68</v>
      </c>
      <c r="B110" t="s">
        <v>3</v>
      </c>
      <c r="C110">
        <v>11</v>
      </c>
      <c r="D110">
        <v>12000</v>
      </c>
      <c r="E110">
        <f t="shared" si="1"/>
        <v>132000</v>
      </c>
    </row>
    <row r="111" spans="1:5" hidden="1">
      <c r="A111" t="s">
        <v>95</v>
      </c>
      <c r="B111" t="s">
        <v>40</v>
      </c>
      <c r="C111">
        <v>0</v>
      </c>
      <c r="E111">
        <f t="shared" si="1"/>
        <v>0</v>
      </c>
    </row>
    <row r="112" spans="1:5">
      <c r="A112" t="s">
        <v>7</v>
      </c>
      <c r="B112" t="s">
        <v>3</v>
      </c>
      <c r="C112">
        <v>44</v>
      </c>
      <c r="D112">
        <v>11000</v>
      </c>
      <c r="E112">
        <f t="shared" si="1"/>
        <v>484000</v>
      </c>
    </row>
    <row r="113" spans="1:5">
      <c r="A113" t="s">
        <v>8</v>
      </c>
      <c r="B113" t="s">
        <v>3</v>
      </c>
      <c r="C113">
        <v>11</v>
      </c>
      <c r="D113">
        <v>12000</v>
      </c>
      <c r="E113">
        <f t="shared" si="1"/>
        <v>132000</v>
      </c>
    </row>
    <row r="114" spans="1:5">
      <c r="A114" t="s">
        <v>18</v>
      </c>
      <c r="B114" t="s">
        <v>3</v>
      </c>
      <c r="C114">
        <v>33</v>
      </c>
      <c r="D114">
        <v>12000</v>
      </c>
      <c r="E114">
        <f t="shared" si="1"/>
        <v>396000</v>
      </c>
    </row>
    <row r="115" spans="1:5" hidden="1">
      <c r="A115" t="s">
        <v>28</v>
      </c>
      <c r="B115" t="s">
        <v>3</v>
      </c>
      <c r="C115">
        <v>0</v>
      </c>
      <c r="E115">
        <f t="shared" si="1"/>
        <v>0</v>
      </c>
    </row>
    <row r="116" spans="1:5">
      <c r="A116" t="s">
        <v>33</v>
      </c>
      <c r="B116" t="s">
        <v>3</v>
      </c>
      <c r="C116">
        <v>19.8</v>
      </c>
      <c r="D116">
        <v>8000</v>
      </c>
      <c r="E116">
        <f t="shared" si="1"/>
        <v>158400</v>
      </c>
    </row>
    <row r="117" spans="1:5" hidden="1">
      <c r="A117" t="s">
        <v>74</v>
      </c>
      <c r="B117" t="s">
        <v>3</v>
      </c>
      <c r="C117">
        <v>0</v>
      </c>
      <c r="E117">
        <f t="shared" si="1"/>
        <v>0</v>
      </c>
    </row>
    <row r="118" spans="1:5">
      <c r="A118" t="s">
        <v>76</v>
      </c>
      <c r="B118" t="s">
        <v>3</v>
      </c>
      <c r="C118">
        <v>3.3</v>
      </c>
      <c r="D118">
        <v>52000</v>
      </c>
      <c r="E118">
        <f t="shared" si="1"/>
        <v>171600</v>
      </c>
    </row>
    <row r="119" spans="1:5">
      <c r="A119" t="s">
        <v>78</v>
      </c>
      <c r="B119" t="s">
        <v>3</v>
      </c>
      <c r="C119">
        <v>3.3</v>
      </c>
      <c r="D119">
        <v>35000</v>
      </c>
      <c r="E119">
        <f t="shared" si="1"/>
        <v>115500</v>
      </c>
    </row>
    <row r="120" spans="1:5">
      <c r="A120" t="s">
        <v>87</v>
      </c>
      <c r="B120" t="s">
        <v>3</v>
      </c>
      <c r="C120">
        <v>11</v>
      </c>
      <c r="D120">
        <v>4000</v>
      </c>
      <c r="E120">
        <f t="shared" si="1"/>
        <v>44000</v>
      </c>
    </row>
    <row r="121" spans="1:5">
      <c r="A121" t="s">
        <v>100</v>
      </c>
      <c r="B121" t="s">
        <v>3</v>
      </c>
      <c r="C121">
        <v>8</v>
      </c>
      <c r="D121">
        <v>27000</v>
      </c>
      <c r="E121">
        <f t="shared" si="1"/>
        <v>216000</v>
      </c>
    </row>
    <row r="122" spans="1:5" hidden="1">
      <c r="A122" t="s">
        <v>98</v>
      </c>
      <c r="B122" t="s">
        <v>3</v>
      </c>
      <c r="C122">
        <v>0</v>
      </c>
      <c r="E122">
        <f t="shared" si="1"/>
        <v>0</v>
      </c>
    </row>
    <row r="123" spans="1:5" hidden="1">
      <c r="A123" t="s">
        <v>65</v>
      </c>
      <c r="B123" t="s">
        <v>3</v>
      </c>
      <c r="C123">
        <v>0</v>
      </c>
      <c r="E123">
        <f t="shared" si="1"/>
        <v>0</v>
      </c>
    </row>
    <row r="124" spans="1:5">
      <c r="A124" t="s">
        <v>65</v>
      </c>
      <c r="B124" t="s">
        <v>17</v>
      </c>
      <c r="C124">
        <v>20</v>
      </c>
      <c r="D124">
        <v>6500</v>
      </c>
      <c r="E124">
        <f t="shared" si="1"/>
        <v>130000</v>
      </c>
    </row>
    <row r="125" spans="1:5" hidden="1">
      <c r="A125" t="s">
        <v>59</v>
      </c>
      <c r="B125" t="s">
        <v>30</v>
      </c>
      <c r="C125">
        <v>0</v>
      </c>
      <c r="E125">
        <f t="shared" si="1"/>
        <v>0</v>
      </c>
    </row>
    <row r="126" spans="1:5">
      <c r="A126" t="s">
        <v>60</v>
      </c>
      <c r="B126" t="s">
        <v>30</v>
      </c>
      <c r="C126">
        <v>22</v>
      </c>
      <c r="D126">
        <v>7000</v>
      </c>
      <c r="E126">
        <f t="shared" si="1"/>
        <v>154000</v>
      </c>
    </row>
    <row r="127" spans="1:5" hidden="1">
      <c r="A127" t="s">
        <v>92</v>
      </c>
      <c r="B127" t="s">
        <v>40</v>
      </c>
      <c r="C127">
        <v>0</v>
      </c>
      <c r="E127">
        <f t="shared" si="1"/>
        <v>0</v>
      </c>
    </row>
    <row r="128" spans="1:5" hidden="1">
      <c r="A128" t="s">
        <v>90</v>
      </c>
      <c r="B128" t="s">
        <v>40</v>
      </c>
      <c r="C128">
        <v>0</v>
      </c>
      <c r="E128">
        <f t="shared" si="1"/>
        <v>0</v>
      </c>
    </row>
    <row r="129" spans="1:5" hidden="1">
      <c r="A129" t="s">
        <v>99</v>
      </c>
      <c r="B129" t="s">
        <v>3</v>
      </c>
      <c r="C129">
        <v>0</v>
      </c>
      <c r="E129">
        <f t="shared" si="1"/>
        <v>0</v>
      </c>
    </row>
    <row r="130" spans="1:5" hidden="1">
      <c r="A130" t="s">
        <v>116</v>
      </c>
      <c r="B130" t="s">
        <v>3</v>
      </c>
      <c r="C130">
        <v>0</v>
      </c>
      <c r="E130">
        <f t="shared" si="1"/>
        <v>0</v>
      </c>
    </row>
    <row r="131" spans="1:5" hidden="1">
      <c r="A131" t="s">
        <v>12</v>
      </c>
      <c r="B131" t="s">
        <v>3</v>
      </c>
      <c r="C131">
        <v>0</v>
      </c>
      <c r="E131">
        <f t="shared" si="1"/>
        <v>0</v>
      </c>
    </row>
    <row r="132" spans="1:5">
      <c r="E132">
        <f>SUM(E97:E126)</f>
        <v>13573500</v>
      </c>
    </row>
    <row r="133" spans="1:5">
      <c r="E133">
        <f>E132+E94</f>
        <v>159461000</v>
      </c>
    </row>
  </sheetData>
  <autoFilter ref="A2:E131">
    <filterColumn colId="2">
      <filters>
        <filter val="1"/>
        <filter val="10"/>
        <filter val="1034"/>
        <filter val="11"/>
        <filter val="130"/>
        <filter val="14"/>
        <filter val="1400"/>
        <filter val="144"/>
        <filter val="15"/>
        <filter val="1550"/>
        <filter val="1575"/>
        <filter val="16.5"/>
        <filter val="169"/>
        <filter val="17"/>
        <filter val="19"/>
        <filter val="19.8"/>
        <filter val="2"/>
        <filter val="20"/>
        <filter val="210"/>
        <filter val="218"/>
        <filter val="22"/>
        <filter val="220"/>
        <filter val="250"/>
        <filter val="27"/>
        <filter val="27.5"/>
        <filter val="271"/>
        <filter val="282"/>
        <filter val="285"/>
        <filter val="290"/>
        <filter val="3.3"/>
        <filter val="32"/>
        <filter val="33"/>
        <filter val="34"/>
        <filter val="361"/>
        <filter val="367"/>
        <filter val="38.5"/>
        <filter val="40"/>
        <filter val="400"/>
        <filter val="44"/>
        <filter val="45"/>
        <filter val="49"/>
        <filter val="5"/>
        <filter val="5.5"/>
        <filter val="53"/>
        <filter val="6"/>
        <filter val="62"/>
        <filter val="64"/>
        <filter val="67"/>
        <filter val="68"/>
        <filter val="7"/>
        <filter val="71.5"/>
        <filter val="72"/>
        <filter val="8"/>
        <filter val="80"/>
        <filter val="86"/>
        <filter val="88"/>
        <filter val="Tồn_x000a_ĐL_x000a__x000a_現在庫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148"/>
  <sheetViews>
    <sheetView topLeftCell="A129" workbookViewId="0">
      <selection activeCell="E148" sqref="E148"/>
    </sheetView>
  </sheetViews>
  <sheetFormatPr defaultRowHeight="13.8"/>
  <cols>
    <col min="1" max="1" width="25.19921875" customWidth="1"/>
    <col min="4" max="4" width="11.3984375" customWidth="1"/>
    <col min="5" max="5" width="16.796875" customWidth="1"/>
  </cols>
  <sheetData>
    <row r="1" spans="1:5">
      <c r="A1" s="27" t="s">
        <v>126</v>
      </c>
    </row>
    <row r="2" spans="1:5">
      <c r="A2" t="s">
        <v>106</v>
      </c>
      <c r="B2" t="s">
        <v>0</v>
      </c>
      <c r="C2" t="s">
        <v>111</v>
      </c>
      <c r="D2" t="s">
        <v>112</v>
      </c>
      <c r="E2" t="s">
        <v>113</v>
      </c>
    </row>
    <row r="3" spans="1:5" hidden="1">
      <c r="A3" t="s">
        <v>2</v>
      </c>
      <c r="B3" t="s">
        <v>3</v>
      </c>
      <c r="C3">
        <v>0</v>
      </c>
      <c r="E3">
        <f>C3*D3</f>
        <v>0</v>
      </c>
    </row>
    <row r="4" spans="1:5" hidden="1">
      <c r="A4" t="s">
        <v>4</v>
      </c>
      <c r="B4" t="s">
        <v>3</v>
      </c>
      <c r="C4">
        <v>0</v>
      </c>
      <c r="E4">
        <f t="shared" ref="E4:E67" si="0">C4*D4</f>
        <v>0</v>
      </c>
    </row>
    <row r="5" spans="1:5" hidden="1">
      <c r="A5" t="s">
        <v>5</v>
      </c>
      <c r="B5" t="s">
        <v>3</v>
      </c>
      <c r="C5">
        <v>0</v>
      </c>
      <c r="E5">
        <f t="shared" si="0"/>
        <v>0</v>
      </c>
    </row>
    <row r="6" spans="1:5">
      <c r="A6" t="s">
        <v>6</v>
      </c>
      <c r="B6" t="s">
        <v>3</v>
      </c>
      <c r="C6">
        <v>270</v>
      </c>
      <c r="D6">
        <v>9000</v>
      </c>
      <c r="E6" s="29">
        <f t="shared" si="0"/>
        <v>2430000</v>
      </c>
    </row>
    <row r="7" spans="1:5">
      <c r="A7" t="s">
        <v>7</v>
      </c>
      <c r="B7" t="s">
        <v>3</v>
      </c>
      <c r="C7">
        <v>108</v>
      </c>
      <c r="D7">
        <v>12500</v>
      </c>
      <c r="E7" s="29">
        <f t="shared" si="0"/>
        <v>1350000</v>
      </c>
    </row>
    <row r="8" spans="1:5" hidden="1">
      <c r="A8" t="s">
        <v>116</v>
      </c>
      <c r="B8" t="s">
        <v>3</v>
      </c>
      <c r="C8">
        <v>0</v>
      </c>
      <c r="E8">
        <f t="shared" si="0"/>
        <v>0</v>
      </c>
    </row>
    <row r="9" spans="1:5" hidden="1">
      <c r="A9" t="s">
        <v>8</v>
      </c>
      <c r="B9" t="s">
        <v>3</v>
      </c>
      <c r="C9">
        <v>0</v>
      </c>
      <c r="E9">
        <f t="shared" si="0"/>
        <v>0</v>
      </c>
    </row>
    <row r="10" spans="1:5" hidden="1">
      <c r="A10" t="s">
        <v>8</v>
      </c>
      <c r="B10" t="s">
        <v>9</v>
      </c>
      <c r="C10">
        <v>0</v>
      </c>
      <c r="E10">
        <f t="shared" si="0"/>
        <v>0</v>
      </c>
    </row>
    <row r="11" spans="1:5">
      <c r="A11" t="s">
        <v>10</v>
      </c>
      <c r="B11" t="s">
        <v>3</v>
      </c>
      <c r="C11">
        <v>28</v>
      </c>
      <c r="D11">
        <v>11000</v>
      </c>
      <c r="E11" s="29">
        <f t="shared" si="0"/>
        <v>308000</v>
      </c>
    </row>
    <row r="12" spans="1:5" hidden="1">
      <c r="A12" t="s">
        <v>10</v>
      </c>
      <c r="B12" t="s">
        <v>9</v>
      </c>
      <c r="C12">
        <v>0</v>
      </c>
      <c r="E12">
        <f t="shared" si="0"/>
        <v>0</v>
      </c>
    </row>
    <row r="13" spans="1:5" hidden="1">
      <c r="A13" t="s">
        <v>12</v>
      </c>
      <c r="B13" t="s">
        <v>3</v>
      </c>
      <c r="C13">
        <v>0</v>
      </c>
      <c r="E13">
        <f t="shared" si="0"/>
        <v>0</v>
      </c>
    </row>
    <row r="14" spans="1:5">
      <c r="A14" t="s">
        <v>14</v>
      </c>
      <c r="B14" t="s">
        <v>3</v>
      </c>
      <c r="C14">
        <v>30</v>
      </c>
      <c r="D14">
        <v>10000</v>
      </c>
      <c r="E14" s="29">
        <f t="shared" si="0"/>
        <v>300000</v>
      </c>
    </row>
    <row r="15" spans="1:5" hidden="1">
      <c r="A15" t="s">
        <v>15</v>
      </c>
      <c r="B15" t="s">
        <v>3</v>
      </c>
      <c r="C15">
        <v>0</v>
      </c>
      <c r="E15">
        <f t="shared" si="0"/>
        <v>0</v>
      </c>
    </row>
    <row r="16" spans="1:5" hidden="1">
      <c r="A16" t="s">
        <v>16</v>
      </c>
      <c r="B16" t="s">
        <v>17</v>
      </c>
      <c r="C16">
        <v>0</v>
      </c>
      <c r="E16">
        <f t="shared" si="0"/>
        <v>0</v>
      </c>
    </row>
    <row r="17" spans="1:5" hidden="1">
      <c r="A17" t="s">
        <v>18</v>
      </c>
      <c r="B17" t="s">
        <v>3</v>
      </c>
      <c r="C17">
        <v>0</v>
      </c>
      <c r="E17">
        <f t="shared" si="0"/>
        <v>0</v>
      </c>
    </row>
    <row r="18" spans="1:5" hidden="1">
      <c r="A18" t="s">
        <v>18</v>
      </c>
      <c r="B18" t="s">
        <v>19</v>
      </c>
      <c r="C18">
        <v>0</v>
      </c>
      <c r="E18">
        <f t="shared" si="0"/>
        <v>0</v>
      </c>
    </row>
    <row r="19" spans="1:5">
      <c r="A19" t="s">
        <v>20</v>
      </c>
      <c r="B19" t="s">
        <v>3</v>
      </c>
      <c r="C19">
        <v>45</v>
      </c>
      <c r="D19">
        <v>12000</v>
      </c>
      <c r="E19" s="29">
        <f t="shared" si="0"/>
        <v>540000</v>
      </c>
    </row>
    <row r="20" spans="1:5">
      <c r="A20" t="s">
        <v>20</v>
      </c>
      <c r="B20" t="s">
        <v>21</v>
      </c>
      <c r="C20">
        <v>15</v>
      </c>
      <c r="D20">
        <v>7000</v>
      </c>
      <c r="E20" s="29">
        <f t="shared" si="0"/>
        <v>105000</v>
      </c>
    </row>
    <row r="21" spans="1:5" hidden="1">
      <c r="A21" t="s">
        <v>22</v>
      </c>
      <c r="B21" t="s">
        <v>3</v>
      </c>
      <c r="C21">
        <v>0</v>
      </c>
      <c r="E21">
        <f t="shared" si="0"/>
        <v>0</v>
      </c>
    </row>
    <row r="22" spans="1:5">
      <c r="A22" t="s">
        <v>22</v>
      </c>
      <c r="B22" t="s">
        <v>23</v>
      </c>
      <c r="C22">
        <v>86</v>
      </c>
      <c r="D22">
        <v>5400</v>
      </c>
      <c r="E22" s="29">
        <f t="shared" si="0"/>
        <v>464400</v>
      </c>
    </row>
    <row r="23" spans="1:5" hidden="1">
      <c r="A23" t="s">
        <v>24</v>
      </c>
      <c r="B23" t="s">
        <v>25</v>
      </c>
      <c r="C23">
        <v>0</v>
      </c>
      <c r="E23">
        <f t="shared" si="0"/>
        <v>0</v>
      </c>
    </row>
    <row r="24" spans="1:5" hidden="1">
      <c r="A24" t="s">
        <v>26</v>
      </c>
      <c r="B24" t="s">
        <v>3</v>
      </c>
      <c r="C24">
        <v>0</v>
      </c>
      <c r="E24">
        <f t="shared" si="0"/>
        <v>0</v>
      </c>
    </row>
    <row r="25" spans="1:5">
      <c r="A25" t="s">
        <v>26</v>
      </c>
      <c r="B25" t="s">
        <v>27</v>
      </c>
      <c r="C25">
        <v>250</v>
      </c>
      <c r="D25">
        <v>7500</v>
      </c>
      <c r="E25" s="29">
        <f t="shared" si="0"/>
        <v>1875000</v>
      </c>
    </row>
    <row r="26" spans="1:5" hidden="1">
      <c r="A26" t="s">
        <v>28</v>
      </c>
      <c r="B26" t="s">
        <v>3</v>
      </c>
      <c r="C26">
        <v>0</v>
      </c>
      <c r="E26">
        <f t="shared" si="0"/>
        <v>0</v>
      </c>
    </row>
    <row r="27" spans="1:5" hidden="1">
      <c r="A27" t="s">
        <v>28</v>
      </c>
      <c r="B27" t="s">
        <v>17</v>
      </c>
      <c r="C27">
        <v>0</v>
      </c>
      <c r="E27">
        <f t="shared" si="0"/>
        <v>0</v>
      </c>
    </row>
    <row r="28" spans="1:5">
      <c r="A28" t="s">
        <v>29</v>
      </c>
      <c r="B28" t="s">
        <v>30</v>
      </c>
      <c r="C28">
        <v>320</v>
      </c>
      <c r="D28">
        <v>11000</v>
      </c>
      <c r="E28" s="29">
        <f t="shared" si="0"/>
        <v>3520000</v>
      </c>
    </row>
    <row r="29" spans="1:5" hidden="1">
      <c r="A29" t="s">
        <v>31</v>
      </c>
      <c r="B29" t="s">
        <v>3</v>
      </c>
      <c r="C29">
        <v>0</v>
      </c>
      <c r="E29">
        <f t="shared" si="0"/>
        <v>0</v>
      </c>
    </row>
    <row r="30" spans="1:5" hidden="1">
      <c r="A30" t="s">
        <v>31</v>
      </c>
      <c r="B30" t="s">
        <v>30</v>
      </c>
      <c r="C30">
        <v>0</v>
      </c>
      <c r="E30">
        <f t="shared" si="0"/>
        <v>0</v>
      </c>
    </row>
    <row r="31" spans="1:5" hidden="1">
      <c r="A31" t="s">
        <v>32</v>
      </c>
      <c r="B31" t="s">
        <v>3</v>
      </c>
      <c r="C31">
        <v>0</v>
      </c>
      <c r="E31">
        <f t="shared" si="0"/>
        <v>0</v>
      </c>
    </row>
    <row r="32" spans="1:5">
      <c r="A32" t="s">
        <v>32</v>
      </c>
      <c r="B32" t="s">
        <v>17</v>
      </c>
      <c r="C32">
        <v>15</v>
      </c>
      <c r="D32">
        <v>6000</v>
      </c>
      <c r="E32" s="29">
        <f t="shared" si="0"/>
        <v>90000</v>
      </c>
    </row>
    <row r="33" spans="1:5">
      <c r="A33" t="s">
        <v>33</v>
      </c>
      <c r="B33" t="s">
        <v>3</v>
      </c>
      <c r="C33">
        <v>20</v>
      </c>
      <c r="D33">
        <v>8000</v>
      </c>
      <c r="E33" s="29">
        <f t="shared" si="0"/>
        <v>160000</v>
      </c>
    </row>
    <row r="34" spans="1:5" hidden="1">
      <c r="A34" t="s">
        <v>33</v>
      </c>
      <c r="B34" t="s">
        <v>34</v>
      </c>
      <c r="C34">
        <v>0</v>
      </c>
      <c r="E34">
        <f t="shared" si="0"/>
        <v>0</v>
      </c>
    </row>
    <row r="35" spans="1:5">
      <c r="A35" t="s">
        <v>35</v>
      </c>
      <c r="B35" t="s">
        <v>3</v>
      </c>
      <c r="C35">
        <v>12</v>
      </c>
      <c r="D35">
        <v>15000</v>
      </c>
      <c r="E35" s="29">
        <f t="shared" si="0"/>
        <v>180000</v>
      </c>
    </row>
    <row r="36" spans="1:5" hidden="1">
      <c r="A36" t="s">
        <v>35</v>
      </c>
      <c r="B36" t="s">
        <v>30</v>
      </c>
      <c r="C36">
        <v>0</v>
      </c>
      <c r="E36">
        <f t="shared" si="0"/>
        <v>0</v>
      </c>
    </row>
    <row r="37" spans="1:5" hidden="1">
      <c r="A37" t="s">
        <v>36</v>
      </c>
      <c r="B37" t="s">
        <v>3</v>
      </c>
      <c r="C37">
        <v>0</v>
      </c>
      <c r="E37">
        <f t="shared" si="0"/>
        <v>0</v>
      </c>
    </row>
    <row r="38" spans="1:5">
      <c r="A38" t="s">
        <v>36</v>
      </c>
      <c r="B38" t="s">
        <v>30</v>
      </c>
      <c r="C38">
        <v>4</v>
      </c>
      <c r="D38">
        <v>3000</v>
      </c>
      <c r="E38" s="29">
        <f t="shared" si="0"/>
        <v>12000</v>
      </c>
    </row>
    <row r="39" spans="1:5" hidden="1">
      <c r="A39" t="s">
        <v>37</v>
      </c>
      <c r="B39" t="s">
        <v>3</v>
      </c>
      <c r="C39">
        <v>0</v>
      </c>
      <c r="E39">
        <f t="shared" si="0"/>
        <v>0</v>
      </c>
    </row>
    <row r="40" spans="1:5" hidden="1">
      <c r="A40" t="s">
        <v>37</v>
      </c>
      <c r="B40" t="s">
        <v>30</v>
      </c>
      <c r="C40">
        <v>0</v>
      </c>
      <c r="E40">
        <f t="shared" si="0"/>
        <v>0</v>
      </c>
    </row>
    <row r="41" spans="1:5">
      <c r="A41" t="s">
        <v>38</v>
      </c>
      <c r="B41" t="s">
        <v>3</v>
      </c>
      <c r="C41">
        <v>705</v>
      </c>
      <c r="D41">
        <v>5500</v>
      </c>
      <c r="E41" s="29">
        <f t="shared" si="0"/>
        <v>3877500</v>
      </c>
    </row>
    <row r="42" spans="1:5" hidden="1">
      <c r="A42" t="s">
        <v>98</v>
      </c>
      <c r="B42" t="s">
        <v>3</v>
      </c>
      <c r="C42">
        <v>0</v>
      </c>
      <c r="E42">
        <f t="shared" si="0"/>
        <v>0</v>
      </c>
    </row>
    <row r="43" spans="1:5" hidden="1">
      <c r="A43" t="s">
        <v>39</v>
      </c>
      <c r="B43" t="s">
        <v>40</v>
      </c>
      <c r="C43">
        <v>0</v>
      </c>
      <c r="E43">
        <f t="shared" si="0"/>
        <v>0</v>
      </c>
    </row>
    <row r="44" spans="1:5" hidden="1">
      <c r="A44" t="s">
        <v>39</v>
      </c>
      <c r="B44" t="s">
        <v>3</v>
      </c>
      <c r="C44">
        <v>0</v>
      </c>
      <c r="E44">
        <f t="shared" si="0"/>
        <v>0</v>
      </c>
    </row>
    <row r="45" spans="1:5">
      <c r="A45" t="s">
        <v>41</v>
      </c>
      <c r="B45" t="s">
        <v>3</v>
      </c>
      <c r="C45">
        <v>105</v>
      </c>
      <c r="D45">
        <v>14000</v>
      </c>
      <c r="E45" s="29">
        <f t="shared" si="0"/>
        <v>1470000</v>
      </c>
    </row>
    <row r="46" spans="1:5">
      <c r="A46" t="s">
        <v>42</v>
      </c>
      <c r="B46" t="s">
        <v>25</v>
      </c>
      <c r="C46">
        <v>37</v>
      </c>
      <c r="D46">
        <v>10000</v>
      </c>
      <c r="E46" s="29">
        <f t="shared" si="0"/>
        <v>370000</v>
      </c>
    </row>
    <row r="47" spans="1:5" hidden="1">
      <c r="A47" t="s">
        <v>42</v>
      </c>
      <c r="B47" t="s">
        <v>3</v>
      </c>
      <c r="C47">
        <v>0</v>
      </c>
      <c r="E47">
        <f t="shared" si="0"/>
        <v>0</v>
      </c>
    </row>
    <row r="48" spans="1:5">
      <c r="A48" t="s">
        <v>43</v>
      </c>
      <c r="B48" t="s">
        <v>3</v>
      </c>
      <c r="C48">
        <v>1</v>
      </c>
      <c r="D48">
        <v>16000</v>
      </c>
      <c r="E48" s="29">
        <f t="shared" si="0"/>
        <v>16000</v>
      </c>
    </row>
    <row r="49" spans="1:5">
      <c r="A49" t="s">
        <v>44</v>
      </c>
      <c r="B49" t="s">
        <v>3</v>
      </c>
      <c r="C49">
        <v>20</v>
      </c>
      <c r="D49">
        <v>5500</v>
      </c>
      <c r="E49" s="29">
        <f t="shared" si="0"/>
        <v>110000</v>
      </c>
    </row>
    <row r="50" spans="1:5">
      <c r="A50" t="s">
        <v>45</v>
      </c>
      <c r="B50" t="s">
        <v>3</v>
      </c>
      <c r="C50">
        <v>45</v>
      </c>
      <c r="D50">
        <v>10000</v>
      </c>
      <c r="E50" s="29">
        <f t="shared" si="0"/>
        <v>450000</v>
      </c>
    </row>
    <row r="51" spans="1:5" hidden="1">
      <c r="A51" t="s">
        <v>45</v>
      </c>
      <c r="B51" t="s">
        <v>30</v>
      </c>
      <c r="C51">
        <v>0</v>
      </c>
      <c r="E51">
        <f t="shared" si="0"/>
        <v>0</v>
      </c>
    </row>
    <row r="52" spans="1:5">
      <c r="A52" t="s">
        <v>46</v>
      </c>
      <c r="B52" t="s">
        <v>3</v>
      </c>
      <c r="C52">
        <v>10</v>
      </c>
      <c r="D52">
        <v>18000</v>
      </c>
      <c r="E52" s="29">
        <f t="shared" si="0"/>
        <v>180000</v>
      </c>
    </row>
    <row r="53" spans="1:5">
      <c r="A53" t="s">
        <v>47</v>
      </c>
      <c r="B53" t="s">
        <v>3</v>
      </c>
      <c r="C53">
        <v>80</v>
      </c>
      <c r="D53">
        <v>9000</v>
      </c>
      <c r="E53" s="29">
        <f t="shared" si="0"/>
        <v>720000</v>
      </c>
    </row>
    <row r="54" spans="1:5" hidden="1">
      <c r="A54" t="s">
        <v>47</v>
      </c>
      <c r="B54" t="s">
        <v>48</v>
      </c>
      <c r="C54">
        <v>0</v>
      </c>
      <c r="E54">
        <f t="shared" si="0"/>
        <v>0</v>
      </c>
    </row>
    <row r="55" spans="1:5">
      <c r="A55" t="s">
        <v>49</v>
      </c>
      <c r="B55" t="s">
        <v>30</v>
      </c>
      <c r="C55">
        <v>200</v>
      </c>
      <c r="D55">
        <v>2100</v>
      </c>
      <c r="E55" s="29">
        <f t="shared" si="0"/>
        <v>420000</v>
      </c>
    </row>
    <row r="56" spans="1:5">
      <c r="A56" t="s">
        <v>50</v>
      </c>
      <c r="B56" t="s">
        <v>3</v>
      </c>
      <c r="C56">
        <v>1340</v>
      </c>
      <c r="D56">
        <v>26500</v>
      </c>
      <c r="E56" s="29">
        <f t="shared" si="0"/>
        <v>35510000</v>
      </c>
    </row>
    <row r="57" spans="1:5">
      <c r="A57" t="s">
        <v>51</v>
      </c>
      <c r="B57" t="s">
        <v>3</v>
      </c>
      <c r="C57">
        <v>1530</v>
      </c>
      <c r="D57">
        <v>27000</v>
      </c>
      <c r="E57" s="29">
        <f t="shared" si="0"/>
        <v>41310000</v>
      </c>
    </row>
    <row r="58" spans="1:5" hidden="1">
      <c r="A58" t="s">
        <v>51</v>
      </c>
      <c r="B58" t="s">
        <v>30</v>
      </c>
      <c r="C58">
        <v>0</v>
      </c>
      <c r="E58">
        <f t="shared" si="0"/>
        <v>0</v>
      </c>
    </row>
    <row r="59" spans="1:5">
      <c r="A59" t="s">
        <v>53</v>
      </c>
      <c r="B59" t="s">
        <v>3</v>
      </c>
      <c r="C59">
        <v>75</v>
      </c>
      <c r="D59">
        <v>17000</v>
      </c>
      <c r="E59" s="29">
        <f t="shared" si="0"/>
        <v>1275000</v>
      </c>
    </row>
    <row r="60" spans="1:5" hidden="1">
      <c r="A60" t="s">
        <v>54</v>
      </c>
      <c r="B60" t="s">
        <v>3</v>
      </c>
      <c r="C60">
        <v>0</v>
      </c>
      <c r="E60">
        <f t="shared" si="0"/>
        <v>0</v>
      </c>
    </row>
    <row r="61" spans="1:5" hidden="1">
      <c r="A61" t="s">
        <v>108</v>
      </c>
      <c r="B61" t="s">
        <v>3</v>
      </c>
      <c r="C61">
        <v>0</v>
      </c>
      <c r="E61">
        <f t="shared" si="0"/>
        <v>0</v>
      </c>
    </row>
    <row r="62" spans="1:5">
      <c r="A62" t="s">
        <v>56</v>
      </c>
      <c r="B62" t="s">
        <v>3</v>
      </c>
      <c r="C62">
        <v>996</v>
      </c>
      <c r="D62">
        <v>14500</v>
      </c>
      <c r="E62" s="29">
        <f t="shared" si="0"/>
        <v>14442000</v>
      </c>
    </row>
    <row r="63" spans="1:5" hidden="1">
      <c r="A63" t="s">
        <v>56</v>
      </c>
      <c r="B63" t="s">
        <v>30</v>
      </c>
      <c r="C63">
        <v>0</v>
      </c>
      <c r="E63">
        <f t="shared" si="0"/>
        <v>0</v>
      </c>
    </row>
    <row r="64" spans="1:5">
      <c r="A64" t="s">
        <v>57</v>
      </c>
      <c r="B64" t="s">
        <v>30</v>
      </c>
      <c r="C64">
        <v>40</v>
      </c>
      <c r="D64">
        <v>7000</v>
      </c>
      <c r="E64" s="29">
        <f t="shared" si="0"/>
        <v>280000</v>
      </c>
    </row>
    <row r="65" spans="1:5" hidden="1">
      <c r="A65" t="s">
        <v>58</v>
      </c>
      <c r="B65" t="s">
        <v>3</v>
      </c>
      <c r="C65">
        <v>0</v>
      </c>
      <c r="E65">
        <f t="shared" si="0"/>
        <v>0</v>
      </c>
    </row>
    <row r="66" spans="1:5" hidden="1">
      <c r="A66" t="s">
        <v>59</v>
      </c>
      <c r="B66" t="s">
        <v>30</v>
      </c>
      <c r="C66">
        <v>0</v>
      </c>
      <c r="E66">
        <f t="shared" si="0"/>
        <v>0</v>
      </c>
    </row>
    <row r="67" spans="1:5" hidden="1">
      <c r="A67" t="s">
        <v>60</v>
      </c>
      <c r="B67" t="s">
        <v>3</v>
      </c>
      <c r="C67">
        <v>0</v>
      </c>
      <c r="E67">
        <f t="shared" si="0"/>
        <v>0</v>
      </c>
    </row>
    <row r="68" spans="1:5">
      <c r="A68" t="s">
        <v>60</v>
      </c>
      <c r="B68" t="s">
        <v>61</v>
      </c>
      <c r="C68">
        <v>37</v>
      </c>
      <c r="D68">
        <v>7000</v>
      </c>
      <c r="E68" s="29">
        <f t="shared" ref="E68:E133" si="1">C68*D68</f>
        <v>259000</v>
      </c>
    </row>
    <row r="69" spans="1:5" hidden="1">
      <c r="A69" t="s">
        <v>62</v>
      </c>
      <c r="B69" t="s">
        <v>3</v>
      </c>
      <c r="C69">
        <v>0</v>
      </c>
      <c r="E69">
        <f t="shared" si="1"/>
        <v>0</v>
      </c>
    </row>
    <row r="70" spans="1:5" hidden="1">
      <c r="A70" t="s">
        <v>119</v>
      </c>
      <c r="B70" t="s">
        <v>3</v>
      </c>
      <c r="C70">
        <v>0</v>
      </c>
      <c r="E70">
        <f t="shared" si="1"/>
        <v>0</v>
      </c>
    </row>
    <row r="71" spans="1:5" hidden="1">
      <c r="A71" t="s">
        <v>63</v>
      </c>
      <c r="B71" t="s">
        <v>3</v>
      </c>
      <c r="C71">
        <v>0</v>
      </c>
      <c r="E71">
        <f t="shared" si="1"/>
        <v>0</v>
      </c>
    </row>
    <row r="72" spans="1:5" hidden="1">
      <c r="A72" t="s">
        <v>64</v>
      </c>
      <c r="B72" t="s">
        <v>3</v>
      </c>
      <c r="C72">
        <v>0</v>
      </c>
      <c r="E72">
        <f t="shared" si="1"/>
        <v>0</v>
      </c>
    </row>
    <row r="73" spans="1:5" hidden="1">
      <c r="A73" t="s">
        <v>65</v>
      </c>
      <c r="B73" t="s">
        <v>3</v>
      </c>
      <c r="C73">
        <v>0</v>
      </c>
      <c r="E73">
        <f t="shared" si="1"/>
        <v>0</v>
      </c>
    </row>
    <row r="74" spans="1:5" hidden="1">
      <c r="A74" t="s">
        <v>65</v>
      </c>
      <c r="B74" t="s">
        <v>17</v>
      </c>
      <c r="C74">
        <v>0</v>
      </c>
      <c r="E74">
        <f t="shared" si="1"/>
        <v>0</v>
      </c>
    </row>
    <row r="75" spans="1:5" hidden="1">
      <c r="A75" t="s">
        <v>66</v>
      </c>
      <c r="B75" t="s">
        <v>3</v>
      </c>
      <c r="C75">
        <v>0</v>
      </c>
      <c r="E75">
        <f t="shared" si="1"/>
        <v>0</v>
      </c>
    </row>
    <row r="76" spans="1:5" hidden="1">
      <c r="A76" t="s">
        <v>67</v>
      </c>
      <c r="B76" t="s">
        <v>3</v>
      </c>
      <c r="C76">
        <v>0</v>
      </c>
      <c r="E76">
        <f t="shared" si="1"/>
        <v>0</v>
      </c>
    </row>
    <row r="77" spans="1:5" hidden="1">
      <c r="A77" t="s">
        <v>68</v>
      </c>
      <c r="B77" t="s">
        <v>40</v>
      </c>
      <c r="C77">
        <v>0</v>
      </c>
      <c r="E77">
        <f t="shared" si="1"/>
        <v>0</v>
      </c>
    </row>
    <row r="78" spans="1:5" hidden="1">
      <c r="A78" t="s">
        <v>68</v>
      </c>
      <c r="B78" t="s">
        <v>3</v>
      </c>
      <c r="C78">
        <v>0</v>
      </c>
      <c r="E78">
        <f t="shared" si="1"/>
        <v>0</v>
      </c>
    </row>
    <row r="79" spans="1:5" hidden="1">
      <c r="A79" t="s">
        <v>69</v>
      </c>
      <c r="B79" t="s">
        <v>3</v>
      </c>
      <c r="C79">
        <v>0</v>
      </c>
      <c r="E79">
        <f t="shared" si="1"/>
        <v>0</v>
      </c>
    </row>
    <row r="80" spans="1:5" hidden="1">
      <c r="A80" t="s">
        <v>70</v>
      </c>
      <c r="B80" t="s">
        <v>30</v>
      </c>
      <c r="C80">
        <v>0</v>
      </c>
      <c r="E80">
        <f t="shared" si="1"/>
        <v>0</v>
      </c>
    </row>
    <row r="81" spans="1:5">
      <c r="A81" t="s">
        <v>71</v>
      </c>
      <c r="B81" t="s">
        <v>3</v>
      </c>
      <c r="C81">
        <v>50</v>
      </c>
      <c r="D81">
        <v>14000</v>
      </c>
      <c r="E81" s="29">
        <f t="shared" si="1"/>
        <v>700000</v>
      </c>
    </row>
    <row r="82" spans="1:5" hidden="1">
      <c r="A82" t="s">
        <v>72</v>
      </c>
      <c r="B82" t="s">
        <v>17</v>
      </c>
      <c r="C82">
        <v>0</v>
      </c>
      <c r="E82">
        <f t="shared" si="1"/>
        <v>0</v>
      </c>
    </row>
    <row r="83" spans="1:5" hidden="1">
      <c r="A83" t="s">
        <v>73</v>
      </c>
      <c r="B83" t="s">
        <v>25</v>
      </c>
      <c r="C83">
        <v>0</v>
      </c>
      <c r="E83">
        <f t="shared" si="1"/>
        <v>0</v>
      </c>
    </row>
    <row r="84" spans="1:5">
      <c r="A84" t="s">
        <v>73</v>
      </c>
      <c r="B84" t="s">
        <v>3</v>
      </c>
      <c r="C84">
        <v>7</v>
      </c>
      <c r="D84">
        <v>55000</v>
      </c>
      <c r="E84" s="29">
        <f t="shared" si="1"/>
        <v>385000</v>
      </c>
    </row>
    <row r="85" spans="1:5" hidden="1">
      <c r="A85" t="s">
        <v>74</v>
      </c>
      <c r="B85" t="s">
        <v>3</v>
      </c>
      <c r="C85">
        <v>0</v>
      </c>
      <c r="E85">
        <f t="shared" si="1"/>
        <v>0</v>
      </c>
    </row>
    <row r="86" spans="1:5" hidden="1">
      <c r="A86" t="s">
        <v>74</v>
      </c>
      <c r="B86" t="s">
        <v>9</v>
      </c>
      <c r="C86">
        <v>0</v>
      </c>
      <c r="E86">
        <f t="shared" si="1"/>
        <v>0</v>
      </c>
    </row>
    <row r="87" spans="1:5" hidden="1">
      <c r="A87" t="s">
        <v>76</v>
      </c>
      <c r="B87" t="s">
        <v>3</v>
      </c>
      <c r="C87">
        <v>0</v>
      </c>
      <c r="E87">
        <f t="shared" si="1"/>
        <v>0</v>
      </c>
    </row>
    <row r="88" spans="1:5" hidden="1">
      <c r="A88" t="s">
        <v>76</v>
      </c>
      <c r="B88" t="s">
        <v>9</v>
      </c>
      <c r="C88">
        <v>0</v>
      </c>
      <c r="E88">
        <f t="shared" si="1"/>
        <v>0</v>
      </c>
    </row>
    <row r="89" spans="1:5">
      <c r="A89" t="s">
        <v>78</v>
      </c>
      <c r="B89" t="s">
        <v>3</v>
      </c>
      <c r="C89">
        <v>75</v>
      </c>
      <c r="D89">
        <v>32000</v>
      </c>
      <c r="E89" s="29">
        <f t="shared" si="1"/>
        <v>2400000</v>
      </c>
    </row>
    <row r="90" spans="1:5" hidden="1">
      <c r="A90" t="s">
        <v>78</v>
      </c>
      <c r="B90" t="s">
        <v>9</v>
      </c>
      <c r="C90">
        <v>0</v>
      </c>
      <c r="E90">
        <f t="shared" si="1"/>
        <v>0</v>
      </c>
    </row>
    <row r="91" spans="1:5">
      <c r="A91" t="s">
        <v>79</v>
      </c>
      <c r="B91" t="s">
        <v>3</v>
      </c>
      <c r="C91">
        <v>40</v>
      </c>
      <c r="D91">
        <v>45000</v>
      </c>
      <c r="E91" s="29">
        <f t="shared" si="1"/>
        <v>1800000</v>
      </c>
    </row>
    <row r="92" spans="1:5" hidden="1">
      <c r="A92" t="s">
        <v>79</v>
      </c>
      <c r="B92" t="s">
        <v>30</v>
      </c>
      <c r="C92">
        <v>0</v>
      </c>
      <c r="E92">
        <f t="shared" si="1"/>
        <v>0</v>
      </c>
    </row>
    <row r="93" spans="1:5" hidden="1">
      <c r="A93" t="s">
        <v>81</v>
      </c>
      <c r="B93" t="s">
        <v>9</v>
      </c>
      <c r="C93">
        <v>0</v>
      </c>
      <c r="E93">
        <f t="shared" si="1"/>
        <v>0</v>
      </c>
    </row>
    <row r="94" spans="1:5" hidden="1">
      <c r="A94" t="s">
        <v>84</v>
      </c>
      <c r="B94" t="s">
        <v>3</v>
      </c>
      <c r="C94">
        <v>0</v>
      </c>
      <c r="E94">
        <f t="shared" si="1"/>
        <v>0</v>
      </c>
    </row>
    <row r="95" spans="1:5">
      <c r="A95" t="s">
        <v>85</v>
      </c>
      <c r="B95" t="s">
        <v>3</v>
      </c>
      <c r="C95">
        <v>25</v>
      </c>
      <c r="D95">
        <v>7000</v>
      </c>
      <c r="E95" s="29">
        <f t="shared" si="1"/>
        <v>175000</v>
      </c>
    </row>
    <row r="96" spans="1:5">
      <c r="A96" t="s">
        <v>87</v>
      </c>
      <c r="B96" t="s">
        <v>3</v>
      </c>
      <c r="C96">
        <v>169</v>
      </c>
      <c r="D96">
        <v>4000</v>
      </c>
      <c r="E96" s="29">
        <f t="shared" si="1"/>
        <v>676000</v>
      </c>
    </row>
    <row r="97" spans="1:5" hidden="1">
      <c r="A97" t="s">
        <v>125</v>
      </c>
      <c r="B97" t="s">
        <v>3</v>
      </c>
      <c r="C97">
        <v>0</v>
      </c>
      <c r="E97">
        <f t="shared" si="1"/>
        <v>0</v>
      </c>
    </row>
    <row r="98" spans="1:5" hidden="1">
      <c r="A98" t="s">
        <v>88</v>
      </c>
      <c r="B98" t="s">
        <v>3</v>
      </c>
      <c r="C98">
        <v>0</v>
      </c>
      <c r="E98">
        <f t="shared" si="1"/>
        <v>0</v>
      </c>
    </row>
    <row r="99" spans="1:5" hidden="1">
      <c r="A99" t="s">
        <v>89</v>
      </c>
      <c r="B99" t="s">
        <v>3</v>
      </c>
      <c r="C99">
        <v>0</v>
      </c>
      <c r="E99">
        <f t="shared" si="1"/>
        <v>0</v>
      </c>
    </row>
    <row r="100" spans="1:5" hidden="1">
      <c r="A100" t="s">
        <v>90</v>
      </c>
      <c r="B100" t="s">
        <v>40</v>
      </c>
      <c r="C100">
        <v>0</v>
      </c>
      <c r="E100">
        <f t="shared" si="1"/>
        <v>0</v>
      </c>
    </row>
    <row r="101" spans="1:5" hidden="1">
      <c r="A101" t="s">
        <v>91</v>
      </c>
      <c r="B101" t="s">
        <v>3</v>
      </c>
      <c r="C101">
        <v>0</v>
      </c>
      <c r="E101">
        <f t="shared" si="1"/>
        <v>0</v>
      </c>
    </row>
    <row r="102" spans="1:5" hidden="1">
      <c r="A102" t="s">
        <v>92</v>
      </c>
      <c r="B102" t="s">
        <v>40</v>
      </c>
      <c r="C102">
        <v>0</v>
      </c>
      <c r="E102">
        <f t="shared" si="1"/>
        <v>0</v>
      </c>
    </row>
    <row r="103" spans="1:5" hidden="1">
      <c r="A103" t="s">
        <v>93</v>
      </c>
      <c r="B103" t="s">
        <v>3</v>
      </c>
      <c r="C103">
        <v>0</v>
      </c>
      <c r="E103">
        <f t="shared" si="1"/>
        <v>0</v>
      </c>
    </row>
    <row r="104" spans="1:5">
      <c r="A104" t="s">
        <v>94</v>
      </c>
      <c r="B104" t="s">
        <v>3</v>
      </c>
      <c r="C104">
        <v>14</v>
      </c>
      <c r="D104">
        <v>30000</v>
      </c>
      <c r="E104" s="29">
        <f t="shared" si="1"/>
        <v>420000</v>
      </c>
    </row>
    <row r="105" spans="1:5" hidden="1">
      <c r="A105" t="s">
        <v>95</v>
      </c>
      <c r="B105" t="s">
        <v>40</v>
      </c>
      <c r="C105">
        <v>0</v>
      </c>
      <c r="E105">
        <f t="shared" si="1"/>
        <v>0</v>
      </c>
    </row>
    <row r="106" spans="1:5">
      <c r="E106" s="28">
        <f>SUM(E6:E104)</f>
        <v>118579900</v>
      </c>
    </row>
    <row r="107" spans="1:5">
      <c r="A107" t="s">
        <v>115</v>
      </c>
    </row>
    <row r="108" spans="1:5">
      <c r="A108" t="s">
        <v>106</v>
      </c>
      <c r="B108" t="s">
        <v>0</v>
      </c>
      <c r="C108" t="s">
        <v>111</v>
      </c>
      <c r="D108" t="s">
        <v>112</v>
      </c>
      <c r="E108" t="s">
        <v>127</v>
      </c>
    </row>
    <row r="109" spans="1:5" hidden="1">
      <c r="A109" t="s">
        <v>2</v>
      </c>
      <c r="B109" t="s">
        <v>3</v>
      </c>
      <c r="C109">
        <v>0</v>
      </c>
      <c r="E109">
        <f t="shared" si="1"/>
        <v>0</v>
      </c>
    </row>
    <row r="110" spans="1:5">
      <c r="A110" t="s">
        <v>4</v>
      </c>
      <c r="B110" t="s">
        <v>3</v>
      </c>
      <c r="C110">
        <v>340</v>
      </c>
      <c r="D110">
        <v>6000</v>
      </c>
      <c r="E110" s="29">
        <f t="shared" si="1"/>
        <v>2040000</v>
      </c>
    </row>
    <row r="111" spans="1:5">
      <c r="A111" t="s">
        <v>5</v>
      </c>
      <c r="B111" t="s">
        <v>3</v>
      </c>
      <c r="C111">
        <v>115</v>
      </c>
      <c r="D111">
        <v>6000</v>
      </c>
      <c r="E111" s="29">
        <f t="shared" si="1"/>
        <v>690000</v>
      </c>
    </row>
    <row r="112" spans="1:5">
      <c r="A112" t="s">
        <v>7</v>
      </c>
      <c r="B112" t="s">
        <v>3</v>
      </c>
      <c r="C112">
        <v>52</v>
      </c>
      <c r="D112">
        <v>12500</v>
      </c>
      <c r="E112" s="29">
        <f t="shared" si="1"/>
        <v>650000</v>
      </c>
    </row>
    <row r="113" spans="1:5">
      <c r="A113" t="s">
        <v>116</v>
      </c>
      <c r="B113" t="s">
        <v>3</v>
      </c>
      <c r="C113">
        <v>6</v>
      </c>
      <c r="D113">
        <v>12000</v>
      </c>
      <c r="E113" s="29">
        <f t="shared" si="1"/>
        <v>72000</v>
      </c>
    </row>
    <row r="114" spans="1:5">
      <c r="A114" t="s">
        <v>8</v>
      </c>
      <c r="B114" t="s">
        <v>3</v>
      </c>
      <c r="C114">
        <v>15</v>
      </c>
      <c r="D114">
        <v>15000</v>
      </c>
      <c r="E114" s="29">
        <f t="shared" si="1"/>
        <v>225000</v>
      </c>
    </row>
    <row r="115" spans="1:5">
      <c r="A115" t="s">
        <v>12</v>
      </c>
      <c r="B115" t="s">
        <v>3</v>
      </c>
      <c r="C115">
        <v>15</v>
      </c>
      <c r="D115">
        <v>10000</v>
      </c>
      <c r="E115" s="29">
        <f t="shared" si="1"/>
        <v>150000</v>
      </c>
    </row>
    <row r="116" spans="1:5" hidden="1">
      <c r="A116" t="s">
        <v>97</v>
      </c>
      <c r="B116" t="s">
        <v>3</v>
      </c>
      <c r="C116">
        <v>0</v>
      </c>
      <c r="E116">
        <f t="shared" si="1"/>
        <v>0</v>
      </c>
    </row>
    <row r="117" spans="1:5">
      <c r="A117" t="s">
        <v>18</v>
      </c>
      <c r="B117" t="s">
        <v>3</v>
      </c>
      <c r="C117">
        <v>40</v>
      </c>
      <c r="D117">
        <v>13000</v>
      </c>
      <c r="E117" s="29">
        <f t="shared" si="1"/>
        <v>520000</v>
      </c>
    </row>
    <row r="118" spans="1:5">
      <c r="A118" t="s">
        <v>28</v>
      </c>
      <c r="B118" t="s">
        <v>3</v>
      </c>
      <c r="C118">
        <v>265</v>
      </c>
      <c r="D118">
        <v>16000</v>
      </c>
      <c r="E118" s="29">
        <f t="shared" si="1"/>
        <v>4240000</v>
      </c>
    </row>
    <row r="119" spans="1:5">
      <c r="A119" t="s">
        <v>31</v>
      </c>
      <c r="B119" t="s">
        <v>3</v>
      </c>
      <c r="C119">
        <v>5</v>
      </c>
      <c r="D119">
        <v>8500</v>
      </c>
      <c r="E119" s="29">
        <f t="shared" si="1"/>
        <v>42500</v>
      </c>
    </row>
    <row r="120" spans="1:5">
      <c r="A120" t="s">
        <v>33</v>
      </c>
      <c r="B120" t="s">
        <v>3</v>
      </c>
      <c r="C120">
        <v>30</v>
      </c>
      <c r="D120">
        <v>8000</v>
      </c>
      <c r="E120" s="29">
        <f t="shared" si="1"/>
        <v>240000</v>
      </c>
    </row>
    <row r="121" spans="1:5">
      <c r="A121" t="s">
        <v>38</v>
      </c>
      <c r="B121" t="s">
        <v>3</v>
      </c>
      <c r="C121">
        <v>115</v>
      </c>
      <c r="D121">
        <v>5500</v>
      </c>
      <c r="E121" s="29">
        <f t="shared" si="1"/>
        <v>632500</v>
      </c>
    </row>
    <row r="122" spans="1:5">
      <c r="A122" t="s">
        <v>98</v>
      </c>
      <c r="B122" t="s">
        <v>3</v>
      </c>
      <c r="C122">
        <v>8</v>
      </c>
      <c r="D122">
        <v>14000</v>
      </c>
      <c r="E122" s="29">
        <f t="shared" si="1"/>
        <v>112000</v>
      </c>
    </row>
    <row r="123" spans="1:5">
      <c r="A123" t="s">
        <v>39</v>
      </c>
      <c r="B123" t="s">
        <v>3</v>
      </c>
      <c r="C123">
        <v>50</v>
      </c>
      <c r="D123">
        <v>18000</v>
      </c>
      <c r="E123" s="29">
        <f t="shared" si="1"/>
        <v>900000</v>
      </c>
    </row>
    <row r="124" spans="1:5">
      <c r="A124" t="s">
        <v>100</v>
      </c>
      <c r="B124" t="s">
        <v>3</v>
      </c>
      <c r="C124">
        <v>8</v>
      </c>
      <c r="D124">
        <v>27000</v>
      </c>
      <c r="E124" s="29">
        <f t="shared" si="1"/>
        <v>216000</v>
      </c>
    </row>
    <row r="125" spans="1:5">
      <c r="A125" t="s">
        <v>41</v>
      </c>
      <c r="B125" t="s">
        <v>3</v>
      </c>
      <c r="C125">
        <v>30</v>
      </c>
      <c r="D125">
        <v>14000</v>
      </c>
      <c r="E125" s="29">
        <f t="shared" si="1"/>
        <v>420000</v>
      </c>
    </row>
    <row r="126" spans="1:5">
      <c r="A126" t="s">
        <v>44</v>
      </c>
      <c r="B126" t="s">
        <v>3</v>
      </c>
      <c r="C126">
        <v>60</v>
      </c>
      <c r="D126">
        <v>5500</v>
      </c>
      <c r="E126" s="29">
        <f t="shared" si="1"/>
        <v>330000</v>
      </c>
    </row>
    <row r="127" spans="1:5">
      <c r="A127" t="s">
        <v>45</v>
      </c>
      <c r="B127" t="s">
        <v>3</v>
      </c>
      <c r="C127">
        <v>15</v>
      </c>
      <c r="D127">
        <v>10000</v>
      </c>
      <c r="E127" s="29">
        <f t="shared" si="1"/>
        <v>150000</v>
      </c>
    </row>
    <row r="128" spans="1:5">
      <c r="A128" t="s">
        <v>47</v>
      </c>
      <c r="B128" t="s">
        <v>3</v>
      </c>
      <c r="C128">
        <v>106</v>
      </c>
      <c r="D128">
        <v>9000</v>
      </c>
      <c r="E128" s="29">
        <f t="shared" si="1"/>
        <v>954000</v>
      </c>
    </row>
    <row r="129" spans="1:5">
      <c r="A129" t="s">
        <v>53</v>
      </c>
      <c r="B129" t="s">
        <v>3</v>
      </c>
      <c r="C129">
        <v>100</v>
      </c>
      <c r="D129">
        <v>17000</v>
      </c>
      <c r="E129" s="29">
        <f t="shared" si="1"/>
        <v>1700000</v>
      </c>
    </row>
    <row r="130" spans="1:5">
      <c r="A130" t="s">
        <v>56</v>
      </c>
      <c r="B130" t="s">
        <v>3</v>
      </c>
      <c r="C130">
        <v>114</v>
      </c>
      <c r="D130">
        <v>15000</v>
      </c>
      <c r="E130" s="29">
        <f t="shared" si="1"/>
        <v>1710000</v>
      </c>
    </row>
    <row r="131" spans="1:5">
      <c r="A131" t="s">
        <v>58</v>
      </c>
      <c r="B131" t="s">
        <v>3</v>
      </c>
      <c r="C131">
        <v>20</v>
      </c>
      <c r="D131">
        <v>9000</v>
      </c>
      <c r="E131" s="29">
        <f t="shared" si="1"/>
        <v>180000</v>
      </c>
    </row>
    <row r="132" spans="1:5">
      <c r="A132" t="s">
        <v>59</v>
      </c>
      <c r="B132" t="s">
        <v>30</v>
      </c>
      <c r="C132">
        <v>14</v>
      </c>
      <c r="D132">
        <v>6000</v>
      </c>
      <c r="E132" s="29">
        <f t="shared" si="1"/>
        <v>84000</v>
      </c>
    </row>
    <row r="133" spans="1:5">
      <c r="A133" t="s">
        <v>60</v>
      </c>
      <c r="B133" t="s">
        <v>30</v>
      </c>
      <c r="C133">
        <v>40</v>
      </c>
      <c r="D133">
        <v>7000</v>
      </c>
      <c r="E133" s="29">
        <f t="shared" si="1"/>
        <v>280000</v>
      </c>
    </row>
    <row r="134" spans="1:5">
      <c r="A134" t="s">
        <v>65</v>
      </c>
      <c r="B134" t="s">
        <v>3</v>
      </c>
      <c r="C134">
        <v>140</v>
      </c>
      <c r="D134">
        <v>6500</v>
      </c>
      <c r="E134" s="29">
        <f t="shared" ref="E134:E146" si="2">C134*D134</f>
        <v>910000</v>
      </c>
    </row>
    <row r="135" spans="1:5" hidden="1">
      <c r="A135" t="s">
        <v>65</v>
      </c>
      <c r="B135" t="s">
        <v>17</v>
      </c>
      <c r="C135">
        <v>0</v>
      </c>
      <c r="E135">
        <f t="shared" si="2"/>
        <v>0</v>
      </c>
    </row>
    <row r="136" spans="1:5">
      <c r="A136" t="s">
        <v>68</v>
      </c>
      <c r="B136" t="s">
        <v>3</v>
      </c>
      <c r="C136">
        <v>30</v>
      </c>
      <c r="D136">
        <v>12000</v>
      </c>
      <c r="E136" s="29">
        <f t="shared" si="2"/>
        <v>360000</v>
      </c>
    </row>
    <row r="137" spans="1:5" hidden="1">
      <c r="A137" t="s">
        <v>69</v>
      </c>
      <c r="B137" t="s">
        <v>3</v>
      </c>
      <c r="C137">
        <v>0</v>
      </c>
      <c r="E137">
        <f t="shared" si="2"/>
        <v>0</v>
      </c>
    </row>
    <row r="138" spans="1:5" hidden="1">
      <c r="A138" t="s">
        <v>101</v>
      </c>
      <c r="B138" t="s">
        <v>3</v>
      </c>
      <c r="C138">
        <v>0</v>
      </c>
      <c r="E138">
        <f t="shared" si="2"/>
        <v>0</v>
      </c>
    </row>
    <row r="139" spans="1:5" hidden="1">
      <c r="A139" t="s">
        <v>74</v>
      </c>
      <c r="B139" t="s">
        <v>3</v>
      </c>
      <c r="C139">
        <v>0</v>
      </c>
      <c r="E139">
        <f t="shared" si="2"/>
        <v>0</v>
      </c>
    </row>
    <row r="140" spans="1:5" hidden="1">
      <c r="A140" t="s">
        <v>76</v>
      </c>
      <c r="B140" t="s">
        <v>3</v>
      </c>
      <c r="C140">
        <v>0</v>
      </c>
      <c r="E140">
        <f t="shared" si="2"/>
        <v>0</v>
      </c>
    </row>
    <row r="141" spans="1:5">
      <c r="A141" t="s">
        <v>78</v>
      </c>
      <c r="B141" t="s">
        <v>3</v>
      </c>
      <c r="C141">
        <v>15</v>
      </c>
      <c r="D141">
        <v>32000</v>
      </c>
      <c r="E141" s="29">
        <f t="shared" si="2"/>
        <v>480000</v>
      </c>
    </row>
    <row r="142" spans="1:5">
      <c r="A142" t="s">
        <v>87</v>
      </c>
      <c r="B142" t="s">
        <v>3</v>
      </c>
      <c r="C142">
        <v>21</v>
      </c>
      <c r="D142">
        <v>4000</v>
      </c>
      <c r="E142" s="29">
        <f t="shared" si="2"/>
        <v>84000</v>
      </c>
    </row>
    <row r="143" spans="1:5" hidden="1">
      <c r="A143" t="s">
        <v>89</v>
      </c>
      <c r="B143" t="s">
        <v>40</v>
      </c>
      <c r="C143">
        <v>0</v>
      </c>
      <c r="E143">
        <f t="shared" si="2"/>
        <v>0</v>
      </c>
    </row>
    <row r="144" spans="1:5" hidden="1">
      <c r="A144" t="s">
        <v>90</v>
      </c>
      <c r="B144" t="s">
        <v>40</v>
      </c>
      <c r="C144">
        <v>0</v>
      </c>
      <c r="E144">
        <f t="shared" si="2"/>
        <v>0</v>
      </c>
    </row>
    <row r="145" spans="1:5" hidden="1">
      <c r="A145" t="s">
        <v>92</v>
      </c>
      <c r="B145" t="s">
        <v>40</v>
      </c>
      <c r="C145">
        <v>0</v>
      </c>
      <c r="E145">
        <f t="shared" si="2"/>
        <v>0</v>
      </c>
    </row>
    <row r="146" spans="1:5" hidden="1">
      <c r="A146" t="s">
        <v>95</v>
      </c>
      <c r="B146" t="s">
        <v>40</v>
      </c>
      <c r="C146">
        <v>0</v>
      </c>
      <c r="E146">
        <f t="shared" si="2"/>
        <v>0</v>
      </c>
    </row>
    <row r="147" spans="1:5">
      <c r="E147" s="28">
        <f>SUM(E110:E142)</f>
        <v>18372000</v>
      </c>
    </row>
    <row r="148" spans="1:5">
      <c r="E148" s="30">
        <f>E147+E106</f>
        <v>136951900</v>
      </c>
    </row>
  </sheetData>
  <autoFilter ref="A2:E146">
    <filterColumn colId="2">
      <filters>
        <filter val="1"/>
        <filter val="10"/>
        <filter val="100"/>
        <filter val="105"/>
        <filter val="106"/>
        <filter val="108"/>
        <filter val="114"/>
        <filter val="115"/>
        <filter val="12"/>
        <filter val="1340"/>
        <filter val="14"/>
        <filter val="140"/>
        <filter val="15"/>
        <filter val="1530"/>
        <filter val="169"/>
        <filter val="20"/>
        <filter val="200"/>
        <filter val="21"/>
        <filter val="25"/>
        <filter val="250"/>
        <filter val="265"/>
        <filter val="270"/>
        <filter val="28"/>
        <filter val="30"/>
        <filter val="320"/>
        <filter val="340"/>
        <filter val="37"/>
        <filter val="4"/>
        <filter val="40"/>
        <filter val="45"/>
        <filter val="50"/>
        <filter val="52"/>
        <filter val="6"/>
        <filter val="60"/>
        <filter val="7"/>
        <filter val="705"/>
        <filter val="75"/>
        <filter val="8"/>
        <filter val="80"/>
        <filter val="86"/>
        <filter val="996"/>
        <filter val="Tồn_x000a_ĐL_x000a__x000a_現在庫"/>
      </filters>
    </filterColumn>
  </autoFilter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146"/>
  <sheetViews>
    <sheetView topLeftCell="A107" workbookViewId="0">
      <selection activeCell="E146" sqref="E146"/>
    </sheetView>
  </sheetViews>
  <sheetFormatPr defaultRowHeight="13.8"/>
  <cols>
    <col min="1" max="1" width="22.19921875" customWidth="1"/>
    <col min="4" max="4" width="11.3984375" customWidth="1"/>
    <col min="5" max="5" width="16.19921875" customWidth="1"/>
  </cols>
  <sheetData>
    <row r="1" spans="1:5">
      <c r="A1" t="s">
        <v>130</v>
      </c>
    </row>
    <row r="2" spans="1:5">
      <c r="A2" t="s">
        <v>106</v>
      </c>
      <c r="B2" t="s">
        <v>0</v>
      </c>
      <c r="C2" t="s">
        <v>111</v>
      </c>
      <c r="D2" t="s">
        <v>112</v>
      </c>
      <c r="E2" t="s">
        <v>113</v>
      </c>
    </row>
    <row r="3" spans="1:5" hidden="1">
      <c r="A3" t="s">
        <v>2</v>
      </c>
      <c r="B3" t="s">
        <v>3</v>
      </c>
      <c r="C3">
        <v>0</v>
      </c>
      <c r="E3">
        <f>C3*D3</f>
        <v>0</v>
      </c>
    </row>
    <row r="4" spans="1:5" hidden="1">
      <c r="A4" t="s">
        <v>4</v>
      </c>
      <c r="B4" t="s">
        <v>3</v>
      </c>
      <c r="C4">
        <v>0</v>
      </c>
      <c r="E4">
        <f t="shared" ref="E4:E67" si="0">C4*D4</f>
        <v>0</v>
      </c>
    </row>
    <row r="5" spans="1:5" hidden="1">
      <c r="A5" t="s">
        <v>5</v>
      </c>
      <c r="B5" t="s">
        <v>3</v>
      </c>
      <c r="C5">
        <v>0</v>
      </c>
      <c r="E5">
        <f t="shared" si="0"/>
        <v>0</v>
      </c>
    </row>
    <row r="6" spans="1:5">
      <c r="A6" t="s">
        <v>6</v>
      </c>
      <c r="B6" t="s">
        <v>3</v>
      </c>
      <c r="C6">
        <v>150</v>
      </c>
      <c r="D6">
        <v>9000</v>
      </c>
      <c r="E6" s="29">
        <f t="shared" si="0"/>
        <v>1350000</v>
      </c>
    </row>
    <row r="7" spans="1:5">
      <c r="A7" t="s">
        <v>7</v>
      </c>
      <c r="B7" t="s">
        <v>3</v>
      </c>
      <c r="C7">
        <v>72</v>
      </c>
      <c r="D7">
        <v>12000</v>
      </c>
      <c r="E7" s="29">
        <f t="shared" si="0"/>
        <v>864000</v>
      </c>
    </row>
    <row r="8" spans="1:5" hidden="1">
      <c r="A8" t="s">
        <v>8</v>
      </c>
      <c r="B8" t="s">
        <v>3</v>
      </c>
      <c r="C8">
        <v>0</v>
      </c>
      <c r="E8">
        <f t="shared" si="0"/>
        <v>0</v>
      </c>
    </row>
    <row r="9" spans="1:5" hidden="1">
      <c r="A9" t="s">
        <v>8</v>
      </c>
      <c r="B9" t="s">
        <v>9</v>
      </c>
      <c r="C9">
        <v>0</v>
      </c>
      <c r="E9">
        <f t="shared" si="0"/>
        <v>0</v>
      </c>
    </row>
    <row r="10" spans="1:5">
      <c r="A10" t="s">
        <v>10</v>
      </c>
      <c r="B10" t="s">
        <v>3</v>
      </c>
      <c r="C10">
        <v>60</v>
      </c>
      <c r="D10">
        <v>12000</v>
      </c>
      <c r="E10" s="29">
        <f t="shared" si="0"/>
        <v>720000</v>
      </c>
    </row>
    <row r="11" spans="1:5" hidden="1">
      <c r="A11" t="s">
        <v>10</v>
      </c>
      <c r="B11" t="s">
        <v>9</v>
      </c>
      <c r="C11">
        <v>0</v>
      </c>
      <c r="E11">
        <f t="shared" si="0"/>
        <v>0</v>
      </c>
    </row>
    <row r="12" spans="1:5" hidden="1">
      <c r="A12" t="s">
        <v>12</v>
      </c>
      <c r="B12" t="s">
        <v>3</v>
      </c>
      <c r="C12">
        <v>0</v>
      </c>
      <c r="E12">
        <f t="shared" si="0"/>
        <v>0</v>
      </c>
    </row>
    <row r="13" spans="1:5" hidden="1">
      <c r="A13" t="s">
        <v>14</v>
      </c>
      <c r="B13" t="s">
        <v>3</v>
      </c>
      <c r="C13">
        <v>0</v>
      </c>
      <c r="E13">
        <f t="shared" si="0"/>
        <v>0</v>
      </c>
    </row>
    <row r="14" spans="1:5" hidden="1">
      <c r="A14" t="s">
        <v>15</v>
      </c>
      <c r="B14" t="s">
        <v>3</v>
      </c>
      <c r="C14">
        <v>0</v>
      </c>
      <c r="E14">
        <f t="shared" si="0"/>
        <v>0</v>
      </c>
    </row>
    <row r="15" spans="1:5">
      <c r="A15" t="s">
        <v>16</v>
      </c>
      <c r="B15" t="s">
        <v>17</v>
      </c>
      <c r="C15">
        <v>7</v>
      </c>
      <c r="D15">
        <v>6000</v>
      </c>
      <c r="E15" s="29">
        <f t="shared" si="0"/>
        <v>42000</v>
      </c>
    </row>
    <row r="16" spans="1:5">
      <c r="A16" t="s">
        <v>128</v>
      </c>
      <c r="B16" t="s">
        <v>40</v>
      </c>
      <c r="C16">
        <v>387</v>
      </c>
      <c r="D16">
        <v>5000</v>
      </c>
      <c r="E16" s="29">
        <f t="shared" si="0"/>
        <v>1935000</v>
      </c>
    </row>
    <row r="17" spans="1:5">
      <c r="A17" t="s">
        <v>18</v>
      </c>
      <c r="B17" t="s">
        <v>3</v>
      </c>
      <c r="C17">
        <v>410</v>
      </c>
      <c r="D17">
        <v>12000</v>
      </c>
      <c r="E17" s="29">
        <f t="shared" si="0"/>
        <v>4920000</v>
      </c>
    </row>
    <row r="18" spans="1:5" hidden="1">
      <c r="A18" t="s">
        <v>18</v>
      </c>
      <c r="B18" t="s">
        <v>19</v>
      </c>
      <c r="C18">
        <v>0</v>
      </c>
      <c r="E18">
        <f t="shared" si="0"/>
        <v>0</v>
      </c>
    </row>
    <row r="19" spans="1:5">
      <c r="A19" t="s">
        <v>20</v>
      </c>
      <c r="B19" t="s">
        <v>3</v>
      </c>
      <c r="C19">
        <v>35</v>
      </c>
      <c r="D19">
        <v>12000</v>
      </c>
      <c r="E19" s="29">
        <f t="shared" si="0"/>
        <v>420000</v>
      </c>
    </row>
    <row r="20" spans="1:5">
      <c r="A20" t="s">
        <v>20</v>
      </c>
      <c r="B20" t="s">
        <v>21</v>
      </c>
      <c r="C20">
        <v>65</v>
      </c>
      <c r="D20">
        <v>7000</v>
      </c>
      <c r="E20" s="29">
        <f t="shared" si="0"/>
        <v>455000</v>
      </c>
    </row>
    <row r="21" spans="1:5">
      <c r="A21" t="s">
        <v>22</v>
      </c>
      <c r="B21" t="s">
        <v>3</v>
      </c>
      <c r="C21">
        <v>21</v>
      </c>
      <c r="D21">
        <v>18000</v>
      </c>
      <c r="E21" s="29">
        <f t="shared" si="0"/>
        <v>378000</v>
      </c>
    </row>
    <row r="22" spans="1:5">
      <c r="A22" t="s">
        <v>22</v>
      </c>
      <c r="B22" t="s">
        <v>23</v>
      </c>
      <c r="C22">
        <v>78</v>
      </c>
      <c r="D22">
        <v>5400</v>
      </c>
      <c r="E22" s="29">
        <f t="shared" si="0"/>
        <v>421200</v>
      </c>
    </row>
    <row r="23" spans="1:5">
      <c r="A23" t="s">
        <v>24</v>
      </c>
      <c r="B23" t="s">
        <v>25</v>
      </c>
      <c r="C23">
        <v>11</v>
      </c>
      <c r="D23">
        <v>11100</v>
      </c>
      <c r="E23" s="29">
        <f t="shared" si="0"/>
        <v>122100</v>
      </c>
    </row>
    <row r="24" spans="1:5">
      <c r="A24" t="s">
        <v>26</v>
      </c>
      <c r="B24" t="s">
        <v>3</v>
      </c>
      <c r="C24">
        <v>23.5</v>
      </c>
      <c r="D24">
        <v>20000</v>
      </c>
      <c r="E24" s="29">
        <f t="shared" si="0"/>
        <v>470000</v>
      </c>
    </row>
    <row r="25" spans="1:5">
      <c r="A25" t="s">
        <v>26</v>
      </c>
      <c r="B25" t="s">
        <v>23</v>
      </c>
      <c r="C25">
        <v>17</v>
      </c>
      <c r="D25">
        <v>10500</v>
      </c>
      <c r="E25" s="29">
        <f t="shared" si="0"/>
        <v>178500</v>
      </c>
    </row>
    <row r="26" spans="1:5" hidden="1">
      <c r="A26" t="s">
        <v>26</v>
      </c>
      <c r="B26" t="s">
        <v>27</v>
      </c>
      <c r="C26">
        <v>0</v>
      </c>
      <c r="E26">
        <f t="shared" si="0"/>
        <v>0</v>
      </c>
    </row>
    <row r="27" spans="1:5" hidden="1">
      <c r="A27" t="s">
        <v>28</v>
      </c>
      <c r="B27" t="s">
        <v>3</v>
      </c>
      <c r="C27">
        <v>0</v>
      </c>
      <c r="E27">
        <f t="shared" si="0"/>
        <v>0</v>
      </c>
    </row>
    <row r="28" spans="1:5" hidden="1">
      <c r="A28" t="s">
        <v>28</v>
      </c>
      <c r="B28" t="s">
        <v>17</v>
      </c>
      <c r="C28">
        <v>0</v>
      </c>
      <c r="E28">
        <f t="shared" si="0"/>
        <v>0</v>
      </c>
    </row>
    <row r="29" spans="1:5">
      <c r="A29" t="s">
        <v>29</v>
      </c>
      <c r="B29" t="s">
        <v>30</v>
      </c>
      <c r="C29">
        <v>150</v>
      </c>
      <c r="D29">
        <v>11000</v>
      </c>
      <c r="E29" s="29">
        <f t="shared" si="0"/>
        <v>1650000</v>
      </c>
    </row>
    <row r="30" spans="1:5" hidden="1">
      <c r="A30" t="s">
        <v>31</v>
      </c>
      <c r="B30" t="s">
        <v>3</v>
      </c>
      <c r="C30">
        <v>0</v>
      </c>
      <c r="E30">
        <f t="shared" si="0"/>
        <v>0</v>
      </c>
    </row>
    <row r="31" spans="1:5" hidden="1">
      <c r="A31" t="s">
        <v>31</v>
      </c>
      <c r="B31" t="s">
        <v>30</v>
      </c>
      <c r="C31">
        <v>0</v>
      </c>
      <c r="E31">
        <f t="shared" si="0"/>
        <v>0</v>
      </c>
    </row>
    <row r="32" spans="1:5">
      <c r="A32" t="s">
        <v>32</v>
      </c>
      <c r="B32" t="s">
        <v>17</v>
      </c>
      <c r="C32">
        <v>7</v>
      </c>
      <c r="D32">
        <v>6000</v>
      </c>
      <c r="E32" s="29">
        <f t="shared" si="0"/>
        <v>42000</v>
      </c>
    </row>
    <row r="33" spans="1:5">
      <c r="A33" t="s">
        <v>33</v>
      </c>
      <c r="B33" t="s">
        <v>3</v>
      </c>
      <c r="C33">
        <v>25</v>
      </c>
      <c r="D33">
        <v>8000</v>
      </c>
      <c r="E33" s="29">
        <f t="shared" si="0"/>
        <v>200000</v>
      </c>
    </row>
    <row r="34" spans="1:5" hidden="1">
      <c r="A34" t="s">
        <v>33</v>
      </c>
      <c r="B34" t="s">
        <v>34</v>
      </c>
      <c r="C34">
        <v>0</v>
      </c>
      <c r="E34">
        <f t="shared" si="0"/>
        <v>0</v>
      </c>
    </row>
    <row r="35" spans="1:5">
      <c r="A35" t="s">
        <v>35</v>
      </c>
      <c r="B35" t="s">
        <v>3</v>
      </c>
      <c r="C35">
        <v>43</v>
      </c>
      <c r="D35">
        <v>15000</v>
      </c>
      <c r="E35" s="29">
        <f t="shared" si="0"/>
        <v>645000</v>
      </c>
    </row>
    <row r="36" spans="1:5" hidden="1">
      <c r="A36" t="s">
        <v>35</v>
      </c>
      <c r="B36" t="s">
        <v>30</v>
      </c>
      <c r="C36">
        <v>0</v>
      </c>
      <c r="E36">
        <f t="shared" si="0"/>
        <v>0</v>
      </c>
    </row>
    <row r="37" spans="1:5">
      <c r="A37" t="s">
        <v>36</v>
      </c>
      <c r="B37" t="s">
        <v>30</v>
      </c>
      <c r="C37">
        <v>6</v>
      </c>
      <c r="D37">
        <v>3000</v>
      </c>
      <c r="E37" s="29">
        <f t="shared" si="0"/>
        <v>18000</v>
      </c>
    </row>
    <row r="38" spans="1:5">
      <c r="A38" t="s">
        <v>37</v>
      </c>
      <c r="B38" t="s">
        <v>30</v>
      </c>
      <c r="C38">
        <v>16</v>
      </c>
      <c r="D38">
        <v>3900</v>
      </c>
      <c r="E38" s="29">
        <f t="shared" si="0"/>
        <v>62400</v>
      </c>
    </row>
    <row r="39" spans="1:5">
      <c r="A39" t="s">
        <v>38</v>
      </c>
      <c r="B39" t="s">
        <v>3</v>
      </c>
      <c r="C39">
        <v>640</v>
      </c>
      <c r="D39">
        <v>5500</v>
      </c>
      <c r="E39" s="29">
        <f t="shared" si="0"/>
        <v>3520000</v>
      </c>
    </row>
    <row r="40" spans="1:5" hidden="1">
      <c r="A40" t="s">
        <v>98</v>
      </c>
      <c r="B40" t="s">
        <v>3</v>
      </c>
      <c r="C40">
        <v>0</v>
      </c>
      <c r="E40">
        <f t="shared" si="0"/>
        <v>0</v>
      </c>
    </row>
    <row r="41" spans="1:5">
      <c r="A41" t="s">
        <v>39</v>
      </c>
      <c r="B41" t="s">
        <v>3</v>
      </c>
      <c r="C41">
        <v>30</v>
      </c>
      <c r="D41">
        <v>18000</v>
      </c>
      <c r="E41" s="29">
        <f t="shared" si="0"/>
        <v>540000</v>
      </c>
    </row>
    <row r="42" spans="1:5" hidden="1">
      <c r="A42" t="s">
        <v>39</v>
      </c>
      <c r="B42" t="s">
        <v>40</v>
      </c>
      <c r="C42">
        <v>0</v>
      </c>
      <c r="E42">
        <f t="shared" si="0"/>
        <v>0</v>
      </c>
    </row>
    <row r="43" spans="1:5">
      <c r="A43" t="s">
        <v>41</v>
      </c>
      <c r="B43" t="s">
        <v>3</v>
      </c>
      <c r="C43">
        <v>92</v>
      </c>
      <c r="D43">
        <v>14000</v>
      </c>
      <c r="E43" s="29">
        <f t="shared" si="0"/>
        <v>1288000</v>
      </c>
    </row>
    <row r="44" spans="1:5">
      <c r="A44" t="s">
        <v>42</v>
      </c>
      <c r="B44" t="s">
        <v>25</v>
      </c>
      <c r="C44">
        <v>17</v>
      </c>
      <c r="D44">
        <v>10000</v>
      </c>
      <c r="E44" s="29">
        <f t="shared" si="0"/>
        <v>170000</v>
      </c>
    </row>
    <row r="45" spans="1:5">
      <c r="A45" t="s">
        <v>44</v>
      </c>
      <c r="B45" t="s">
        <v>3</v>
      </c>
      <c r="C45">
        <v>60</v>
      </c>
      <c r="D45">
        <v>5500</v>
      </c>
      <c r="E45" s="29">
        <f t="shared" si="0"/>
        <v>330000</v>
      </c>
    </row>
    <row r="46" spans="1:5">
      <c r="A46" t="s">
        <v>45</v>
      </c>
      <c r="B46" t="s">
        <v>3</v>
      </c>
      <c r="C46">
        <v>10</v>
      </c>
      <c r="D46">
        <v>10000</v>
      </c>
      <c r="E46" s="29">
        <f t="shared" si="0"/>
        <v>100000</v>
      </c>
    </row>
    <row r="47" spans="1:5" hidden="1">
      <c r="A47" t="s">
        <v>45</v>
      </c>
      <c r="B47" t="s">
        <v>30</v>
      </c>
      <c r="C47">
        <v>0</v>
      </c>
      <c r="E47">
        <f t="shared" si="0"/>
        <v>0</v>
      </c>
    </row>
    <row r="48" spans="1:5">
      <c r="A48" t="s">
        <v>46</v>
      </c>
      <c r="B48" t="s">
        <v>3</v>
      </c>
      <c r="C48">
        <v>13</v>
      </c>
      <c r="D48">
        <v>18000</v>
      </c>
      <c r="E48" s="29">
        <f t="shared" si="0"/>
        <v>234000</v>
      </c>
    </row>
    <row r="49" spans="1:5">
      <c r="A49" t="s">
        <v>47</v>
      </c>
      <c r="B49" t="s">
        <v>3</v>
      </c>
      <c r="C49">
        <v>175</v>
      </c>
      <c r="D49">
        <v>9000</v>
      </c>
      <c r="E49" s="29">
        <f t="shared" si="0"/>
        <v>1575000</v>
      </c>
    </row>
    <row r="50" spans="1:5" hidden="1">
      <c r="A50" t="s">
        <v>47</v>
      </c>
      <c r="B50" t="s">
        <v>48</v>
      </c>
      <c r="C50">
        <v>0</v>
      </c>
      <c r="E50">
        <f t="shared" si="0"/>
        <v>0</v>
      </c>
    </row>
    <row r="51" spans="1:5">
      <c r="A51" t="s">
        <v>49</v>
      </c>
      <c r="B51" t="s">
        <v>30</v>
      </c>
      <c r="C51">
        <v>83</v>
      </c>
      <c r="D51">
        <v>2100</v>
      </c>
      <c r="E51" s="29">
        <f t="shared" si="0"/>
        <v>174300</v>
      </c>
    </row>
    <row r="52" spans="1:5">
      <c r="A52" t="s">
        <v>50</v>
      </c>
      <c r="B52" t="s">
        <v>3</v>
      </c>
      <c r="C52">
        <v>730</v>
      </c>
      <c r="D52">
        <v>26500</v>
      </c>
      <c r="E52" s="29">
        <f t="shared" si="0"/>
        <v>19345000</v>
      </c>
    </row>
    <row r="53" spans="1:5">
      <c r="A53" t="s">
        <v>51</v>
      </c>
      <c r="B53" t="s">
        <v>3</v>
      </c>
      <c r="C53">
        <v>1335</v>
      </c>
      <c r="D53">
        <v>27000</v>
      </c>
      <c r="E53" s="29">
        <f t="shared" si="0"/>
        <v>36045000</v>
      </c>
    </row>
    <row r="54" spans="1:5" hidden="1">
      <c r="A54" t="s">
        <v>51</v>
      </c>
      <c r="B54" t="s">
        <v>30</v>
      </c>
      <c r="C54">
        <v>0</v>
      </c>
      <c r="E54">
        <f t="shared" si="0"/>
        <v>0</v>
      </c>
    </row>
    <row r="55" spans="1:5" hidden="1">
      <c r="A55" t="s">
        <v>53</v>
      </c>
      <c r="B55" t="s">
        <v>3</v>
      </c>
      <c r="C55">
        <v>0</v>
      </c>
      <c r="E55">
        <f t="shared" si="0"/>
        <v>0</v>
      </c>
    </row>
    <row r="56" spans="1:5">
      <c r="A56" t="s">
        <v>54</v>
      </c>
      <c r="B56" t="s">
        <v>3</v>
      </c>
      <c r="C56">
        <v>34</v>
      </c>
      <c r="D56">
        <v>29000</v>
      </c>
      <c r="E56" s="29">
        <f t="shared" si="0"/>
        <v>986000</v>
      </c>
    </row>
    <row r="57" spans="1:5" hidden="1">
      <c r="A57" t="s">
        <v>108</v>
      </c>
      <c r="B57" t="s">
        <v>30</v>
      </c>
      <c r="C57">
        <v>0</v>
      </c>
      <c r="E57">
        <f t="shared" si="0"/>
        <v>0</v>
      </c>
    </row>
    <row r="58" spans="1:5">
      <c r="A58" t="s">
        <v>56</v>
      </c>
      <c r="B58" t="s">
        <v>3</v>
      </c>
      <c r="C58">
        <v>441</v>
      </c>
      <c r="D58">
        <v>14500</v>
      </c>
      <c r="E58" s="29">
        <f t="shared" si="0"/>
        <v>6394500</v>
      </c>
    </row>
    <row r="59" spans="1:5" hidden="1">
      <c r="A59" t="s">
        <v>56</v>
      </c>
      <c r="B59" t="s">
        <v>30</v>
      </c>
      <c r="C59">
        <v>0</v>
      </c>
      <c r="E59">
        <f t="shared" si="0"/>
        <v>0</v>
      </c>
    </row>
    <row r="60" spans="1:5" hidden="1">
      <c r="A60" t="s">
        <v>57</v>
      </c>
      <c r="B60" t="s">
        <v>30</v>
      </c>
      <c r="C60">
        <v>0</v>
      </c>
      <c r="E60">
        <f t="shared" si="0"/>
        <v>0</v>
      </c>
    </row>
    <row r="61" spans="1:5">
      <c r="A61" t="s">
        <v>58</v>
      </c>
      <c r="B61" t="s">
        <v>3</v>
      </c>
      <c r="C61">
        <v>15</v>
      </c>
      <c r="D61">
        <v>9000</v>
      </c>
      <c r="E61" s="29">
        <f t="shared" si="0"/>
        <v>135000</v>
      </c>
    </row>
    <row r="62" spans="1:5">
      <c r="A62" t="s">
        <v>59</v>
      </c>
      <c r="B62" t="s">
        <v>30</v>
      </c>
      <c r="C62">
        <v>20</v>
      </c>
      <c r="D62">
        <v>6000</v>
      </c>
      <c r="E62" s="29">
        <f t="shared" si="0"/>
        <v>120000</v>
      </c>
    </row>
    <row r="63" spans="1:5" hidden="1">
      <c r="A63" t="s">
        <v>60</v>
      </c>
      <c r="B63" t="s">
        <v>3</v>
      </c>
      <c r="C63">
        <v>0</v>
      </c>
      <c r="E63">
        <f t="shared" si="0"/>
        <v>0</v>
      </c>
    </row>
    <row r="64" spans="1:5">
      <c r="A64" t="s">
        <v>60</v>
      </c>
      <c r="B64" t="s">
        <v>61</v>
      </c>
      <c r="C64">
        <v>75</v>
      </c>
      <c r="D64">
        <v>9000</v>
      </c>
      <c r="E64" s="29">
        <f t="shared" si="0"/>
        <v>675000</v>
      </c>
    </row>
    <row r="65" spans="1:5" hidden="1">
      <c r="A65" t="s">
        <v>129</v>
      </c>
      <c r="B65" t="s">
        <v>3</v>
      </c>
      <c r="C65">
        <v>0</v>
      </c>
      <c r="E65">
        <f t="shared" si="0"/>
        <v>0</v>
      </c>
    </row>
    <row r="66" spans="1:5">
      <c r="A66" t="s">
        <v>62</v>
      </c>
      <c r="B66" t="s">
        <v>3</v>
      </c>
      <c r="C66">
        <v>1.5</v>
      </c>
      <c r="D66">
        <v>80000</v>
      </c>
      <c r="E66" s="29">
        <f t="shared" si="0"/>
        <v>120000</v>
      </c>
    </row>
    <row r="67" spans="1:5">
      <c r="A67" t="s">
        <v>63</v>
      </c>
      <c r="B67" t="s">
        <v>3</v>
      </c>
      <c r="C67">
        <v>1</v>
      </c>
      <c r="D67">
        <v>70000</v>
      </c>
      <c r="E67" s="29">
        <f t="shared" si="0"/>
        <v>70000</v>
      </c>
    </row>
    <row r="68" spans="1:5">
      <c r="A68" t="s">
        <v>64</v>
      </c>
      <c r="B68" t="s">
        <v>3</v>
      </c>
      <c r="C68">
        <v>1.3</v>
      </c>
      <c r="D68">
        <v>70000</v>
      </c>
      <c r="E68" s="29">
        <f t="shared" ref="E68:E133" si="1">C68*D68</f>
        <v>91000</v>
      </c>
    </row>
    <row r="69" spans="1:5" hidden="1">
      <c r="A69" t="s">
        <v>65</v>
      </c>
      <c r="B69" t="s">
        <v>3</v>
      </c>
      <c r="C69">
        <v>0</v>
      </c>
      <c r="E69">
        <f t="shared" si="1"/>
        <v>0</v>
      </c>
    </row>
    <row r="70" spans="1:5">
      <c r="A70" t="s">
        <v>65</v>
      </c>
      <c r="B70" t="s">
        <v>17</v>
      </c>
      <c r="C70">
        <v>42</v>
      </c>
      <c r="D70">
        <v>6500</v>
      </c>
      <c r="E70" s="29">
        <f t="shared" si="1"/>
        <v>273000</v>
      </c>
    </row>
    <row r="71" spans="1:5" hidden="1">
      <c r="A71" t="s">
        <v>66</v>
      </c>
      <c r="B71" t="s">
        <v>3</v>
      </c>
      <c r="C71">
        <v>0</v>
      </c>
      <c r="E71">
        <f t="shared" si="1"/>
        <v>0</v>
      </c>
    </row>
    <row r="72" spans="1:5">
      <c r="A72" t="s">
        <v>67</v>
      </c>
      <c r="B72" t="s">
        <v>3</v>
      </c>
      <c r="C72">
        <v>15</v>
      </c>
      <c r="D72">
        <v>12000</v>
      </c>
      <c r="E72" s="29">
        <f t="shared" si="1"/>
        <v>180000</v>
      </c>
    </row>
    <row r="73" spans="1:5">
      <c r="A73" t="s">
        <v>68</v>
      </c>
      <c r="B73" t="s">
        <v>3</v>
      </c>
      <c r="C73">
        <v>32</v>
      </c>
      <c r="D73">
        <v>12000</v>
      </c>
      <c r="E73" s="29">
        <f t="shared" si="1"/>
        <v>384000</v>
      </c>
    </row>
    <row r="74" spans="1:5" hidden="1">
      <c r="A74" t="s">
        <v>68</v>
      </c>
      <c r="B74" t="s">
        <v>40</v>
      </c>
      <c r="C74">
        <v>0</v>
      </c>
      <c r="E74">
        <f t="shared" si="1"/>
        <v>0</v>
      </c>
    </row>
    <row r="75" spans="1:5" hidden="1">
      <c r="A75" t="s">
        <v>69</v>
      </c>
      <c r="B75" t="s">
        <v>3</v>
      </c>
      <c r="C75">
        <v>0</v>
      </c>
      <c r="E75">
        <f t="shared" si="1"/>
        <v>0</v>
      </c>
    </row>
    <row r="76" spans="1:5" hidden="1">
      <c r="A76" t="s">
        <v>70</v>
      </c>
      <c r="B76" t="s">
        <v>30</v>
      </c>
      <c r="C76">
        <v>0</v>
      </c>
      <c r="E76">
        <f t="shared" si="1"/>
        <v>0</v>
      </c>
    </row>
    <row r="77" spans="1:5">
      <c r="A77" t="s">
        <v>71</v>
      </c>
      <c r="B77" t="s">
        <v>3</v>
      </c>
      <c r="C77">
        <v>52</v>
      </c>
      <c r="D77">
        <v>14000</v>
      </c>
      <c r="E77" s="29">
        <f t="shared" si="1"/>
        <v>728000</v>
      </c>
    </row>
    <row r="78" spans="1:5" hidden="1">
      <c r="A78" t="s">
        <v>72</v>
      </c>
      <c r="B78" t="s">
        <v>17</v>
      </c>
      <c r="C78">
        <v>0</v>
      </c>
      <c r="E78">
        <f t="shared" si="1"/>
        <v>0</v>
      </c>
    </row>
    <row r="79" spans="1:5" hidden="1">
      <c r="A79" t="s">
        <v>73</v>
      </c>
      <c r="B79" t="s">
        <v>25</v>
      </c>
      <c r="C79">
        <v>0</v>
      </c>
      <c r="E79">
        <f t="shared" si="1"/>
        <v>0</v>
      </c>
    </row>
    <row r="80" spans="1:5">
      <c r="A80" t="s">
        <v>73</v>
      </c>
      <c r="B80" t="s">
        <v>3</v>
      </c>
      <c r="C80">
        <v>4</v>
      </c>
      <c r="D80">
        <v>55000</v>
      </c>
      <c r="E80" s="29">
        <f t="shared" si="1"/>
        <v>220000</v>
      </c>
    </row>
    <row r="81" spans="1:5" hidden="1">
      <c r="A81" t="s">
        <v>74</v>
      </c>
      <c r="B81" t="s">
        <v>3</v>
      </c>
      <c r="C81">
        <v>0</v>
      </c>
      <c r="E81">
        <f t="shared" si="1"/>
        <v>0</v>
      </c>
    </row>
    <row r="82" spans="1:5" hidden="1">
      <c r="A82" t="s">
        <v>74</v>
      </c>
      <c r="B82" t="s">
        <v>9</v>
      </c>
      <c r="C82">
        <v>0</v>
      </c>
      <c r="E82">
        <f t="shared" si="1"/>
        <v>0</v>
      </c>
    </row>
    <row r="83" spans="1:5" hidden="1">
      <c r="A83" t="s">
        <v>76</v>
      </c>
      <c r="B83" t="s">
        <v>3</v>
      </c>
      <c r="C83">
        <v>0</v>
      </c>
      <c r="E83">
        <f t="shared" si="1"/>
        <v>0</v>
      </c>
    </row>
    <row r="84" spans="1:5" hidden="1">
      <c r="A84" t="s">
        <v>76</v>
      </c>
      <c r="B84" t="s">
        <v>9</v>
      </c>
      <c r="C84">
        <v>0</v>
      </c>
      <c r="E84">
        <f t="shared" si="1"/>
        <v>0</v>
      </c>
    </row>
    <row r="85" spans="1:5">
      <c r="A85" t="s">
        <v>77</v>
      </c>
      <c r="B85" t="s">
        <v>3</v>
      </c>
      <c r="C85">
        <v>10</v>
      </c>
      <c r="D85">
        <v>42000</v>
      </c>
      <c r="E85" s="29">
        <f t="shared" si="1"/>
        <v>420000</v>
      </c>
    </row>
    <row r="86" spans="1:5">
      <c r="A86" t="s">
        <v>78</v>
      </c>
      <c r="B86" t="s">
        <v>3</v>
      </c>
      <c r="C86">
        <v>27</v>
      </c>
      <c r="D86">
        <v>32000</v>
      </c>
      <c r="E86" s="29">
        <f t="shared" si="1"/>
        <v>864000</v>
      </c>
    </row>
    <row r="87" spans="1:5" hidden="1">
      <c r="A87" t="s">
        <v>78</v>
      </c>
      <c r="B87" t="s">
        <v>9</v>
      </c>
      <c r="C87">
        <v>0</v>
      </c>
      <c r="E87">
        <f t="shared" si="1"/>
        <v>0</v>
      </c>
    </row>
    <row r="88" spans="1:5">
      <c r="A88" t="s">
        <v>79</v>
      </c>
      <c r="B88" t="s">
        <v>3</v>
      </c>
      <c r="C88">
        <v>40</v>
      </c>
      <c r="D88">
        <v>45000</v>
      </c>
      <c r="E88" s="29">
        <f t="shared" si="1"/>
        <v>1800000</v>
      </c>
    </row>
    <row r="89" spans="1:5" hidden="1">
      <c r="A89" t="s">
        <v>79</v>
      </c>
      <c r="B89" t="s">
        <v>30</v>
      </c>
      <c r="C89">
        <v>0</v>
      </c>
      <c r="E89">
        <f t="shared" si="1"/>
        <v>0</v>
      </c>
    </row>
    <row r="90" spans="1:5" hidden="1">
      <c r="A90" t="s">
        <v>80</v>
      </c>
      <c r="B90" t="s">
        <v>30</v>
      </c>
      <c r="C90">
        <v>0</v>
      </c>
      <c r="E90">
        <f t="shared" si="1"/>
        <v>0</v>
      </c>
    </row>
    <row r="91" spans="1:5">
      <c r="A91" t="s">
        <v>81</v>
      </c>
      <c r="B91" t="s">
        <v>9</v>
      </c>
      <c r="C91">
        <v>235</v>
      </c>
      <c r="D91">
        <v>9000</v>
      </c>
      <c r="E91" s="29">
        <f t="shared" si="1"/>
        <v>2115000</v>
      </c>
    </row>
    <row r="92" spans="1:5">
      <c r="A92" t="s">
        <v>82</v>
      </c>
      <c r="B92" t="s">
        <v>9</v>
      </c>
      <c r="C92">
        <v>370</v>
      </c>
      <c r="D92">
        <v>11361</v>
      </c>
      <c r="E92" s="29">
        <f t="shared" si="1"/>
        <v>4203570</v>
      </c>
    </row>
    <row r="93" spans="1:5">
      <c r="A93" t="s">
        <v>83</v>
      </c>
      <c r="B93" t="s">
        <v>9</v>
      </c>
      <c r="C93">
        <v>52</v>
      </c>
      <c r="D93">
        <v>100000</v>
      </c>
      <c r="E93" s="29">
        <f t="shared" si="1"/>
        <v>5200000</v>
      </c>
    </row>
    <row r="94" spans="1:5" hidden="1">
      <c r="A94" t="s">
        <v>84</v>
      </c>
      <c r="B94" t="s">
        <v>3</v>
      </c>
      <c r="C94">
        <v>0</v>
      </c>
      <c r="E94">
        <f t="shared" si="1"/>
        <v>0</v>
      </c>
    </row>
    <row r="95" spans="1:5">
      <c r="A95" t="s">
        <v>85</v>
      </c>
      <c r="B95" t="s">
        <v>3</v>
      </c>
      <c r="C95">
        <v>8</v>
      </c>
      <c r="D95">
        <v>7000</v>
      </c>
      <c r="E95" s="29">
        <f t="shared" si="1"/>
        <v>56000</v>
      </c>
    </row>
    <row r="96" spans="1:5">
      <c r="A96" t="s">
        <v>87</v>
      </c>
      <c r="B96" t="s">
        <v>3</v>
      </c>
      <c r="C96">
        <v>175</v>
      </c>
      <c r="D96">
        <v>4000</v>
      </c>
      <c r="E96" s="29">
        <f t="shared" si="1"/>
        <v>700000</v>
      </c>
    </row>
    <row r="97" spans="1:5">
      <c r="A97" t="s">
        <v>88</v>
      </c>
      <c r="B97" t="s">
        <v>3</v>
      </c>
      <c r="C97">
        <v>8</v>
      </c>
      <c r="D97">
        <v>13000</v>
      </c>
      <c r="E97" s="29">
        <f t="shared" si="1"/>
        <v>104000</v>
      </c>
    </row>
    <row r="98" spans="1:5">
      <c r="A98" t="s">
        <v>89</v>
      </c>
      <c r="B98" t="s">
        <v>3</v>
      </c>
      <c r="C98">
        <v>5</v>
      </c>
      <c r="D98">
        <v>28000</v>
      </c>
      <c r="E98" s="29">
        <f t="shared" si="1"/>
        <v>140000</v>
      </c>
    </row>
    <row r="99" spans="1:5" hidden="1">
      <c r="A99" t="s">
        <v>90</v>
      </c>
      <c r="B99" t="s">
        <v>40</v>
      </c>
      <c r="C99">
        <v>0</v>
      </c>
      <c r="E99">
        <f t="shared" si="1"/>
        <v>0</v>
      </c>
    </row>
    <row r="100" spans="1:5">
      <c r="A100" t="s">
        <v>91</v>
      </c>
      <c r="B100" t="s">
        <v>3</v>
      </c>
      <c r="C100">
        <v>8</v>
      </c>
      <c r="D100">
        <v>28000</v>
      </c>
      <c r="E100" s="29">
        <f t="shared" si="1"/>
        <v>224000</v>
      </c>
    </row>
    <row r="101" spans="1:5" hidden="1">
      <c r="A101" t="s">
        <v>92</v>
      </c>
      <c r="B101" t="s">
        <v>40</v>
      </c>
      <c r="C101">
        <v>0</v>
      </c>
      <c r="E101">
        <f t="shared" si="1"/>
        <v>0</v>
      </c>
    </row>
    <row r="102" spans="1:5" hidden="1">
      <c r="A102" t="s">
        <v>94</v>
      </c>
      <c r="B102" t="s">
        <v>3</v>
      </c>
      <c r="C102">
        <v>0</v>
      </c>
      <c r="E102">
        <f t="shared" si="1"/>
        <v>0</v>
      </c>
    </row>
    <row r="103" spans="1:5" hidden="1">
      <c r="A103" t="s">
        <v>95</v>
      </c>
      <c r="B103" t="s">
        <v>40</v>
      </c>
      <c r="C103">
        <v>0</v>
      </c>
      <c r="E103">
        <f t="shared" si="1"/>
        <v>0</v>
      </c>
    </row>
    <row r="104" spans="1:5">
      <c r="E104" s="29">
        <f>SUM(E6:E100)</f>
        <v>104417570</v>
      </c>
    </row>
    <row r="105" spans="1:5">
      <c r="E105" s="29"/>
    </row>
    <row r="106" spans="1:5">
      <c r="A106" t="s">
        <v>106</v>
      </c>
      <c r="B106" t="s">
        <v>0</v>
      </c>
      <c r="C106" t="s">
        <v>111</v>
      </c>
      <c r="D106" t="s">
        <v>112</v>
      </c>
      <c r="E106" s="29" t="s">
        <v>113</v>
      </c>
    </row>
    <row r="107" spans="1:5">
      <c r="A107" t="s">
        <v>2</v>
      </c>
      <c r="B107" t="s">
        <v>3</v>
      </c>
      <c r="C107">
        <v>8</v>
      </c>
      <c r="D107">
        <v>17000</v>
      </c>
      <c r="E107" s="29">
        <f t="shared" si="1"/>
        <v>136000</v>
      </c>
    </row>
    <row r="108" spans="1:5">
      <c r="A108" t="s">
        <v>4</v>
      </c>
      <c r="B108" t="s">
        <v>3</v>
      </c>
      <c r="C108">
        <v>400</v>
      </c>
      <c r="D108">
        <v>6000</v>
      </c>
      <c r="E108" s="29">
        <f t="shared" si="1"/>
        <v>2400000</v>
      </c>
    </row>
    <row r="109" spans="1:5">
      <c r="A109" t="s">
        <v>5</v>
      </c>
      <c r="B109" t="s">
        <v>3</v>
      </c>
      <c r="C109">
        <v>120</v>
      </c>
      <c r="D109">
        <v>6000</v>
      </c>
      <c r="E109" s="29">
        <f t="shared" si="1"/>
        <v>720000</v>
      </c>
    </row>
    <row r="110" spans="1:5">
      <c r="A110" t="s">
        <v>7</v>
      </c>
      <c r="B110" t="s">
        <v>3</v>
      </c>
      <c r="C110">
        <v>73</v>
      </c>
      <c r="D110">
        <v>12000</v>
      </c>
      <c r="E110" s="29">
        <f t="shared" si="1"/>
        <v>876000</v>
      </c>
    </row>
    <row r="111" spans="1:5" hidden="1">
      <c r="A111" t="s">
        <v>116</v>
      </c>
      <c r="B111" t="s">
        <v>3</v>
      </c>
      <c r="C111">
        <v>0</v>
      </c>
      <c r="E111">
        <f t="shared" si="1"/>
        <v>0</v>
      </c>
    </row>
    <row r="112" spans="1:5">
      <c r="A112" t="s">
        <v>8</v>
      </c>
      <c r="B112" t="s">
        <v>3</v>
      </c>
      <c r="C112">
        <v>5</v>
      </c>
      <c r="D112">
        <v>12000</v>
      </c>
      <c r="E112" s="29">
        <f t="shared" si="1"/>
        <v>60000</v>
      </c>
    </row>
    <row r="113" spans="1:5" hidden="1">
      <c r="A113" t="s">
        <v>12</v>
      </c>
      <c r="B113" t="s">
        <v>3</v>
      </c>
      <c r="C113">
        <v>0</v>
      </c>
      <c r="E113">
        <f t="shared" si="1"/>
        <v>0</v>
      </c>
    </row>
    <row r="114" spans="1:5" hidden="1">
      <c r="A114" t="s">
        <v>97</v>
      </c>
      <c r="B114" t="s">
        <v>3</v>
      </c>
      <c r="C114">
        <v>0</v>
      </c>
      <c r="E114">
        <f t="shared" si="1"/>
        <v>0</v>
      </c>
    </row>
    <row r="115" spans="1:5">
      <c r="A115" t="s">
        <v>18</v>
      </c>
      <c r="B115" t="s">
        <v>3</v>
      </c>
      <c r="C115">
        <v>115</v>
      </c>
      <c r="D115">
        <v>12000</v>
      </c>
      <c r="E115" s="29">
        <f t="shared" si="1"/>
        <v>1380000</v>
      </c>
    </row>
    <row r="116" spans="1:5">
      <c r="A116" t="s">
        <v>28</v>
      </c>
      <c r="B116" t="s">
        <v>3</v>
      </c>
      <c r="C116">
        <v>180</v>
      </c>
      <c r="D116">
        <v>17000</v>
      </c>
      <c r="E116" s="29">
        <f t="shared" si="1"/>
        <v>3060000</v>
      </c>
    </row>
    <row r="117" spans="1:5">
      <c r="A117" t="s">
        <v>31</v>
      </c>
      <c r="B117" t="s">
        <v>3</v>
      </c>
      <c r="C117">
        <v>205</v>
      </c>
      <c r="D117">
        <v>9000</v>
      </c>
      <c r="E117" s="29">
        <f t="shared" si="1"/>
        <v>1845000</v>
      </c>
    </row>
    <row r="118" spans="1:5">
      <c r="A118" t="s">
        <v>33</v>
      </c>
      <c r="B118" t="s">
        <v>3</v>
      </c>
      <c r="C118">
        <v>15</v>
      </c>
      <c r="D118">
        <v>8000</v>
      </c>
      <c r="E118" s="29">
        <f t="shared" si="1"/>
        <v>120000</v>
      </c>
    </row>
    <row r="119" spans="1:5">
      <c r="A119" t="s">
        <v>38</v>
      </c>
      <c r="B119" t="s">
        <v>3</v>
      </c>
      <c r="C119">
        <v>120</v>
      </c>
      <c r="D119">
        <v>5500</v>
      </c>
      <c r="E119" s="29">
        <f t="shared" si="1"/>
        <v>660000</v>
      </c>
    </row>
    <row r="120" spans="1:5">
      <c r="A120" t="s">
        <v>98</v>
      </c>
      <c r="B120" t="s">
        <v>3</v>
      </c>
      <c r="C120">
        <v>8</v>
      </c>
      <c r="D120">
        <v>14000</v>
      </c>
      <c r="E120" s="29">
        <f t="shared" si="1"/>
        <v>112000</v>
      </c>
    </row>
    <row r="121" spans="1:5">
      <c r="A121" t="s">
        <v>39</v>
      </c>
      <c r="B121" t="s">
        <v>3</v>
      </c>
      <c r="C121">
        <v>50</v>
      </c>
      <c r="D121">
        <v>18000</v>
      </c>
      <c r="E121" s="29">
        <f t="shared" si="1"/>
        <v>900000</v>
      </c>
    </row>
    <row r="122" spans="1:5">
      <c r="A122" t="s">
        <v>100</v>
      </c>
      <c r="B122" t="s">
        <v>3</v>
      </c>
      <c r="C122">
        <v>8</v>
      </c>
      <c r="D122">
        <v>27000</v>
      </c>
      <c r="E122" s="29">
        <f t="shared" si="1"/>
        <v>216000</v>
      </c>
    </row>
    <row r="123" spans="1:5">
      <c r="A123" t="s">
        <v>41</v>
      </c>
      <c r="B123" t="s">
        <v>3</v>
      </c>
      <c r="C123">
        <v>11</v>
      </c>
      <c r="D123">
        <v>14000</v>
      </c>
      <c r="E123" s="29">
        <f t="shared" si="1"/>
        <v>154000</v>
      </c>
    </row>
    <row r="124" spans="1:5">
      <c r="A124" t="s">
        <v>44</v>
      </c>
      <c r="B124" t="s">
        <v>3</v>
      </c>
      <c r="C124">
        <v>60</v>
      </c>
      <c r="D124">
        <v>5500</v>
      </c>
      <c r="E124" s="29">
        <f t="shared" si="1"/>
        <v>330000</v>
      </c>
    </row>
    <row r="125" spans="1:5">
      <c r="A125" t="s">
        <v>45</v>
      </c>
      <c r="B125" t="s">
        <v>3</v>
      </c>
      <c r="C125">
        <v>20</v>
      </c>
      <c r="D125">
        <v>10000</v>
      </c>
      <c r="E125" s="29">
        <f t="shared" si="1"/>
        <v>200000</v>
      </c>
    </row>
    <row r="126" spans="1:5">
      <c r="A126" t="s">
        <v>47</v>
      </c>
      <c r="B126" t="s">
        <v>3</v>
      </c>
      <c r="C126">
        <v>95</v>
      </c>
      <c r="D126">
        <v>9000</v>
      </c>
      <c r="E126" s="29">
        <f t="shared" si="1"/>
        <v>855000</v>
      </c>
    </row>
    <row r="127" spans="1:5">
      <c r="A127" t="s">
        <v>53</v>
      </c>
      <c r="B127" t="s">
        <v>3</v>
      </c>
      <c r="C127">
        <v>60</v>
      </c>
      <c r="D127">
        <v>17000</v>
      </c>
      <c r="E127" s="29">
        <f t="shared" si="1"/>
        <v>1020000</v>
      </c>
    </row>
    <row r="128" spans="1:5">
      <c r="A128" t="s">
        <v>56</v>
      </c>
      <c r="B128" t="s">
        <v>3</v>
      </c>
      <c r="C128">
        <v>104</v>
      </c>
      <c r="D128">
        <v>15000</v>
      </c>
      <c r="E128" s="29">
        <f t="shared" si="1"/>
        <v>1560000</v>
      </c>
    </row>
    <row r="129" spans="1:5">
      <c r="A129" t="s">
        <v>58</v>
      </c>
      <c r="B129" t="s">
        <v>3</v>
      </c>
      <c r="C129">
        <v>10</v>
      </c>
      <c r="D129">
        <v>9000</v>
      </c>
      <c r="E129" s="29">
        <f t="shared" si="1"/>
        <v>90000</v>
      </c>
    </row>
    <row r="130" spans="1:5" hidden="1">
      <c r="A130" t="s">
        <v>59</v>
      </c>
      <c r="B130" t="s">
        <v>30</v>
      </c>
      <c r="C130">
        <v>0</v>
      </c>
      <c r="E130">
        <f t="shared" si="1"/>
        <v>0</v>
      </c>
    </row>
    <row r="131" spans="1:5" hidden="1">
      <c r="A131" t="s">
        <v>60</v>
      </c>
      <c r="B131" t="s">
        <v>30</v>
      </c>
      <c r="C131">
        <v>0</v>
      </c>
      <c r="E131">
        <f t="shared" si="1"/>
        <v>0</v>
      </c>
    </row>
    <row r="132" spans="1:5" hidden="1">
      <c r="A132" t="s">
        <v>65</v>
      </c>
      <c r="B132" t="s">
        <v>3</v>
      </c>
      <c r="C132">
        <v>0</v>
      </c>
      <c r="E132">
        <f t="shared" si="1"/>
        <v>0</v>
      </c>
    </row>
    <row r="133" spans="1:5" hidden="1">
      <c r="A133" t="s">
        <v>65</v>
      </c>
      <c r="B133" t="s">
        <v>17</v>
      </c>
      <c r="C133">
        <v>0</v>
      </c>
      <c r="E133">
        <f t="shared" si="1"/>
        <v>0</v>
      </c>
    </row>
    <row r="134" spans="1:5">
      <c r="A134" t="s">
        <v>68</v>
      </c>
      <c r="B134" t="s">
        <v>3</v>
      </c>
      <c r="C134">
        <v>14</v>
      </c>
      <c r="D134">
        <v>12000</v>
      </c>
      <c r="E134" s="29">
        <f t="shared" ref="E134:E144" si="2">C134*D134</f>
        <v>168000</v>
      </c>
    </row>
    <row r="135" spans="1:5" hidden="1">
      <c r="A135" t="s">
        <v>69</v>
      </c>
      <c r="B135" t="s">
        <v>3</v>
      </c>
      <c r="C135">
        <v>0</v>
      </c>
      <c r="E135">
        <f t="shared" si="2"/>
        <v>0</v>
      </c>
    </row>
    <row r="136" spans="1:5" hidden="1">
      <c r="A136" t="s">
        <v>101</v>
      </c>
      <c r="B136" t="s">
        <v>3</v>
      </c>
      <c r="C136">
        <v>0</v>
      </c>
      <c r="E136">
        <f t="shared" si="2"/>
        <v>0</v>
      </c>
    </row>
    <row r="137" spans="1:5">
      <c r="A137" t="s">
        <v>74</v>
      </c>
      <c r="B137" t="s">
        <v>3</v>
      </c>
      <c r="C137">
        <v>9</v>
      </c>
      <c r="D137">
        <v>47000</v>
      </c>
      <c r="E137" s="29">
        <f t="shared" si="2"/>
        <v>423000</v>
      </c>
    </row>
    <row r="138" spans="1:5">
      <c r="A138" t="s">
        <v>76</v>
      </c>
      <c r="B138" t="s">
        <v>3</v>
      </c>
      <c r="C138">
        <v>5</v>
      </c>
      <c r="D138">
        <v>47000</v>
      </c>
      <c r="E138" s="29">
        <f t="shared" si="2"/>
        <v>235000</v>
      </c>
    </row>
    <row r="139" spans="1:5">
      <c r="A139" t="s">
        <v>78</v>
      </c>
      <c r="B139" t="s">
        <v>3</v>
      </c>
      <c r="C139">
        <v>15</v>
      </c>
      <c r="D139">
        <v>32000</v>
      </c>
      <c r="E139" s="29">
        <f t="shared" si="2"/>
        <v>480000</v>
      </c>
    </row>
    <row r="140" spans="1:5">
      <c r="A140" t="s">
        <v>87</v>
      </c>
      <c r="B140" t="s">
        <v>3</v>
      </c>
      <c r="C140">
        <v>25</v>
      </c>
      <c r="D140">
        <v>4000</v>
      </c>
      <c r="E140" s="29">
        <f t="shared" si="2"/>
        <v>100000</v>
      </c>
    </row>
    <row r="141" spans="1:5" hidden="1">
      <c r="A141" t="s">
        <v>89</v>
      </c>
      <c r="B141" t="s">
        <v>40</v>
      </c>
      <c r="C141">
        <v>0</v>
      </c>
      <c r="E141">
        <f t="shared" si="2"/>
        <v>0</v>
      </c>
    </row>
    <row r="142" spans="1:5" hidden="1">
      <c r="A142" t="s">
        <v>90</v>
      </c>
      <c r="B142" t="s">
        <v>40</v>
      </c>
      <c r="C142">
        <v>0</v>
      </c>
      <c r="E142">
        <f t="shared" si="2"/>
        <v>0</v>
      </c>
    </row>
    <row r="143" spans="1:5" hidden="1">
      <c r="A143" t="s">
        <v>92</v>
      </c>
      <c r="B143" t="s">
        <v>40</v>
      </c>
      <c r="C143">
        <v>0</v>
      </c>
      <c r="E143">
        <f t="shared" si="2"/>
        <v>0</v>
      </c>
    </row>
    <row r="144" spans="1:5" hidden="1">
      <c r="A144" t="s">
        <v>95</v>
      </c>
      <c r="B144" t="s">
        <v>40</v>
      </c>
      <c r="C144">
        <v>0</v>
      </c>
      <c r="E144">
        <f t="shared" si="2"/>
        <v>0</v>
      </c>
    </row>
    <row r="145" spans="5:5">
      <c r="E145" s="29">
        <f>SUM(E107:E140)</f>
        <v>18100000</v>
      </c>
    </row>
    <row r="146" spans="5:5">
      <c r="E146" s="42">
        <f>E145+E104</f>
        <v>122517570</v>
      </c>
    </row>
  </sheetData>
  <autoFilter ref="A2:E144">
    <filterColumn colId="2">
      <filters>
        <filter val="1"/>
        <filter val="1.3"/>
        <filter val="1.5"/>
        <filter val="10"/>
        <filter val="104"/>
        <filter val="11"/>
        <filter val="115"/>
        <filter val="120"/>
        <filter val="13"/>
        <filter val="1335"/>
        <filter val="14"/>
        <filter val="15"/>
        <filter val="150"/>
        <filter val="16"/>
        <filter val="17"/>
        <filter val="175"/>
        <filter val="180"/>
        <filter val="20"/>
        <filter val="205"/>
        <filter val="21"/>
        <filter val="23.5"/>
        <filter val="235"/>
        <filter val="25"/>
        <filter val="27"/>
        <filter val="30"/>
        <filter val="32"/>
        <filter val="34"/>
        <filter val="35"/>
        <filter val="370"/>
        <filter val="387"/>
        <filter val="4"/>
        <filter val="40"/>
        <filter val="400"/>
        <filter val="410"/>
        <filter val="42"/>
        <filter val="43"/>
        <filter val="441"/>
        <filter val="5"/>
        <filter val="50"/>
        <filter val="52"/>
        <filter val="6"/>
        <filter val="60"/>
        <filter val="640"/>
        <filter val="65"/>
        <filter val="7"/>
        <filter val="72"/>
        <filter val="73"/>
        <filter val="730"/>
        <filter val="75"/>
        <filter val="78"/>
        <filter val="8"/>
        <filter val="83"/>
        <filter val="9"/>
        <filter val="92"/>
        <filter val="95"/>
        <filter val="Tồn_x000a_ĐL_x000a__x000a_現在庫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123"/>
  <sheetViews>
    <sheetView topLeftCell="A77" workbookViewId="0">
      <selection activeCell="E123" sqref="E123"/>
    </sheetView>
  </sheetViews>
  <sheetFormatPr defaultColWidth="8.796875" defaultRowHeight="15.6"/>
  <cols>
    <col min="1" max="1" width="27.19921875" style="1" bestFit="1" customWidth="1"/>
    <col min="2" max="3" width="12.09765625" style="1" bestFit="1" customWidth="1"/>
    <col min="4" max="4" width="15.59765625" style="18" bestFit="1" customWidth="1"/>
    <col min="5" max="5" width="17" style="18" bestFit="1" customWidth="1"/>
    <col min="6" max="16384" width="8.796875" style="1"/>
  </cols>
  <sheetData>
    <row r="1" spans="1:5" ht="62.4">
      <c r="A1" s="9" t="s">
        <v>143</v>
      </c>
      <c r="B1" s="6" t="s">
        <v>0</v>
      </c>
      <c r="C1" s="7" t="s">
        <v>1</v>
      </c>
      <c r="D1" s="14" t="s">
        <v>102</v>
      </c>
      <c r="E1" s="14" t="s">
        <v>103</v>
      </c>
    </row>
    <row r="2" spans="1:5">
      <c r="A2" s="2" t="s">
        <v>2</v>
      </c>
      <c r="B2" s="2" t="s">
        <v>3</v>
      </c>
      <c r="C2" s="3">
        <v>34</v>
      </c>
      <c r="D2" s="15">
        <f>VLOOKUP(A2,'[1]SỔ CHI TIẾT MUA HÀNG'!$B$5:$E$159,4,0)</f>
        <v>17000</v>
      </c>
      <c r="E2" s="15">
        <f>+D2*C2</f>
        <v>578000</v>
      </c>
    </row>
    <row r="3" spans="1:5">
      <c r="A3" s="2" t="s">
        <v>4</v>
      </c>
      <c r="B3" s="2" t="s">
        <v>3</v>
      </c>
      <c r="C3" s="3">
        <v>300</v>
      </c>
      <c r="D3" s="15">
        <f>VLOOKUP(A3,'[1]SỔ CHI TIẾT MUA HÀNG'!$B$5:$E$159,4,0)</f>
        <v>6000</v>
      </c>
      <c r="E3" s="15">
        <f t="shared" ref="E3:E4" si="0">+D3*C3</f>
        <v>1800000</v>
      </c>
    </row>
    <row r="4" spans="1:5">
      <c r="A4" s="2" t="s">
        <v>5</v>
      </c>
      <c r="B4" s="2" t="s">
        <v>3</v>
      </c>
      <c r="C4" s="3">
        <v>540</v>
      </c>
      <c r="D4" s="15">
        <f>VLOOKUP(A4,'[1]SỔ CHI TIẾT MUA HÀNG'!$B$5:$E$159,4,0)</f>
        <v>5500</v>
      </c>
      <c r="E4" s="15">
        <f t="shared" si="0"/>
        <v>2970000</v>
      </c>
    </row>
    <row r="5" spans="1:5" s="31" customFormat="1" ht="13.8" hidden="1">
      <c r="A5" s="32" t="s">
        <v>96</v>
      </c>
      <c r="B5" s="32" t="s">
        <v>3</v>
      </c>
      <c r="C5" s="33">
        <v>0</v>
      </c>
      <c r="D5" s="34"/>
      <c r="E5" s="34"/>
    </row>
    <row r="6" spans="1:5" s="31" customFormat="1" ht="13.8" hidden="1">
      <c r="A6" s="32" t="s">
        <v>96</v>
      </c>
      <c r="B6" s="32" t="s">
        <v>9</v>
      </c>
      <c r="C6" s="33">
        <v>0</v>
      </c>
      <c r="D6" s="34"/>
      <c r="E6" s="34"/>
    </row>
    <row r="7" spans="1:5">
      <c r="A7" s="2" t="s">
        <v>6</v>
      </c>
      <c r="B7" s="2" t="s">
        <v>3</v>
      </c>
      <c r="C7" s="3">
        <v>60</v>
      </c>
      <c r="D7" s="15">
        <v>9000</v>
      </c>
      <c r="E7" s="15">
        <f t="shared" ref="E7:E8" si="1">+D7*C7</f>
        <v>540000</v>
      </c>
    </row>
    <row r="8" spans="1:5">
      <c r="A8" s="2" t="s">
        <v>7</v>
      </c>
      <c r="B8" s="2" t="s">
        <v>3</v>
      </c>
      <c r="C8" s="3">
        <v>170</v>
      </c>
      <c r="D8" s="15">
        <f>VLOOKUP(A8,'[1]SỔ CHI TIẾT MUA HÀNG'!$B$5:$E$159,4,0)</f>
        <v>12000</v>
      </c>
      <c r="E8" s="15">
        <f t="shared" si="1"/>
        <v>2040000</v>
      </c>
    </row>
    <row r="9" spans="1:5" s="31" customFormat="1" ht="13.8" hidden="1">
      <c r="A9" s="32" t="s">
        <v>116</v>
      </c>
      <c r="B9" s="32" t="s">
        <v>3</v>
      </c>
      <c r="C9" s="33">
        <v>0</v>
      </c>
      <c r="D9" s="34"/>
      <c r="E9" s="34"/>
    </row>
    <row r="10" spans="1:5">
      <c r="A10" s="2" t="s">
        <v>8</v>
      </c>
      <c r="B10" s="2" t="s">
        <v>3</v>
      </c>
      <c r="C10" s="3">
        <v>30</v>
      </c>
      <c r="D10" s="15">
        <f>VLOOKUP(A10,'[1]SỔ CHI TIẾT MUA HÀNG'!$B$5:$E$159,4,0)</f>
        <v>15000</v>
      </c>
      <c r="E10" s="15">
        <f>+D10*C10</f>
        <v>450000</v>
      </c>
    </row>
    <row r="11" spans="1:5" s="31" customFormat="1" ht="13.8" hidden="1">
      <c r="A11" s="32" t="s">
        <v>8</v>
      </c>
      <c r="B11" s="32" t="s">
        <v>9</v>
      </c>
      <c r="C11" s="33">
        <v>0</v>
      </c>
      <c r="D11" s="34"/>
      <c r="E11" s="34"/>
    </row>
    <row r="12" spans="1:5">
      <c r="A12" s="2" t="s">
        <v>10</v>
      </c>
      <c r="B12" s="2" t="s">
        <v>3</v>
      </c>
      <c r="C12" s="3">
        <v>20</v>
      </c>
      <c r="D12" s="15">
        <f>VLOOKUP(A12,'[1]SỔ CHI TIẾT MUA HÀNG'!$B$5:$E$159,4,0)</f>
        <v>13000</v>
      </c>
      <c r="E12" s="15">
        <f>+D12*C12</f>
        <v>260000</v>
      </c>
    </row>
    <row r="13" spans="1:5" s="31" customFormat="1" ht="13.8" hidden="1">
      <c r="A13" s="32" t="s">
        <v>10</v>
      </c>
      <c r="B13" s="32" t="s">
        <v>9</v>
      </c>
      <c r="C13" s="33">
        <v>0</v>
      </c>
      <c r="D13" s="34"/>
      <c r="E13" s="34"/>
    </row>
    <row r="14" spans="1:5" s="31" customFormat="1" ht="13.8" hidden="1">
      <c r="A14" s="32" t="s">
        <v>11</v>
      </c>
      <c r="B14" s="32" t="s">
        <v>3</v>
      </c>
      <c r="C14" s="33">
        <v>0</v>
      </c>
      <c r="D14" s="34"/>
      <c r="E14" s="34"/>
    </row>
    <row r="15" spans="1:5" s="31" customFormat="1" ht="13.8" hidden="1">
      <c r="A15" s="32" t="s">
        <v>131</v>
      </c>
      <c r="B15" s="32" t="s">
        <v>3</v>
      </c>
      <c r="C15" s="33">
        <v>0</v>
      </c>
      <c r="D15" s="34"/>
      <c r="E15" s="34"/>
    </row>
    <row r="16" spans="1:5">
      <c r="A16" s="2" t="s">
        <v>12</v>
      </c>
      <c r="B16" s="2" t="s">
        <v>3</v>
      </c>
      <c r="C16" s="3">
        <v>8</v>
      </c>
      <c r="D16" s="15">
        <v>20000</v>
      </c>
      <c r="E16" s="15">
        <f>+D16*C16</f>
        <v>160000</v>
      </c>
    </row>
    <row r="17" spans="1:5" s="31" customFormat="1" ht="13.8" hidden="1">
      <c r="A17" s="32" t="s">
        <v>13</v>
      </c>
      <c r="B17" s="32" t="s">
        <v>3</v>
      </c>
      <c r="C17" s="33">
        <v>0</v>
      </c>
      <c r="D17" s="34"/>
      <c r="E17" s="34"/>
    </row>
    <row r="18" spans="1:5" s="31" customFormat="1" ht="13.8" hidden="1">
      <c r="A18" s="32" t="s">
        <v>14</v>
      </c>
      <c r="B18" s="32" t="s">
        <v>3</v>
      </c>
      <c r="C18" s="33">
        <v>0</v>
      </c>
      <c r="D18" s="34"/>
      <c r="E18" s="34"/>
    </row>
    <row r="19" spans="1:5" s="31" customFormat="1" ht="13.8" hidden="1">
      <c r="A19" s="32" t="s">
        <v>15</v>
      </c>
      <c r="B19" s="32" t="s">
        <v>3</v>
      </c>
      <c r="C19" s="33">
        <v>0</v>
      </c>
      <c r="D19" s="34"/>
      <c r="E19" s="34"/>
    </row>
    <row r="20" spans="1:5">
      <c r="A20" s="2" t="s">
        <v>16</v>
      </c>
      <c r="B20" s="2" t="s">
        <v>17</v>
      </c>
      <c r="C20" s="3">
        <v>5</v>
      </c>
      <c r="D20" s="15">
        <f>VLOOKUP(A20,'[1]SỔ CHI TIẾT MUA HÀNG'!$B$5:$E$159,4,0)</f>
        <v>5000</v>
      </c>
      <c r="E20" s="15">
        <f>+D20*C20</f>
        <v>25000</v>
      </c>
    </row>
    <row r="21" spans="1:5" s="31" customFormat="1" ht="13.8" hidden="1">
      <c r="A21" s="32" t="s">
        <v>97</v>
      </c>
      <c r="B21" s="32" t="s">
        <v>3</v>
      </c>
      <c r="C21" s="33">
        <v>0</v>
      </c>
      <c r="D21" s="34"/>
      <c r="E21" s="34"/>
    </row>
    <row r="22" spans="1:5">
      <c r="A22" s="2" t="s">
        <v>18</v>
      </c>
      <c r="B22" s="2" t="s">
        <v>3</v>
      </c>
      <c r="C22" s="3">
        <v>460</v>
      </c>
      <c r="D22" s="15">
        <v>12000</v>
      </c>
      <c r="E22" s="15">
        <f>+D22*C22</f>
        <v>5520000</v>
      </c>
    </row>
    <row r="23" spans="1:5" s="31" customFormat="1" ht="13.8" hidden="1">
      <c r="A23" s="32" t="s">
        <v>18</v>
      </c>
      <c r="B23" s="32" t="s">
        <v>17</v>
      </c>
      <c r="C23" s="33">
        <v>0</v>
      </c>
      <c r="D23" s="34"/>
      <c r="E23" s="34"/>
    </row>
    <row r="24" spans="1:5" s="31" customFormat="1" ht="13.8" hidden="1">
      <c r="A24" s="32" t="s">
        <v>18</v>
      </c>
      <c r="B24" s="32" t="s">
        <v>19</v>
      </c>
      <c r="C24" s="33">
        <v>0</v>
      </c>
      <c r="D24" s="34"/>
      <c r="E24" s="34"/>
    </row>
    <row r="25" spans="1:5">
      <c r="A25" s="2" t="s">
        <v>20</v>
      </c>
      <c r="B25" s="2" t="s">
        <v>3</v>
      </c>
      <c r="C25" s="3">
        <v>50</v>
      </c>
      <c r="D25" s="15">
        <v>12000</v>
      </c>
      <c r="E25" s="15">
        <f t="shared" ref="E25:E26" si="2">+D25*C25</f>
        <v>600000</v>
      </c>
    </row>
    <row r="26" spans="1:5">
      <c r="A26" s="2" t="s">
        <v>20</v>
      </c>
      <c r="B26" s="2" t="s">
        <v>21</v>
      </c>
      <c r="C26" s="3">
        <v>25</v>
      </c>
      <c r="D26" s="15">
        <f>VLOOKUP(A26,'[1]SỔ CHI TIẾT MUA HÀNG'!$B$5:$E$159,4,0)</f>
        <v>7000</v>
      </c>
      <c r="E26" s="15">
        <f t="shared" si="2"/>
        <v>175000</v>
      </c>
    </row>
    <row r="27" spans="1:5" s="31" customFormat="1" ht="13.8" hidden="1">
      <c r="A27" s="32" t="s">
        <v>22</v>
      </c>
      <c r="B27" s="32" t="s">
        <v>3</v>
      </c>
      <c r="C27" s="33">
        <v>0</v>
      </c>
      <c r="D27" s="34"/>
      <c r="E27" s="34"/>
    </row>
    <row r="28" spans="1:5">
      <c r="A28" s="2" t="s">
        <v>22</v>
      </c>
      <c r="B28" s="2" t="s">
        <v>23</v>
      </c>
      <c r="C28" s="3">
        <v>60</v>
      </c>
      <c r="D28" s="15">
        <f>VLOOKUP(A28,'[1]SỔ CHI TIẾT MUA HÀNG'!$B$5:$E$159,4,0)</f>
        <v>5400</v>
      </c>
      <c r="E28" s="15">
        <f t="shared" ref="E28:E29" si="3">+D28*C28</f>
        <v>324000</v>
      </c>
    </row>
    <row r="29" spans="1:5">
      <c r="A29" s="2" t="s">
        <v>24</v>
      </c>
      <c r="B29" s="2" t="s">
        <v>25</v>
      </c>
      <c r="C29" s="3">
        <v>23</v>
      </c>
      <c r="D29" s="15">
        <f>VLOOKUP(A29,'[1]SỔ CHI TIẾT MUA HÀNG'!$B$5:$E$159,4,0)</f>
        <v>11100</v>
      </c>
      <c r="E29" s="15">
        <f t="shared" si="3"/>
        <v>255300</v>
      </c>
    </row>
    <row r="30" spans="1:5" s="31" customFormat="1" ht="13.8" hidden="1">
      <c r="A30" s="32" t="s">
        <v>26</v>
      </c>
      <c r="B30" s="32" t="s">
        <v>3</v>
      </c>
      <c r="C30" s="33">
        <v>0</v>
      </c>
      <c r="D30" s="34"/>
      <c r="E30" s="34"/>
    </row>
    <row r="31" spans="1:5">
      <c r="A31" s="2" t="s">
        <v>26</v>
      </c>
      <c r="B31" s="2" t="s">
        <v>23</v>
      </c>
      <c r="C31" s="3">
        <v>87</v>
      </c>
      <c r="D31" s="15">
        <v>10500</v>
      </c>
      <c r="E31" s="15">
        <f t="shared" ref="E31:E33" si="4">+D31*C31</f>
        <v>913500</v>
      </c>
    </row>
    <row r="32" spans="1:5">
      <c r="A32" s="2" t="s">
        <v>26</v>
      </c>
      <c r="B32" s="2" t="s">
        <v>27</v>
      </c>
      <c r="C32" s="3">
        <v>300</v>
      </c>
      <c r="D32" s="15">
        <v>7000</v>
      </c>
      <c r="E32" s="15">
        <f t="shared" si="4"/>
        <v>2100000</v>
      </c>
    </row>
    <row r="33" spans="1:5">
      <c r="A33" s="2" t="s">
        <v>28</v>
      </c>
      <c r="B33" s="2" t="s">
        <v>3</v>
      </c>
      <c r="C33" s="3">
        <v>90</v>
      </c>
      <c r="D33" s="15">
        <f>VLOOKUP(A33,'[1]SỔ CHI TIẾT MUA HÀNG'!$B$5:$E$159,4,0)</f>
        <v>17000</v>
      </c>
      <c r="E33" s="15">
        <f t="shared" si="4"/>
        <v>1530000</v>
      </c>
    </row>
    <row r="34" spans="1:5" s="31" customFormat="1" ht="13.8" hidden="1">
      <c r="A34" s="32" t="s">
        <v>28</v>
      </c>
      <c r="B34" s="32" t="s">
        <v>17</v>
      </c>
      <c r="C34" s="33">
        <v>0</v>
      </c>
      <c r="D34" s="34"/>
      <c r="E34" s="34"/>
    </row>
    <row r="35" spans="1:5">
      <c r="A35" s="2" t="s">
        <v>29</v>
      </c>
      <c r="B35" s="2" t="s">
        <v>30</v>
      </c>
      <c r="C35" s="3">
        <v>125</v>
      </c>
      <c r="D35" s="15">
        <f>VLOOKUP(A35,'[1]SỔ CHI TIẾT MUA HÀNG'!$B$5:$E$159,4,0)</f>
        <v>12000</v>
      </c>
      <c r="E35" s="15">
        <f t="shared" ref="E35:E36" si="5">+D35*C35</f>
        <v>1500000</v>
      </c>
    </row>
    <row r="36" spans="1:5">
      <c r="A36" s="2" t="s">
        <v>31</v>
      </c>
      <c r="B36" s="2" t="s">
        <v>3</v>
      </c>
      <c r="C36" s="3">
        <v>385</v>
      </c>
      <c r="D36" s="15">
        <f>VLOOKUP(A36,'[1]SỔ CHI TIẾT MUA HÀNG'!$B$5:$E$159,4,0)</f>
        <v>8500</v>
      </c>
      <c r="E36" s="15">
        <f t="shared" si="5"/>
        <v>3272500</v>
      </c>
    </row>
    <row r="37" spans="1:5" s="31" customFormat="1" ht="13.8" hidden="1">
      <c r="A37" s="32" t="s">
        <v>31</v>
      </c>
      <c r="B37" s="32" t="s">
        <v>30</v>
      </c>
      <c r="C37" s="33">
        <v>0</v>
      </c>
      <c r="D37" s="34"/>
      <c r="E37" s="34"/>
    </row>
    <row r="38" spans="1:5">
      <c r="A38" s="2" t="s">
        <v>32</v>
      </c>
      <c r="B38" s="2" t="s">
        <v>17</v>
      </c>
      <c r="C38" s="3">
        <v>10</v>
      </c>
      <c r="D38" s="15">
        <v>6000</v>
      </c>
      <c r="E38" s="15">
        <f t="shared" ref="E38:E39" si="6">+D38*C38</f>
        <v>60000</v>
      </c>
    </row>
    <row r="39" spans="1:5">
      <c r="A39" s="2" t="s">
        <v>33</v>
      </c>
      <c r="B39" s="2" t="s">
        <v>3</v>
      </c>
      <c r="C39" s="3">
        <v>45</v>
      </c>
      <c r="D39" s="15">
        <f>VLOOKUP(A39,'[1]SỔ CHI TIẾT MUA HÀNG'!$B$5:$E$159,4,0)</f>
        <v>8000</v>
      </c>
      <c r="E39" s="15">
        <f t="shared" si="6"/>
        <v>360000</v>
      </c>
    </row>
    <row r="40" spans="1:5" s="31" customFormat="1" ht="13.8" hidden="1">
      <c r="A40" s="32" t="s">
        <v>33</v>
      </c>
      <c r="B40" s="32" t="s">
        <v>34</v>
      </c>
      <c r="C40" s="33">
        <v>0</v>
      </c>
      <c r="D40" s="34"/>
      <c r="E40" s="34"/>
    </row>
    <row r="41" spans="1:5" s="31" customFormat="1" ht="13.8" hidden="1">
      <c r="A41" s="32" t="s">
        <v>35</v>
      </c>
      <c r="B41" s="32" t="s">
        <v>3</v>
      </c>
      <c r="C41" s="33">
        <v>0</v>
      </c>
      <c r="D41" s="34"/>
      <c r="E41" s="34"/>
    </row>
    <row r="42" spans="1:5" s="31" customFormat="1" ht="13.8" hidden="1">
      <c r="A42" s="32" t="s">
        <v>35</v>
      </c>
      <c r="B42" s="32" t="s">
        <v>30</v>
      </c>
      <c r="C42" s="33">
        <v>0</v>
      </c>
      <c r="D42" s="34"/>
      <c r="E42" s="34"/>
    </row>
    <row r="43" spans="1:5">
      <c r="A43" s="2" t="s">
        <v>36</v>
      </c>
      <c r="B43" s="2" t="s">
        <v>30</v>
      </c>
      <c r="C43" s="3">
        <v>8</v>
      </c>
      <c r="D43" s="15">
        <v>3000</v>
      </c>
      <c r="E43" s="15">
        <f t="shared" ref="E43:E44" si="7">+D43*C43</f>
        <v>24000</v>
      </c>
    </row>
    <row r="44" spans="1:5">
      <c r="A44" s="2" t="s">
        <v>37</v>
      </c>
      <c r="B44" s="2" t="s">
        <v>30</v>
      </c>
      <c r="C44" s="3">
        <v>15</v>
      </c>
      <c r="D44" s="15">
        <f>VLOOKUP(A44,'[1]SỔ CHI TIẾT MUA HÀNG'!$B$5:$E$159,4,0)</f>
        <v>4200</v>
      </c>
      <c r="E44" s="15">
        <f t="shared" si="7"/>
        <v>63000</v>
      </c>
    </row>
    <row r="45" spans="1:5" s="31" customFormat="1" ht="13.8" hidden="1">
      <c r="A45" s="32" t="s">
        <v>37</v>
      </c>
      <c r="B45" s="32" t="s">
        <v>132</v>
      </c>
      <c r="C45" s="33">
        <v>0</v>
      </c>
      <c r="D45" s="34"/>
      <c r="E45" s="34"/>
    </row>
    <row r="46" spans="1:5">
      <c r="A46" s="2" t="s">
        <v>38</v>
      </c>
      <c r="B46" s="2" t="s">
        <v>3</v>
      </c>
      <c r="C46" s="3">
        <v>1420</v>
      </c>
      <c r="D46" s="15">
        <f>VLOOKUP(A46,'[1]SỔ CHI TIẾT MUA HÀNG'!$B$5:$E$159,4,0)</f>
        <v>4500</v>
      </c>
      <c r="E46" s="15">
        <f t="shared" ref="E46:E48" si="8">+D46*C46</f>
        <v>6390000</v>
      </c>
    </row>
    <row r="47" spans="1:5">
      <c r="A47" s="2" t="s">
        <v>98</v>
      </c>
      <c r="B47" s="2" t="s">
        <v>3</v>
      </c>
      <c r="C47" s="3">
        <v>8</v>
      </c>
      <c r="D47" s="15">
        <f>VLOOKUP(A47,'[1]SỔ CHI TIẾT MUA HÀNG'!$B$5:$E$159,4,0)</f>
        <v>14000</v>
      </c>
      <c r="E47" s="15">
        <f t="shared" si="8"/>
        <v>112000</v>
      </c>
    </row>
    <row r="48" spans="1:5">
      <c r="A48" s="2" t="s">
        <v>39</v>
      </c>
      <c r="B48" s="2" t="s">
        <v>3</v>
      </c>
      <c r="C48" s="3">
        <v>85</v>
      </c>
      <c r="D48" s="15">
        <f>VLOOKUP(A48,'[1]SỔ CHI TIẾT MUA HÀNG'!$B$5:$E$159,4,0)</f>
        <v>15000</v>
      </c>
      <c r="E48" s="15">
        <f t="shared" si="8"/>
        <v>1275000</v>
      </c>
    </row>
    <row r="49" spans="1:5" s="31" customFormat="1" ht="13.8" hidden="1">
      <c r="A49" s="32" t="s">
        <v>39</v>
      </c>
      <c r="B49" s="32" t="s">
        <v>40</v>
      </c>
      <c r="C49" s="33">
        <v>0</v>
      </c>
      <c r="D49" s="34"/>
      <c r="E49" s="34"/>
    </row>
    <row r="50" spans="1:5">
      <c r="A50" s="2" t="s">
        <v>100</v>
      </c>
      <c r="B50" s="2" t="s">
        <v>3</v>
      </c>
      <c r="C50" s="3">
        <v>7</v>
      </c>
      <c r="D50" s="15">
        <f>VLOOKUP(A50,'[1]SỔ CHI TIẾT MUA HÀNG'!$B$5:$E$159,4,0)</f>
        <v>27000</v>
      </c>
      <c r="E50" s="15">
        <f>+D50*C50</f>
        <v>189000</v>
      </c>
    </row>
    <row r="51" spans="1:5" s="31" customFormat="1" ht="13.8" hidden="1">
      <c r="A51" s="32" t="s">
        <v>133</v>
      </c>
      <c r="B51" s="32" t="s">
        <v>17</v>
      </c>
      <c r="C51" s="33">
        <v>0</v>
      </c>
      <c r="D51" s="34"/>
      <c r="E51" s="34"/>
    </row>
    <row r="52" spans="1:5">
      <c r="A52" s="2" t="s">
        <v>41</v>
      </c>
      <c r="B52" s="2" t="s">
        <v>3</v>
      </c>
      <c r="C52" s="3">
        <v>50</v>
      </c>
      <c r="D52" s="15">
        <v>14000</v>
      </c>
      <c r="E52" s="15">
        <f t="shared" ref="E52:E55" si="9">+D52*C52</f>
        <v>700000</v>
      </c>
    </row>
    <row r="53" spans="1:5">
      <c r="A53" s="2" t="s">
        <v>42</v>
      </c>
      <c r="B53" s="2" t="s">
        <v>25</v>
      </c>
      <c r="C53" s="3">
        <v>22</v>
      </c>
      <c r="D53" s="15">
        <f>VLOOKUP(A53,'[1]SỔ CHI TIẾT MUA HÀNG'!$B$5:$E$159,4,0)</f>
        <v>10000</v>
      </c>
      <c r="E53" s="15">
        <f t="shared" si="9"/>
        <v>220000</v>
      </c>
    </row>
    <row r="54" spans="1:5">
      <c r="A54" s="2" t="s">
        <v>44</v>
      </c>
      <c r="B54" s="2" t="s">
        <v>3</v>
      </c>
      <c r="C54" s="3">
        <v>20</v>
      </c>
      <c r="D54" s="15">
        <f>VLOOKUP(A54,'[1]SỔ CHI TIẾT MUA HÀNG'!$B$5:$E$159,4,0)</f>
        <v>4500</v>
      </c>
      <c r="E54" s="15">
        <f t="shared" si="9"/>
        <v>90000</v>
      </c>
    </row>
    <row r="55" spans="1:5">
      <c r="A55" s="2" t="s">
        <v>45</v>
      </c>
      <c r="B55" s="2" t="s">
        <v>3</v>
      </c>
      <c r="C55" s="3">
        <v>60</v>
      </c>
      <c r="D55" s="15">
        <f>VLOOKUP(A55,'[1]SỔ CHI TIẾT MUA HÀNG'!$B$5:$E$159,4,0)</f>
        <v>10000</v>
      </c>
      <c r="E55" s="15">
        <f t="shared" si="9"/>
        <v>600000</v>
      </c>
    </row>
    <row r="56" spans="1:5" s="31" customFormat="1" ht="13.8" hidden="1">
      <c r="A56" s="32" t="s">
        <v>45</v>
      </c>
      <c r="B56" s="32" t="s">
        <v>30</v>
      </c>
      <c r="C56" s="33">
        <v>0</v>
      </c>
      <c r="D56" s="34"/>
      <c r="E56" s="34"/>
    </row>
    <row r="57" spans="1:5">
      <c r="A57" s="2" t="s">
        <v>46</v>
      </c>
      <c r="B57" s="2" t="s">
        <v>3</v>
      </c>
      <c r="C57" s="3">
        <v>12</v>
      </c>
      <c r="D57" s="15">
        <f>VLOOKUP(A57,'[1]SỔ CHI TIẾT MUA HÀNG'!$B$5:$E$159,4,0)</f>
        <v>18000</v>
      </c>
      <c r="E57" s="15">
        <f t="shared" ref="E57:E58" si="10">+D57*C57</f>
        <v>216000</v>
      </c>
    </row>
    <row r="58" spans="1:5">
      <c r="A58" s="2" t="s">
        <v>47</v>
      </c>
      <c r="B58" s="2" t="s">
        <v>3</v>
      </c>
      <c r="C58" s="3">
        <v>326</v>
      </c>
      <c r="D58" s="15">
        <f>VLOOKUP(A58,'[1]SỔ CHI TIẾT MUA HÀNG'!$B$5:$E$159,4,0)</f>
        <v>9000</v>
      </c>
      <c r="E58" s="15">
        <f t="shared" si="10"/>
        <v>2934000</v>
      </c>
    </row>
    <row r="59" spans="1:5" s="31" customFormat="1" ht="13.8" hidden="1">
      <c r="A59" s="32" t="s">
        <v>47</v>
      </c>
      <c r="B59" s="32" t="s">
        <v>48</v>
      </c>
      <c r="C59" s="33">
        <v>0</v>
      </c>
      <c r="D59" s="34"/>
      <c r="E59" s="34"/>
    </row>
    <row r="60" spans="1:5" s="31" customFormat="1" ht="13.8" hidden="1">
      <c r="A60" s="32" t="s">
        <v>134</v>
      </c>
      <c r="B60" s="32" t="s">
        <v>3</v>
      </c>
      <c r="C60" s="33">
        <v>0</v>
      </c>
      <c r="D60" s="34"/>
      <c r="E60" s="34"/>
    </row>
    <row r="61" spans="1:5">
      <c r="A61" s="2" t="s">
        <v>49</v>
      </c>
      <c r="B61" s="2" t="s">
        <v>30</v>
      </c>
      <c r="C61" s="3">
        <v>133</v>
      </c>
      <c r="D61" s="15">
        <f>VLOOKUP(A61,'[1]SỔ CHI TIẾT MUA HÀNG'!$B$5:$E$159,4,0)</f>
        <v>6500</v>
      </c>
      <c r="E61" s="15">
        <f t="shared" ref="E61:E63" si="11">+D61*C61</f>
        <v>864500</v>
      </c>
    </row>
    <row r="62" spans="1:5">
      <c r="A62" s="2" t="s">
        <v>50</v>
      </c>
      <c r="B62" s="2" t="s">
        <v>3</v>
      </c>
      <c r="C62" s="3">
        <v>925</v>
      </c>
      <c r="D62" s="15">
        <f>VLOOKUP(A62,'[1]SỔ CHI TIẾT MUA HÀNG'!$B$5:$E$159,4,0)</f>
        <v>26500</v>
      </c>
      <c r="E62" s="15">
        <f t="shared" si="11"/>
        <v>24512500</v>
      </c>
    </row>
    <row r="63" spans="1:5">
      <c r="A63" s="2" t="s">
        <v>51</v>
      </c>
      <c r="B63" s="2" t="s">
        <v>3</v>
      </c>
      <c r="C63" s="3">
        <v>1190</v>
      </c>
      <c r="D63" s="15">
        <v>27000</v>
      </c>
      <c r="E63" s="15">
        <f t="shared" si="11"/>
        <v>32130000</v>
      </c>
    </row>
    <row r="64" spans="1:5" s="31" customFormat="1" ht="13.8" hidden="1">
      <c r="A64" s="32" t="s">
        <v>51</v>
      </c>
      <c r="B64" s="32" t="s">
        <v>30</v>
      </c>
      <c r="C64" s="33">
        <v>0</v>
      </c>
      <c r="D64" s="34"/>
      <c r="E64" s="34"/>
    </row>
    <row r="65" spans="1:5">
      <c r="A65" s="2" t="s">
        <v>53</v>
      </c>
      <c r="B65" s="2" t="s">
        <v>3</v>
      </c>
      <c r="C65" s="3">
        <v>160</v>
      </c>
      <c r="D65" s="15">
        <f>VLOOKUP(A65,'[1]SỔ CHI TIẾT MUA HÀNG'!$B$5:$E$159,4,0)</f>
        <v>16000</v>
      </c>
      <c r="E65" s="15">
        <f>+D65*C65</f>
        <v>2560000</v>
      </c>
    </row>
    <row r="66" spans="1:5" s="31" customFormat="1" ht="13.8" hidden="1">
      <c r="A66" s="32" t="s">
        <v>135</v>
      </c>
      <c r="B66" s="32" t="s">
        <v>3</v>
      </c>
      <c r="C66" s="33">
        <v>0</v>
      </c>
      <c r="D66" s="34"/>
      <c r="E66" s="34"/>
    </row>
    <row r="67" spans="1:5">
      <c r="A67" s="2" t="s">
        <v>54</v>
      </c>
      <c r="B67" s="2" t="s">
        <v>3</v>
      </c>
      <c r="C67" s="3">
        <v>25</v>
      </c>
      <c r="D67" s="15">
        <v>29000</v>
      </c>
      <c r="E67" s="15">
        <f>+D67*C67</f>
        <v>725000</v>
      </c>
    </row>
    <row r="68" spans="1:5" s="31" customFormat="1" ht="13.8" hidden="1">
      <c r="A68" s="32" t="s">
        <v>55</v>
      </c>
      <c r="B68" s="32" t="s">
        <v>3</v>
      </c>
      <c r="C68" s="33">
        <v>0</v>
      </c>
      <c r="D68" s="34"/>
      <c r="E68" s="34"/>
    </row>
    <row r="69" spans="1:5" s="31" customFormat="1" ht="13.8" hidden="1">
      <c r="A69" s="32" t="s">
        <v>108</v>
      </c>
      <c r="B69" s="32" t="s">
        <v>30</v>
      </c>
      <c r="C69" s="33">
        <v>0</v>
      </c>
      <c r="D69" s="34"/>
      <c r="E69" s="34"/>
    </row>
    <row r="70" spans="1:5">
      <c r="A70" s="2" t="s">
        <v>56</v>
      </c>
      <c r="B70" s="2" t="s">
        <v>3</v>
      </c>
      <c r="C70" s="3">
        <v>580</v>
      </c>
      <c r="D70" s="15">
        <f>VLOOKUP(A70,'[1]SỔ CHI TIẾT MUA HÀNG'!$B$5:$E$159,4,0)</f>
        <v>12200</v>
      </c>
      <c r="E70" s="15">
        <f>+D70*C70</f>
        <v>7076000</v>
      </c>
    </row>
    <row r="71" spans="1:5" s="31" customFormat="1" ht="13.8" hidden="1">
      <c r="A71" s="32" t="s">
        <v>56</v>
      </c>
      <c r="B71" s="32" t="s">
        <v>30</v>
      </c>
      <c r="C71" s="33">
        <v>0</v>
      </c>
      <c r="D71" s="34"/>
      <c r="E71" s="34"/>
    </row>
    <row r="72" spans="1:5" s="31" customFormat="1" ht="13.8" hidden="1">
      <c r="A72" s="32" t="s">
        <v>57</v>
      </c>
      <c r="B72" s="32" t="s">
        <v>30</v>
      </c>
      <c r="C72" s="33">
        <v>0</v>
      </c>
      <c r="D72" s="34"/>
      <c r="E72" s="34"/>
    </row>
    <row r="73" spans="1:5">
      <c r="A73" s="2" t="s">
        <v>58</v>
      </c>
      <c r="B73" s="2" t="s">
        <v>3</v>
      </c>
      <c r="C73" s="3">
        <v>8</v>
      </c>
      <c r="D73" s="15">
        <f>VLOOKUP(A73,'[1]SỔ CHI TIẾT MUA HÀNG'!$B$5:$E$159,4,0)</f>
        <v>9000</v>
      </c>
      <c r="E73" s="15">
        <f t="shared" ref="E73:E74" si="12">+D73*C73</f>
        <v>72000</v>
      </c>
    </row>
    <row r="74" spans="1:5">
      <c r="A74" s="2" t="s">
        <v>59</v>
      </c>
      <c r="B74" s="2" t="s">
        <v>30</v>
      </c>
      <c r="C74" s="3">
        <v>8</v>
      </c>
      <c r="D74" s="15">
        <f>VLOOKUP(A74,'[1]SỔ CHI TIẾT MUA HÀNG'!$B$5:$E$159,4,0)</f>
        <v>6000</v>
      </c>
      <c r="E74" s="15">
        <f t="shared" si="12"/>
        <v>48000</v>
      </c>
    </row>
    <row r="75" spans="1:5" s="31" customFormat="1" ht="13.8" hidden="1">
      <c r="A75" s="32" t="s">
        <v>60</v>
      </c>
      <c r="B75" s="32" t="s">
        <v>3</v>
      </c>
      <c r="C75" s="33">
        <v>0</v>
      </c>
      <c r="D75" s="34"/>
      <c r="E75" s="34"/>
    </row>
    <row r="76" spans="1:5" s="31" customFormat="1" ht="13.8" hidden="1">
      <c r="A76" s="32" t="s">
        <v>60</v>
      </c>
      <c r="B76" s="32" t="s">
        <v>30</v>
      </c>
      <c r="C76" s="33">
        <v>0</v>
      </c>
      <c r="D76" s="34"/>
      <c r="E76" s="34"/>
    </row>
    <row r="77" spans="1:5">
      <c r="A77" s="2" t="s">
        <v>60</v>
      </c>
      <c r="B77" s="2" t="s">
        <v>61</v>
      </c>
      <c r="C77" s="3">
        <v>34</v>
      </c>
      <c r="D77" s="15">
        <f>VLOOKUP(A77,'[1]SỔ CHI TIẾT MUA HÀNG'!$B$5:$E$159,4,0)</f>
        <v>11000</v>
      </c>
      <c r="E77" s="15">
        <f>+D77*C77</f>
        <v>374000</v>
      </c>
    </row>
    <row r="78" spans="1:5" s="31" customFormat="1" ht="13.8" hidden="1">
      <c r="A78" s="32" t="s">
        <v>129</v>
      </c>
      <c r="B78" s="32" t="s">
        <v>3</v>
      </c>
      <c r="C78" s="33">
        <v>0</v>
      </c>
      <c r="D78" s="34"/>
      <c r="E78" s="34"/>
    </row>
    <row r="79" spans="1:5" s="31" customFormat="1" ht="13.8" hidden="1">
      <c r="A79" s="32" t="s">
        <v>62</v>
      </c>
      <c r="B79" s="32" t="s">
        <v>3</v>
      </c>
      <c r="C79" s="33">
        <v>0</v>
      </c>
      <c r="D79" s="34"/>
      <c r="E79" s="34"/>
    </row>
    <row r="80" spans="1:5">
      <c r="A80" s="2" t="s">
        <v>63</v>
      </c>
      <c r="B80" s="2" t="s">
        <v>3</v>
      </c>
      <c r="C80" s="3">
        <v>1</v>
      </c>
      <c r="D80" s="15">
        <v>70000</v>
      </c>
      <c r="E80" s="15">
        <f>+D80*C80</f>
        <v>70000</v>
      </c>
    </row>
    <row r="81" spans="1:5" s="31" customFormat="1" ht="13.8" hidden="1">
      <c r="A81" s="32" t="s">
        <v>64</v>
      </c>
      <c r="B81" s="32" t="s">
        <v>3</v>
      </c>
      <c r="C81" s="33">
        <v>0</v>
      </c>
      <c r="D81" s="34"/>
      <c r="E81" s="34"/>
    </row>
    <row r="82" spans="1:5">
      <c r="A82" s="2" t="s">
        <v>65</v>
      </c>
      <c r="B82" s="2" t="s">
        <v>3</v>
      </c>
      <c r="C82" s="3">
        <v>10</v>
      </c>
      <c r="D82" s="15">
        <v>9500</v>
      </c>
      <c r="E82" s="15">
        <f t="shared" ref="E82:E83" si="13">+D82*C82</f>
        <v>95000</v>
      </c>
    </row>
    <row r="83" spans="1:5">
      <c r="A83" s="2" t="s">
        <v>65</v>
      </c>
      <c r="B83" s="2" t="s">
        <v>17</v>
      </c>
      <c r="C83" s="3">
        <v>222</v>
      </c>
      <c r="D83" s="15">
        <f>VLOOKUP(A83,'[1]SỔ CHI TIẾT MUA HÀNG'!$B$5:$E$159,4,0)</f>
        <v>7000</v>
      </c>
      <c r="E83" s="15">
        <f t="shared" si="13"/>
        <v>1554000</v>
      </c>
    </row>
    <row r="84" spans="1:5" s="31" customFormat="1" ht="13.8" hidden="1">
      <c r="A84" s="32" t="s">
        <v>66</v>
      </c>
      <c r="B84" s="32" t="s">
        <v>3</v>
      </c>
      <c r="C84" s="33">
        <v>0</v>
      </c>
      <c r="D84" s="34"/>
      <c r="E84" s="34"/>
    </row>
    <row r="85" spans="1:5" s="31" customFormat="1" ht="13.8" hidden="1">
      <c r="A85" s="32" t="s">
        <v>66</v>
      </c>
      <c r="B85" s="32" t="s">
        <v>30</v>
      </c>
      <c r="C85" s="33">
        <v>0</v>
      </c>
      <c r="D85" s="34"/>
      <c r="E85" s="34"/>
    </row>
    <row r="86" spans="1:5">
      <c r="A86" s="2" t="s">
        <v>67</v>
      </c>
      <c r="B86" s="2" t="s">
        <v>3</v>
      </c>
      <c r="C86" s="3">
        <v>30</v>
      </c>
      <c r="D86" s="15">
        <f>VLOOKUP(A86,'[1]SỔ CHI TIẾT MUA HÀNG'!$B$5:$E$159,4,0)</f>
        <v>15000</v>
      </c>
      <c r="E86" s="15">
        <f>+D86*C86</f>
        <v>450000</v>
      </c>
    </row>
    <row r="87" spans="1:5" s="31" customFormat="1" ht="13.8" hidden="1">
      <c r="A87" s="32" t="s">
        <v>68</v>
      </c>
      <c r="B87" s="32" t="s">
        <v>3</v>
      </c>
      <c r="C87" s="33">
        <v>0</v>
      </c>
      <c r="D87" s="34"/>
      <c r="E87" s="34"/>
    </row>
    <row r="88" spans="1:5" s="31" customFormat="1" ht="13.8" hidden="1">
      <c r="A88" s="32" t="s">
        <v>68</v>
      </c>
      <c r="B88" s="32" t="s">
        <v>40</v>
      </c>
      <c r="C88" s="33">
        <v>0</v>
      </c>
      <c r="D88" s="34"/>
      <c r="E88" s="34"/>
    </row>
    <row r="89" spans="1:5" s="31" customFormat="1" ht="13.8" hidden="1">
      <c r="A89" s="32" t="s">
        <v>69</v>
      </c>
      <c r="B89" s="32" t="s">
        <v>3</v>
      </c>
      <c r="C89" s="33">
        <v>0</v>
      </c>
      <c r="D89" s="34"/>
      <c r="E89" s="34"/>
    </row>
    <row r="90" spans="1:5" s="31" customFormat="1" ht="13.8" hidden="1">
      <c r="A90" s="32" t="s">
        <v>136</v>
      </c>
      <c r="B90" s="32" t="s">
        <v>3</v>
      </c>
      <c r="C90" s="33">
        <v>0</v>
      </c>
      <c r="D90" s="34"/>
      <c r="E90" s="34"/>
    </row>
    <row r="91" spans="1:5" s="31" customFormat="1" ht="13.8" hidden="1">
      <c r="A91" s="32" t="s">
        <v>137</v>
      </c>
      <c r="B91" s="32" t="s">
        <v>30</v>
      </c>
      <c r="C91" s="33">
        <v>0</v>
      </c>
      <c r="D91" s="34"/>
      <c r="E91" s="34"/>
    </row>
    <row r="92" spans="1:5" s="31" customFormat="1" ht="13.8" hidden="1">
      <c r="A92" s="32" t="s">
        <v>70</v>
      </c>
      <c r="B92" s="32" t="s">
        <v>30</v>
      </c>
      <c r="C92" s="33">
        <v>0</v>
      </c>
      <c r="D92" s="34"/>
      <c r="E92" s="34"/>
    </row>
    <row r="93" spans="1:5">
      <c r="A93" s="2" t="s">
        <v>71</v>
      </c>
      <c r="B93" s="2" t="s">
        <v>3</v>
      </c>
      <c r="C93" s="3">
        <v>20</v>
      </c>
      <c r="D93" s="15">
        <v>14000</v>
      </c>
      <c r="E93" s="15">
        <f>+D93*C93</f>
        <v>280000</v>
      </c>
    </row>
    <row r="94" spans="1:5" s="31" customFormat="1" ht="13.8" hidden="1">
      <c r="A94" s="32" t="s">
        <v>138</v>
      </c>
      <c r="B94" s="32" t="s">
        <v>3</v>
      </c>
      <c r="C94" s="33">
        <v>0</v>
      </c>
      <c r="D94" s="34"/>
      <c r="E94" s="34"/>
    </row>
    <row r="95" spans="1:5" s="31" customFormat="1" ht="13.8" hidden="1">
      <c r="A95" s="32" t="s">
        <v>72</v>
      </c>
      <c r="B95" s="32" t="s">
        <v>17</v>
      </c>
      <c r="C95" s="33">
        <v>0</v>
      </c>
      <c r="D95" s="34"/>
      <c r="E95" s="34"/>
    </row>
    <row r="96" spans="1:5" s="31" customFormat="1" ht="13.8" hidden="1">
      <c r="A96" s="32" t="s">
        <v>73</v>
      </c>
      <c r="B96" s="32" t="s">
        <v>25</v>
      </c>
      <c r="C96" s="33">
        <v>0</v>
      </c>
      <c r="D96" s="34"/>
      <c r="E96" s="34"/>
    </row>
    <row r="97" spans="1:5">
      <c r="A97" s="2" t="s">
        <v>74</v>
      </c>
      <c r="B97" s="2" t="s">
        <v>3</v>
      </c>
      <c r="C97" s="3">
        <v>5</v>
      </c>
      <c r="D97" s="15">
        <f>VLOOKUP(A97,'[1]SỔ CHI TIẾT MUA HÀNG'!$B$5:$E$159,4,0)</f>
        <v>47000</v>
      </c>
      <c r="E97" s="15">
        <f>+D97*C97</f>
        <v>235000</v>
      </c>
    </row>
    <row r="98" spans="1:5" s="31" customFormat="1" ht="13.8" hidden="1">
      <c r="A98" s="32" t="s">
        <v>74</v>
      </c>
      <c r="B98" s="32" t="s">
        <v>9</v>
      </c>
      <c r="C98" s="33">
        <v>0</v>
      </c>
      <c r="D98" s="34"/>
      <c r="E98" s="34"/>
    </row>
    <row r="99" spans="1:5" s="31" customFormat="1" ht="13.8" hidden="1">
      <c r="A99" s="32" t="s">
        <v>139</v>
      </c>
      <c r="B99" s="32" t="s">
        <v>3</v>
      </c>
      <c r="C99" s="33">
        <v>0</v>
      </c>
      <c r="D99" s="34"/>
      <c r="E99" s="34"/>
    </row>
    <row r="100" spans="1:5">
      <c r="A100" s="2" t="s">
        <v>76</v>
      </c>
      <c r="B100" s="2" t="s">
        <v>3</v>
      </c>
      <c r="C100" s="3">
        <v>20</v>
      </c>
      <c r="D100" s="15">
        <f>VLOOKUP(A100,'[1]SỔ CHI TIẾT MUA HÀNG'!$B$5:$E$159,4,0)</f>
        <v>47000</v>
      </c>
      <c r="E100" s="15">
        <f>+D100*C100</f>
        <v>940000</v>
      </c>
    </row>
    <row r="101" spans="1:5" s="31" customFormat="1" ht="13.8" hidden="1">
      <c r="A101" s="32" t="s">
        <v>76</v>
      </c>
      <c r="B101" s="32" t="s">
        <v>9</v>
      </c>
      <c r="C101" s="33">
        <v>0</v>
      </c>
      <c r="D101" s="34"/>
      <c r="E101" s="34"/>
    </row>
    <row r="102" spans="1:5">
      <c r="A102" s="2" t="s">
        <v>78</v>
      </c>
      <c r="B102" s="2" t="s">
        <v>3</v>
      </c>
      <c r="C102" s="3">
        <v>40</v>
      </c>
      <c r="D102" s="15">
        <f>VLOOKUP(A102,'[1]SỔ CHI TIẾT MUA HÀNG'!$B$5:$E$159,4,0)</f>
        <v>30000</v>
      </c>
      <c r="E102" s="15">
        <f>+D102*C102</f>
        <v>1200000</v>
      </c>
    </row>
    <row r="103" spans="1:5" s="31" customFormat="1" ht="13.8" hidden="1">
      <c r="A103" s="32" t="s">
        <v>78</v>
      </c>
      <c r="B103" s="32" t="s">
        <v>9</v>
      </c>
      <c r="C103" s="33">
        <v>0</v>
      </c>
      <c r="D103" s="34"/>
      <c r="E103" s="34"/>
    </row>
    <row r="104" spans="1:5">
      <c r="A104" s="2" t="s">
        <v>79</v>
      </c>
      <c r="B104" s="2" t="s">
        <v>30</v>
      </c>
      <c r="C104" s="3">
        <v>110</v>
      </c>
      <c r="D104" s="15">
        <f>VLOOKUP(A104,'[1]SỔ CHI TIẾT MUA HÀNG'!$B$5:$E$159,4,0)</f>
        <v>18000</v>
      </c>
      <c r="E104" s="15">
        <f>+D104*C104</f>
        <v>1980000</v>
      </c>
    </row>
    <row r="105" spans="1:5" s="31" customFormat="1" ht="13.8" hidden="1">
      <c r="A105" s="32" t="s">
        <v>80</v>
      </c>
      <c r="B105" s="32" t="s">
        <v>30</v>
      </c>
      <c r="C105" s="33">
        <v>0</v>
      </c>
      <c r="D105" s="34"/>
      <c r="E105" s="34"/>
    </row>
    <row r="106" spans="1:5" s="31" customFormat="1" ht="13.8" hidden="1">
      <c r="A106" s="32" t="s">
        <v>140</v>
      </c>
      <c r="B106" s="32" t="s">
        <v>3</v>
      </c>
      <c r="C106" s="33">
        <v>0</v>
      </c>
      <c r="D106" s="34"/>
      <c r="E106" s="34"/>
    </row>
    <row r="107" spans="1:5">
      <c r="A107" s="2" t="s">
        <v>81</v>
      </c>
      <c r="B107" s="2" t="s">
        <v>9</v>
      </c>
      <c r="C107" s="3">
        <v>230</v>
      </c>
      <c r="D107" s="15">
        <v>10000</v>
      </c>
      <c r="E107" s="15">
        <f t="shared" ref="E107:E109" si="14">+D107*C107</f>
        <v>2300000</v>
      </c>
    </row>
    <row r="108" spans="1:5">
      <c r="A108" s="2" t="s">
        <v>82</v>
      </c>
      <c r="B108" s="2" t="s">
        <v>9</v>
      </c>
      <c r="C108" s="3">
        <v>370</v>
      </c>
      <c r="D108" s="15">
        <v>11361</v>
      </c>
      <c r="E108" s="15">
        <f t="shared" si="14"/>
        <v>4203570</v>
      </c>
    </row>
    <row r="109" spans="1:5">
      <c r="A109" s="2" t="s">
        <v>83</v>
      </c>
      <c r="B109" s="2" t="s">
        <v>9</v>
      </c>
      <c r="C109" s="3">
        <v>58</v>
      </c>
      <c r="D109" s="15">
        <v>100000</v>
      </c>
      <c r="E109" s="15">
        <f t="shared" si="14"/>
        <v>5800000</v>
      </c>
    </row>
    <row r="110" spans="1:5" s="31" customFormat="1" ht="13.8" hidden="1">
      <c r="A110" s="32" t="s">
        <v>84</v>
      </c>
      <c r="B110" s="32" t="s">
        <v>3</v>
      </c>
      <c r="C110" s="33">
        <v>0</v>
      </c>
      <c r="D110" s="34"/>
      <c r="E110" s="34"/>
    </row>
    <row r="111" spans="1:5">
      <c r="A111" s="2" t="s">
        <v>85</v>
      </c>
      <c r="B111" s="2" t="s">
        <v>3</v>
      </c>
      <c r="C111" s="3">
        <v>36</v>
      </c>
      <c r="D111" s="15">
        <f>VLOOKUP(A111,'[1]SỔ CHI TIẾT MUA HÀNG'!$B$5:$E$159,4,0)</f>
        <v>10000</v>
      </c>
      <c r="E111" s="15">
        <f t="shared" ref="E111:E114" si="15">+D111*C111</f>
        <v>360000</v>
      </c>
    </row>
    <row r="112" spans="1:5">
      <c r="A112" s="2" t="s">
        <v>87</v>
      </c>
      <c r="B112" s="2" t="s">
        <v>3</v>
      </c>
      <c r="C112" s="3">
        <v>235</v>
      </c>
      <c r="D112" s="15">
        <f>VLOOKUP(A112,'[1]SỔ CHI TIẾT MUA HÀNG'!$B$5:$E$159,4,0)</f>
        <v>4000</v>
      </c>
      <c r="E112" s="15">
        <f t="shared" si="15"/>
        <v>940000</v>
      </c>
    </row>
    <row r="113" spans="1:5">
      <c r="A113" s="2" t="s">
        <v>88</v>
      </c>
      <c r="B113" s="2" t="s">
        <v>3</v>
      </c>
      <c r="C113" s="3">
        <v>40</v>
      </c>
      <c r="D113" s="15">
        <f>VLOOKUP(A113,'[1]SỔ CHI TIẾT MUA HÀNG'!$B$5:$E$159,4,0)</f>
        <v>13000</v>
      </c>
      <c r="E113" s="15">
        <f t="shared" si="15"/>
        <v>520000</v>
      </c>
    </row>
    <row r="114" spans="1:5">
      <c r="A114" s="2" t="s">
        <v>89</v>
      </c>
      <c r="B114" s="2" t="s">
        <v>3</v>
      </c>
      <c r="C114" s="3">
        <v>4</v>
      </c>
      <c r="D114" s="15">
        <f>VLOOKUP(A114,'[1]SỔ CHI TIẾT MUA HÀNG'!$B$5:$E$159,4,0)</f>
        <v>25000</v>
      </c>
      <c r="E114" s="15">
        <f t="shared" si="15"/>
        <v>100000</v>
      </c>
    </row>
    <row r="115" spans="1:5" s="31" customFormat="1" ht="13.8" hidden="1">
      <c r="A115" s="32" t="s">
        <v>90</v>
      </c>
      <c r="B115" s="32" t="s">
        <v>40</v>
      </c>
      <c r="C115" s="33">
        <v>0</v>
      </c>
      <c r="D115" s="34"/>
      <c r="E115" s="34"/>
    </row>
    <row r="116" spans="1:5" s="31" customFormat="1" ht="13.8" hidden="1">
      <c r="A116" s="32" t="s">
        <v>141</v>
      </c>
      <c r="B116" s="32" t="s">
        <v>3</v>
      </c>
      <c r="C116" s="33">
        <v>0</v>
      </c>
      <c r="D116" s="34"/>
      <c r="E116" s="34"/>
    </row>
    <row r="117" spans="1:5" s="31" customFormat="1" ht="13.8" hidden="1">
      <c r="A117" s="32" t="s">
        <v>91</v>
      </c>
      <c r="B117" s="32" t="s">
        <v>3</v>
      </c>
      <c r="C117" s="33">
        <v>0</v>
      </c>
      <c r="D117" s="34"/>
      <c r="E117" s="34"/>
    </row>
    <row r="118" spans="1:5" s="31" customFormat="1" ht="13.8" hidden="1">
      <c r="A118" s="32" t="s">
        <v>92</v>
      </c>
      <c r="B118" s="32" t="s">
        <v>40</v>
      </c>
      <c r="C118" s="33">
        <v>0</v>
      </c>
      <c r="D118" s="34"/>
      <c r="E118" s="34"/>
    </row>
    <row r="119" spans="1:5" s="31" customFormat="1" ht="13.8" hidden="1">
      <c r="A119" s="32" t="s">
        <v>142</v>
      </c>
      <c r="B119" s="32" t="s">
        <v>3</v>
      </c>
      <c r="C119" s="33">
        <v>0</v>
      </c>
      <c r="D119" s="34"/>
      <c r="E119" s="34"/>
    </row>
    <row r="120" spans="1:5" s="31" customFormat="1" ht="13.8" hidden="1">
      <c r="A120" s="32" t="s">
        <v>93</v>
      </c>
      <c r="B120" s="32" t="s">
        <v>3</v>
      </c>
      <c r="C120" s="33">
        <v>0</v>
      </c>
      <c r="D120" s="34"/>
      <c r="E120" s="34"/>
    </row>
    <row r="121" spans="1:5" s="31" customFormat="1" ht="13.8" hidden="1">
      <c r="A121" s="32" t="s">
        <v>94</v>
      </c>
      <c r="B121" s="32" t="s">
        <v>3</v>
      </c>
      <c r="C121" s="33">
        <v>0</v>
      </c>
      <c r="D121" s="34"/>
      <c r="E121" s="34"/>
    </row>
    <row r="122" spans="1:5" s="31" customFormat="1" ht="13.8" hidden="1">
      <c r="A122" s="32" t="s">
        <v>95</v>
      </c>
      <c r="B122" s="32" t="s">
        <v>40</v>
      </c>
      <c r="C122" s="33">
        <v>0</v>
      </c>
      <c r="D122" s="34"/>
      <c r="E122" s="34"/>
    </row>
    <row r="123" spans="1:5">
      <c r="A123" s="11" t="e">
        <v>#N/A</v>
      </c>
      <c r="B123" s="11">
        <v>0</v>
      </c>
      <c r="C123" s="12">
        <v>9354</v>
      </c>
      <c r="D123" s="17"/>
      <c r="E123" s="35">
        <f>SUBTOTAL(9,E2:E114)</f>
        <v>127635870</v>
      </c>
    </row>
  </sheetData>
  <autoFilter ref="A1:E123">
    <filterColumn colId="2">
      <filters>
        <filter val="1"/>
        <filter val="1,190"/>
        <filter val="1,420"/>
        <filter val="10"/>
        <filter val="110"/>
        <filter val="12"/>
        <filter val="125"/>
        <filter val="133"/>
        <filter val="15"/>
        <filter val="160"/>
        <filter val="170"/>
        <filter val="20"/>
        <filter val="22"/>
        <filter val="222"/>
        <filter val="23"/>
        <filter val="230"/>
        <filter val="235"/>
        <filter val="25"/>
        <filter val="30"/>
        <filter val="300"/>
        <filter val="326"/>
        <filter val="34"/>
        <filter val="36"/>
        <filter val="370"/>
        <filter val="385"/>
        <filter val="4"/>
        <filter val="40"/>
        <filter val="45"/>
        <filter val="460"/>
        <filter val="5"/>
        <filter val="50"/>
        <filter val="540"/>
        <filter val="58"/>
        <filter val="580"/>
        <filter val="60"/>
        <filter val="7"/>
        <filter val="8"/>
        <filter val="85"/>
        <filter val="87"/>
        <filter val="9,354"/>
        <filter val="90"/>
        <filter val="925"/>
      </filters>
    </filterColumn>
  </autoFilter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150"/>
  <sheetViews>
    <sheetView topLeftCell="A91" workbookViewId="0">
      <selection activeCell="E148" sqref="E148"/>
    </sheetView>
  </sheetViews>
  <sheetFormatPr defaultColWidth="8.8984375" defaultRowHeight="15.6"/>
  <cols>
    <col min="1" max="1" width="30.296875" style="37" customWidth="1"/>
    <col min="2" max="2" width="13.3984375" style="37" bestFit="1" customWidth="1"/>
    <col min="3" max="3" width="13.3984375" style="38" bestFit="1" customWidth="1"/>
    <col min="4" max="4" width="19.796875" style="41" customWidth="1"/>
    <col min="5" max="5" width="26.69921875" style="41" customWidth="1"/>
    <col min="6" max="22" width="96.59765625" style="37" bestFit="1" customWidth="1"/>
    <col min="23" max="23" width="13.8984375" style="37" bestFit="1" customWidth="1"/>
    <col min="24" max="16384" width="8.8984375" style="37"/>
  </cols>
  <sheetData>
    <row r="1" spans="1:23" s="36" customFormat="1" ht="62.4">
      <c r="A1" s="9" t="s">
        <v>143</v>
      </c>
      <c r="B1" s="6" t="s">
        <v>0</v>
      </c>
      <c r="C1" s="7" t="s">
        <v>1</v>
      </c>
      <c r="D1" s="14" t="s">
        <v>102</v>
      </c>
      <c r="E1" s="14" t="s">
        <v>103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>
      <c r="A2" s="2" t="s">
        <v>2</v>
      </c>
      <c r="B2" s="2" t="s">
        <v>3</v>
      </c>
      <c r="C2" s="3">
        <v>36</v>
      </c>
      <c r="D2" s="39">
        <v>18000</v>
      </c>
      <c r="E2" s="39">
        <f>+D2*C2</f>
        <v>648000</v>
      </c>
    </row>
    <row r="3" spans="1:23">
      <c r="A3" s="2" t="s">
        <v>4</v>
      </c>
      <c r="B3" s="2" t="s">
        <v>3</v>
      </c>
      <c r="C3" s="3">
        <v>420</v>
      </c>
      <c r="D3" s="39">
        <v>5000</v>
      </c>
      <c r="E3" s="39">
        <f t="shared" ref="E3:E4" si="0">+D3*C3</f>
        <v>2100000</v>
      </c>
    </row>
    <row r="4" spans="1:23">
      <c r="A4" s="2" t="s">
        <v>5</v>
      </c>
      <c r="B4" s="2" t="s">
        <v>3</v>
      </c>
      <c r="C4" s="3">
        <v>1212</v>
      </c>
      <c r="D4" s="39">
        <v>6000</v>
      </c>
      <c r="E4" s="39">
        <f t="shared" si="0"/>
        <v>7272000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idden="1">
      <c r="A5" s="2" t="s">
        <v>96</v>
      </c>
      <c r="B5" s="2" t="s">
        <v>3</v>
      </c>
      <c r="C5" s="3">
        <v>0</v>
      </c>
      <c r="D5" s="4"/>
      <c r="E5" s="4"/>
    </row>
    <row r="6" spans="1:23" hidden="1">
      <c r="A6" s="2" t="s">
        <v>96</v>
      </c>
      <c r="B6" s="2" t="s">
        <v>9</v>
      </c>
      <c r="C6" s="3">
        <v>0</v>
      </c>
      <c r="D6" s="4"/>
      <c r="E6" s="4"/>
    </row>
    <row r="7" spans="1:23" hidden="1">
      <c r="A7" s="2" t="s">
        <v>6</v>
      </c>
      <c r="B7" s="2" t="s">
        <v>3</v>
      </c>
      <c r="C7" s="3">
        <v>0</v>
      </c>
      <c r="D7" s="4"/>
      <c r="E7" s="4"/>
    </row>
    <row r="8" spans="1:23">
      <c r="A8" s="2" t="s">
        <v>7</v>
      </c>
      <c r="B8" s="2" t="s">
        <v>3</v>
      </c>
      <c r="C8" s="3">
        <v>200</v>
      </c>
      <c r="D8" s="39">
        <v>12000</v>
      </c>
      <c r="E8" s="39">
        <f>+D8*C8</f>
        <v>2400000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idden="1">
      <c r="A9" s="2" t="s">
        <v>144</v>
      </c>
      <c r="B9" s="2" t="s">
        <v>3</v>
      </c>
      <c r="C9" s="3">
        <v>0</v>
      </c>
      <c r="D9" s="4"/>
      <c r="E9" s="4"/>
    </row>
    <row r="10" spans="1:23" hidden="1">
      <c r="A10" s="2" t="s">
        <v>116</v>
      </c>
      <c r="B10" s="2" t="s">
        <v>3</v>
      </c>
      <c r="C10" s="3">
        <v>0</v>
      </c>
      <c r="D10" s="4"/>
      <c r="E10" s="4"/>
    </row>
    <row r="11" spans="1:23">
      <c r="A11" s="2" t="s">
        <v>8</v>
      </c>
      <c r="B11" s="2" t="s">
        <v>3</v>
      </c>
      <c r="C11" s="3">
        <v>25</v>
      </c>
      <c r="D11" s="39">
        <v>15000</v>
      </c>
      <c r="E11" s="39">
        <f>+D11*C11</f>
        <v>375000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idden="1">
      <c r="A12" s="2" t="s">
        <v>8</v>
      </c>
      <c r="B12" s="2" t="s">
        <v>9</v>
      </c>
      <c r="C12" s="3">
        <v>0</v>
      </c>
      <c r="D12" s="5"/>
      <c r="E12" s="5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>
      <c r="A13" s="2" t="s">
        <v>10</v>
      </c>
      <c r="B13" s="2" t="s">
        <v>3</v>
      </c>
      <c r="C13" s="3">
        <v>35</v>
      </c>
      <c r="D13" s="39">
        <v>15000</v>
      </c>
      <c r="E13" s="39">
        <f>+D13*C13</f>
        <v>525000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idden="1">
      <c r="A14" s="2" t="s">
        <v>10</v>
      </c>
      <c r="B14" s="2" t="s">
        <v>9</v>
      </c>
      <c r="C14" s="3">
        <v>0</v>
      </c>
      <c r="D14" s="5"/>
      <c r="E14" s="5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idden="1">
      <c r="A15" s="2" t="s">
        <v>11</v>
      </c>
      <c r="B15" s="2" t="s">
        <v>3</v>
      </c>
      <c r="C15" s="3">
        <v>0</v>
      </c>
      <c r="D15" s="4"/>
      <c r="E15" s="4"/>
    </row>
    <row r="16" spans="1:23">
      <c r="A16" s="2" t="s">
        <v>12</v>
      </c>
      <c r="B16" s="2" t="s">
        <v>3</v>
      </c>
      <c r="C16" s="3">
        <v>3</v>
      </c>
      <c r="D16" s="39">
        <v>10000</v>
      </c>
      <c r="E16" s="39">
        <f>+D16*C16</f>
        <v>30000</v>
      </c>
    </row>
    <row r="17" spans="1:23" hidden="1">
      <c r="A17" s="2" t="s">
        <v>13</v>
      </c>
      <c r="B17" s="2" t="s">
        <v>3</v>
      </c>
      <c r="C17" s="3">
        <v>0</v>
      </c>
      <c r="D17" s="4"/>
      <c r="E17" s="4"/>
    </row>
    <row r="18" spans="1:23" hidden="1">
      <c r="A18" s="2" t="s">
        <v>14</v>
      </c>
      <c r="B18" s="2" t="s">
        <v>3</v>
      </c>
      <c r="C18" s="3">
        <v>0</v>
      </c>
      <c r="D18" s="4"/>
      <c r="E18" s="4"/>
    </row>
    <row r="19" spans="1:23">
      <c r="A19" s="2" t="s">
        <v>15</v>
      </c>
      <c r="B19" s="2" t="s">
        <v>3</v>
      </c>
      <c r="C19" s="3">
        <v>60</v>
      </c>
      <c r="D19" s="39">
        <v>20000</v>
      </c>
      <c r="E19" s="39">
        <f>+D19*C19</f>
        <v>1200000</v>
      </c>
    </row>
    <row r="20" spans="1:23" hidden="1">
      <c r="A20" s="2" t="s">
        <v>16</v>
      </c>
      <c r="B20" s="2" t="s">
        <v>3</v>
      </c>
      <c r="C20" s="3">
        <v>0</v>
      </c>
      <c r="D20" s="5"/>
      <c r="E20" s="5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idden="1">
      <c r="A21" s="2" t="s">
        <v>16</v>
      </c>
      <c r="B21" s="2" t="s">
        <v>17</v>
      </c>
      <c r="C21" s="3">
        <v>0</v>
      </c>
      <c r="D21" s="5"/>
      <c r="E21" s="5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>
      <c r="A22" s="2" t="s">
        <v>145</v>
      </c>
      <c r="B22" s="2" t="s">
        <v>40</v>
      </c>
      <c r="C22" s="3">
        <v>50</v>
      </c>
      <c r="D22" s="39">
        <v>7000</v>
      </c>
      <c r="E22" s="39">
        <f>+D22*C22</f>
        <v>350000</v>
      </c>
    </row>
    <row r="23" spans="1:23" hidden="1">
      <c r="A23" s="2" t="s">
        <v>97</v>
      </c>
      <c r="B23" s="2" t="s">
        <v>3</v>
      </c>
      <c r="C23" s="3">
        <v>0</v>
      </c>
      <c r="D23" s="4"/>
      <c r="E23" s="4"/>
    </row>
    <row r="24" spans="1:23">
      <c r="A24" s="2" t="s">
        <v>18</v>
      </c>
      <c r="B24" s="2" t="s">
        <v>3</v>
      </c>
      <c r="C24" s="3">
        <v>450</v>
      </c>
      <c r="D24" s="39">
        <v>13000</v>
      </c>
      <c r="E24" s="39">
        <f>+D24*C24</f>
        <v>5850000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idden="1">
      <c r="A25" s="2" t="s">
        <v>18</v>
      </c>
      <c r="B25" s="2" t="s">
        <v>17</v>
      </c>
      <c r="C25" s="3">
        <v>0</v>
      </c>
      <c r="D25" s="5"/>
      <c r="E25" s="5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idden="1">
      <c r="A26" s="2" t="s">
        <v>18</v>
      </c>
      <c r="B26" s="2" t="s">
        <v>19</v>
      </c>
      <c r="C26" s="3">
        <v>0</v>
      </c>
      <c r="D26" s="5"/>
      <c r="E26" s="5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4.4" customHeight="1">
      <c r="A27" s="2" t="s">
        <v>20</v>
      </c>
      <c r="B27" s="2" t="s">
        <v>3</v>
      </c>
      <c r="C27" s="3">
        <v>56</v>
      </c>
      <c r="D27" s="39">
        <v>6500</v>
      </c>
      <c r="E27" s="39">
        <f t="shared" ref="E27:E31" si="1">+D27*C27</f>
        <v>364000</v>
      </c>
    </row>
    <row r="28" spans="1:23">
      <c r="A28" s="2" t="s">
        <v>20</v>
      </c>
      <c r="B28" s="2" t="s">
        <v>21</v>
      </c>
      <c r="C28" s="3">
        <v>55</v>
      </c>
      <c r="D28" s="39">
        <v>6500</v>
      </c>
      <c r="E28" s="39">
        <f t="shared" si="1"/>
        <v>357500</v>
      </c>
    </row>
    <row r="29" spans="1:23">
      <c r="A29" s="2" t="s">
        <v>22</v>
      </c>
      <c r="B29" s="2" t="s">
        <v>3</v>
      </c>
      <c r="C29" s="3">
        <v>5</v>
      </c>
      <c r="D29" s="39">
        <v>5400</v>
      </c>
      <c r="E29" s="39">
        <f t="shared" si="1"/>
        <v>27000</v>
      </c>
    </row>
    <row r="30" spans="1:23">
      <c r="A30" s="2" t="s">
        <v>22</v>
      </c>
      <c r="B30" s="2" t="s">
        <v>23</v>
      </c>
      <c r="C30" s="3">
        <v>87</v>
      </c>
      <c r="D30" s="39">
        <v>5400</v>
      </c>
      <c r="E30" s="39">
        <f t="shared" si="1"/>
        <v>469800</v>
      </c>
    </row>
    <row r="31" spans="1:23">
      <c r="A31" s="2" t="s">
        <v>24</v>
      </c>
      <c r="B31" s="2" t="s">
        <v>25</v>
      </c>
      <c r="C31" s="3">
        <v>14</v>
      </c>
      <c r="D31" s="39">
        <v>10000</v>
      </c>
      <c r="E31" s="39">
        <f t="shared" si="1"/>
        <v>140000</v>
      </c>
    </row>
    <row r="32" spans="1:23" hidden="1">
      <c r="A32" s="2" t="s">
        <v>26</v>
      </c>
      <c r="B32" s="2" t="s">
        <v>3</v>
      </c>
      <c r="C32" s="3">
        <v>0</v>
      </c>
      <c r="D32" s="4"/>
      <c r="E32" s="4"/>
    </row>
    <row r="33" spans="1:23">
      <c r="A33" s="2" t="s">
        <v>26</v>
      </c>
      <c r="B33" s="2" t="s">
        <v>23</v>
      </c>
      <c r="C33" s="3">
        <v>197</v>
      </c>
      <c r="D33" s="39">
        <v>20000</v>
      </c>
      <c r="E33" s="39">
        <f t="shared" ref="E33:E35" si="2">+D33*C33</f>
        <v>3940000</v>
      </c>
    </row>
    <row r="34" spans="1:23">
      <c r="A34" s="2" t="s">
        <v>26</v>
      </c>
      <c r="B34" s="2" t="s">
        <v>27</v>
      </c>
      <c r="C34" s="3">
        <v>215</v>
      </c>
      <c r="D34" s="39">
        <v>20000</v>
      </c>
      <c r="E34" s="39">
        <f t="shared" si="2"/>
        <v>4300000</v>
      </c>
    </row>
    <row r="35" spans="1:23">
      <c r="A35" s="2" t="s">
        <v>28</v>
      </c>
      <c r="B35" s="2" t="s">
        <v>3</v>
      </c>
      <c r="C35" s="3">
        <v>230</v>
      </c>
      <c r="D35" s="39">
        <v>16000</v>
      </c>
      <c r="E35" s="39">
        <f t="shared" si="2"/>
        <v>3680000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20.399999999999999" hidden="1" customHeight="1">
      <c r="A36" s="2" t="s">
        <v>28</v>
      </c>
      <c r="B36" s="2" t="s">
        <v>17</v>
      </c>
      <c r="C36" s="3">
        <v>0</v>
      </c>
      <c r="D36" s="5"/>
      <c r="E36" s="5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>
      <c r="A37" s="2" t="s">
        <v>29</v>
      </c>
      <c r="B37" s="2" t="s">
        <v>30</v>
      </c>
      <c r="C37" s="3">
        <v>80</v>
      </c>
      <c r="D37" s="39">
        <v>11000</v>
      </c>
      <c r="E37" s="39">
        <f t="shared" ref="E37:E38" si="3">+D37*C37</f>
        <v>880000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>
      <c r="A38" s="2" t="s">
        <v>31</v>
      </c>
      <c r="B38" s="2" t="s">
        <v>3</v>
      </c>
      <c r="C38" s="3">
        <v>200</v>
      </c>
      <c r="D38" s="39">
        <v>9000</v>
      </c>
      <c r="E38" s="39">
        <f t="shared" si="3"/>
        <v>1800000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idden="1">
      <c r="A39" s="2" t="s">
        <v>31</v>
      </c>
      <c r="B39" s="2" t="s">
        <v>30</v>
      </c>
      <c r="C39" s="3">
        <v>0</v>
      </c>
      <c r="D39" s="5"/>
      <c r="E39" s="5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>
      <c r="A40" s="2" t="s">
        <v>32</v>
      </c>
      <c r="B40" s="2" t="s">
        <v>17</v>
      </c>
      <c r="C40" s="3">
        <v>7</v>
      </c>
      <c r="D40" s="39">
        <v>5000</v>
      </c>
      <c r="E40" s="39">
        <f>+D40*C40</f>
        <v>35000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idden="1">
      <c r="A41" s="2" t="s">
        <v>146</v>
      </c>
      <c r="B41" s="2" t="s">
        <v>3</v>
      </c>
      <c r="C41" s="3">
        <v>0</v>
      </c>
      <c r="D41" s="4"/>
      <c r="E41" s="4"/>
    </row>
    <row r="42" spans="1:23">
      <c r="A42" s="2" t="s">
        <v>33</v>
      </c>
      <c r="B42" s="2" t="s">
        <v>3</v>
      </c>
      <c r="C42" s="3">
        <v>95</v>
      </c>
      <c r="D42" s="39">
        <v>8000</v>
      </c>
      <c r="E42" s="39">
        <f>+D42*C42</f>
        <v>760000</v>
      </c>
    </row>
    <row r="43" spans="1:23" hidden="1">
      <c r="A43" s="2" t="s">
        <v>33</v>
      </c>
      <c r="B43" s="2" t="s">
        <v>34</v>
      </c>
      <c r="C43" s="3">
        <v>0</v>
      </c>
      <c r="D43" s="4"/>
      <c r="E43" s="4"/>
    </row>
    <row r="44" spans="1:23">
      <c r="A44" s="2" t="s">
        <v>35</v>
      </c>
      <c r="B44" s="2" t="s">
        <v>3</v>
      </c>
      <c r="C44" s="3">
        <v>17</v>
      </c>
      <c r="D44" s="39">
        <v>14000</v>
      </c>
      <c r="E44" s="39">
        <f>+D44*C44</f>
        <v>238000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idden="1">
      <c r="A45" s="2" t="s">
        <v>35</v>
      </c>
      <c r="B45" s="2" t="s">
        <v>30</v>
      </c>
      <c r="C45" s="3">
        <v>0</v>
      </c>
      <c r="D45" s="5"/>
      <c r="E45" s="5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idden="1">
      <c r="A46" s="2" t="s">
        <v>36</v>
      </c>
      <c r="B46" s="2" t="s">
        <v>3</v>
      </c>
      <c r="C46" s="3">
        <v>0</v>
      </c>
      <c r="D46" s="4"/>
      <c r="E46" s="4"/>
    </row>
    <row r="47" spans="1:23">
      <c r="A47" s="2" t="s">
        <v>36</v>
      </c>
      <c r="B47" s="2" t="s">
        <v>30</v>
      </c>
      <c r="C47" s="3">
        <v>8</v>
      </c>
      <c r="D47" s="39">
        <v>3000</v>
      </c>
      <c r="E47" s="39">
        <f>+D47*C47</f>
        <v>24000</v>
      </c>
    </row>
    <row r="48" spans="1:23" hidden="1">
      <c r="A48" s="2" t="s">
        <v>37</v>
      </c>
      <c r="B48" s="2" t="s">
        <v>3</v>
      </c>
      <c r="C48" s="3">
        <v>0</v>
      </c>
      <c r="D48" s="5"/>
      <c r="E48" s="5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>
      <c r="A49" s="2" t="s">
        <v>37</v>
      </c>
      <c r="B49" s="2" t="s">
        <v>30</v>
      </c>
      <c r="C49" s="3">
        <v>4</v>
      </c>
      <c r="D49" s="39">
        <v>3300</v>
      </c>
      <c r="E49" s="39">
        <f>+D49*C49</f>
        <v>13200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idden="1">
      <c r="A50" s="2" t="s">
        <v>37</v>
      </c>
      <c r="B50" s="2" t="s">
        <v>132</v>
      </c>
      <c r="C50" s="3">
        <v>0</v>
      </c>
      <c r="D50" s="5"/>
      <c r="E50" s="5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>
      <c r="A51" s="2" t="s">
        <v>38</v>
      </c>
      <c r="B51" s="2" t="s">
        <v>3</v>
      </c>
      <c r="C51" s="3">
        <v>1440</v>
      </c>
      <c r="D51" s="39">
        <v>5000</v>
      </c>
      <c r="E51" s="39">
        <f t="shared" ref="E51:E54" si="4">+D51*C51</f>
        <v>7200000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>
      <c r="A52" s="2" t="s">
        <v>98</v>
      </c>
      <c r="B52" s="2" t="s">
        <v>3</v>
      </c>
      <c r="C52" s="3">
        <v>8</v>
      </c>
      <c r="D52" s="39">
        <v>14000</v>
      </c>
      <c r="E52" s="39">
        <f t="shared" si="4"/>
        <v>112000</v>
      </c>
    </row>
    <row r="53" spans="1:23">
      <c r="A53" s="2" t="s">
        <v>99</v>
      </c>
      <c r="B53" s="2" t="s">
        <v>3</v>
      </c>
      <c r="C53" s="3">
        <v>220</v>
      </c>
      <c r="D53" s="39">
        <v>3000</v>
      </c>
      <c r="E53" s="39">
        <f t="shared" si="4"/>
        <v>660000</v>
      </c>
    </row>
    <row r="54" spans="1:23">
      <c r="A54" s="2" t="s">
        <v>39</v>
      </c>
      <c r="B54" s="2" t="s">
        <v>3</v>
      </c>
      <c r="C54" s="3">
        <v>20</v>
      </c>
      <c r="D54" s="39">
        <v>16000</v>
      </c>
      <c r="E54" s="39">
        <f t="shared" si="4"/>
        <v>320000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idden="1">
      <c r="A55" s="2" t="s">
        <v>39</v>
      </c>
      <c r="B55" s="2" t="s">
        <v>40</v>
      </c>
      <c r="C55" s="3">
        <v>0</v>
      </c>
      <c r="D55" s="5"/>
      <c r="E55" s="5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>
      <c r="A56" s="2" t="s">
        <v>100</v>
      </c>
      <c r="B56" s="2" t="s">
        <v>3</v>
      </c>
      <c r="C56" s="3">
        <v>7</v>
      </c>
      <c r="D56" s="39">
        <v>27000</v>
      </c>
      <c r="E56" s="39">
        <f>+D56*C56</f>
        <v>189000</v>
      </c>
    </row>
    <row r="57" spans="1:23" hidden="1">
      <c r="A57" s="2" t="s">
        <v>133</v>
      </c>
      <c r="B57" s="2" t="s">
        <v>17</v>
      </c>
      <c r="C57" s="3">
        <v>0</v>
      </c>
      <c r="D57" s="4"/>
      <c r="E57" s="4"/>
    </row>
    <row r="58" spans="1:23">
      <c r="A58" s="2" t="s">
        <v>41</v>
      </c>
      <c r="B58" s="2" t="s">
        <v>3</v>
      </c>
      <c r="C58" s="3">
        <v>40</v>
      </c>
      <c r="D58" s="39">
        <v>14000</v>
      </c>
      <c r="E58" s="39">
        <f t="shared" ref="E58:E59" si="5">+D58*C58</f>
        <v>560000</v>
      </c>
    </row>
    <row r="59" spans="1:23">
      <c r="A59" s="2" t="s">
        <v>42</v>
      </c>
      <c r="B59" s="2" t="s">
        <v>25</v>
      </c>
      <c r="C59" s="3">
        <v>3</v>
      </c>
      <c r="D59" s="39">
        <v>10000</v>
      </c>
      <c r="E59" s="39">
        <f t="shared" si="5"/>
        <v>30000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idden="1">
      <c r="A60" s="2" t="s">
        <v>42</v>
      </c>
      <c r="B60" s="2" t="s">
        <v>3</v>
      </c>
      <c r="C60" s="3">
        <v>0</v>
      </c>
      <c r="D60" s="5"/>
      <c r="E60" s="5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idden="1">
      <c r="A61" s="2" t="s">
        <v>44</v>
      </c>
      <c r="B61" s="2" t="s">
        <v>3</v>
      </c>
      <c r="C61" s="3">
        <v>0</v>
      </c>
      <c r="D61" s="4"/>
      <c r="E61" s="4"/>
    </row>
    <row r="62" spans="1:23">
      <c r="A62" s="2" t="s">
        <v>45</v>
      </c>
      <c r="B62" s="2" t="s">
        <v>3</v>
      </c>
      <c r="C62" s="3">
        <v>70</v>
      </c>
      <c r="D62" s="39">
        <v>10000</v>
      </c>
      <c r="E62" s="39">
        <f>+D62*C62</f>
        <v>700000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idden="1">
      <c r="A63" s="2" t="s">
        <v>45</v>
      </c>
      <c r="B63" s="2" t="s">
        <v>30</v>
      </c>
      <c r="C63" s="3">
        <v>0</v>
      </c>
      <c r="D63" s="5"/>
      <c r="E63" s="5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>
      <c r="A64" s="2" t="s">
        <v>46</v>
      </c>
      <c r="B64" s="2" t="s">
        <v>3</v>
      </c>
      <c r="C64" s="3">
        <v>12</v>
      </c>
      <c r="D64" s="39">
        <v>18000</v>
      </c>
      <c r="E64" s="39">
        <f t="shared" ref="E64:E65" si="6">+D64*C64</f>
        <v>216000</v>
      </c>
    </row>
    <row r="65" spans="1:23">
      <c r="A65" s="2" t="s">
        <v>47</v>
      </c>
      <c r="B65" s="2" t="s">
        <v>3</v>
      </c>
      <c r="C65" s="3">
        <v>370</v>
      </c>
      <c r="D65" s="39">
        <v>9000</v>
      </c>
      <c r="E65" s="39">
        <f t="shared" si="6"/>
        <v>3330000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idden="1">
      <c r="A66" s="2" t="s">
        <v>47</v>
      </c>
      <c r="B66" s="2" t="s">
        <v>48</v>
      </c>
      <c r="C66" s="3">
        <v>0</v>
      </c>
      <c r="D66" s="5"/>
      <c r="E66" s="5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idden="1">
      <c r="A67" s="2" t="s">
        <v>134</v>
      </c>
      <c r="B67" s="2" t="s">
        <v>30</v>
      </c>
      <c r="C67" s="3">
        <v>0</v>
      </c>
      <c r="D67" s="4"/>
      <c r="E67" s="4"/>
    </row>
    <row r="68" spans="1:23">
      <c r="A68" s="2" t="s">
        <v>49</v>
      </c>
      <c r="B68" s="2" t="s">
        <v>30</v>
      </c>
      <c r="C68" s="3">
        <v>83</v>
      </c>
      <c r="D68" s="39">
        <v>2100</v>
      </c>
      <c r="E68" s="39">
        <f t="shared" ref="E68:E70" si="7">+D68*C68</f>
        <v>174300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>
      <c r="A69" s="2" t="s">
        <v>50</v>
      </c>
      <c r="B69" s="2" t="s">
        <v>3</v>
      </c>
      <c r="C69" s="3">
        <v>1000</v>
      </c>
      <c r="D69" s="39">
        <v>26500</v>
      </c>
      <c r="E69" s="39">
        <f t="shared" si="7"/>
        <v>26500000</v>
      </c>
    </row>
    <row r="70" spans="1:23">
      <c r="A70" s="2" t="s">
        <v>51</v>
      </c>
      <c r="B70" s="2" t="s">
        <v>3</v>
      </c>
      <c r="C70" s="3">
        <v>1300</v>
      </c>
      <c r="D70" s="39">
        <v>27000</v>
      </c>
      <c r="E70" s="39">
        <f t="shared" si="7"/>
        <v>35100000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idden="1">
      <c r="A71" s="2" t="s">
        <v>51</v>
      </c>
      <c r="B71" s="2" t="s">
        <v>30</v>
      </c>
      <c r="C71" s="3">
        <v>0</v>
      </c>
      <c r="D71" s="5"/>
      <c r="E71" s="5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>
      <c r="A72" s="2" t="s">
        <v>53</v>
      </c>
      <c r="B72" s="2" t="s">
        <v>3</v>
      </c>
      <c r="C72" s="3">
        <v>120</v>
      </c>
      <c r="D72" s="39">
        <v>17255</v>
      </c>
      <c r="E72" s="39">
        <f>+D72*C72</f>
        <v>2070600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idden="1">
      <c r="A73" s="2" t="s">
        <v>53</v>
      </c>
      <c r="B73" s="2" t="s">
        <v>30</v>
      </c>
      <c r="C73" s="3">
        <v>0</v>
      </c>
      <c r="D73" s="5"/>
      <c r="E73" s="5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idden="1">
      <c r="A74" s="2" t="s">
        <v>54</v>
      </c>
      <c r="B74" s="2" t="s">
        <v>3</v>
      </c>
      <c r="C74" s="3">
        <v>0</v>
      </c>
      <c r="D74" s="4"/>
      <c r="E74" s="4"/>
    </row>
    <row r="75" spans="1:23" hidden="1">
      <c r="A75" s="2" t="s">
        <v>55</v>
      </c>
      <c r="B75" s="2" t="s">
        <v>3</v>
      </c>
      <c r="C75" s="3">
        <v>0</v>
      </c>
      <c r="D75" s="4"/>
      <c r="E75" s="4"/>
    </row>
    <row r="76" spans="1:23" hidden="1">
      <c r="A76" s="2" t="s">
        <v>108</v>
      </c>
      <c r="B76" s="2" t="s">
        <v>3</v>
      </c>
      <c r="C76" s="3">
        <v>0</v>
      </c>
      <c r="D76" s="4"/>
      <c r="E76" s="4"/>
    </row>
    <row r="77" spans="1:23" hidden="1">
      <c r="A77" s="2" t="s">
        <v>108</v>
      </c>
      <c r="B77" s="2" t="s">
        <v>30</v>
      </c>
      <c r="C77" s="3">
        <v>0</v>
      </c>
      <c r="D77" s="4"/>
      <c r="E77" s="4"/>
    </row>
    <row r="78" spans="1:23">
      <c r="A78" s="2" t="s">
        <v>56</v>
      </c>
      <c r="B78" s="2" t="s">
        <v>3</v>
      </c>
      <c r="C78" s="3">
        <v>685</v>
      </c>
      <c r="D78" s="39">
        <v>11700</v>
      </c>
      <c r="E78" s="39">
        <f>+D78*C78</f>
        <v>8014500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idden="1">
      <c r="A79" s="2" t="s">
        <v>56</v>
      </c>
      <c r="B79" s="2" t="s">
        <v>30</v>
      </c>
      <c r="C79" s="3">
        <v>0</v>
      </c>
      <c r="D79" s="5"/>
      <c r="E79" s="5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>
      <c r="A80" s="2" t="s">
        <v>57</v>
      </c>
      <c r="B80" s="2" t="s">
        <v>30</v>
      </c>
      <c r="C80" s="3">
        <v>20</v>
      </c>
      <c r="D80" s="39">
        <v>6000</v>
      </c>
      <c r="E80" s="39">
        <f t="shared" ref="E80:E82" si="8">+D80*C80</f>
        <v>120000</v>
      </c>
    </row>
    <row r="81" spans="1:23">
      <c r="A81" s="2" t="s">
        <v>58</v>
      </c>
      <c r="B81" s="2" t="s">
        <v>3</v>
      </c>
      <c r="C81" s="3">
        <v>5</v>
      </c>
      <c r="D81" s="39">
        <v>9000</v>
      </c>
      <c r="E81" s="39">
        <f t="shared" si="8"/>
        <v>45000</v>
      </c>
    </row>
    <row r="82" spans="1:23">
      <c r="A82" s="2" t="s">
        <v>59</v>
      </c>
      <c r="B82" s="2" t="s">
        <v>30</v>
      </c>
      <c r="C82" s="3">
        <v>5</v>
      </c>
      <c r="D82" s="39">
        <v>6000</v>
      </c>
      <c r="E82" s="39">
        <f t="shared" si="8"/>
        <v>30000</v>
      </c>
    </row>
    <row r="83" spans="1:23" hidden="1">
      <c r="A83" s="2" t="s">
        <v>60</v>
      </c>
      <c r="B83" s="2" t="s">
        <v>3</v>
      </c>
      <c r="C83" s="3">
        <v>0</v>
      </c>
      <c r="D83" s="4"/>
      <c r="E83" s="4"/>
    </row>
    <row r="84" spans="1:23">
      <c r="A84" s="2" t="s">
        <v>60</v>
      </c>
      <c r="B84" s="2" t="s">
        <v>30</v>
      </c>
      <c r="C84" s="3">
        <v>35</v>
      </c>
      <c r="D84" s="39">
        <v>8500</v>
      </c>
      <c r="E84" s="39">
        <f t="shared" ref="E84:E85" si="9">+D84*C84</f>
        <v>297500</v>
      </c>
    </row>
    <row r="85" spans="1:23">
      <c r="A85" s="2" t="s">
        <v>60</v>
      </c>
      <c r="B85" s="2" t="s">
        <v>61</v>
      </c>
      <c r="C85" s="3">
        <v>18</v>
      </c>
      <c r="D85" s="39">
        <v>8500</v>
      </c>
      <c r="E85" s="39">
        <f t="shared" si="9"/>
        <v>153000</v>
      </c>
    </row>
    <row r="86" spans="1:23" hidden="1">
      <c r="A86" s="2" t="s">
        <v>60</v>
      </c>
      <c r="B86" s="2" t="s">
        <v>48</v>
      </c>
      <c r="C86" s="3">
        <v>0</v>
      </c>
      <c r="D86" s="4"/>
      <c r="E86" s="4"/>
    </row>
    <row r="87" spans="1:23">
      <c r="A87" s="2" t="s">
        <v>129</v>
      </c>
      <c r="B87" s="2" t="s">
        <v>3</v>
      </c>
      <c r="C87" s="3">
        <v>0.5</v>
      </c>
      <c r="D87" s="39">
        <v>70000</v>
      </c>
      <c r="E87" s="39">
        <f t="shared" ref="E87:E88" si="10">+D87*C87</f>
        <v>35000</v>
      </c>
    </row>
    <row r="88" spans="1:23">
      <c r="A88" s="2" t="s">
        <v>62</v>
      </c>
      <c r="B88" s="2" t="s">
        <v>3</v>
      </c>
      <c r="C88" s="3">
        <v>0.5</v>
      </c>
      <c r="D88" s="39">
        <v>80000</v>
      </c>
      <c r="E88" s="39">
        <f t="shared" si="10"/>
        <v>40000</v>
      </c>
    </row>
    <row r="89" spans="1:23" hidden="1">
      <c r="A89" s="2" t="s">
        <v>62</v>
      </c>
      <c r="B89" s="2" t="s">
        <v>17</v>
      </c>
      <c r="C89" s="3">
        <v>0</v>
      </c>
      <c r="D89" s="4"/>
      <c r="E89" s="4"/>
    </row>
    <row r="90" spans="1:23" hidden="1">
      <c r="A90" s="2" t="s">
        <v>119</v>
      </c>
      <c r="B90" s="2" t="s">
        <v>3</v>
      </c>
      <c r="C90" s="3">
        <v>0</v>
      </c>
      <c r="D90" s="4"/>
      <c r="E90" s="4"/>
    </row>
    <row r="91" spans="1:23">
      <c r="A91" s="2" t="s">
        <v>63</v>
      </c>
      <c r="B91" s="2" t="s">
        <v>3</v>
      </c>
      <c r="C91" s="3">
        <v>1</v>
      </c>
      <c r="D91" s="39">
        <v>70000</v>
      </c>
      <c r="E91" s="39">
        <f>+D91*C91</f>
        <v>70000</v>
      </c>
    </row>
    <row r="92" spans="1:23" hidden="1">
      <c r="A92" s="2" t="s">
        <v>64</v>
      </c>
      <c r="B92" s="2" t="s">
        <v>3</v>
      </c>
      <c r="C92" s="3">
        <v>0</v>
      </c>
      <c r="D92" s="4"/>
      <c r="E92" s="4"/>
    </row>
    <row r="93" spans="1:23" hidden="1">
      <c r="A93" s="2" t="s">
        <v>120</v>
      </c>
      <c r="B93" s="2" t="s">
        <v>30</v>
      </c>
      <c r="C93" s="3">
        <v>0</v>
      </c>
      <c r="D93" s="4"/>
      <c r="E93" s="4"/>
    </row>
    <row r="94" spans="1:23" hidden="1">
      <c r="A94" s="2" t="s">
        <v>65</v>
      </c>
      <c r="B94" s="2" t="s">
        <v>3</v>
      </c>
      <c r="C94" s="3">
        <v>0</v>
      </c>
      <c r="D94" s="5"/>
      <c r="E94" s="5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>
      <c r="A95" s="2" t="s">
        <v>65</v>
      </c>
      <c r="B95" s="2" t="s">
        <v>17</v>
      </c>
      <c r="C95" s="3">
        <v>924</v>
      </c>
      <c r="D95" s="39">
        <v>7000</v>
      </c>
      <c r="E95" s="39">
        <f>+D95*C95</f>
        <v>6468000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idden="1">
      <c r="A96" s="2" t="s">
        <v>66</v>
      </c>
      <c r="B96" s="2" t="s">
        <v>3</v>
      </c>
      <c r="C96" s="3">
        <v>0</v>
      </c>
      <c r="D96" s="4"/>
      <c r="E96" s="4"/>
    </row>
    <row r="97" spans="1:5" hidden="1">
      <c r="A97" s="2" t="s">
        <v>66</v>
      </c>
      <c r="B97" s="2" t="s">
        <v>30</v>
      </c>
      <c r="C97" s="3">
        <v>0</v>
      </c>
      <c r="D97" s="4"/>
      <c r="E97" s="4"/>
    </row>
    <row r="98" spans="1:5" hidden="1">
      <c r="A98" s="2" t="s">
        <v>67</v>
      </c>
      <c r="B98" s="2" t="s">
        <v>3</v>
      </c>
      <c r="C98" s="3">
        <v>0</v>
      </c>
      <c r="D98" s="4"/>
      <c r="E98" s="4"/>
    </row>
    <row r="99" spans="1:5" hidden="1">
      <c r="A99" s="2" t="s">
        <v>68</v>
      </c>
      <c r="B99" s="2" t="s">
        <v>3</v>
      </c>
      <c r="C99" s="3">
        <v>0</v>
      </c>
      <c r="D99" s="4"/>
      <c r="E99" s="4"/>
    </row>
    <row r="100" spans="1:5" hidden="1">
      <c r="A100" s="2" t="s">
        <v>68</v>
      </c>
      <c r="B100" s="2" t="s">
        <v>40</v>
      </c>
      <c r="C100" s="3">
        <v>0</v>
      </c>
      <c r="D100" s="4"/>
      <c r="E100" s="4"/>
    </row>
    <row r="101" spans="1:5" hidden="1">
      <c r="A101" s="2" t="s">
        <v>69</v>
      </c>
      <c r="B101" s="2" t="s">
        <v>3</v>
      </c>
      <c r="C101" s="3">
        <v>0</v>
      </c>
      <c r="D101" s="4"/>
      <c r="E101" s="4"/>
    </row>
    <row r="102" spans="1:5" hidden="1">
      <c r="A102" s="2" t="s">
        <v>147</v>
      </c>
      <c r="B102" s="2" t="s">
        <v>17</v>
      </c>
      <c r="C102" s="3">
        <v>0</v>
      </c>
      <c r="D102" s="4"/>
      <c r="E102" s="4"/>
    </row>
    <row r="103" spans="1:5" hidden="1">
      <c r="A103" s="2" t="s">
        <v>148</v>
      </c>
      <c r="B103" s="2" t="s">
        <v>25</v>
      </c>
      <c r="C103" s="3">
        <v>0</v>
      </c>
      <c r="D103" s="4"/>
      <c r="E103" s="4"/>
    </row>
    <row r="104" spans="1:5" hidden="1">
      <c r="A104" s="2" t="s">
        <v>136</v>
      </c>
      <c r="B104" s="2" t="s">
        <v>149</v>
      </c>
      <c r="C104" s="3">
        <v>0</v>
      </c>
      <c r="D104" s="4"/>
      <c r="E104" s="4"/>
    </row>
    <row r="105" spans="1:5" hidden="1">
      <c r="A105" s="2" t="s">
        <v>137</v>
      </c>
      <c r="B105" s="2" t="s">
        <v>30</v>
      </c>
      <c r="C105" s="3">
        <v>0</v>
      </c>
      <c r="D105" s="4"/>
      <c r="E105" s="4"/>
    </row>
    <row r="106" spans="1:5" hidden="1">
      <c r="A106" s="2" t="s">
        <v>70</v>
      </c>
      <c r="B106" s="2" t="s">
        <v>30</v>
      </c>
      <c r="C106" s="3">
        <v>0</v>
      </c>
      <c r="D106" s="4"/>
      <c r="E106" s="4"/>
    </row>
    <row r="107" spans="1:5">
      <c r="A107" s="2" t="s">
        <v>71</v>
      </c>
      <c r="B107" s="2" t="s">
        <v>3</v>
      </c>
      <c r="C107" s="3">
        <v>10</v>
      </c>
      <c r="D107" s="39">
        <v>14000</v>
      </c>
      <c r="E107" s="39">
        <f>+D107*C107</f>
        <v>140000</v>
      </c>
    </row>
    <row r="108" spans="1:5" hidden="1">
      <c r="A108" s="2" t="s">
        <v>138</v>
      </c>
      <c r="B108" s="2" t="s">
        <v>3</v>
      </c>
      <c r="C108" s="3">
        <v>0</v>
      </c>
      <c r="D108" s="4"/>
      <c r="E108" s="4"/>
    </row>
    <row r="109" spans="1:5" hidden="1">
      <c r="A109" s="2" t="s">
        <v>138</v>
      </c>
      <c r="B109" s="2" t="s">
        <v>150</v>
      </c>
      <c r="C109" s="3">
        <v>0</v>
      </c>
      <c r="D109" s="4"/>
      <c r="E109" s="4"/>
    </row>
    <row r="110" spans="1:5" hidden="1">
      <c r="A110" s="2" t="s">
        <v>151</v>
      </c>
      <c r="B110" s="2" t="s">
        <v>30</v>
      </c>
      <c r="C110" s="3">
        <v>0</v>
      </c>
      <c r="D110" s="4"/>
      <c r="E110" s="4"/>
    </row>
    <row r="111" spans="1:5" hidden="1">
      <c r="A111" s="2" t="s">
        <v>72</v>
      </c>
      <c r="B111" s="2" t="s">
        <v>3</v>
      </c>
      <c r="C111" s="3">
        <v>0</v>
      </c>
      <c r="D111" s="4"/>
      <c r="E111" s="4"/>
    </row>
    <row r="112" spans="1:5" hidden="1">
      <c r="A112" s="2" t="s">
        <v>72</v>
      </c>
      <c r="B112" s="2" t="s">
        <v>17</v>
      </c>
      <c r="C112" s="3">
        <v>0</v>
      </c>
      <c r="D112" s="4"/>
      <c r="E112" s="4"/>
    </row>
    <row r="113" spans="1:5" hidden="1">
      <c r="A113" s="2" t="s">
        <v>73</v>
      </c>
      <c r="B113" s="2" t="s">
        <v>25</v>
      </c>
      <c r="C113" s="3">
        <v>0</v>
      </c>
      <c r="D113" s="4"/>
      <c r="E113" s="4"/>
    </row>
    <row r="114" spans="1:5" hidden="1">
      <c r="A114" s="2" t="s">
        <v>73</v>
      </c>
      <c r="B114" s="2" t="s">
        <v>3</v>
      </c>
      <c r="C114" s="3">
        <v>0</v>
      </c>
      <c r="D114" s="4"/>
      <c r="E114" s="4"/>
    </row>
    <row r="115" spans="1:5">
      <c r="A115" s="2" t="s">
        <v>74</v>
      </c>
      <c r="B115" s="2" t="s">
        <v>3</v>
      </c>
      <c r="C115" s="3">
        <v>25</v>
      </c>
      <c r="D115" s="39">
        <v>60000</v>
      </c>
      <c r="E115" s="39">
        <f>+D115*C115</f>
        <v>1500000</v>
      </c>
    </row>
    <row r="116" spans="1:5" hidden="1">
      <c r="A116" s="2" t="s">
        <v>74</v>
      </c>
      <c r="B116" s="2" t="s">
        <v>9</v>
      </c>
      <c r="C116" s="3">
        <v>0</v>
      </c>
      <c r="D116" s="4"/>
      <c r="E116" s="4"/>
    </row>
    <row r="117" spans="1:5" hidden="1">
      <c r="A117" s="2" t="s">
        <v>139</v>
      </c>
      <c r="B117" s="2" t="s">
        <v>25</v>
      </c>
      <c r="C117" s="3">
        <v>0</v>
      </c>
      <c r="D117" s="4"/>
      <c r="E117" s="4"/>
    </row>
    <row r="118" spans="1:5">
      <c r="A118" s="2" t="s">
        <v>76</v>
      </c>
      <c r="B118" s="2" t="s">
        <v>3</v>
      </c>
      <c r="C118" s="3">
        <v>11</v>
      </c>
      <c r="D118" s="39">
        <v>60000</v>
      </c>
      <c r="E118" s="39">
        <f>+D118*C118</f>
        <v>660000</v>
      </c>
    </row>
    <row r="119" spans="1:5" hidden="1">
      <c r="A119" s="2" t="s">
        <v>76</v>
      </c>
      <c r="B119" s="2" t="s">
        <v>9</v>
      </c>
      <c r="C119" s="3">
        <v>0</v>
      </c>
      <c r="D119" s="4"/>
      <c r="E119" s="4"/>
    </row>
    <row r="120" spans="1:5">
      <c r="A120" s="2" t="s">
        <v>78</v>
      </c>
      <c r="B120" s="2" t="s">
        <v>3</v>
      </c>
      <c r="C120" s="3">
        <v>73</v>
      </c>
      <c r="D120" s="39">
        <v>30000</v>
      </c>
      <c r="E120" s="39">
        <f>+D120*C120</f>
        <v>2190000</v>
      </c>
    </row>
    <row r="121" spans="1:5" hidden="1">
      <c r="A121" s="2" t="s">
        <v>78</v>
      </c>
      <c r="B121" s="2" t="s">
        <v>9</v>
      </c>
      <c r="C121" s="3">
        <v>0</v>
      </c>
      <c r="D121" s="4"/>
      <c r="E121" s="4"/>
    </row>
    <row r="122" spans="1:5">
      <c r="A122" s="2" t="s">
        <v>79</v>
      </c>
      <c r="B122" s="2" t="s">
        <v>30</v>
      </c>
      <c r="C122" s="3">
        <v>99</v>
      </c>
      <c r="D122" s="39">
        <v>17000</v>
      </c>
      <c r="E122" s="39">
        <f>+D122*C122</f>
        <v>1683000</v>
      </c>
    </row>
    <row r="123" spans="1:5" hidden="1">
      <c r="A123" s="2" t="s">
        <v>80</v>
      </c>
      <c r="B123" s="2" t="s">
        <v>30</v>
      </c>
      <c r="C123" s="3">
        <v>0</v>
      </c>
      <c r="D123" s="4"/>
      <c r="E123" s="4"/>
    </row>
    <row r="124" spans="1:5" hidden="1">
      <c r="A124" s="2" t="s">
        <v>152</v>
      </c>
      <c r="B124" s="2" t="s">
        <v>149</v>
      </c>
      <c r="C124" s="3">
        <v>0</v>
      </c>
      <c r="D124" s="4"/>
      <c r="E124" s="4"/>
    </row>
    <row r="125" spans="1:5" hidden="1">
      <c r="A125" s="2" t="s">
        <v>153</v>
      </c>
      <c r="B125" s="2" t="s">
        <v>30</v>
      </c>
      <c r="C125" s="3">
        <v>0</v>
      </c>
      <c r="D125" s="4"/>
      <c r="E125" s="4"/>
    </row>
    <row r="126" spans="1:5" hidden="1">
      <c r="A126" s="2" t="s">
        <v>140</v>
      </c>
      <c r="B126" s="2" t="s">
        <v>3</v>
      </c>
      <c r="C126" s="3">
        <v>0</v>
      </c>
      <c r="D126" s="4"/>
      <c r="E126" s="4"/>
    </row>
    <row r="127" spans="1:5">
      <c r="A127" s="2" t="s">
        <v>81</v>
      </c>
      <c r="B127" s="2" t="s">
        <v>9</v>
      </c>
      <c r="C127" s="3">
        <v>220</v>
      </c>
      <c r="D127" s="39">
        <v>10000</v>
      </c>
      <c r="E127" s="39">
        <f>+D127*C127</f>
        <v>2200000</v>
      </c>
    </row>
    <row r="128" spans="1:5">
      <c r="A128" s="2" t="s">
        <v>82</v>
      </c>
      <c r="B128" s="2" t="s">
        <v>9</v>
      </c>
      <c r="C128" s="3">
        <v>370</v>
      </c>
      <c r="D128" s="15">
        <v>11361</v>
      </c>
      <c r="E128" s="39">
        <f t="shared" ref="E128:E129" si="11">+D128*C128</f>
        <v>4203570</v>
      </c>
    </row>
    <row r="129" spans="1:5">
      <c r="A129" s="2" t="s">
        <v>83</v>
      </c>
      <c r="B129" s="2" t="s">
        <v>9</v>
      </c>
      <c r="C129" s="3">
        <v>58</v>
      </c>
      <c r="D129" s="15">
        <v>100000</v>
      </c>
      <c r="E129" s="39">
        <f t="shared" si="11"/>
        <v>5800000</v>
      </c>
    </row>
    <row r="130" spans="1:5">
      <c r="A130" s="2" t="s">
        <v>85</v>
      </c>
      <c r="B130" s="2" t="s">
        <v>3</v>
      </c>
      <c r="C130" s="3">
        <v>15</v>
      </c>
      <c r="D130" s="39">
        <v>10000</v>
      </c>
      <c r="E130" s="39">
        <f>+D130*C130</f>
        <v>150000</v>
      </c>
    </row>
    <row r="131" spans="1:5" hidden="1">
      <c r="A131" s="2" t="s">
        <v>154</v>
      </c>
      <c r="B131" s="2" t="s">
        <v>3</v>
      </c>
      <c r="C131" s="3">
        <v>0</v>
      </c>
      <c r="D131" s="4"/>
      <c r="E131" s="4"/>
    </row>
    <row r="132" spans="1:5">
      <c r="A132" s="2" t="s">
        <v>87</v>
      </c>
      <c r="B132" s="2" t="s">
        <v>3</v>
      </c>
      <c r="C132" s="3">
        <v>260</v>
      </c>
      <c r="D132" s="39">
        <v>8000</v>
      </c>
      <c r="E132" s="39">
        <f>+D132*C132</f>
        <v>2080000</v>
      </c>
    </row>
    <row r="133" spans="1:5" hidden="1">
      <c r="A133" s="2" t="s">
        <v>125</v>
      </c>
      <c r="B133" s="2" t="s">
        <v>3</v>
      </c>
      <c r="C133" s="3">
        <v>0</v>
      </c>
      <c r="D133" s="4"/>
      <c r="E133" s="4"/>
    </row>
    <row r="134" spans="1:5" hidden="1">
      <c r="A134" s="2" t="s">
        <v>155</v>
      </c>
      <c r="B134" s="2" t="s">
        <v>30</v>
      </c>
      <c r="C134" s="3">
        <v>0</v>
      </c>
      <c r="D134" s="4"/>
      <c r="E134" s="4"/>
    </row>
    <row r="135" spans="1:5">
      <c r="A135" s="2" t="s">
        <v>88</v>
      </c>
      <c r="B135" s="2" t="s">
        <v>3</v>
      </c>
      <c r="C135" s="3">
        <v>20</v>
      </c>
      <c r="D135" s="39">
        <v>13000</v>
      </c>
      <c r="E135" s="39">
        <f>+D135*C135</f>
        <v>260000</v>
      </c>
    </row>
    <row r="136" spans="1:5" hidden="1">
      <c r="A136" s="2" t="s">
        <v>88</v>
      </c>
      <c r="B136" s="2" t="s">
        <v>30</v>
      </c>
      <c r="C136" s="3">
        <v>0</v>
      </c>
      <c r="D136" s="4"/>
      <c r="E136" s="4"/>
    </row>
    <row r="137" spans="1:5">
      <c r="A137" s="2" t="s">
        <v>89</v>
      </c>
      <c r="B137" s="2" t="s">
        <v>3</v>
      </c>
      <c r="C137" s="3">
        <v>64</v>
      </c>
      <c r="D137" s="39">
        <v>26000</v>
      </c>
      <c r="E137" s="39">
        <f>+D137*C137</f>
        <v>1664000</v>
      </c>
    </row>
    <row r="138" spans="1:5" hidden="1">
      <c r="A138" s="2" t="s">
        <v>90</v>
      </c>
      <c r="B138" s="2" t="s">
        <v>40</v>
      </c>
      <c r="C138" s="3">
        <v>0</v>
      </c>
      <c r="D138" s="4"/>
      <c r="E138" s="4"/>
    </row>
    <row r="139" spans="1:5" hidden="1">
      <c r="A139" s="2" t="s">
        <v>141</v>
      </c>
      <c r="B139" s="2" t="s">
        <v>3</v>
      </c>
      <c r="C139" s="3">
        <v>0</v>
      </c>
      <c r="D139" s="4"/>
      <c r="E139" s="4"/>
    </row>
    <row r="140" spans="1:5">
      <c r="A140" s="2" t="s">
        <v>91</v>
      </c>
      <c r="B140" s="2" t="s">
        <v>3</v>
      </c>
      <c r="C140" s="3">
        <v>2</v>
      </c>
      <c r="D140" s="39">
        <v>28000</v>
      </c>
      <c r="E140" s="39">
        <f>+D140*C140</f>
        <v>56000</v>
      </c>
    </row>
    <row r="141" spans="1:5" hidden="1">
      <c r="A141" s="2" t="s">
        <v>92</v>
      </c>
      <c r="B141" s="2" t="s">
        <v>40</v>
      </c>
      <c r="C141" s="3">
        <v>0</v>
      </c>
      <c r="D141" s="4"/>
      <c r="E141" s="4"/>
    </row>
    <row r="142" spans="1:5" hidden="1">
      <c r="A142" s="2" t="s">
        <v>142</v>
      </c>
      <c r="B142" s="2" t="s">
        <v>3</v>
      </c>
      <c r="C142" s="3">
        <v>0</v>
      </c>
      <c r="D142" s="4"/>
      <c r="E142" s="4"/>
    </row>
    <row r="143" spans="1:5" hidden="1">
      <c r="A143" s="2" t="s">
        <v>156</v>
      </c>
      <c r="B143" s="2" t="s">
        <v>30</v>
      </c>
      <c r="C143" s="3">
        <v>0</v>
      </c>
      <c r="D143" s="4"/>
      <c r="E143" s="4"/>
    </row>
    <row r="144" spans="1:5" hidden="1">
      <c r="A144" s="2" t="s">
        <v>157</v>
      </c>
      <c r="B144" s="2" t="s">
        <v>30</v>
      </c>
      <c r="C144" s="3">
        <v>0</v>
      </c>
      <c r="D144" s="4"/>
      <c r="E144" s="4"/>
    </row>
    <row r="145" spans="1:5" hidden="1">
      <c r="A145" s="2" t="s">
        <v>93</v>
      </c>
      <c r="B145" s="2" t="s">
        <v>3</v>
      </c>
      <c r="C145" s="3">
        <v>0</v>
      </c>
      <c r="D145" s="4"/>
      <c r="E145" s="4"/>
    </row>
    <row r="146" spans="1:5">
      <c r="A146" s="2" t="s">
        <v>94</v>
      </c>
      <c r="B146" s="2" t="s">
        <v>3</v>
      </c>
      <c r="C146" s="3">
        <v>3</v>
      </c>
      <c r="D146" s="39">
        <v>30000</v>
      </c>
      <c r="E146" s="39">
        <f t="shared" ref="E146:E147" si="12">+D146*C146</f>
        <v>90000</v>
      </c>
    </row>
    <row r="147" spans="1:5">
      <c r="A147" s="2" t="s">
        <v>95</v>
      </c>
      <c r="B147" s="2" t="s">
        <v>40</v>
      </c>
      <c r="C147" s="3">
        <v>100</v>
      </c>
      <c r="D147" s="39">
        <v>6800</v>
      </c>
      <c r="E147" s="39">
        <f t="shared" si="12"/>
        <v>680000</v>
      </c>
    </row>
    <row r="148" spans="1:5">
      <c r="A148" s="11" t="e">
        <v>#N/A</v>
      </c>
      <c r="B148" s="11">
        <v>0</v>
      </c>
      <c r="C148" s="12">
        <v>11050</v>
      </c>
      <c r="D148" s="40"/>
      <c r="E148" s="16">
        <f>SUBTOTAL(9,E2:E147)</f>
        <v>153569970</v>
      </c>
    </row>
    <row r="149" spans="1:5" hidden="1">
      <c r="A149" s="2" t="e">
        <v>#N/A</v>
      </c>
      <c r="B149" s="2">
        <v>0</v>
      </c>
      <c r="C149" s="3">
        <v>0</v>
      </c>
      <c r="D149" s="37"/>
      <c r="E149" s="37"/>
    </row>
    <row r="150" spans="1:5" hidden="1">
      <c r="A150" s="2" t="e">
        <v>#N/A</v>
      </c>
      <c r="B150" s="2">
        <v>0</v>
      </c>
      <c r="C150" s="3">
        <v>0</v>
      </c>
      <c r="D150" s="37"/>
      <c r="E150" s="37"/>
    </row>
  </sheetData>
  <autoFilter ref="A1:CS150">
    <filterColumn colId="2">
      <filters>
        <filter val="1"/>
        <filter val="1,000"/>
        <filter val="1,212"/>
        <filter val="1,300"/>
        <filter val="1,440"/>
        <filter val="10"/>
        <filter val="100"/>
        <filter val="11"/>
        <filter val="11,050"/>
        <filter val="12"/>
        <filter val="120"/>
        <filter val="14"/>
        <filter val="15"/>
        <filter val="17"/>
        <filter val="18"/>
        <filter val="197"/>
        <filter val="2"/>
        <filter val="20"/>
        <filter val="200"/>
        <filter val="215"/>
        <filter val="220"/>
        <filter val="230"/>
        <filter val="25"/>
        <filter val="260"/>
        <filter val="3"/>
        <filter val="35"/>
        <filter val="36"/>
        <filter val="370"/>
        <filter val="4"/>
        <filter val="40"/>
        <filter val="420"/>
        <filter val="450"/>
        <filter val="5"/>
        <filter val="50"/>
        <filter val="55"/>
        <filter val="56"/>
        <filter val="58"/>
        <filter val="60"/>
        <filter val="64"/>
        <filter val="685"/>
        <filter val="7"/>
        <filter val="70"/>
        <filter val="73"/>
        <filter val="8"/>
        <filter val="80"/>
        <filter val="83"/>
        <filter val="87"/>
        <filter val="924"/>
        <filter val="95"/>
        <filter val="99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107"/>
  <sheetViews>
    <sheetView topLeftCell="A87" workbookViewId="0">
      <selection activeCell="E107" sqref="E107"/>
    </sheetView>
  </sheetViews>
  <sheetFormatPr defaultRowHeight="13.8"/>
  <cols>
    <col min="1" max="1" width="21.69921875" customWidth="1"/>
    <col min="3" max="3" width="9.5" customWidth="1"/>
    <col min="4" max="4" width="11.296875" customWidth="1"/>
    <col min="5" max="5" width="15.69921875" customWidth="1"/>
  </cols>
  <sheetData>
    <row r="1" spans="1:5">
      <c r="A1" s="27" t="s">
        <v>158</v>
      </c>
    </row>
    <row r="2" spans="1:5">
      <c r="A2" t="s">
        <v>106</v>
      </c>
      <c r="B2" t="s">
        <v>0</v>
      </c>
      <c r="C2" t="s">
        <v>111</v>
      </c>
      <c r="D2" t="s">
        <v>112</v>
      </c>
      <c r="E2" t="s">
        <v>113</v>
      </c>
    </row>
    <row r="3" spans="1:5">
      <c r="A3" t="s">
        <v>2</v>
      </c>
      <c r="B3" t="s">
        <v>3</v>
      </c>
      <c r="C3">
        <v>19</v>
      </c>
      <c r="D3">
        <v>17000</v>
      </c>
      <c r="E3" s="28">
        <f>C3*D3</f>
        <v>323000</v>
      </c>
    </row>
    <row r="4" spans="1:5">
      <c r="A4" t="s">
        <v>4</v>
      </c>
      <c r="B4" t="s">
        <v>3</v>
      </c>
      <c r="C4">
        <v>520</v>
      </c>
      <c r="D4">
        <v>5000</v>
      </c>
      <c r="E4" s="28">
        <f t="shared" ref="E4:E67" si="0">C4*D4</f>
        <v>2600000</v>
      </c>
    </row>
    <row r="5" spans="1:5">
      <c r="A5" t="s">
        <v>5</v>
      </c>
      <c r="B5" t="s">
        <v>3</v>
      </c>
      <c r="C5">
        <v>1090</v>
      </c>
      <c r="D5">
        <v>6000</v>
      </c>
      <c r="E5" s="28">
        <f t="shared" si="0"/>
        <v>6540000</v>
      </c>
    </row>
    <row r="6" spans="1:5" hidden="1">
      <c r="A6" t="s">
        <v>96</v>
      </c>
      <c r="B6" t="s">
        <v>3</v>
      </c>
      <c r="C6">
        <v>0</v>
      </c>
      <c r="E6" s="28">
        <f t="shared" si="0"/>
        <v>0</v>
      </c>
    </row>
    <row r="7" spans="1:5" hidden="1">
      <c r="A7" t="s">
        <v>6</v>
      </c>
      <c r="B7" t="s">
        <v>3</v>
      </c>
      <c r="C7">
        <v>0</v>
      </c>
      <c r="E7" s="28">
        <f t="shared" si="0"/>
        <v>0</v>
      </c>
    </row>
    <row r="8" spans="1:5">
      <c r="A8" t="s">
        <v>7</v>
      </c>
      <c r="B8" t="s">
        <v>3</v>
      </c>
      <c r="C8">
        <v>130</v>
      </c>
      <c r="D8">
        <v>12000</v>
      </c>
      <c r="E8" s="28">
        <f t="shared" si="0"/>
        <v>1560000</v>
      </c>
    </row>
    <row r="9" spans="1:5">
      <c r="A9" t="s">
        <v>116</v>
      </c>
      <c r="B9" t="s">
        <v>3</v>
      </c>
      <c r="C9">
        <v>1.5</v>
      </c>
      <c r="D9">
        <v>12000</v>
      </c>
      <c r="E9" s="28">
        <f t="shared" si="0"/>
        <v>18000</v>
      </c>
    </row>
    <row r="10" spans="1:5">
      <c r="A10" t="s">
        <v>8</v>
      </c>
      <c r="B10" t="s">
        <v>3</v>
      </c>
      <c r="C10">
        <v>20</v>
      </c>
      <c r="D10">
        <v>13000</v>
      </c>
      <c r="E10" s="28">
        <f t="shared" si="0"/>
        <v>260000</v>
      </c>
    </row>
    <row r="11" spans="1:5" hidden="1">
      <c r="A11" t="s">
        <v>8</v>
      </c>
      <c r="B11" t="s">
        <v>9</v>
      </c>
      <c r="C11">
        <v>0</v>
      </c>
      <c r="E11" s="28">
        <f t="shared" si="0"/>
        <v>0</v>
      </c>
    </row>
    <row r="12" spans="1:5">
      <c r="A12" t="s">
        <v>10</v>
      </c>
      <c r="B12" t="s">
        <v>3</v>
      </c>
      <c r="C12">
        <v>58</v>
      </c>
      <c r="D12">
        <v>11000</v>
      </c>
      <c r="E12" s="28">
        <f t="shared" si="0"/>
        <v>638000</v>
      </c>
    </row>
    <row r="13" spans="1:5" hidden="1">
      <c r="A13" t="s">
        <v>10</v>
      </c>
      <c r="B13" t="s">
        <v>9</v>
      </c>
      <c r="C13">
        <v>0</v>
      </c>
      <c r="E13" s="28">
        <f t="shared" si="0"/>
        <v>0</v>
      </c>
    </row>
    <row r="14" spans="1:5" hidden="1">
      <c r="A14" t="s">
        <v>12</v>
      </c>
      <c r="B14" t="s">
        <v>3</v>
      </c>
      <c r="C14">
        <v>0</v>
      </c>
      <c r="E14" s="28">
        <f t="shared" si="0"/>
        <v>0</v>
      </c>
    </row>
    <row r="15" spans="1:5">
      <c r="A15" t="s">
        <v>14</v>
      </c>
      <c r="B15" t="s">
        <v>3</v>
      </c>
      <c r="C15">
        <v>42</v>
      </c>
      <c r="D15">
        <v>10000</v>
      </c>
      <c r="E15" s="28">
        <f t="shared" si="0"/>
        <v>420000</v>
      </c>
    </row>
    <row r="16" spans="1:5" hidden="1">
      <c r="A16" t="s">
        <v>15</v>
      </c>
      <c r="B16" t="s">
        <v>3</v>
      </c>
      <c r="C16">
        <v>0</v>
      </c>
      <c r="E16" s="28">
        <f t="shared" si="0"/>
        <v>0</v>
      </c>
    </row>
    <row r="17" spans="1:5">
      <c r="A17" t="s">
        <v>16</v>
      </c>
      <c r="B17" t="s">
        <v>17</v>
      </c>
      <c r="C17">
        <v>14</v>
      </c>
      <c r="D17">
        <v>6000</v>
      </c>
      <c r="E17" s="28">
        <f t="shared" si="0"/>
        <v>84000</v>
      </c>
    </row>
    <row r="18" spans="1:5">
      <c r="A18" t="s">
        <v>145</v>
      </c>
      <c r="B18" t="s">
        <v>40</v>
      </c>
      <c r="C18">
        <v>260</v>
      </c>
      <c r="D18">
        <v>5000</v>
      </c>
      <c r="E18" s="28">
        <f t="shared" si="0"/>
        <v>1300000</v>
      </c>
    </row>
    <row r="19" spans="1:5" hidden="1">
      <c r="A19" t="s">
        <v>97</v>
      </c>
      <c r="B19" t="s">
        <v>3</v>
      </c>
      <c r="C19">
        <v>0</v>
      </c>
      <c r="E19" s="28">
        <f t="shared" si="0"/>
        <v>0</v>
      </c>
    </row>
    <row r="20" spans="1:5">
      <c r="A20" t="s">
        <v>128</v>
      </c>
      <c r="B20" t="s">
        <v>3</v>
      </c>
      <c r="C20">
        <v>80</v>
      </c>
      <c r="D20">
        <v>10000</v>
      </c>
      <c r="E20" s="28">
        <f t="shared" si="0"/>
        <v>800000</v>
      </c>
    </row>
    <row r="21" spans="1:5">
      <c r="A21" t="s">
        <v>18</v>
      </c>
      <c r="B21" t="s">
        <v>3</v>
      </c>
      <c r="C21">
        <v>295</v>
      </c>
      <c r="D21">
        <v>12000</v>
      </c>
      <c r="E21" s="28">
        <f t="shared" si="0"/>
        <v>3540000</v>
      </c>
    </row>
    <row r="22" spans="1:5">
      <c r="A22" t="s">
        <v>18</v>
      </c>
      <c r="B22" t="s">
        <v>19</v>
      </c>
      <c r="C22">
        <v>12</v>
      </c>
      <c r="D22">
        <v>11500</v>
      </c>
      <c r="E22" s="28">
        <f t="shared" si="0"/>
        <v>138000</v>
      </c>
    </row>
    <row r="23" spans="1:5">
      <c r="A23" t="s">
        <v>20</v>
      </c>
      <c r="B23" t="s">
        <v>3</v>
      </c>
      <c r="C23">
        <v>28</v>
      </c>
      <c r="D23">
        <v>14000</v>
      </c>
      <c r="E23" s="28">
        <f t="shared" si="0"/>
        <v>392000</v>
      </c>
    </row>
    <row r="24" spans="1:5" hidden="1">
      <c r="A24" t="s">
        <v>20</v>
      </c>
      <c r="B24" t="s">
        <v>21</v>
      </c>
      <c r="C24">
        <v>0</v>
      </c>
      <c r="E24" s="28">
        <f t="shared" si="0"/>
        <v>0</v>
      </c>
    </row>
    <row r="25" spans="1:5" hidden="1">
      <c r="A25" t="s">
        <v>22</v>
      </c>
      <c r="B25" t="s">
        <v>3</v>
      </c>
      <c r="C25">
        <v>0</v>
      </c>
      <c r="E25" s="28">
        <f t="shared" si="0"/>
        <v>0</v>
      </c>
    </row>
    <row r="26" spans="1:5">
      <c r="A26" t="s">
        <v>22</v>
      </c>
      <c r="B26" t="s">
        <v>23</v>
      </c>
      <c r="C26">
        <v>36</v>
      </c>
      <c r="D26">
        <v>5100</v>
      </c>
      <c r="E26" s="28">
        <f t="shared" si="0"/>
        <v>183600</v>
      </c>
    </row>
    <row r="27" spans="1:5" hidden="1">
      <c r="A27" t="s">
        <v>24</v>
      </c>
      <c r="B27" t="s">
        <v>25</v>
      </c>
      <c r="C27">
        <v>0</v>
      </c>
      <c r="E27" s="28">
        <f t="shared" si="0"/>
        <v>0</v>
      </c>
    </row>
    <row r="28" spans="1:5" hidden="1">
      <c r="A28" t="s">
        <v>26</v>
      </c>
      <c r="B28" t="s">
        <v>3</v>
      </c>
      <c r="C28">
        <v>0</v>
      </c>
      <c r="E28" s="28">
        <f t="shared" si="0"/>
        <v>0</v>
      </c>
    </row>
    <row r="29" spans="1:5">
      <c r="A29" t="s">
        <v>26</v>
      </c>
      <c r="B29" t="s">
        <v>23</v>
      </c>
      <c r="C29">
        <v>87</v>
      </c>
      <c r="D29">
        <v>10000</v>
      </c>
      <c r="E29" s="28">
        <f t="shared" si="0"/>
        <v>870000</v>
      </c>
    </row>
    <row r="30" spans="1:5">
      <c r="A30" t="s">
        <v>26</v>
      </c>
      <c r="B30" t="s">
        <v>27</v>
      </c>
      <c r="C30">
        <v>323</v>
      </c>
      <c r="D30">
        <v>7500</v>
      </c>
      <c r="E30" s="28">
        <f t="shared" si="0"/>
        <v>2422500</v>
      </c>
    </row>
    <row r="31" spans="1:5">
      <c r="A31" t="s">
        <v>28</v>
      </c>
      <c r="B31" t="s">
        <v>3</v>
      </c>
      <c r="C31">
        <v>230</v>
      </c>
      <c r="D31">
        <v>15000</v>
      </c>
      <c r="E31" s="28">
        <f t="shared" si="0"/>
        <v>3450000</v>
      </c>
    </row>
    <row r="32" spans="1:5" hidden="1">
      <c r="A32" t="s">
        <v>28</v>
      </c>
      <c r="B32" t="s">
        <v>17</v>
      </c>
      <c r="C32">
        <v>0</v>
      </c>
      <c r="E32" s="28">
        <f t="shared" si="0"/>
        <v>0</v>
      </c>
    </row>
    <row r="33" spans="1:5">
      <c r="A33" t="s">
        <v>29</v>
      </c>
      <c r="B33" t="s">
        <v>30</v>
      </c>
      <c r="C33">
        <v>40</v>
      </c>
      <c r="D33">
        <v>11000</v>
      </c>
      <c r="E33" s="28">
        <f t="shared" si="0"/>
        <v>440000</v>
      </c>
    </row>
    <row r="34" spans="1:5">
      <c r="A34" t="s">
        <v>31</v>
      </c>
      <c r="B34" t="s">
        <v>3</v>
      </c>
      <c r="C34">
        <v>213</v>
      </c>
      <c r="D34">
        <v>9000</v>
      </c>
      <c r="E34" s="28">
        <f t="shared" si="0"/>
        <v>1917000</v>
      </c>
    </row>
    <row r="35" spans="1:5" hidden="1">
      <c r="A35" t="s">
        <v>31</v>
      </c>
      <c r="B35" t="s">
        <v>30</v>
      </c>
      <c r="C35">
        <v>0</v>
      </c>
      <c r="E35" s="28">
        <f t="shared" si="0"/>
        <v>0</v>
      </c>
    </row>
    <row r="36" spans="1:5" hidden="1">
      <c r="A36" t="s">
        <v>32</v>
      </c>
      <c r="B36" t="s">
        <v>17</v>
      </c>
      <c r="C36">
        <v>0</v>
      </c>
      <c r="E36" s="28">
        <f t="shared" si="0"/>
        <v>0</v>
      </c>
    </row>
    <row r="37" spans="1:5">
      <c r="A37" t="s">
        <v>33</v>
      </c>
      <c r="B37" t="s">
        <v>3</v>
      </c>
      <c r="C37">
        <v>50</v>
      </c>
      <c r="D37">
        <v>8000</v>
      </c>
      <c r="E37" s="28">
        <f t="shared" si="0"/>
        <v>400000</v>
      </c>
    </row>
    <row r="38" spans="1:5" hidden="1">
      <c r="A38" t="s">
        <v>33</v>
      </c>
      <c r="B38" t="s">
        <v>34</v>
      </c>
      <c r="C38">
        <v>0</v>
      </c>
      <c r="E38" s="28">
        <f t="shared" si="0"/>
        <v>0</v>
      </c>
    </row>
    <row r="39" spans="1:5">
      <c r="A39" t="s">
        <v>35</v>
      </c>
      <c r="B39" t="s">
        <v>3</v>
      </c>
      <c r="C39">
        <v>9</v>
      </c>
      <c r="D39">
        <v>12000</v>
      </c>
      <c r="E39" s="28">
        <f t="shared" si="0"/>
        <v>108000</v>
      </c>
    </row>
    <row r="40" spans="1:5" hidden="1">
      <c r="A40" t="s">
        <v>35</v>
      </c>
      <c r="B40" t="s">
        <v>30</v>
      </c>
      <c r="C40">
        <v>0</v>
      </c>
      <c r="E40" s="28">
        <f t="shared" si="0"/>
        <v>0</v>
      </c>
    </row>
    <row r="41" spans="1:5">
      <c r="A41" t="s">
        <v>36</v>
      </c>
      <c r="B41" t="s">
        <v>30</v>
      </c>
      <c r="C41">
        <v>8</v>
      </c>
      <c r="D41">
        <v>3000</v>
      </c>
      <c r="E41" s="28">
        <f t="shared" si="0"/>
        <v>24000</v>
      </c>
    </row>
    <row r="42" spans="1:5">
      <c r="A42" t="s">
        <v>37</v>
      </c>
      <c r="B42" t="s">
        <v>30</v>
      </c>
      <c r="C42">
        <v>10</v>
      </c>
      <c r="D42">
        <v>3900</v>
      </c>
      <c r="E42" s="28">
        <f t="shared" si="0"/>
        <v>39000</v>
      </c>
    </row>
    <row r="43" spans="1:5">
      <c r="A43" t="s">
        <v>38</v>
      </c>
      <c r="B43" t="s">
        <v>3</v>
      </c>
      <c r="C43">
        <v>620</v>
      </c>
      <c r="D43">
        <v>5500</v>
      </c>
      <c r="E43" s="28">
        <f t="shared" si="0"/>
        <v>3410000</v>
      </c>
    </row>
    <row r="44" spans="1:5">
      <c r="A44" t="s">
        <v>98</v>
      </c>
      <c r="B44" t="s">
        <v>3</v>
      </c>
      <c r="C44">
        <v>8</v>
      </c>
      <c r="D44">
        <v>14000</v>
      </c>
      <c r="E44" s="28">
        <f t="shared" si="0"/>
        <v>112000</v>
      </c>
    </row>
    <row r="45" spans="1:5">
      <c r="A45" t="s">
        <v>39</v>
      </c>
      <c r="B45" t="s">
        <v>3</v>
      </c>
      <c r="C45">
        <v>65</v>
      </c>
      <c r="D45">
        <v>18000</v>
      </c>
      <c r="E45" s="28">
        <f t="shared" si="0"/>
        <v>1170000</v>
      </c>
    </row>
    <row r="46" spans="1:5" hidden="1">
      <c r="A46" t="s">
        <v>39</v>
      </c>
      <c r="B46" t="s">
        <v>40</v>
      </c>
      <c r="C46">
        <v>0</v>
      </c>
      <c r="E46" s="28">
        <f t="shared" si="0"/>
        <v>0</v>
      </c>
    </row>
    <row r="47" spans="1:5" hidden="1">
      <c r="A47" t="s">
        <v>100</v>
      </c>
      <c r="B47" t="s">
        <v>3</v>
      </c>
      <c r="C47">
        <v>0</v>
      </c>
      <c r="E47" s="28">
        <f t="shared" si="0"/>
        <v>0</v>
      </c>
    </row>
    <row r="48" spans="1:5">
      <c r="A48" t="s">
        <v>41</v>
      </c>
      <c r="B48" t="s">
        <v>3</v>
      </c>
      <c r="C48">
        <v>10</v>
      </c>
      <c r="D48">
        <v>14000</v>
      </c>
      <c r="E48" s="28">
        <f t="shared" si="0"/>
        <v>140000</v>
      </c>
    </row>
    <row r="49" spans="1:5" hidden="1">
      <c r="A49" t="s">
        <v>42</v>
      </c>
      <c r="B49" t="s">
        <v>25</v>
      </c>
      <c r="C49">
        <v>0</v>
      </c>
      <c r="E49" s="28">
        <f t="shared" si="0"/>
        <v>0</v>
      </c>
    </row>
    <row r="50" spans="1:5">
      <c r="A50" t="s">
        <v>43</v>
      </c>
      <c r="B50" t="s">
        <v>3</v>
      </c>
      <c r="C50">
        <v>1</v>
      </c>
      <c r="D50">
        <v>16000</v>
      </c>
      <c r="E50" s="28">
        <f t="shared" si="0"/>
        <v>16000</v>
      </c>
    </row>
    <row r="51" spans="1:5" hidden="1">
      <c r="A51" t="s">
        <v>44</v>
      </c>
      <c r="B51" t="s">
        <v>3</v>
      </c>
      <c r="C51">
        <v>0</v>
      </c>
      <c r="E51" s="28">
        <f t="shared" si="0"/>
        <v>0</v>
      </c>
    </row>
    <row r="52" spans="1:5">
      <c r="A52" t="s">
        <v>45</v>
      </c>
      <c r="B52" t="s">
        <v>3</v>
      </c>
      <c r="C52">
        <v>30</v>
      </c>
      <c r="D52">
        <v>10000</v>
      </c>
      <c r="E52" s="28">
        <f t="shared" si="0"/>
        <v>300000</v>
      </c>
    </row>
    <row r="53" spans="1:5" hidden="1">
      <c r="A53" t="s">
        <v>45</v>
      </c>
      <c r="B53" t="s">
        <v>30</v>
      </c>
      <c r="C53">
        <v>0</v>
      </c>
      <c r="E53" s="28">
        <f t="shared" si="0"/>
        <v>0</v>
      </c>
    </row>
    <row r="54" spans="1:5">
      <c r="A54" t="s">
        <v>46</v>
      </c>
      <c r="B54" t="s">
        <v>3</v>
      </c>
      <c r="C54">
        <v>11</v>
      </c>
      <c r="D54">
        <v>18000</v>
      </c>
      <c r="E54" s="28">
        <f t="shared" si="0"/>
        <v>198000</v>
      </c>
    </row>
    <row r="55" spans="1:5">
      <c r="A55" t="s">
        <v>47</v>
      </c>
      <c r="B55" t="s">
        <v>3</v>
      </c>
      <c r="C55">
        <v>450</v>
      </c>
      <c r="D55">
        <v>9000</v>
      </c>
      <c r="E55" s="28">
        <f t="shared" si="0"/>
        <v>4050000</v>
      </c>
    </row>
    <row r="56" spans="1:5" hidden="1">
      <c r="A56" t="s">
        <v>47</v>
      </c>
      <c r="B56" t="s">
        <v>48</v>
      </c>
      <c r="C56">
        <v>0</v>
      </c>
      <c r="E56" s="28">
        <f t="shared" si="0"/>
        <v>0</v>
      </c>
    </row>
    <row r="57" spans="1:5">
      <c r="A57" t="s">
        <v>49</v>
      </c>
      <c r="B57" t="s">
        <v>30</v>
      </c>
      <c r="C57">
        <v>76</v>
      </c>
      <c r="D57">
        <v>2100</v>
      </c>
      <c r="E57" s="28">
        <f t="shared" si="0"/>
        <v>159600</v>
      </c>
    </row>
    <row r="58" spans="1:5">
      <c r="A58" t="s">
        <v>50</v>
      </c>
      <c r="B58" t="s">
        <v>3</v>
      </c>
      <c r="C58">
        <v>740</v>
      </c>
      <c r="D58">
        <v>26500</v>
      </c>
      <c r="E58" s="28">
        <f t="shared" si="0"/>
        <v>19610000</v>
      </c>
    </row>
    <row r="59" spans="1:5">
      <c r="A59" t="s">
        <v>51</v>
      </c>
      <c r="B59" t="s">
        <v>3</v>
      </c>
      <c r="C59">
        <v>1000</v>
      </c>
      <c r="D59">
        <v>27000</v>
      </c>
      <c r="E59" s="28">
        <f t="shared" si="0"/>
        <v>27000000</v>
      </c>
    </row>
    <row r="60" spans="1:5" hidden="1">
      <c r="A60" t="s">
        <v>51</v>
      </c>
      <c r="B60" t="s">
        <v>30</v>
      </c>
      <c r="C60">
        <v>0</v>
      </c>
      <c r="E60" s="28">
        <f t="shared" si="0"/>
        <v>0</v>
      </c>
    </row>
    <row r="61" spans="1:5" hidden="1">
      <c r="A61" t="s">
        <v>53</v>
      </c>
      <c r="B61" t="s">
        <v>3</v>
      </c>
      <c r="C61">
        <v>0</v>
      </c>
      <c r="E61" s="28">
        <f t="shared" si="0"/>
        <v>0</v>
      </c>
    </row>
    <row r="62" spans="1:5">
      <c r="A62" t="s">
        <v>54</v>
      </c>
      <c r="B62" t="s">
        <v>3</v>
      </c>
      <c r="C62">
        <v>18</v>
      </c>
      <c r="D62">
        <v>29000</v>
      </c>
      <c r="E62" s="28">
        <f t="shared" si="0"/>
        <v>522000</v>
      </c>
    </row>
    <row r="63" spans="1:5" hidden="1">
      <c r="A63" t="s">
        <v>108</v>
      </c>
      <c r="B63" t="s">
        <v>30</v>
      </c>
      <c r="C63">
        <v>0</v>
      </c>
      <c r="E63" s="28">
        <f t="shared" si="0"/>
        <v>0</v>
      </c>
    </row>
    <row r="64" spans="1:5">
      <c r="A64" t="s">
        <v>56</v>
      </c>
      <c r="B64" t="s">
        <v>3</v>
      </c>
      <c r="C64">
        <v>240</v>
      </c>
      <c r="D64">
        <v>15000</v>
      </c>
      <c r="E64" s="28">
        <f t="shared" si="0"/>
        <v>3600000</v>
      </c>
    </row>
    <row r="65" spans="1:5" hidden="1">
      <c r="A65" t="s">
        <v>56</v>
      </c>
      <c r="B65" t="s">
        <v>30</v>
      </c>
      <c r="C65">
        <v>0</v>
      </c>
      <c r="E65" s="28">
        <f t="shared" si="0"/>
        <v>0</v>
      </c>
    </row>
    <row r="66" spans="1:5">
      <c r="A66" t="s">
        <v>57</v>
      </c>
      <c r="B66" t="s">
        <v>30</v>
      </c>
      <c r="C66">
        <v>14</v>
      </c>
      <c r="D66">
        <v>7000</v>
      </c>
      <c r="E66" s="28">
        <f t="shared" si="0"/>
        <v>98000</v>
      </c>
    </row>
    <row r="67" spans="1:5">
      <c r="A67" t="s">
        <v>58</v>
      </c>
      <c r="B67" t="s">
        <v>3</v>
      </c>
      <c r="C67">
        <v>30</v>
      </c>
      <c r="D67">
        <v>9000</v>
      </c>
      <c r="E67" s="28">
        <f t="shared" si="0"/>
        <v>270000</v>
      </c>
    </row>
    <row r="68" spans="1:5">
      <c r="A68" t="s">
        <v>59</v>
      </c>
      <c r="B68" t="s">
        <v>30</v>
      </c>
      <c r="C68">
        <v>2</v>
      </c>
      <c r="D68">
        <v>6000</v>
      </c>
      <c r="E68" s="28">
        <f t="shared" ref="E68:E106" si="1">C68*D68</f>
        <v>12000</v>
      </c>
    </row>
    <row r="69" spans="1:5" hidden="1">
      <c r="A69" t="s">
        <v>60</v>
      </c>
      <c r="B69" t="s">
        <v>3</v>
      </c>
      <c r="C69">
        <v>0</v>
      </c>
      <c r="E69" s="28">
        <f t="shared" si="1"/>
        <v>0</v>
      </c>
    </row>
    <row r="70" spans="1:5" hidden="1">
      <c r="A70" t="s">
        <v>60</v>
      </c>
      <c r="B70" t="s">
        <v>30</v>
      </c>
      <c r="C70">
        <v>0</v>
      </c>
      <c r="E70" s="28">
        <f t="shared" si="1"/>
        <v>0</v>
      </c>
    </row>
    <row r="71" spans="1:5">
      <c r="A71" t="s">
        <v>60</v>
      </c>
      <c r="B71" t="s">
        <v>61</v>
      </c>
      <c r="C71">
        <v>84</v>
      </c>
      <c r="D71">
        <v>8500</v>
      </c>
      <c r="E71" s="28">
        <f t="shared" si="1"/>
        <v>714000</v>
      </c>
    </row>
    <row r="72" spans="1:5">
      <c r="A72" t="s">
        <v>62</v>
      </c>
      <c r="B72" t="s">
        <v>3</v>
      </c>
      <c r="C72">
        <v>1</v>
      </c>
      <c r="D72">
        <v>80000</v>
      </c>
      <c r="E72" s="28">
        <f t="shared" si="1"/>
        <v>80000</v>
      </c>
    </row>
    <row r="73" spans="1:5" hidden="1">
      <c r="A73" t="s">
        <v>63</v>
      </c>
      <c r="B73" t="s">
        <v>3</v>
      </c>
      <c r="C73">
        <v>0</v>
      </c>
      <c r="E73" s="28">
        <f t="shared" si="1"/>
        <v>0</v>
      </c>
    </row>
    <row r="74" spans="1:5">
      <c r="A74" t="s">
        <v>64</v>
      </c>
      <c r="B74" t="s">
        <v>3</v>
      </c>
      <c r="C74">
        <v>1</v>
      </c>
      <c r="D74">
        <v>70000</v>
      </c>
      <c r="E74" s="28">
        <f t="shared" si="1"/>
        <v>70000</v>
      </c>
    </row>
    <row r="75" spans="1:5" hidden="1">
      <c r="A75" t="s">
        <v>120</v>
      </c>
      <c r="B75" t="s">
        <v>30</v>
      </c>
      <c r="C75">
        <v>0</v>
      </c>
      <c r="E75" s="28">
        <f t="shared" si="1"/>
        <v>0</v>
      </c>
    </row>
    <row r="76" spans="1:5" hidden="1">
      <c r="A76" t="s">
        <v>65</v>
      </c>
      <c r="B76" t="s">
        <v>3</v>
      </c>
      <c r="C76">
        <v>0</v>
      </c>
      <c r="E76" s="28">
        <f t="shared" si="1"/>
        <v>0</v>
      </c>
    </row>
    <row r="77" spans="1:5">
      <c r="A77" t="s">
        <v>65</v>
      </c>
      <c r="B77" t="s">
        <v>17</v>
      </c>
      <c r="C77">
        <v>382</v>
      </c>
      <c r="D77">
        <v>6500</v>
      </c>
      <c r="E77" s="28">
        <f t="shared" si="1"/>
        <v>2483000</v>
      </c>
    </row>
    <row r="78" spans="1:5" hidden="1">
      <c r="A78" t="s">
        <v>67</v>
      </c>
      <c r="B78" t="s">
        <v>3</v>
      </c>
      <c r="C78">
        <v>0</v>
      </c>
      <c r="E78" s="28">
        <f t="shared" si="1"/>
        <v>0</v>
      </c>
    </row>
    <row r="79" spans="1:5">
      <c r="A79" t="s">
        <v>68</v>
      </c>
      <c r="B79" t="s">
        <v>3</v>
      </c>
      <c r="C79">
        <v>5</v>
      </c>
      <c r="D79">
        <v>11000</v>
      </c>
      <c r="E79" s="28">
        <f t="shared" si="1"/>
        <v>55000</v>
      </c>
    </row>
    <row r="80" spans="1:5" hidden="1">
      <c r="A80" t="s">
        <v>68</v>
      </c>
      <c r="B80" t="s">
        <v>40</v>
      </c>
      <c r="C80">
        <v>0</v>
      </c>
      <c r="E80" s="28">
        <f t="shared" si="1"/>
        <v>0</v>
      </c>
    </row>
    <row r="81" spans="1:5" hidden="1">
      <c r="A81" t="s">
        <v>70</v>
      </c>
      <c r="B81" t="s">
        <v>30</v>
      </c>
      <c r="C81">
        <v>0</v>
      </c>
      <c r="E81" s="28">
        <f t="shared" si="1"/>
        <v>0</v>
      </c>
    </row>
    <row r="82" spans="1:5">
      <c r="A82" t="s">
        <v>71</v>
      </c>
      <c r="B82" t="s">
        <v>3</v>
      </c>
      <c r="C82">
        <v>3</v>
      </c>
      <c r="D82">
        <v>14000</v>
      </c>
      <c r="E82" s="28">
        <f t="shared" si="1"/>
        <v>42000</v>
      </c>
    </row>
    <row r="83" spans="1:5" hidden="1">
      <c r="A83" t="s">
        <v>72</v>
      </c>
      <c r="B83" t="s">
        <v>17</v>
      </c>
      <c r="C83">
        <v>0</v>
      </c>
      <c r="E83" s="28">
        <f t="shared" si="1"/>
        <v>0</v>
      </c>
    </row>
    <row r="84" spans="1:5" hidden="1">
      <c r="A84" t="s">
        <v>73</v>
      </c>
      <c r="B84" t="s">
        <v>25</v>
      </c>
      <c r="C84">
        <v>0</v>
      </c>
      <c r="E84" s="28">
        <f t="shared" si="1"/>
        <v>0</v>
      </c>
    </row>
    <row r="85" spans="1:5" hidden="1">
      <c r="A85" t="s">
        <v>74</v>
      </c>
      <c r="B85" t="s">
        <v>3</v>
      </c>
      <c r="C85">
        <v>0</v>
      </c>
      <c r="E85" s="28">
        <f t="shared" si="1"/>
        <v>0</v>
      </c>
    </row>
    <row r="86" spans="1:5" hidden="1">
      <c r="A86" t="s">
        <v>74</v>
      </c>
      <c r="B86" t="s">
        <v>9</v>
      </c>
      <c r="C86">
        <v>0</v>
      </c>
      <c r="E86" s="28">
        <f t="shared" si="1"/>
        <v>0</v>
      </c>
    </row>
    <row r="87" spans="1:5">
      <c r="A87" t="s">
        <v>76</v>
      </c>
      <c r="B87" t="s">
        <v>3</v>
      </c>
      <c r="C87">
        <v>5</v>
      </c>
      <c r="D87">
        <v>58000</v>
      </c>
      <c r="E87" s="28">
        <f t="shared" si="1"/>
        <v>290000</v>
      </c>
    </row>
    <row r="88" spans="1:5" hidden="1">
      <c r="A88" t="s">
        <v>76</v>
      </c>
      <c r="B88" t="s">
        <v>9</v>
      </c>
      <c r="C88">
        <v>0</v>
      </c>
      <c r="E88" s="28">
        <f t="shared" si="1"/>
        <v>0</v>
      </c>
    </row>
    <row r="89" spans="1:5">
      <c r="A89" t="s">
        <v>78</v>
      </c>
      <c r="B89" t="s">
        <v>3</v>
      </c>
      <c r="C89">
        <v>35</v>
      </c>
      <c r="D89">
        <v>32000</v>
      </c>
      <c r="E89" s="28">
        <f t="shared" si="1"/>
        <v>1120000</v>
      </c>
    </row>
    <row r="90" spans="1:5" hidden="1">
      <c r="A90" t="s">
        <v>78</v>
      </c>
      <c r="B90" t="s">
        <v>9</v>
      </c>
      <c r="C90">
        <v>0</v>
      </c>
      <c r="E90" s="28">
        <f t="shared" si="1"/>
        <v>0</v>
      </c>
    </row>
    <row r="91" spans="1:5">
      <c r="A91" t="s">
        <v>79</v>
      </c>
      <c r="B91" t="s">
        <v>3</v>
      </c>
      <c r="C91">
        <v>40</v>
      </c>
      <c r="D91">
        <v>45000</v>
      </c>
      <c r="E91" s="28">
        <f t="shared" si="1"/>
        <v>1800000</v>
      </c>
    </row>
    <row r="92" spans="1:5">
      <c r="A92" t="s">
        <v>79</v>
      </c>
      <c r="B92" t="s">
        <v>30</v>
      </c>
      <c r="C92">
        <v>54</v>
      </c>
      <c r="D92">
        <v>18000</v>
      </c>
      <c r="E92" s="28">
        <f t="shared" si="1"/>
        <v>972000</v>
      </c>
    </row>
    <row r="93" spans="1:5" hidden="1">
      <c r="A93" t="s">
        <v>80</v>
      </c>
      <c r="B93" t="s">
        <v>30</v>
      </c>
      <c r="C93">
        <v>0</v>
      </c>
      <c r="E93" s="28">
        <f t="shared" si="1"/>
        <v>0</v>
      </c>
    </row>
    <row r="94" spans="1:5" hidden="1">
      <c r="A94" t="s">
        <v>140</v>
      </c>
      <c r="B94" t="s">
        <v>3</v>
      </c>
      <c r="C94">
        <v>0</v>
      </c>
      <c r="E94" s="28">
        <f t="shared" si="1"/>
        <v>0</v>
      </c>
    </row>
    <row r="95" spans="1:5">
      <c r="A95" t="s">
        <v>81</v>
      </c>
      <c r="B95" t="s">
        <v>9</v>
      </c>
      <c r="C95">
        <v>165</v>
      </c>
      <c r="D95">
        <v>9000</v>
      </c>
      <c r="E95" s="28">
        <f t="shared" si="1"/>
        <v>1485000</v>
      </c>
    </row>
    <row r="96" spans="1:5">
      <c r="A96" t="s">
        <v>82</v>
      </c>
      <c r="B96" t="s">
        <v>9</v>
      </c>
      <c r="C96">
        <v>370</v>
      </c>
      <c r="D96">
        <v>11361</v>
      </c>
      <c r="E96" s="28">
        <f t="shared" si="1"/>
        <v>4203570</v>
      </c>
    </row>
    <row r="97" spans="1:5" hidden="1">
      <c r="A97" t="s">
        <v>84</v>
      </c>
      <c r="B97" t="s">
        <v>3</v>
      </c>
      <c r="C97">
        <v>0</v>
      </c>
      <c r="E97" s="28">
        <f t="shared" si="1"/>
        <v>0</v>
      </c>
    </row>
    <row r="98" spans="1:5">
      <c r="A98" t="s">
        <v>85</v>
      </c>
      <c r="B98" t="s">
        <v>3</v>
      </c>
      <c r="C98">
        <v>14</v>
      </c>
      <c r="D98">
        <v>12000</v>
      </c>
      <c r="E98" s="28">
        <f t="shared" si="1"/>
        <v>168000</v>
      </c>
    </row>
    <row r="99" spans="1:5">
      <c r="A99" t="s">
        <v>87</v>
      </c>
      <c r="B99" t="s">
        <v>3</v>
      </c>
      <c r="C99">
        <v>165</v>
      </c>
      <c r="D99">
        <v>4000</v>
      </c>
      <c r="E99" s="28">
        <f t="shared" si="1"/>
        <v>660000</v>
      </c>
    </row>
    <row r="100" spans="1:5">
      <c r="A100" t="s">
        <v>88</v>
      </c>
      <c r="B100" t="s">
        <v>3</v>
      </c>
      <c r="C100">
        <v>34</v>
      </c>
      <c r="D100">
        <v>13000</v>
      </c>
      <c r="E100" s="28">
        <f t="shared" si="1"/>
        <v>442000</v>
      </c>
    </row>
    <row r="101" spans="1:5" hidden="1">
      <c r="A101" t="s">
        <v>89</v>
      </c>
      <c r="B101" t="s">
        <v>3</v>
      </c>
      <c r="C101">
        <v>0</v>
      </c>
      <c r="E101" s="28">
        <f t="shared" si="1"/>
        <v>0</v>
      </c>
    </row>
    <row r="102" spans="1:5" hidden="1">
      <c r="A102" t="s">
        <v>90</v>
      </c>
      <c r="B102" t="s">
        <v>40</v>
      </c>
      <c r="C102">
        <v>0</v>
      </c>
      <c r="E102" s="28">
        <f t="shared" si="1"/>
        <v>0</v>
      </c>
    </row>
    <row r="103" spans="1:5" hidden="1">
      <c r="A103" t="s">
        <v>91</v>
      </c>
      <c r="B103" t="s">
        <v>3</v>
      </c>
      <c r="C103">
        <v>0</v>
      </c>
      <c r="E103" s="28">
        <f t="shared" si="1"/>
        <v>0</v>
      </c>
    </row>
    <row r="104" spans="1:5" hidden="1">
      <c r="A104" t="s">
        <v>92</v>
      </c>
      <c r="B104" t="s">
        <v>40</v>
      </c>
      <c r="C104">
        <v>0</v>
      </c>
      <c r="E104" s="28">
        <f t="shared" si="1"/>
        <v>0</v>
      </c>
    </row>
    <row r="105" spans="1:5">
      <c r="A105" t="s">
        <v>94</v>
      </c>
      <c r="B105" t="s">
        <v>3</v>
      </c>
      <c r="C105">
        <v>5</v>
      </c>
      <c r="D105">
        <v>30000</v>
      </c>
      <c r="E105" s="28">
        <f t="shared" si="1"/>
        <v>150000</v>
      </c>
    </row>
    <row r="106" spans="1:5">
      <c r="A106" t="s">
        <v>95</v>
      </c>
      <c r="B106" t="s">
        <v>40</v>
      </c>
      <c r="C106">
        <v>34</v>
      </c>
      <c r="D106">
        <v>7000</v>
      </c>
      <c r="E106" s="28">
        <f t="shared" si="1"/>
        <v>238000</v>
      </c>
    </row>
    <row r="107" spans="1:5">
      <c r="E107" s="30">
        <f>SUM(E3:E106)</f>
        <v>104107270</v>
      </c>
    </row>
  </sheetData>
  <autoFilter ref="A2:E106">
    <filterColumn colId="2">
      <filters>
        <filter val="1"/>
        <filter val="1.5"/>
        <filter val="10"/>
        <filter val="1000"/>
        <filter val="1090"/>
        <filter val="11"/>
        <filter val="12"/>
        <filter val="130"/>
        <filter val="14"/>
        <filter val="165"/>
        <filter val="18"/>
        <filter val="19"/>
        <filter val="2"/>
        <filter val="20"/>
        <filter val="213"/>
        <filter val="230"/>
        <filter val="240"/>
        <filter val="260"/>
        <filter val="28"/>
        <filter val="295"/>
        <filter val="3"/>
        <filter val="30"/>
        <filter val="323"/>
        <filter val="34"/>
        <filter val="35"/>
        <filter val="36"/>
        <filter val="370"/>
        <filter val="382"/>
        <filter val="40"/>
        <filter val="42"/>
        <filter val="450"/>
        <filter val="5"/>
        <filter val="50"/>
        <filter val="520"/>
        <filter val="54"/>
        <filter val="58"/>
        <filter val="620"/>
        <filter val="65"/>
        <filter val="740"/>
        <filter val="76"/>
        <filter val="8"/>
        <filter val="80"/>
        <filter val="84"/>
        <filter val="87"/>
        <filter val="9"/>
      </filters>
    </filterColumn>
  </autoFilter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126"/>
  <sheetViews>
    <sheetView workbookViewId="0">
      <selection activeCell="G3" sqref="G3"/>
    </sheetView>
  </sheetViews>
  <sheetFormatPr defaultRowHeight="13.8"/>
  <cols>
    <col min="1" max="1" width="24.69921875" customWidth="1"/>
    <col min="4" max="4" width="11.59765625" customWidth="1"/>
    <col min="5" max="5" width="13.19921875" customWidth="1"/>
  </cols>
  <sheetData>
    <row r="1" spans="1:5">
      <c r="A1" s="27" t="s">
        <v>161</v>
      </c>
    </row>
    <row r="2" spans="1:5" ht="54.6" customHeight="1">
      <c r="A2" s="43" t="s">
        <v>106</v>
      </c>
      <c r="B2" s="43" t="s">
        <v>0</v>
      </c>
      <c r="C2" s="44" t="s">
        <v>111</v>
      </c>
      <c r="D2" s="45" t="s">
        <v>112</v>
      </c>
      <c r="E2" s="46" t="s">
        <v>113</v>
      </c>
    </row>
    <row r="3" spans="1:5">
      <c r="A3" s="22" t="s">
        <v>2</v>
      </c>
      <c r="B3" s="22" t="s">
        <v>3</v>
      </c>
      <c r="C3" s="47">
        <v>12</v>
      </c>
      <c r="D3" s="48">
        <v>20000</v>
      </c>
      <c r="E3" s="49">
        <f>C3*D3</f>
        <v>240000</v>
      </c>
    </row>
    <row r="4" spans="1:5">
      <c r="A4" s="22" t="s">
        <v>4</v>
      </c>
      <c r="B4" s="22" t="s">
        <v>3</v>
      </c>
      <c r="C4" s="47">
        <v>668</v>
      </c>
      <c r="D4" s="48">
        <v>5000</v>
      </c>
      <c r="E4" s="49">
        <f t="shared" ref="E4:E67" si="0">C4*D4</f>
        <v>3340000</v>
      </c>
    </row>
    <row r="5" spans="1:5">
      <c r="A5" s="22" t="s">
        <v>5</v>
      </c>
      <c r="B5" s="22" t="s">
        <v>3</v>
      </c>
      <c r="C5" s="47">
        <v>536</v>
      </c>
      <c r="D5" s="49">
        <v>6000</v>
      </c>
      <c r="E5" s="49">
        <f t="shared" si="0"/>
        <v>3216000</v>
      </c>
    </row>
    <row r="6" spans="1:5" hidden="1">
      <c r="A6" s="22" t="s">
        <v>96</v>
      </c>
      <c r="B6" s="22" t="s">
        <v>3</v>
      </c>
      <c r="C6" s="47">
        <v>0</v>
      </c>
      <c r="D6" s="48"/>
      <c r="E6" s="49">
        <f t="shared" si="0"/>
        <v>0</v>
      </c>
    </row>
    <row r="7" spans="1:5">
      <c r="A7" s="22" t="s">
        <v>6</v>
      </c>
      <c r="B7" s="22" t="s">
        <v>3</v>
      </c>
      <c r="C7" s="47">
        <v>42</v>
      </c>
      <c r="D7" s="48">
        <v>8000</v>
      </c>
      <c r="E7" s="49">
        <f t="shared" si="0"/>
        <v>336000</v>
      </c>
    </row>
    <row r="8" spans="1:5">
      <c r="A8" s="22" t="s">
        <v>7</v>
      </c>
      <c r="B8" s="22" t="s">
        <v>3</v>
      </c>
      <c r="C8" s="47">
        <v>180</v>
      </c>
      <c r="D8" s="49">
        <v>12000</v>
      </c>
      <c r="E8" s="49">
        <f t="shared" si="0"/>
        <v>2160000</v>
      </c>
    </row>
    <row r="9" spans="1:5">
      <c r="A9" s="22" t="s">
        <v>8</v>
      </c>
      <c r="B9" s="22" t="s">
        <v>3</v>
      </c>
      <c r="C9" s="47">
        <v>5</v>
      </c>
      <c r="D9" s="49">
        <v>15000</v>
      </c>
      <c r="E9" s="49">
        <f t="shared" si="0"/>
        <v>75000</v>
      </c>
    </row>
    <row r="10" spans="1:5" hidden="1">
      <c r="A10" s="22" t="s">
        <v>8</v>
      </c>
      <c r="B10" s="22" t="s">
        <v>9</v>
      </c>
      <c r="C10" s="47">
        <v>0</v>
      </c>
      <c r="D10" s="49"/>
      <c r="E10" s="49">
        <f t="shared" si="0"/>
        <v>0</v>
      </c>
    </row>
    <row r="11" spans="1:5">
      <c r="A11" s="22" t="s">
        <v>10</v>
      </c>
      <c r="B11" s="22" t="s">
        <v>3</v>
      </c>
      <c r="C11" s="47">
        <v>5</v>
      </c>
      <c r="D11" s="49">
        <v>13000</v>
      </c>
      <c r="E11" s="49">
        <f t="shared" si="0"/>
        <v>65000</v>
      </c>
    </row>
    <row r="12" spans="1:5" hidden="1">
      <c r="A12" s="22" t="s">
        <v>10</v>
      </c>
      <c r="B12" s="22" t="s">
        <v>9</v>
      </c>
      <c r="C12" s="47">
        <v>0</v>
      </c>
      <c r="D12" s="50"/>
      <c r="E12" s="49">
        <f t="shared" si="0"/>
        <v>0</v>
      </c>
    </row>
    <row r="13" spans="1:5" hidden="1">
      <c r="A13" s="22" t="s">
        <v>159</v>
      </c>
      <c r="B13" s="22" t="s">
        <v>3</v>
      </c>
      <c r="C13" s="47">
        <v>0</v>
      </c>
      <c r="D13" s="48"/>
      <c r="E13" s="49">
        <f t="shared" si="0"/>
        <v>0</v>
      </c>
    </row>
    <row r="14" spans="1:5" hidden="1">
      <c r="A14" s="22" t="s">
        <v>11</v>
      </c>
      <c r="B14" s="22" t="s">
        <v>3</v>
      </c>
      <c r="C14" s="47">
        <v>0</v>
      </c>
      <c r="D14" s="48"/>
      <c r="E14" s="49">
        <f t="shared" si="0"/>
        <v>0</v>
      </c>
    </row>
    <row r="15" spans="1:5" hidden="1">
      <c r="A15" s="22" t="s">
        <v>12</v>
      </c>
      <c r="B15" s="22" t="s">
        <v>3</v>
      </c>
      <c r="C15" s="47">
        <v>0</v>
      </c>
      <c r="D15" s="48"/>
      <c r="E15" s="49">
        <f t="shared" si="0"/>
        <v>0</v>
      </c>
    </row>
    <row r="16" spans="1:5" hidden="1">
      <c r="A16" s="22" t="s">
        <v>13</v>
      </c>
      <c r="B16" s="22" t="s">
        <v>3</v>
      </c>
      <c r="C16" s="47">
        <v>0</v>
      </c>
      <c r="D16" s="48"/>
      <c r="E16" s="49">
        <f t="shared" si="0"/>
        <v>0</v>
      </c>
    </row>
    <row r="17" spans="1:5" hidden="1">
      <c r="A17" s="22" t="s">
        <v>14</v>
      </c>
      <c r="B17" s="22" t="s">
        <v>3</v>
      </c>
      <c r="C17" s="47">
        <v>0</v>
      </c>
      <c r="D17" s="48"/>
      <c r="E17" s="49">
        <f t="shared" si="0"/>
        <v>0</v>
      </c>
    </row>
    <row r="18" spans="1:5" hidden="1">
      <c r="A18" s="22" t="s">
        <v>15</v>
      </c>
      <c r="B18" s="22" t="s">
        <v>3</v>
      </c>
      <c r="C18" s="47">
        <v>0</v>
      </c>
      <c r="D18" s="48"/>
      <c r="E18" s="49">
        <f t="shared" si="0"/>
        <v>0</v>
      </c>
    </row>
    <row r="19" spans="1:5" hidden="1">
      <c r="A19" s="22" t="s">
        <v>16</v>
      </c>
      <c r="B19" s="22" t="s">
        <v>17</v>
      </c>
      <c r="C19" s="47">
        <v>0</v>
      </c>
      <c r="D19" s="49"/>
      <c r="E19" s="49">
        <f t="shared" si="0"/>
        <v>0</v>
      </c>
    </row>
    <row r="20" spans="1:5">
      <c r="A20" s="22" t="s">
        <v>145</v>
      </c>
      <c r="B20" s="22" t="s">
        <v>40</v>
      </c>
      <c r="C20" s="47">
        <v>35</v>
      </c>
      <c r="D20" s="48">
        <v>5000</v>
      </c>
      <c r="E20" s="49">
        <f t="shared" si="0"/>
        <v>175000</v>
      </c>
    </row>
    <row r="21" spans="1:5" hidden="1">
      <c r="A21" s="22" t="s">
        <v>97</v>
      </c>
      <c r="B21" s="22" t="s">
        <v>3</v>
      </c>
      <c r="C21" s="47">
        <v>0</v>
      </c>
      <c r="D21" s="48"/>
      <c r="E21" s="49">
        <f t="shared" si="0"/>
        <v>0</v>
      </c>
    </row>
    <row r="22" spans="1:5">
      <c r="A22" s="22" t="s">
        <v>128</v>
      </c>
      <c r="B22" s="22" t="s">
        <v>3</v>
      </c>
      <c r="C22" s="47">
        <v>125</v>
      </c>
      <c r="D22" s="48">
        <v>12000</v>
      </c>
      <c r="E22" s="49">
        <f t="shared" si="0"/>
        <v>1500000</v>
      </c>
    </row>
    <row r="23" spans="1:5">
      <c r="A23" s="22" t="s">
        <v>18</v>
      </c>
      <c r="B23" s="22" t="s">
        <v>3</v>
      </c>
      <c r="C23" s="47">
        <v>380</v>
      </c>
      <c r="D23" s="49">
        <v>12500</v>
      </c>
      <c r="E23" s="49">
        <f t="shared" si="0"/>
        <v>4750000</v>
      </c>
    </row>
    <row r="24" spans="1:5" hidden="1">
      <c r="A24" s="22" t="s">
        <v>18</v>
      </c>
      <c r="B24" s="22" t="s">
        <v>17</v>
      </c>
      <c r="C24" s="47">
        <v>0</v>
      </c>
      <c r="D24" s="49"/>
      <c r="E24" s="49">
        <f t="shared" si="0"/>
        <v>0</v>
      </c>
    </row>
    <row r="25" spans="1:5" hidden="1">
      <c r="A25" s="22" t="s">
        <v>18</v>
      </c>
      <c r="B25" s="22" t="s">
        <v>19</v>
      </c>
      <c r="C25" s="47">
        <v>0</v>
      </c>
      <c r="D25" s="49"/>
      <c r="E25" s="49">
        <f t="shared" si="0"/>
        <v>0</v>
      </c>
    </row>
    <row r="26" spans="1:5">
      <c r="A26" s="22" t="s">
        <v>20</v>
      </c>
      <c r="B26" s="22" t="s">
        <v>3</v>
      </c>
      <c r="C26" s="47">
        <v>75</v>
      </c>
      <c r="D26" s="48">
        <v>12000</v>
      </c>
      <c r="E26" s="49">
        <f t="shared" si="0"/>
        <v>900000</v>
      </c>
    </row>
    <row r="27" spans="1:5">
      <c r="A27" s="22" t="s">
        <v>20</v>
      </c>
      <c r="B27" s="22" t="s">
        <v>21</v>
      </c>
      <c r="C27" s="47">
        <v>50</v>
      </c>
      <c r="D27" s="48">
        <v>7000</v>
      </c>
      <c r="E27" s="49">
        <f t="shared" si="0"/>
        <v>350000</v>
      </c>
    </row>
    <row r="28" spans="1:5">
      <c r="A28" s="22" t="s">
        <v>22</v>
      </c>
      <c r="B28" s="22" t="s">
        <v>3</v>
      </c>
      <c r="C28" s="47">
        <v>5</v>
      </c>
      <c r="D28" s="48">
        <v>17000</v>
      </c>
      <c r="E28" s="49">
        <f t="shared" si="0"/>
        <v>85000</v>
      </c>
    </row>
    <row r="29" spans="1:5">
      <c r="A29" s="22" t="s">
        <v>22</v>
      </c>
      <c r="B29" s="22" t="s">
        <v>23</v>
      </c>
      <c r="C29" s="47">
        <v>41</v>
      </c>
      <c r="D29" s="48">
        <v>5100</v>
      </c>
      <c r="E29" s="49">
        <f t="shared" si="0"/>
        <v>209100</v>
      </c>
    </row>
    <row r="30" spans="1:5">
      <c r="A30" s="22" t="s">
        <v>24</v>
      </c>
      <c r="B30" s="22" t="s">
        <v>25</v>
      </c>
      <c r="C30" s="47">
        <v>9</v>
      </c>
      <c r="D30" s="48">
        <v>11100</v>
      </c>
      <c r="E30" s="49">
        <f t="shared" si="0"/>
        <v>99900</v>
      </c>
    </row>
    <row r="31" spans="1:5" hidden="1">
      <c r="A31" s="22" t="s">
        <v>26</v>
      </c>
      <c r="B31" s="22" t="s">
        <v>3</v>
      </c>
      <c r="C31" s="47">
        <v>0</v>
      </c>
      <c r="D31" s="48"/>
      <c r="E31" s="49">
        <f t="shared" si="0"/>
        <v>0</v>
      </c>
    </row>
    <row r="32" spans="1:5">
      <c r="A32" s="22" t="s">
        <v>26</v>
      </c>
      <c r="B32" s="22" t="s">
        <v>27</v>
      </c>
      <c r="C32" s="47">
        <v>175</v>
      </c>
      <c r="D32" s="48">
        <v>7500</v>
      </c>
      <c r="E32" s="49">
        <f t="shared" si="0"/>
        <v>1312500</v>
      </c>
    </row>
    <row r="33" spans="1:5">
      <c r="A33" s="22" t="s">
        <v>28</v>
      </c>
      <c r="B33" s="22" t="s">
        <v>3</v>
      </c>
      <c r="C33" s="47">
        <v>120</v>
      </c>
      <c r="D33" s="49">
        <v>15000</v>
      </c>
      <c r="E33" s="49">
        <f t="shared" si="0"/>
        <v>1800000</v>
      </c>
    </row>
    <row r="34" spans="1:5" hidden="1">
      <c r="A34" s="22" t="s">
        <v>28</v>
      </c>
      <c r="B34" s="22" t="s">
        <v>17</v>
      </c>
      <c r="C34" s="47">
        <v>0</v>
      </c>
      <c r="D34" s="49"/>
      <c r="E34" s="49">
        <f t="shared" si="0"/>
        <v>0</v>
      </c>
    </row>
    <row r="35" spans="1:5">
      <c r="A35" s="22" t="s">
        <v>29</v>
      </c>
      <c r="B35" s="22" t="s">
        <v>30</v>
      </c>
      <c r="C35" s="47">
        <v>255</v>
      </c>
      <c r="D35" s="49">
        <v>11000</v>
      </c>
      <c r="E35" s="49">
        <f t="shared" si="0"/>
        <v>2805000</v>
      </c>
    </row>
    <row r="36" spans="1:5">
      <c r="A36" s="22" t="s">
        <v>31</v>
      </c>
      <c r="B36" s="22" t="s">
        <v>3</v>
      </c>
      <c r="C36" s="47">
        <v>185</v>
      </c>
      <c r="D36" s="49">
        <v>8000</v>
      </c>
      <c r="E36" s="49">
        <f t="shared" si="0"/>
        <v>1480000</v>
      </c>
    </row>
    <row r="37" spans="1:5" hidden="1">
      <c r="A37" s="22" t="s">
        <v>31</v>
      </c>
      <c r="B37" s="22" t="s">
        <v>30</v>
      </c>
      <c r="C37" s="47">
        <v>0</v>
      </c>
      <c r="D37" s="49"/>
      <c r="E37" s="49">
        <f t="shared" si="0"/>
        <v>0</v>
      </c>
    </row>
    <row r="38" spans="1:5" hidden="1">
      <c r="A38" s="22" t="s">
        <v>32</v>
      </c>
      <c r="B38" s="22" t="s">
        <v>3</v>
      </c>
      <c r="C38" s="47">
        <v>0</v>
      </c>
      <c r="D38" s="49"/>
      <c r="E38" s="49">
        <f t="shared" si="0"/>
        <v>0</v>
      </c>
    </row>
    <row r="39" spans="1:5">
      <c r="A39" s="22" t="s">
        <v>32</v>
      </c>
      <c r="B39" s="22" t="s">
        <v>17</v>
      </c>
      <c r="C39" s="47">
        <v>15</v>
      </c>
      <c r="D39" s="49">
        <v>6000</v>
      </c>
      <c r="E39" s="49">
        <f t="shared" si="0"/>
        <v>90000</v>
      </c>
    </row>
    <row r="40" spans="1:5">
      <c r="A40" s="22" t="s">
        <v>33</v>
      </c>
      <c r="B40" s="22" t="s">
        <v>3</v>
      </c>
      <c r="C40" s="47">
        <v>70</v>
      </c>
      <c r="D40" s="48">
        <v>8000</v>
      </c>
      <c r="E40" s="49">
        <f t="shared" si="0"/>
        <v>560000</v>
      </c>
    </row>
    <row r="41" spans="1:5" hidden="1">
      <c r="A41" s="22" t="s">
        <v>33</v>
      </c>
      <c r="B41" s="22" t="s">
        <v>34</v>
      </c>
      <c r="C41" s="47">
        <v>0</v>
      </c>
      <c r="D41" s="48"/>
      <c r="E41" s="49">
        <f t="shared" si="0"/>
        <v>0</v>
      </c>
    </row>
    <row r="42" spans="1:5">
      <c r="A42" s="22" t="s">
        <v>35</v>
      </c>
      <c r="B42" s="22" t="s">
        <v>3</v>
      </c>
      <c r="C42" s="47">
        <v>13</v>
      </c>
      <c r="D42" s="49">
        <v>12000</v>
      </c>
      <c r="E42" s="49">
        <f t="shared" si="0"/>
        <v>156000</v>
      </c>
    </row>
    <row r="43" spans="1:5" hidden="1">
      <c r="A43" s="22" t="s">
        <v>35</v>
      </c>
      <c r="B43" s="22" t="s">
        <v>30</v>
      </c>
      <c r="C43" s="47">
        <v>0</v>
      </c>
      <c r="D43" s="49"/>
      <c r="E43" s="49">
        <f t="shared" si="0"/>
        <v>0</v>
      </c>
    </row>
    <row r="44" spans="1:5" hidden="1">
      <c r="A44" s="22" t="s">
        <v>36</v>
      </c>
      <c r="B44" s="22" t="s">
        <v>3</v>
      </c>
      <c r="C44" s="47">
        <v>0</v>
      </c>
      <c r="D44" s="48"/>
      <c r="E44" s="49">
        <f t="shared" si="0"/>
        <v>0</v>
      </c>
    </row>
    <row r="45" spans="1:5">
      <c r="A45" s="22" t="s">
        <v>36</v>
      </c>
      <c r="B45" s="22" t="s">
        <v>30</v>
      </c>
      <c r="C45" s="47">
        <v>8</v>
      </c>
      <c r="D45" s="48">
        <v>3000</v>
      </c>
      <c r="E45" s="49">
        <f t="shared" si="0"/>
        <v>24000</v>
      </c>
    </row>
    <row r="46" spans="1:5" hidden="1">
      <c r="A46" s="22" t="s">
        <v>37</v>
      </c>
      <c r="B46" s="22" t="s">
        <v>3</v>
      </c>
      <c r="C46" s="47">
        <v>0</v>
      </c>
      <c r="D46" s="49"/>
      <c r="E46" s="49">
        <f t="shared" si="0"/>
        <v>0</v>
      </c>
    </row>
    <row r="47" spans="1:5">
      <c r="A47" s="22" t="s">
        <v>37</v>
      </c>
      <c r="B47" s="22" t="s">
        <v>30</v>
      </c>
      <c r="C47" s="47">
        <v>17</v>
      </c>
      <c r="D47" s="49">
        <v>3900</v>
      </c>
      <c r="E47" s="49">
        <f t="shared" si="0"/>
        <v>66300</v>
      </c>
    </row>
    <row r="48" spans="1:5">
      <c r="A48" s="22" t="s">
        <v>38</v>
      </c>
      <c r="B48" s="22" t="s">
        <v>3</v>
      </c>
      <c r="C48" s="47">
        <v>770</v>
      </c>
      <c r="D48" s="49">
        <v>4500</v>
      </c>
      <c r="E48" s="49">
        <f t="shared" si="0"/>
        <v>3465000</v>
      </c>
    </row>
    <row r="49" spans="1:5">
      <c r="A49" s="22" t="s">
        <v>98</v>
      </c>
      <c r="B49" s="22" t="s">
        <v>3</v>
      </c>
      <c r="C49" s="47">
        <v>1</v>
      </c>
      <c r="D49" s="48">
        <v>14000</v>
      </c>
      <c r="E49" s="49">
        <f t="shared" si="0"/>
        <v>14000</v>
      </c>
    </row>
    <row r="50" spans="1:5" hidden="1">
      <c r="A50" s="22" t="s">
        <v>99</v>
      </c>
      <c r="B50" s="22" t="s">
        <v>3</v>
      </c>
      <c r="C50" s="47">
        <v>0</v>
      </c>
      <c r="D50" s="48"/>
      <c r="E50" s="49">
        <f t="shared" si="0"/>
        <v>0</v>
      </c>
    </row>
    <row r="51" spans="1:5">
      <c r="A51" s="22" t="s">
        <v>39</v>
      </c>
      <c r="B51" s="22" t="s">
        <v>3</v>
      </c>
      <c r="C51" s="47">
        <v>80</v>
      </c>
      <c r="D51" s="49">
        <v>13000</v>
      </c>
      <c r="E51" s="49">
        <f t="shared" si="0"/>
        <v>1040000</v>
      </c>
    </row>
    <row r="52" spans="1:5" hidden="1">
      <c r="A52" s="22" t="s">
        <v>39</v>
      </c>
      <c r="B52" s="22" t="s">
        <v>40</v>
      </c>
      <c r="C52" s="47">
        <v>0</v>
      </c>
      <c r="D52" s="49"/>
      <c r="E52" s="49">
        <f t="shared" si="0"/>
        <v>0</v>
      </c>
    </row>
    <row r="53" spans="1:5" hidden="1">
      <c r="A53" s="22" t="s">
        <v>100</v>
      </c>
      <c r="B53" s="22" t="s">
        <v>3</v>
      </c>
      <c r="C53" s="47">
        <v>0</v>
      </c>
      <c r="D53" s="48"/>
      <c r="E53" s="49">
        <f t="shared" si="0"/>
        <v>0</v>
      </c>
    </row>
    <row r="54" spans="1:5">
      <c r="A54" s="22" t="s">
        <v>41</v>
      </c>
      <c r="B54" s="22" t="s">
        <v>3</v>
      </c>
      <c r="C54" s="47">
        <v>20</v>
      </c>
      <c r="D54" s="48">
        <v>14000</v>
      </c>
      <c r="E54" s="49">
        <f t="shared" si="0"/>
        <v>280000</v>
      </c>
    </row>
    <row r="55" spans="1:5" hidden="1">
      <c r="A55" s="22" t="s">
        <v>42</v>
      </c>
      <c r="B55" s="22" t="s">
        <v>25</v>
      </c>
      <c r="C55" s="47">
        <v>0</v>
      </c>
      <c r="D55" s="49"/>
      <c r="E55" s="49">
        <f t="shared" si="0"/>
        <v>0</v>
      </c>
    </row>
    <row r="56" spans="1:5" hidden="1">
      <c r="A56" s="22" t="s">
        <v>42</v>
      </c>
      <c r="B56" s="22" t="s">
        <v>3</v>
      </c>
      <c r="C56" s="47">
        <v>0</v>
      </c>
      <c r="D56" s="49"/>
      <c r="E56" s="49">
        <f t="shared" si="0"/>
        <v>0</v>
      </c>
    </row>
    <row r="57" spans="1:5" hidden="1">
      <c r="A57" s="22" t="s">
        <v>44</v>
      </c>
      <c r="B57" s="22" t="s">
        <v>3</v>
      </c>
      <c r="C57" s="47">
        <v>0</v>
      </c>
      <c r="D57" s="48"/>
      <c r="E57" s="49">
        <f t="shared" si="0"/>
        <v>0</v>
      </c>
    </row>
    <row r="58" spans="1:5">
      <c r="A58" s="22" t="s">
        <v>45</v>
      </c>
      <c r="B58" s="22" t="s">
        <v>3</v>
      </c>
      <c r="C58" s="47">
        <v>45</v>
      </c>
      <c r="D58" s="49">
        <v>10000</v>
      </c>
      <c r="E58" s="49">
        <f t="shared" si="0"/>
        <v>450000</v>
      </c>
    </row>
    <row r="59" spans="1:5" hidden="1">
      <c r="A59" s="22" t="s">
        <v>45</v>
      </c>
      <c r="B59" s="22" t="s">
        <v>30</v>
      </c>
      <c r="C59" s="47">
        <v>0</v>
      </c>
      <c r="D59" s="49"/>
      <c r="E59" s="49">
        <f t="shared" si="0"/>
        <v>0</v>
      </c>
    </row>
    <row r="60" spans="1:5" hidden="1">
      <c r="A60" s="22" t="s">
        <v>46</v>
      </c>
      <c r="B60" s="22" t="s">
        <v>3</v>
      </c>
      <c r="C60" s="47">
        <v>0</v>
      </c>
      <c r="D60" s="48"/>
      <c r="E60" s="49">
        <f t="shared" si="0"/>
        <v>0</v>
      </c>
    </row>
    <row r="61" spans="1:5">
      <c r="A61" s="22" t="s">
        <v>47</v>
      </c>
      <c r="B61" s="22" t="s">
        <v>3</v>
      </c>
      <c r="C61" s="47">
        <v>95</v>
      </c>
      <c r="D61" s="49">
        <v>9000</v>
      </c>
      <c r="E61" s="49">
        <f t="shared" si="0"/>
        <v>855000</v>
      </c>
    </row>
    <row r="62" spans="1:5" hidden="1">
      <c r="A62" s="22" t="s">
        <v>47</v>
      </c>
      <c r="B62" s="22" t="s">
        <v>48</v>
      </c>
      <c r="C62" s="47">
        <v>0</v>
      </c>
      <c r="D62" s="49"/>
      <c r="E62" s="49">
        <f t="shared" si="0"/>
        <v>0</v>
      </c>
    </row>
    <row r="63" spans="1:5">
      <c r="A63" s="22" t="s">
        <v>49</v>
      </c>
      <c r="B63" s="22" t="s">
        <v>30</v>
      </c>
      <c r="C63" s="47">
        <v>133</v>
      </c>
      <c r="D63" s="49">
        <v>2100</v>
      </c>
      <c r="E63" s="49">
        <f t="shared" si="0"/>
        <v>279300</v>
      </c>
    </row>
    <row r="64" spans="1:5">
      <c r="A64" s="22" t="s">
        <v>50</v>
      </c>
      <c r="B64" s="22" t="s">
        <v>3</v>
      </c>
      <c r="C64" s="47">
        <v>1570</v>
      </c>
      <c r="D64" s="48">
        <v>26500</v>
      </c>
      <c r="E64" s="49">
        <f t="shared" si="0"/>
        <v>41605000</v>
      </c>
    </row>
    <row r="65" spans="1:5">
      <c r="A65" s="22" t="s">
        <v>51</v>
      </c>
      <c r="B65" s="22" t="s">
        <v>3</v>
      </c>
      <c r="C65" s="47">
        <v>640</v>
      </c>
      <c r="D65" s="49">
        <v>27000</v>
      </c>
      <c r="E65" s="49">
        <f t="shared" si="0"/>
        <v>17280000</v>
      </c>
    </row>
    <row r="66" spans="1:5">
      <c r="A66" s="22" t="s">
        <v>53</v>
      </c>
      <c r="B66" s="22" t="s">
        <v>3</v>
      </c>
      <c r="C66" s="47">
        <v>180</v>
      </c>
      <c r="D66" s="49">
        <v>15500</v>
      </c>
      <c r="E66" s="49">
        <f t="shared" si="0"/>
        <v>2790000</v>
      </c>
    </row>
    <row r="67" spans="1:5">
      <c r="A67" s="22" t="s">
        <v>54</v>
      </c>
      <c r="B67" s="22" t="s">
        <v>3</v>
      </c>
      <c r="C67" s="47">
        <v>20</v>
      </c>
      <c r="D67" s="48">
        <v>29000</v>
      </c>
      <c r="E67" s="49">
        <f t="shared" si="0"/>
        <v>580000</v>
      </c>
    </row>
    <row r="68" spans="1:5" hidden="1">
      <c r="A68" s="22" t="s">
        <v>55</v>
      </c>
      <c r="B68" s="22" t="s">
        <v>3</v>
      </c>
      <c r="C68" s="47">
        <v>0</v>
      </c>
      <c r="D68" s="48"/>
      <c r="E68" s="49">
        <f t="shared" ref="E68:E125" si="1">C68*D68</f>
        <v>0</v>
      </c>
    </row>
    <row r="69" spans="1:5" hidden="1">
      <c r="A69" s="22" t="s">
        <v>108</v>
      </c>
      <c r="B69" s="22" t="s">
        <v>3</v>
      </c>
      <c r="C69" s="47">
        <v>0</v>
      </c>
      <c r="D69" s="48"/>
      <c r="E69" s="49">
        <f t="shared" si="1"/>
        <v>0</v>
      </c>
    </row>
    <row r="70" spans="1:5" hidden="1">
      <c r="A70" s="22" t="s">
        <v>108</v>
      </c>
      <c r="B70" s="22" t="s">
        <v>30</v>
      </c>
      <c r="C70" s="47">
        <v>0</v>
      </c>
      <c r="D70" s="48"/>
      <c r="E70" s="49">
        <f t="shared" si="1"/>
        <v>0</v>
      </c>
    </row>
    <row r="71" spans="1:5" hidden="1">
      <c r="A71" s="22" t="s">
        <v>118</v>
      </c>
      <c r="B71" s="22" t="s">
        <v>3</v>
      </c>
      <c r="C71" s="47">
        <v>0</v>
      </c>
      <c r="D71" s="48"/>
      <c r="E71" s="49">
        <f t="shared" si="1"/>
        <v>0</v>
      </c>
    </row>
    <row r="72" spans="1:5">
      <c r="A72" s="22" t="s">
        <v>56</v>
      </c>
      <c r="B72" s="22" t="s">
        <v>3</v>
      </c>
      <c r="C72" s="47">
        <v>290</v>
      </c>
      <c r="D72" s="49">
        <v>15000</v>
      </c>
      <c r="E72" s="49">
        <f t="shared" si="1"/>
        <v>4350000</v>
      </c>
    </row>
    <row r="73" spans="1:5" hidden="1">
      <c r="A73" s="22" t="s">
        <v>56</v>
      </c>
      <c r="B73" s="22" t="s">
        <v>30</v>
      </c>
      <c r="C73" s="47">
        <v>0</v>
      </c>
      <c r="D73" s="49"/>
      <c r="E73" s="49">
        <f t="shared" si="1"/>
        <v>0</v>
      </c>
    </row>
    <row r="74" spans="1:5">
      <c r="A74" s="22" t="s">
        <v>57</v>
      </c>
      <c r="B74" s="22" t="s">
        <v>30</v>
      </c>
      <c r="C74" s="47">
        <v>370</v>
      </c>
      <c r="D74" s="48">
        <v>6500</v>
      </c>
      <c r="E74" s="49">
        <f t="shared" si="1"/>
        <v>2405000</v>
      </c>
    </row>
    <row r="75" spans="1:5">
      <c r="A75" s="22" t="s">
        <v>58</v>
      </c>
      <c r="B75" s="22" t="s">
        <v>3</v>
      </c>
      <c r="C75" s="47">
        <v>38</v>
      </c>
      <c r="D75" s="48">
        <v>9000</v>
      </c>
      <c r="E75" s="49">
        <f t="shared" si="1"/>
        <v>342000</v>
      </c>
    </row>
    <row r="76" spans="1:5" hidden="1">
      <c r="A76" s="22" t="s">
        <v>59</v>
      </c>
      <c r="B76" s="22" t="s">
        <v>30</v>
      </c>
      <c r="C76" s="47">
        <v>0</v>
      </c>
      <c r="D76" s="48"/>
      <c r="E76" s="49">
        <f t="shared" si="1"/>
        <v>0</v>
      </c>
    </row>
    <row r="77" spans="1:5" hidden="1">
      <c r="A77" s="22" t="s">
        <v>60</v>
      </c>
      <c r="B77" s="22" t="s">
        <v>3</v>
      </c>
      <c r="C77" s="47">
        <v>0</v>
      </c>
      <c r="D77" s="48"/>
      <c r="E77" s="49">
        <f t="shared" si="1"/>
        <v>0</v>
      </c>
    </row>
    <row r="78" spans="1:5" hidden="1">
      <c r="A78" s="22" t="s">
        <v>60</v>
      </c>
      <c r="B78" s="22" t="s">
        <v>30</v>
      </c>
      <c r="C78" s="47">
        <v>0</v>
      </c>
      <c r="D78" s="48"/>
      <c r="E78" s="49">
        <f t="shared" si="1"/>
        <v>0</v>
      </c>
    </row>
    <row r="79" spans="1:5">
      <c r="A79" s="22" t="s">
        <v>60</v>
      </c>
      <c r="B79" s="22" t="s">
        <v>61</v>
      </c>
      <c r="C79" s="47">
        <v>91</v>
      </c>
      <c r="D79" s="48">
        <v>8000</v>
      </c>
      <c r="E79" s="49">
        <f t="shared" si="1"/>
        <v>728000</v>
      </c>
    </row>
    <row r="80" spans="1:5">
      <c r="A80" s="22" t="s">
        <v>60</v>
      </c>
      <c r="B80" s="22" t="s">
        <v>48</v>
      </c>
      <c r="C80" s="47">
        <v>0</v>
      </c>
      <c r="D80" s="48">
        <v>6000</v>
      </c>
      <c r="E80" s="49">
        <f t="shared" si="1"/>
        <v>0</v>
      </c>
    </row>
    <row r="81" spans="1:5">
      <c r="A81" s="22" t="s">
        <v>129</v>
      </c>
      <c r="B81" s="22" t="s">
        <v>3</v>
      </c>
      <c r="C81" s="47">
        <v>0.5</v>
      </c>
      <c r="D81" s="48">
        <v>70000</v>
      </c>
      <c r="E81" s="49">
        <f t="shared" si="1"/>
        <v>35000</v>
      </c>
    </row>
    <row r="82" spans="1:5" hidden="1">
      <c r="A82" s="22" t="s">
        <v>62</v>
      </c>
      <c r="B82" s="22" t="s">
        <v>3</v>
      </c>
      <c r="C82" s="47">
        <v>0</v>
      </c>
      <c r="D82" s="48"/>
      <c r="E82" s="49">
        <f t="shared" si="1"/>
        <v>0</v>
      </c>
    </row>
    <row r="83" spans="1:5" hidden="1">
      <c r="A83" s="22" t="s">
        <v>119</v>
      </c>
      <c r="B83" s="22" t="s">
        <v>3</v>
      </c>
      <c r="C83" s="47">
        <v>0</v>
      </c>
      <c r="D83" s="48"/>
      <c r="E83" s="49">
        <f t="shared" si="1"/>
        <v>0</v>
      </c>
    </row>
    <row r="84" spans="1:5" hidden="1">
      <c r="A84" s="22" t="s">
        <v>63</v>
      </c>
      <c r="B84" s="22" t="s">
        <v>3</v>
      </c>
      <c r="C84" s="47">
        <v>0</v>
      </c>
      <c r="D84" s="48"/>
      <c r="E84" s="49">
        <f t="shared" si="1"/>
        <v>0</v>
      </c>
    </row>
    <row r="85" spans="1:5">
      <c r="A85" s="22" t="s">
        <v>64</v>
      </c>
      <c r="B85" s="22" t="s">
        <v>3</v>
      </c>
      <c r="C85" s="47">
        <v>0.5</v>
      </c>
      <c r="D85" s="48">
        <v>70000</v>
      </c>
      <c r="E85" s="49">
        <f t="shared" si="1"/>
        <v>35000</v>
      </c>
    </row>
    <row r="86" spans="1:5" hidden="1">
      <c r="A86" s="22" t="s">
        <v>65</v>
      </c>
      <c r="B86" s="22" t="s">
        <v>3</v>
      </c>
      <c r="C86" s="47">
        <v>0</v>
      </c>
      <c r="D86" s="49"/>
      <c r="E86" s="49">
        <f t="shared" si="1"/>
        <v>0</v>
      </c>
    </row>
    <row r="87" spans="1:5">
      <c r="A87" s="22" t="s">
        <v>65</v>
      </c>
      <c r="B87" s="22" t="s">
        <v>17</v>
      </c>
      <c r="C87" s="47">
        <v>720</v>
      </c>
      <c r="D87" s="49">
        <v>6500</v>
      </c>
      <c r="E87" s="49">
        <f t="shared" si="1"/>
        <v>4680000</v>
      </c>
    </row>
    <row r="88" spans="1:5" hidden="1">
      <c r="A88" s="22" t="s">
        <v>66</v>
      </c>
      <c r="B88" s="22" t="s">
        <v>3</v>
      </c>
      <c r="C88" s="47">
        <v>0</v>
      </c>
      <c r="D88" s="48"/>
      <c r="E88" s="49">
        <f t="shared" si="1"/>
        <v>0</v>
      </c>
    </row>
    <row r="89" spans="1:5">
      <c r="A89" s="22" t="s">
        <v>67</v>
      </c>
      <c r="B89" s="22" t="s">
        <v>3</v>
      </c>
      <c r="C89" s="47">
        <v>10</v>
      </c>
      <c r="D89" s="49">
        <v>15000</v>
      </c>
      <c r="E89" s="49">
        <f t="shared" si="1"/>
        <v>150000</v>
      </c>
    </row>
    <row r="90" spans="1:5" hidden="1">
      <c r="A90" s="22" t="s">
        <v>68</v>
      </c>
      <c r="B90" s="22" t="s">
        <v>3</v>
      </c>
      <c r="C90" s="47">
        <v>0</v>
      </c>
      <c r="D90" s="48"/>
      <c r="E90" s="49">
        <f t="shared" si="1"/>
        <v>0</v>
      </c>
    </row>
    <row r="91" spans="1:5" hidden="1">
      <c r="A91" s="22" t="s">
        <v>68</v>
      </c>
      <c r="B91" s="22" t="s">
        <v>40</v>
      </c>
      <c r="C91" s="47">
        <v>0</v>
      </c>
      <c r="D91" s="48"/>
      <c r="E91" s="49">
        <f t="shared" si="1"/>
        <v>0</v>
      </c>
    </row>
    <row r="92" spans="1:5" hidden="1">
      <c r="A92" s="22" t="s">
        <v>69</v>
      </c>
      <c r="B92" s="22" t="s">
        <v>3</v>
      </c>
      <c r="C92" s="47">
        <v>0</v>
      </c>
      <c r="D92" s="48"/>
      <c r="E92" s="49">
        <f t="shared" si="1"/>
        <v>0</v>
      </c>
    </row>
    <row r="93" spans="1:5" hidden="1">
      <c r="A93" s="22" t="s">
        <v>70</v>
      </c>
      <c r="B93" s="22" t="s">
        <v>30</v>
      </c>
      <c r="C93" s="47">
        <v>0</v>
      </c>
      <c r="D93" s="48"/>
      <c r="E93" s="49">
        <f t="shared" si="1"/>
        <v>0</v>
      </c>
    </row>
    <row r="94" spans="1:5" hidden="1">
      <c r="A94" s="22" t="s">
        <v>71</v>
      </c>
      <c r="B94" s="22" t="s">
        <v>3</v>
      </c>
      <c r="C94" s="47">
        <v>0</v>
      </c>
      <c r="D94" s="48"/>
      <c r="E94" s="49">
        <f t="shared" si="1"/>
        <v>0</v>
      </c>
    </row>
    <row r="95" spans="1:5">
      <c r="A95" s="22" t="s">
        <v>160</v>
      </c>
      <c r="B95" s="22" t="s">
        <v>3</v>
      </c>
      <c r="C95" s="47">
        <v>90</v>
      </c>
      <c r="D95" s="48">
        <v>55000</v>
      </c>
      <c r="E95" s="49">
        <f t="shared" si="1"/>
        <v>4950000</v>
      </c>
    </row>
    <row r="96" spans="1:5" hidden="1">
      <c r="A96" s="22" t="s">
        <v>72</v>
      </c>
      <c r="B96" s="22" t="s">
        <v>17</v>
      </c>
      <c r="C96" s="47">
        <v>0</v>
      </c>
      <c r="D96" s="48"/>
      <c r="E96" s="49">
        <f t="shared" si="1"/>
        <v>0</v>
      </c>
    </row>
    <row r="97" spans="1:5" hidden="1">
      <c r="A97" s="22" t="s">
        <v>73</v>
      </c>
      <c r="B97" s="22" t="s">
        <v>25</v>
      </c>
      <c r="C97" s="47">
        <v>0</v>
      </c>
      <c r="D97" s="48"/>
      <c r="E97" s="49">
        <f t="shared" si="1"/>
        <v>0</v>
      </c>
    </row>
    <row r="98" spans="1:5" hidden="1">
      <c r="A98" s="22" t="s">
        <v>73</v>
      </c>
      <c r="B98" s="22" t="s">
        <v>3</v>
      </c>
      <c r="C98" s="47">
        <v>0</v>
      </c>
      <c r="D98" s="48"/>
      <c r="E98" s="49">
        <f t="shared" si="1"/>
        <v>0</v>
      </c>
    </row>
    <row r="99" spans="1:5" hidden="1">
      <c r="A99" s="22" t="s">
        <v>74</v>
      </c>
      <c r="B99" s="22" t="s">
        <v>3</v>
      </c>
      <c r="C99" s="47">
        <v>0</v>
      </c>
      <c r="D99" s="48"/>
      <c r="E99" s="49">
        <f t="shared" si="1"/>
        <v>0</v>
      </c>
    </row>
    <row r="100" spans="1:5" hidden="1">
      <c r="A100" s="22" t="s">
        <v>74</v>
      </c>
      <c r="B100" s="22" t="s">
        <v>9</v>
      </c>
      <c r="C100" s="47">
        <v>0</v>
      </c>
      <c r="D100" s="48"/>
      <c r="E100" s="49">
        <f t="shared" si="1"/>
        <v>0</v>
      </c>
    </row>
    <row r="101" spans="1:5">
      <c r="A101" s="22" t="s">
        <v>75</v>
      </c>
      <c r="B101" s="22" t="s">
        <v>3</v>
      </c>
      <c r="C101" s="47">
        <v>18</v>
      </c>
      <c r="D101" s="48">
        <v>50000</v>
      </c>
      <c r="E101" s="49">
        <f t="shared" si="1"/>
        <v>900000</v>
      </c>
    </row>
    <row r="102" spans="1:5" hidden="1">
      <c r="A102" s="22" t="s">
        <v>76</v>
      </c>
      <c r="B102" s="22" t="s">
        <v>3</v>
      </c>
      <c r="C102" s="47">
        <v>0</v>
      </c>
      <c r="D102" s="48"/>
      <c r="E102" s="49">
        <f t="shared" si="1"/>
        <v>0</v>
      </c>
    </row>
    <row r="103" spans="1:5" hidden="1">
      <c r="A103" s="22" t="s">
        <v>76</v>
      </c>
      <c r="B103" s="22" t="s">
        <v>9</v>
      </c>
      <c r="C103" s="47">
        <v>0</v>
      </c>
      <c r="D103" s="48"/>
      <c r="E103" s="49">
        <f t="shared" si="1"/>
        <v>0</v>
      </c>
    </row>
    <row r="104" spans="1:5">
      <c r="A104" s="22" t="s">
        <v>78</v>
      </c>
      <c r="B104" s="22" t="s">
        <v>3</v>
      </c>
      <c r="C104" s="47">
        <v>41</v>
      </c>
      <c r="D104" s="48">
        <v>35000</v>
      </c>
      <c r="E104" s="49">
        <f t="shared" si="1"/>
        <v>1435000</v>
      </c>
    </row>
    <row r="105" spans="1:5" hidden="1">
      <c r="A105" s="22" t="s">
        <v>78</v>
      </c>
      <c r="B105" s="22" t="s">
        <v>9</v>
      </c>
      <c r="C105" s="47">
        <v>0</v>
      </c>
      <c r="D105" s="48"/>
      <c r="E105" s="49">
        <f t="shared" si="1"/>
        <v>0</v>
      </c>
    </row>
    <row r="106" spans="1:5">
      <c r="A106" s="22" t="s">
        <v>79</v>
      </c>
      <c r="B106" s="22" t="s">
        <v>3</v>
      </c>
      <c r="C106" s="47">
        <v>23</v>
      </c>
      <c r="D106" s="48">
        <v>50000</v>
      </c>
      <c r="E106" s="49">
        <f t="shared" si="1"/>
        <v>1150000</v>
      </c>
    </row>
    <row r="107" spans="1:5">
      <c r="A107" s="22" t="s">
        <v>79</v>
      </c>
      <c r="B107" s="22" t="s">
        <v>30</v>
      </c>
      <c r="C107" s="47">
        <v>9</v>
      </c>
      <c r="D107" s="48">
        <v>18000</v>
      </c>
      <c r="E107" s="49">
        <f t="shared" si="1"/>
        <v>162000</v>
      </c>
    </row>
    <row r="108" spans="1:5" hidden="1">
      <c r="A108" s="22" t="s">
        <v>80</v>
      </c>
      <c r="B108" s="22" t="s">
        <v>30</v>
      </c>
      <c r="C108" s="47">
        <v>0</v>
      </c>
      <c r="D108" s="48"/>
      <c r="E108" s="49">
        <f t="shared" si="1"/>
        <v>0</v>
      </c>
    </row>
    <row r="109" spans="1:5" hidden="1">
      <c r="A109" s="22" t="s">
        <v>121</v>
      </c>
      <c r="B109" s="22" t="s">
        <v>3</v>
      </c>
      <c r="C109" s="47">
        <v>0</v>
      </c>
      <c r="D109" s="48"/>
      <c r="E109" s="49">
        <f t="shared" si="1"/>
        <v>0</v>
      </c>
    </row>
    <row r="110" spans="1:5">
      <c r="A110" s="22" t="s">
        <v>140</v>
      </c>
      <c r="B110" s="22" t="s">
        <v>3</v>
      </c>
      <c r="C110" s="47">
        <v>5</v>
      </c>
      <c r="D110" s="48">
        <v>6000</v>
      </c>
      <c r="E110" s="49">
        <f t="shared" si="1"/>
        <v>30000</v>
      </c>
    </row>
    <row r="111" spans="1:5">
      <c r="A111" s="22" t="s">
        <v>81</v>
      </c>
      <c r="B111" s="22" t="s">
        <v>9</v>
      </c>
      <c r="C111" s="47">
        <v>1300</v>
      </c>
      <c r="D111" s="48">
        <v>9000</v>
      </c>
      <c r="E111" s="49">
        <f t="shared" si="1"/>
        <v>11700000</v>
      </c>
    </row>
    <row r="112" spans="1:5">
      <c r="A112" s="22" t="s">
        <v>82</v>
      </c>
      <c r="B112" s="22" t="s">
        <v>9</v>
      </c>
      <c r="C112" s="47">
        <v>375</v>
      </c>
      <c r="D112" s="48">
        <v>11361</v>
      </c>
      <c r="E112" s="49">
        <f t="shared" si="1"/>
        <v>4260375</v>
      </c>
    </row>
    <row r="113" spans="1:5" hidden="1">
      <c r="A113" s="22" t="s">
        <v>84</v>
      </c>
      <c r="B113" s="22" t="s">
        <v>3</v>
      </c>
      <c r="C113" s="47">
        <v>0</v>
      </c>
      <c r="D113" s="48"/>
      <c r="E113" s="49">
        <f t="shared" si="1"/>
        <v>0</v>
      </c>
    </row>
    <row r="114" spans="1:5">
      <c r="A114" s="22" t="s">
        <v>85</v>
      </c>
      <c r="B114" s="22" t="s">
        <v>3</v>
      </c>
      <c r="C114" s="47">
        <v>20</v>
      </c>
      <c r="D114" s="48">
        <v>12000</v>
      </c>
      <c r="E114" s="49">
        <f t="shared" si="1"/>
        <v>240000</v>
      </c>
    </row>
    <row r="115" spans="1:5">
      <c r="A115" s="22" t="s">
        <v>87</v>
      </c>
      <c r="B115" s="22" t="s">
        <v>3</v>
      </c>
      <c r="C115" s="47">
        <v>75</v>
      </c>
      <c r="D115" s="48">
        <v>4000</v>
      </c>
      <c r="E115" s="49">
        <f t="shared" si="1"/>
        <v>300000</v>
      </c>
    </row>
    <row r="116" spans="1:5" hidden="1">
      <c r="A116" s="22" t="s">
        <v>125</v>
      </c>
      <c r="B116" s="22" t="s">
        <v>3</v>
      </c>
      <c r="C116" s="47">
        <v>0</v>
      </c>
      <c r="D116" s="48"/>
      <c r="E116" s="49">
        <f t="shared" si="1"/>
        <v>0</v>
      </c>
    </row>
    <row r="117" spans="1:5">
      <c r="A117" s="22" t="s">
        <v>88</v>
      </c>
      <c r="B117" s="22" t="s">
        <v>3</v>
      </c>
      <c r="C117" s="47">
        <v>25</v>
      </c>
      <c r="D117" s="48">
        <v>13000</v>
      </c>
      <c r="E117" s="49">
        <f t="shared" si="1"/>
        <v>325000</v>
      </c>
    </row>
    <row r="118" spans="1:5" hidden="1">
      <c r="A118" s="22" t="s">
        <v>122</v>
      </c>
      <c r="B118" s="22" t="s">
        <v>3</v>
      </c>
      <c r="C118" s="47">
        <v>0</v>
      </c>
      <c r="D118" s="48"/>
      <c r="E118" s="49">
        <f t="shared" si="1"/>
        <v>0</v>
      </c>
    </row>
    <row r="119" spans="1:5" hidden="1">
      <c r="A119" s="22" t="s">
        <v>89</v>
      </c>
      <c r="B119" s="22" t="s">
        <v>3</v>
      </c>
      <c r="C119" s="47">
        <v>0</v>
      </c>
      <c r="D119" s="48"/>
      <c r="E119" s="49">
        <f t="shared" si="1"/>
        <v>0</v>
      </c>
    </row>
    <row r="120" spans="1:5" hidden="1">
      <c r="A120" s="22" t="s">
        <v>90</v>
      </c>
      <c r="B120" s="22" t="s">
        <v>40</v>
      </c>
      <c r="C120" s="47">
        <v>0</v>
      </c>
      <c r="D120" s="48"/>
      <c r="E120" s="49">
        <f t="shared" si="1"/>
        <v>0</v>
      </c>
    </row>
    <row r="121" spans="1:5" hidden="1">
      <c r="A121" s="22" t="s">
        <v>91</v>
      </c>
      <c r="B121" s="22" t="s">
        <v>3</v>
      </c>
      <c r="C121" s="47">
        <v>0</v>
      </c>
      <c r="D121" s="48"/>
      <c r="E121" s="49">
        <f t="shared" si="1"/>
        <v>0</v>
      </c>
    </row>
    <row r="122" spans="1:5" hidden="1">
      <c r="A122" s="22" t="s">
        <v>92</v>
      </c>
      <c r="B122" s="22" t="s">
        <v>40</v>
      </c>
      <c r="C122" s="47">
        <v>0</v>
      </c>
      <c r="D122" s="48"/>
      <c r="E122" s="49">
        <f t="shared" si="1"/>
        <v>0</v>
      </c>
    </row>
    <row r="123" spans="1:5" hidden="1">
      <c r="A123" s="22" t="s">
        <v>93</v>
      </c>
      <c r="B123" s="22" t="s">
        <v>3</v>
      </c>
      <c r="C123" s="47">
        <v>0</v>
      </c>
      <c r="D123" s="48"/>
      <c r="E123" s="49">
        <f t="shared" si="1"/>
        <v>0</v>
      </c>
    </row>
    <row r="124" spans="1:5" hidden="1">
      <c r="A124" s="22" t="s">
        <v>94</v>
      </c>
      <c r="B124" s="22" t="s">
        <v>3</v>
      </c>
      <c r="C124" s="47">
        <v>0</v>
      </c>
      <c r="D124" s="48"/>
      <c r="E124" s="49">
        <f t="shared" si="1"/>
        <v>0</v>
      </c>
    </row>
    <row r="125" spans="1:5">
      <c r="A125" s="22" t="s">
        <v>95</v>
      </c>
      <c r="B125" s="22" t="s">
        <v>40</v>
      </c>
      <c r="C125" s="47">
        <v>60</v>
      </c>
      <c r="D125" s="48">
        <v>7000</v>
      </c>
      <c r="E125" s="49">
        <f t="shared" si="1"/>
        <v>420000</v>
      </c>
    </row>
    <row r="126" spans="1:5">
      <c r="E126" s="51">
        <f>SUM(E3:E125)</f>
        <v>133030475</v>
      </c>
    </row>
  </sheetData>
  <autoFilter ref="A2:E125">
    <filterColumn colId="2">
      <filters>
        <filter val="1"/>
        <filter val="1,300"/>
        <filter val="1,570"/>
        <filter val="10"/>
        <filter val="12"/>
        <filter val="120"/>
        <filter val="125"/>
        <filter val="13"/>
        <filter val="133"/>
        <filter val="15"/>
        <filter val="17"/>
        <filter val="175"/>
        <filter val="18"/>
        <filter val="180"/>
        <filter val="185"/>
        <filter val="20"/>
        <filter val="23"/>
        <filter val="25"/>
        <filter val="255"/>
        <filter val="290"/>
        <filter val="35"/>
        <filter val="370"/>
        <filter val="375"/>
        <filter val="38"/>
        <filter val="380"/>
        <filter val="41"/>
        <filter val="42"/>
        <filter val="45"/>
        <filter val="5"/>
        <filter val="50"/>
        <filter val="536"/>
        <filter val="60"/>
        <filter val="640"/>
        <filter val="668"/>
        <filter val="70"/>
        <filter val="720"/>
        <filter val="75"/>
        <filter val="770"/>
        <filter val="8"/>
        <filter val="80"/>
        <filter val="85"/>
        <filter val="9"/>
        <filter val="90"/>
        <filter val="91"/>
        <filter val="95"/>
      </filters>
    </filterColumn>
  </autoFilter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108"/>
  <sheetViews>
    <sheetView workbookViewId="0">
      <selection activeCell="D25" sqref="D25"/>
    </sheetView>
  </sheetViews>
  <sheetFormatPr defaultRowHeight="13.8"/>
  <cols>
    <col min="1" max="1" width="23.296875" customWidth="1"/>
    <col min="5" max="5" width="17.796875" customWidth="1"/>
    <col min="6" max="6" width="21.296875" customWidth="1"/>
  </cols>
  <sheetData>
    <row r="1" spans="1:6">
      <c r="A1" t="s">
        <v>165</v>
      </c>
    </row>
    <row r="2" spans="1:6" ht="55.2" customHeight="1">
      <c r="A2" s="52" t="s">
        <v>106</v>
      </c>
      <c r="B2" s="52" t="s">
        <v>0</v>
      </c>
      <c r="C2" s="53" t="s">
        <v>162</v>
      </c>
      <c r="D2" s="53" t="s">
        <v>163</v>
      </c>
      <c r="E2" s="54" t="s">
        <v>164</v>
      </c>
    </row>
    <row r="3" spans="1:6" ht="15.6">
      <c r="A3" s="22" t="s">
        <v>2</v>
      </c>
      <c r="B3" s="22" t="s">
        <v>3</v>
      </c>
      <c r="C3" s="53">
        <v>30</v>
      </c>
      <c r="D3" s="53">
        <v>20000</v>
      </c>
      <c r="E3" s="55">
        <f>C3*D3</f>
        <v>600000</v>
      </c>
    </row>
    <row r="4" spans="1:6" ht="15.6">
      <c r="A4" s="22" t="s">
        <v>4</v>
      </c>
      <c r="B4" s="22" t="s">
        <v>3</v>
      </c>
      <c r="C4" s="53">
        <v>390</v>
      </c>
      <c r="D4" s="53">
        <v>5000</v>
      </c>
      <c r="E4" s="55">
        <f t="shared" ref="E4:E67" si="0">C4*D4</f>
        <v>1950000</v>
      </c>
    </row>
    <row r="5" spans="1:6" ht="15.6">
      <c r="A5" s="22" t="s">
        <v>5</v>
      </c>
      <c r="B5" s="22" t="s">
        <v>3</v>
      </c>
      <c r="C5" s="53">
        <v>1440</v>
      </c>
      <c r="D5" s="53">
        <v>6000</v>
      </c>
      <c r="E5" s="55">
        <f t="shared" si="0"/>
        <v>8640000</v>
      </c>
    </row>
    <row r="6" spans="1:6" ht="15.6">
      <c r="A6" s="22" t="s">
        <v>96</v>
      </c>
      <c r="B6" s="22" t="s">
        <v>3</v>
      </c>
      <c r="C6" s="53">
        <v>15</v>
      </c>
      <c r="D6" s="53">
        <v>12000</v>
      </c>
      <c r="E6" s="55">
        <f t="shared" si="0"/>
        <v>180000</v>
      </c>
    </row>
    <row r="7" spans="1:6" ht="15.6" hidden="1">
      <c r="A7" s="22" t="s">
        <v>6</v>
      </c>
      <c r="B7" s="22" t="s">
        <v>3</v>
      </c>
      <c r="C7" s="53">
        <v>0</v>
      </c>
      <c r="D7" s="53"/>
      <c r="E7" s="55">
        <f t="shared" si="0"/>
        <v>0</v>
      </c>
    </row>
    <row r="8" spans="1:6" ht="15.6">
      <c r="A8" s="22" t="s">
        <v>7</v>
      </c>
      <c r="B8" s="22" t="s">
        <v>3</v>
      </c>
      <c r="C8" s="53">
        <v>1160</v>
      </c>
      <c r="D8" s="53">
        <v>9706</v>
      </c>
      <c r="E8" s="55">
        <f t="shared" si="0"/>
        <v>11258960</v>
      </c>
    </row>
    <row r="9" spans="1:6" ht="15.6" hidden="1">
      <c r="A9" s="22" t="s">
        <v>116</v>
      </c>
      <c r="B9" s="22" t="s">
        <v>3</v>
      </c>
      <c r="C9" s="53">
        <v>0</v>
      </c>
      <c r="D9" s="53"/>
      <c r="E9" s="55">
        <f t="shared" si="0"/>
        <v>0</v>
      </c>
    </row>
    <row r="10" spans="1:6" ht="15.6">
      <c r="A10" s="22" t="s">
        <v>8</v>
      </c>
      <c r="B10" s="22" t="s">
        <v>3</v>
      </c>
      <c r="C10" s="53">
        <v>100</v>
      </c>
      <c r="D10" s="53">
        <v>15000</v>
      </c>
      <c r="E10" s="55">
        <f t="shared" si="0"/>
        <v>1500000</v>
      </c>
      <c r="F10" t="s">
        <v>167</v>
      </c>
    </row>
    <row r="11" spans="1:6" ht="15.6" hidden="1">
      <c r="A11" s="22" t="s">
        <v>8</v>
      </c>
      <c r="B11" s="22" t="s">
        <v>9</v>
      </c>
      <c r="C11" s="53">
        <v>0</v>
      </c>
      <c r="D11" s="53"/>
      <c r="E11" s="55">
        <f t="shared" si="0"/>
        <v>0</v>
      </c>
    </row>
    <row r="12" spans="1:6" ht="15.6" hidden="1">
      <c r="A12" s="22" t="s">
        <v>10</v>
      </c>
      <c r="B12" s="22" t="s">
        <v>3</v>
      </c>
      <c r="C12" s="53">
        <v>0</v>
      </c>
      <c r="D12" s="53"/>
      <c r="E12" s="55">
        <f t="shared" si="0"/>
        <v>0</v>
      </c>
    </row>
    <row r="13" spans="1:6" ht="15.6" hidden="1">
      <c r="A13" s="22" t="s">
        <v>10</v>
      </c>
      <c r="B13" s="22" t="s">
        <v>9</v>
      </c>
      <c r="C13" s="53">
        <v>0</v>
      </c>
      <c r="D13" s="53"/>
      <c r="E13" s="55">
        <f t="shared" si="0"/>
        <v>0</v>
      </c>
    </row>
    <row r="14" spans="1:6" ht="15.6" hidden="1">
      <c r="A14" s="22" t="s">
        <v>131</v>
      </c>
      <c r="B14" s="22" t="s">
        <v>3</v>
      </c>
      <c r="C14" s="53">
        <v>0</v>
      </c>
      <c r="D14" s="53"/>
      <c r="E14" s="55">
        <f t="shared" si="0"/>
        <v>0</v>
      </c>
    </row>
    <row r="15" spans="1:6" ht="15.6" hidden="1">
      <c r="A15" s="22" t="s">
        <v>12</v>
      </c>
      <c r="B15" s="22" t="s">
        <v>3</v>
      </c>
      <c r="C15" s="53">
        <v>0</v>
      </c>
      <c r="D15" s="53"/>
      <c r="E15" s="55">
        <f t="shared" si="0"/>
        <v>0</v>
      </c>
    </row>
    <row r="16" spans="1:6" ht="15.6">
      <c r="A16" s="22" t="s">
        <v>14</v>
      </c>
      <c r="B16" s="22" t="s">
        <v>3</v>
      </c>
      <c r="C16" s="53">
        <v>50</v>
      </c>
      <c r="D16" s="53">
        <v>20000</v>
      </c>
      <c r="E16" s="55">
        <f t="shared" si="0"/>
        <v>1000000</v>
      </c>
    </row>
    <row r="17" spans="1:5" ht="15.6">
      <c r="A17" s="22" t="s">
        <v>15</v>
      </c>
      <c r="B17" s="22" t="s">
        <v>3</v>
      </c>
      <c r="C17" s="53">
        <v>40</v>
      </c>
      <c r="D17" s="53">
        <v>25000</v>
      </c>
      <c r="E17" s="55">
        <f t="shared" si="0"/>
        <v>1000000</v>
      </c>
    </row>
    <row r="18" spans="1:5" ht="15.6">
      <c r="A18" s="22" t="s">
        <v>16</v>
      </c>
      <c r="B18" s="22" t="s">
        <v>17</v>
      </c>
      <c r="C18" s="53">
        <v>12</v>
      </c>
      <c r="D18" s="53">
        <v>5000</v>
      </c>
      <c r="E18" s="55">
        <f t="shared" si="0"/>
        <v>60000</v>
      </c>
    </row>
    <row r="19" spans="1:5" ht="15.6" hidden="1">
      <c r="A19" s="22" t="s">
        <v>145</v>
      </c>
      <c r="B19" s="22" t="s">
        <v>40</v>
      </c>
      <c r="C19" s="53">
        <v>0</v>
      </c>
      <c r="D19" s="53"/>
      <c r="E19" s="55">
        <f t="shared" si="0"/>
        <v>0</v>
      </c>
    </row>
    <row r="20" spans="1:5" ht="15.6" hidden="1">
      <c r="A20" s="22" t="s">
        <v>97</v>
      </c>
      <c r="B20" s="22" t="s">
        <v>3</v>
      </c>
      <c r="C20" s="53">
        <v>0</v>
      </c>
      <c r="D20" s="53"/>
      <c r="E20" s="55">
        <f t="shared" si="0"/>
        <v>0</v>
      </c>
    </row>
    <row r="21" spans="1:5" ht="15.6">
      <c r="A21" s="22" t="s">
        <v>128</v>
      </c>
      <c r="B21" s="22" t="s">
        <v>3</v>
      </c>
      <c r="C21" s="53">
        <v>40</v>
      </c>
      <c r="D21" s="53">
        <v>12000</v>
      </c>
      <c r="E21" s="55">
        <f t="shared" si="0"/>
        <v>480000</v>
      </c>
    </row>
    <row r="22" spans="1:5" ht="15.6">
      <c r="A22" s="22" t="s">
        <v>18</v>
      </c>
      <c r="B22" s="22" t="s">
        <v>3</v>
      </c>
      <c r="C22" s="53">
        <v>315</v>
      </c>
      <c r="D22" s="53">
        <v>12500</v>
      </c>
      <c r="E22" s="55">
        <f t="shared" si="0"/>
        <v>3937500</v>
      </c>
    </row>
    <row r="23" spans="1:5" ht="15.6" hidden="1">
      <c r="A23" s="22" t="s">
        <v>18</v>
      </c>
      <c r="B23" s="22" t="s">
        <v>19</v>
      </c>
      <c r="C23" s="53">
        <v>0</v>
      </c>
      <c r="D23" s="53"/>
      <c r="E23" s="55">
        <f t="shared" si="0"/>
        <v>0</v>
      </c>
    </row>
    <row r="24" spans="1:5" ht="15.6">
      <c r="A24" s="22" t="s">
        <v>20</v>
      </c>
      <c r="B24" s="22" t="s">
        <v>3</v>
      </c>
      <c r="C24" s="53">
        <v>90</v>
      </c>
      <c r="D24" s="53">
        <v>12000</v>
      </c>
      <c r="E24" s="55">
        <f t="shared" si="0"/>
        <v>1080000</v>
      </c>
    </row>
    <row r="25" spans="1:5" ht="15.6">
      <c r="A25" s="22" t="s">
        <v>20</v>
      </c>
      <c r="B25" s="22" t="s">
        <v>21</v>
      </c>
      <c r="C25" s="53">
        <v>6</v>
      </c>
      <c r="D25" s="53">
        <v>7000</v>
      </c>
      <c r="E25" s="55">
        <f t="shared" si="0"/>
        <v>42000</v>
      </c>
    </row>
    <row r="26" spans="1:5" ht="15.6">
      <c r="A26" s="22" t="s">
        <v>22</v>
      </c>
      <c r="B26" s="22" t="s">
        <v>3</v>
      </c>
      <c r="C26" s="53">
        <v>9</v>
      </c>
      <c r="D26" s="53">
        <v>17000</v>
      </c>
      <c r="E26" s="55">
        <f t="shared" si="0"/>
        <v>153000</v>
      </c>
    </row>
    <row r="27" spans="1:5" ht="15.6">
      <c r="A27" s="22" t="s">
        <v>22</v>
      </c>
      <c r="B27" s="22" t="s">
        <v>23</v>
      </c>
      <c r="C27" s="53">
        <v>90</v>
      </c>
      <c r="D27" s="53">
        <v>5100</v>
      </c>
      <c r="E27" s="55">
        <f t="shared" si="0"/>
        <v>459000</v>
      </c>
    </row>
    <row r="28" spans="1:5" ht="15.6">
      <c r="A28" s="22" t="s">
        <v>24</v>
      </c>
      <c r="B28" s="22" t="s">
        <v>25</v>
      </c>
      <c r="C28" s="53">
        <v>8</v>
      </c>
      <c r="D28" s="53">
        <v>11100</v>
      </c>
      <c r="E28" s="55">
        <f t="shared" si="0"/>
        <v>88800</v>
      </c>
    </row>
    <row r="29" spans="1:5" ht="15.6" hidden="1">
      <c r="A29" s="22" t="s">
        <v>26</v>
      </c>
      <c r="B29" s="22" t="s">
        <v>3</v>
      </c>
      <c r="C29" s="53">
        <v>0</v>
      </c>
      <c r="D29" s="53"/>
      <c r="E29" s="55">
        <f t="shared" si="0"/>
        <v>0</v>
      </c>
    </row>
    <row r="30" spans="1:5" ht="15.6">
      <c r="A30" s="22" t="s">
        <v>26</v>
      </c>
      <c r="B30" s="22" t="s">
        <v>27</v>
      </c>
      <c r="C30" s="53">
        <v>364</v>
      </c>
      <c r="D30" s="53">
        <v>7500</v>
      </c>
      <c r="E30" s="55">
        <f t="shared" si="0"/>
        <v>2730000</v>
      </c>
    </row>
    <row r="31" spans="1:5" ht="15.6">
      <c r="A31" s="22" t="s">
        <v>28</v>
      </c>
      <c r="B31" s="22" t="s">
        <v>3</v>
      </c>
      <c r="C31" s="53">
        <v>420</v>
      </c>
      <c r="D31" s="53">
        <v>15000</v>
      </c>
      <c r="E31" s="55">
        <f t="shared" si="0"/>
        <v>6300000</v>
      </c>
    </row>
    <row r="32" spans="1:5" ht="15.6" hidden="1">
      <c r="A32" s="22" t="s">
        <v>28</v>
      </c>
      <c r="B32" s="22" t="s">
        <v>17</v>
      </c>
      <c r="C32" s="53">
        <v>0</v>
      </c>
      <c r="D32" s="53"/>
      <c r="E32" s="55">
        <f t="shared" si="0"/>
        <v>0</v>
      </c>
    </row>
    <row r="33" spans="1:5" ht="15.6">
      <c r="A33" s="22" t="s">
        <v>29</v>
      </c>
      <c r="B33" s="22" t="s">
        <v>30</v>
      </c>
      <c r="C33" s="53">
        <v>30</v>
      </c>
      <c r="D33" s="53">
        <v>11000</v>
      </c>
      <c r="E33" s="55">
        <f t="shared" si="0"/>
        <v>330000</v>
      </c>
    </row>
    <row r="34" spans="1:5" ht="15.6">
      <c r="A34" s="22" t="s">
        <v>31</v>
      </c>
      <c r="B34" s="22" t="s">
        <v>3</v>
      </c>
      <c r="C34" s="53">
        <v>250</v>
      </c>
      <c r="D34" s="53">
        <v>7500</v>
      </c>
      <c r="E34" s="55">
        <f t="shared" si="0"/>
        <v>1875000</v>
      </c>
    </row>
    <row r="35" spans="1:5" ht="15.6" hidden="1">
      <c r="A35" s="22" t="s">
        <v>31</v>
      </c>
      <c r="B35" s="22" t="s">
        <v>30</v>
      </c>
      <c r="C35" s="53">
        <v>0</v>
      </c>
      <c r="D35" s="53"/>
      <c r="E35" s="55">
        <f t="shared" si="0"/>
        <v>0</v>
      </c>
    </row>
    <row r="36" spans="1:5" ht="15.6">
      <c r="A36" s="22" t="s">
        <v>32</v>
      </c>
      <c r="B36" s="22" t="s">
        <v>17</v>
      </c>
      <c r="C36" s="53">
        <v>17</v>
      </c>
      <c r="D36" s="53">
        <v>5500</v>
      </c>
      <c r="E36" s="55">
        <f t="shared" si="0"/>
        <v>93500</v>
      </c>
    </row>
    <row r="37" spans="1:5" ht="15.6">
      <c r="A37" s="22" t="s">
        <v>33</v>
      </c>
      <c r="B37" s="22" t="s">
        <v>3</v>
      </c>
      <c r="C37" s="53">
        <v>40</v>
      </c>
      <c r="D37" s="53">
        <v>8000</v>
      </c>
      <c r="E37" s="55">
        <f t="shared" si="0"/>
        <v>320000</v>
      </c>
    </row>
    <row r="38" spans="1:5" ht="15.6" hidden="1">
      <c r="A38" s="22" t="s">
        <v>33</v>
      </c>
      <c r="B38" s="22" t="s">
        <v>34</v>
      </c>
      <c r="C38" s="53">
        <v>0</v>
      </c>
      <c r="D38" s="53"/>
      <c r="E38" s="55">
        <f t="shared" si="0"/>
        <v>0</v>
      </c>
    </row>
    <row r="39" spans="1:5" ht="15.6">
      <c r="A39" s="22" t="s">
        <v>35</v>
      </c>
      <c r="B39" s="22" t="s">
        <v>3</v>
      </c>
      <c r="C39" s="53">
        <v>3</v>
      </c>
      <c r="D39" s="53">
        <v>12000</v>
      </c>
      <c r="E39" s="55">
        <f t="shared" si="0"/>
        <v>36000</v>
      </c>
    </row>
    <row r="40" spans="1:5" ht="15.6" hidden="1">
      <c r="A40" s="22" t="s">
        <v>35</v>
      </c>
      <c r="B40" s="22" t="s">
        <v>30</v>
      </c>
      <c r="C40" s="53">
        <v>0</v>
      </c>
      <c r="D40" s="53"/>
      <c r="E40" s="55">
        <f t="shared" si="0"/>
        <v>0</v>
      </c>
    </row>
    <row r="41" spans="1:5" ht="15.6">
      <c r="A41" s="22" t="s">
        <v>36</v>
      </c>
      <c r="B41" s="22" t="s">
        <v>30</v>
      </c>
      <c r="C41" s="53">
        <v>4</v>
      </c>
      <c r="D41" s="53">
        <v>3000</v>
      </c>
      <c r="E41" s="55">
        <f t="shared" si="0"/>
        <v>12000</v>
      </c>
    </row>
    <row r="42" spans="1:5" ht="15.6">
      <c r="A42" s="22" t="s">
        <v>37</v>
      </c>
      <c r="B42" s="22" t="s">
        <v>30</v>
      </c>
      <c r="C42" s="53">
        <v>17</v>
      </c>
      <c r="D42" s="53">
        <v>3900</v>
      </c>
      <c r="E42" s="55">
        <f t="shared" si="0"/>
        <v>66300</v>
      </c>
    </row>
    <row r="43" spans="1:5" ht="15.6">
      <c r="A43" s="22" t="s">
        <v>38</v>
      </c>
      <c r="B43" s="22" t="s">
        <v>3</v>
      </c>
      <c r="C43" s="53">
        <v>1550</v>
      </c>
      <c r="D43" s="53">
        <v>4500</v>
      </c>
      <c r="E43" s="55">
        <f t="shared" si="0"/>
        <v>6975000</v>
      </c>
    </row>
    <row r="44" spans="1:5" ht="15.6" hidden="1">
      <c r="A44" s="22" t="s">
        <v>98</v>
      </c>
      <c r="B44" s="22" t="s">
        <v>3</v>
      </c>
      <c r="C44" s="53">
        <v>0</v>
      </c>
      <c r="D44" s="53"/>
      <c r="E44" s="55">
        <f t="shared" si="0"/>
        <v>0</v>
      </c>
    </row>
    <row r="45" spans="1:5" ht="15.6" hidden="1">
      <c r="A45" s="22" t="s">
        <v>99</v>
      </c>
      <c r="B45" s="22" t="s">
        <v>3</v>
      </c>
      <c r="C45" s="53">
        <v>0</v>
      </c>
      <c r="D45" s="53"/>
      <c r="E45" s="55">
        <f t="shared" si="0"/>
        <v>0</v>
      </c>
    </row>
    <row r="46" spans="1:5" ht="15.6" hidden="1">
      <c r="A46" s="22" t="s">
        <v>39</v>
      </c>
      <c r="B46" s="22" t="s">
        <v>3</v>
      </c>
      <c r="C46" s="53">
        <v>0</v>
      </c>
      <c r="D46" s="53"/>
      <c r="E46" s="55">
        <f t="shared" si="0"/>
        <v>0</v>
      </c>
    </row>
    <row r="47" spans="1:5" ht="15.6" hidden="1">
      <c r="A47" s="22" t="s">
        <v>39</v>
      </c>
      <c r="B47" s="22" t="s">
        <v>40</v>
      </c>
      <c r="C47" s="53">
        <v>0</v>
      </c>
      <c r="D47" s="53"/>
      <c r="E47" s="55">
        <f t="shared" si="0"/>
        <v>0</v>
      </c>
    </row>
    <row r="48" spans="1:5" ht="15.6" hidden="1">
      <c r="A48" s="22" t="s">
        <v>100</v>
      </c>
      <c r="B48" s="22" t="s">
        <v>3</v>
      </c>
      <c r="C48" s="53">
        <v>0</v>
      </c>
      <c r="D48" s="53"/>
      <c r="E48" s="55">
        <f t="shared" si="0"/>
        <v>0</v>
      </c>
    </row>
    <row r="49" spans="1:6" ht="15.6">
      <c r="A49" s="22" t="s">
        <v>41</v>
      </c>
      <c r="B49" s="22" t="s">
        <v>3</v>
      </c>
      <c r="C49" s="53">
        <v>15</v>
      </c>
      <c r="D49" s="53">
        <v>14000</v>
      </c>
      <c r="E49" s="55">
        <f t="shared" si="0"/>
        <v>210000</v>
      </c>
    </row>
    <row r="50" spans="1:6" ht="15.6" hidden="1">
      <c r="A50" s="22" t="s">
        <v>42</v>
      </c>
      <c r="B50" s="22" t="s">
        <v>25</v>
      </c>
      <c r="C50" s="53">
        <v>0</v>
      </c>
      <c r="D50" s="53"/>
      <c r="E50" s="55">
        <f t="shared" si="0"/>
        <v>0</v>
      </c>
    </row>
    <row r="51" spans="1:6" ht="15.6" hidden="1">
      <c r="A51" s="22" t="s">
        <v>44</v>
      </c>
      <c r="B51" s="22" t="s">
        <v>3</v>
      </c>
      <c r="C51" s="53">
        <v>0</v>
      </c>
      <c r="D51" s="53"/>
      <c r="E51" s="55">
        <f t="shared" si="0"/>
        <v>0</v>
      </c>
    </row>
    <row r="52" spans="1:6" ht="15.6">
      <c r="A52" s="22" t="s">
        <v>45</v>
      </c>
      <c r="B52" s="22" t="s">
        <v>3</v>
      </c>
      <c r="C52" s="53">
        <v>20</v>
      </c>
      <c r="D52" s="53">
        <v>10000</v>
      </c>
      <c r="E52" s="55">
        <f t="shared" si="0"/>
        <v>200000</v>
      </c>
    </row>
    <row r="53" spans="1:6" ht="15.6" hidden="1">
      <c r="A53" s="22" t="s">
        <v>45</v>
      </c>
      <c r="B53" s="22" t="s">
        <v>30</v>
      </c>
      <c r="C53" s="53">
        <v>0</v>
      </c>
      <c r="D53" s="53"/>
      <c r="E53" s="55">
        <f t="shared" si="0"/>
        <v>0</v>
      </c>
    </row>
    <row r="54" spans="1:6" ht="15.6">
      <c r="A54" s="22" t="s">
        <v>46</v>
      </c>
      <c r="B54" s="22" t="s">
        <v>3</v>
      </c>
      <c r="C54" s="53">
        <v>5</v>
      </c>
      <c r="D54" s="53">
        <v>19000</v>
      </c>
      <c r="E54" s="55">
        <f t="shared" si="0"/>
        <v>95000</v>
      </c>
    </row>
    <row r="55" spans="1:6" ht="15.6">
      <c r="A55" s="22" t="s">
        <v>47</v>
      </c>
      <c r="B55" s="22" t="s">
        <v>3</v>
      </c>
      <c r="C55" s="53">
        <v>260</v>
      </c>
      <c r="D55" s="53">
        <v>9000</v>
      </c>
      <c r="E55" s="55">
        <f t="shared" si="0"/>
        <v>2340000</v>
      </c>
    </row>
    <row r="56" spans="1:6" ht="15.6" hidden="1">
      <c r="A56" s="22" t="s">
        <v>47</v>
      </c>
      <c r="B56" s="22" t="s">
        <v>48</v>
      </c>
      <c r="C56" s="53">
        <v>0</v>
      </c>
      <c r="D56" s="53"/>
      <c r="E56" s="55">
        <f t="shared" si="0"/>
        <v>0</v>
      </c>
    </row>
    <row r="57" spans="1:6" ht="15.6">
      <c r="A57" s="22" t="s">
        <v>49</v>
      </c>
      <c r="B57" s="22" t="s">
        <v>30</v>
      </c>
      <c r="C57" s="53">
        <v>15</v>
      </c>
      <c r="D57" s="53">
        <v>2100</v>
      </c>
      <c r="E57" s="55">
        <f t="shared" si="0"/>
        <v>31500</v>
      </c>
    </row>
    <row r="58" spans="1:6" ht="15.6">
      <c r="A58" s="22" t="s">
        <v>50</v>
      </c>
      <c r="B58" s="22" t="s">
        <v>3</v>
      </c>
      <c r="C58" s="53">
        <v>1400</v>
      </c>
      <c r="D58" s="53">
        <v>26500</v>
      </c>
      <c r="E58" s="55">
        <f t="shared" si="0"/>
        <v>37100000</v>
      </c>
    </row>
    <row r="59" spans="1:6" ht="15.6">
      <c r="A59" s="22" t="s">
        <v>51</v>
      </c>
      <c r="B59" s="22" t="s">
        <v>3</v>
      </c>
      <c r="C59" s="53">
        <v>500</v>
      </c>
      <c r="D59" s="53">
        <v>27000</v>
      </c>
      <c r="E59" s="55">
        <f t="shared" si="0"/>
        <v>13500000</v>
      </c>
    </row>
    <row r="60" spans="1:6" ht="15.6">
      <c r="A60" s="22" t="s">
        <v>53</v>
      </c>
      <c r="B60" s="22" t="s">
        <v>3</v>
      </c>
      <c r="C60" s="53">
        <v>240</v>
      </c>
      <c r="D60" s="53">
        <v>16500</v>
      </c>
      <c r="E60" s="55">
        <f t="shared" si="0"/>
        <v>3960000</v>
      </c>
      <c r="F60" t="s">
        <v>166</v>
      </c>
    </row>
    <row r="61" spans="1:6" ht="15.6" hidden="1">
      <c r="A61" s="22" t="s">
        <v>54</v>
      </c>
      <c r="B61" s="22" t="s">
        <v>3</v>
      </c>
      <c r="C61" s="53">
        <v>0</v>
      </c>
      <c r="D61" s="53"/>
      <c r="E61" s="55">
        <f t="shared" si="0"/>
        <v>0</v>
      </c>
    </row>
    <row r="62" spans="1:6" ht="15.6" hidden="1">
      <c r="A62" s="22" t="s">
        <v>108</v>
      </c>
      <c r="B62" s="22" t="s">
        <v>30</v>
      </c>
      <c r="C62" s="53">
        <v>0</v>
      </c>
      <c r="D62" s="53"/>
      <c r="E62" s="55">
        <f t="shared" si="0"/>
        <v>0</v>
      </c>
    </row>
    <row r="63" spans="1:6" ht="15.6">
      <c r="A63" s="22" t="s">
        <v>56</v>
      </c>
      <c r="B63" s="22" t="s">
        <v>3</v>
      </c>
      <c r="C63" s="53">
        <v>270</v>
      </c>
      <c r="D63" s="53">
        <v>14000</v>
      </c>
      <c r="E63" s="55">
        <f t="shared" si="0"/>
        <v>3780000</v>
      </c>
    </row>
    <row r="64" spans="1:6" ht="15.6" hidden="1">
      <c r="A64" s="22" t="s">
        <v>56</v>
      </c>
      <c r="B64" s="22" t="s">
        <v>30</v>
      </c>
      <c r="C64" s="53">
        <v>0</v>
      </c>
      <c r="D64" s="53"/>
      <c r="E64" s="55">
        <f t="shared" si="0"/>
        <v>0</v>
      </c>
    </row>
    <row r="65" spans="1:6" ht="15.6">
      <c r="A65" s="22" t="s">
        <v>57</v>
      </c>
      <c r="B65" s="22" t="s">
        <v>30</v>
      </c>
      <c r="C65" s="53">
        <v>370</v>
      </c>
      <c r="D65" s="53">
        <v>6500</v>
      </c>
      <c r="E65" s="55">
        <f t="shared" si="0"/>
        <v>2405000</v>
      </c>
    </row>
    <row r="66" spans="1:6" ht="15.6" hidden="1">
      <c r="A66" s="22" t="s">
        <v>58</v>
      </c>
      <c r="B66" s="22" t="s">
        <v>3</v>
      </c>
      <c r="C66" s="53">
        <v>0</v>
      </c>
      <c r="D66" s="53"/>
      <c r="E66" s="55">
        <f t="shared" si="0"/>
        <v>0</v>
      </c>
    </row>
    <row r="67" spans="1:6" ht="15.6">
      <c r="A67" s="22" t="s">
        <v>59</v>
      </c>
      <c r="B67" s="22" t="s">
        <v>30</v>
      </c>
      <c r="C67" s="53">
        <v>13</v>
      </c>
      <c r="D67" s="53">
        <v>6000</v>
      </c>
      <c r="E67" s="55">
        <f t="shared" si="0"/>
        <v>78000</v>
      </c>
    </row>
    <row r="68" spans="1:6" ht="15.6" hidden="1">
      <c r="A68" s="22" t="s">
        <v>60</v>
      </c>
      <c r="B68" s="22" t="s">
        <v>3</v>
      </c>
      <c r="C68" s="53">
        <v>0</v>
      </c>
      <c r="D68" s="53"/>
      <c r="E68" s="55">
        <f t="shared" ref="E68:E107" si="1">C68*D68</f>
        <v>0</v>
      </c>
    </row>
    <row r="69" spans="1:6" ht="15.6">
      <c r="A69" s="22" t="s">
        <v>60</v>
      </c>
      <c r="B69" s="22" t="s">
        <v>30</v>
      </c>
      <c r="C69" s="53">
        <v>50</v>
      </c>
      <c r="D69" s="53">
        <v>8000</v>
      </c>
      <c r="E69" s="55">
        <f t="shared" si="1"/>
        <v>400000</v>
      </c>
      <c r="F69" t="s">
        <v>168</v>
      </c>
    </row>
    <row r="70" spans="1:6" ht="15.6">
      <c r="A70" s="22" t="s">
        <v>60</v>
      </c>
      <c r="B70" s="22" t="s">
        <v>61</v>
      </c>
      <c r="C70" s="53">
        <v>51</v>
      </c>
      <c r="D70" s="53">
        <v>8000</v>
      </c>
      <c r="E70" s="55">
        <f t="shared" si="1"/>
        <v>408000</v>
      </c>
    </row>
    <row r="71" spans="1:6" ht="15.6">
      <c r="A71" s="22" t="s">
        <v>129</v>
      </c>
      <c r="B71" s="22" t="s">
        <v>3</v>
      </c>
      <c r="C71" s="53">
        <v>0.5</v>
      </c>
      <c r="D71" s="53">
        <v>70000</v>
      </c>
      <c r="E71" s="55">
        <f t="shared" si="1"/>
        <v>35000</v>
      </c>
    </row>
    <row r="72" spans="1:6" ht="15.6">
      <c r="A72" s="22" t="s">
        <v>62</v>
      </c>
      <c r="B72" s="22" t="s">
        <v>3</v>
      </c>
      <c r="C72" s="53">
        <v>0.75</v>
      </c>
      <c r="D72" s="53">
        <v>80000</v>
      </c>
      <c r="E72" s="55">
        <f t="shared" si="1"/>
        <v>60000</v>
      </c>
    </row>
    <row r="73" spans="1:6" ht="15.6">
      <c r="A73" s="22" t="s">
        <v>63</v>
      </c>
      <c r="B73" s="22" t="s">
        <v>3</v>
      </c>
      <c r="C73" s="53">
        <v>1</v>
      </c>
      <c r="D73" s="53">
        <v>70000</v>
      </c>
      <c r="E73" s="55">
        <f t="shared" si="1"/>
        <v>70000</v>
      </c>
    </row>
    <row r="74" spans="1:6" ht="15.6">
      <c r="A74" s="22" t="s">
        <v>64</v>
      </c>
      <c r="B74" s="22" t="s">
        <v>3</v>
      </c>
      <c r="C74" s="53">
        <v>1</v>
      </c>
      <c r="D74" s="53">
        <v>70000</v>
      </c>
      <c r="E74" s="55">
        <f t="shared" si="1"/>
        <v>70000</v>
      </c>
    </row>
    <row r="75" spans="1:6" ht="15.6" hidden="1">
      <c r="A75" s="22" t="s">
        <v>120</v>
      </c>
      <c r="B75" s="22" t="s">
        <v>30</v>
      </c>
      <c r="C75" s="53">
        <v>0</v>
      </c>
      <c r="D75" s="53"/>
      <c r="E75" s="55">
        <f t="shared" si="1"/>
        <v>0</v>
      </c>
    </row>
    <row r="76" spans="1:6" ht="15.6" hidden="1">
      <c r="A76" s="22" t="s">
        <v>65</v>
      </c>
      <c r="B76" s="22" t="s">
        <v>3</v>
      </c>
      <c r="C76" s="53">
        <v>0</v>
      </c>
      <c r="D76" s="53"/>
      <c r="E76" s="55">
        <f t="shared" si="1"/>
        <v>0</v>
      </c>
    </row>
    <row r="77" spans="1:6" ht="15.6">
      <c r="A77" s="22" t="s">
        <v>65</v>
      </c>
      <c r="B77" s="22" t="s">
        <v>17</v>
      </c>
      <c r="C77" s="53">
        <v>364</v>
      </c>
      <c r="D77" s="53">
        <v>6500</v>
      </c>
      <c r="E77" s="55">
        <f t="shared" si="1"/>
        <v>2366000</v>
      </c>
      <c r="F77" t="s">
        <v>169</v>
      </c>
    </row>
    <row r="78" spans="1:6" ht="15.6" hidden="1">
      <c r="A78" s="22" t="s">
        <v>66</v>
      </c>
      <c r="B78" s="22" t="s">
        <v>3</v>
      </c>
      <c r="C78" s="53">
        <v>0</v>
      </c>
      <c r="D78" s="53"/>
      <c r="E78" s="55">
        <f t="shared" si="1"/>
        <v>0</v>
      </c>
    </row>
    <row r="79" spans="1:6" ht="15.6">
      <c r="A79" s="22" t="s">
        <v>67</v>
      </c>
      <c r="B79" s="22" t="s">
        <v>3</v>
      </c>
      <c r="C79" s="53">
        <v>25</v>
      </c>
      <c r="D79" s="53">
        <v>16000</v>
      </c>
      <c r="E79" s="55">
        <f t="shared" si="1"/>
        <v>400000</v>
      </c>
    </row>
    <row r="80" spans="1:6" ht="15.6" hidden="1">
      <c r="A80" s="22" t="s">
        <v>68</v>
      </c>
      <c r="B80" s="22" t="s">
        <v>3</v>
      </c>
      <c r="C80" s="53">
        <v>0</v>
      </c>
      <c r="D80" s="53"/>
      <c r="E80" s="55">
        <f t="shared" si="1"/>
        <v>0</v>
      </c>
    </row>
    <row r="81" spans="1:5" ht="15.6" hidden="1">
      <c r="A81" s="22" t="s">
        <v>68</v>
      </c>
      <c r="B81" s="22" t="s">
        <v>40</v>
      </c>
      <c r="C81" s="53">
        <v>0</v>
      </c>
      <c r="D81" s="53"/>
      <c r="E81" s="55">
        <f t="shared" si="1"/>
        <v>0</v>
      </c>
    </row>
    <row r="82" spans="1:5" ht="15.6" hidden="1">
      <c r="A82" s="22" t="s">
        <v>70</v>
      </c>
      <c r="B82" s="22" t="s">
        <v>30</v>
      </c>
      <c r="C82" s="53">
        <v>0</v>
      </c>
      <c r="D82" s="53"/>
      <c r="E82" s="55">
        <f t="shared" si="1"/>
        <v>0</v>
      </c>
    </row>
    <row r="83" spans="1:5" ht="15.6">
      <c r="A83" s="22" t="s">
        <v>71</v>
      </c>
      <c r="B83" s="22" t="s">
        <v>3</v>
      </c>
      <c r="C83" s="53">
        <v>25</v>
      </c>
      <c r="D83" s="53">
        <v>14000</v>
      </c>
      <c r="E83" s="55">
        <f t="shared" si="1"/>
        <v>350000</v>
      </c>
    </row>
    <row r="84" spans="1:5" ht="15.6" hidden="1">
      <c r="A84" s="22" t="s">
        <v>72</v>
      </c>
      <c r="B84" s="22" t="s">
        <v>17</v>
      </c>
      <c r="C84" s="53">
        <v>0</v>
      </c>
      <c r="D84" s="53"/>
      <c r="E84" s="55">
        <f t="shared" si="1"/>
        <v>0</v>
      </c>
    </row>
    <row r="85" spans="1:5" ht="15.6" hidden="1">
      <c r="A85" s="22" t="s">
        <v>73</v>
      </c>
      <c r="B85" s="22" t="s">
        <v>25</v>
      </c>
      <c r="C85" s="53">
        <v>0</v>
      </c>
      <c r="D85" s="53"/>
      <c r="E85" s="55">
        <f t="shared" si="1"/>
        <v>0</v>
      </c>
    </row>
    <row r="86" spans="1:5" ht="15.6">
      <c r="A86" s="22" t="s">
        <v>73</v>
      </c>
      <c r="B86" s="22" t="s">
        <v>3</v>
      </c>
      <c r="C86" s="53">
        <v>9</v>
      </c>
      <c r="D86" s="53">
        <v>55000</v>
      </c>
      <c r="E86" s="55">
        <f t="shared" si="1"/>
        <v>495000</v>
      </c>
    </row>
    <row r="87" spans="1:5" ht="15.6">
      <c r="A87" s="22" t="s">
        <v>74</v>
      </c>
      <c r="B87" s="22" t="s">
        <v>3</v>
      </c>
      <c r="C87" s="53">
        <v>40</v>
      </c>
      <c r="D87" s="53">
        <v>60000</v>
      </c>
      <c r="E87" s="55">
        <f t="shared" si="1"/>
        <v>2400000</v>
      </c>
    </row>
    <row r="88" spans="1:5" ht="15.6" hidden="1">
      <c r="A88" s="22" t="s">
        <v>74</v>
      </c>
      <c r="B88" s="22" t="s">
        <v>9</v>
      </c>
      <c r="C88" s="53">
        <v>0</v>
      </c>
      <c r="D88" s="53"/>
      <c r="E88" s="55">
        <f t="shared" si="1"/>
        <v>0</v>
      </c>
    </row>
    <row r="89" spans="1:5" ht="15.6">
      <c r="A89" s="22" t="s">
        <v>75</v>
      </c>
      <c r="B89" s="22" t="s">
        <v>3</v>
      </c>
      <c r="C89" s="53">
        <v>8</v>
      </c>
      <c r="D89" s="53">
        <v>50000</v>
      </c>
      <c r="E89" s="55">
        <f t="shared" si="1"/>
        <v>400000</v>
      </c>
    </row>
    <row r="90" spans="1:5" ht="15.6" hidden="1">
      <c r="A90" s="22" t="s">
        <v>76</v>
      </c>
      <c r="B90" s="22" t="s">
        <v>3</v>
      </c>
      <c r="C90" s="53">
        <v>0</v>
      </c>
      <c r="D90" s="53"/>
      <c r="E90" s="55">
        <f t="shared" si="1"/>
        <v>0</v>
      </c>
    </row>
    <row r="91" spans="1:5" ht="15.6" hidden="1">
      <c r="A91" s="22" t="s">
        <v>76</v>
      </c>
      <c r="B91" s="22" t="s">
        <v>9</v>
      </c>
      <c r="C91" s="53">
        <v>0</v>
      </c>
      <c r="D91" s="53"/>
      <c r="E91" s="55">
        <f t="shared" si="1"/>
        <v>0</v>
      </c>
    </row>
    <row r="92" spans="1:5" ht="15.6">
      <c r="A92" s="22" t="s">
        <v>78</v>
      </c>
      <c r="B92" s="22" t="s">
        <v>3</v>
      </c>
      <c r="C92" s="53">
        <v>40</v>
      </c>
      <c r="D92" s="53">
        <v>35000</v>
      </c>
      <c r="E92" s="55">
        <f t="shared" si="1"/>
        <v>1400000</v>
      </c>
    </row>
    <row r="93" spans="1:5" ht="15.6" hidden="1">
      <c r="A93" s="22" t="s">
        <v>78</v>
      </c>
      <c r="B93" s="22" t="s">
        <v>9</v>
      </c>
      <c r="C93" s="53">
        <v>0</v>
      </c>
      <c r="D93" s="53"/>
      <c r="E93" s="55">
        <f t="shared" si="1"/>
        <v>0</v>
      </c>
    </row>
    <row r="94" spans="1:5" ht="15.6">
      <c r="A94" s="22" t="s">
        <v>79</v>
      </c>
      <c r="B94" s="22" t="s">
        <v>30</v>
      </c>
      <c r="C94" s="53">
        <v>90</v>
      </c>
      <c r="D94" s="53">
        <v>18000</v>
      </c>
      <c r="E94" s="55">
        <f t="shared" si="1"/>
        <v>1620000</v>
      </c>
    </row>
    <row r="95" spans="1:5" ht="15.6" hidden="1">
      <c r="A95" s="22" t="s">
        <v>80</v>
      </c>
      <c r="B95" s="22" t="s">
        <v>30</v>
      </c>
      <c r="C95" s="53">
        <v>0</v>
      </c>
      <c r="D95" s="53"/>
      <c r="E95" s="55">
        <f t="shared" si="1"/>
        <v>0</v>
      </c>
    </row>
    <row r="96" spans="1:5" ht="15.6">
      <c r="A96" s="22" t="s">
        <v>81</v>
      </c>
      <c r="B96" s="22" t="s">
        <v>9</v>
      </c>
      <c r="C96" s="53">
        <v>1022</v>
      </c>
      <c r="D96" s="53">
        <v>9000</v>
      </c>
      <c r="E96" s="55">
        <f t="shared" si="1"/>
        <v>9198000</v>
      </c>
    </row>
    <row r="97" spans="1:6" ht="15.6">
      <c r="A97" s="22" t="s">
        <v>82</v>
      </c>
      <c r="B97" s="22" t="s">
        <v>9</v>
      </c>
      <c r="C97" s="53">
        <v>375</v>
      </c>
      <c r="D97" s="53">
        <v>11361</v>
      </c>
      <c r="E97" s="55">
        <f t="shared" si="1"/>
        <v>4260375</v>
      </c>
    </row>
    <row r="98" spans="1:6" ht="15.6" hidden="1">
      <c r="A98" s="22" t="s">
        <v>84</v>
      </c>
      <c r="B98" s="22" t="s">
        <v>3</v>
      </c>
      <c r="C98" s="53">
        <v>0</v>
      </c>
      <c r="D98" s="53"/>
      <c r="E98" s="55">
        <f t="shared" si="1"/>
        <v>0</v>
      </c>
    </row>
    <row r="99" spans="1:6" ht="15.6">
      <c r="A99" s="22" t="s">
        <v>85</v>
      </c>
      <c r="B99" s="22" t="s">
        <v>3</v>
      </c>
      <c r="C99" s="53">
        <v>10</v>
      </c>
      <c r="D99" s="53">
        <v>12000</v>
      </c>
      <c r="E99" s="55">
        <f t="shared" si="1"/>
        <v>120000</v>
      </c>
    </row>
    <row r="100" spans="1:6" ht="15.6">
      <c r="A100" s="22" t="s">
        <v>87</v>
      </c>
      <c r="B100" s="22" t="s">
        <v>3</v>
      </c>
      <c r="C100" s="53">
        <v>180</v>
      </c>
      <c r="D100" s="53">
        <v>4000</v>
      </c>
      <c r="E100" s="55">
        <f t="shared" si="1"/>
        <v>720000</v>
      </c>
    </row>
    <row r="101" spans="1:6" ht="15.6">
      <c r="A101" s="22" t="s">
        <v>88</v>
      </c>
      <c r="B101" s="22" t="s">
        <v>3</v>
      </c>
      <c r="C101" s="53">
        <v>5</v>
      </c>
      <c r="D101" s="53">
        <v>13000</v>
      </c>
      <c r="E101" s="55">
        <f t="shared" si="1"/>
        <v>65000</v>
      </c>
    </row>
    <row r="102" spans="1:6" ht="15.6">
      <c r="A102" s="22" t="s">
        <v>89</v>
      </c>
      <c r="B102" s="22" t="s">
        <v>3</v>
      </c>
      <c r="C102" s="53">
        <v>3</v>
      </c>
      <c r="D102" s="53">
        <v>28000</v>
      </c>
      <c r="E102" s="55">
        <f t="shared" si="1"/>
        <v>84000</v>
      </c>
    </row>
    <row r="103" spans="1:6" ht="15.6" hidden="1">
      <c r="A103" s="22" t="s">
        <v>90</v>
      </c>
      <c r="B103" s="22" t="s">
        <v>40</v>
      </c>
      <c r="C103" s="53">
        <v>0</v>
      </c>
      <c r="D103" s="53"/>
      <c r="E103" s="55">
        <f t="shared" si="1"/>
        <v>0</v>
      </c>
    </row>
    <row r="104" spans="1:6" ht="15.6" hidden="1">
      <c r="A104" s="22" t="s">
        <v>91</v>
      </c>
      <c r="B104" s="22" t="s">
        <v>3</v>
      </c>
      <c r="C104" s="53">
        <v>0</v>
      </c>
      <c r="D104" s="53"/>
      <c r="E104" s="55">
        <f t="shared" si="1"/>
        <v>0</v>
      </c>
    </row>
    <row r="105" spans="1:6" ht="15.6" hidden="1">
      <c r="A105" s="22" t="s">
        <v>92</v>
      </c>
      <c r="B105" s="22" t="s">
        <v>40</v>
      </c>
      <c r="C105" s="53">
        <v>0</v>
      </c>
      <c r="D105" s="53"/>
      <c r="E105" s="55">
        <f t="shared" si="1"/>
        <v>0</v>
      </c>
    </row>
    <row r="106" spans="1:6" ht="15.6" hidden="1">
      <c r="A106" s="22" t="s">
        <v>94</v>
      </c>
      <c r="B106" s="22" t="s">
        <v>3</v>
      </c>
      <c r="C106" s="53">
        <v>0</v>
      </c>
      <c r="D106" s="53"/>
      <c r="E106" s="55">
        <f t="shared" si="1"/>
        <v>0</v>
      </c>
    </row>
    <row r="107" spans="1:6" ht="15.6">
      <c r="A107" s="22" t="s">
        <v>95</v>
      </c>
      <c r="B107" s="22" t="s">
        <v>40</v>
      </c>
      <c r="C107" s="53">
        <v>335</v>
      </c>
      <c r="D107" s="53">
        <v>7000</v>
      </c>
      <c r="E107" s="55">
        <f t="shared" si="1"/>
        <v>2345000</v>
      </c>
      <c r="F107" t="s">
        <v>170</v>
      </c>
    </row>
    <row r="108" spans="1:6">
      <c r="E108" s="51">
        <f>SUM(E3:E107)</f>
        <v>142132935</v>
      </c>
    </row>
  </sheetData>
  <autoFilter ref="A2:E107">
    <filterColumn colId="2">
      <filters>
        <filter val="1"/>
        <filter val="1,022"/>
        <filter val="1,160"/>
        <filter val="1,400"/>
        <filter val="1,440"/>
        <filter val="1,550"/>
        <filter val="10"/>
        <filter val="100"/>
        <filter val="12"/>
        <filter val="13"/>
        <filter val="15"/>
        <filter val="17"/>
        <filter val="180"/>
        <filter val="20"/>
        <filter val="240"/>
        <filter val="25"/>
        <filter val="250"/>
        <filter val="260"/>
        <filter val="270"/>
        <filter val="3"/>
        <filter val="30"/>
        <filter val="315"/>
        <filter val="335"/>
        <filter val="364"/>
        <filter val="370"/>
        <filter val="375"/>
        <filter val="390"/>
        <filter val="4"/>
        <filter val="40"/>
        <filter val="420"/>
        <filter val="5"/>
        <filter val="50"/>
        <filter val="500"/>
        <filter val="51"/>
        <filter val="6"/>
        <filter val="8"/>
        <filter val="9"/>
        <filter val="90"/>
      </filters>
    </filterColumn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2:E133"/>
  <sheetViews>
    <sheetView topLeftCell="A65" workbookViewId="0">
      <selection activeCell="D29" sqref="D29"/>
    </sheetView>
  </sheetViews>
  <sheetFormatPr defaultRowHeight="13.8"/>
  <cols>
    <col min="1" max="1" width="26.09765625" customWidth="1"/>
    <col min="4" max="4" width="11.59765625" customWidth="1"/>
    <col min="5" max="5" width="16.8984375" customWidth="1"/>
  </cols>
  <sheetData>
    <row r="2" spans="1:5" ht="63.6" customHeight="1">
      <c r="A2" s="52" t="s">
        <v>106</v>
      </c>
      <c r="B2" s="52" t="s">
        <v>0</v>
      </c>
      <c r="C2" s="57" t="s">
        <v>111</v>
      </c>
      <c r="D2" s="57" t="s">
        <v>112</v>
      </c>
      <c r="E2" s="57" t="s">
        <v>113</v>
      </c>
    </row>
    <row r="3" spans="1:5">
      <c r="A3" s="56" t="s">
        <v>31</v>
      </c>
      <c r="B3" s="56" t="s">
        <v>3</v>
      </c>
      <c r="C3">
        <v>160</v>
      </c>
      <c r="D3" s="29">
        <v>7500</v>
      </c>
      <c r="E3" s="29">
        <f>C3*D3</f>
        <v>1200000</v>
      </c>
    </row>
    <row r="4" spans="1:5" hidden="1">
      <c r="A4" s="22" t="s">
        <v>31</v>
      </c>
      <c r="B4" s="22" t="s">
        <v>30</v>
      </c>
      <c r="C4">
        <v>0</v>
      </c>
      <c r="E4">
        <f t="shared" ref="E4:E67" si="0">C4*D4</f>
        <v>0</v>
      </c>
    </row>
    <row r="5" spans="1:5" hidden="1">
      <c r="A5" s="22" t="s">
        <v>32</v>
      </c>
      <c r="B5" s="22" t="s">
        <v>3</v>
      </c>
      <c r="C5">
        <v>0</v>
      </c>
      <c r="E5">
        <f t="shared" si="0"/>
        <v>0</v>
      </c>
    </row>
    <row r="6" spans="1:5">
      <c r="A6" s="22" t="s">
        <v>32</v>
      </c>
      <c r="B6" s="22" t="s">
        <v>17</v>
      </c>
      <c r="C6">
        <v>25</v>
      </c>
      <c r="D6" s="29">
        <v>5500</v>
      </c>
      <c r="E6" s="29">
        <f t="shared" si="0"/>
        <v>137500</v>
      </c>
    </row>
    <row r="7" spans="1:5" hidden="1">
      <c r="A7" s="22" t="s">
        <v>42</v>
      </c>
      <c r="B7" s="22" t="s">
        <v>25</v>
      </c>
      <c r="C7">
        <v>0</v>
      </c>
      <c r="E7">
        <f t="shared" si="0"/>
        <v>0</v>
      </c>
    </row>
    <row r="8" spans="1:5" hidden="1">
      <c r="A8" s="22" t="s">
        <v>42</v>
      </c>
      <c r="B8" s="22" t="s">
        <v>3</v>
      </c>
      <c r="C8">
        <v>0</v>
      </c>
      <c r="E8">
        <f t="shared" si="0"/>
        <v>0</v>
      </c>
    </row>
    <row r="9" spans="1:5">
      <c r="A9" s="22" t="s">
        <v>45</v>
      </c>
      <c r="B9" s="22" t="s">
        <v>3</v>
      </c>
      <c r="C9">
        <v>55</v>
      </c>
      <c r="D9" s="29">
        <v>10000</v>
      </c>
      <c r="E9" s="29">
        <f t="shared" si="0"/>
        <v>550000</v>
      </c>
    </row>
    <row r="10" spans="1:5" hidden="1">
      <c r="A10" s="22" t="s">
        <v>45</v>
      </c>
      <c r="B10" s="22" t="s">
        <v>30</v>
      </c>
      <c r="C10">
        <v>0</v>
      </c>
      <c r="E10">
        <f t="shared" si="0"/>
        <v>0</v>
      </c>
    </row>
    <row r="11" spans="1:5">
      <c r="A11" s="22" t="s">
        <v>47</v>
      </c>
      <c r="B11" s="22" t="s">
        <v>3</v>
      </c>
      <c r="C11">
        <v>345</v>
      </c>
      <c r="D11" s="29">
        <v>9000</v>
      </c>
      <c r="E11" s="29">
        <f t="shared" si="0"/>
        <v>3105000</v>
      </c>
    </row>
    <row r="12" spans="1:5" hidden="1">
      <c r="A12" s="22" t="s">
        <v>47</v>
      </c>
      <c r="B12" s="22" t="s">
        <v>48</v>
      </c>
      <c r="C12">
        <v>0</v>
      </c>
      <c r="E12">
        <f t="shared" si="0"/>
        <v>0</v>
      </c>
    </row>
    <row r="13" spans="1:5">
      <c r="A13" s="22" t="s">
        <v>49</v>
      </c>
      <c r="B13" s="22" t="s">
        <v>30</v>
      </c>
      <c r="C13">
        <v>30</v>
      </c>
      <c r="D13" s="29">
        <v>2100</v>
      </c>
      <c r="E13" s="29">
        <f t="shared" si="0"/>
        <v>63000</v>
      </c>
    </row>
    <row r="14" spans="1:5">
      <c r="A14" s="22" t="s">
        <v>51</v>
      </c>
      <c r="B14" s="22" t="s">
        <v>3</v>
      </c>
      <c r="C14">
        <v>1220</v>
      </c>
      <c r="D14" s="29">
        <v>26500</v>
      </c>
      <c r="E14" s="29">
        <f t="shared" si="0"/>
        <v>32330000</v>
      </c>
    </row>
    <row r="15" spans="1:5" hidden="1">
      <c r="A15" s="22" t="s">
        <v>51</v>
      </c>
      <c r="B15" s="22" t="s">
        <v>30</v>
      </c>
      <c r="C15">
        <v>0</v>
      </c>
      <c r="E15">
        <f t="shared" si="0"/>
        <v>0</v>
      </c>
    </row>
    <row r="16" spans="1:5" hidden="1">
      <c r="A16" s="22" t="s">
        <v>53</v>
      </c>
      <c r="B16" s="22" t="s">
        <v>3</v>
      </c>
      <c r="C16">
        <v>0</v>
      </c>
      <c r="E16">
        <f t="shared" si="0"/>
        <v>0</v>
      </c>
    </row>
    <row r="17" spans="1:5">
      <c r="A17" s="22" t="s">
        <v>56</v>
      </c>
      <c r="B17" s="22" t="s">
        <v>3</v>
      </c>
      <c r="C17">
        <v>230</v>
      </c>
      <c r="D17" s="29">
        <v>14000</v>
      </c>
      <c r="E17" s="29">
        <f t="shared" si="0"/>
        <v>3220000</v>
      </c>
    </row>
    <row r="18" spans="1:5" hidden="1">
      <c r="A18" s="22" t="s">
        <v>56</v>
      </c>
      <c r="B18" s="22" t="s">
        <v>30</v>
      </c>
      <c r="C18">
        <v>0</v>
      </c>
      <c r="E18">
        <f t="shared" si="0"/>
        <v>0</v>
      </c>
    </row>
    <row r="19" spans="1:5" hidden="1">
      <c r="A19" s="22" t="s">
        <v>16</v>
      </c>
      <c r="B19" s="22" t="s">
        <v>3</v>
      </c>
      <c r="C19">
        <v>0</v>
      </c>
      <c r="E19">
        <f t="shared" si="0"/>
        <v>0</v>
      </c>
    </row>
    <row r="20" spans="1:5">
      <c r="A20" s="22" t="s">
        <v>16</v>
      </c>
      <c r="B20" s="22" t="s">
        <v>17</v>
      </c>
      <c r="C20">
        <v>2</v>
      </c>
      <c r="D20" s="29">
        <v>5000</v>
      </c>
      <c r="E20" s="29">
        <f t="shared" si="0"/>
        <v>10000</v>
      </c>
    </row>
    <row r="21" spans="1:5">
      <c r="A21" s="22" t="s">
        <v>5</v>
      </c>
      <c r="B21" s="22" t="s">
        <v>3</v>
      </c>
      <c r="C21">
        <v>622</v>
      </c>
      <c r="D21" s="29">
        <v>6000</v>
      </c>
      <c r="E21" s="29">
        <f t="shared" si="0"/>
        <v>3732000</v>
      </c>
    </row>
    <row r="22" spans="1:5">
      <c r="A22" s="22" t="s">
        <v>35</v>
      </c>
      <c r="B22" s="22" t="s">
        <v>3</v>
      </c>
      <c r="C22">
        <v>19</v>
      </c>
      <c r="D22" s="29">
        <v>12000</v>
      </c>
      <c r="E22" s="29">
        <f t="shared" si="0"/>
        <v>228000</v>
      </c>
    </row>
    <row r="23" spans="1:5" hidden="1">
      <c r="A23" s="22" t="s">
        <v>35</v>
      </c>
      <c r="B23" s="22" t="s">
        <v>30</v>
      </c>
      <c r="C23">
        <v>0</v>
      </c>
      <c r="E23">
        <f t="shared" si="0"/>
        <v>0</v>
      </c>
    </row>
    <row r="24" spans="1:5" hidden="1">
      <c r="A24" s="22" t="s">
        <v>37</v>
      </c>
      <c r="B24" s="22" t="s">
        <v>3</v>
      </c>
      <c r="C24">
        <v>0</v>
      </c>
      <c r="E24">
        <f t="shared" si="0"/>
        <v>0</v>
      </c>
    </row>
    <row r="25" spans="1:5">
      <c r="A25" s="22" t="s">
        <v>37</v>
      </c>
      <c r="B25" s="22" t="s">
        <v>30</v>
      </c>
      <c r="C25">
        <v>13</v>
      </c>
      <c r="D25" s="29">
        <v>3900</v>
      </c>
      <c r="E25" s="29">
        <f t="shared" si="0"/>
        <v>50700</v>
      </c>
    </row>
    <row r="26" spans="1:5">
      <c r="A26" s="22" t="s">
        <v>38</v>
      </c>
      <c r="B26" s="22" t="s">
        <v>3</v>
      </c>
      <c r="C26">
        <v>2140</v>
      </c>
      <c r="D26" s="29">
        <v>4500</v>
      </c>
      <c r="E26" s="29">
        <f t="shared" si="0"/>
        <v>9630000</v>
      </c>
    </row>
    <row r="27" spans="1:5">
      <c r="A27" s="22" t="s">
        <v>39</v>
      </c>
      <c r="B27" s="22" t="s">
        <v>3</v>
      </c>
      <c r="C27">
        <v>30</v>
      </c>
      <c r="D27" s="29">
        <v>12000</v>
      </c>
      <c r="E27" s="29">
        <f t="shared" si="0"/>
        <v>360000</v>
      </c>
    </row>
    <row r="28" spans="1:5" hidden="1">
      <c r="A28" s="22" t="s">
        <v>39</v>
      </c>
      <c r="B28" s="22" t="s">
        <v>40</v>
      </c>
      <c r="C28">
        <v>0</v>
      </c>
      <c r="E28">
        <f t="shared" si="0"/>
        <v>0</v>
      </c>
    </row>
    <row r="29" spans="1:5">
      <c r="A29" s="22" t="s">
        <v>7</v>
      </c>
      <c r="B29" s="22" t="s">
        <v>3</v>
      </c>
      <c r="C29">
        <v>970</v>
      </c>
      <c r="D29" s="29">
        <v>9706</v>
      </c>
      <c r="E29" s="29">
        <f t="shared" si="0"/>
        <v>9414820</v>
      </c>
    </row>
    <row r="30" spans="1:5">
      <c r="A30" s="22" t="s">
        <v>8</v>
      </c>
      <c r="B30" s="22" t="s">
        <v>3</v>
      </c>
      <c r="C30">
        <v>135</v>
      </c>
      <c r="D30" s="29">
        <v>17500</v>
      </c>
      <c r="E30" s="29">
        <f t="shared" si="0"/>
        <v>2362500</v>
      </c>
    </row>
    <row r="31" spans="1:5" hidden="1">
      <c r="A31" s="22" t="s">
        <v>8</v>
      </c>
      <c r="B31" s="22" t="s">
        <v>9</v>
      </c>
      <c r="C31">
        <v>0</v>
      </c>
      <c r="E31">
        <f t="shared" si="0"/>
        <v>0</v>
      </c>
    </row>
    <row r="32" spans="1:5">
      <c r="A32" s="22" t="s">
        <v>10</v>
      </c>
      <c r="B32" s="22" t="s">
        <v>3</v>
      </c>
      <c r="C32">
        <v>10</v>
      </c>
      <c r="D32" s="29">
        <v>14000</v>
      </c>
      <c r="E32" s="29">
        <f t="shared" si="0"/>
        <v>140000</v>
      </c>
    </row>
    <row r="33" spans="1:5" hidden="1">
      <c r="A33" s="22" t="s">
        <v>10</v>
      </c>
      <c r="B33" s="22" t="s">
        <v>9</v>
      </c>
      <c r="C33">
        <v>0</v>
      </c>
      <c r="E33">
        <f t="shared" si="0"/>
        <v>0</v>
      </c>
    </row>
    <row r="34" spans="1:5">
      <c r="A34" s="22" t="s">
        <v>18</v>
      </c>
      <c r="B34" s="22" t="s">
        <v>3</v>
      </c>
      <c r="C34">
        <v>220</v>
      </c>
      <c r="D34" s="29">
        <v>12500</v>
      </c>
      <c r="E34" s="29">
        <f t="shared" si="0"/>
        <v>2750000</v>
      </c>
    </row>
    <row r="35" spans="1:5" hidden="1">
      <c r="A35" s="22" t="s">
        <v>18</v>
      </c>
      <c r="B35" s="22" t="s">
        <v>17</v>
      </c>
      <c r="C35">
        <v>0</v>
      </c>
      <c r="E35">
        <f t="shared" si="0"/>
        <v>0</v>
      </c>
    </row>
    <row r="36" spans="1:5" hidden="1">
      <c r="A36" s="22" t="s">
        <v>18</v>
      </c>
      <c r="B36" s="22" t="s">
        <v>19</v>
      </c>
      <c r="C36">
        <v>0</v>
      </c>
      <c r="E36">
        <f t="shared" si="0"/>
        <v>0</v>
      </c>
    </row>
    <row r="37" spans="1:5">
      <c r="A37" s="22" t="s">
        <v>28</v>
      </c>
      <c r="B37" s="22" t="s">
        <v>3</v>
      </c>
      <c r="C37">
        <v>280</v>
      </c>
      <c r="D37" s="29">
        <v>14000</v>
      </c>
      <c r="E37" s="29">
        <f t="shared" si="0"/>
        <v>3920000</v>
      </c>
    </row>
    <row r="38" spans="1:5" hidden="1">
      <c r="A38" s="22" t="s">
        <v>28</v>
      </c>
      <c r="B38" s="22" t="s">
        <v>17</v>
      </c>
      <c r="C38">
        <v>0</v>
      </c>
      <c r="E38">
        <f t="shared" si="0"/>
        <v>0</v>
      </c>
    </row>
    <row r="39" spans="1:5">
      <c r="A39" s="22" t="s">
        <v>29</v>
      </c>
      <c r="B39" s="22" t="s">
        <v>30</v>
      </c>
      <c r="C39">
        <v>25</v>
      </c>
      <c r="D39" s="29">
        <v>10000</v>
      </c>
      <c r="E39" s="29">
        <f t="shared" si="0"/>
        <v>250000</v>
      </c>
    </row>
    <row r="40" spans="1:5">
      <c r="A40" s="22" t="s">
        <v>65</v>
      </c>
      <c r="B40" s="22" t="s">
        <v>3</v>
      </c>
      <c r="C40">
        <v>80</v>
      </c>
      <c r="D40" s="29">
        <v>15000</v>
      </c>
      <c r="E40" s="29">
        <f t="shared" si="0"/>
        <v>1200000</v>
      </c>
    </row>
    <row r="41" spans="1:5">
      <c r="A41" s="22" t="s">
        <v>65</v>
      </c>
      <c r="B41" s="22" t="s">
        <v>17</v>
      </c>
      <c r="C41">
        <v>25</v>
      </c>
      <c r="D41" s="29">
        <v>6500</v>
      </c>
      <c r="E41" s="29">
        <f t="shared" si="0"/>
        <v>162500</v>
      </c>
    </row>
    <row r="42" spans="1:5">
      <c r="A42" s="22" t="s">
        <v>67</v>
      </c>
      <c r="B42" s="22" t="s">
        <v>3</v>
      </c>
      <c r="C42">
        <v>35</v>
      </c>
      <c r="D42" s="29">
        <v>16000</v>
      </c>
      <c r="E42" s="29">
        <f t="shared" si="0"/>
        <v>560000</v>
      </c>
    </row>
    <row r="43" spans="1:5">
      <c r="A43" s="22" t="s">
        <v>74</v>
      </c>
      <c r="B43" s="22" t="s">
        <v>3</v>
      </c>
      <c r="C43">
        <v>72</v>
      </c>
      <c r="D43" s="29">
        <v>60000</v>
      </c>
      <c r="E43" s="29">
        <f t="shared" si="0"/>
        <v>4320000</v>
      </c>
    </row>
    <row r="44" spans="1:5" hidden="1">
      <c r="A44" s="22" t="s">
        <v>74</v>
      </c>
      <c r="B44" s="22" t="s">
        <v>9</v>
      </c>
      <c r="C44">
        <v>0</v>
      </c>
      <c r="E44">
        <f t="shared" si="0"/>
        <v>0</v>
      </c>
    </row>
    <row r="45" spans="1:5">
      <c r="A45" s="22" t="s">
        <v>76</v>
      </c>
      <c r="B45" s="22" t="s">
        <v>3</v>
      </c>
      <c r="C45">
        <v>100</v>
      </c>
      <c r="D45" s="29">
        <v>60000</v>
      </c>
      <c r="E45" s="29">
        <f t="shared" si="0"/>
        <v>6000000</v>
      </c>
    </row>
    <row r="46" spans="1:5" hidden="1">
      <c r="A46" s="22" t="s">
        <v>76</v>
      </c>
      <c r="B46" s="22" t="s">
        <v>9</v>
      </c>
      <c r="C46">
        <v>0</v>
      </c>
      <c r="E46">
        <f t="shared" si="0"/>
        <v>0</v>
      </c>
    </row>
    <row r="47" spans="1:5">
      <c r="A47" s="22" t="s">
        <v>78</v>
      </c>
      <c r="B47" s="22" t="s">
        <v>3</v>
      </c>
      <c r="C47">
        <v>48</v>
      </c>
      <c r="D47" s="29">
        <v>35000</v>
      </c>
      <c r="E47" s="29">
        <f t="shared" si="0"/>
        <v>1680000</v>
      </c>
    </row>
    <row r="48" spans="1:5" hidden="1">
      <c r="A48" s="22" t="s">
        <v>78</v>
      </c>
      <c r="B48" s="22" t="s">
        <v>9</v>
      </c>
      <c r="C48">
        <v>0</v>
      </c>
      <c r="E48">
        <f t="shared" si="0"/>
        <v>0</v>
      </c>
    </row>
    <row r="49" spans="1:5" hidden="1">
      <c r="A49" s="22" t="s">
        <v>11</v>
      </c>
      <c r="B49" s="22" t="s">
        <v>3</v>
      </c>
      <c r="C49">
        <v>0</v>
      </c>
      <c r="E49">
        <f t="shared" si="0"/>
        <v>0</v>
      </c>
    </row>
    <row r="50" spans="1:5" hidden="1">
      <c r="A50" s="22" t="s">
        <v>72</v>
      </c>
      <c r="B50" s="22" t="s">
        <v>17</v>
      </c>
      <c r="C50">
        <v>0</v>
      </c>
      <c r="E50">
        <f t="shared" si="0"/>
        <v>0</v>
      </c>
    </row>
    <row r="51" spans="1:5">
      <c r="A51" s="22" t="s">
        <v>50</v>
      </c>
      <c r="B51" s="22" t="s">
        <v>3</v>
      </c>
      <c r="C51">
        <v>2500</v>
      </c>
      <c r="D51" s="29">
        <v>26500</v>
      </c>
      <c r="E51" s="29">
        <f t="shared" si="0"/>
        <v>66250000</v>
      </c>
    </row>
    <row r="52" spans="1:5">
      <c r="A52" s="22" t="s">
        <v>22</v>
      </c>
      <c r="B52" s="22" t="s">
        <v>3</v>
      </c>
      <c r="C52">
        <v>17</v>
      </c>
      <c r="D52" s="29">
        <v>17000</v>
      </c>
      <c r="E52" s="29">
        <f t="shared" si="0"/>
        <v>289000</v>
      </c>
    </row>
    <row r="53" spans="1:5">
      <c r="A53" s="22" t="s">
        <v>22</v>
      </c>
      <c r="B53" s="22" t="s">
        <v>23</v>
      </c>
      <c r="C53">
        <v>72</v>
      </c>
      <c r="D53" s="29">
        <v>5100</v>
      </c>
      <c r="E53" s="29">
        <f t="shared" si="0"/>
        <v>367200</v>
      </c>
    </row>
    <row r="54" spans="1:5" hidden="1">
      <c r="A54" s="22" t="s">
        <v>55</v>
      </c>
      <c r="B54" s="22" t="s">
        <v>3</v>
      </c>
      <c r="C54">
        <v>0</v>
      </c>
      <c r="E54">
        <f t="shared" si="0"/>
        <v>0</v>
      </c>
    </row>
    <row r="55" spans="1:5" hidden="1">
      <c r="A55" s="22" t="s">
        <v>69</v>
      </c>
      <c r="B55" s="22" t="s">
        <v>3</v>
      </c>
      <c r="C55">
        <v>0</v>
      </c>
      <c r="E55">
        <f t="shared" si="0"/>
        <v>0</v>
      </c>
    </row>
    <row r="56" spans="1:5">
      <c r="A56" s="22" t="s">
        <v>2</v>
      </c>
      <c r="B56" s="22" t="s">
        <v>3</v>
      </c>
      <c r="C56">
        <v>23</v>
      </c>
      <c r="D56" s="29">
        <v>20000</v>
      </c>
      <c r="E56" s="29">
        <f t="shared" si="0"/>
        <v>460000</v>
      </c>
    </row>
    <row r="57" spans="1:5">
      <c r="A57" s="22" t="s">
        <v>4</v>
      </c>
      <c r="B57" s="22" t="s">
        <v>3</v>
      </c>
      <c r="C57">
        <v>170</v>
      </c>
      <c r="D57" s="29">
        <v>5000</v>
      </c>
      <c r="E57" s="29">
        <f t="shared" si="0"/>
        <v>850000</v>
      </c>
    </row>
    <row r="58" spans="1:5" hidden="1">
      <c r="A58" s="22" t="s">
        <v>12</v>
      </c>
      <c r="B58" s="22" t="s">
        <v>3</v>
      </c>
      <c r="C58">
        <v>0</v>
      </c>
      <c r="E58">
        <f t="shared" si="0"/>
        <v>0</v>
      </c>
    </row>
    <row r="59" spans="1:5" hidden="1">
      <c r="A59" s="22" t="s">
        <v>13</v>
      </c>
      <c r="B59" s="22" t="s">
        <v>3</v>
      </c>
      <c r="C59">
        <v>0</v>
      </c>
      <c r="E59">
        <f t="shared" si="0"/>
        <v>0</v>
      </c>
    </row>
    <row r="60" spans="1:5">
      <c r="A60" s="22" t="s">
        <v>20</v>
      </c>
      <c r="B60" s="22" t="s">
        <v>3</v>
      </c>
      <c r="C60">
        <v>27</v>
      </c>
      <c r="D60" s="29">
        <v>12000</v>
      </c>
      <c r="E60" s="29">
        <f t="shared" si="0"/>
        <v>324000</v>
      </c>
    </row>
    <row r="61" spans="1:5">
      <c r="A61" s="22" t="s">
        <v>20</v>
      </c>
      <c r="B61" s="22" t="s">
        <v>21</v>
      </c>
      <c r="C61">
        <v>70</v>
      </c>
      <c r="D61" s="29">
        <v>7000</v>
      </c>
      <c r="E61" s="29">
        <f t="shared" si="0"/>
        <v>490000</v>
      </c>
    </row>
    <row r="62" spans="1:5">
      <c r="A62" s="22" t="s">
        <v>24</v>
      </c>
      <c r="B62" s="22" t="s">
        <v>25</v>
      </c>
      <c r="C62">
        <v>4</v>
      </c>
      <c r="D62" s="29">
        <v>11100</v>
      </c>
      <c r="E62" s="29">
        <f t="shared" si="0"/>
        <v>44400</v>
      </c>
    </row>
    <row r="63" spans="1:5" hidden="1">
      <c r="A63" s="22" t="s">
        <v>26</v>
      </c>
      <c r="B63" s="22" t="s">
        <v>3</v>
      </c>
      <c r="C63">
        <v>0</v>
      </c>
      <c r="E63">
        <f t="shared" si="0"/>
        <v>0</v>
      </c>
    </row>
    <row r="64" spans="1:5" hidden="1">
      <c r="A64" s="22" t="s">
        <v>26</v>
      </c>
      <c r="B64" s="22" t="s">
        <v>23</v>
      </c>
      <c r="C64">
        <v>0</v>
      </c>
      <c r="E64">
        <f t="shared" si="0"/>
        <v>0</v>
      </c>
    </row>
    <row r="65" spans="1:5">
      <c r="A65" s="22" t="s">
        <v>26</v>
      </c>
      <c r="B65" s="22" t="s">
        <v>27</v>
      </c>
      <c r="C65">
        <v>235</v>
      </c>
      <c r="D65" s="29">
        <v>7500</v>
      </c>
      <c r="E65" s="29">
        <f t="shared" si="0"/>
        <v>1762500</v>
      </c>
    </row>
    <row r="66" spans="1:5">
      <c r="A66" s="22" t="s">
        <v>33</v>
      </c>
      <c r="B66" s="22" t="s">
        <v>3</v>
      </c>
      <c r="C66">
        <v>55</v>
      </c>
      <c r="D66" s="29">
        <v>8000</v>
      </c>
      <c r="E66" s="29">
        <f t="shared" si="0"/>
        <v>440000</v>
      </c>
    </row>
    <row r="67" spans="1:5" hidden="1">
      <c r="A67" s="22" t="s">
        <v>33</v>
      </c>
      <c r="B67" s="22" t="s">
        <v>34</v>
      </c>
      <c r="C67">
        <v>0</v>
      </c>
      <c r="E67">
        <f t="shared" si="0"/>
        <v>0</v>
      </c>
    </row>
    <row r="68" spans="1:5" hidden="1">
      <c r="A68" s="22" t="s">
        <v>36</v>
      </c>
      <c r="B68" s="22" t="s">
        <v>3</v>
      </c>
      <c r="C68">
        <v>0</v>
      </c>
      <c r="E68">
        <f t="shared" ref="E68:E131" si="1">C68*D68</f>
        <v>0</v>
      </c>
    </row>
    <row r="69" spans="1:5">
      <c r="A69" s="22" t="s">
        <v>36</v>
      </c>
      <c r="B69" s="22" t="s">
        <v>30</v>
      </c>
      <c r="C69">
        <v>4</v>
      </c>
      <c r="D69" s="29">
        <v>3000</v>
      </c>
      <c r="E69" s="29">
        <f t="shared" si="1"/>
        <v>12000</v>
      </c>
    </row>
    <row r="70" spans="1:5" hidden="1">
      <c r="A70" s="22" t="s">
        <v>54</v>
      </c>
      <c r="B70" s="22" t="s">
        <v>3</v>
      </c>
      <c r="C70">
        <v>0</v>
      </c>
      <c r="E70">
        <f t="shared" si="1"/>
        <v>0</v>
      </c>
    </row>
    <row r="71" spans="1:5">
      <c r="A71" s="22" t="s">
        <v>41</v>
      </c>
      <c r="B71" s="22" t="s">
        <v>3</v>
      </c>
      <c r="C71">
        <v>20</v>
      </c>
      <c r="D71" s="29">
        <v>14000</v>
      </c>
      <c r="E71" s="29">
        <f t="shared" si="1"/>
        <v>280000</v>
      </c>
    </row>
    <row r="72" spans="1:5" hidden="1">
      <c r="A72" s="22" t="s">
        <v>44</v>
      </c>
      <c r="B72" s="22" t="s">
        <v>3</v>
      </c>
      <c r="C72">
        <v>0</v>
      </c>
      <c r="E72">
        <f t="shared" si="1"/>
        <v>0</v>
      </c>
    </row>
    <row r="73" spans="1:5">
      <c r="A73" s="22" t="s">
        <v>46</v>
      </c>
      <c r="B73" s="22" t="s">
        <v>3</v>
      </c>
      <c r="C73">
        <v>13</v>
      </c>
      <c r="D73" s="29">
        <v>19000</v>
      </c>
      <c r="E73" s="29">
        <f t="shared" si="1"/>
        <v>247000</v>
      </c>
    </row>
    <row r="74" spans="1:5">
      <c r="A74" s="22" t="s">
        <v>58</v>
      </c>
      <c r="B74" s="22" t="s">
        <v>3</v>
      </c>
      <c r="C74">
        <v>10</v>
      </c>
      <c r="D74" s="29">
        <v>8000</v>
      </c>
      <c r="E74" s="29">
        <f t="shared" si="1"/>
        <v>80000</v>
      </c>
    </row>
    <row r="75" spans="1:5" hidden="1">
      <c r="A75" s="22" t="s">
        <v>59</v>
      </c>
      <c r="B75" s="22" t="s">
        <v>3</v>
      </c>
      <c r="C75">
        <v>0</v>
      </c>
      <c r="E75">
        <f t="shared" si="1"/>
        <v>0</v>
      </c>
    </row>
    <row r="76" spans="1:5" hidden="1">
      <c r="A76" s="22" t="s">
        <v>59</v>
      </c>
      <c r="B76" s="22" t="s">
        <v>30</v>
      </c>
      <c r="C76">
        <v>0</v>
      </c>
      <c r="E76">
        <f t="shared" si="1"/>
        <v>0</v>
      </c>
    </row>
    <row r="77" spans="1:5" hidden="1">
      <c r="A77" s="22" t="s">
        <v>60</v>
      </c>
      <c r="B77" s="22" t="s">
        <v>3</v>
      </c>
      <c r="C77">
        <v>0</v>
      </c>
      <c r="E77">
        <f t="shared" si="1"/>
        <v>0</v>
      </c>
    </row>
    <row r="78" spans="1:5">
      <c r="A78" s="22" t="s">
        <v>60</v>
      </c>
      <c r="B78" s="22" t="s">
        <v>30</v>
      </c>
      <c r="C78">
        <v>15</v>
      </c>
      <c r="D78" s="29">
        <v>8000</v>
      </c>
      <c r="E78" s="29">
        <f t="shared" si="1"/>
        <v>120000</v>
      </c>
    </row>
    <row r="79" spans="1:5">
      <c r="A79" s="22" t="s">
        <v>60</v>
      </c>
      <c r="B79" s="22" t="s">
        <v>61</v>
      </c>
      <c r="C79">
        <v>93</v>
      </c>
      <c r="D79" s="29">
        <v>8000</v>
      </c>
      <c r="E79" s="29">
        <f t="shared" si="1"/>
        <v>744000</v>
      </c>
    </row>
    <row r="80" spans="1:5">
      <c r="A80" s="22" t="s">
        <v>62</v>
      </c>
      <c r="B80" s="22" t="s">
        <v>3</v>
      </c>
      <c r="C80">
        <v>0.5</v>
      </c>
      <c r="D80" s="29">
        <v>80000</v>
      </c>
      <c r="E80" s="29">
        <f t="shared" si="1"/>
        <v>40000</v>
      </c>
    </row>
    <row r="81" spans="1:5" hidden="1">
      <c r="A81" s="22" t="s">
        <v>62</v>
      </c>
      <c r="B81" s="22" t="s">
        <v>17</v>
      </c>
      <c r="C81">
        <v>0</v>
      </c>
      <c r="E81">
        <f t="shared" si="1"/>
        <v>0</v>
      </c>
    </row>
    <row r="82" spans="1:5">
      <c r="A82" s="22" t="s">
        <v>63</v>
      </c>
      <c r="B82" s="22" t="s">
        <v>3</v>
      </c>
      <c r="C82">
        <v>0.5</v>
      </c>
      <c r="D82" s="29">
        <v>70000</v>
      </c>
      <c r="E82" s="29">
        <f t="shared" si="1"/>
        <v>35000</v>
      </c>
    </row>
    <row r="83" spans="1:5" hidden="1">
      <c r="A83" s="22" t="s">
        <v>64</v>
      </c>
      <c r="B83" s="22" t="s">
        <v>3</v>
      </c>
      <c r="C83">
        <v>0</v>
      </c>
      <c r="E83">
        <f t="shared" si="1"/>
        <v>0</v>
      </c>
    </row>
    <row r="84" spans="1:5">
      <c r="A84" s="22" t="s">
        <v>68</v>
      </c>
      <c r="B84" s="22" t="s">
        <v>3</v>
      </c>
      <c r="C84">
        <v>30</v>
      </c>
      <c r="D84" s="29">
        <v>11000</v>
      </c>
      <c r="E84" s="29">
        <f t="shared" si="1"/>
        <v>330000</v>
      </c>
    </row>
    <row r="85" spans="1:5" hidden="1">
      <c r="A85" s="22" t="s">
        <v>68</v>
      </c>
      <c r="B85" s="22" t="s">
        <v>40</v>
      </c>
      <c r="C85">
        <v>0</v>
      </c>
      <c r="E85">
        <f t="shared" si="1"/>
        <v>0</v>
      </c>
    </row>
    <row r="86" spans="1:5" hidden="1">
      <c r="A86" s="22" t="s">
        <v>85</v>
      </c>
      <c r="B86" s="22" t="s">
        <v>3</v>
      </c>
      <c r="C86">
        <v>0</v>
      </c>
      <c r="E86">
        <f t="shared" si="1"/>
        <v>0</v>
      </c>
    </row>
    <row r="87" spans="1:5" hidden="1">
      <c r="A87" s="22" t="s">
        <v>70</v>
      </c>
      <c r="B87" s="22" t="s">
        <v>30</v>
      </c>
      <c r="C87">
        <v>0</v>
      </c>
      <c r="E87">
        <f t="shared" si="1"/>
        <v>0</v>
      </c>
    </row>
    <row r="88" spans="1:5" hidden="1">
      <c r="A88" s="22" t="s">
        <v>71</v>
      </c>
      <c r="B88" s="22" t="s">
        <v>3</v>
      </c>
      <c r="C88">
        <v>0</v>
      </c>
      <c r="E88">
        <f t="shared" si="1"/>
        <v>0</v>
      </c>
    </row>
    <row r="89" spans="1:5" hidden="1">
      <c r="A89" s="22" t="s">
        <v>73</v>
      </c>
      <c r="B89" s="22" t="s">
        <v>25</v>
      </c>
      <c r="C89">
        <v>0</v>
      </c>
      <c r="E89">
        <f t="shared" si="1"/>
        <v>0</v>
      </c>
    </row>
    <row r="90" spans="1:5">
      <c r="A90" s="22" t="s">
        <v>73</v>
      </c>
      <c r="B90" s="22" t="s">
        <v>3</v>
      </c>
      <c r="C90">
        <v>7</v>
      </c>
      <c r="D90" s="29">
        <v>55000</v>
      </c>
      <c r="E90" s="29">
        <f t="shared" si="1"/>
        <v>385000</v>
      </c>
    </row>
    <row r="91" spans="1:5">
      <c r="A91" s="22" t="s">
        <v>79</v>
      </c>
      <c r="B91" s="22" t="s">
        <v>30</v>
      </c>
      <c r="C91">
        <v>33</v>
      </c>
      <c r="D91" s="29">
        <v>18000</v>
      </c>
      <c r="E91" s="29">
        <f t="shared" si="1"/>
        <v>594000</v>
      </c>
    </row>
    <row r="92" spans="1:5">
      <c r="A92" s="22" t="s">
        <v>87</v>
      </c>
      <c r="B92" s="22" t="s">
        <v>3</v>
      </c>
      <c r="C92">
        <v>300</v>
      </c>
      <c r="D92" s="29">
        <v>4000</v>
      </c>
      <c r="E92" s="29">
        <f t="shared" si="1"/>
        <v>1200000</v>
      </c>
    </row>
    <row r="93" spans="1:5">
      <c r="A93" s="22" t="s">
        <v>81</v>
      </c>
      <c r="B93" s="22" t="s">
        <v>9</v>
      </c>
      <c r="C93">
        <v>1022</v>
      </c>
      <c r="D93" s="29">
        <v>9000</v>
      </c>
      <c r="E93" s="29">
        <f t="shared" si="1"/>
        <v>9198000</v>
      </c>
    </row>
    <row r="94" spans="1:5" hidden="1">
      <c r="A94" s="22" t="s">
        <v>84</v>
      </c>
      <c r="B94" s="22" t="s">
        <v>3</v>
      </c>
      <c r="C94">
        <v>0</v>
      </c>
      <c r="E94">
        <f t="shared" si="1"/>
        <v>0</v>
      </c>
    </row>
    <row r="95" spans="1:5">
      <c r="A95" s="22" t="s">
        <v>91</v>
      </c>
      <c r="B95" s="22" t="s">
        <v>3</v>
      </c>
      <c r="C95">
        <v>1</v>
      </c>
      <c r="D95" s="29">
        <v>24000</v>
      </c>
      <c r="E95" s="29">
        <f t="shared" si="1"/>
        <v>24000</v>
      </c>
    </row>
    <row r="96" spans="1:5" hidden="1">
      <c r="A96" s="22" t="s">
        <v>93</v>
      </c>
      <c r="B96" s="22" t="s">
        <v>3</v>
      </c>
      <c r="C96">
        <v>0</v>
      </c>
      <c r="E96">
        <f t="shared" si="1"/>
        <v>0</v>
      </c>
    </row>
    <row r="97" spans="1:5">
      <c r="A97" s="22" t="s">
        <v>94</v>
      </c>
      <c r="B97" s="22" t="s">
        <v>3</v>
      </c>
      <c r="C97">
        <v>20</v>
      </c>
      <c r="D97" s="29">
        <v>30000</v>
      </c>
      <c r="E97" s="29">
        <f t="shared" si="1"/>
        <v>600000</v>
      </c>
    </row>
    <row r="98" spans="1:5" hidden="1">
      <c r="A98" s="22" t="s">
        <v>95</v>
      </c>
      <c r="B98" s="22" t="s">
        <v>40</v>
      </c>
      <c r="C98">
        <v>0</v>
      </c>
      <c r="E98">
        <f t="shared" si="1"/>
        <v>0</v>
      </c>
    </row>
    <row r="99" spans="1:5">
      <c r="A99" s="22" t="s">
        <v>145</v>
      </c>
      <c r="B99" s="22" t="s">
        <v>40</v>
      </c>
      <c r="C99">
        <v>580</v>
      </c>
      <c r="D99" s="29">
        <v>5000</v>
      </c>
      <c r="E99" s="29">
        <f t="shared" si="1"/>
        <v>2900000</v>
      </c>
    </row>
    <row r="100" spans="1:5">
      <c r="A100" s="22" t="s">
        <v>15</v>
      </c>
      <c r="B100" s="22" t="s">
        <v>3</v>
      </c>
      <c r="C100">
        <v>25</v>
      </c>
      <c r="D100" s="29">
        <v>25000</v>
      </c>
      <c r="E100" s="29">
        <f t="shared" si="1"/>
        <v>625000</v>
      </c>
    </row>
    <row r="101" spans="1:5">
      <c r="A101" s="22" t="s">
        <v>89</v>
      </c>
      <c r="B101" s="22" t="s">
        <v>3</v>
      </c>
      <c r="C101">
        <v>6</v>
      </c>
      <c r="D101" s="29">
        <v>25000</v>
      </c>
      <c r="E101" s="29">
        <f t="shared" si="1"/>
        <v>150000</v>
      </c>
    </row>
    <row r="102" spans="1:5" hidden="1">
      <c r="A102" s="22" t="s">
        <v>100</v>
      </c>
      <c r="B102" s="22" t="s">
        <v>3</v>
      </c>
      <c r="C102">
        <v>0</v>
      </c>
      <c r="E102">
        <f t="shared" si="1"/>
        <v>0</v>
      </c>
    </row>
    <row r="103" spans="1:5">
      <c r="A103" s="22" t="s">
        <v>97</v>
      </c>
      <c r="B103" s="22" t="s">
        <v>3</v>
      </c>
      <c r="C103">
        <v>10</v>
      </c>
      <c r="D103" s="29">
        <v>15000</v>
      </c>
      <c r="E103" s="29">
        <f t="shared" si="1"/>
        <v>150000</v>
      </c>
    </row>
    <row r="104" spans="1:5" hidden="1">
      <c r="A104" s="22" t="s">
        <v>98</v>
      </c>
      <c r="B104" s="22" t="s">
        <v>3</v>
      </c>
      <c r="C104">
        <v>0</v>
      </c>
      <c r="E104">
        <f t="shared" si="1"/>
        <v>0</v>
      </c>
    </row>
    <row r="105" spans="1:5" hidden="1">
      <c r="A105" s="22" t="s">
        <v>92</v>
      </c>
      <c r="B105" s="22" t="s">
        <v>40</v>
      </c>
      <c r="C105">
        <v>0</v>
      </c>
      <c r="E105">
        <f t="shared" si="1"/>
        <v>0</v>
      </c>
    </row>
    <row r="106" spans="1:5" hidden="1">
      <c r="A106" s="22" t="s">
        <v>90</v>
      </c>
      <c r="B106" s="22" t="s">
        <v>40</v>
      </c>
      <c r="C106">
        <v>0</v>
      </c>
      <c r="E106">
        <f t="shared" si="1"/>
        <v>0</v>
      </c>
    </row>
    <row r="107" spans="1:5" hidden="1">
      <c r="A107" s="22" t="s">
        <v>116</v>
      </c>
      <c r="B107" s="22" t="s">
        <v>3</v>
      </c>
      <c r="C107">
        <v>0</v>
      </c>
      <c r="E107">
        <f t="shared" si="1"/>
        <v>0</v>
      </c>
    </row>
    <row r="108" spans="1:5" hidden="1">
      <c r="A108" s="22" t="s">
        <v>140</v>
      </c>
      <c r="B108" s="22" t="s">
        <v>3</v>
      </c>
      <c r="C108">
        <v>0</v>
      </c>
      <c r="E108">
        <f t="shared" si="1"/>
        <v>0</v>
      </c>
    </row>
    <row r="109" spans="1:5">
      <c r="A109" s="22" t="s">
        <v>96</v>
      </c>
      <c r="B109" s="22" t="s">
        <v>3</v>
      </c>
      <c r="C109">
        <v>10</v>
      </c>
      <c r="D109" s="29">
        <v>12000</v>
      </c>
      <c r="E109" s="29">
        <f t="shared" si="1"/>
        <v>120000</v>
      </c>
    </row>
    <row r="110" spans="1:5" hidden="1">
      <c r="A110" t="s">
        <v>119</v>
      </c>
      <c r="B110" t="s">
        <v>3</v>
      </c>
      <c r="C110">
        <v>0</v>
      </c>
      <c r="E110">
        <f t="shared" si="1"/>
        <v>0</v>
      </c>
    </row>
    <row r="111" spans="1:5" hidden="1">
      <c r="A111" t="s">
        <v>66</v>
      </c>
      <c r="B111" t="s">
        <v>3</v>
      </c>
      <c r="C111">
        <v>0</v>
      </c>
      <c r="E111">
        <f t="shared" si="1"/>
        <v>0</v>
      </c>
    </row>
    <row r="112" spans="1:5" hidden="1">
      <c r="A112" t="s">
        <v>125</v>
      </c>
      <c r="B112" t="s">
        <v>3</v>
      </c>
      <c r="C112">
        <v>0</v>
      </c>
      <c r="E112">
        <f t="shared" si="1"/>
        <v>0</v>
      </c>
    </row>
    <row r="113" spans="1:5" hidden="1">
      <c r="A113" t="s">
        <v>108</v>
      </c>
      <c r="B113" t="s">
        <v>3</v>
      </c>
      <c r="C113">
        <v>0</v>
      </c>
      <c r="E113">
        <f t="shared" si="1"/>
        <v>0</v>
      </c>
    </row>
    <row r="114" spans="1:5" hidden="1">
      <c r="A114" t="s">
        <v>108</v>
      </c>
      <c r="B114" t="s">
        <v>30</v>
      </c>
      <c r="C114">
        <v>0</v>
      </c>
      <c r="E114">
        <f t="shared" si="1"/>
        <v>0</v>
      </c>
    </row>
    <row r="115" spans="1:5" hidden="1">
      <c r="A115" t="s">
        <v>131</v>
      </c>
      <c r="B115" t="s">
        <v>3</v>
      </c>
      <c r="C115">
        <v>0</v>
      </c>
      <c r="E115">
        <f t="shared" si="1"/>
        <v>0</v>
      </c>
    </row>
    <row r="116" spans="1:5">
      <c r="A116" t="s">
        <v>6</v>
      </c>
      <c r="B116" t="s">
        <v>3</v>
      </c>
      <c r="C116">
        <v>20</v>
      </c>
      <c r="D116" s="29">
        <v>8000</v>
      </c>
      <c r="E116" s="29">
        <f t="shared" si="1"/>
        <v>160000</v>
      </c>
    </row>
    <row r="117" spans="1:5" hidden="1">
      <c r="A117" t="s">
        <v>80</v>
      </c>
      <c r="B117" t="s">
        <v>30</v>
      </c>
      <c r="C117">
        <v>0</v>
      </c>
      <c r="E117">
        <f t="shared" si="1"/>
        <v>0</v>
      </c>
    </row>
    <row r="118" spans="1:5">
      <c r="A118" t="s">
        <v>57</v>
      </c>
      <c r="B118" t="s">
        <v>30</v>
      </c>
      <c r="C118">
        <v>380</v>
      </c>
      <c r="D118" s="29">
        <v>6500</v>
      </c>
      <c r="E118" s="29">
        <f t="shared" si="1"/>
        <v>2470000</v>
      </c>
    </row>
    <row r="119" spans="1:5" hidden="1">
      <c r="A119" t="s">
        <v>142</v>
      </c>
      <c r="B119" t="s">
        <v>3</v>
      </c>
      <c r="C119">
        <v>0</v>
      </c>
      <c r="E119">
        <f t="shared" si="1"/>
        <v>0</v>
      </c>
    </row>
    <row r="120" spans="1:5">
      <c r="A120" t="s">
        <v>88</v>
      </c>
      <c r="B120" t="s">
        <v>3</v>
      </c>
      <c r="C120">
        <v>32</v>
      </c>
      <c r="D120" s="29">
        <v>13000</v>
      </c>
      <c r="E120" s="29">
        <f t="shared" si="1"/>
        <v>416000</v>
      </c>
    </row>
    <row r="121" spans="1:5" hidden="1">
      <c r="A121" t="s">
        <v>88</v>
      </c>
      <c r="B121" t="s">
        <v>30</v>
      </c>
      <c r="C121">
        <v>0</v>
      </c>
      <c r="E121">
        <f t="shared" si="1"/>
        <v>0</v>
      </c>
    </row>
    <row r="122" spans="1:5" hidden="1">
      <c r="A122" t="s">
        <v>139</v>
      </c>
      <c r="B122" t="s">
        <v>25</v>
      </c>
      <c r="C122">
        <v>0</v>
      </c>
      <c r="E122">
        <f t="shared" si="1"/>
        <v>0</v>
      </c>
    </row>
    <row r="123" spans="1:5" hidden="1">
      <c r="A123" t="s">
        <v>144</v>
      </c>
      <c r="B123" t="s">
        <v>3</v>
      </c>
      <c r="C123">
        <v>0</v>
      </c>
      <c r="E123">
        <f t="shared" si="1"/>
        <v>0</v>
      </c>
    </row>
    <row r="124" spans="1:5" hidden="1">
      <c r="A124" t="s">
        <v>141</v>
      </c>
      <c r="B124" t="s">
        <v>3</v>
      </c>
      <c r="C124">
        <v>0</v>
      </c>
      <c r="E124">
        <f t="shared" si="1"/>
        <v>0</v>
      </c>
    </row>
    <row r="125" spans="1:5" hidden="1">
      <c r="A125" t="s">
        <v>133</v>
      </c>
      <c r="B125" t="s">
        <v>17</v>
      </c>
      <c r="C125">
        <v>0</v>
      </c>
      <c r="E125">
        <f t="shared" si="1"/>
        <v>0</v>
      </c>
    </row>
    <row r="126" spans="1:5" hidden="1">
      <c r="A126" t="s">
        <v>138</v>
      </c>
      <c r="B126" t="s">
        <v>150</v>
      </c>
      <c r="C126">
        <v>0</v>
      </c>
      <c r="E126">
        <f t="shared" si="1"/>
        <v>0</v>
      </c>
    </row>
    <row r="127" spans="1:5" hidden="1">
      <c r="A127" t="s">
        <v>14</v>
      </c>
      <c r="B127" t="s">
        <v>3</v>
      </c>
      <c r="C127">
        <v>0</v>
      </c>
      <c r="E127">
        <f t="shared" si="1"/>
        <v>0</v>
      </c>
    </row>
    <row r="128" spans="1:5">
      <c r="A128" t="s">
        <v>99</v>
      </c>
      <c r="B128" t="s">
        <v>3</v>
      </c>
      <c r="C128">
        <v>670</v>
      </c>
      <c r="D128" s="29">
        <v>3500</v>
      </c>
      <c r="E128" s="29">
        <f t="shared" si="1"/>
        <v>2345000</v>
      </c>
    </row>
    <row r="129" spans="1:5">
      <c r="A129" t="s">
        <v>129</v>
      </c>
      <c r="B129" t="s">
        <v>3</v>
      </c>
      <c r="C129">
        <v>0.5</v>
      </c>
      <c r="D129" s="29">
        <v>70000</v>
      </c>
      <c r="E129" s="29">
        <f t="shared" si="1"/>
        <v>35000</v>
      </c>
    </row>
    <row r="130" spans="1:5">
      <c r="A130" t="s">
        <v>160</v>
      </c>
      <c r="B130" t="s">
        <v>3</v>
      </c>
      <c r="C130">
        <v>120</v>
      </c>
      <c r="D130" s="29">
        <v>50000</v>
      </c>
      <c r="E130" s="29">
        <f t="shared" si="1"/>
        <v>6000000</v>
      </c>
    </row>
    <row r="131" spans="1:5">
      <c r="A131" t="s">
        <v>75</v>
      </c>
      <c r="B131" t="s">
        <v>3</v>
      </c>
      <c r="C131">
        <v>8</v>
      </c>
      <c r="D131" s="29">
        <v>50000</v>
      </c>
      <c r="E131" s="29">
        <f t="shared" si="1"/>
        <v>400000</v>
      </c>
    </row>
    <row r="132" spans="1:5">
      <c r="A132" t="s">
        <v>82</v>
      </c>
      <c r="B132" t="s">
        <v>9</v>
      </c>
      <c r="C132">
        <v>375</v>
      </c>
      <c r="D132" s="29">
        <v>11361</v>
      </c>
      <c r="E132" s="29">
        <f t="shared" ref="E132" si="2">C132*D132</f>
        <v>4260375</v>
      </c>
    </row>
    <row r="133" spans="1:5">
      <c r="D133" s="29"/>
      <c r="E133" s="29">
        <f>SUM(E3:E132)</f>
        <v>192573495</v>
      </c>
    </row>
  </sheetData>
  <autoFilter ref="A2:I132">
    <filterColumn colId="2">
      <filters>
        <filter val="0.5"/>
        <filter val="1"/>
        <filter val="10"/>
        <filter val="100"/>
        <filter val="1022"/>
        <filter val="120"/>
        <filter val="1220"/>
        <filter val="13"/>
        <filter val="135"/>
        <filter val="15"/>
        <filter val="160"/>
        <filter val="17"/>
        <filter val="170"/>
        <filter val="19"/>
        <filter val="2"/>
        <filter val="20"/>
        <filter val="2140"/>
        <filter val="220"/>
        <filter val="23"/>
        <filter val="230"/>
        <filter val="235"/>
        <filter val="25"/>
        <filter val="2500"/>
        <filter val="27"/>
        <filter val="280"/>
        <filter val="30"/>
        <filter val="300"/>
        <filter val="32"/>
        <filter val="33"/>
        <filter val="345"/>
        <filter val="35"/>
        <filter val="375"/>
        <filter val="380"/>
        <filter val="4"/>
        <filter val="48"/>
        <filter val="55"/>
        <filter val="580"/>
        <filter val="6"/>
        <filter val="622"/>
        <filter val="670"/>
        <filter val="7"/>
        <filter val="70"/>
        <filter val="72"/>
        <filter val="8"/>
        <filter val="80"/>
        <filter val="93"/>
        <filter val="970"/>
      </filters>
    </filterColumn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115"/>
  <sheetViews>
    <sheetView topLeftCell="A64" workbookViewId="0">
      <selection activeCell="E118" sqref="E118"/>
    </sheetView>
  </sheetViews>
  <sheetFormatPr defaultRowHeight="13.8"/>
  <cols>
    <col min="1" max="1" width="26.796875" customWidth="1"/>
    <col min="4" max="4" width="13" customWidth="1"/>
    <col min="5" max="5" width="16.296875" customWidth="1"/>
  </cols>
  <sheetData>
    <row r="1" spans="1:5">
      <c r="A1" t="s">
        <v>174</v>
      </c>
    </row>
    <row r="2" spans="1:5" ht="41.4" customHeight="1">
      <c r="A2" s="52" t="s">
        <v>106</v>
      </c>
      <c r="B2" s="52" t="s">
        <v>0</v>
      </c>
      <c r="C2" s="53" t="s">
        <v>111</v>
      </c>
      <c r="D2" s="53" t="s">
        <v>112</v>
      </c>
      <c r="E2" s="54" t="s">
        <v>113</v>
      </c>
    </row>
    <row r="3" spans="1:5" ht="15.6">
      <c r="A3" s="22" t="s">
        <v>31</v>
      </c>
      <c r="B3" s="22" t="s">
        <v>3</v>
      </c>
      <c r="C3" s="53">
        <v>95</v>
      </c>
      <c r="D3" s="53">
        <v>7500</v>
      </c>
      <c r="E3" s="55">
        <f>C3*D3</f>
        <v>712500</v>
      </c>
    </row>
    <row r="4" spans="1:5" ht="15.6" hidden="1">
      <c r="A4" s="22" t="s">
        <v>31</v>
      </c>
      <c r="B4" s="22" t="s">
        <v>30</v>
      </c>
      <c r="C4" s="53">
        <v>0</v>
      </c>
      <c r="D4" s="53"/>
      <c r="E4" s="55">
        <f t="shared" ref="E4:E67" si="0">C4*D4</f>
        <v>0</v>
      </c>
    </row>
    <row r="5" spans="1:5" ht="15.6" hidden="1">
      <c r="A5" s="22" t="s">
        <v>32</v>
      </c>
      <c r="B5" s="22" t="s">
        <v>17</v>
      </c>
      <c r="C5" s="53">
        <v>0</v>
      </c>
      <c r="D5" s="53"/>
      <c r="E5" s="55">
        <f t="shared" si="0"/>
        <v>0</v>
      </c>
    </row>
    <row r="6" spans="1:5" ht="15.6">
      <c r="A6" s="22" t="s">
        <v>42</v>
      </c>
      <c r="B6" s="22" t="s">
        <v>25</v>
      </c>
      <c r="C6" s="53">
        <v>7</v>
      </c>
      <c r="D6" s="53">
        <v>10000</v>
      </c>
      <c r="E6" s="55">
        <f t="shared" si="0"/>
        <v>70000</v>
      </c>
    </row>
    <row r="7" spans="1:5" ht="15.6">
      <c r="A7" s="22" t="s">
        <v>45</v>
      </c>
      <c r="B7" s="22" t="s">
        <v>3</v>
      </c>
      <c r="C7" s="53">
        <v>58</v>
      </c>
      <c r="D7" s="53">
        <v>10000</v>
      </c>
      <c r="E7" s="55">
        <f t="shared" si="0"/>
        <v>580000</v>
      </c>
    </row>
    <row r="8" spans="1:5" ht="15.6" hidden="1">
      <c r="A8" s="22" t="s">
        <v>45</v>
      </c>
      <c r="B8" s="22" t="s">
        <v>30</v>
      </c>
      <c r="C8" s="53">
        <v>0</v>
      </c>
      <c r="D8" s="53"/>
      <c r="E8" s="55">
        <f t="shared" si="0"/>
        <v>0</v>
      </c>
    </row>
    <row r="9" spans="1:5" ht="15.6">
      <c r="A9" s="22" t="s">
        <v>47</v>
      </c>
      <c r="B9" s="22" t="s">
        <v>3</v>
      </c>
      <c r="C9" s="53">
        <v>200</v>
      </c>
      <c r="D9" s="53">
        <v>9000</v>
      </c>
      <c r="E9" s="55">
        <f t="shared" si="0"/>
        <v>1800000</v>
      </c>
    </row>
    <row r="10" spans="1:5" ht="15.6" hidden="1">
      <c r="A10" s="22" t="s">
        <v>47</v>
      </c>
      <c r="B10" s="22" t="s">
        <v>48</v>
      </c>
      <c r="C10" s="53">
        <v>0</v>
      </c>
      <c r="D10" s="53"/>
      <c r="E10" s="55">
        <f t="shared" si="0"/>
        <v>0</v>
      </c>
    </row>
    <row r="11" spans="1:5" ht="15.6">
      <c r="A11" s="22" t="s">
        <v>49</v>
      </c>
      <c r="B11" s="22" t="s">
        <v>30</v>
      </c>
      <c r="C11" s="53">
        <v>483</v>
      </c>
      <c r="D11" s="53">
        <v>2100</v>
      </c>
      <c r="E11" s="55">
        <f t="shared" si="0"/>
        <v>1014300</v>
      </c>
    </row>
    <row r="12" spans="1:5" ht="15.6">
      <c r="A12" s="22" t="s">
        <v>51</v>
      </c>
      <c r="B12" s="22" t="s">
        <v>3</v>
      </c>
      <c r="C12" s="53">
        <v>1265</v>
      </c>
      <c r="D12" s="53">
        <v>25000</v>
      </c>
      <c r="E12" s="55">
        <f t="shared" si="0"/>
        <v>31625000</v>
      </c>
    </row>
    <row r="13" spans="1:5" ht="15.6" hidden="1">
      <c r="A13" s="22" t="s">
        <v>51</v>
      </c>
      <c r="B13" s="22" t="s">
        <v>30</v>
      </c>
      <c r="C13" s="53">
        <v>0</v>
      </c>
      <c r="D13" s="53"/>
      <c r="E13" s="55">
        <f t="shared" si="0"/>
        <v>0</v>
      </c>
    </row>
    <row r="14" spans="1:5" ht="15.6">
      <c r="A14" s="22" t="s">
        <v>53</v>
      </c>
      <c r="B14" s="22" t="s">
        <v>3</v>
      </c>
      <c r="C14" s="53">
        <v>187</v>
      </c>
      <c r="D14" s="53">
        <v>16000</v>
      </c>
      <c r="E14" s="55">
        <f t="shared" si="0"/>
        <v>2992000</v>
      </c>
    </row>
    <row r="15" spans="1:5" ht="15.6">
      <c r="A15" s="22" t="s">
        <v>56</v>
      </c>
      <c r="B15" s="22" t="s">
        <v>3</v>
      </c>
      <c r="C15" s="53">
        <v>261</v>
      </c>
      <c r="D15" s="53">
        <v>14000</v>
      </c>
      <c r="E15" s="55">
        <f t="shared" si="0"/>
        <v>3654000</v>
      </c>
    </row>
    <row r="16" spans="1:5" ht="15.6" hidden="1">
      <c r="A16" s="22" t="s">
        <v>56</v>
      </c>
      <c r="B16" s="22" t="s">
        <v>30</v>
      </c>
      <c r="C16" s="53">
        <v>0</v>
      </c>
      <c r="D16" s="53"/>
      <c r="E16" s="55">
        <f t="shared" si="0"/>
        <v>0</v>
      </c>
    </row>
    <row r="17" spans="1:5" ht="15.6" hidden="1">
      <c r="A17" s="22" t="s">
        <v>16</v>
      </c>
      <c r="B17" s="22" t="s">
        <v>17</v>
      </c>
      <c r="C17" s="53">
        <v>0</v>
      </c>
      <c r="D17" s="53"/>
      <c r="E17" s="55">
        <f t="shared" si="0"/>
        <v>0</v>
      </c>
    </row>
    <row r="18" spans="1:5" ht="15.6">
      <c r="A18" s="22" t="s">
        <v>5</v>
      </c>
      <c r="B18" s="22" t="s">
        <v>3</v>
      </c>
      <c r="C18" s="53">
        <v>362</v>
      </c>
      <c r="D18" s="53">
        <v>6000</v>
      </c>
      <c r="E18" s="55">
        <f t="shared" si="0"/>
        <v>2172000</v>
      </c>
    </row>
    <row r="19" spans="1:5" ht="15.6">
      <c r="A19" s="22" t="s">
        <v>35</v>
      </c>
      <c r="B19" s="22" t="s">
        <v>3</v>
      </c>
      <c r="C19" s="53">
        <v>12</v>
      </c>
      <c r="D19" s="53">
        <v>12000</v>
      </c>
      <c r="E19" s="55">
        <f t="shared" si="0"/>
        <v>144000</v>
      </c>
    </row>
    <row r="20" spans="1:5" ht="15.6" hidden="1">
      <c r="A20" s="22" t="s">
        <v>35</v>
      </c>
      <c r="B20" s="22" t="s">
        <v>30</v>
      </c>
      <c r="C20" s="53">
        <v>0</v>
      </c>
      <c r="D20" s="53"/>
      <c r="E20" s="55">
        <f t="shared" si="0"/>
        <v>0</v>
      </c>
    </row>
    <row r="21" spans="1:5" ht="15.6">
      <c r="A21" s="22" t="s">
        <v>37</v>
      </c>
      <c r="B21" s="22" t="s">
        <v>30</v>
      </c>
      <c r="C21" s="53">
        <v>2</v>
      </c>
      <c r="D21" s="53">
        <v>3900</v>
      </c>
      <c r="E21" s="55">
        <f t="shared" si="0"/>
        <v>7800</v>
      </c>
    </row>
    <row r="22" spans="1:5" ht="15.6">
      <c r="A22" s="58" t="s">
        <v>38</v>
      </c>
      <c r="B22" s="58" t="s">
        <v>3</v>
      </c>
      <c r="C22" s="59">
        <v>420</v>
      </c>
      <c r="D22" s="53">
        <v>4500</v>
      </c>
      <c r="E22" s="55">
        <f t="shared" si="0"/>
        <v>1890000</v>
      </c>
    </row>
    <row r="23" spans="1:5" ht="15.6" hidden="1">
      <c r="A23" s="22" t="s">
        <v>39</v>
      </c>
      <c r="B23" s="22" t="s">
        <v>3</v>
      </c>
      <c r="C23" s="53">
        <v>0</v>
      </c>
      <c r="D23" s="53"/>
      <c r="E23" s="55">
        <f t="shared" si="0"/>
        <v>0</v>
      </c>
    </row>
    <row r="24" spans="1:5" ht="15.6" hidden="1">
      <c r="A24" s="22" t="s">
        <v>39</v>
      </c>
      <c r="B24" s="22" t="s">
        <v>40</v>
      </c>
      <c r="C24" s="53">
        <v>0</v>
      </c>
      <c r="D24" s="53"/>
      <c r="E24" s="55">
        <f t="shared" si="0"/>
        <v>0</v>
      </c>
    </row>
    <row r="25" spans="1:5" ht="15.6">
      <c r="A25" s="22" t="s">
        <v>7</v>
      </c>
      <c r="B25" s="22" t="s">
        <v>3</v>
      </c>
      <c r="C25" s="53">
        <v>750</v>
      </c>
      <c r="D25" s="53">
        <v>9706</v>
      </c>
      <c r="E25" s="55">
        <f t="shared" si="0"/>
        <v>7279500</v>
      </c>
    </row>
    <row r="26" spans="1:5" ht="15.6">
      <c r="A26" s="22" t="s">
        <v>8</v>
      </c>
      <c r="B26" s="22" t="s">
        <v>3</v>
      </c>
      <c r="C26" s="53">
        <v>50</v>
      </c>
      <c r="D26" s="53">
        <v>15000</v>
      </c>
      <c r="E26" s="55">
        <f t="shared" si="0"/>
        <v>750000</v>
      </c>
    </row>
    <row r="27" spans="1:5" ht="15.6" hidden="1">
      <c r="A27" s="22" t="s">
        <v>8</v>
      </c>
      <c r="B27" s="22" t="s">
        <v>9</v>
      </c>
      <c r="C27" s="53">
        <v>0</v>
      </c>
      <c r="D27" s="53"/>
      <c r="E27" s="55">
        <f t="shared" si="0"/>
        <v>0</v>
      </c>
    </row>
    <row r="28" spans="1:5" ht="15.6">
      <c r="A28" s="22" t="s">
        <v>10</v>
      </c>
      <c r="B28" s="22" t="s">
        <v>3</v>
      </c>
      <c r="C28" s="53">
        <v>5</v>
      </c>
      <c r="D28" s="53">
        <v>14000</v>
      </c>
      <c r="E28" s="55">
        <f t="shared" si="0"/>
        <v>70000</v>
      </c>
    </row>
    <row r="29" spans="1:5" ht="15.6" hidden="1">
      <c r="A29" s="22" t="s">
        <v>10</v>
      </c>
      <c r="B29" s="22" t="s">
        <v>9</v>
      </c>
      <c r="C29" s="53">
        <v>0</v>
      </c>
      <c r="D29" s="53"/>
      <c r="E29" s="55">
        <f t="shared" si="0"/>
        <v>0</v>
      </c>
    </row>
    <row r="30" spans="1:5" ht="15.6">
      <c r="A30" s="22" t="s">
        <v>18</v>
      </c>
      <c r="B30" s="22" t="s">
        <v>3</v>
      </c>
      <c r="C30" s="53">
        <v>390</v>
      </c>
      <c r="D30" s="53">
        <v>12500</v>
      </c>
      <c r="E30" s="55">
        <f t="shared" si="0"/>
        <v>4875000</v>
      </c>
    </row>
    <row r="31" spans="1:5" ht="15.6" hidden="1">
      <c r="A31" s="22" t="s">
        <v>18</v>
      </c>
      <c r="B31" s="22" t="s">
        <v>19</v>
      </c>
      <c r="C31" s="53">
        <v>0</v>
      </c>
      <c r="D31" s="53"/>
      <c r="E31" s="55">
        <f t="shared" si="0"/>
        <v>0</v>
      </c>
    </row>
    <row r="32" spans="1:5" ht="15.6">
      <c r="A32" s="22" t="s">
        <v>28</v>
      </c>
      <c r="B32" s="22" t="s">
        <v>3</v>
      </c>
      <c r="C32" s="53">
        <v>180</v>
      </c>
      <c r="D32" s="53">
        <v>16000</v>
      </c>
      <c r="E32" s="55">
        <f t="shared" si="0"/>
        <v>2880000</v>
      </c>
    </row>
    <row r="33" spans="1:5" ht="15.6" hidden="1">
      <c r="A33" s="22" t="s">
        <v>28</v>
      </c>
      <c r="B33" s="22" t="s">
        <v>17</v>
      </c>
      <c r="C33" s="53">
        <v>0</v>
      </c>
      <c r="D33" s="53"/>
      <c r="E33" s="55">
        <f t="shared" si="0"/>
        <v>0</v>
      </c>
    </row>
    <row r="34" spans="1:5" ht="15.6">
      <c r="A34" s="22" t="s">
        <v>29</v>
      </c>
      <c r="B34" s="22" t="s">
        <v>30</v>
      </c>
      <c r="C34" s="53">
        <v>60</v>
      </c>
      <c r="D34" s="53">
        <v>11000</v>
      </c>
      <c r="E34" s="55">
        <f t="shared" si="0"/>
        <v>660000</v>
      </c>
    </row>
    <row r="35" spans="1:5" ht="15.6" hidden="1">
      <c r="A35" s="22" t="s">
        <v>65</v>
      </c>
      <c r="B35" s="22" t="s">
        <v>3</v>
      </c>
      <c r="C35" s="53">
        <v>0</v>
      </c>
      <c r="D35" s="53"/>
      <c r="E35" s="55">
        <f t="shared" si="0"/>
        <v>0</v>
      </c>
    </row>
    <row r="36" spans="1:5" ht="15.6">
      <c r="A36" s="22" t="s">
        <v>65</v>
      </c>
      <c r="B36" s="22" t="s">
        <v>17</v>
      </c>
      <c r="C36" s="53">
        <v>283</v>
      </c>
      <c r="D36" s="53">
        <v>6500</v>
      </c>
      <c r="E36" s="55">
        <f t="shared" si="0"/>
        <v>1839500</v>
      </c>
    </row>
    <row r="37" spans="1:5" ht="15.6">
      <c r="A37" s="22" t="s">
        <v>67</v>
      </c>
      <c r="B37" s="22" t="s">
        <v>3</v>
      </c>
      <c r="C37" s="53">
        <v>20</v>
      </c>
      <c r="D37" s="53">
        <v>12000</v>
      </c>
      <c r="E37" s="55">
        <f t="shared" si="0"/>
        <v>240000</v>
      </c>
    </row>
    <row r="38" spans="1:5" ht="15.6">
      <c r="A38" s="22" t="s">
        <v>74</v>
      </c>
      <c r="B38" s="22" t="s">
        <v>3</v>
      </c>
      <c r="C38" s="53">
        <v>268</v>
      </c>
      <c r="D38" s="53">
        <v>55000</v>
      </c>
      <c r="E38" s="55">
        <f t="shared" si="0"/>
        <v>14740000</v>
      </c>
    </row>
    <row r="39" spans="1:5" ht="15.6" hidden="1">
      <c r="A39" s="22" t="s">
        <v>74</v>
      </c>
      <c r="B39" s="22" t="s">
        <v>9</v>
      </c>
      <c r="C39" s="53">
        <v>0</v>
      </c>
      <c r="D39" s="53"/>
      <c r="E39" s="55">
        <f t="shared" si="0"/>
        <v>0</v>
      </c>
    </row>
    <row r="40" spans="1:5" ht="15.6">
      <c r="A40" s="22" t="s">
        <v>76</v>
      </c>
      <c r="B40" s="22" t="s">
        <v>3</v>
      </c>
      <c r="C40" s="53">
        <v>309</v>
      </c>
      <c r="D40" s="53">
        <v>60000</v>
      </c>
      <c r="E40" s="55">
        <f t="shared" si="0"/>
        <v>18540000</v>
      </c>
    </row>
    <row r="41" spans="1:5" ht="15.6" hidden="1">
      <c r="A41" s="22" t="s">
        <v>76</v>
      </c>
      <c r="B41" s="22" t="s">
        <v>9</v>
      </c>
      <c r="C41" s="53">
        <v>0</v>
      </c>
      <c r="D41" s="53"/>
      <c r="E41" s="55">
        <f t="shared" si="0"/>
        <v>0</v>
      </c>
    </row>
    <row r="42" spans="1:5" ht="15.6">
      <c r="A42" s="22" t="s">
        <v>78</v>
      </c>
      <c r="B42" s="22" t="s">
        <v>3</v>
      </c>
      <c r="C42" s="53">
        <v>60</v>
      </c>
      <c r="D42" s="53">
        <v>35000</v>
      </c>
      <c r="E42" s="55">
        <f t="shared" si="0"/>
        <v>2100000</v>
      </c>
    </row>
    <row r="43" spans="1:5" ht="15.6" hidden="1">
      <c r="A43" s="22" t="s">
        <v>78</v>
      </c>
      <c r="B43" s="22" t="s">
        <v>9</v>
      </c>
      <c r="C43" s="53">
        <v>0</v>
      </c>
      <c r="D43" s="53"/>
      <c r="E43" s="55">
        <f t="shared" si="0"/>
        <v>0</v>
      </c>
    </row>
    <row r="44" spans="1:5" ht="15.6" hidden="1">
      <c r="A44" s="22" t="s">
        <v>72</v>
      </c>
      <c r="B44" s="22" t="s">
        <v>17</v>
      </c>
      <c r="C44" s="53">
        <v>0</v>
      </c>
      <c r="D44" s="53"/>
      <c r="E44" s="55">
        <f t="shared" si="0"/>
        <v>0</v>
      </c>
    </row>
    <row r="45" spans="1:5" ht="15.6">
      <c r="A45" s="22" t="s">
        <v>50</v>
      </c>
      <c r="B45" s="22" t="s">
        <v>3</v>
      </c>
      <c r="C45" s="53">
        <v>2230</v>
      </c>
      <c r="D45" s="53">
        <v>25000</v>
      </c>
      <c r="E45" s="55">
        <f t="shared" si="0"/>
        <v>55750000</v>
      </c>
    </row>
    <row r="46" spans="1:5" ht="15.6" hidden="1">
      <c r="A46" s="22" t="s">
        <v>22</v>
      </c>
      <c r="B46" s="22" t="s">
        <v>3</v>
      </c>
      <c r="C46" s="53">
        <v>0</v>
      </c>
      <c r="D46" s="53"/>
      <c r="E46" s="55">
        <f t="shared" si="0"/>
        <v>0</v>
      </c>
    </row>
    <row r="47" spans="1:5" ht="15.6">
      <c r="A47" s="22" t="s">
        <v>22</v>
      </c>
      <c r="B47" s="22" t="s">
        <v>23</v>
      </c>
      <c r="C47" s="53">
        <v>75</v>
      </c>
      <c r="D47" s="53">
        <v>5100</v>
      </c>
      <c r="E47" s="55">
        <f t="shared" si="0"/>
        <v>382500</v>
      </c>
    </row>
    <row r="48" spans="1:5" ht="15.6">
      <c r="A48" s="22" t="s">
        <v>2</v>
      </c>
      <c r="B48" s="22" t="s">
        <v>3</v>
      </c>
      <c r="C48" s="53">
        <v>6</v>
      </c>
      <c r="D48" s="53">
        <v>20000</v>
      </c>
      <c r="E48" s="55">
        <f t="shared" si="0"/>
        <v>120000</v>
      </c>
    </row>
    <row r="49" spans="1:5" ht="15.6">
      <c r="A49" s="22" t="s">
        <v>4</v>
      </c>
      <c r="B49" s="22" t="s">
        <v>3</v>
      </c>
      <c r="C49" s="53">
        <v>295</v>
      </c>
      <c r="D49" s="53">
        <v>5000</v>
      </c>
      <c r="E49" s="55">
        <f t="shared" si="0"/>
        <v>1475000</v>
      </c>
    </row>
    <row r="50" spans="1:5" ht="15.6" hidden="1">
      <c r="A50" s="22" t="s">
        <v>12</v>
      </c>
      <c r="B50" s="22" t="s">
        <v>3</v>
      </c>
      <c r="C50" s="53">
        <v>0</v>
      </c>
      <c r="D50" s="53"/>
      <c r="E50" s="55">
        <f t="shared" si="0"/>
        <v>0</v>
      </c>
    </row>
    <row r="51" spans="1:5" ht="15.6">
      <c r="A51" s="22" t="s">
        <v>20</v>
      </c>
      <c r="B51" s="22" t="s">
        <v>3</v>
      </c>
      <c r="C51" s="53">
        <v>112</v>
      </c>
      <c r="D51" s="53">
        <v>12000</v>
      </c>
      <c r="E51" s="55">
        <f t="shared" si="0"/>
        <v>1344000</v>
      </c>
    </row>
    <row r="52" spans="1:5" ht="15.6">
      <c r="A52" s="22" t="s">
        <v>20</v>
      </c>
      <c r="B52" s="22" t="s">
        <v>21</v>
      </c>
      <c r="C52" s="53">
        <v>50</v>
      </c>
      <c r="D52" s="53">
        <v>7000</v>
      </c>
      <c r="E52" s="55">
        <f t="shared" si="0"/>
        <v>350000</v>
      </c>
    </row>
    <row r="53" spans="1:5" ht="15.6">
      <c r="A53" s="22" t="s">
        <v>20</v>
      </c>
      <c r="B53" s="22" t="s">
        <v>19</v>
      </c>
      <c r="C53" s="53">
        <v>36</v>
      </c>
      <c r="D53" s="53">
        <v>11050</v>
      </c>
      <c r="E53" s="55">
        <f t="shared" si="0"/>
        <v>397800</v>
      </c>
    </row>
    <row r="54" spans="1:5" ht="15.6">
      <c r="A54" s="22" t="s">
        <v>24</v>
      </c>
      <c r="B54" s="22" t="s">
        <v>25</v>
      </c>
      <c r="C54" s="53">
        <v>4</v>
      </c>
      <c r="D54" s="53">
        <v>11100</v>
      </c>
      <c r="E54" s="55">
        <f t="shared" si="0"/>
        <v>44400</v>
      </c>
    </row>
    <row r="55" spans="1:5" ht="15.6" hidden="1">
      <c r="A55" s="22" t="s">
        <v>26</v>
      </c>
      <c r="B55" s="22" t="s">
        <v>3</v>
      </c>
      <c r="C55" s="53">
        <v>0</v>
      </c>
      <c r="D55" s="53"/>
      <c r="E55" s="55">
        <f t="shared" si="0"/>
        <v>0</v>
      </c>
    </row>
    <row r="56" spans="1:5" ht="15.6">
      <c r="A56" s="22" t="s">
        <v>26</v>
      </c>
      <c r="B56" s="22" t="s">
        <v>23</v>
      </c>
      <c r="C56" s="53">
        <v>192</v>
      </c>
      <c r="D56" s="53">
        <v>10000</v>
      </c>
      <c r="E56" s="55">
        <f t="shared" si="0"/>
        <v>1920000</v>
      </c>
    </row>
    <row r="57" spans="1:5" ht="15.6">
      <c r="A57" s="22" t="s">
        <v>26</v>
      </c>
      <c r="B57" s="22" t="s">
        <v>27</v>
      </c>
      <c r="C57" s="53">
        <v>314</v>
      </c>
      <c r="D57" s="53">
        <v>7500</v>
      </c>
      <c r="E57" s="55">
        <f t="shared" si="0"/>
        <v>2355000</v>
      </c>
    </row>
    <row r="58" spans="1:5" ht="15.6">
      <c r="A58" s="22" t="s">
        <v>33</v>
      </c>
      <c r="B58" s="22" t="s">
        <v>3</v>
      </c>
      <c r="C58" s="53">
        <v>38</v>
      </c>
      <c r="D58" s="53">
        <v>8000</v>
      </c>
      <c r="E58" s="55">
        <f t="shared" si="0"/>
        <v>304000</v>
      </c>
    </row>
    <row r="59" spans="1:5" ht="15.6" hidden="1">
      <c r="A59" s="22" t="s">
        <v>33</v>
      </c>
      <c r="B59" s="22" t="s">
        <v>34</v>
      </c>
      <c r="C59" s="53">
        <v>0</v>
      </c>
      <c r="D59" s="53"/>
      <c r="E59" s="55">
        <f t="shared" si="0"/>
        <v>0</v>
      </c>
    </row>
    <row r="60" spans="1:5" ht="15.6">
      <c r="A60" s="22" t="s">
        <v>36</v>
      </c>
      <c r="B60" s="22" t="s">
        <v>30</v>
      </c>
      <c r="C60" s="53">
        <v>1</v>
      </c>
      <c r="D60" s="53">
        <v>3000</v>
      </c>
      <c r="E60" s="55">
        <f t="shared" si="0"/>
        <v>3000</v>
      </c>
    </row>
    <row r="61" spans="1:5" ht="15.6">
      <c r="A61" s="22" t="s">
        <v>54</v>
      </c>
      <c r="B61" s="22" t="s">
        <v>3</v>
      </c>
      <c r="C61" s="53">
        <v>33</v>
      </c>
      <c r="D61" s="53">
        <v>28000</v>
      </c>
      <c r="E61" s="55">
        <f t="shared" si="0"/>
        <v>924000</v>
      </c>
    </row>
    <row r="62" spans="1:5" ht="15.6" hidden="1">
      <c r="A62" s="22" t="s">
        <v>41</v>
      </c>
      <c r="B62" s="22" t="s">
        <v>3</v>
      </c>
      <c r="C62" s="53">
        <v>0</v>
      </c>
      <c r="D62" s="53"/>
      <c r="E62" s="55">
        <f t="shared" si="0"/>
        <v>0</v>
      </c>
    </row>
    <row r="63" spans="1:5" ht="15.6" hidden="1">
      <c r="A63" s="22" t="s">
        <v>44</v>
      </c>
      <c r="B63" s="22" t="s">
        <v>3</v>
      </c>
      <c r="C63" s="53">
        <v>0</v>
      </c>
      <c r="D63" s="53"/>
      <c r="E63" s="55">
        <f t="shared" si="0"/>
        <v>0</v>
      </c>
    </row>
    <row r="64" spans="1:5" ht="15.6">
      <c r="A64" s="22" t="s">
        <v>46</v>
      </c>
      <c r="B64" s="22" t="s">
        <v>3</v>
      </c>
      <c r="C64" s="53">
        <v>5</v>
      </c>
      <c r="D64" s="53">
        <v>19000</v>
      </c>
      <c r="E64" s="55">
        <f t="shared" si="0"/>
        <v>95000</v>
      </c>
    </row>
    <row r="65" spans="1:5" ht="15.6" hidden="1">
      <c r="A65" s="22" t="s">
        <v>58</v>
      </c>
      <c r="B65" s="22" t="s">
        <v>3</v>
      </c>
      <c r="C65" s="53">
        <v>0</v>
      </c>
      <c r="D65" s="53"/>
      <c r="E65" s="55">
        <f t="shared" si="0"/>
        <v>0</v>
      </c>
    </row>
    <row r="66" spans="1:5" ht="15.6">
      <c r="A66" s="22" t="s">
        <v>59</v>
      </c>
      <c r="B66" s="22" t="s">
        <v>30</v>
      </c>
      <c r="C66" s="53">
        <v>9</v>
      </c>
      <c r="D66" s="53">
        <v>6500</v>
      </c>
      <c r="E66" s="55">
        <f t="shared" si="0"/>
        <v>58500</v>
      </c>
    </row>
    <row r="67" spans="1:5" ht="15.6" hidden="1">
      <c r="A67" s="22" t="s">
        <v>60</v>
      </c>
      <c r="B67" s="22" t="s">
        <v>3</v>
      </c>
      <c r="C67" s="53">
        <v>0</v>
      </c>
      <c r="D67" s="53"/>
      <c r="E67" s="55">
        <f t="shared" si="0"/>
        <v>0</v>
      </c>
    </row>
    <row r="68" spans="1:5" ht="15.6" hidden="1">
      <c r="A68" s="22" t="s">
        <v>60</v>
      </c>
      <c r="B68" s="22" t="s">
        <v>30</v>
      </c>
      <c r="C68" s="53">
        <v>0</v>
      </c>
      <c r="D68" s="53"/>
      <c r="E68" s="55">
        <f t="shared" ref="E68:E114" si="1">C68*D68</f>
        <v>0</v>
      </c>
    </row>
    <row r="69" spans="1:5" ht="15.6">
      <c r="A69" s="22" t="s">
        <v>60</v>
      </c>
      <c r="B69" s="22" t="s">
        <v>61</v>
      </c>
      <c r="C69" s="53">
        <v>155</v>
      </c>
      <c r="D69" s="53">
        <v>7000</v>
      </c>
      <c r="E69" s="55">
        <f t="shared" si="1"/>
        <v>1085000</v>
      </c>
    </row>
    <row r="70" spans="1:5" ht="15.6" hidden="1">
      <c r="A70" s="22" t="s">
        <v>62</v>
      </c>
      <c r="B70" s="22" t="s">
        <v>3</v>
      </c>
      <c r="C70" s="53">
        <v>0</v>
      </c>
      <c r="D70" s="53"/>
      <c r="E70" s="55">
        <f t="shared" si="1"/>
        <v>0</v>
      </c>
    </row>
    <row r="71" spans="1:5" ht="15.6" hidden="1">
      <c r="A71" s="22" t="s">
        <v>63</v>
      </c>
      <c r="B71" s="22" t="s">
        <v>3</v>
      </c>
      <c r="C71" s="53">
        <v>0</v>
      </c>
      <c r="D71" s="53"/>
      <c r="E71" s="55">
        <f t="shared" si="1"/>
        <v>0</v>
      </c>
    </row>
    <row r="72" spans="1:5" ht="15.6" hidden="1">
      <c r="A72" s="22" t="s">
        <v>64</v>
      </c>
      <c r="B72" s="22" t="s">
        <v>3</v>
      </c>
      <c r="C72" s="53">
        <v>0</v>
      </c>
      <c r="D72" s="53"/>
      <c r="E72" s="55">
        <f t="shared" si="1"/>
        <v>0</v>
      </c>
    </row>
    <row r="73" spans="1:5" ht="15.6">
      <c r="A73" s="22" t="s">
        <v>68</v>
      </c>
      <c r="B73" s="22" t="s">
        <v>3</v>
      </c>
      <c r="C73" s="53">
        <v>16</v>
      </c>
      <c r="D73" s="53">
        <v>10000</v>
      </c>
      <c r="E73" s="55">
        <f t="shared" si="1"/>
        <v>160000</v>
      </c>
    </row>
    <row r="74" spans="1:5" ht="15.6" hidden="1">
      <c r="A74" s="22" t="s">
        <v>68</v>
      </c>
      <c r="B74" s="22" t="s">
        <v>40</v>
      </c>
      <c r="C74" s="53">
        <v>0</v>
      </c>
      <c r="D74" s="53"/>
      <c r="E74" s="55">
        <f t="shared" si="1"/>
        <v>0</v>
      </c>
    </row>
    <row r="75" spans="1:5" ht="15.6">
      <c r="A75" s="22" t="s">
        <v>85</v>
      </c>
      <c r="B75" s="22" t="s">
        <v>3</v>
      </c>
      <c r="C75" s="53">
        <v>13</v>
      </c>
      <c r="D75" s="53">
        <v>12000</v>
      </c>
      <c r="E75" s="55">
        <f t="shared" si="1"/>
        <v>156000</v>
      </c>
    </row>
    <row r="76" spans="1:5" ht="15.6">
      <c r="A76" s="22" t="s">
        <v>70</v>
      </c>
      <c r="B76" s="22" t="s">
        <v>3</v>
      </c>
      <c r="C76" s="53">
        <v>15</v>
      </c>
      <c r="D76" s="53">
        <v>2900</v>
      </c>
      <c r="E76" s="55">
        <f t="shared" si="1"/>
        <v>43500</v>
      </c>
    </row>
    <row r="77" spans="1:5" ht="15.6" hidden="1">
      <c r="A77" s="22" t="s">
        <v>70</v>
      </c>
      <c r="B77" s="22" t="s">
        <v>30</v>
      </c>
      <c r="C77" s="53">
        <v>0</v>
      </c>
      <c r="D77" s="53"/>
      <c r="E77" s="55">
        <f t="shared" si="1"/>
        <v>0</v>
      </c>
    </row>
    <row r="78" spans="1:5" ht="15.6">
      <c r="A78" s="22" t="s">
        <v>71</v>
      </c>
      <c r="B78" s="22" t="s">
        <v>3</v>
      </c>
      <c r="C78" s="53">
        <v>11</v>
      </c>
      <c r="D78" s="53">
        <v>14000</v>
      </c>
      <c r="E78" s="55">
        <f t="shared" si="1"/>
        <v>154000</v>
      </c>
    </row>
    <row r="79" spans="1:5" ht="15.6" hidden="1">
      <c r="A79" s="22" t="s">
        <v>73</v>
      </c>
      <c r="B79" s="22" t="s">
        <v>25</v>
      </c>
      <c r="C79" s="53">
        <v>0</v>
      </c>
      <c r="D79" s="53"/>
      <c r="E79" s="55">
        <f t="shared" si="1"/>
        <v>0</v>
      </c>
    </row>
    <row r="80" spans="1:5" ht="15.6">
      <c r="A80" s="22" t="s">
        <v>73</v>
      </c>
      <c r="B80" s="22" t="s">
        <v>3</v>
      </c>
      <c r="C80" s="53">
        <v>9</v>
      </c>
      <c r="D80" s="53">
        <v>55000</v>
      </c>
      <c r="E80" s="55">
        <f t="shared" si="1"/>
        <v>495000</v>
      </c>
    </row>
    <row r="81" spans="1:5" ht="15.6">
      <c r="A81" s="22" t="s">
        <v>79</v>
      </c>
      <c r="B81" s="22" t="s">
        <v>30</v>
      </c>
      <c r="C81" s="53">
        <v>3</v>
      </c>
      <c r="D81" s="53">
        <v>18000</v>
      </c>
      <c r="E81" s="55">
        <f t="shared" si="1"/>
        <v>54000</v>
      </c>
    </row>
    <row r="82" spans="1:5" ht="15.6">
      <c r="A82" s="22" t="s">
        <v>87</v>
      </c>
      <c r="B82" s="22" t="s">
        <v>3</v>
      </c>
      <c r="C82" s="53">
        <v>185</v>
      </c>
      <c r="D82" s="53">
        <v>4000</v>
      </c>
      <c r="E82" s="55">
        <f t="shared" si="1"/>
        <v>740000</v>
      </c>
    </row>
    <row r="83" spans="1:5" ht="15.6">
      <c r="A83" s="22" t="s">
        <v>81</v>
      </c>
      <c r="B83" s="22" t="s">
        <v>9</v>
      </c>
      <c r="C83" s="53">
        <v>1022</v>
      </c>
      <c r="D83" s="53">
        <v>9000</v>
      </c>
      <c r="E83" s="55">
        <f t="shared" si="1"/>
        <v>9198000</v>
      </c>
    </row>
    <row r="84" spans="1:5" ht="15.6" hidden="1">
      <c r="A84" s="22" t="s">
        <v>84</v>
      </c>
      <c r="B84" s="22" t="s">
        <v>3</v>
      </c>
      <c r="C84" s="53">
        <v>0</v>
      </c>
      <c r="D84" s="53"/>
      <c r="E84" s="55">
        <f t="shared" si="1"/>
        <v>0</v>
      </c>
    </row>
    <row r="85" spans="1:5" ht="15.6">
      <c r="A85" s="22" t="s">
        <v>91</v>
      </c>
      <c r="B85" s="22" t="s">
        <v>3</v>
      </c>
      <c r="C85" s="53">
        <v>7</v>
      </c>
      <c r="D85" s="53">
        <v>24000</v>
      </c>
      <c r="E85" s="55">
        <f t="shared" si="1"/>
        <v>168000</v>
      </c>
    </row>
    <row r="86" spans="1:5" ht="15.6" hidden="1">
      <c r="A86" s="22" t="s">
        <v>94</v>
      </c>
      <c r="B86" s="22" t="s">
        <v>3</v>
      </c>
      <c r="C86" s="53">
        <v>0</v>
      </c>
      <c r="D86" s="53"/>
      <c r="E86" s="55">
        <f t="shared" si="1"/>
        <v>0</v>
      </c>
    </row>
    <row r="87" spans="1:5" ht="15.6">
      <c r="A87" s="22" t="s">
        <v>95</v>
      </c>
      <c r="B87" s="22" t="s">
        <v>40</v>
      </c>
      <c r="C87" s="53">
        <v>120</v>
      </c>
      <c r="D87" s="53">
        <v>7000</v>
      </c>
      <c r="E87" s="55">
        <f t="shared" si="1"/>
        <v>840000</v>
      </c>
    </row>
    <row r="88" spans="1:5" ht="15.6" hidden="1">
      <c r="A88" s="22" t="s">
        <v>145</v>
      </c>
      <c r="B88" s="22" t="s">
        <v>40</v>
      </c>
      <c r="C88" s="53">
        <v>0</v>
      </c>
      <c r="D88" s="53"/>
      <c r="E88" s="55">
        <f t="shared" si="1"/>
        <v>0</v>
      </c>
    </row>
    <row r="89" spans="1:5" ht="15.6" hidden="1">
      <c r="A89" s="22" t="s">
        <v>100</v>
      </c>
      <c r="B89" s="22" t="s">
        <v>3</v>
      </c>
      <c r="C89" s="53">
        <v>0</v>
      </c>
      <c r="D89" s="53"/>
      <c r="E89" s="55">
        <f t="shared" si="1"/>
        <v>0</v>
      </c>
    </row>
    <row r="90" spans="1:5" ht="15.6" hidden="1">
      <c r="A90" s="22" t="s">
        <v>96</v>
      </c>
      <c r="B90" s="22" t="s">
        <v>3</v>
      </c>
      <c r="C90" s="53">
        <v>0</v>
      </c>
      <c r="D90" s="53"/>
      <c r="E90" s="55">
        <f t="shared" si="1"/>
        <v>0</v>
      </c>
    </row>
    <row r="91" spans="1:5" ht="15.6" hidden="1">
      <c r="A91" s="22" t="s">
        <v>97</v>
      </c>
      <c r="B91" s="22" t="s">
        <v>3</v>
      </c>
      <c r="C91" s="53">
        <v>0</v>
      </c>
      <c r="D91" s="53"/>
      <c r="E91" s="55">
        <f t="shared" si="1"/>
        <v>0</v>
      </c>
    </row>
    <row r="92" spans="1:5" ht="15.6">
      <c r="A92" s="22" t="s">
        <v>175</v>
      </c>
      <c r="B92" s="22" t="s">
        <v>3</v>
      </c>
      <c r="C92" s="53">
        <v>810</v>
      </c>
      <c r="D92" s="53">
        <v>3000</v>
      </c>
      <c r="E92" s="55">
        <f t="shared" si="1"/>
        <v>2430000</v>
      </c>
    </row>
    <row r="93" spans="1:5" ht="15.6" hidden="1">
      <c r="A93" s="22" t="s">
        <v>92</v>
      </c>
      <c r="B93" s="22" t="s">
        <v>40</v>
      </c>
      <c r="C93" s="53">
        <v>0</v>
      </c>
      <c r="D93" s="53"/>
      <c r="E93" s="55">
        <f t="shared" si="1"/>
        <v>0</v>
      </c>
    </row>
    <row r="94" spans="1:5" ht="15.6" hidden="1">
      <c r="A94" s="22" t="s">
        <v>90</v>
      </c>
      <c r="B94" s="22" t="s">
        <v>40</v>
      </c>
      <c r="C94" s="53">
        <v>0</v>
      </c>
      <c r="D94" s="53"/>
      <c r="E94" s="55">
        <f t="shared" si="1"/>
        <v>0</v>
      </c>
    </row>
    <row r="95" spans="1:5" ht="15.6" hidden="1">
      <c r="A95" s="22" t="s">
        <v>116</v>
      </c>
      <c r="B95" s="22" t="s">
        <v>3</v>
      </c>
      <c r="C95" s="53">
        <v>0</v>
      </c>
      <c r="D95" s="53"/>
      <c r="E95" s="55">
        <f t="shared" si="1"/>
        <v>0</v>
      </c>
    </row>
    <row r="96" spans="1:5" ht="15.6">
      <c r="A96" s="22" t="s">
        <v>160</v>
      </c>
      <c r="B96" s="22" t="s">
        <v>3</v>
      </c>
      <c r="C96" s="53">
        <v>120</v>
      </c>
      <c r="D96" s="53">
        <v>50000</v>
      </c>
      <c r="E96" s="55">
        <f t="shared" si="1"/>
        <v>6000000</v>
      </c>
    </row>
    <row r="97" spans="1:5" ht="15.6" hidden="1">
      <c r="A97" s="22" t="s">
        <v>160</v>
      </c>
      <c r="B97" s="22" t="s">
        <v>171</v>
      </c>
      <c r="C97" s="53">
        <v>0</v>
      </c>
      <c r="D97" s="53"/>
      <c r="E97" s="55">
        <f t="shared" si="1"/>
        <v>0</v>
      </c>
    </row>
    <row r="98" spans="1:5" ht="15.6" hidden="1">
      <c r="A98" s="22" t="s">
        <v>160</v>
      </c>
      <c r="B98" s="22" t="s">
        <v>172</v>
      </c>
      <c r="C98" s="53">
        <v>0</v>
      </c>
      <c r="D98" s="53"/>
      <c r="E98" s="55">
        <f t="shared" si="1"/>
        <v>0</v>
      </c>
    </row>
    <row r="99" spans="1:5" ht="15.6" hidden="1">
      <c r="A99" s="22" t="s">
        <v>15</v>
      </c>
      <c r="B99" s="22" t="s">
        <v>3</v>
      </c>
      <c r="C99" s="53">
        <v>0</v>
      </c>
      <c r="D99" s="53"/>
      <c r="E99" s="55">
        <f t="shared" si="1"/>
        <v>0</v>
      </c>
    </row>
    <row r="100" spans="1:5" ht="15.6">
      <c r="A100" s="22" t="s">
        <v>6</v>
      </c>
      <c r="B100" s="22" t="s">
        <v>3</v>
      </c>
      <c r="C100" s="53">
        <v>5</v>
      </c>
      <c r="D100" s="53">
        <v>7500</v>
      </c>
      <c r="E100" s="55">
        <f t="shared" si="1"/>
        <v>37500</v>
      </c>
    </row>
    <row r="101" spans="1:5" ht="15.6" hidden="1">
      <c r="A101" s="22" t="s">
        <v>80</v>
      </c>
      <c r="B101" s="22" t="s">
        <v>30</v>
      </c>
      <c r="C101" s="53">
        <v>0</v>
      </c>
      <c r="D101" s="53"/>
      <c r="E101" s="55">
        <f t="shared" si="1"/>
        <v>0</v>
      </c>
    </row>
    <row r="102" spans="1:5" ht="15.6">
      <c r="A102" s="22" t="s">
        <v>57</v>
      </c>
      <c r="B102" s="22" t="s">
        <v>30</v>
      </c>
      <c r="C102" s="53">
        <v>750</v>
      </c>
      <c r="D102" s="53">
        <v>5850</v>
      </c>
      <c r="E102" s="55">
        <f t="shared" si="1"/>
        <v>4387500</v>
      </c>
    </row>
    <row r="103" spans="1:5" ht="15.6" hidden="1">
      <c r="A103" s="22" t="s">
        <v>131</v>
      </c>
      <c r="B103" s="22" t="s">
        <v>3</v>
      </c>
      <c r="C103" s="53">
        <v>0</v>
      </c>
      <c r="D103" s="53"/>
      <c r="E103" s="55">
        <f t="shared" si="1"/>
        <v>0</v>
      </c>
    </row>
    <row r="104" spans="1:5" ht="15.6" hidden="1">
      <c r="A104" s="22" t="s">
        <v>108</v>
      </c>
      <c r="B104" s="22" t="s">
        <v>30</v>
      </c>
      <c r="C104" s="53">
        <v>0</v>
      </c>
      <c r="D104" s="53"/>
      <c r="E104" s="55">
        <f t="shared" si="1"/>
        <v>0</v>
      </c>
    </row>
    <row r="105" spans="1:5" ht="15.6" hidden="1">
      <c r="A105" s="22" t="s">
        <v>120</v>
      </c>
      <c r="B105" s="22" t="s">
        <v>30</v>
      </c>
      <c r="C105" s="53">
        <v>0</v>
      </c>
      <c r="D105" s="53"/>
      <c r="E105" s="55">
        <f t="shared" si="1"/>
        <v>0</v>
      </c>
    </row>
    <row r="106" spans="1:5" ht="15.6" hidden="1">
      <c r="A106" s="22" t="s">
        <v>14</v>
      </c>
      <c r="B106" s="22" t="s">
        <v>3</v>
      </c>
      <c r="C106" s="53">
        <v>0</v>
      </c>
      <c r="D106" s="53"/>
      <c r="E106" s="55">
        <f t="shared" si="1"/>
        <v>0</v>
      </c>
    </row>
    <row r="107" spans="1:5" ht="15.6">
      <c r="A107" s="22" t="s">
        <v>89</v>
      </c>
      <c r="B107" s="22" t="s">
        <v>3</v>
      </c>
      <c r="C107" s="53">
        <v>11</v>
      </c>
      <c r="D107" s="53">
        <v>28000</v>
      </c>
      <c r="E107" s="55">
        <f t="shared" si="1"/>
        <v>308000</v>
      </c>
    </row>
    <row r="108" spans="1:5" ht="15.6" hidden="1">
      <c r="A108" s="22" t="s">
        <v>66</v>
      </c>
      <c r="B108" s="22" t="s">
        <v>3</v>
      </c>
      <c r="C108" s="53">
        <v>0</v>
      </c>
      <c r="D108" s="53"/>
      <c r="E108" s="55">
        <f t="shared" si="1"/>
        <v>0</v>
      </c>
    </row>
    <row r="109" spans="1:5" ht="15.6" hidden="1">
      <c r="A109" s="22" t="s">
        <v>88</v>
      </c>
      <c r="B109" s="22" t="s">
        <v>3</v>
      </c>
      <c r="C109" s="53">
        <v>0</v>
      </c>
      <c r="D109" s="53"/>
      <c r="E109" s="55">
        <f t="shared" si="1"/>
        <v>0</v>
      </c>
    </row>
    <row r="110" spans="1:5" ht="15.6">
      <c r="A110" s="22" t="s">
        <v>129</v>
      </c>
      <c r="B110" s="22" t="s">
        <v>3</v>
      </c>
      <c r="C110" s="53">
        <v>0.5</v>
      </c>
      <c r="D110" s="53">
        <v>70000</v>
      </c>
      <c r="E110" s="55">
        <f t="shared" si="1"/>
        <v>35000</v>
      </c>
    </row>
    <row r="111" spans="1:5" ht="15.6">
      <c r="A111" s="22" t="s">
        <v>75</v>
      </c>
      <c r="B111" s="22" t="s">
        <v>3</v>
      </c>
      <c r="C111" s="53">
        <v>30</v>
      </c>
      <c r="D111" s="53">
        <v>45000</v>
      </c>
      <c r="E111" s="55">
        <f t="shared" si="1"/>
        <v>1350000</v>
      </c>
    </row>
    <row r="112" spans="1:5" ht="15.6">
      <c r="A112" s="22" t="s">
        <v>77</v>
      </c>
      <c r="B112" s="22" t="s">
        <v>3</v>
      </c>
      <c r="C112" s="53">
        <v>7</v>
      </c>
      <c r="D112" s="53">
        <v>50000</v>
      </c>
      <c r="E112" s="55">
        <f t="shared" si="1"/>
        <v>350000</v>
      </c>
    </row>
    <row r="113" spans="1:5" ht="15.6">
      <c r="A113" s="22" t="s">
        <v>173</v>
      </c>
      <c r="B113" s="22" t="s">
        <v>3</v>
      </c>
      <c r="C113" s="53">
        <v>4</v>
      </c>
      <c r="D113" s="53">
        <v>30000</v>
      </c>
      <c r="E113" s="55">
        <f t="shared" si="1"/>
        <v>120000</v>
      </c>
    </row>
    <row r="114" spans="1:5" ht="15.6">
      <c r="A114" s="22" t="s">
        <v>82</v>
      </c>
      <c r="B114" s="22" t="s">
        <v>9</v>
      </c>
      <c r="C114" s="53">
        <v>375</v>
      </c>
      <c r="D114" s="53">
        <v>11361</v>
      </c>
      <c r="E114" s="55">
        <f t="shared" si="1"/>
        <v>4260375</v>
      </c>
    </row>
    <row r="115" spans="1:5">
      <c r="E115" s="51">
        <f>SUM(E3:E114)</f>
        <v>198530675</v>
      </c>
    </row>
  </sheetData>
  <autoFilter ref="A2:E114">
    <filterColumn colId="2">
      <filters>
        <filter val="1"/>
        <filter val="1,022"/>
        <filter val="1,265"/>
        <filter val="11"/>
        <filter val="112"/>
        <filter val="12"/>
        <filter val="120"/>
        <filter val="13"/>
        <filter val="15"/>
        <filter val="155"/>
        <filter val="16"/>
        <filter val="180"/>
        <filter val="185"/>
        <filter val="187"/>
        <filter val="192"/>
        <filter val="2"/>
        <filter val="2,230"/>
        <filter val="20"/>
        <filter val="200"/>
        <filter val="261"/>
        <filter val="268"/>
        <filter val="283"/>
        <filter val="295"/>
        <filter val="3"/>
        <filter val="30"/>
        <filter val="309"/>
        <filter val="314"/>
        <filter val="33"/>
        <filter val="36"/>
        <filter val="362"/>
        <filter val="375"/>
        <filter val="38"/>
        <filter val="390"/>
        <filter val="4"/>
        <filter val="420"/>
        <filter val="483"/>
        <filter val="5"/>
        <filter val="50"/>
        <filter val="58"/>
        <filter val="6"/>
        <filter val="60"/>
        <filter val="7"/>
        <filter val="75"/>
        <filter val="750"/>
        <filter val="810"/>
        <filter val="9"/>
        <filter val="95"/>
      </filters>
    </filterColumn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109"/>
  <sheetViews>
    <sheetView topLeftCell="A31" workbookViewId="0">
      <selection activeCell="E110" sqref="E110"/>
    </sheetView>
  </sheetViews>
  <sheetFormatPr defaultRowHeight="13.8"/>
  <cols>
    <col min="1" max="1" width="26.19921875" customWidth="1"/>
    <col min="4" max="4" width="12.69921875" customWidth="1"/>
    <col min="5" max="5" width="17" customWidth="1"/>
  </cols>
  <sheetData>
    <row r="1" spans="1:5">
      <c r="A1" t="s">
        <v>176</v>
      </c>
    </row>
    <row r="2" spans="1:5" ht="18.600000000000001">
      <c r="A2" s="52" t="s">
        <v>106</v>
      </c>
      <c r="B2" s="52" t="s">
        <v>0</v>
      </c>
      <c r="C2" s="53" t="s">
        <v>111</v>
      </c>
      <c r="D2" s="54" t="s">
        <v>112</v>
      </c>
      <c r="E2" s="60" t="s">
        <v>113</v>
      </c>
    </row>
    <row r="3" spans="1:5" ht="15.6">
      <c r="A3" s="22" t="s">
        <v>2</v>
      </c>
      <c r="B3" s="22" t="s">
        <v>3</v>
      </c>
      <c r="C3" s="53">
        <v>53</v>
      </c>
      <c r="D3" s="55">
        <v>20000</v>
      </c>
      <c r="E3" s="47">
        <f>C3*D3</f>
        <v>1060000</v>
      </c>
    </row>
    <row r="4" spans="1:5" ht="15.6">
      <c r="A4" s="22" t="s">
        <v>4</v>
      </c>
      <c r="B4" s="22" t="s">
        <v>3</v>
      </c>
      <c r="C4" s="53">
        <v>420</v>
      </c>
      <c r="D4" s="55">
        <v>5000</v>
      </c>
      <c r="E4" s="47">
        <f t="shared" ref="E4:E67" si="0">C4*D4</f>
        <v>2100000</v>
      </c>
    </row>
    <row r="5" spans="1:5" ht="15.6">
      <c r="A5" s="22" t="s">
        <v>5</v>
      </c>
      <c r="B5" s="22" t="s">
        <v>3</v>
      </c>
      <c r="C5" s="53">
        <v>828</v>
      </c>
      <c r="D5" s="55">
        <v>6000</v>
      </c>
      <c r="E5" s="47">
        <f t="shared" si="0"/>
        <v>4968000</v>
      </c>
    </row>
    <row r="6" spans="1:5" ht="15.6">
      <c r="A6" s="22" t="s">
        <v>96</v>
      </c>
      <c r="B6" s="22" t="s">
        <v>3</v>
      </c>
      <c r="C6" s="53">
        <v>5</v>
      </c>
      <c r="D6" s="55">
        <v>10000</v>
      </c>
      <c r="E6" s="47">
        <f t="shared" si="0"/>
        <v>50000</v>
      </c>
    </row>
    <row r="7" spans="1:5" ht="15.6" hidden="1">
      <c r="A7" s="22" t="s">
        <v>6</v>
      </c>
      <c r="B7" s="22" t="s">
        <v>3</v>
      </c>
      <c r="C7" s="53">
        <v>0</v>
      </c>
      <c r="D7" s="55"/>
      <c r="E7" s="47">
        <f t="shared" si="0"/>
        <v>0</v>
      </c>
    </row>
    <row r="8" spans="1:5" ht="15.6">
      <c r="A8" s="22" t="s">
        <v>7</v>
      </c>
      <c r="B8" s="22" t="s">
        <v>3</v>
      </c>
      <c r="C8" s="53">
        <v>570</v>
      </c>
      <c r="D8" s="55">
        <v>9706</v>
      </c>
      <c r="E8" s="47">
        <f t="shared" si="0"/>
        <v>5532420</v>
      </c>
    </row>
    <row r="9" spans="1:5" ht="15.6" hidden="1">
      <c r="A9" s="22" t="s">
        <v>116</v>
      </c>
      <c r="B9" s="22" t="s">
        <v>3</v>
      </c>
      <c r="C9" s="53">
        <v>0</v>
      </c>
      <c r="D9" s="55"/>
      <c r="E9" s="47">
        <f t="shared" si="0"/>
        <v>0</v>
      </c>
    </row>
    <row r="10" spans="1:5" ht="15.6">
      <c r="A10" s="22" t="s">
        <v>8</v>
      </c>
      <c r="B10" s="22" t="s">
        <v>3</v>
      </c>
      <c r="C10" s="53">
        <v>30</v>
      </c>
      <c r="D10" s="55">
        <v>15000</v>
      </c>
      <c r="E10" s="47">
        <f t="shared" si="0"/>
        <v>450000</v>
      </c>
    </row>
    <row r="11" spans="1:5" ht="15.6" hidden="1">
      <c r="A11" s="22" t="s">
        <v>8</v>
      </c>
      <c r="B11" s="22" t="s">
        <v>9</v>
      </c>
      <c r="C11" s="53">
        <v>0</v>
      </c>
      <c r="D11" s="55"/>
      <c r="E11" s="47">
        <f t="shared" si="0"/>
        <v>0</v>
      </c>
    </row>
    <row r="12" spans="1:5" ht="15.6" hidden="1">
      <c r="A12" s="22" t="s">
        <v>10</v>
      </c>
      <c r="B12" s="22" t="s">
        <v>3</v>
      </c>
      <c r="C12" s="53">
        <v>0</v>
      </c>
      <c r="D12" s="55"/>
      <c r="E12" s="47">
        <f t="shared" si="0"/>
        <v>0</v>
      </c>
    </row>
    <row r="13" spans="1:5" ht="15.6" hidden="1">
      <c r="A13" s="22" t="s">
        <v>10</v>
      </c>
      <c r="B13" s="22" t="s">
        <v>9</v>
      </c>
      <c r="C13" s="53">
        <v>0</v>
      </c>
      <c r="D13" s="55"/>
      <c r="E13" s="47">
        <f t="shared" si="0"/>
        <v>0</v>
      </c>
    </row>
    <row r="14" spans="1:5" ht="15.6" hidden="1">
      <c r="A14" s="22" t="s">
        <v>131</v>
      </c>
      <c r="B14" s="22" t="s">
        <v>3</v>
      </c>
      <c r="C14" s="53">
        <v>0</v>
      </c>
      <c r="D14" s="55"/>
      <c r="E14" s="47">
        <f t="shared" si="0"/>
        <v>0</v>
      </c>
    </row>
    <row r="15" spans="1:5" ht="15.6">
      <c r="A15" s="22" t="s">
        <v>12</v>
      </c>
      <c r="B15" s="22" t="s">
        <v>3</v>
      </c>
      <c r="C15" s="53">
        <v>2</v>
      </c>
      <c r="D15" s="55">
        <v>9000</v>
      </c>
      <c r="E15" s="47">
        <f t="shared" si="0"/>
        <v>18000</v>
      </c>
    </row>
    <row r="16" spans="1:5" ht="15.6" hidden="1">
      <c r="A16" s="22" t="s">
        <v>14</v>
      </c>
      <c r="B16" s="22" t="s">
        <v>3</v>
      </c>
      <c r="C16" s="53">
        <v>0</v>
      </c>
      <c r="D16" s="55"/>
      <c r="E16" s="47">
        <f t="shared" si="0"/>
        <v>0</v>
      </c>
    </row>
    <row r="17" spans="1:5" ht="15.6" hidden="1">
      <c r="A17" s="22" t="s">
        <v>15</v>
      </c>
      <c r="B17" s="22" t="s">
        <v>3</v>
      </c>
      <c r="C17" s="53">
        <v>0</v>
      </c>
      <c r="D17" s="55"/>
      <c r="E17" s="47">
        <f t="shared" si="0"/>
        <v>0</v>
      </c>
    </row>
    <row r="18" spans="1:5" ht="15.6" hidden="1">
      <c r="A18" s="22" t="s">
        <v>16</v>
      </c>
      <c r="B18" s="22" t="s">
        <v>17</v>
      </c>
      <c r="C18" s="53">
        <v>0</v>
      </c>
      <c r="D18" s="55"/>
      <c r="E18" s="47">
        <f t="shared" si="0"/>
        <v>0</v>
      </c>
    </row>
    <row r="19" spans="1:5" ht="15.6" hidden="1">
      <c r="A19" s="22" t="s">
        <v>145</v>
      </c>
      <c r="B19" s="22" t="s">
        <v>40</v>
      </c>
      <c r="C19" s="53">
        <v>0</v>
      </c>
      <c r="D19" s="55"/>
      <c r="E19" s="47">
        <f t="shared" si="0"/>
        <v>0</v>
      </c>
    </row>
    <row r="20" spans="1:5" ht="15.6" hidden="1">
      <c r="A20" s="22" t="s">
        <v>97</v>
      </c>
      <c r="B20" s="22" t="s">
        <v>3</v>
      </c>
      <c r="C20" s="53">
        <v>0</v>
      </c>
      <c r="D20" s="55"/>
      <c r="E20" s="47">
        <f t="shared" si="0"/>
        <v>0</v>
      </c>
    </row>
    <row r="21" spans="1:5" ht="15.6">
      <c r="A21" s="22" t="s">
        <v>18</v>
      </c>
      <c r="B21" s="22" t="s">
        <v>3</v>
      </c>
      <c r="C21" s="53">
        <v>210</v>
      </c>
      <c r="D21" s="55">
        <v>12500</v>
      </c>
      <c r="E21" s="47">
        <f t="shared" si="0"/>
        <v>2625000</v>
      </c>
    </row>
    <row r="22" spans="1:5" ht="15.6" hidden="1">
      <c r="A22" s="22" t="s">
        <v>18</v>
      </c>
      <c r="B22" s="22" t="s">
        <v>19</v>
      </c>
      <c r="C22" s="53">
        <v>0</v>
      </c>
      <c r="D22" s="55"/>
      <c r="E22" s="47">
        <f t="shared" si="0"/>
        <v>0</v>
      </c>
    </row>
    <row r="23" spans="1:5" ht="15.6">
      <c r="A23" s="22" t="s">
        <v>20</v>
      </c>
      <c r="B23" s="22" t="s">
        <v>3</v>
      </c>
      <c r="C23" s="53">
        <v>40</v>
      </c>
      <c r="D23" s="55">
        <v>12000</v>
      </c>
      <c r="E23" s="47">
        <f t="shared" si="0"/>
        <v>480000</v>
      </c>
    </row>
    <row r="24" spans="1:5" ht="15.6" hidden="1">
      <c r="A24" s="22" t="s">
        <v>20</v>
      </c>
      <c r="B24" s="22" t="s">
        <v>21</v>
      </c>
      <c r="C24" s="53">
        <v>0</v>
      </c>
      <c r="D24" s="55"/>
      <c r="E24" s="47">
        <f t="shared" si="0"/>
        <v>0</v>
      </c>
    </row>
    <row r="25" spans="1:5" ht="15.6">
      <c r="A25" s="22" t="s">
        <v>20</v>
      </c>
      <c r="B25" s="22" t="s">
        <v>19</v>
      </c>
      <c r="C25" s="53">
        <v>37</v>
      </c>
      <c r="D25" s="55">
        <v>11050</v>
      </c>
      <c r="E25" s="47">
        <f t="shared" si="0"/>
        <v>408850</v>
      </c>
    </row>
    <row r="26" spans="1:5" ht="15.6">
      <c r="A26" s="22" t="s">
        <v>22</v>
      </c>
      <c r="B26" s="22" t="s">
        <v>3</v>
      </c>
      <c r="C26" s="53">
        <v>3</v>
      </c>
      <c r="D26" s="55">
        <v>17000</v>
      </c>
      <c r="E26" s="47">
        <f t="shared" si="0"/>
        <v>51000</v>
      </c>
    </row>
    <row r="27" spans="1:5" ht="15.6">
      <c r="A27" s="22" t="s">
        <v>22</v>
      </c>
      <c r="B27" s="22" t="s">
        <v>23</v>
      </c>
      <c r="C27" s="53">
        <v>69</v>
      </c>
      <c r="D27" s="55">
        <v>5100</v>
      </c>
      <c r="E27" s="47">
        <f t="shared" si="0"/>
        <v>351900</v>
      </c>
    </row>
    <row r="28" spans="1:5" ht="15.6">
      <c r="A28" s="22" t="s">
        <v>24</v>
      </c>
      <c r="B28" s="22" t="s">
        <v>25</v>
      </c>
      <c r="C28" s="53">
        <v>6</v>
      </c>
      <c r="D28" s="55">
        <v>11100</v>
      </c>
      <c r="E28" s="47">
        <f t="shared" si="0"/>
        <v>66600</v>
      </c>
    </row>
    <row r="29" spans="1:5" ht="15.6" hidden="1">
      <c r="A29" s="22" t="s">
        <v>26</v>
      </c>
      <c r="B29" s="22" t="s">
        <v>3</v>
      </c>
      <c r="C29" s="53">
        <v>0</v>
      </c>
      <c r="D29" s="55"/>
      <c r="E29" s="47">
        <f t="shared" si="0"/>
        <v>0</v>
      </c>
    </row>
    <row r="30" spans="1:5" ht="15.6">
      <c r="A30" s="22" t="s">
        <v>26</v>
      </c>
      <c r="B30" s="22" t="s">
        <v>23</v>
      </c>
      <c r="C30" s="53">
        <v>192</v>
      </c>
      <c r="D30" s="55">
        <v>10000</v>
      </c>
      <c r="E30" s="47">
        <f t="shared" si="0"/>
        <v>1920000</v>
      </c>
    </row>
    <row r="31" spans="1:5" ht="15.6">
      <c r="A31" s="22" t="s">
        <v>26</v>
      </c>
      <c r="B31" s="22" t="s">
        <v>27</v>
      </c>
      <c r="C31" s="53">
        <v>249</v>
      </c>
      <c r="D31" s="55">
        <v>7500</v>
      </c>
      <c r="E31" s="47">
        <f t="shared" si="0"/>
        <v>1867500</v>
      </c>
    </row>
    <row r="32" spans="1:5" ht="15.6">
      <c r="A32" s="22" t="s">
        <v>28</v>
      </c>
      <c r="B32" s="22" t="s">
        <v>3</v>
      </c>
      <c r="C32" s="53">
        <v>10</v>
      </c>
      <c r="D32" s="55">
        <v>17000</v>
      </c>
      <c r="E32" s="47">
        <f t="shared" si="0"/>
        <v>170000</v>
      </c>
    </row>
    <row r="33" spans="1:5" ht="15.6" hidden="1">
      <c r="A33" s="22" t="s">
        <v>28</v>
      </c>
      <c r="B33" s="22" t="s">
        <v>17</v>
      </c>
      <c r="C33" s="53">
        <v>0</v>
      </c>
      <c r="D33" s="55"/>
      <c r="E33" s="47">
        <f t="shared" si="0"/>
        <v>0</v>
      </c>
    </row>
    <row r="34" spans="1:5" ht="15.6">
      <c r="A34" s="22" t="s">
        <v>29</v>
      </c>
      <c r="B34" s="22" t="s">
        <v>30</v>
      </c>
      <c r="C34" s="53">
        <v>120</v>
      </c>
      <c r="D34" s="55">
        <v>12000</v>
      </c>
      <c r="E34" s="47">
        <f t="shared" si="0"/>
        <v>1440000</v>
      </c>
    </row>
    <row r="35" spans="1:5" ht="15.6">
      <c r="A35" s="22" t="s">
        <v>31</v>
      </c>
      <c r="B35" s="22" t="s">
        <v>3</v>
      </c>
      <c r="C35" s="53">
        <v>96</v>
      </c>
      <c r="D35" s="55">
        <v>7000</v>
      </c>
      <c r="E35" s="47">
        <f t="shared" si="0"/>
        <v>672000</v>
      </c>
    </row>
    <row r="36" spans="1:5" ht="15.6" hidden="1">
      <c r="A36" s="22" t="s">
        <v>31</v>
      </c>
      <c r="B36" s="22" t="s">
        <v>30</v>
      </c>
      <c r="C36" s="53">
        <v>0</v>
      </c>
      <c r="D36" s="55"/>
      <c r="E36" s="47">
        <f t="shared" si="0"/>
        <v>0</v>
      </c>
    </row>
    <row r="37" spans="1:5" ht="15.6" hidden="1">
      <c r="A37" s="22" t="s">
        <v>32</v>
      </c>
      <c r="B37" s="22" t="s">
        <v>17</v>
      </c>
      <c r="C37" s="53">
        <v>0</v>
      </c>
      <c r="D37" s="55"/>
      <c r="E37" s="47">
        <f t="shared" si="0"/>
        <v>0</v>
      </c>
    </row>
    <row r="38" spans="1:5" ht="15.6">
      <c r="A38" s="22" t="s">
        <v>33</v>
      </c>
      <c r="B38" s="22" t="s">
        <v>3</v>
      </c>
      <c r="C38" s="53">
        <v>40</v>
      </c>
      <c r="D38" s="55">
        <v>8000</v>
      </c>
      <c r="E38" s="47">
        <f t="shared" si="0"/>
        <v>320000</v>
      </c>
    </row>
    <row r="39" spans="1:5" ht="15.6" hidden="1">
      <c r="A39" s="22" t="s">
        <v>33</v>
      </c>
      <c r="B39" s="22" t="s">
        <v>34</v>
      </c>
      <c r="C39" s="53">
        <v>0</v>
      </c>
      <c r="D39" s="55"/>
      <c r="E39" s="47">
        <f t="shared" si="0"/>
        <v>0</v>
      </c>
    </row>
    <row r="40" spans="1:5" ht="15.6">
      <c r="A40" s="22" t="s">
        <v>35</v>
      </c>
      <c r="B40" s="22" t="s">
        <v>3</v>
      </c>
      <c r="C40" s="53">
        <v>7</v>
      </c>
      <c r="D40" s="55">
        <v>12000</v>
      </c>
      <c r="E40" s="47">
        <f t="shared" si="0"/>
        <v>84000</v>
      </c>
    </row>
    <row r="41" spans="1:5" ht="15.6" hidden="1">
      <c r="A41" s="22" t="s">
        <v>35</v>
      </c>
      <c r="B41" s="22" t="s">
        <v>30</v>
      </c>
      <c r="C41" s="53">
        <v>0</v>
      </c>
      <c r="D41" s="55"/>
      <c r="E41" s="47">
        <f t="shared" si="0"/>
        <v>0</v>
      </c>
    </row>
    <row r="42" spans="1:5" ht="15.6" hidden="1">
      <c r="A42" s="22" t="s">
        <v>36</v>
      </c>
      <c r="B42" s="22" t="s">
        <v>30</v>
      </c>
      <c r="C42" s="53">
        <v>0</v>
      </c>
      <c r="D42" s="55"/>
      <c r="E42" s="47">
        <f t="shared" si="0"/>
        <v>0</v>
      </c>
    </row>
    <row r="43" spans="1:5" ht="15.6">
      <c r="A43" s="22" t="s">
        <v>37</v>
      </c>
      <c r="B43" s="22" t="s">
        <v>30</v>
      </c>
      <c r="C43" s="53">
        <v>6</v>
      </c>
      <c r="D43" s="55">
        <v>3900</v>
      </c>
      <c r="E43" s="47">
        <f t="shared" si="0"/>
        <v>23400</v>
      </c>
    </row>
    <row r="44" spans="1:5" ht="15.6">
      <c r="A44" s="22" t="s">
        <v>38</v>
      </c>
      <c r="B44" s="22" t="s">
        <v>3</v>
      </c>
      <c r="C44" s="53">
        <v>100</v>
      </c>
      <c r="D44" s="55">
        <v>5000</v>
      </c>
      <c r="E44" s="47">
        <f t="shared" si="0"/>
        <v>500000</v>
      </c>
    </row>
    <row r="45" spans="1:5" ht="15.6" hidden="1">
      <c r="A45" s="22" t="s">
        <v>98</v>
      </c>
      <c r="B45" s="22" t="s">
        <v>3</v>
      </c>
      <c r="C45" s="53">
        <v>0</v>
      </c>
      <c r="D45" s="55"/>
      <c r="E45" s="47">
        <f t="shared" si="0"/>
        <v>0</v>
      </c>
    </row>
    <row r="46" spans="1:5" ht="15.6">
      <c r="A46" s="22" t="s">
        <v>99</v>
      </c>
      <c r="B46" s="22" t="s">
        <v>3</v>
      </c>
      <c r="C46" s="53">
        <v>1640</v>
      </c>
      <c r="D46" s="55">
        <v>3000</v>
      </c>
      <c r="E46" s="47">
        <f t="shared" si="0"/>
        <v>4920000</v>
      </c>
    </row>
    <row r="47" spans="1:5" ht="15.6">
      <c r="A47" s="22" t="s">
        <v>39</v>
      </c>
      <c r="B47" s="22" t="s">
        <v>3</v>
      </c>
      <c r="C47" s="53">
        <v>35</v>
      </c>
      <c r="D47" s="55">
        <v>12000</v>
      </c>
      <c r="E47" s="47">
        <f t="shared" si="0"/>
        <v>420000</v>
      </c>
    </row>
    <row r="48" spans="1:5" ht="15.6" hidden="1">
      <c r="A48" s="22" t="s">
        <v>39</v>
      </c>
      <c r="B48" s="22" t="s">
        <v>40</v>
      </c>
      <c r="C48" s="53">
        <v>0</v>
      </c>
      <c r="D48" s="55"/>
      <c r="E48" s="47">
        <f t="shared" si="0"/>
        <v>0</v>
      </c>
    </row>
    <row r="49" spans="1:5" ht="15.6" hidden="1">
      <c r="A49" s="22" t="s">
        <v>100</v>
      </c>
      <c r="B49" s="22" t="s">
        <v>3</v>
      </c>
      <c r="C49" s="53">
        <v>0</v>
      </c>
      <c r="D49" s="55"/>
      <c r="E49" s="47">
        <f t="shared" si="0"/>
        <v>0</v>
      </c>
    </row>
    <row r="50" spans="1:5" ht="15.6">
      <c r="A50" s="22" t="s">
        <v>41</v>
      </c>
      <c r="B50" s="22" t="s">
        <v>3</v>
      </c>
      <c r="C50" s="53">
        <v>60</v>
      </c>
      <c r="D50" s="55">
        <v>14000</v>
      </c>
      <c r="E50" s="47">
        <f t="shared" si="0"/>
        <v>840000</v>
      </c>
    </row>
    <row r="51" spans="1:5" ht="15.6">
      <c r="A51" s="22" t="s">
        <v>42</v>
      </c>
      <c r="B51" s="22" t="s">
        <v>25</v>
      </c>
      <c r="C51" s="53">
        <v>7</v>
      </c>
      <c r="D51" s="55">
        <v>10000</v>
      </c>
      <c r="E51" s="47">
        <f t="shared" si="0"/>
        <v>70000</v>
      </c>
    </row>
    <row r="52" spans="1:5" ht="15.6" hidden="1">
      <c r="A52" s="22" t="s">
        <v>44</v>
      </c>
      <c r="B52" s="22" t="s">
        <v>3</v>
      </c>
      <c r="C52" s="53">
        <v>0</v>
      </c>
      <c r="D52" s="55"/>
      <c r="E52" s="47">
        <f t="shared" si="0"/>
        <v>0</v>
      </c>
    </row>
    <row r="53" spans="1:5" ht="15.6">
      <c r="A53" s="22" t="s">
        <v>45</v>
      </c>
      <c r="B53" s="22" t="s">
        <v>3</v>
      </c>
      <c r="C53" s="53">
        <v>45</v>
      </c>
      <c r="D53" s="55">
        <v>10000</v>
      </c>
      <c r="E53" s="47">
        <f t="shared" si="0"/>
        <v>450000</v>
      </c>
    </row>
    <row r="54" spans="1:5" ht="15.6" hidden="1">
      <c r="A54" s="22" t="s">
        <v>45</v>
      </c>
      <c r="B54" s="22" t="s">
        <v>30</v>
      </c>
      <c r="C54" s="53">
        <v>0</v>
      </c>
      <c r="D54" s="55"/>
      <c r="E54" s="47">
        <f t="shared" si="0"/>
        <v>0</v>
      </c>
    </row>
    <row r="55" spans="1:5" ht="15.6">
      <c r="A55" s="22" t="s">
        <v>46</v>
      </c>
      <c r="B55" s="22" t="s">
        <v>3</v>
      </c>
      <c r="C55" s="53">
        <v>10</v>
      </c>
      <c r="D55" s="55">
        <v>19000</v>
      </c>
      <c r="E55" s="47">
        <f t="shared" si="0"/>
        <v>190000</v>
      </c>
    </row>
    <row r="56" spans="1:5" ht="15.6">
      <c r="A56" s="22" t="s">
        <v>47</v>
      </c>
      <c r="B56" s="22" t="s">
        <v>3</v>
      </c>
      <c r="C56" s="53">
        <v>105</v>
      </c>
      <c r="D56" s="55">
        <v>9000</v>
      </c>
      <c r="E56" s="47">
        <f t="shared" si="0"/>
        <v>945000</v>
      </c>
    </row>
    <row r="57" spans="1:5" ht="15.6" hidden="1">
      <c r="A57" s="22" t="s">
        <v>47</v>
      </c>
      <c r="B57" s="22" t="s">
        <v>48</v>
      </c>
      <c r="C57" s="53">
        <v>0</v>
      </c>
      <c r="D57" s="55"/>
      <c r="E57" s="47">
        <f t="shared" si="0"/>
        <v>0</v>
      </c>
    </row>
    <row r="58" spans="1:5" ht="15.6">
      <c r="A58" s="22" t="s">
        <v>49</v>
      </c>
      <c r="B58" s="22" t="s">
        <v>30</v>
      </c>
      <c r="C58" s="53">
        <v>585</v>
      </c>
      <c r="D58" s="55">
        <v>1800</v>
      </c>
      <c r="E58" s="47">
        <f t="shared" si="0"/>
        <v>1053000</v>
      </c>
    </row>
    <row r="59" spans="1:5" ht="15.6">
      <c r="A59" s="22" t="s">
        <v>50</v>
      </c>
      <c r="B59" s="22" t="s">
        <v>3</v>
      </c>
      <c r="C59" s="53">
        <v>1980</v>
      </c>
      <c r="D59" s="55">
        <v>25000</v>
      </c>
      <c r="E59" s="47">
        <f t="shared" si="0"/>
        <v>49500000</v>
      </c>
    </row>
    <row r="60" spans="1:5" ht="15.6">
      <c r="A60" s="22" t="s">
        <v>51</v>
      </c>
      <c r="B60" s="22" t="s">
        <v>3</v>
      </c>
      <c r="C60" s="53">
        <v>800</v>
      </c>
      <c r="D60" s="55">
        <v>25000</v>
      </c>
      <c r="E60" s="47">
        <f t="shared" si="0"/>
        <v>20000000</v>
      </c>
    </row>
    <row r="61" spans="1:5" ht="15.6">
      <c r="A61" s="22" t="s">
        <v>53</v>
      </c>
      <c r="B61" s="22" t="s">
        <v>3</v>
      </c>
      <c r="C61" s="53">
        <v>180</v>
      </c>
      <c r="D61" s="55">
        <v>16000</v>
      </c>
      <c r="E61" s="47">
        <f t="shared" si="0"/>
        <v>2880000</v>
      </c>
    </row>
    <row r="62" spans="1:5" ht="15.6">
      <c r="A62" s="22" t="s">
        <v>54</v>
      </c>
      <c r="B62" s="22" t="s">
        <v>3</v>
      </c>
      <c r="C62" s="53">
        <v>25</v>
      </c>
      <c r="D62" s="55">
        <v>28000</v>
      </c>
      <c r="E62" s="47">
        <f t="shared" si="0"/>
        <v>700000</v>
      </c>
    </row>
    <row r="63" spans="1:5" ht="15.6" hidden="1">
      <c r="A63" s="22" t="s">
        <v>108</v>
      </c>
      <c r="B63" s="22" t="s">
        <v>30</v>
      </c>
      <c r="C63" s="53">
        <v>0</v>
      </c>
      <c r="D63" s="55"/>
      <c r="E63" s="47">
        <f t="shared" si="0"/>
        <v>0</v>
      </c>
    </row>
    <row r="64" spans="1:5" ht="15.6">
      <c r="A64" s="22" t="s">
        <v>56</v>
      </c>
      <c r="B64" s="22" t="s">
        <v>3</v>
      </c>
      <c r="C64" s="53">
        <v>585</v>
      </c>
      <c r="D64" s="55">
        <v>13000</v>
      </c>
      <c r="E64" s="47">
        <f t="shared" si="0"/>
        <v>7605000</v>
      </c>
    </row>
    <row r="65" spans="1:5" ht="15.6" hidden="1">
      <c r="A65" s="22" t="s">
        <v>56</v>
      </c>
      <c r="B65" s="22" t="s">
        <v>30</v>
      </c>
      <c r="C65" s="53">
        <v>0</v>
      </c>
      <c r="D65" s="55"/>
      <c r="E65" s="47">
        <f t="shared" si="0"/>
        <v>0</v>
      </c>
    </row>
    <row r="66" spans="1:5" ht="15.6">
      <c r="A66" s="22" t="s">
        <v>57</v>
      </c>
      <c r="B66" s="22" t="s">
        <v>30</v>
      </c>
      <c r="C66" s="53">
        <v>730</v>
      </c>
      <c r="D66" s="55">
        <v>5850</v>
      </c>
      <c r="E66" s="47">
        <f t="shared" si="0"/>
        <v>4270500</v>
      </c>
    </row>
    <row r="67" spans="1:5" ht="15.6">
      <c r="A67" s="22" t="s">
        <v>58</v>
      </c>
      <c r="B67" s="22" t="s">
        <v>3</v>
      </c>
      <c r="C67" s="53">
        <v>5</v>
      </c>
      <c r="D67" s="55">
        <v>8000</v>
      </c>
      <c r="E67" s="47">
        <f t="shared" si="0"/>
        <v>40000</v>
      </c>
    </row>
    <row r="68" spans="1:5" ht="15.6" hidden="1">
      <c r="A68" s="22" t="s">
        <v>59</v>
      </c>
      <c r="B68" s="22" t="s">
        <v>30</v>
      </c>
      <c r="C68" s="53">
        <v>0</v>
      </c>
      <c r="D68" s="55"/>
      <c r="E68" s="47">
        <f t="shared" ref="E68:E108" si="1">C68*D68</f>
        <v>0</v>
      </c>
    </row>
    <row r="69" spans="1:5" ht="15.6" hidden="1">
      <c r="A69" s="22" t="s">
        <v>60</v>
      </c>
      <c r="B69" s="22" t="s">
        <v>3</v>
      </c>
      <c r="C69" s="53">
        <v>0</v>
      </c>
      <c r="D69" s="55"/>
      <c r="E69" s="47">
        <f t="shared" si="1"/>
        <v>0</v>
      </c>
    </row>
    <row r="70" spans="1:5" ht="15.6">
      <c r="A70" s="22" t="s">
        <v>60</v>
      </c>
      <c r="B70" s="22" t="s">
        <v>61</v>
      </c>
      <c r="C70" s="53">
        <v>55</v>
      </c>
      <c r="D70" s="55">
        <v>7000</v>
      </c>
      <c r="E70" s="47">
        <f t="shared" si="1"/>
        <v>385000</v>
      </c>
    </row>
    <row r="71" spans="1:5" ht="15.6" hidden="1">
      <c r="A71" s="22" t="s">
        <v>62</v>
      </c>
      <c r="B71" s="22" t="s">
        <v>3</v>
      </c>
      <c r="C71" s="53">
        <v>0</v>
      </c>
      <c r="D71" s="55"/>
      <c r="E71" s="47">
        <f t="shared" si="1"/>
        <v>0</v>
      </c>
    </row>
    <row r="72" spans="1:5" ht="15.6" hidden="1">
      <c r="A72" s="22" t="s">
        <v>63</v>
      </c>
      <c r="B72" s="22" t="s">
        <v>3</v>
      </c>
      <c r="C72" s="53">
        <v>0</v>
      </c>
      <c r="D72" s="55"/>
      <c r="E72" s="47">
        <f t="shared" si="1"/>
        <v>0</v>
      </c>
    </row>
    <row r="73" spans="1:5" ht="15.6" hidden="1">
      <c r="A73" s="22" t="s">
        <v>64</v>
      </c>
      <c r="B73" s="22" t="s">
        <v>3</v>
      </c>
      <c r="C73" s="53">
        <v>0</v>
      </c>
      <c r="D73" s="55"/>
      <c r="E73" s="47">
        <f t="shared" si="1"/>
        <v>0</v>
      </c>
    </row>
    <row r="74" spans="1:5" ht="15.6" hidden="1">
      <c r="A74" s="22" t="s">
        <v>65</v>
      </c>
      <c r="B74" s="22" t="s">
        <v>3</v>
      </c>
      <c r="C74" s="53">
        <v>0</v>
      </c>
      <c r="D74" s="55"/>
      <c r="E74" s="47">
        <f t="shared" si="1"/>
        <v>0</v>
      </c>
    </row>
    <row r="75" spans="1:5" ht="15.6">
      <c r="A75" s="22" t="s">
        <v>65</v>
      </c>
      <c r="B75" s="22" t="s">
        <v>17</v>
      </c>
      <c r="C75" s="53">
        <v>844</v>
      </c>
      <c r="D75" s="55">
        <v>8000</v>
      </c>
      <c r="E75" s="47">
        <f t="shared" si="1"/>
        <v>6752000</v>
      </c>
    </row>
    <row r="76" spans="1:5" ht="15.6">
      <c r="A76" s="22" t="s">
        <v>66</v>
      </c>
      <c r="B76" s="22" t="s">
        <v>3</v>
      </c>
      <c r="C76" s="53">
        <v>5</v>
      </c>
      <c r="D76" s="55">
        <v>16000</v>
      </c>
      <c r="E76" s="47">
        <f t="shared" si="1"/>
        <v>80000</v>
      </c>
    </row>
    <row r="77" spans="1:5" ht="15.6">
      <c r="A77" s="22" t="s">
        <v>67</v>
      </c>
      <c r="B77" s="22" t="s">
        <v>3</v>
      </c>
      <c r="C77" s="53">
        <v>15</v>
      </c>
      <c r="D77" s="55">
        <v>12000</v>
      </c>
      <c r="E77" s="47">
        <f t="shared" si="1"/>
        <v>180000</v>
      </c>
    </row>
    <row r="78" spans="1:5" ht="15.6">
      <c r="A78" s="22" t="s">
        <v>68</v>
      </c>
      <c r="B78" s="22" t="s">
        <v>3</v>
      </c>
      <c r="C78" s="53">
        <v>10</v>
      </c>
      <c r="D78" s="55">
        <v>10000</v>
      </c>
      <c r="E78" s="47">
        <f t="shared" si="1"/>
        <v>100000</v>
      </c>
    </row>
    <row r="79" spans="1:5" ht="15.6" hidden="1">
      <c r="A79" s="22" t="s">
        <v>68</v>
      </c>
      <c r="B79" s="22" t="s">
        <v>40</v>
      </c>
      <c r="C79" s="53">
        <v>0</v>
      </c>
      <c r="D79" s="55"/>
      <c r="E79" s="47">
        <f t="shared" si="1"/>
        <v>0</v>
      </c>
    </row>
    <row r="80" spans="1:5" ht="15.6" hidden="1">
      <c r="A80" s="22" t="s">
        <v>70</v>
      </c>
      <c r="B80" s="22" t="s">
        <v>30</v>
      </c>
      <c r="C80" s="53">
        <v>0</v>
      </c>
      <c r="D80" s="55"/>
      <c r="E80" s="47">
        <f t="shared" si="1"/>
        <v>0</v>
      </c>
    </row>
    <row r="81" spans="1:5" ht="15.6">
      <c r="A81" s="22" t="s">
        <v>71</v>
      </c>
      <c r="B81" s="22" t="s">
        <v>3</v>
      </c>
      <c r="C81" s="53">
        <v>19</v>
      </c>
      <c r="D81" s="55">
        <v>14000</v>
      </c>
      <c r="E81" s="47">
        <f t="shared" si="1"/>
        <v>266000</v>
      </c>
    </row>
    <row r="82" spans="1:5" ht="15.6">
      <c r="A82" s="22" t="s">
        <v>160</v>
      </c>
      <c r="B82" s="22" t="s">
        <v>3</v>
      </c>
      <c r="C82" s="53">
        <v>120</v>
      </c>
      <c r="D82" s="55">
        <v>50000</v>
      </c>
      <c r="E82" s="47">
        <f t="shared" si="1"/>
        <v>6000000</v>
      </c>
    </row>
    <row r="83" spans="1:5" ht="15.6" hidden="1">
      <c r="A83" s="22" t="s">
        <v>160</v>
      </c>
      <c r="B83" s="22" t="s">
        <v>171</v>
      </c>
      <c r="C83" s="53">
        <v>0</v>
      </c>
      <c r="D83" s="55"/>
      <c r="E83" s="47">
        <f t="shared" si="1"/>
        <v>0</v>
      </c>
    </row>
    <row r="84" spans="1:5" ht="15.6">
      <c r="A84" s="22" t="s">
        <v>72</v>
      </c>
      <c r="B84" s="22" t="s">
        <v>3</v>
      </c>
      <c r="C84" s="53">
        <v>5</v>
      </c>
      <c r="D84" s="55">
        <v>40000</v>
      </c>
      <c r="E84" s="47">
        <f t="shared" si="1"/>
        <v>200000</v>
      </c>
    </row>
    <row r="85" spans="1:5" ht="15.6" hidden="1">
      <c r="A85" s="22" t="s">
        <v>72</v>
      </c>
      <c r="B85" s="22" t="s">
        <v>17</v>
      </c>
      <c r="C85" s="53">
        <v>0</v>
      </c>
      <c r="D85" s="55"/>
      <c r="E85" s="47">
        <f t="shared" si="1"/>
        <v>0</v>
      </c>
    </row>
    <row r="86" spans="1:5" ht="15.6" hidden="1">
      <c r="A86" s="22" t="s">
        <v>73</v>
      </c>
      <c r="B86" s="22" t="s">
        <v>25</v>
      </c>
      <c r="C86" s="53">
        <v>0</v>
      </c>
      <c r="D86" s="55"/>
      <c r="E86" s="47">
        <f t="shared" si="1"/>
        <v>0</v>
      </c>
    </row>
    <row r="87" spans="1:5" ht="15.6">
      <c r="A87" s="22" t="s">
        <v>73</v>
      </c>
      <c r="B87" s="22" t="s">
        <v>3</v>
      </c>
      <c r="C87" s="53">
        <v>11</v>
      </c>
      <c r="D87" s="55">
        <v>55000</v>
      </c>
      <c r="E87" s="47">
        <f t="shared" si="1"/>
        <v>605000</v>
      </c>
    </row>
    <row r="88" spans="1:5" ht="15.6">
      <c r="A88" s="22" t="s">
        <v>74</v>
      </c>
      <c r="B88" s="22" t="s">
        <v>3</v>
      </c>
      <c r="C88" s="53">
        <v>197</v>
      </c>
      <c r="D88" s="55">
        <v>55000</v>
      </c>
      <c r="E88" s="47">
        <f t="shared" si="1"/>
        <v>10835000</v>
      </c>
    </row>
    <row r="89" spans="1:5" ht="15.6" hidden="1">
      <c r="A89" s="22" t="s">
        <v>74</v>
      </c>
      <c r="B89" s="22" t="s">
        <v>9</v>
      </c>
      <c r="C89" s="53">
        <v>0</v>
      </c>
      <c r="D89" s="55"/>
      <c r="E89" s="47">
        <f t="shared" si="1"/>
        <v>0</v>
      </c>
    </row>
    <row r="90" spans="1:5" ht="15.6">
      <c r="A90" s="22" t="s">
        <v>76</v>
      </c>
      <c r="B90" s="22" t="s">
        <v>3</v>
      </c>
      <c r="C90" s="53">
        <v>198</v>
      </c>
      <c r="D90" s="55">
        <v>60000</v>
      </c>
      <c r="E90" s="47">
        <f t="shared" si="1"/>
        <v>11880000</v>
      </c>
    </row>
    <row r="91" spans="1:5" ht="15.6" hidden="1">
      <c r="A91" s="22" t="s">
        <v>76</v>
      </c>
      <c r="B91" s="22" t="s">
        <v>9</v>
      </c>
      <c r="C91" s="53">
        <v>0</v>
      </c>
      <c r="D91" s="55"/>
      <c r="E91" s="47">
        <f t="shared" si="1"/>
        <v>0</v>
      </c>
    </row>
    <row r="92" spans="1:5" ht="15.6">
      <c r="A92" s="22" t="s">
        <v>77</v>
      </c>
      <c r="B92" s="22" t="s">
        <v>3</v>
      </c>
      <c r="C92" s="53">
        <v>7</v>
      </c>
      <c r="D92" s="55">
        <v>50000</v>
      </c>
      <c r="E92" s="47">
        <f t="shared" si="1"/>
        <v>350000</v>
      </c>
    </row>
    <row r="93" spans="1:5" ht="15.6" hidden="1">
      <c r="A93" s="22" t="s">
        <v>78</v>
      </c>
      <c r="B93" s="22" t="s">
        <v>3</v>
      </c>
      <c r="C93" s="53">
        <v>0</v>
      </c>
      <c r="D93" s="55"/>
      <c r="E93" s="47">
        <f t="shared" si="1"/>
        <v>0</v>
      </c>
    </row>
    <row r="94" spans="1:5" ht="15.6" hidden="1">
      <c r="A94" s="22" t="s">
        <v>78</v>
      </c>
      <c r="B94" s="22" t="s">
        <v>9</v>
      </c>
      <c r="C94" s="53">
        <v>0</v>
      </c>
      <c r="D94" s="55"/>
      <c r="E94" s="47">
        <f t="shared" si="1"/>
        <v>0</v>
      </c>
    </row>
    <row r="95" spans="1:5" ht="15.6">
      <c r="A95" s="22" t="s">
        <v>79</v>
      </c>
      <c r="B95" s="22" t="s">
        <v>30</v>
      </c>
      <c r="C95" s="53">
        <v>72</v>
      </c>
      <c r="D95" s="55">
        <v>18000</v>
      </c>
      <c r="E95" s="47">
        <f t="shared" si="1"/>
        <v>1296000</v>
      </c>
    </row>
    <row r="96" spans="1:5" ht="15.6" hidden="1">
      <c r="A96" s="22" t="s">
        <v>80</v>
      </c>
      <c r="B96" s="22" t="s">
        <v>30</v>
      </c>
      <c r="C96" s="53">
        <v>0</v>
      </c>
      <c r="D96" s="55"/>
      <c r="E96" s="47">
        <f t="shared" si="1"/>
        <v>0</v>
      </c>
    </row>
    <row r="97" spans="1:5" ht="15.6">
      <c r="A97" s="22" t="s">
        <v>81</v>
      </c>
      <c r="B97" s="22" t="s">
        <v>9</v>
      </c>
      <c r="C97" s="53">
        <v>1892</v>
      </c>
      <c r="D97" s="55">
        <v>9000</v>
      </c>
      <c r="E97" s="47">
        <f t="shared" si="1"/>
        <v>17028000</v>
      </c>
    </row>
    <row r="98" spans="1:5" ht="15.6">
      <c r="A98" s="22" t="s">
        <v>82</v>
      </c>
      <c r="B98" s="22" t="s">
        <v>9</v>
      </c>
      <c r="C98" s="53">
        <v>375</v>
      </c>
      <c r="D98" s="55">
        <v>11361</v>
      </c>
      <c r="E98" s="47">
        <f t="shared" si="1"/>
        <v>4260375</v>
      </c>
    </row>
    <row r="99" spans="1:5" ht="15.6" hidden="1">
      <c r="A99" s="22" t="s">
        <v>84</v>
      </c>
      <c r="B99" s="22" t="s">
        <v>3</v>
      </c>
      <c r="C99" s="53">
        <v>0</v>
      </c>
      <c r="D99" s="55"/>
      <c r="E99" s="47">
        <f t="shared" si="1"/>
        <v>0</v>
      </c>
    </row>
    <row r="100" spans="1:5" ht="15.6">
      <c r="A100" s="22" t="s">
        <v>85</v>
      </c>
      <c r="B100" s="22" t="s">
        <v>3</v>
      </c>
      <c r="C100" s="53">
        <v>14</v>
      </c>
      <c r="D100" s="55">
        <v>12000</v>
      </c>
      <c r="E100" s="47">
        <f t="shared" si="1"/>
        <v>168000</v>
      </c>
    </row>
    <row r="101" spans="1:5" ht="15.6">
      <c r="A101" s="22" t="s">
        <v>87</v>
      </c>
      <c r="B101" s="22" t="s">
        <v>3</v>
      </c>
      <c r="C101" s="53">
        <v>155</v>
      </c>
      <c r="D101" s="55">
        <v>4000</v>
      </c>
      <c r="E101" s="47">
        <f t="shared" si="1"/>
        <v>620000</v>
      </c>
    </row>
    <row r="102" spans="1:5" ht="15.6">
      <c r="A102" s="22" t="s">
        <v>88</v>
      </c>
      <c r="B102" s="22" t="s">
        <v>3</v>
      </c>
      <c r="C102" s="53">
        <v>38</v>
      </c>
      <c r="D102" s="55">
        <v>13000</v>
      </c>
      <c r="E102" s="47">
        <f t="shared" si="1"/>
        <v>494000</v>
      </c>
    </row>
    <row r="103" spans="1:5" ht="15.6">
      <c r="A103" s="22" t="s">
        <v>89</v>
      </c>
      <c r="B103" s="22" t="s">
        <v>3</v>
      </c>
      <c r="C103" s="53">
        <v>12</v>
      </c>
      <c r="D103" s="55">
        <v>25000</v>
      </c>
      <c r="E103" s="47">
        <f t="shared" si="1"/>
        <v>300000</v>
      </c>
    </row>
    <row r="104" spans="1:5" ht="15.6" hidden="1">
      <c r="A104" s="22" t="s">
        <v>90</v>
      </c>
      <c r="B104" s="22" t="s">
        <v>40</v>
      </c>
      <c r="C104" s="53">
        <v>0</v>
      </c>
      <c r="D104" s="55"/>
      <c r="E104" s="47">
        <f t="shared" si="1"/>
        <v>0</v>
      </c>
    </row>
    <row r="105" spans="1:5" ht="15.6">
      <c r="A105" s="22" t="s">
        <v>91</v>
      </c>
      <c r="B105" s="22" t="s">
        <v>3</v>
      </c>
      <c r="C105" s="53">
        <v>1</v>
      </c>
      <c r="D105" s="55">
        <v>24000</v>
      </c>
      <c r="E105" s="47">
        <f t="shared" si="1"/>
        <v>24000</v>
      </c>
    </row>
    <row r="106" spans="1:5" ht="15.6">
      <c r="A106" s="22" t="s">
        <v>92</v>
      </c>
      <c r="B106" s="22" t="s">
        <v>40</v>
      </c>
      <c r="C106" s="53">
        <v>15</v>
      </c>
      <c r="D106" s="55">
        <v>6800</v>
      </c>
      <c r="E106" s="47">
        <f t="shared" si="1"/>
        <v>102000</v>
      </c>
    </row>
    <row r="107" spans="1:5" ht="15.6" hidden="1">
      <c r="A107" s="22" t="s">
        <v>94</v>
      </c>
      <c r="B107" s="22" t="s">
        <v>3</v>
      </c>
      <c r="C107" s="53">
        <v>0</v>
      </c>
      <c r="D107" s="55"/>
      <c r="E107" s="47">
        <f t="shared" si="1"/>
        <v>0</v>
      </c>
    </row>
    <row r="108" spans="1:5" ht="15.6" hidden="1">
      <c r="A108" s="22" t="s">
        <v>95</v>
      </c>
      <c r="B108" s="22" t="s">
        <v>40</v>
      </c>
      <c r="C108" s="53">
        <v>0</v>
      </c>
      <c r="D108" s="55"/>
      <c r="E108" s="47">
        <f t="shared" si="1"/>
        <v>0</v>
      </c>
    </row>
    <row r="109" spans="1:5">
      <c r="E109" s="51">
        <f>SUM(E3:E106)</f>
        <v>180967545</v>
      </c>
    </row>
  </sheetData>
  <autoFilter ref="A2:E108">
    <filterColumn colId="2">
      <filters>
        <filter val="1"/>
        <filter val="1,640"/>
        <filter val="1,892"/>
        <filter val="1,980"/>
        <filter val="10"/>
        <filter val="100"/>
        <filter val="105"/>
        <filter val="11"/>
        <filter val="12"/>
        <filter val="120"/>
        <filter val="14"/>
        <filter val="15"/>
        <filter val="155"/>
        <filter val="180"/>
        <filter val="19"/>
        <filter val="192"/>
        <filter val="197"/>
        <filter val="198"/>
        <filter val="2"/>
        <filter val="210"/>
        <filter val="249"/>
        <filter val="25"/>
        <filter val="3"/>
        <filter val="30"/>
        <filter val="35"/>
        <filter val="37"/>
        <filter val="375"/>
        <filter val="38"/>
        <filter val="40"/>
        <filter val="420"/>
        <filter val="45"/>
        <filter val="5"/>
        <filter val="53"/>
        <filter val="55"/>
        <filter val="570"/>
        <filter val="585"/>
        <filter val="6"/>
        <filter val="60"/>
        <filter val="69"/>
        <filter val="7"/>
        <filter val="72"/>
        <filter val="730"/>
        <filter val="800"/>
        <filter val="828"/>
        <filter val="844"/>
        <filter val="96"/>
      </filters>
    </filterColumn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2:E123"/>
  <sheetViews>
    <sheetView topLeftCell="A35" workbookViewId="0">
      <selection activeCell="D74" sqref="D74"/>
    </sheetView>
  </sheetViews>
  <sheetFormatPr defaultRowHeight="13.8"/>
  <cols>
    <col min="1" max="1" width="26.8984375" customWidth="1"/>
    <col min="4" max="4" width="14" customWidth="1"/>
    <col min="5" max="5" width="19.19921875" customWidth="1"/>
  </cols>
  <sheetData>
    <row r="2" spans="1:5" ht="61.8" customHeight="1">
      <c r="A2" s="52" t="s">
        <v>106</v>
      </c>
      <c r="B2" s="52" t="s">
        <v>0</v>
      </c>
      <c r="C2" s="53" t="s">
        <v>111</v>
      </c>
      <c r="D2" s="54" t="s">
        <v>112</v>
      </c>
      <c r="E2" s="60" t="s">
        <v>113</v>
      </c>
    </row>
    <row r="3" spans="1:5" ht="15.6">
      <c r="A3" s="22" t="s">
        <v>2</v>
      </c>
      <c r="B3" s="22" t="s">
        <v>3</v>
      </c>
      <c r="C3" s="53">
        <v>18</v>
      </c>
      <c r="D3" s="55">
        <v>21000</v>
      </c>
      <c r="E3" s="47">
        <f>C3*D3</f>
        <v>378000</v>
      </c>
    </row>
    <row r="4" spans="1:5" ht="15.6">
      <c r="A4" s="22" t="s">
        <v>4</v>
      </c>
      <c r="B4" s="22" t="s">
        <v>3</v>
      </c>
      <c r="C4" s="53">
        <v>560</v>
      </c>
      <c r="D4" s="55">
        <v>5000</v>
      </c>
      <c r="E4" s="47">
        <f t="shared" ref="E4:E67" si="0">C4*D4</f>
        <v>2800000</v>
      </c>
    </row>
    <row r="5" spans="1:5" ht="15.6">
      <c r="A5" s="22" t="s">
        <v>5</v>
      </c>
      <c r="B5" s="22" t="s">
        <v>3</v>
      </c>
      <c r="C5" s="53">
        <v>1230</v>
      </c>
      <c r="D5" s="55">
        <v>6000</v>
      </c>
      <c r="E5" s="47">
        <f t="shared" si="0"/>
        <v>7380000</v>
      </c>
    </row>
    <row r="6" spans="1:5" ht="15.6">
      <c r="A6" s="22" t="s">
        <v>96</v>
      </c>
      <c r="B6" s="22" t="s">
        <v>3</v>
      </c>
      <c r="C6" s="53">
        <v>5</v>
      </c>
      <c r="D6" s="55">
        <v>10000</v>
      </c>
      <c r="E6" s="47">
        <f t="shared" si="0"/>
        <v>50000</v>
      </c>
    </row>
    <row r="7" spans="1:5" ht="15.6" hidden="1">
      <c r="A7" s="22" t="s">
        <v>6</v>
      </c>
      <c r="B7" s="22" t="s">
        <v>3</v>
      </c>
      <c r="C7" s="53">
        <v>0</v>
      </c>
      <c r="D7" s="55"/>
      <c r="E7" s="47">
        <f t="shared" si="0"/>
        <v>0</v>
      </c>
    </row>
    <row r="8" spans="1:5" ht="15.6">
      <c r="A8" s="22" t="s">
        <v>7</v>
      </c>
      <c r="B8" s="22" t="s">
        <v>3</v>
      </c>
      <c r="C8" s="53">
        <v>360</v>
      </c>
      <c r="D8" s="55">
        <v>9706</v>
      </c>
      <c r="E8" s="47">
        <f t="shared" si="0"/>
        <v>3494160</v>
      </c>
    </row>
    <row r="9" spans="1:5" ht="15.6" hidden="1">
      <c r="A9" s="22" t="s">
        <v>116</v>
      </c>
      <c r="B9" s="22" t="s">
        <v>3</v>
      </c>
      <c r="C9" s="53">
        <v>0</v>
      </c>
      <c r="D9" s="55"/>
      <c r="E9" s="47">
        <f t="shared" si="0"/>
        <v>0</v>
      </c>
    </row>
    <row r="10" spans="1:5" ht="15.6">
      <c r="A10" s="22" t="s">
        <v>8</v>
      </c>
      <c r="B10" s="22" t="s">
        <v>3</v>
      </c>
      <c r="C10" s="53">
        <v>110</v>
      </c>
      <c r="D10" s="55">
        <v>17000</v>
      </c>
      <c r="E10" s="47">
        <f t="shared" si="0"/>
        <v>1870000</v>
      </c>
    </row>
    <row r="11" spans="1:5" ht="15.6" hidden="1">
      <c r="A11" s="22" t="s">
        <v>8</v>
      </c>
      <c r="B11" s="22" t="s">
        <v>9</v>
      </c>
      <c r="C11" s="53">
        <v>0</v>
      </c>
      <c r="D11" s="55"/>
      <c r="E11" s="47">
        <f t="shared" si="0"/>
        <v>0</v>
      </c>
    </row>
    <row r="12" spans="1:5" ht="15.6" hidden="1">
      <c r="A12" s="22" t="s">
        <v>10</v>
      </c>
      <c r="B12" s="22" t="s">
        <v>3</v>
      </c>
      <c r="C12" s="53">
        <v>0</v>
      </c>
      <c r="D12" s="55"/>
      <c r="E12" s="47">
        <f t="shared" si="0"/>
        <v>0</v>
      </c>
    </row>
    <row r="13" spans="1:5" ht="15.6" hidden="1">
      <c r="A13" s="22" t="s">
        <v>10</v>
      </c>
      <c r="B13" s="22" t="s">
        <v>9</v>
      </c>
      <c r="C13" s="53">
        <v>0</v>
      </c>
      <c r="D13" s="55"/>
      <c r="E13" s="47">
        <f t="shared" si="0"/>
        <v>0</v>
      </c>
    </row>
    <row r="14" spans="1:5" ht="15.6" hidden="1">
      <c r="A14" s="22" t="s">
        <v>11</v>
      </c>
      <c r="B14" s="22" t="s">
        <v>3</v>
      </c>
      <c r="C14" s="53">
        <v>0</v>
      </c>
      <c r="D14" s="55"/>
      <c r="E14" s="47">
        <f t="shared" si="0"/>
        <v>0</v>
      </c>
    </row>
    <row r="15" spans="1:5" ht="15.6" hidden="1">
      <c r="A15" s="22" t="s">
        <v>131</v>
      </c>
      <c r="B15" s="22" t="s">
        <v>3</v>
      </c>
      <c r="C15" s="53">
        <v>0</v>
      </c>
      <c r="D15" s="55"/>
      <c r="E15" s="47">
        <f t="shared" si="0"/>
        <v>0</v>
      </c>
    </row>
    <row r="16" spans="1:5" ht="15.6">
      <c r="A16" s="22" t="s">
        <v>12</v>
      </c>
      <c r="B16" s="22" t="s">
        <v>3</v>
      </c>
      <c r="C16" s="53">
        <v>2</v>
      </c>
      <c r="D16" s="55">
        <v>9000</v>
      </c>
      <c r="E16" s="47">
        <f t="shared" si="0"/>
        <v>18000</v>
      </c>
    </row>
    <row r="17" spans="1:5" ht="15.6" hidden="1">
      <c r="A17" s="22" t="s">
        <v>13</v>
      </c>
      <c r="B17" s="22" t="s">
        <v>3</v>
      </c>
      <c r="C17" s="53">
        <v>0</v>
      </c>
      <c r="D17" s="55"/>
      <c r="E17" s="47">
        <f t="shared" si="0"/>
        <v>0</v>
      </c>
    </row>
    <row r="18" spans="1:5" ht="15.6">
      <c r="A18" s="22" t="s">
        <v>14</v>
      </c>
      <c r="B18" s="22" t="s">
        <v>3</v>
      </c>
      <c r="C18" s="53">
        <v>10</v>
      </c>
      <c r="D18" s="55">
        <v>17000</v>
      </c>
      <c r="E18" s="47">
        <f t="shared" si="0"/>
        <v>170000</v>
      </c>
    </row>
    <row r="19" spans="1:5" ht="15.6" hidden="1">
      <c r="A19" s="22" t="s">
        <v>15</v>
      </c>
      <c r="B19" s="22" t="s">
        <v>3</v>
      </c>
      <c r="C19" s="53">
        <v>0</v>
      </c>
      <c r="D19" s="55"/>
      <c r="E19" s="47">
        <f t="shared" si="0"/>
        <v>0</v>
      </c>
    </row>
    <row r="20" spans="1:5" ht="15.6" hidden="1">
      <c r="A20" s="22" t="s">
        <v>16</v>
      </c>
      <c r="B20" s="22" t="s">
        <v>17</v>
      </c>
      <c r="C20" s="53">
        <v>0</v>
      </c>
      <c r="D20" s="55"/>
      <c r="E20" s="47">
        <f t="shared" si="0"/>
        <v>0</v>
      </c>
    </row>
    <row r="21" spans="1:5" ht="15.6">
      <c r="A21" s="22" t="s">
        <v>145</v>
      </c>
      <c r="B21" s="22" t="s">
        <v>40</v>
      </c>
      <c r="C21" s="53">
        <v>232</v>
      </c>
      <c r="D21" s="55">
        <v>8000</v>
      </c>
      <c r="E21" s="47">
        <f t="shared" si="0"/>
        <v>1856000</v>
      </c>
    </row>
    <row r="22" spans="1:5" ht="15.6" hidden="1">
      <c r="A22" s="22" t="s">
        <v>97</v>
      </c>
      <c r="B22" s="22" t="s">
        <v>3</v>
      </c>
      <c r="C22" s="53">
        <v>0</v>
      </c>
      <c r="D22" s="55"/>
      <c r="E22" s="47">
        <f t="shared" si="0"/>
        <v>0</v>
      </c>
    </row>
    <row r="23" spans="1:5" ht="15.6">
      <c r="A23" s="22" t="s">
        <v>18</v>
      </c>
      <c r="B23" s="22" t="s">
        <v>3</v>
      </c>
      <c r="C23" s="53">
        <v>275</v>
      </c>
      <c r="D23" s="55">
        <v>12500</v>
      </c>
      <c r="E23" s="47">
        <f t="shared" si="0"/>
        <v>3437500</v>
      </c>
    </row>
    <row r="24" spans="1:5" ht="15.6" hidden="1">
      <c r="A24" s="22" t="s">
        <v>18</v>
      </c>
      <c r="B24" s="22" t="s">
        <v>17</v>
      </c>
      <c r="C24" s="53">
        <v>0</v>
      </c>
      <c r="D24" s="55"/>
      <c r="E24" s="47">
        <f t="shared" si="0"/>
        <v>0</v>
      </c>
    </row>
    <row r="25" spans="1:5" ht="15.6">
      <c r="A25" s="22" t="s">
        <v>18</v>
      </c>
      <c r="B25" s="22" t="s">
        <v>19</v>
      </c>
      <c r="C25" s="53">
        <v>37</v>
      </c>
      <c r="D25" s="55">
        <v>11050</v>
      </c>
      <c r="E25" s="47">
        <f t="shared" si="0"/>
        <v>408850</v>
      </c>
    </row>
    <row r="26" spans="1:5" ht="15.6">
      <c r="A26" s="22" t="s">
        <v>20</v>
      </c>
      <c r="B26" s="22" t="s">
        <v>3</v>
      </c>
      <c r="C26" s="53">
        <v>10</v>
      </c>
      <c r="D26" s="55">
        <v>12000</v>
      </c>
      <c r="E26" s="47">
        <f t="shared" si="0"/>
        <v>120000</v>
      </c>
    </row>
    <row r="27" spans="1:5" ht="15.6" hidden="1">
      <c r="A27" s="22" t="s">
        <v>20</v>
      </c>
      <c r="B27" s="22" t="s">
        <v>21</v>
      </c>
      <c r="C27" s="53">
        <v>0</v>
      </c>
      <c r="D27" s="55"/>
      <c r="E27" s="47">
        <f t="shared" si="0"/>
        <v>0</v>
      </c>
    </row>
    <row r="28" spans="1:5" ht="15.6">
      <c r="A28" s="22" t="s">
        <v>22</v>
      </c>
      <c r="B28" s="22" t="s">
        <v>3</v>
      </c>
      <c r="C28" s="53">
        <v>2.5</v>
      </c>
      <c r="D28" s="55">
        <v>17000</v>
      </c>
      <c r="E28" s="47">
        <f t="shared" si="0"/>
        <v>42500</v>
      </c>
    </row>
    <row r="29" spans="1:5" ht="15.6">
      <c r="A29" s="22" t="s">
        <v>22</v>
      </c>
      <c r="B29" s="22" t="s">
        <v>23</v>
      </c>
      <c r="C29" s="53">
        <v>82</v>
      </c>
      <c r="D29" s="55">
        <v>5100</v>
      </c>
      <c r="E29" s="47">
        <f t="shared" si="0"/>
        <v>418200</v>
      </c>
    </row>
    <row r="30" spans="1:5" ht="15.6">
      <c r="A30" s="22" t="s">
        <v>24</v>
      </c>
      <c r="B30" s="22" t="s">
        <v>25</v>
      </c>
      <c r="C30" s="53">
        <v>5</v>
      </c>
      <c r="D30" s="55">
        <v>11100</v>
      </c>
      <c r="E30" s="47">
        <f t="shared" si="0"/>
        <v>55500</v>
      </c>
    </row>
    <row r="31" spans="1:5" ht="15.6" hidden="1">
      <c r="A31" s="22" t="s">
        <v>26</v>
      </c>
      <c r="B31" s="22" t="s">
        <v>3</v>
      </c>
      <c r="C31" s="53">
        <v>0</v>
      </c>
      <c r="D31" s="55"/>
      <c r="E31" s="47">
        <f t="shared" si="0"/>
        <v>0</v>
      </c>
    </row>
    <row r="32" spans="1:5" ht="15.6">
      <c r="A32" s="22" t="s">
        <v>26</v>
      </c>
      <c r="B32" s="22" t="s">
        <v>27</v>
      </c>
      <c r="C32" s="53">
        <v>210</v>
      </c>
      <c r="D32" s="55">
        <v>7500</v>
      </c>
      <c r="E32" s="47">
        <f t="shared" si="0"/>
        <v>1575000</v>
      </c>
    </row>
    <row r="33" spans="1:5" ht="15.6" hidden="1">
      <c r="A33" s="22" t="s">
        <v>28</v>
      </c>
      <c r="B33" s="22" t="s">
        <v>3</v>
      </c>
      <c r="C33" s="53">
        <v>0</v>
      </c>
      <c r="D33" s="55"/>
      <c r="E33" s="47">
        <f t="shared" si="0"/>
        <v>0</v>
      </c>
    </row>
    <row r="34" spans="1:5" ht="15.6" hidden="1">
      <c r="A34" s="22" t="s">
        <v>28</v>
      </c>
      <c r="B34" s="22" t="s">
        <v>17</v>
      </c>
      <c r="C34" s="53">
        <v>0</v>
      </c>
      <c r="D34" s="55"/>
      <c r="E34" s="47">
        <f t="shared" si="0"/>
        <v>0</v>
      </c>
    </row>
    <row r="35" spans="1:5" ht="15.6">
      <c r="A35" s="22" t="s">
        <v>29</v>
      </c>
      <c r="B35" s="22" t="s">
        <v>30</v>
      </c>
      <c r="C35" s="53">
        <v>20</v>
      </c>
      <c r="D35" s="55">
        <v>12000</v>
      </c>
      <c r="E35" s="47">
        <f t="shared" si="0"/>
        <v>240000</v>
      </c>
    </row>
    <row r="36" spans="1:5" ht="15.6">
      <c r="A36" s="22" t="s">
        <v>31</v>
      </c>
      <c r="B36" s="22" t="s">
        <v>3</v>
      </c>
      <c r="C36" s="53">
        <v>160</v>
      </c>
      <c r="D36" s="55">
        <v>7000</v>
      </c>
      <c r="E36" s="47">
        <f t="shared" si="0"/>
        <v>1120000</v>
      </c>
    </row>
    <row r="37" spans="1:5" ht="15.6" hidden="1">
      <c r="A37" s="22" t="s">
        <v>31</v>
      </c>
      <c r="B37" s="22" t="s">
        <v>30</v>
      </c>
      <c r="C37" s="53">
        <v>0</v>
      </c>
      <c r="D37" s="55"/>
      <c r="E37" s="47">
        <f t="shared" si="0"/>
        <v>0</v>
      </c>
    </row>
    <row r="38" spans="1:5" ht="15.6" hidden="1">
      <c r="A38" s="22" t="s">
        <v>32</v>
      </c>
      <c r="B38" s="22" t="s">
        <v>3</v>
      </c>
      <c r="C38" s="53">
        <v>0</v>
      </c>
      <c r="D38" s="55"/>
      <c r="E38" s="47">
        <f t="shared" si="0"/>
        <v>0</v>
      </c>
    </row>
    <row r="39" spans="1:5" ht="15.6" hidden="1">
      <c r="A39" s="22" t="s">
        <v>32</v>
      </c>
      <c r="B39" s="22" t="s">
        <v>17</v>
      </c>
      <c r="C39" s="53">
        <v>0</v>
      </c>
      <c r="D39" s="55"/>
      <c r="E39" s="47">
        <f t="shared" si="0"/>
        <v>0</v>
      </c>
    </row>
    <row r="40" spans="1:5" ht="15.6">
      <c r="A40" s="22" t="s">
        <v>33</v>
      </c>
      <c r="B40" s="22" t="s">
        <v>3</v>
      </c>
      <c r="C40" s="53">
        <v>65</v>
      </c>
      <c r="D40" s="55">
        <v>8000</v>
      </c>
      <c r="E40" s="47">
        <f t="shared" si="0"/>
        <v>520000</v>
      </c>
    </row>
    <row r="41" spans="1:5" ht="15.6" hidden="1">
      <c r="A41" s="22" t="s">
        <v>33</v>
      </c>
      <c r="B41" s="22" t="s">
        <v>34</v>
      </c>
      <c r="C41" s="53">
        <v>0</v>
      </c>
      <c r="D41" s="55"/>
      <c r="E41" s="47">
        <f t="shared" si="0"/>
        <v>0</v>
      </c>
    </row>
    <row r="42" spans="1:5" ht="15.6">
      <c r="A42" s="22" t="s">
        <v>35</v>
      </c>
      <c r="B42" s="22" t="s">
        <v>3</v>
      </c>
      <c r="C42" s="53">
        <v>17</v>
      </c>
      <c r="D42" s="55">
        <v>12000</v>
      </c>
      <c r="E42" s="47">
        <f t="shared" si="0"/>
        <v>204000</v>
      </c>
    </row>
    <row r="43" spans="1:5" ht="15.6" hidden="1">
      <c r="A43" s="22" t="s">
        <v>35</v>
      </c>
      <c r="B43" s="22" t="s">
        <v>30</v>
      </c>
      <c r="C43" s="53">
        <v>0</v>
      </c>
      <c r="D43" s="55"/>
      <c r="E43" s="47">
        <f t="shared" si="0"/>
        <v>0</v>
      </c>
    </row>
    <row r="44" spans="1:5" ht="15.6" hidden="1">
      <c r="A44" s="22" t="s">
        <v>36</v>
      </c>
      <c r="B44" s="22" t="s">
        <v>3</v>
      </c>
      <c r="C44" s="53">
        <v>0</v>
      </c>
      <c r="D44" s="55"/>
      <c r="E44" s="47">
        <f t="shared" si="0"/>
        <v>0</v>
      </c>
    </row>
    <row r="45" spans="1:5" ht="15.6">
      <c r="A45" s="22" t="s">
        <v>36</v>
      </c>
      <c r="B45" s="22" t="s">
        <v>30</v>
      </c>
      <c r="C45" s="53">
        <v>10</v>
      </c>
      <c r="D45" s="55">
        <v>3000</v>
      </c>
      <c r="E45" s="47">
        <f t="shared" si="0"/>
        <v>30000</v>
      </c>
    </row>
    <row r="46" spans="1:5" ht="15.6" hidden="1">
      <c r="A46" s="22" t="s">
        <v>37</v>
      </c>
      <c r="B46" s="22" t="s">
        <v>3</v>
      </c>
      <c r="C46" s="53">
        <v>0</v>
      </c>
      <c r="D46" s="55"/>
      <c r="E46" s="47">
        <f t="shared" si="0"/>
        <v>0</v>
      </c>
    </row>
    <row r="47" spans="1:5" ht="15.6">
      <c r="A47" s="22" t="s">
        <v>37</v>
      </c>
      <c r="B47" s="22" t="s">
        <v>30</v>
      </c>
      <c r="C47" s="53">
        <v>16</v>
      </c>
      <c r="D47" s="55">
        <v>3900</v>
      </c>
      <c r="E47" s="47">
        <f t="shared" si="0"/>
        <v>62400</v>
      </c>
    </row>
    <row r="48" spans="1:5" ht="15.6">
      <c r="A48" s="22" t="s">
        <v>38</v>
      </c>
      <c r="B48" s="22" t="s">
        <v>3</v>
      </c>
      <c r="C48" s="53">
        <v>270</v>
      </c>
      <c r="D48" s="55">
        <v>5000</v>
      </c>
      <c r="E48" s="47">
        <f t="shared" si="0"/>
        <v>1350000</v>
      </c>
    </row>
    <row r="49" spans="1:5" ht="15.6" hidden="1">
      <c r="A49" s="22" t="s">
        <v>98</v>
      </c>
      <c r="B49" s="22" t="s">
        <v>3</v>
      </c>
      <c r="C49" s="53">
        <v>0</v>
      </c>
      <c r="D49" s="55"/>
      <c r="E49" s="47">
        <f t="shared" si="0"/>
        <v>0</v>
      </c>
    </row>
    <row r="50" spans="1:5" ht="15.6">
      <c r="A50" s="22" t="s">
        <v>99</v>
      </c>
      <c r="B50" s="22" t="s">
        <v>3</v>
      </c>
      <c r="C50" s="53">
        <v>4632</v>
      </c>
      <c r="D50" s="55">
        <v>3000</v>
      </c>
      <c r="E50" s="47">
        <f t="shared" si="0"/>
        <v>13896000</v>
      </c>
    </row>
    <row r="51" spans="1:5" ht="15.6">
      <c r="A51" s="22" t="s">
        <v>39</v>
      </c>
      <c r="B51" s="22" t="s">
        <v>3</v>
      </c>
      <c r="C51" s="53">
        <v>29</v>
      </c>
      <c r="D51" s="55">
        <v>12000</v>
      </c>
      <c r="E51" s="47">
        <f t="shared" si="0"/>
        <v>348000</v>
      </c>
    </row>
    <row r="52" spans="1:5" ht="15.6" hidden="1">
      <c r="A52" s="22" t="s">
        <v>39</v>
      </c>
      <c r="B52" s="22" t="s">
        <v>40</v>
      </c>
      <c r="C52" s="53">
        <v>0</v>
      </c>
      <c r="D52" s="55"/>
      <c r="E52" s="47">
        <f t="shared" si="0"/>
        <v>0</v>
      </c>
    </row>
    <row r="53" spans="1:5" ht="15.6" hidden="1">
      <c r="A53" s="22" t="s">
        <v>100</v>
      </c>
      <c r="B53" s="22" t="s">
        <v>3</v>
      </c>
      <c r="C53" s="53">
        <v>0</v>
      </c>
      <c r="D53" s="55"/>
      <c r="E53" s="47">
        <f t="shared" si="0"/>
        <v>0</v>
      </c>
    </row>
    <row r="54" spans="1:5" ht="15.6">
      <c r="A54" s="22" t="s">
        <v>41</v>
      </c>
      <c r="B54" s="22" t="s">
        <v>3</v>
      </c>
      <c r="C54" s="53">
        <v>20</v>
      </c>
      <c r="D54" s="55">
        <v>14000</v>
      </c>
      <c r="E54" s="47">
        <f t="shared" si="0"/>
        <v>280000</v>
      </c>
    </row>
    <row r="55" spans="1:5" ht="15.6" hidden="1">
      <c r="A55" s="22" t="s">
        <v>42</v>
      </c>
      <c r="B55" s="22" t="s">
        <v>25</v>
      </c>
      <c r="C55" s="53">
        <v>0</v>
      </c>
      <c r="D55" s="55"/>
      <c r="E55" s="47">
        <f t="shared" si="0"/>
        <v>0</v>
      </c>
    </row>
    <row r="56" spans="1:5" ht="15.6" hidden="1">
      <c r="A56" s="22" t="s">
        <v>42</v>
      </c>
      <c r="B56" s="22" t="s">
        <v>3</v>
      </c>
      <c r="C56" s="53">
        <v>0</v>
      </c>
      <c r="D56" s="55"/>
      <c r="E56" s="47">
        <f t="shared" si="0"/>
        <v>0</v>
      </c>
    </row>
    <row r="57" spans="1:5" ht="15.6" hidden="1">
      <c r="A57" s="22" t="s">
        <v>44</v>
      </c>
      <c r="B57" s="22" t="s">
        <v>3</v>
      </c>
      <c r="C57" s="53">
        <v>0</v>
      </c>
      <c r="D57" s="55"/>
      <c r="E57" s="47">
        <f t="shared" si="0"/>
        <v>0</v>
      </c>
    </row>
    <row r="58" spans="1:5" ht="15.6">
      <c r="A58" s="22" t="s">
        <v>45</v>
      </c>
      <c r="B58" s="22" t="s">
        <v>3</v>
      </c>
      <c r="C58" s="53">
        <v>40</v>
      </c>
      <c r="D58" s="55">
        <v>10000</v>
      </c>
      <c r="E58" s="47">
        <f t="shared" si="0"/>
        <v>400000</v>
      </c>
    </row>
    <row r="59" spans="1:5" ht="15.6" hidden="1">
      <c r="A59" s="22" t="s">
        <v>45</v>
      </c>
      <c r="B59" s="22" t="s">
        <v>30</v>
      </c>
      <c r="C59" s="53">
        <v>0</v>
      </c>
      <c r="D59" s="55"/>
      <c r="E59" s="47">
        <f t="shared" si="0"/>
        <v>0</v>
      </c>
    </row>
    <row r="60" spans="1:5" ht="15.6">
      <c r="A60" s="22" t="s">
        <v>46</v>
      </c>
      <c r="B60" s="22" t="s">
        <v>3</v>
      </c>
      <c r="C60" s="53">
        <v>9</v>
      </c>
      <c r="D60" s="55">
        <v>19000</v>
      </c>
      <c r="E60" s="47">
        <f t="shared" si="0"/>
        <v>171000</v>
      </c>
    </row>
    <row r="61" spans="1:5" ht="15.6">
      <c r="A61" s="22" t="s">
        <v>47</v>
      </c>
      <c r="B61" s="22" t="s">
        <v>3</v>
      </c>
      <c r="C61" s="53">
        <v>178</v>
      </c>
      <c r="D61" s="55">
        <v>9000</v>
      </c>
      <c r="E61" s="47">
        <f t="shared" si="0"/>
        <v>1602000</v>
      </c>
    </row>
    <row r="62" spans="1:5" ht="15.6" hidden="1">
      <c r="A62" s="22" t="s">
        <v>47</v>
      </c>
      <c r="B62" s="22" t="s">
        <v>48</v>
      </c>
      <c r="C62" s="53">
        <v>0</v>
      </c>
      <c r="D62" s="55"/>
      <c r="E62" s="47">
        <f t="shared" si="0"/>
        <v>0</v>
      </c>
    </row>
    <row r="63" spans="1:5" ht="15.6">
      <c r="A63" s="22" t="s">
        <v>49</v>
      </c>
      <c r="B63" s="22" t="s">
        <v>30</v>
      </c>
      <c r="C63" s="53">
        <v>650</v>
      </c>
      <c r="D63" s="55">
        <v>1800</v>
      </c>
      <c r="E63" s="47">
        <f t="shared" si="0"/>
        <v>1170000</v>
      </c>
    </row>
    <row r="64" spans="1:5" ht="15.6">
      <c r="A64" s="22" t="s">
        <v>50</v>
      </c>
      <c r="B64" s="22" t="s">
        <v>3</v>
      </c>
      <c r="C64" s="53">
        <v>1650</v>
      </c>
      <c r="D64" s="55">
        <v>25000</v>
      </c>
      <c r="E64" s="47">
        <f t="shared" si="0"/>
        <v>41250000</v>
      </c>
    </row>
    <row r="65" spans="1:5" ht="15.6">
      <c r="A65" s="22" t="s">
        <v>51</v>
      </c>
      <c r="B65" s="22" t="s">
        <v>3</v>
      </c>
      <c r="C65" s="53">
        <v>675</v>
      </c>
      <c r="D65" s="55">
        <v>25000</v>
      </c>
      <c r="E65" s="47">
        <f t="shared" si="0"/>
        <v>16875000</v>
      </c>
    </row>
    <row r="66" spans="1:5" ht="15.6" hidden="1">
      <c r="A66" s="22" t="s">
        <v>51</v>
      </c>
      <c r="B66" s="22" t="s">
        <v>30</v>
      </c>
      <c r="C66" s="53">
        <v>0</v>
      </c>
      <c r="D66" s="55"/>
      <c r="E66" s="47">
        <f t="shared" si="0"/>
        <v>0</v>
      </c>
    </row>
    <row r="67" spans="1:5" ht="15.6">
      <c r="A67" s="22" t="s">
        <v>53</v>
      </c>
      <c r="B67" s="22" t="s">
        <v>3</v>
      </c>
      <c r="C67" s="53">
        <v>120</v>
      </c>
      <c r="D67" s="55">
        <v>16000</v>
      </c>
      <c r="E67" s="47">
        <f t="shared" si="0"/>
        <v>1920000</v>
      </c>
    </row>
    <row r="68" spans="1:5" ht="15.6">
      <c r="A68" s="22" t="s">
        <v>54</v>
      </c>
      <c r="B68" s="22" t="s">
        <v>3</v>
      </c>
      <c r="C68" s="53">
        <v>47</v>
      </c>
      <c r="D68" s="55">
        <v>28000</v>
      </c>
      <c r="E68" s="47">
        <f t="shared" ref="E68:E122" si="1">C68*D68</f>
        <v>1316000</v>
      </c>
    </row>
    <row r="69" spans="1:5" ht="15.6" hidden="1">
      <c r="A69" s="22" t="s">
        <v>55</v>
      </c>
      <c r="B69" s="22" t="s">
        <v>3</v>
      </c>
      <c r="C69" s="53">
        <v>0</v>
      </c>
      <c r="D69" s="55"/>
      <c r="E69" s="47">
        <f t="shared" si="1"/>
        <v>0</v>
      </c>
    </row>
    <row r="70" spans="1:5" ht="15.6" hidden="1">
      <c r="A70" s="22" t="s">
        <v>108</v>
      </c>
      <c r="B70" s="22" t="s">
        <v>3</v>
      </c>
      <c r="C70" s="53">
        <v>0</v>
      </c>
      <c r="D70" s="55"/>
      <c r="E70" s="47">
        <f t="shared" si="1"/>
        <v>0</v>
      </c>
    </row>
    <row r="71" spans="1:5" ht="15.6" hidden="1">
      <c r="A71" s="22" t="s">
        <v>108</v>
      </c>
      <c r="B71" s="22" t="s">
        <v>30</v>
      </c>
      <c r="C71" s="53">
        <v>0</v>
      </c>
      <c r="D71" s="55"/>
      <c r="E71" s="47">
        <f t="shared" si="1"/>
        <v>0</v>
      </c>
    </row>
    <row r="72" spans="1:5" ht="15.6">
      <c r="A72" s="22" t="s">
        <v>56</v>
      </c>
      <c r="B72" s="22" t="s">
        <v>3</v>
      </c>
      <c r="C72" s="53">
        <v>471</v>
      </c>
      <c r="D72" s="55">
        <v>13000</v>
      </c>
      <c r="E72" s="47">
        <f t="shared" si="1"/>
        <v>6123000</v>
      </c>
    </row>
    <row r="73" spans="1:5" ht="15.6" hidden="1">
      <c r="A73" s="22" t="s">
        <v>56</v>
      </c>
      <c r="B73" s="22" t="s">
        <v>30</v>
      </c>
      <c r="C73" s="53">
        <v>0</v>
      </c>
      <c r="D73" s="55"/>
      <c r="E73" s="47">
        <f t="shared" si="1"/>
        <v>0</v>
      </c>
    </row>
    <row r="74" spans="1:5" ht="15.6">
      <c r="A74" s="22" t="s">
        <v>57</v>
      </c>
      <c r="B74" s="22" t="s">
        <v>30</v>
      </c>
      <c r="C74" s="53">
        <v>700</v>
      </c>
      <c r="D74" s="55">
        <v>5850</v>
      </c>
      <c r="E74" s="47">
        <f t="shared" si="1"/>
        <v>4095000</v>
      </c>
    </row>
    <row r="75" spans="1:5" ht="15.6">
      <c r="A75" s="22" t="s">
        <v>58</v>
      </c>
      <c r="B75" s="22" t="s">
        <v>3</v>
      </c>
      <c r="C75" s="53">
        <v>3</v>
      </c>
      <c r="D75" s="55">
        <v>8000</v>
      </c>
      <c r="E75" s="47">
        <f t="shared" si="1"/>
        <v>24000</v>
      </c>
    </row>
    <row r="76" spans="1:5" ht="15.6" hidden="1">
      <c r="A76" s="22" t="s">
        <v>59</v>
      </c>
      <c r="B76" s="22" t="s">
        <v>30</v>
      </c>
      <c r="C76" s="53">
        <v>0</v>
      </c>
      <c r="D76" s="55"/>
      <c r="E76" s="47">
        <f t="shared" si="1"/>
        <v>0</v>
      </c>
    </row>
    <row r="77" spans="1:5" ht="15.6" hidden="1">
      <c r="A77" s="22" t="s">
        <v>60</v>
      </c>
      <c r="B77" s="22" t="s">
        <v>3</v>
      </c>
      <c r="C77" s="53">
        <v>0</v>
      </c>
      <c r="D77" s="55"/>
      <c r="E77" s="47">
        <f t="shared" si="1"/>
        <v>0</v>
      </c>
    </row>
    <row r="78" spans="1:5" ht="15.6" hidden="1">
      <c r="A78" s="22" t="s">
        <v>60</v>
      </c>
      <c r="B78" s="22" t="s">
        <v>30</v>
      </c>
      <c r="C78" s="53">
        <v>0</v>
      </c>
      <c r="D78" s="55"/>
      <c r="E78" s="47">
        <f t="shared" si="1"/>
        <v>0</v>
      </c>
    </row>
    <row r="79" spans="1:5" ht="15.6">
      <c r="A79" s="22" t="s">
        <v>60</v>
      </c>
      <c r="B79" s="22" t="s">
        <v>61</v>
      </c>
      <c r="C79" s="53">
        <v>27</v>
      </c>
      <c r="D79" s="55">
        <v>7000</v>
      </c>
      <c r="E79" s="47">
        <f t="shared" si="1"/>
        <v>189000</v>
      </c>
    </row>
    <row r="80" spans="1:5" ht="15.6">
      <c r="A80" s="22" t="s">
        <v>62</v>
      </c>
      <c r="B80" s="22" t="s">
        <v>3</v>
      </c>
      <c r="C80" s="53">
        <v>0.5</v>
      </c>
      <c r="D80" s="55">
        <v>80000</v>
      </c>
      <c r="E80" s="47">
        <f t="shared" si="1"/>
        <v>40000</v>
      </c>
    </row>
    <row r="81" spans="1:5" ht="15.6" hidden="1">
      <c r="A81" s="22" t="s">
        <v>119</v>
      </c>
      <c r="B81" s="22" t="s">
        <v>3</v>
      </c>
      <c r="C81" s="53">
        <v>0</v>
      </c>
      <c r="D81" s="55"/>
      <c r="E81" s="47">
        <f t="shared" si="1"/>
        <v>0</v>
      </c>
    </row>
    <row r="82" spans="1:5" ht="15.6">
      <c r="A82" s="22" t="s">
        <v>63</v>
      </c>
      <c r="B82" s="22" t="s">
        <v>3</v>
      </c>
      <c r="C82" s="53">
        <v>0.5</v>
      </c>
      <c r="D82" s="55">
        <v>70000</v>
      </c>
      <c r="E82" s="47">
        <f t="shared" si="1"/>
        <v>35000</v>
      </c>
    </row>
    <row r="83" spans="1:5" ht="15.6">
      <c r="A83" s="22" t="s">
        <v>64</v>
      </c>
      <c r="B83" s="22" t="s">
        <v>3</v>
      </c>
      <c r="C83" s="53">
        <v>0.5</v>
      </c>
      <c r="D83" s="55">
        <v>70000</v>
      </c>
      <c r="E83" s="47">
        <f t="shared" si="1"/>
        <v>35000</v>
      </c>
    </row>
    <row r="84" spans="1:5" ht="15.6" hidden="1">
      <c r="A84" s="22" t="s">
        <v>120</v>
      </c>
      <c r="B84" s="22" t="s">
        <v>30</v>
      </c>
      <c r="C84" s="53">
        <v>0</v>
      </c>
      <c r="D84" s="55"/>
      <c r="E84" s="47">
        <f t="shared" si="1"/>
        <v>0</v>
      </c>
    </row>
    <row r="85" spans="1:5" ht="15.6" hidden="1">
      <c r="A85" s="22" t="s">
        <v>65</v>
      </c>
      <c r="B85" s="22" t="s">
        <v>3</v>
      </c>
      <c r="C85" s="53">
        <v>0</v>
      </c>
      <c r="D85" s="55"/>
      <c r="E85" s="47">
        <f t="shared" si="1"/>
        <v>0</v>
      </c>
    </row>
    <row r="86" spans="1:5" ht="15.6">
      <c r="A86" s="22" t="s">
        <v>65</v>
      </c>
      <c r="B86" s="22" t="s">
        <v>17</v>
      </c>
      <c r="C86" s="53">
        <v>298</v>
      </c>
      <c r="D86" s="55">
        <v>8000</v>
      </c>
      <c r="E86" s="47">
        <f t="shared" si="1"/>
        <v>2384000</v>
      </c>
    </row>
    <row r="87" spans="1:5" ht="15.6">
      <c r="A87" s="22" t="s">
        <v>66</v>
      </c>
      <c r="B87" s="22" t="s">
        <v>3</v>
      </c>
      <c r="C87" s="53">
        <v>10</v>
      </c>
      <c r="D87" s="55">
        <v>16000</v>
      </c>
      <c r="E87" s="47">
        <f t="shared" si="1"/>
        <v>160000</v>
      </c>
    </row>
    <row r="88" spans="1:5" ht="15.6">
      <c r="A88" s="22" t="s">
        <v>67</v>
      </c>
      <c r="B88" s="22" t="s">
        <v>3</v>
      </c>
      <c r="C88" s="53">
        <v>8</v>
      </c>
      <c r="D88" s="55">
        <v>12000</v>
      </c>
      <c r="E88" s="47">
        <f t="shared" si="1"/>
        <v>96000</v>
      </c>
    </row>
    <row r="89" spans="1:5" ht="15.6">
      <c r="A89" s="22" t="s">
        <v>68</v>
      </c>
      <c r="B89" s="22" t="s">
        <v>3</v>
      </c>
      <c r="C89" s="53">
        <v>10</v>
      </c>
      <c r="D89" s="55">
        <v>10000</v>
      </c>
      <c r="E89" s="47">
        <f t="shared" si="1"/>
        <v>100000</v>
      </c>
    </row>
    <row r="90" spans="1:5" ht="15.6" hidden="1">
      <c r="A90" s="22" t="s">
        <v>68</v>
      </c>
      <c r="B90" s="22" t="s">
        <v>40</v>
      </c>
      <c r="C90" s="53">
        <v>0</v>
      </c>
      <c r="D90" s="55"/>
      <c r="E90" s="47">
        <f t="shared" si="1"/>
        <v>0</v>
      </c>
    </row>
    <row r="91" spans="1:5" ht="15.6" hidden="1">
      <c r="A91" s="22" t="s">
        <v>69</v>
      </c>
      <c r="B91" s="22" t="s">
        <v>3</v>
      </c>
      <c r="C91" s="53">
        <v>0</v>
      </c>
      <c r="D91" s="55"/>
      <c r="E91" s="47">
        <f t="shared" si="1"/>
        <v>0</v>
      </c>
    </row>
    <row r="92" spans="1:5" ht="15.6" hidden="1">
      <c r="A92" s="22" t="s">
        <v>70</v>
      </c>
      <c r="B92" s="22" t="s">
        <v>30</v>
      </c>
      <c r="C92" s="53">
        <v>0</v>
      </c>
      <c r="D92" s="55"/>
      <c r="E92" s="47">
        <f t="shared" si="1"/>
        <v>0</v>
      </c>
    </row>
    <row r="93" spans="1:5" ht="15.6">
      <c r="A93" s="22" t="s">
        <v>71</v>
      </c>
      <c r="B93" s="22" t="s">
        <v>3</v>
      </c>
      <c r="C93" s="53">
        <v>17</v>
      </c>
      <c r="D93" s="55">
        <v>14000</v>
      </c>
      <c r="E93" s="47">
        <f t="shared" si="1"/>
        <v>238000</v>
      </c>
    </row>
    <row r="94" spans="1:5" ht="15.6">
      <c r="A94" s="22" t="s">
        <v>160</v>
      </c>
      <c r="B94" s="22" t="s">
        <v>3</v>
      </c>
      <c r="C94" s="53">
        <v>120</v>
      </c>
      <c r="D94" s="55">
        <v>50000</v>
      </c>
      <c r="E94" s="47">
        <f t="shared" si="1"/>
        <v>6000000</v>
      </c>
    </row>
    <row r="95" spans="1:5" ht="15.6" hidden="1">
      <c r="A95" s="22" t="s">
        <v>72</v>
      </c>
      <c r="B95" s="22" t="s">
        <v>17</v>
      </c>
      <c r="C95" s="53">
        <v>0</v>
      </c>
      <c r="D95" s="55"/>
      <c r="E95" s="47">
        <f t="shared" si="1"/>
        <v>0</v>
      </c>
    </row>
    <row r="96" spans="1:5" ht="15.6" hidden="1">
      <c r="A96" s="22" t="s">
        <v>73</v>
      </c>
      <c r="B96" s="22" t="s">
        <v>25</v>
      </c>
      <c r="C96" s="53">
        <v>0</v>
      </c>
      <c r="D96" s="55"/>
      <c r="E96" s="47">
        <f t="shared" si="1"/>
        <v>0</v>
      </c>
    </row>
    <row r="97" spans="1:5" ht="15.6">
      <c r="A97" s="22" t="s">
        <v>73</v>
      </c>
      <c r="B97" s="22" t="s">
        <v>3</v>
      </c>
      <c r="C97" s="53">
        <v>5</v>
      </c>
      <c r="D97" s="55">
        <v>55000</v>
      </c>
      <c r="E97" s="47">
        <f t="shared" si="1"/>
        <v>275000</v>
      </c>
    </row>
    <row r="98" spans="1:5" ht="15.6">
      <c r="A98" s="22" t="s">
        <v>74</v>
      </c>
      <c r="B98" s="22" t="s">
        <v>3</v>
      </c>
      <c r="C98" s="53">
        <v>125</v>
      </c>
      <c r="D98" s="55">
        <v>36000</v>
      </c>
      <c r="E98" s="47">
        <f t="shared" si="1"/>
        <v>4500000</v>
      </c>
    </row>
    <row r="99" spans="1:5" ht="15.6" hidden="1">
      <c r="A99" s="22" t="s">
        <v>74</v>
      </c>
      <c r="B99" s="22" t="s">
        <v>9</v>
      </c>
      <c r="C99" s="53">
        <v>0</v>
      </c>
      <c r="D99" s="55"/>
      <c r="E99" s="47">
        <f t="shared" si="1"/>
        <v>0</v>
      </c>
    </row>
    <row r="100" spans="1:5" ht="15.6">
      <c r="A100" s="22" t="s">
        <v>76</v>
      </c>
      <c r="B100" s="22" t="s">
        <v>3</v>
      </c>
      <c r="C100" s="53">
        <v>160</v>
      </c>
      <c r="D100" s="55">
        <v>46000</v>
      </c>
      <c r="E100" s="47">
        <f t="shared" si="1"/>
        <v>7360000</v>
      </c>
    </row>
    <row r="101" spans="1:5" ht="15.6" hidden="1">
      <c r="A101" s="22" t="s">
        <v>76</v>
      </c>
      <c r="B101" s="22" t="s">
        <v>9</v>
      </c>
      <c r="C101" s="53">
        <v>0</v>
      </c>
      <c r="D101" s="55"/>
      <c r="E101" s="47">
        <f t="shared" si="1"/>
        <v>0</v>
      </c>
    </row>
    <row r="102" spans="1:5" ht="15.6">
      <c r="A102" s="22" t="s">
        <v>77</v>
      </c>
      <c r="B102" s="22" t="s">
        <v>3</v>
      </c>
      <c r="C102" s="53">
        <v>12</v>
      </c>
      <c r="D102" s="55">
        <v>30000</v>
      </c>
      <c r="E102" s="47">
        <f t="shared" si="1"/>
        <v>360000</v>
      </c>
    </row>
    <row r="103" spans="1:5" ht="15.6">
      <c r="A103" s="22" t="s">
        <v>78</v>
      </c>
      <c r="B103" s="22" t="s">
        <v>3</v>
      </c>
      <c r="C103" s="53">
        <v>85</v>
      </c>
      <c r="D103" s="55">
        <v>35000</v>
      </c>
      <c r="E103" s="47">
        <f t="shared" si="1"/>
        <v>2975000</v>
      </c>
    </row>
    <row r="104" spans="1:5" ht="15.6" hidden="1">
      <c r="A104" s="22" t="s">
        <v>78</v>
      </c>
      <c r="B104" s="22" t="s">
        <v>9</v>
      </c>
      <c r="C104" s="53">
        <v>0</v>
      </c>
      <c r="D104" s="55"/>
      <c r="E104" s="47">
        <f t="shared" si="1"/>
        <v>0</v>
      </c>
    </row>
    <row r="105" spans="1:5" ht="15.6">
      <c r="A105" s="22" t="s">
        <v>79</v>
      </c>
      <c r="B105" s="22" t="s">
        <v>30</v>
      </c>
      <c r="C105" s="53">
        <v>95</v>
      </c>
      <c r="D105" s="55">
        <v>18000</v>
      </c>
      <c r="E105" s="47">
        <f t="shared" si="1"/>
        <v>1710000</v>
      </c>
    </row>
    <row r="106" spans="1:5" ht="15.6" hidden="1">
      <c r="A106" s="22" t="s">
        <v>80</v>
      </c>
      <c r="B106" s="22" t="s">
        <v>30</v>
      </c>
      <c r="C106" s="53">
        <v>0</v>
      </c>
      <c r="D106" s="55"/>
      <c r="E106" s="47">
        <f t="shared" si="1"/>
        <v>0</v>
      </c>
    </row>
    <row r="107" spans="1:5" ht="15.6" hidden="1">
      <c r="A107" s="22" t="s">
        <v>140</v>
      </c>
      <c r="B107" s="22" t="s">
        <v>3</v>
      </c>
      <c r="C107" s="53">
        <v>0</v>
      </c>
      <c r="D107" s="55"/>
      <c r="E107" s="47">
        <f t="shared" si="1"/>
        <v>0</v>
      </c>
    </row>
    <row r="108" spans="1:5" ht="15.6">
      <c r="A108" s="22" t="s">
        <v>81</v>
      </c>
      <c r="B108" s="22" t="s">
        <v>9</v>
      </c>
      <c r="C108" s="53">
        <v>1882</v>
      </c>
      <c r="D108" s="55">
        <v>9000</v>
      </c>
      <c r="E108" s="47">
        <f t="shared" si="1"/>
        <v>16938000</v>
      </c>
    </row>
    <row r="109" spans="1:5" ht="15.6">
      <c r="A109" s="22" t="s">
        <v>82</v>
      </c>
      <c r="B109" s="22" t="s">
        <v>9</v>
      </c>
      <c r="C109" s="53">
        <v>375</v>
      </c>
      <c r="D109" s="55">
        <v>11361</v>
      </c>
      <c r="E109" s="47">
        <f t="shared" si="1"/>
        <v>4260375</v>
      </c>
    </row>
    <row r="110" spans="1:5" ht="15.6" hidden="1">
      <c r="A110" s="22" t="s">
        <v>84</v>
      </c>
      <c r="B110" s="22" t="s">
        <v>3</v>
      </c>
      <c r="C110" s="53">
        <v>0</v>
      </c>
      <c r="D110" s="55"/>
      <c r="E110" s="47">
        <f t="shared" si="1"/>
        <v>0</v>
      </c>
    </row>
    <row r="111" spans="1:5" ht="15.6">
      <c r="A111" s="22" t="s">
        <v>85</v>
      </c>
      <c r="B111" s="22" t="s">
        <v>3</v>
      </c>
      <c r="C111" s="53">
        <v>13</v>
      </c>
      <c r="D111" s="55">
        <v>12000</v>
      </c>
      <c r="E111" s="47">
        <f t="shared" si="1"/>
        <v>156000</v>
      </c>
    </row>
    <row r="112" spans="1:5" ht="15.6" hidden="1">
      <c r="A112" s="22" t="s">
        <v>109</v>
      </c>
      <c r="B112" s="22" t="s">
        <v>25</v>
      </c>
      <c r="C112" s="53">
        <v>0</v>
      </c>
      <c r="D112" s="55"/>
      <c r="E112" s="47">
        <f t="shared" si="1"/>
        <v>0</v>
      </c>
    </row>
    <row r="113" spans="1:5" ht="15.6">
      <c r="A113" s="22" t="s">
        <v>87</v>
      </c>
      <c r="B113" s="22" t="s">
        <v>3</v>
      </c>
      <c r="C113" s="53">
        <v>120</v>
      </c>
      <c r="D113" s="55">
        <v>4000</v>
      </c>
      <c r="E113" s="47">
        <f t="shared" si="1"/>
        <v>480000</v>
      </c>
    </row>
    <row r="114" spans="1:5" ht="15.6" hidden="1">
      <c r="A114" s="22" t="s">
        <v>125</v>
      </c>
      <c r="B114" s="22" t="s">
        <v>3</v>
      </c>
      <c r="C114" s="53">
        <v>0</v>
      </c>
      <c r="D114" s="55"/>
      <c r="E114" s="47">
        <f t="shared" si="1"/>
        <v>0</v>
      </c>
    </row>
    <row r="115" spans="1:5" ht="15.6">
      <c r="A115" s="22" t="s">
        <v>88</v>
      </c>
      <c r="B115" s="22" t="s">
        <v>3</v>
      </c>
      <c r="C115" s="53">
        <v>30</v>
      </c>
      <c r="D115" s="55">
        <v>13000</v>
      </c>
      <c r="E115" s="47">
        <f t="shared" si="1"/>
        <v>390000</v>
      </c>
    </row>
    <row r="116" spans="1:5" ht="15.6" hidden="1">
      <c r="A116" s="22" t="s">
        <v>89</v>
      </c>
      <c r="B116" s="22" t="s">
        <v>3</v>
      </c>
      <c r="C116" s="53">
        <v>0</v>
      </c>
      <c r="D116" s="55"/>
      <c r="E116" s="47">
        <f t="shared" si="1"/>
        <v>0</v>
      </c>
    </row>
    <row r="117" spans="1:5" ht="15.6" hidden="1">
      <c r="A117" s="22" t="s">
        <v>90</v>
      </c>
      <c r="B117" s="22" t="s">
        <v>40</v>
      </c>
      <c r="C117" s="53">
        <v>0</v>
      </c>
      <c r="D117" s="55"/>
      <c r="E117" s="47">
        <f t="shared" si="1"/>
        <v>0</v>
      </c>
    </row>
    <row r="118" spans="1:5" ht="15.6" hidden="1">
      <c r="A118" s="22" t="s">
        <v>91</v>
      </c>
      <c r="B118" s="22" t="s">
        <v>3</v>
      </c>
      <c r="C118" s="53">
        <v>0</v>
      </c>
      <c r="D118" s="55"/>
      <c r="E118" s="47">
        <f t="shared" si="1"/>
        <v>0</v>
      </c>
    </row>
    <row r="119" spans="1:5" ht="15.6" hidden="1">
      <c r="A119" s="22" t="s">
        <v>92</v>
      </c>
      <c r="B119" s="22" t="s">
        <v>40</v>
      </c>
      <c r="C119" s="53">
        <v>0</v>
      </c>
      <c r="D119" s="55"/>
      <c r="E119" s="47">
        <f t="shared" si="1"/>
        <v>0</v>
      </c>
    </row>
    <row r="120" spans="1:5" ht="15.6" hidden="1">
      <c r="A120" s="22" t="s">
        <v>93</v>
      </c>
      <c r="B120" s="22" t="s">
        <v>3</v>
      </c>
      <c r="C120" s="53">
        <v>0</v>
      </c>
      <c r="D120" s="55"/>
      <c r="E120" s="47">
        <f t="shared" si="1"/>
        <v>0</v>
      </c>
    </row>
    <row r="121" spans="1:5" ht="15.6" hidden="1">
      <c r="A121" s="22" t="s">
        <v>94</v>
      </c>
      <c r="B121" s="22" t="s">
        <v>3</v>
      </c>
      <c r="C121" s="53">
        <v>0</v>
      </c>
      <c r="D121" s="55"/>
      <c r="E121" s="47">
        <f t="shared" si="1"/>
        <v>0</v>
      </c>
    </row>
    <row r="122" spans="1:5" ht="15.6">
      <c r="A122" s="22" t="s">
        <v>95</v>
      </c>
      <c r="B122" s="22" t="s">
        <v>40</v>
      </c>
      <c r="C122" s="53">
        <v>70</v>
      </c>
      <c r="D122" s="55">
        <v>7000</v>
      </c>
      <c r="E122" s="47">
        <f t="shared" si="1"/>
        <v>490000</v>
      </c>
    </row>
    <row r="123" spans="1:5">
      <c r="E123" s="51">
        <f>SUM(E3:E122)</f>
        <v>166241485</v>
      </c>
    </row>
  </sheetData>
  <autoFilter ref="A2:E122">
    <filterColumn colId="2">
      <filters>
        <filter val="1"/>
        <filter val="1,230"/>
        <filter val="1,650"/>
        <filter val="1,882"/>
        <filter val="10"/>
        <filter val="110"/>
        <filter val="12"/>
        <filter val="120"/>
        <filter val="125"/>
        <filter val="13"/>
        <filter val="16"/>
        <filter val="160"/>
        <filter val="17"/>
        <filter val="178"/>
        <filter val="18"/>
        <filter val="2"/>
        <filter val="20"/>
        <filter val="210"/>
        <filter val="232"/>
        <filter val="27"/>
        <filter val="270"/>
        <filter val="275"/>
        <filter val="29"/>
        <filter val="298"/>
        <filter val="3"/>
        <filter val="30"/>
        <filter val="360"/>
        <filter val="37"/>
        <filter val="375"/>
        <filter val="4,632"/>
        <filter val="40"/>
        <filter val="47"/>
        <filter val="471"/>
        <filter val="5"/>
        <filter val="560"/>
        <filter val="65"/>
        <filter val="650"/>
        <filter val="675"/>
        <filter val="70"/>
        <filter val="700"/>
        <filter val="8"/>
        <filter val="82"/>
        <filter val="85"/>
        <filter val="9"/>
        <filter val="95"/>
      </filters>
    </filterColumn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105"/>
  <sheetViews>
    <sheetView topLeftCell="A19" workbookViewId="0">
      <selection activeCell="F8" sqref="F8"/>
    </sheetView>
  </sheetViews>
  <sheetFormatPr defaultRowHeight="13.8"/>
  <cols>
    <col min="1" max="1" width="28.19921875" customWidth="1"/>
    <col min="4" max="4" width="11.19921875" customWidth="1"/>
    <col min="5" max="5" width="16.796875" customWidth="1"/>
  </cols>
  <sheetData>
    <row r="1" spans="1:5">
      <c r="A1" t="s">
        <v>177</v>
      </c>
    </row>
    <row r="2" spans="1:5">
      <c r="A2" t="s">
        <v>106</v>
      </c>
      <c r="B2" t="s">
        <v>0</v>
      </c>
      <c r="C2" t="s">
        <v>111</v>
      </c>
      <c r="D2" t="s">
        <v>112</v>
      </c>
      <c r="E2" t="s">
        <v>113</v>
      </c>
    </row>
    <row r="3" spans="1:5">
      <c r="A3" t="s">
        <v>2</v>
      </c>
      <c r="B3" t="s">
        <v>3</v>
      </c>
      <c r="C3">
        <v>36</v>
      </c>
      <c r="D3" s="29">
        <v>16000</v>
      </c>
      <c r="E3" s="29">
        <f>C3*D3</f>
        <v>576000</v>
      </c>
    </row>
    <row r="4" spans="1:5">
      <c r="A4" t="s">
        <v>4</v>
      </c>
      <c r="B4" t="s">
        <v>3</v>
      </c>
      <c r="C4">
        <v>590</v>
      </c>
      <c r="D4" s="29">
        <v>5000</v>
      </c>
      <c r="E4" s="29">
        <f t="shared" ref="E4:E67" si="0">C4*D4</f>
        <v>2950000</v>
      </c>
    </row>
    <row r="5" spans="1:5">
      <c r="A5" t="s">
        <v>5</v>
      </c>
      <c r="B5" t="s">
        <v>3</v>
      </c>
      <c r="C5">
        <v>900</v>
      </c>
      <c r="D5" s="29">
        <v>6000</v>
      </c>
      <c r="E5" s="29">
        <f t="shared" si="0"/>
        <v>5400000</v>
      </c>
    </row>
    <row r="6" spans="1:5">
      <c r="A6" t="s">
        <v>96</v>
      </c>
      <c r="B6" t="s">
        <v>3</v>
      </c>
      <c r="C6">
        <v>5</v>
      </c>
      <c r="D6" s="29">
        <v>10000</v>
      </c>
      <c r="E6" s="29">
        <f t="shared" si="0"/>
        <v>50000</v>
      </c>
    </row>
    <row r="7" spans="1:5" hidden="1">
      <c r="A7" t="s">
        <v>6</v>
      </c>
      <c r="B7" t="s">
        <v>3</v>
      </c>
      <c r="C7">
        <v>0</v>
      </c>
      <c r="E7">
        <f t="shared" si="0"/>
        <v>0</v>
      </c>
    </row>
    <row r="8" spans="1:5">
      <c r="A8" t="s">
        <v>7</v>
      </c>
      <c r="B8" t="s">
        <v>3</v>
      </c>
      <c r="C8">
        <v>420</v>
      </c>
      <c r="D8" s="29">
        <v>9706</v>
      </c>
      <c r="E8" s="29">
        <f t="shared" si="0"/>
        <v>4076520</v>
      </c>
    </row>
    <row r="9" spans="1:5">
      <c r="A9" t="s">
        <v>8</v>
      </c>
      <c r="B9" t="s">
        <v>3</v>
      </c>
      <c r="C9">
        <v>85</v>
      </c>
      <c r="D9" s="29">
        <v>15000</v>
      </c>
      <c r="E9" s="29">
        <f t="shared" si="0"/>
        <v>1275000</v>
      </c>
    </row>
    <row r="10" spans="1:5" hidden="1">
      <c r="A10" t="s">
        <v>8</v>
      </c>
      <c r="B10" t="s">
        <v>9</v>
      </c>
      <c r="C10">
        <v>0</v>
      </c>
      <c r="E10">
        <f t="shared" si="0"/>
        <v>0</v>
      </c>
    </row>
    <row r="11" spans="1:5">
      <c r="A11" t="s">
        <v>10</v>
      </c>
      <c r="B11" t="s">
        <v>3</v>
      </c>
      <c r="C11">
        <v>40</v>
      </c>
      <c r="D11" s="29">
        <v>16000</v>
      </c>
      <c r="E11" s="29">
        <f t="shared" si="0"/>
        <v>640000</v>
      </c>
    </row>
    <row r="12" spans="1:5" hidden="1">
      <c r="A12" t="s">
        <v>10</v>
      </c>
      <c r="B12" t="s">
        <v>9</v>
      </c>
      <c r="C12">
        <v>0</v>
      </c>
      <c r="E12">
        <f t="shared" si="0"/>
        <v>0</v>
      </c>
    </row>
    <row r="13" spans="1:5" hidden="1">
      <c r="A13" t="s">
        <v>131</v>
      </c>
      <c r="B13" t="s">
        <v>3</v>
      </c>
      <c r="C13">
        <v>0</v>
      </c>
      <c r="E13">
        <f t="shared" si="0"/>
        <v>0</v>
      </c>
    </row>
    <row r="14" spans="1:5" hidden="1">
      <c r="A14" t="s">
        <v>12</v>
      </c>
      <c r="B14" t="s">
        <v>3</v>
      </c>
      <c r="C14">
        <v>0</v>
      </c>
      <c r="E14">
        <f t="shared" si="0"/>
        <v>0</v>
      </c>
    </row>
    <row r="15" spans="1:5" hidden="1">
      <c r="A15" t="s">
        <v>14</v>
      </c>
      <c r="B15" t="s">
        <v>3</v>
      </c>
      <c r="C15">
        <v>0</v>
      </c>
      <c r="E15">
        <f t="shared" si="0"/>
        <v>0</v>
      </c>
    </row>
    <row r="16" spans="1:5">
      <c r="A16" t="s">
        <v>15</v>
      </c>
      <c r="B16" t="s">
        <v>3</v>
      </c>
      <c r="C16">
        <v>20</v>
      </c>
      <c r="D16" s="29">
        <v>25000</v>
      </c>
      <c r="E16" s="29">
        <f t="shared" si="0"/>
        <v>500000</v>
      </c>
    </row>
    <row r="17" spans="1:5">
      <c r="A17" t="s">
        <v>16</v>
      </c>
      <c r="B17" t="s">
        <v>17</v>
      </c>
      <c r="C17">
        <v>8</v>
      </c>
      <c r="D17" s="29">
        <v>6000</v>
      </c>
      <c r="E17" s="29">
        <f t="shared" si="0"/>
        <v>48000</v>
      </c>
    </row>
    <row r="18" spans="1:5">
      <c r="A18" t="s">
        <v>145</v>
      </c>
      <c r="B18" t="s">
        <v>40</v>
      </c>
      <c r="C18">
        <v>835</v>
      </c>
      <c r="D18" s="29">
        <v>8000</v>
      </c>
      <c r="E18" s="29">
        <f t="shared" si="0"/>
        <v>6680000</v>
      </c>
    </row>
    <row r="19" spans="1:5">
      <c r="A19" t="s">
        <v>97</v>
      </c>
      <c r="B19" t="s">
        <v>3</v>
      </c>
      <c r="C19">
        <v>60</v>
      </c>
      <c r="D19" s="29">
        <v>18000</v>
      </c>
      <c r="E19" s="29">
        <f t="shared" si="0"/>
        <v>1080000</v>
      </c>
    </row>
    <row r="20" spans="1:5">
      <c r="A20" t="s">
        <v>18</v>
      </c>
      <c r="B20" t="s">
        <v>3</v>
      </c>
      <c r="C20">
        <v>148</v>
      </c>
      <c r="D20" s="29">
        <v>12500</v>
      </c>
      <c r="E20" s="29">
        <f t="shared" si="0"/>
        <v>1850000</v>
      </c>
    </row>
    <row r="21" spans="1:5" hidden="1">
      <c r="A21" t="s">
        <v>18</v>
      </c>
      <c r="B21" t="s">
        <v>19</v>
      </c>
      <c r="C21">
        <v>0</v>
      </c>
      <c r="E21">
        <f t="shared" si="0"/>
        <v>0</v>
      </c>
    </row>
    <row r="22" spans="1:5" hidden="1">
      <c r="A22" t="s">
        <v>20</v>
      </c>
      <c r="B22" t="s">
        <v>3</v>
      </c>
      <c r="C22">
        <v>0</v>
      </c>
      <c r="E22">
        <f t="shared" si="0"/>
        <v>0</v>
      </c>
    </row>
    <row r="23" spans="1:5" hidden="1">
      <c r="A23" t="s">
        <v>20</v>
      </c>
      <c r="B23" t="s">
        <v>21</v>
      </c>
      <c r="C23">
        <v>0</v>
      </c>
      <c r="E23">
        <f t="shared" si="0"/>
        <v>0</v>
      </c>
    </row>
    <row r="24" spans="1:5" hidden="1">
      <c r="A24" t="s">
        <v>22</v>
      </c>
      <c r="B24" t="s">
        <v>3</v>
      </c>
      <c r="C24">
        <v>0</v>
      </c>
      <c r="E24">
        <f t="shared" si="0"/>
        <v>0</v>
      </c>
    </row>
    <row r="25" spans="1:5">
      <c r="A25" t="s">
        <v>22</v>
      </c>
      <c r="B25" t="s">
        <v>23</v>
      </c>
      <c r="C25">
        <v>50</v>
      </c>
      <c r="D25" s="29">
        <v>6000</v>
      </c>
      <c r="E25" s="29">
        <f t="shared" si="0"/>
        <v>300000</v>
      </c>
    </row>
    <row r="26" spans="1:5">
      <c r="A26" t="s">
        <v>24</v>
      </c>
      <c r="B26" t="s">
        <v>25</v>
      </c>
      <c r="C26">
        <v>7</v>
      </c>
      <c r="D26" s="29">
        <v>11100</v>
      </c>
      <c r="E26" s="29">
        <f t="shared" si="0"/>
        <v>77700</v>
      </c>
    </row>
    <row r="27" spans="1:5" hidden="1">
      <c r="A27" t="s">
        <v>26</v>
      </c>
      <c r="B27" t="s">
        <v>3</v>
      </c>
      <c r="C27">
        <v>0</v>
      </c>
      <c r="E27">
        <f t="shared" si="0"/>
        <v>0</v>
      </c>
    </row>
    <row r="28" spans="1:5">
      <c r="A28" t="s">
        <v>26</v>
      </c>
      <c r="B28" t="s">
        <v>27</v>
      </c>
      <c r="C28">
        <v>104</v>
      </c>
      <c r="D28" s="29">
        <v>7500</v>
      </c>
      <c r="E28" s="29">
        <f t="shared" si="0"/>
        <v>780000</v>
      </c>
    </row>
    <row r="29" spans="1:5">
      <c r="A29" t="s">
        <v>28</v>
      </c>
      <c r="B29" t="s">
        <v>3</v>
      </c>
      <c r="C29">
        <v>180</v>
      </c>
      <c r="D29" s="29">
        <v>23000</v>
      </c>
      <c r="E29" s="29">
        <f t="shared" si="0"/>
        <v>4140000</v>
      </c>
    </row>
    <row r="30" spans="1:5" hidden="1">
      <c r="A30" t="s">
        <v>28</v>
      </c>
      <c r="B30" t="s">
        <v>17</v>
      </c>
      <c r="C30">
        <v>0</v>
      </c>
      <c r="E30">
        <f t="shared" si="0"/>
        <v>0</v>
      </c>
    </row>
    <row r="31" spans="1:5" hidden="1">
      <c r="A31" t="s">
        <v>29</v>
      </c>
      <c r="B31" t="s">
        <v>30</v>
      </c>
      <c r="C31">
        <v>0</v>
      </c>
      <c r="E31">
        <f t="shared" si="0"/>
        <v>0</v>
      </c>
    </row>
    <row r="32" spans="1:5">
      <c r="A32" t="s">
        <v>31</v>
      </c>
      <c r="B32" t="s">
        <v>3</v>
      </c>
      <c r="C32">
        <v>250</v>
      </c>
      <c r="D32" s="29">
        <v>6800</v>
      </c>
      <c r="E32" s="29">
        <f t="shared" si="0"/>
        <v>1700000</v>
      </c>
    </row>
    <row r="33" spans="1:5" hidden="1">
      <c r="A33" t="s">
        <v>31</v>
      </c>
      <c r="B33" t="s">
        <v>30</v>
      </c>
      <c r="C33">
        <v>0</v>
      </c>
      <c r="E33">
        <f t="shared" si="0"/>
        <v>0</v>
      </c>
    </row>
    <row r="34" spans="1:5">
      <c r="A34" t="s">
        <v>32</v>
      </c>
      <c r="B34" t="s">
        <v>17</v>
      </c>
      <c r="C34">
        <v>5</v>
      </c>
      <c r="D34" s="29">
        <v>5500</v>
      </c>
      <c r="E34" s="29">
        <f t="shared" si="0"/>
        <v>27500</v>
      </c>
    </row>
    <row r="35" spans="1:5" hidden="1">
      <c r="A35" t="s">
        <v>33</v>
      </c>
      <c r="B35" t="s">
        <v>3</v>
      </c>
      <c r="C35">
        <v>0</v>
      </c>
      <c r="E35">
        <f t="shared" si="0"/>
        <v>0</v>
      </c>
    </row>
    <row r="36" spans="1:5" hidden="1">
      <c r="A36" t="s">
        <v>33</v>
      </c>
      <c r="B36" t="s">
        <v>34</v>
      </c>
      <c r="C36">
        <v>0</v>
      </c>
      <c r="E36">
        <f t="shared" si="0"/>
        <v>0</v>
      </c>
    </row>
    <row r="37" spans="1:5" hidden="1">
      <c r="A37" t="s">
        <v>35</v>
      </c>
      <c r="B37" t="s">
        <v>3</v>
      </c>
      <c r="C37">
        <v>0</v>
      </c>
      <c r="E37">
        <f t="shared" si="0"/>
        <v>0</v>
      </c>
    </row>
    <row r="38" spans="1:5" hidden="1">
      <c r="A38" t="s">
        <v>35</v>
      </c>
      <c r="B38" t="s">
        <v>30</v>
      </c>
      <c r="C38">
        <v>0</v>
      </c>
      <c r="E38">
        <f t="shared" si="0"/>
        <v>0</v>
      </c>
    </row>
    <row r="39" spans="1:5">
      <c r="A39" t="s">
        <v>36</v>
      </c>
      <c r="B39" t="s">
        <v>30</v>
      </c>
      <c r="C39">
        <v>7</v>
      </c>
      <c r="D39" s="29">
        <v>3000</v>
      </c>
      <c r="E39" s="29">
        <f t="shared" si="0"/>
        <v>21000</v>
      </c>
    </row>
    <row r="40" spans="1:5">
      <c r="A40" t="s">
        <v>37</v>
      </c>
      <c r="B40" t="s">
        <v>30</v>
      </c>
      <c r="C40">
        <v>16</v>
      </c>
      <c r="D40" s="29">
        <v>3900</v>
      </c>
      <c r="E40" s="29">
        <f t="shared" si="0"/>
        <v>62400</v>
      </c>
    </row>
    <row r="41" spans="1:5">
      <c r="A41" t="s">
        <v>38</v>
      </c>
      <c r="B41" t="s">
        <v>3</v>
      </c>
      <c r="C41">
        <v>670</v>
      </c>
      <c r="D41" s="29">
        <v>5500</v>
      </c>
      <c r="E41" s="29">
        <f t="shared" si="0"/>
        <v>3685000</v>
      </c>
    </row>
    <row r="42" spans="1:5" hidden="1">
      <c r="A42" t="s">
        <v>98</v>
      </c>
      <c r="B42" t="s">
        <v>3</v>
      </c>
      <c r="C42">
        <v>0</v>
      </c>
      <c r="E42">
        <f t="shared" si="0"/>
        <v>0</v>
      </c>
    </row>
    <row r="43" spans="1:5">
      <c r="A43" t="s">
        <v>99</v>
      </c>
      <c r="B43" t="s">
        <v>3</v>
      </c>
      <c r="C43">
        <v>830</v>
      </c>
      <c r="D43" s="29">
        <v>3500</v>
      </c>
      <c r="E43" s="29">
        <f t="shared" si="0"/>
        <v>2905000</v>
      </c>
    </row>
    <row r="44" spans="1:5">
      <c r="A44" t="s">
        <v>39</v>
      </c>
      <c r="B44" t="s">
        <v>3</v>
      </c>
      <c r="C44">
        <v>80</v>
      </c>
      <c r="D44" s="29">
        <v>11000</v>
      </c>
      <c r="E44" s="29">
        <f t="shared" si="0"/>
        <v>880000</v>
      </c>
    </row>
    <row r="45" spans="1:5" hidden="1">
      <c r="A45" t="s">
        <v>39</v>
      </c>
      <c r="B45" t="s">
        <v>40</v>
      </c>
      <c r="C45">
        <v>0</v>
      </c>
      <c r="E45">
        <f t="shared" si="0"/>
        <v>0</v>
      </c>
    </row>
    <row r="46" spans="1:5" hidden="1">
      <c r="A46" t="s">
        <v>100</v>
      </c>
      <c r="B46" t="s">
        <v>3</v>
      </c>
      <c r="C46">
        <v>0</v>
      </c>
      <c r="E46">
        <f t="shared" si="0"/>
        <v>0</v>
      </c>
    </row>
    <row r="47" spans="1:5">
      <c r="A47" t="s">
        <v>41</v>
      </c>
      <c r="B47" t="s">
        <v>3</v>
      </c>
      <c r="C47">
        <v>30</v>
      </c>
      <c r="D47" s="29">
        <v>14000</v>
      </c>
      <c r="E47" s="29">
        <f t="shared" si="0"/>
        <v>420000</v>
      </c>
    </row>
    <row r="48" spans="1:5">
      <c r="A48" t="s">
        <v>42</v>
      </c>
      <c r="B48" t="s">
        <v>25</v>
      </c>
      <c r="C48">
        <v>25</v>
      </c>
      <c r="D48" s="29">
        <v>10000</v>
      </c>
      <c r="E48" s="29">
        <f t="shared" si="0"/>
        <v>250000</v>
      </c>
    </row>
    <row r="49" spans="1:5" hidden="1">
      <c r="A49" t="s">
        <v>44</v>
      </c>
      <c r="B49" t="s">
        <v>3</v>
      </c>
      <c r="C49">
        <v>0</v>
      </c>
      <c r="E49">
        <f t="shared" si="0"/>
        <v>0</v>
      </c>
    </row>
    <row r="50" spans="1:5">
      <c r="A50" t="s">
        <v>45</v>
      </c>
      <c r="B50" t="s">
        <v>3</v>
      </c>
      <c r="C50">
        <v>50</v>
      </c>
      <c r="D50" s="29">
        <v>9000</v>
      </c>
      <c r="E50" s="29">
        <f t="shared" si="0"/>
        <v>450000</v>
      </c>
    </row>
    <row r="51" spans="1:5" hidden="1">
      <c r="A51" t="s">
        <v>45</v>
      </c>
      <c r="B51" t="s">
        <v>30</v>
      </c>
      <c r="C51">
        <v>0</v>
      </c>
      <c r="E51">
        <f t="shared" si="0"/>
        <v>0</v>
      </c>
    </row>
    <row r="52" spans="1:5">
      <c r="A52" t="s">
        <v>46</v>
      </c>
      <c r="B52" t="s">
        <v>3</v>
      </c>
      <c r="C52">
        <v>10</v>
      </c>
      <c r="D52" s="29">
        <v>18000</v>
      </c>
      <c r="E52" s="29">
        <f t="shared" si="0"/>
        <v>180000</v>
      </c>
    </row>
    <row r="53" spans="1:5">
      <c r="A53" t="s">
        <v>47</v>
      </c>
      <c r="B53" t="s">
        <v>3</v>
      </c>
      <c r="C53">
        <v>440</v>
      </c>
      <c r="D53" s="29">
        <v>8000</v>
      </c>
      <c r="E53" s="29">
        <f t="shared" si="0"/>
        <v>3520000</v>
      </c>
    </row>
    <row r="54" spans="1:5" hidden="1">
      <c r="A54" t="s">
        <v>47</v>
      </c>
      <c r="B54" t="s">
        <v>48</v>
      </c>
      <c r="C54">
        <v>0</v>
      </c>
      <c r="E54">
        <f t="shared" si="0"/>
        <v>0</v>
      </c>
    </row>
    <row r="55" spans="1:5">
      <c r="A55" t="s">
        <v>49</v>
      </c>
      <c r="B55" t="s">
        <v>30</v>
      </c>
      <c r="C55">
        <v>466</v>
      </c>
      <c r="D55" s="29">
        <v>1800</v>
      </c>
      <c r="E55" s="29">
        <f t="shared" si="0"/>
        <v>838800</v>
      </c>
    </row>
    <row r="56" spans="1:5">
      <c r="A56" t="s">
        <v>50</v>
      </c>
      <c r="B56" t="s">
        <v>3</v>
      </c>
      <c r="C56">
        <v>2050</v>
      </c>
      <c r="D56" s="29">
        <v>25000</v>
      </c>
      <c r="E56" s="29">
        <f t="shared" si="0"/>
        <v>51250000</v>
      </c>
    </row>
    <row r="57" spans="1:5">
      <c r="A57" t="s">
        <v>51</v>
      </c>
      <c r="B57" t="s">
        <v>3</v>
      </c>
      <c r="C57">
        <v>495</v>
      </c>
      <c r="D57" s="29">
        <v>25000</v>
      </c>
      <c r="E57" s="29">
        <f t="shared" si="0"/>
        <v>12375000</v>
      </c>
    </row>
    <row r="58" spans="1:5">
      <c r="A58" t="s">
        <v>53</v>
      </c>
      <c r="B58" t="s">
        <v>3</v>
      </c>
      <c r="C58">
        <v>125</v>
      </c>
      <c r="D58" s="29">
        <v>16000</v>
      </c>
      <c r="E58" s="29">
        <f t="shared" si="0"/>
        <v>2000000</v>
      </c>
    </row>
    <row r="59" spans="1:5">
      <c r="A59" t="s">
        <v>54</v>
      </c>
      <c r="B59" t="s">
        <v>3</v>
      </c>
      <c r="C59">
        <v>42</v>
      </c>
      <c r="D59" s="29">
        <v>26000</v>
      </c>
      <c r="E59" s="29">
        <f t="shared" si="0"/>
        <v>1092000</v>
      </c>
    </row>
    <row r="60" spans="1:5" hidden="1">
      <c r="A60" t="s">
        <v>108</v>
      </c>
      <c r="B60" t="s">
        <v>30</v>
      </c>
      <c r="C60">
        <v>0</v>
      </c>
      <c r="E60">
        <f t="shared" si="0"/>
        <v>0</v>
      </c>
    </row>
    <row r="61" spans="1:5">
      <c r="A61" t="s">
        <v>56</v>
      </c>
      <c r="B61" t="s">
        <v>3</v>
      </c>
      <c r="C61">
        <v>400</v>
      </c>
      <c r="D61" s="29">
        <v>13000</v>
      </c>
      <c r="E61" s="29">
        <f t="shared" si="0"/>
        <v>5200000</v>
      </c>
    </row>
    <row r="62" spans="1:5" hidden="1">
      <c r="A62" t="s">
        <v>56</v>
      </c>
      <c r="B62" t="s">
        <v>30</v>
      </c>
      <c r="C62">
        <v>0</v>
      </c>
      <c r="E62">
        <f t="shared" si="0"/>
        <v>0</v>
      </c>
    </row>
    <row r="63" spans="1:5">
      <c r="A63" t="s">
        <v>57</v>
      </c>
      <c r="B63" t="s">
        <v>30</v>
      </c>
      <c r="C63">
        <v>700</v>
      </c>
      <c r="D63" s="29">
        <v>5850</v>
      </c>
      <c r="E63" s="29">
        <f t="shared" si="0"/>
        <v>4095000</v>
      </c>
    </row>
    <row r="64" spans="1:5" hidden="1">
      <c r="A64" t="s">
        <v>58</v>
      </c>
      <c r="B64" t="s">
        <v>3</v>
      </c>
      <c r="C64">
        <v>0</v>
      </c>
      <c r="E64">
        <f t="shared" si="0"/>
        <v>0</v>
      </c>
    </row>
    <row r="65" spans="1:5">
      <c r="A65" t="s">
        <v>59</v>
      </c>
      <c r="B65" t="s">
        <v>30</v>
      </c>
      <c r="C65">
        <v>17</v>
      </c>
      <c r="D65" s="29">
        <v>6500</v>
      </c>
      <c r="E65" s="29">
        <f t="shared" si="0"/>
        <v>110500</v>
      </c>
    </row>
    <row r="66" spans="1:5" hidden="1">
      <c r="A66" t="s">
        <v>60</v>
      </c>
      <c r="B66" t="s">
        <v>3</v>
      </c>
      <c r="C66">
        <v>0</v>
      </c>
      <c r="E66">
        <f t="shared" si="0"/>
        <v>0</v>
      </c>
    </row>
    <row r="67" spans="1:5" hidden="1">
      <c r="A67" t="s">
        <v>60</v>
      </c>
      <c r="B67" t="s">
        <v>30</v>
      </c>
      <c r="C67">
        <v>0</v>
      </c>
      <c r="E67">
        <f t="shared" si="0"/>
        <v>0</v>
      </c>
    </row>
    <row r="68" spans="1:5">
      <c r="A68" t="s">
        <v>60</v>
      </c>
      <c r="B68" t="s">
        <v>61</v>
      </c>
      <c r="C68">
        <v>30</v>
      </c>
      <c r="D68" s="29">
        <v>4500</v>
      </c>
      <c r="E68" s="29">
        <f t="shared" ref="E68:E104" si="1">C68*D68</f>
        <v>135000</v>
      </c>
    </row>
    <row r="69" spans="1:5">
      <c r="A69" t="s">
        <v>62</v>
      </c>
      <c r="B69" t="s">
        <v>3</v>
      </c>
      <c r="C69">
        <v>3.5</v>
      </c>
      <c r="D69" s="29">
        <v>80000</v>
      </c>
      <c r="E69" s="29">
        <f t="shared" si="1"/>
        <v>280000</v>
      </c>
    </row>
    <row r="70" spans="1:5">
      <c r="A70" t="s">
        <v>63</v>
      </c>
      <c r="B70" t="s">
        <v>3</v>
      </c>
      <c r="C70">
        <v>1.5</v>
      </c>
      <c r="D70" s="29">
        <v>70000</v>
      </c>
      <c r="E70" s="29">
        <f t="shared" si="1"/>
        <v>105000</v>
      </c>
    </row>
    <row r="71" spans="1:5">
      <c r="A71" t="s">
        <v>64</v>
      </c>
      <c r="B71" t="s">
        <v>3</v>
      </c>
      <c r="C71">
        <v>0.5</v>
      </c>
      <c r="D71" s="29">
        <v>70000</v>
      </c>
      <c r="E71" s="29">
        <f t="shared" si="1"/>
        <v>35000</v>
      </c>
    </row>
    <row r="72" spans="1:5" hidden="1">
      <c r="A72" t="s">
        <v>65</v>
      </c>
      <c r="B72" t="s">
        <v>3</v>
      </c>
      <c r="C72">
        <v>0</v>
      </c>
      <c r="E72">
        <f t="shared" si="1"/>
        <v>0</v>
      </c>
    </row>
    <row r="73" spans="1:5">
      <c r="A73" t="s">
        <v>65</v>
      </c>
      <c r="B73" t="s">
        <v>17</v>
      </c>
      <c r="C73">
        <v>85</v>
      </c>
      <c r="D73" s="29">
        <v>8000</v>
      </c>
      <c r="E73" s="29">
        <f t="shared" si="1"/>
        <v>680000</v>
      </c>
    </row>
    <row r="74" spans="1:5">
      <c r="A74" t="s">
        <v>66</v>
      </c>
      <c r="B74" t="s">
        <v>3</v>
      </c>
      <c r="C74">
        <v>3</v>
      </c>
      <c r="D74" s="29">
        <v>16000</v>
      </c>
      <c r="E74" s="29">
        <f t="shared" si="1"/>
        <v>48000</v>
      </c>
    </row>
    <row r="75" spans="1:5">
      <c r="A75" t="s">
        <v>67</v>
      </c>
      <c r="B75" t="s">
        <v>3</v>
      </c>
      <c r="C75">
        <v>6</v>
      </c>
      <c r="D75" s="29">
        <v>13000</v>
      </c>
      <c r="E75" s="29">
        <f t="shared" si="1"/>
        <v>78000</v>
      </c>
    </row>
    <row r="76" spans="1:5">
      <c r="A76" t="s">
        <v>68</v>
      </c>
      <c r="B76" t="s">
        <v>3</v>
      </c>
      <c r="C76">
        <v>2</v>
      </c>
      <c r="D76" s="29">
        <v>11000</v>
      </c>
      <c r="E76" s="29">
        <f t="shared" si="1"/>
        <v>22000</v>
      </c>
    </row>
    <row r="77" spans="1:5" hidden="1">
      <c r="A77" t="s">
        <v>68</v>
      </c>
      <c r="B77" t="s">
        <v>40</v>
      </c>
      <c r="C77">
        <v>0</v>
      </c>
      <c r="E77">
        <f t="shared" si="1"/>
        <v>0</v>
      </c>
    </row>
    <row r="78" spans="1:5" hidden="1">
      <c r="A78" t="s">
        <v>70</v>
      </c>
      <c r="B78" t="s">
        <v>30</v>
      </c>
      <c r="C78">
        <v>0</v>
      </c>
      <c r="E78">
        <f t="shared" si="1"/>
        <v>0</v>
      </c>
    </row>
    <row r="79" spans="1:5">
      <c r="A79" t="s">
        <v>71</v>
      </c>
      <c r="B79" t="s">
        <v>3</v>
      </c>
      <c r="C79">
        <v>11</v>
      </c>
      <c r="D79" s="29">
        <v>14000</v>
      </c>
      <c r="E79" s="29">
        <f t="shared" si="1"/>
        <v>154000</v>
      </c>
    </row>
    <row r="80" spans="1:5">
      <c r="A80" t="s">
        <v>160</v>
      </c>
      <c r="B80" t="s">
        <v>3</v>
      </c>
      <c r="C80">
        <v>360</v>
      </c>
      <c r="D80" s="29">
        <v>50000</v>
      </c>
      <c r="E80" s="29">
        <f t="shared" si="1"/>
        <v>18000000</v>
      </c>
    </row>
    <row r="81" spans="1:5" hidden="1">
      <c r="A81" t="s">
        <v>72</v>
      </c>
      <c r="B81" t="s">
        <v>17</v>
      </c>
      <c r="C81">
        <v>0</v>
      </c>
      <c r="E81">
        <f t="shared" si="1"/>
        <v>0</v>
      </c>
    </row>
    <row r="82" spans="1:5" hidden="1">
      <c r="A82" t="s">
        <v>73</v>
      </c>
      <c r="B82" t="s">
        <v>25</v>
      </c>
      <c r="C82">
        <v>0</v>
      </c>
      <c r="E82">
        <f t="shared" si="1"/>
        <v>0</v>
      </c>
    </row>
    <row r="83" spans="1:5">
      <c r="A83" t="s">
        <v>73</v>
      </c>
      <c r="B83" t="s">
        <v>3</v>
      </c>
      <c r="C83">
        <v>10</v>
      </c>
      <c r="D83" s="29">
        <v>42000</v>
      </c>
      <c r="E83" s="29">
        <f t="shared" si="1"/>
        <v>420000</v>
      </c>
    </row>
    <row r="84" spans="1:5">
      <c r="A84" t="s">
        <v>74</v>
      </c>
      <c r="B84" t="s">
        <v>3</v>
      </c>
      <c r="C84">
        <v>90</v>
      </c>
      <c r="D84" s="29">
        <v>32000</v>
      </c>
      <c r="E84" s="29">
        <f t="shared" si="1"/>
        <v>2880000</v>
      </c>
    </row>
    <row r="85" spans="1:5" hidden="1">
      <c r="A85" t="s">
        <v>74</v>
      </c>
      <c r="B85" t="s">
        <v>9</v>
      </c>
      <c r="C85">
        <v>0</v>
      </c>
      <c r="E85">
        <f t="shared" si="1"/>
        <v>0</v>
      </c>
    </row>
    <row r="86" spans="1:5">
      <c r="A86" t="s">
        <v>76</v>
      </c>
      <c r="B86" t="s">
        <v>3</v>
      </c>
      <c r="C86">
        <v>85</v>
      </c>
      <c r="D86" s="29">
        <v>42000</v>
      </c>
      <c r="E86" s="29">
        <f t="shared" si="1"/>
        <v>3570000</v>
      </c>
    </row>
    <row r="87" spans="1:5" hidden="1">
      <c r="A87" t="s">
        <v>76</v>
      </c>
      <c r="B87" t="s">
        <v>9</v>
      </c>
      <c r="C87">
        <v>0</v>
      </c>
      <c r="E87">
        <f t="shared" si="1"/>
        <v>0</v>
      </c>
    </row>
    <row r="88" spans="1:5">
      <c r="A88" t="s">
        <v>77</v>
      </c>
      <c r="B88" t="s">
        <v>3</v>
      </c>
      <c r="C88">
        <v>12</v>
      </c>
      <c r="D88" s="29">
        <v>35000</v>
      </c>
      <c r="E88" s="29">
        <f t="shared" si="1"/>
        <v>420000</v>
      </c>
    </row>
    <row r="89" spans="1:5">
      <c r="A89" t="s">
        <v>78</v>
      </c>
      <c r="B89" t="s">
        <v>3</v>
      </c>
      <c r="C89">
        <v>34</v>
      </c>
      <c r="D89" s="29">
        <v>30000</v>
      </c>
      <c r="E89" s="29">
        <f t="shared" si="1"/>
        <v>1020000</v>
      </c>
    </row>
    <row r="90" spans="1:5" hidden="1">
      <c r="A90" t="s">
        <v>78</v>
      </c>
      <c r="B90" t="s">
        <v>9</v>
      </c>
      <c r="C90">
        <v>0</v>
      </c>
      <c r="E90">
        <f t="shared" si="1"/>
        <v>0</v>
      </c>
    </row>
    <row r="91" spans="1:5">
      <c r="A91" t="s">
        <v>79</v>
      </c>
      <c r="B91" t="s">
        <v>30</v>
      </c>
      <c r="C91">
        <v>102</v>
      </c>
      <c r="D91" s="29">
        <v>18000</v>
      </c>
      <c r="E91" s="29">
        <f t="shared" si="1"/>
        <v>1836000</v>
      </c>
    </row>
    <row r="92" spans="1:5" hidden="1">
      <c r="A92" t="s">
        <v>80</v>
      </c>
      <c r="B92" t="s">
        <v>30</v>
      </c>
      <c r="C92">
        <v>0</v>
      </c>
      <c r="E92">
        <f t="shared" si="1"/>
        <v>0</v>
      </c>
    </row>
    <row r="93" spans="1:5">
      <c r="A93" t="s">
        <v>81</v>
      </c>
      <c r="B93" t="s">
        <v>9</v>
      </c>
      <c r="C93">
        <v>1882</v>
      </c>
      <c r="D93" s="29">
        <v>9000</v>
      </c>
      <c r="E93" s="29">
        <f t="shared" si="1"/>
        <v>16938000</v>
      </c>
    </row>
    <row r="94" spans="1:5">
      <c r="A94" t="s">
        <v>82</v>
      </c>
      <c r="B94" t="s">
        <v>9</v>
      </c>
      <c r="C94">
        <v>375</v>
      </c>
      <c r="D94" s="29">
        <v>11361</v>
      </c>
      <c r="E94" s="29">
        <f t="shared" si="1"/>
        <v>4260375</v>
      </c>
    </row>
    <row r="95" spans="1:5" hidden="1">
      <c r="A95" t="s">
        <v>84</v>
      </c>
      <c r="B95" t="s">
        <v>3</v>
      </c>
      <c r="C95">
        <v>0</v>
      </c>
      <c r="E95">
        <f t="shared" si="1"/>
        <v>0</v>
      </c>
    </row>
    <row r="96" spans="1:5">
      <c r="A96" t="s">
        <v>85</v>
      </c>
      <c r="B96" t="s">
        <v>3</v>
      </c>
      <c r="C96">
        <v>10</v>
      </c>
      <c r="D96" s="29">
        <v>12000</v>
      </c>
      <c r="E96" s="29">
        <f t="shared" si="1"/>
        <v>120000</v>
      </c>
    </row>
    <row r="97" spans="1:5">
      <c r="A97" t="s">
        <v>87</v>
      </c>
      <c r="B97" t="s">
        <v>3</v>
      </c>
      <c r="C97">
        <v>245</v>
      </c>
      <c r="D97" s="29">
        <v>4000</v>
      </c>
      <c r="E97" s="29">
        <f t="shared" si="1"/>
        <v>980000</v>
      </c>
    </row>
    <row r="98" spans="1:5">
      <c r="A98" t="s">
        <v>88</v>
      </c>
      <c r="B98" t="s">
        <v>3</v>
      </c>
      <c r="C98">
        <v>8</v>
      </c>
      <c r="D98" s="29">
        <v>13000</v>
      </c>
      <c r="E98" s="29">
        <f t="shared" si="1"/>
        <v>104000</v>
      </c>
    </row>
    <row r="99" spans="1:5" hidden="1">
      <c r="A99" t="s">
        <v>89</v>
      </c>
      <c r="B99" t="s">
        <v>3</v>
      </c>
      <c r="C99">
        <v>0</v>
      </c>
      <c r="E99">
        <f t="shared" si="1"/>
        <v>0</v>
      </c>
    </row>
    <row r="100" spans="1:5" hidden="1">
      <c r="A100" t="s">
        <v>90</v>
      </c>
      <c r="B100" t="s">
        <v>40</v>
      </c>
      <c r="C100">
        <v>0</v>
      </c>
      <c r="E100">
        <f t="shared" si="1"/>
        <v>0</v>
      </c>
    </row>
    <row r="101" spans="1:5" hidden="1">
      <c r="A101" t="s">
        <v>91</v>
      </c>
      <c r="B101" t="s">
        <v>3</v>
      </c>
      <c r="C101">
        <v>0</v>
      </c>
      <c r="E101">
        <f t="shared" si="1"/>
        <v>0</v>
      </c>
    </row>
    <row r="102" spans="1:5" hidden="1">
      <c r="A102" t="s">
        <v>92</v>
      </c>
      <c r="B102" t="s">
        <v>40</v>
      </c>
      <c r="C102">
        <v>0</v>
      </c>
      <c r="E102">
        <f t="shared" si="1"/>
        <v>0</v>
      </c>
    </row>
    <row r="103" spans="1:5" hidden="1">
      <c r="A103" t="s">
        <v>94</v>
      </c>
      <c r="B103" t="s">
        <v>3</v>
      </c>
      <c r="C103">
        <v>0</v>
      </c>
      <c r="E103">
        <f t="shared" si="1"/>
        <v>0</v>
      </c>
    </row>
    <row r="104" spans="1:5">
      <c r="A104" t="s">
        <v>95</v>
      </c>
      <c r="B104" t="s">
        <v>40</v>
      </c>
      <c r="C104">
        <v>70</v>
      </c>
      <c r="D104" s="29">
        <v>7000</v>
      </c>
      <c r="E104" s="29">
        <f t="shared" si="1"/>
        <v>490000</v>
      </c>
    </row>
    <row r="105" spans="1:5">
      <c r="D105" s="29"/>
      <c r="E105" s="29">
        <f>SUM(E3:E104)</f>
        <v>174060795</v>
      </c>
    </row>
  </sheetData>
  <autoFilter ref="A2:E104">
    <filterColumn colId="2">
      <filters>
        <filter val="0.5"/>
        <filter val="1.5"/>
        <filter val="10"/>
        <filter val="102"/>
        <filter val="104"/>
        <filter val="11"/>
        <filter val="12"/>
        <filter val="125"/>
        <filter val="148"/>
        <filter val="16"/>
        <filter val="17"/>
        <filter val="180"/>
        <filter val="1882"/>
        <filter val="2"/>
        <filter val="20"/>
        <filter val="2050"/>
        <filter val="245"/>
        <filter val="25"/>
        <filter val="250"/>
        <filter val="3"/>
        <filter val="3.5"/>
        <filter val="30"/>
        <filter val="34"/>
        <filter val="36"/>
        <filter val="360"/>
        <filter val="375"/>
        <filter val="40"/>
        <filter val="400"/>
        <filter val="42"/>
        <filter val="420"/>
        <filter val="440"/>
        <filter val="466"/>
        <filter val="495"/>
        <filter val="5"/>
        <filter val="50"/>
        <filter val="590"/>
        <filter val="6"/>
        <filter val="60"/>
        <filter val="670"/>
        <filter val="7"/>
        <filter val="70"/>
        <filter val="700"/>
        <filter val="8"/>
        <filter val="80"/>
        <filter val="830"/>
        <filter val="835"/>
        <filter val="85"/>
        <filter val="90"/>
        <filter val="900"/>
      </filters>
    </filterColumn>
  </autoFilter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128"/>
  <sheetViews>
    <sheetView workbookViewId="0">
      <selection activeCell="G4" sqref="G4"/>
    </sheetView>
  </sheetViews>
  <sheetFormatPr defaultRowHeight="13.8"/>
  <cols>
    <col min="1" max="1" width="25.59765625" customWidth="1"/>
    <col min="4" max="4" width="16.5" customWidth="1"/>
    <col min="5" max="5" width="16.3984375" customWidth="1"/>
  </cols>
  <sheetData>
    <row r="1" spans="1:5">
      <c r="A1" t="s">
        <v>180</v>
      </c>
    </row>
    <row r="2" spans="1:5" ht="63.6" customHeight="1">
      <c r="A2" s="52" t="s">
        <v>106</v>
      </c>
      <c r="B2" s="52" t="s">
        <v>0</v>
      </c>
      <c r="C2" s="53" t="s">
        <v>111</v>
      </c>
      <c r="D2" s="61" t="s">
        <v>112</v>
      </c>
      <c r="E2" s="54" t="s">
        <v>113</v>
      </c>
    </row>
    <row r="3" spans="1:5" ht="15.6">
      <c r="A3" s="22" t="s">
        <v>2</v>
      </c>
      <c r="B3" s="22" t="s">
        <v>3</v>
      </c>
      <c r="C3" s="53">
        <v>7</v>
      </c>
      <c r="D3" s="61">
        <v>16000</v>
      </c>
      <c r="E3" s="55">
        <f>C3*D3</f>
        <v>112000</v>
      </c>
    </row>
    <row r="4" spans="1:5" ht="15.6">
      <c r="A4" s="22" t="s">
        <v>4</v>
      </c>
      <c r="B4" s="22" t="s">
        <v>3</v>
      </c>
      <c r="C4" s="53">
        <v>1160</v>
      </c>
      <c r="D4" s="61">
        <v>5000</v>
      </c>
      <c r="E4" s="55">
        <f t="shared" ref="E4:E67" si="0">C4*D4</f>
        <v>5800000</v>
      </c>
    </row>
    <row r="5" spans="1:5" ht="15.6">
      <c r="A5" s="22" t="s">
        <v>5</v>
      </c>
      <c r="B5" s="22" t="s">
        <v>3</v>
      </c>
      <c r="C5" s="53">
        <v>846</v>
      </c>
      <c r="D5" s="61">
        <v>6000</v>
      </c>
      <c r="E5" s="55">
        <f t="shared" si="0"/>
        <v>5076000</v>
      </c>
    </row>
    <row r="6" spans="1:5" ht="15.6">
      <c r="A6" s="22" t="s">
        <v>96</v>
      </c>
      <c r="B6" s="22" t="s">
        <v>3</v>
      </c>
      <c r="C6" s="53">
        <v>30</v>
      </c>
      <c r="D6" s="61">
        <v>12000</v>
      </c>
      <c r="E6" s="55">
        <f t="shared" si="0"/>
        <v>360000</v>
      </c>
    </row>
    <row r="7" spans="1:5" ht="15.6" hidden="1">
      <c r="A7" s="22" t="s">
        <v>6</v>
      </c>
      <c r="B7" s="22" t="s">
        <v>3</v>
      </c>
      <c r="C7" s="53">
        <v>0</v>
      </c>
      <c r="D7" s="61"/>
      <c r="E7" s="55">
        <f t="shared" si="0"/>
        <v>0</v>
      </c>
    </row>
    <row r="8" spans="1:5" ht="15.6">
      <c r="A8" s="22" t="s">
        <v>7</v>
      </c>
      <c r="B8" s="22" t="s">
        <v>3</v>
      </c>
      <c r="C8" s="53">
        <v>113</v>
      </c>
      <c r="D8" s="61">
        <v>9706</v>
      </c>
      <c r="E8" s="55">
        <f t="shared" si="0"/>
        <v>1096778</v>
      </c>
    </row>
    <row r="9" spans="1:5" ht="15.6" hidden="1">
      <c r="A9" s="22" t="s">
        <v>116</v>
      </c>
      <c r="B9" s="22" t="s">
        <v>3</v>
      </c>
      <c r="C9" s="53">
        <v>0</v>
      </c>
      <c r="D9" s="61"/>
      <c r="E9" s="55">
        <f t="shared" si="0"/>
        <v>0</v>
      </c>
    </row>
    <row r="10" spans="1:5" ht="15.6" hidden="1">
      <c r="A10" s="22" t="s">
        <v>8</v>
      </c>
      <c r="B10" s="22" t="s">
        <v>3</v>
      </c>
      <c r="C10" s="53">
        <v>0</v>
      </c>
      <c r="D10" s="61"/>
      <c r="E10" s="55">
        <f t="shared" si="0"/>
        <v>0</v>
      </c>
    </row>
    <row r="11" spans="1:5" ht="15.6" hidden="1">
      <c r="A11" s="22" t="s">
        <v>8</v>
      </c>
      <c r="B11" s="22" t="s">
        <v>9</v>
      </c>
      <c r="C11" s="53">
        <v>0</v>
      </c>
      <c r="D11" s="61"/>
      <c r="E11" s="55">
        <f t="shared" si="0"/>
        <v>0</v>
      </c>
    </row>
    <row r="12" spans="1:5" ht="15.6" hidden="1">
      <c r="A12" s="22" t="s">
        <v>8</v>
      </c>
      <c r="B12" s="22" t="s">
        <v>178</v>
      </c>
      <c r="C12" s="53">
        <v>0</v>
      </c>
      <c r="D12" s="61"/>
      <c r="E12" s="55">
        <f t="shared" si="0"/>
        <v>0</v>
      </c>
    </row>
    <row r="13" spans="1:5" ht="15.6">
      <c r="A13" s="22" t="s">
        <v>10</v>
      </c>
      <c r="B13" s="22" t="s">
        <v>3</v>
      </c>
      <c r="C13" s="53">
        <v>50</v>
      </c>
      <c r="D13" s="61">
        <v>16000</v>
      </c>
      <c r="E13" s="55">
        <f t="shared" si="0"/>
        <v>800000</v>
      </c>
    </row>
    <row r="14" spans="1:5" ht="15.6" hidden="1">
      <c r="A14" s="22" t="s">
        <v>10</v>
      </c>
      <c r="B14" s="22" t="s">
        <v>9</v>
      </c>
      <c r="C14" s="53">
        <v>0</v>
      </c>
      <c r="D14" s="61"/>
      <c r="E14" s="55">
        <f t="shared" si="0"/>
        <v>0</v>
      </c>
    </row>
    <row r="15" spans="1:5" ht="15.6" hidden="1">
      <c r="A15" s="22" t="s">
        <v>11</v>
      </c>
      <c r="B15" s="22" t="s">
        <v>3</v>
      </c>
      <c r="C15" s="53">
        <v>0</v>
      </c>
      <c r="D15" s="61"/>
      <c r="E15" s="55">
        <f t="shared" si="0"/>
        <v>0</v>
      </c>
    </row>
    <row r="16" spans="1:5" ht="15.6" hidden="1">
      <c r="A16" s="22" t="s">
        <v>131</v>
      </c>
      <c r="B16" s="22" t="s">
        <v>3</v>
      </c>
      <c r="C16" s="53">
        <v>0</v>
      </c>
      <c r="D16" s="61"/>
      <c r="E16" s="55">
        <f t="shared" si="0"/>
        <v>0</v>
      </c>
    </row>
    <row r="17" spans="1:5" ht="15.6" hidden="1">
      <c r="A17" s="22" t="s">
        <v>12</v>
      </c>
      <c r="B17" s="22" t="s">
        <v>3</v>
      </c>
      <c r="C17" s="53">
        <v>0</v>
      </c>
      <c r="D17" s="61"/>
      <c r="E17" s="55">
        <f t="shared" si="0"/>
        <v>0</v>
      </c>
    </row>
    <row r="18" spans="1:5" ht="15.6">
      <c r="A18" s="22" t="s">
        <v>13</v>
      </c>
      <c r="B18" s="22" t="s">
        <v>3</v>
      </c>
      <c r="C18" s="53">
        <v>35</v>
      </c>
      <c r="D18" s="61">
        <v>17000</v>
      </c>
      <c r="E18" s="55">
        <f t="shared" si="0"/>
        <v>595000</v>
      </c>
    </row>
    <row r="19" spans="1:5" ht="15.6" hidden="1">
      <c r="A19" s="22" t="s">
        <v>14</v>
      </c>
      <c r="B19" s="22" t="s">
        <v>3</v>
      </c>
      <c r="C19" s="53">
        <v>0</v>
      </c>
      <c r="D19" s="61"/>
      <c r="E19" s="55">
        <f t="shared" si="0"/>
        <v>0</v>
      </c>
    </row>
    <row r="20" spans="1:5" ht="15.6" hidden="1">
      <c r="A20" s="22" t="s">
        <v>15</v>
      </c>
      <c r="B20" s="22" t="s">
        <v>3</v>
      </c>
      <c r="C20" s="53">
        <v>0</v>
      </c>
      <c r="D20" s="61"/>
      <c r="E20" s="55">
        <f t="shared" si="0"/>
        <v>0</v>
      </c>
    </row>
    <row r="21" spans="1:5" ht="15.6" hidden="1">
      <c r="A21" s="22" t="s">
        <v>16</v>
      </c>
      <c r="B21" s="22" t="s">
        <v>17</v>
      </c>
      <c r="C21" s="53">
        <v>0</v>
      </c>
      <c r="D21" s="61"/>
      <c r="E21" s="55">
        <f t="shared" si="0"/>
        <v>0</v>
      </c>
    </row>
    <row r="22" spans="1:5" ht="15.6">
      <c r="A22" s="22" t="s">
        <v>145</v>
      </c>
      <c r="B22" s="22" t="s">
        <v>40</v>
      </c>
      <c r="C22" s="53">
        <v>205</v>
      </c>
      <c r="D22" s="61">
        <v>8000</v>
      </c>
      <c r="E22" s="55">
        <f t="shared" si="0"/>
        <v>1640000</v>
      </c>
    </row>
    <row r="23" spans="1:5" ht="15.6" hidden="1">
      <c r="A23" s="22" t="s">
        <v>97</v>
      </c>
      <c r="B23" s="22" t="s">
        <v>3</v>
      </c>
      <c r="C23" s="53">
        <v>0</v>
      </c>
      <c r="D23" s="61"/>
      <c r="E23" s="55">
        <f t="shared" si="0"/>
        <v>0</v>
      </c>
    </row>
    <row r="24" spans="1:5" ht="15.6">
      <c r="A24" s="22" t="s">
        <v>18</v>
      </c>
      <c r="B24" s="22" t="s">
        <v>3</v>
      </c>
      <c r="C24" s="53">
        <v>40</v>
      </c>
      <c r="D24" s="61">
        <v>11000</v>
      </c>
      <c r="E24" s="55">
        <f t="shared" si="0"/>
        <v>440000</v>
      </c>
    </row>
    <row r="25" spans="1:5" ht="15.6" hidden="1">
      <c r="A25" s="22" t="s">
        <v>18</v>
      </c>
      <c r="B25" s="22" t="s">
        <v>17</v>
      </c>
      <c r="C25" s="53">
        <v>0</v>
      </c>
      <c r="D25" s="61"/>
      <c r="E25" s="55">
        <f t="shared" si="0"/>
        <v>0</v>
      </c>
    </row>
    <row r="26" spans="1:5" ht="15.6" hidden="1">
      <c r="A26" s="22" t="s">
        <v>18</v>
      </c>
      <c r="B26" s="22" t="s">
        <v>19</v>
      </c>
      <c r="C26" s="53">
        <v>0</v>
      </c>
      <c r="D26" s="61"/>
      <c r="E26" s="55">
        <f t="shared" si="0"/>
        <v>0</v>
      </c>
    </row>
    <row r="27" spans="1:5" ht="15.6">
      <c r="A27" s="22" t="s">
        <v>20</v>
      </c>
      <c r="B27" s="22" t="s">
        <v>3</v>
      </c>
      <c r="C27" s="53">
        <v>30</v>
      </c>
      <c r="D27" s="61">
        <v>12000</v>
      </c>
      <c r="E27" s="55">
        <f t="shared" si="0"/>
        <v>360000</v>
      </c>
    </row>
    <row r="28" spans="1:5" ht="15.6" hidden="1">
      <c r="A28" s="22" t="s">
        <v>20</v>
      </c>
      <c r="B28" s="22" t="s">
        <v>21</v>
      </c>
      <c r="C28" s="53">
        <v>0</v>
      </c>
      <c r="D28" s="61"/>
      <c r="E28" s="55">
        <f t="shared" si="0"/>
        <v>0</v>
      </c>
    </row>
    <row r="29" spans="1:5" ht="15.6">
      <c r="A29" s="22" t="s">
        <v>22</v>
      </c>
      <c r="B29" s="22" t="s">
        <v>3</v>
      </c>
      <c r="C29" s="53">
        <v>4</v>
      </c>
      <c r="D29" s="61">
        <v>20000</v>
      </c>
      <c r="E29" s="55">
        <f t="shared" si="0"/>
        <v>80000</v>
      </c>
    </row>
    <row r="30" spans="1:5" ht="15.6">
      <c r="A30" s="22" t="s">
        <v>22</v>
      </c>
      <c r="B30" s="22" t="s">
        <v>23</v>
      </c>
      <c r="C30" s="53">
        <v>107</v>
      </c>
      <c r="D30" s="61">
        <v>6000</v>
      </c>
      <c r="E30" s="55">
        <f t="shared" si="0"/>
        <v>642000</v>
      </c>
    </row>
    <row r="31" spans="1:5" ht="15.6" hidden="1">
      <c r="A31" s="22" t="s">
        <v>24</v>
      </c>
      <c r="B31" s="22" t="s">
        <v>25</v>
      </c>
      <c r="C31" s="53">
        <v>0</v>
      </c>
      <c r="D31" s="61"/>
      <c r="E31" s="55">
        <f t="shared" si="0"/>
        <v>0</v>
      </c>
    </row>
    <row r="32" spans="1:5" ht="15.6" hidden="1">
      <c r="A32" s="22" t="s">
        <v>26</v>
      </c>
      <c r="B32" s="22" t="s">
        <v>3</v>
      </c>
      <c r="C32" s="53">
        <v>0</v>
      </c>
      <c r="D32" s="61"/>
      <c r="E32" s="55">
        <f t="shared" si="0"/>
        <v>0</v>
      </c>
    </row>
    <row r="33" spans="1:5" ht="15.6" hidden="1">
      <c r="A33" s="22" t="s">
        <v>26</v>
      </c>
      <c r="B33" s="22" t="s">
        <v>27</v>
      </c>
      <c r="C33" s="53">
        <v>0</v>
      </c>
      <c r="D33" s="61"/>
      <c r="E33" s="55">
        <f t="shared" si="0"/>
        <v>0</v>
      </c>
    </row>
    <row r="34" spans="1:5" ht="15.6">
      <c r="A34" s="22" t="s">
        <v>28</v>
      </c>
      <c r="B34" s="22" t="s">
        <v>3</v>
      </c>
      <c r="C34" s="53">
        <v>380</v>
      </c>
      <c r="D34" s="61">
        <v>21000</v>
      </c>
      <c r="E34" s="55">
        <f t="shared" si="0"/>
        <v>7980000</v>
      </c>
    </row>
    <row r="35" spans="1:5" ht="15.6" hidden="1">
      <c r="A35" s="22" t="s">
        <v>28</v>
      </c>
      <c r="B35" s="22" t="s">
        <v>17</v>
      </c>
      <c r="C35" s="53">
        <v>0</v>
      </c>
      <c r="D35" s="61"/>
      <c r="E35" s="55">
        <f t="shared" si="0"/>
        <v>0</v>
      </c>
    </row>
    <row r="36" spans="1:5" ht="15.6">
      <c r="A36" s="22" t="s">
        <v>29</v>
      </c>
      <c r="B36" s="22" t="s">
        <v>30</v>
      </c>
      <c r="C36" s="53">
        <v>90</v>
      </c>
      <c r="D36" s="61">
        <v>16000</v>
      </c>
      <c r="E36" s="55">
        <f t="shared" si="0"/>
        <v>1440000</v>
      </c>
    </row>
    <row r="37" spans="1:5" ht="15.6">
      <c r="A37" s="22" t="s">
        <v>31</v>
      </c>
      <c r="B37" s="22" t="s">
        <v>3</v>
      </c>
      <c r="C37" s="53">
        <v>320</v>
      </c>
      <c r="D37" s="61">
        <v>6500</v>
      </c>
      <c r="E37" s="55">
        <f t="shared" si="0"/>
        <v>2080000</v>
      </c>
    </row>
    <row r="38" spans="1:5" ht="15.6" hidden="1">
      <c r="A38" s="22" t="s">
        <v>31</v>
      </c>
      <c r="B38" s="22" t="s">
        <v>30</v>
      </c>
      <c r="C38" s="53">
        <v>0</v>
      </c>
      <c r="D38" s="61"/>
      <c r="E38" s="55">
        <f t="shared" si="0"/>
        <v>0</v>
      </c>
    </row>
    <row r="39" spans="1:5" ht="15.6" hidden="1">
      <c r="A39" s="22" t="s">
        <v>32</v>
      </c>
      <c r="B39" s="22" t="s">
        <v>3</v>
      </c>
      <c r="C39" s="53">
        <v>0</v>
      </c>
      <c r="D39" s="61"/>
      <c r="E39" s="55">
        <f t="shared" si="0"/>
        <v>0</v>
      </c>
    </row>
    <row r="40" spans="1:5" ht="15.6">
      <c r="A40" s="22" t="s">
        <v>32</v>
      </c>
      <c r="B40" s="22" t="s">
        <v>17</v>
      </c>
      <c r="C40" s="53">
        <v>6</v>
      </c>
      <c r="D40" s="61">
        <v>5500</v>
      </c>
      <c r="E40" s="55">
        <f t="shared" si="0"/>
        <v>33000</v>
      </c>
    </row>
    <row r="41" spans="1:5" ht="15.6">
      <c r="A41" s="22" t="s">
        <v>33</v>
      </c>
      <c r="B41" s="22" t="s">
        <v>3</v>
      </c>
      <c r="C41" s="53">
        <v>73</v>
      </c>
      <c r="D41" s="61">
        <v>8000</v>
      </c>
      <c r="E41" s="55">
        <f t="shared" si="0"/>
        <v>584000</v>
      </c>
    </row>
    <row r="42" spans="1:5" ht="15.6">
      <c r="A42" s="22" t="s">
        <v>33</v>
      </c>
      <c r="B42" s="22" t="s">
        <v>34</v>
      </c>
      <c r="C42" s="53">
        <v>35</v>
      </c>
      <c r="D42" s="61">
        <v>5500</v>
      </c>
      <c r="E42" s="55">
        <f t="shared" si="0"/>
        <v>192500</v>
      </c>
    </row>
    <row r="43" spans="1:5" ht="15.6">
      <c r="A43" s="22" t="s">
        <v>35</v>
      </c>
      <c r="B43" s="22" t="s">
        <v>3</v>
      </c>
      <c r="C43" s="53">
        <v>5</v>
      </c>
      <c r="D43" s="61">
        <v>12000</v>
      </c>
      <c r="E43" s="55">
        <f t="shared" si="0"/>
        <v>60000</v>
      </c>
    </row>
    <row r="44" spans="1:5" ht="15.6" hidden="1">
      <c r="A44" s="22" t="s">
        <v>35</v>
      </c>
      <c r="B44" s="22" t="s">
        <v>30</v>
      </c>
      <c r="C44" s="53">
        <v>0</v>
      </c>
      <c r="D44" s="61"/>
      <c r="E44" s="55">
        <f t="shared" si="0"/>
        <v>0</v>
      </c>
    </row>
    <row r="45" spans="1:5" ht="15.6" hidden="1">
      <c r="A45" s="22" t="s">
        <v>36</v>
      </c>
      <c r="B45" s="22" t="s">
        <v>3</v>
      </c>
      <c r="C45" s="53">
        <v>0</v>
      </c>
      <c r="D45" s="61"/>
      <c r="E45" s="55">
        <f t="shared" si="0"/>
        <v>0</v>
      </c>
    </row>
    <row r="46" spans="1:5" ht="15.6">
      <c r="A46" s="22" t="s">
        <v>36</v>
      </c>
      <c r="B46" s="22" t="s">
        <v>30</v>
      </c>
      <c r="C46" s="53">
        <v>9</v>
      </c>
      <c r="D46" s="61">
        <v>3000</v>
      </c>
      <c r="E46" s="55">
        <f t="shared" si="0"/>
        <v>27000</v>
      </c>
    </row>
    <row r="47" spans="1:5" ht="15.6" hidden="1">
      <c r="A47" s="22" t="s">
        <v>37</v>
      </c>
      <c r="B47" s="22" t="s">
        <v>3</v>
      </c>
      <c r="C47" s="53">
        <v>0</v>
      </c>
      <c r="D47" s="61"/>
      <c r="E47" s="55">
        <f t="shared" si="0"/>
        <v>0</v>
      </c>
    </row>
    <row r="48" spans="1:5" ht="15.6">
      <c r="A48" s="22" t="s">
        <v>37</v>
      </c>
      <c r="B48" s="22" t="s">
        <v>30</v>
      </c>
      <c r="C48" s="53">
        <v>16</v>
      </c>
      <c r="D48" s="61">
        <v>3900</v>
      </c>
      <c r="E48" s="55">
        <f t="shared" si="0"/>
        <v>62400</v>
      </c>
    </row>
    <row r="49" spans="1:5" ht="15.6">
      <c r="A49" s="22" t="s">
        <v>38</v>
      </c>
      <c r="B49" s="22" t="s">
        <v>3</v>
      </c>
      <c r="C49" s="53">
        <v>1010</v>
      </c>
      <c r="D49" s="61">
        <v>4500</v>
      </c>
      <c r="E49" s="55">
        <f t="shared" si="0"/>
        <v>4545000</v>
      </c>
    </row>
    <row r="50" spans="1:5" ht="15.6" hidden="1">
      <c r="A50" s="22" t="s">
        <v>98</v>
      </c>
      <c r="B50" s="22" t="s">
        <v>3</v>
      </c>
      <c r="C50" s="53">
        <v>0</v>
      </c>
      <c r="D50" s="61"/>
      <c r="E50" s="55">
        <f t="shared" si="0"/>
        <v>0</v>
      </c>
    </row>
    <row r="51" spans="1:5" ht="15.6" hidden="1">
      <c r="A51" s="22" t="s">
        <v>99</v>
      </c>
      <c r="B51" s="22" t="s">
        <v>3</v>
      </c>
      <c r="C51" s="53">
        <v>0</v>
      </c>
      <c r="D51" s="61"/>
      <c r="E51" s="55">
        <f t="shared" si="0"/>
        <v>0</v>
      </c>
    </row>
    <row r="52" spans="1:5" ht="15.6">
      <c r="A52" s="22" t="s">
        <v>39</v>
      </c>
      <c r="B52" s="22" t="s">
        <v>3</v>
      </c>
      <c r="C52" s="53">
        <v>93</v>
      </c>
      <c r="D52" s="61">
        <v>11000</v>
      </c>
      <c r="E52" s="55">
        <f t="shared" si="0"/>
        <v>1023000</v>
      </c>
    </row>
    <row r="53" spans="1:5" ht="15.6">
      <c r="A53" s="22" t="s">
        <v>39</v>
      </c>
      <c r="B53" s="22" t="s">
        <v>40</v>
      </c>
      <c r="C53" s="53">
        <v>160</v>
      </c>
      <c r="D53" s="61">
        <v>7000</v>
      </c>
      <c r="E53" s="55">
        <f t="shared" si="0"/>
        <v>1120000</v>
      </c>
    </row>
    <row r="54" spans="1:5" ht="15.6" hidden="1">
      <c r="A54" s="22" t="s">
        <v>100</v>
      </c>
      <c r="B54" s="22" t="s">
        <v>3</v>
      </c>
      <c r="C54" s="53">
        <v>0</v>
      </c>
      <c r="D54" s="61"/>
      <c r="E54" s="55">
        <f t="shared" si="0"/>
        <v>0</v>
      </c>
    </row>
    <row r="55" spans="1:5" ht="15.6">
      <c r="A55" s="22" t="s">
        <v>41</v>
      </c>
      <c r="B55" s="22" t="s">
        <v>3</v>
      </c>
      <c r="C55" s="53">
        <v>10</v>
      </c>
      <c r="D55" s="61">
        <v>14000</v>
      </c>
      <c r="E55" s="55">
        <f t="shared" si="0"/>
        <v>140000</v>
      </c>
    </row>
    <row r="56" spans="1:5" ht="15.6">
      <c r="A56" s="22" t="s">
        <v>42</v>
      </c>
      <c r="B56" s="22" t="s">
        <v>25</v>
      </c>
      <c r="C56" s="53">
        <v>20</v>
      </c>
      <c r="D56" s="61">
        <v>10000</v>
      </c>
      <c r="E56" s="55">
        <f t="shared" si="0"/>
        <v>200000</v>
      </c>
    </row>
    <row r="57" spans="1:5" ht="15.6" hidden="1">
      <c r="A57" s="22" t="s">
        <v>42</v>
      </c>
      <c r="B57" s="22" t="s">
        <v>3</v>
      </c>
      <c r="C57" s="53">
        <v>0</v>
      </c>
      <c r="D57" s="61"/>
      <c r="E57" s="55">
        <f t="shared" si="0"/>
        <v>0</v>
      </c>
    </row>
    <row r="58" spans="1:5" ht="15.6" hidden="1">
      <c r="A58" s="22" t="s">
        <v>44</v>
      </c>
      <c r="B58" s="22" t="s">
        <v>3</v>
      </c>
      <c r="C58" s="53">
        <v>0</v>
      </c>
      <c r="D58" s="61"/>
      <c r="E58" s="55">
        <f t="shared" si="0"/>
        <v>0</v>
      </c>
    </row>
    <row r="59" spans="1:5" ht="15.6">
      <c r="A59" s="22" t="s">
        <v>45</v>
      </c>
      <c r="B59" s="22" t="s">
        <v>3</v>
      </c>
      <c r="C59" s="53">
        <v>38</v>
      </c>
      <c r="D59" s="61">
        <v>9000</v>
      </c>
      <c r="E59" s="55">
        <f t="shared" si="0"/>
        <v>342000</v>
      </c>
    </row>
    <row r="60" spans="1:5" ht="15.6" hidden="1">
      <c r="A60" s="22" t="s">
        <v>45</v>
      </c>
      <c r="B60" s="22" t="s">
        <v>30</v>
      </c>
      <c r="C60" s="53">
        <v>0</v>
      </c>
      <c r="D60" s="61"/>
      <c r="E60" s="55">
        <f t="shared" si="0"/>
        <v>0</v>
      </c>
    </row>
    <row r="61" spans="1:5" ht="15.6">
      <c r="A61" s="22" t="s">
        <v>46</v>
      </c>
      <c r="B61" s="22" t="s">
        <v>3</v>
      </c>
      <c r="C61" s="53">
        <v>9</v>
      </c>
      <c r="D61" s="61">
        <v>18000</v>
      </c>
      <c r="E61" s="55">
        <f t="shared" si="0"/>
        <v>162000</v>
      </c>
    </row>
    <row r="62" spans="1:5" ht="15.6">
      <c r="A62" s="22" t="s">
        <v>47</v>
      </c>
      <c r="B62" s="22" t="s">
        <v>3</v>
      </c>
      <c r="C62" s="53">
        <v>300</v>
      </c>
      <c r="D62" s="61">
        <v>8000</v>
      </c>
      <c r="E62" s="55">
        <f t="shared" si="0"/>
        <v>2400000</v>
      </c>
    </row>
    <row r="63" spans="1:5" ht="15.6" hidden="1">
      <c r="A63" s="22" t="s">
        <v>47</v>
      </c>
      <c r="B63" s="22" t="s">
        <v>48</v>
      </c>
      <c r="C63" s="53">
        <v>0</v>
      </c>
      <c r="D63" s="61"/>
      <c r="E63" s="55">
        <f t="shared" si="0"/>
        <v>0</v>
      </c>
    </row>
    <row r="64" spans="1:5" ht="15.6" hidden="1">
      <c r="A64" s="22" t="s">
        <v>134</v>
      </c>
      <c r="B64" s="22" t="s">
        <v>3</v>
      </c>
      <c r="C64" s="53">
        <v>0</v>
      </c>
      <c r="D64" s="61"/>
      <c r="E64" s="55">
        <f t="shared" si="0"/>
        <v>0</v>
      </c>
    </row>
    <row r="65" spans="1:5" ht="15.6">
      <c r="A65" s="22" t="s">
        <v>49</v>
      </c>
      <c r="B65" s="22" t="s">
        <v>30</v>
      </c>
      <c r="C65" s="53">
        <v>300</v>
      </c>
      <c r="D65" s="61">
        <v>1800</v>
      </c>
      <c r="E65" s="55">
        <f t="shared" si="0"/>
        <v>540000</v>
      </c>
    </row>
    <row r="66" spans="1:5" ht="15.6">
      <c r="A66" s="22" t="s">
        <v>50</v>
      </c>
      <c r="B66" s="22" t="s">
        <v>3</v>
      </c>
      <c r="C66" s="53">
        <v>2375</v>
      </c>
      <c r="D66" s="61">
        <v>25000</v>
      </c>
      <c r="E66" s="55">
        <f t="shared" si="0"/>
        <v>59375000</v>
      </c>
    </row>
    <row r="67" spans="1:5" ht="15.6">
      <c r="A67" s="22" t="s">
        <v>51</v>
      </c>
      <c r="B67" s="22" t="s">
        <v>3</v>
      </c>
      <c r="C67" s="53">
        <v>680</v>
      </c>
      <c r="D67" s="61">
        <v>25000</v>
      </c>
      <c r="E67" s="55">
        <f t="shared" si="0"/>
        <v>17000000</v>
      </c>
    </row>
    <row r="68" spans="1:5" ht="15.6">
      <c r="A68" s="22" t="s">
        <v>53</v>
      </c>
      <c r="B68" s="22" t="s">
        <v>3</v>
      </c>
      <c r="C68" s="53">
        <v>210</v>
      </c>
      <c r="D68" s="61">
        <v>16000</v>
      </c>
      <c r="E68" s="55">
        <f t="shared" ref="E68:E127" si="1">C68*D68</f>
        <v>3360000</v>
      </c>
    </row>
    <row r="69" spans="1:5" ht="15.6">
      <c r="A69" s="22" t="s">
        <v>54</v>
      </c>
      <c r="B69" s="22" t="s">
        <v>3</v>
      </c>
      <c r="C69" s="53">
        <v>20</v>
      </c>
      <c r="D69" s="61">
        <v>26000</v>
      </c>
      <c r="E69" s="55">
        <f t="shared" si="1"/>
        <v>520000</v>
      </c>
    </row>
    <row r="70" spans="1:5" ht="15.6" hidden="1">
      <c r="A70" s="22" t="s">
        <v>55</v>
      </c>
      <c r="B70" s="22" t="s">
        <v>3</v>
      </c>
      <c r="C70" s="53">
        <v>0</v>
      </c>
      <c r="D70" s="61"/>
      <c r="E70" s="55">
        <f t="shared" si="1"/>
        <v>0</v>
      </c>
    </row>
    <row r="71" spans="1:5" ht="15.6" hidden="1">
      <c r="A71" s="62" t="s">
        <v>108</v>
      </c>
      <c r="B71" s="62" t="s">
        <v>3</v>
      </c>
      <c r="C71" s="53">
        <v>0</v>
      </c>
      <c r="D71" s="61"/>
      <c r="E71" s="55">
        <f t="shared" si="1"/>
        <v>0</v>
      </c>
    </row>
    <row r="72" spans="1:5" ht="15.6" hidden="1">
      <c r="A72" s="62" t="s">
        <v>108</v>
      </c>
      <c r="B72" s="62" t="s">
        <v>30</v>
      </c>
      <c r="C72" s="53">
        <v>0</v>
      </c>
      <c r="D72" s="61"/>
      <c r="E72" s="55">
        <f t="shared" si="1"/>
        <v>0</v>
      </c>
    </row>
    <row r="73" spans="1:5" ht="15.6">
      <c r="A73" s="62" t="s">
        <v>56</v>
      </c>
      <c r="B73" s="62" t="s">
        <v>3</v>
      </c>
      <c r="C73" s="53">
        <v>440</v>
      </c>
      <c r="D73" s="61">
        <v>13000</v>
      </c>
      <c r="E73" s="55">
        <f t="shared" si="1"/>
        <v>5720000</v>
      </c>
    </row>
    <row r="74" spans="1:5" ht="15.6" hidden="1">
      <c r="A74" s="22" t="s">
        <v>56</v>
      </c>
      <c r="B74" s="22" t="s">
        <v>30</v>
      </c>
      <c r="C74" s="53">
        <v>0</v>
      </c>
      <c r="D74" s="61"/>
      <c r="E74" s="55">
        <f t="shared" si="1"/>
        <v>0</v>
      </c>
    </row>
    <row r="75" spans="1:5" ht="15.6">
      <c r="A75" s="22" t="s">
        <v>57</v>
      </c>
      <c r="B75" s="22" t="s">
        <v>30</v>
      </c>
      <c r="C75" s="53">
        <v>590</v>
      </c>
      <c r="D75" s="61">
        <v>5850</v>
      </c>
      <c r="E75" s="55">
        <f t="shared" si="1"/>
        <v>3451500</v>
      </c>
    </row>
    <row r="76" spans="1:5" ht="15.6" hidden="1">
      <c r="A76" s="22" t="s">
        <v>58</v>
      </c>
      <c r="B76" s="22" t="s">
        <v>3</v>
      </c>
      <c r="C76" s="53">
        <v>0</v>
      </c>
      <c r="D76" s="61"/>
      <c r="E76" s="55">
        <f t="shared" si="1"/>
        <v>0</v>
      </c>
    </row>
    <row r="77" spans="1:5" ht="15.6">
      <c r="A77" s="22" t="s">
        <v>59</v>
      </c>
      <c r="B77" s="22" t="s">
        <v>30</v>
      </c>
      <c r="C77" s="53">
        <v>17</v>
      </c>
      <c r="D77" s="61">
        <v>6500</v>
      </c>
      <c r="E77" s="55">
        <f t="shared" si="1"/>
        <v>110500</v>
      </c>
    </row>
    <row r="78" spans="1:5" ht="15.6" hidden="1">
      <c r="A78" s="22" t="s">
        <v>60</v>
      </c>
      <c r="B78" s="22" t="s">
        <v>3</v>
      </c>
      <c r="C78" s="53">
        <v>0</v>
      </c>
      <c r="D78" s="61"/>
      <c r="E78" s="55">
        <f t="shared" si="1"/>
        <v>0</v>
      </c>
    </row>
    <row r="79" spans="1:5" ht="15.6" hidden="1">
      <c r="A79" s="22" t="s">
        <v>60</v>
      </c>
      <c r="B79" s="22" t="s">
        <v>30</v>
      </c>
      <c r="C79" s="53">
        <v>0</v>
      </c>
      <c r="D79" s="61"/>
      <c r="E79" s="55">
        <f t="shared" si="1"/>
        <v>0</v>
      </c>
    </row>
    <row r="80" spans="1:5" ht="15.6">
      <c r="A80" s="22" t="s">
        <v>60</v>
      </c>
      <c r="B80" s="22" t="s">
        <v>61</v>
      </c>
      <c r="C80" s="53">
        <v>34</v>
      </c>
      <c r="D80" s="61">
        <v>6500</v>
      </c>
      <c r="E80" s="55">
        <f t="shared" si="1"/>
        <v>221000</v>
      </c>
    </row>
    <row r="81" spans="1:5" ht="15.6" hidden="1">
      <c r="A81" s="22" t="s">
        <v>62</v>
      </c>
      <c r="B81" s="22" t="s">
        <v>3</v>
      </c>
      <c r="C81" s="53">
        <v>0</v>
      </c>
      <c r="D81" s="61"/>
      <c r="E81" s="55">
        <f t="shared" si="1"/>
        <v>0</v>
      </c>
    </row>
    <row r="82" spans="1:5" ht="15.6" hidden="1">
      <c r="A82" s="22" t="s">
        <v>119</v>
      </c>
      <c r="B82" s="22" t="s">
        <v>3</v>
      </c>
      <c r="C82" s="53">
        <v>0</v>
      </c>
      <c r="D82" s="61"/>
      <c r="E82" s="55">
        <f t="shared" si="1"/>
        <v>0</v>
      </c>
    </row>
    <row r="83" spans="1:5" ht="15.6" hidden="1">
      <c r="A83" s="22" t="s">
        <v>63</v>
      </c>
      <c r="B83" s="22" t="s">
        <v>3</v>
      </c>
      <c r="C83" s="53">
        <v>0</v>
      </c>
      <c r="D83" s="61"/>
      <c r="E83" s="55">
        <f t="shared" si="1"/>
        <v>0</v>
      </c>
    </row>
    <row r="84" spans="1:5" ht="15.6" hidden="1">
      <c r="A84" s="22" t="s">
        <v>64</v>
      </c>
      <c r="B84" s="22" t="s">
        <v>3</v>
      </c>
      <c r="C84" s="53">
        <v>0</v>
      </c>
      <c r="D84" s="61"/>
      <c r="E84" s="55">
        <f t="shared" si="1"/>
        <v>0</v>
      </c>
    </row>
    <row r="85" spans="1:5" ht="15.6" hidden="1">
      <c r="A85" s="22" t="s">
        <v>120</v>
      </c>
      <c r="B85" s="22" t="s">
        <v>30</v>
      </c>
      <c r="C85" s="53">
        <v>0</v>
      </c>
      <c r="D85" s="61"/>
      <c r="E85" s="55">
        <f t="shared" si="1"/>
        <v>0</v>
      </c>
    </row>
    <row r="86" spans="1:5" ht="15.6" hidden="1">
      <c r="A86" s="22" t="s">
        <v>65</v>
      </c>
      <c r="B86" s="22" t="s">
        <v>3</v>
      </c>
      <c r="C86" s="53">
        <v>0</v>
      </c>
      <c r="D86" s="61"/>
      <c r="E86" s="55">
        <f t="shared" si="1"/>
        <v>0</v>
      </c>
    </row>
    <row r="87" spans="1:5" ht="15.6">
      <c r="A87" s="22" t="s">
        <v>65</v>
      </c>
      <c r="B87" s="22" t="s">
        <v>17</v>
      </c>
      <c r="C87" s="53">
        <v>1284</v>
      </c>
      <c r="D87" s="61">
        <v>8000</v>
      </c>
      <c r="E87" s="55">
        <f t="shared" si="1"/>
        <v>10272000</v>
      </c>
    </row>
    <row r="88" spans="1:5" ht="15.6">
      <c r="A88" s="22" t="s">
        <v>66</v>
      </c>
      <c r="B88" s="22" t="s">
        <v>3</v>
      </c>
      <c r="C88" s="53">
        <v>11</v>
      </c>
      <c r="D88" s="61">
        <v>16000</v>
      </c>
      <c r="E88" s="55">
        <f t="shared" si="1"/>
        <v>176000</v>
      </c>
    </row>
    <row r="89" spans="1:5" ht="15.6">
      <c r="A89" s="22" t="s">
        <v>67</v>
      </c>
      <c r="B89" s="22" t="s">
        <v>3</v>
      </c>
      <c r="C89" s="53">
        <v>41</v>
      </c>
      <c r="D89" s="61">
        <v>1300</v>
      </c>
      <c r="E89" s="55">
        <f t="shared" si="1"/>
        <v>53300</v>
      </c>
    </row>
    <row r="90" spans="1:5" ht="15.6" hidden="1">
      <c r="A90" s="22" t="s">
        <v>68</v>
      </c>
      <c r="B90" s="22" t="s">
        <v>3</v>
      </c>
      <c r="C90" s="53">
        <v>0</v>
      </c>
      <c r="D90" s="61"/>
      <c r="E90" s="55">
        <f t="shared" si="1"/>
        <v>0</v>
      </c>
    </row>
    <row r="91" spans="1:5" ht="15.6" hidden="1">
      <c r="A91" s="22" t="s">
        <v>68</v>
      </c>
      <c r="B91" s="22" t="s">
        <v>40</v>
      </c>
      <c r="C91" s="53">
        <v>0</v>
      </c>
      <c r="D91" s="61"/>
      <c r="E91" s="55">
        <f t="shared" si="1"/>
        <v>0</v>
      </c>
    </row>
    <row r="92" spans="1:5" ht="15.6" hidden="1">
      <c r="A92" s="22" t="s">
        <v>69</v>
      </c>
      <c r="B92" s="22" t="s">
        <v>3</v>
      </c>
      <c r="C92" s="53">
        <v>0</v>
      </c>
      <c r="D92" s="61"/>
      <c r="E92" s="55">
        <f t="shared" si="1"/>
        <v>0</v>
      </c>
    </row>
    <row r="93" spans="1:5" ht="15.6" hidden="1">
      <c r="A93" s="22" t="s">
        <v>70</v>
      </c>
      <c r="B93" s="22" t="s">
        <v>30</v>
      </c>
      <c r="C93" s="53">
        <v>0</v>
      </c>
      <c r="D93" s="61"/>
      <c r="E93" s="55">
        <f t="shared" si="1"/>
        <v>0</v>
      </c>
    </row>
    <row r="94" spans="1:5" ht="15.6">
      <c r="A94" s="22" t="s">
        <v>71</v>
      </c>
      <c r="B94" s="22" t="s">
        <v>3</v>
      </c>
      <c r="C94" s="53">
        <v>14</v>
      </c>
      <c r="D94" s="61">
        <v>14000</v>
      </c>
      <c r="E94" s="55">
        <f t="shared" si="1"/>
        <v>196000</v>
      </c>
    </row>
    <row r="95" spans="1:5" ht="15.6">
      <c r="A95" s="22" t="s">
        <v>160</v>
      </c>
      <c r="B95" s="22" t="s">
        <v>3</v>
      </c>
      <c r="C95" s="53">
        <v>120</v>
      </c>
      <c r="D95" s="61">
        <v>50000</v>
      </c>
      <c r="E95" s="55">
        <f t="shared" si="1"/>
        <v>6000000</v>
      </c>
    </row>
    <row r="96" spans="1:5" ht="15.6" hidden="1">
      <c r="A96" s="22" t="s">
        <v>72</v>
      </c>
      <c r="B96" s="22" t="s">
        <v>17</v>
      </c>
      <c r="C96" s="53">
        <v>0</v>
      </c>
      <c r="D96" s="61"/>
      <c r="E96" s="55">
        <f t="shared" si="1"/>
        <v>0</v>
      </c>
    </row>
    <row r="97" spans="1:5" ht="15.6" hidden="1">
      <c r="A97" s="22" t="s">
        <v>73</v>
      </c>
      <c r="B97" s="22" t="s">
        <v>25</v>
      </c>
      <c r="C97" s="53">
        <v>0</v>
      </c>
      <c r="D97" s="61"/>
      <c r="E97" s="55">
        <f t="shared" si="1"/>
        <v>0</v>
      </c>
    </row>
    <row r="98" spans="1:5" ht="15.6">
      <c r="A98" s="22" t="s">
        <v>73</v>
      </c>
      <c r="B98" s="22" t="s">
        <v>3</v>
      </c>
      <c r="C98" s="53">
        <v>6</v>
      </c>
      <c r="D98" s="61">
        <v>48000</v>
      </c>
      <c r="E98" s="55">
        <f t="shared" si="1"/>
        <v>288000</v>
      </c>
    </row>
    <row r="99" spans="1:5" ht="15.6">
      <c r="A99" s="22" t="s">
        <v>74</v>
      </c>
      <c r="B99" s="22" t="s">
        <v>3</v>
      </c>
      <c r="C99" s="53">
        <v>13</v>
      </c>
      <c r="D99" s="61">
        <v>26000</v>
      </c>
      <c r="E99" s="55">
        <f t="shared" si="1"/>
        <v>338000</v>
      </c>
    </row>
    <row r="100" spans="1:5" ht="15.6" hidden="1">
      <c r="A100" s="22" t="s">
        <v>74</v>
      </c>
      <c r="B100" s="22" t="s">
        <v>9</v>
      </c>
      <c r="C100" s="53">
        <v>0</v>
      </c>
      <c r="D100" s="61"/>
      <c r="E100" s="55">
        <f t="shared" si="1"/>
        <v>0</v>
      </c>
    </row>
    <row r="101" spans="1:5" ht="15.6" hidden="1">
      <c r="A101" s="22" t="s">
        <v>74</v>
      </c>
      <c r="B101" s="22" t="s">
        <v>179</v>
      </c>
      <c r="C101" s="53">
        <v>0</v>
      </c>
      <c r="D101" s="61"/>
      <c r="E101" s="55">
        <f t="shared" si="1"/>
        <v>0</v>
      </c>
    </row>
    <row r="102" spans="1:5" ht="15.6">
      <c r="A102" s="22" t="s">
        <v>75</v>
      </c>
      <c r="B102" s="22" t="s">
        <v>3</v>
      </c>
      <c r="C102" s="53">
        <v>40</v>
      </c>
      <c r="D102" s="61">
        <v>21000</v>
      </c>
      <c r="E102" s="55">
        <f t="shared" si="1"/>
        <v>840000</v>
      </c>
    </row>
    <row r="103" spans="1:5" ht="15.6">
      <c r="A103" s="22" t="s">
        <v>76</v>
      </c>
      <c r="B103" s="22" t="s">
        <v>3</v>
      </c>
      <c r="C103" s="53">
        <v>92</v>
      </c>
      <c r="D103" s="61">
        <v>35000</v>
      </c>
      <c r="E103" s="55">
        <f t="shared" si="1"/>
        <v>3220000</v>
      </c>
    </row>
    <row r="104" spans="1:5" ht="15.6" hidden="1">
      <c r="A104" s="22" t="s">
        <v>76</v>
      </c>
      <c r="B104" s="22" t="s">
        <v>9</v>
      </c>
      <c r="C104" s="53">
        <v>0</v>
      </c>
      <c r="D104" s="61"/>
      <c r="E104" s="55">
        <f t="shared" si="1"/>
        <v>0</v>
      </c>
    </row>
    <row r="105" spans="1:5" ht="15.6" hidden="1">
      <c r="A105" s="22" t="s">
        <v>76</v>
      </c>
      <c r="B105" s="22" t="s">
        <v>179</v>
      </c>
      <c r="C105" s="53">
        <v>0</v>
      </c>
      <c r="D105" s="61"/>
      <c r="E105" s="55">
        <f t="shared" si="1"/>
        <v>0</v>
      </c>
    </row>
    <row r="106" spans="1:5" ht="15.6">
      <c r="A106" s="22" t="s">
        <v>77</v>
      </c>
      <c r="B106" s="22" t="s">
        <v>3</v>
      </c>
      <c r="C106" s="53">
        <v>27</v>
      </c>
      <c r="D106" s="61">
        <v>30000</v>
      </c>
      <c r="E106" s="55">
        <f t="shared" si="1"/>
        <v>810000</v>
      </c>
    </row>
    <row r="107" spans="1:5" ht="15.6" hidden="1">
      <c r="A107" s="22" t="s">
        <v>78</v>
      </c>
      <c r="B107" s="22" t="s">
        <v>3</v>
      </c>
      <c r="C107" s="53">
        <v>0</v>
      </c>
      <c r="D107" s="61"/>
      <c r="E107" s="55">
        <f t="shared" si="1"/>
        <v>0</v>
      </c>
    </row>
    <row r="108" spans="1:5" ht="15.6" hidden="1">
      <c r="A108" s="22" t="s">
        <v>78</v>
      </c>
      <c r="B108" s="22" t="s">
        <v>9</v>
      </c>
      <c r="C108" s="53">
        <v>0</v>
      </c>
      <c r="D108" s="61"/>
      <c r="E108" s="55">
        <f t="shared" si="1"/>
        <v>0</v>
      </c>
    </row>
    <row r="109" spans="1:5" ht="15.6" hidden="1">
      <c r="A109" s="22" t="s">
        <v>78</v>
      </c>
      <c r="B109" s="22" t="s">
        <v>179</v>
      </c>
      <c r="C109" s="53">
        <v>0</v>
      </c>
      <c r="D109" s="61"/>
      <c r="E109" s="55">
        <f t="shared" si="1"/>
        <v>0</v>
      </c>
    </row>
    <row r="110" spans="1:5" ht="15.6">
      <c r="A110" s="22" t="s">
        <v>173</v>
      </c>
      <c r="B110" s="22" t="s">
        <v>3</v>
      </c>
      <c r="C110" s="53">
        <v>20</v>
      </c>
      <c r="D110" s="61">
        <v>25000</v>
      </c>
      <c r="E110" s="55">
        <f t="shared" si="1"/>
        <v>500000</v>
      </c>
    </row>
    <row r="111" spans="1:5" ht="15.6">
      <c r="A111" s="22" t="s">
        <v>79</v>
      </c>
      <c r="B111" s="22" t="s">
        <v>30</v>
      </c>
      <c r="C111" s="53">
        <v>55</v>
      </c>
      <c r="D111" s="61">
        <v>18000</v>
      </c>
      <c r="E111" s="55">
        <f t="shared" si="1"/>
        <v>990000</v>
      </c>
    </row>
    <row r="112" spans="1:5" ht="15.6" hidden="1">
      <c r="A112" s="22" t="s">
        <v>80</v>
      </c>
      <c r="B112" s="22" t="s">
        <v>30</v>
      </c>
      <c r="C112" s="53">
        <v>0</v>
      </c>
      <c r="D112" s="61"/>
      <c r="E112" s="55">
        <f t="shared" si="1"/>
        <v>0</v>
      </c>
    </row>
    <row r="113" spans="1:5" ht="15.6" hidden="1">
      <c r="A113" s="22" t="s">
        <v>121</v>
      </c>
      <c r="B113" s="22" t="s">
        <v>3</v>
      </c>
      <c r="C113" s="53">
        <v>0</v>
      </c>
      <c r="D113" s="61"/>
      <c r="E113" s="55">
        <f t="shared" si="1"/>
        <v>0</v>
      </c>
    </row>
    <row r="114" spans="1:5" ht="15.6">
      <c r="A114" s="22" t="s">
        <v>81</v>
      </c>
      <c r="B114" s="22" t="s">
        <v>9</v>
      </c>
      <c r="C114" s="53">
        <v>1882</v>
      </c>
      <c r="D114" s="61">
        <v>9000</v>
      </c>
      <c r="E114" s="55">
        <f t="shared" si="1"/>
        <v>16938000</v>
      </c>
    </row>
    <row r="115" spans="1:5" ht="15.6">
      <c r="A115" s="22" t="s">
        <v>82</v>
      </c>
      <c r="B115" s="22" t="s">
        <v>9</v>
      </c>
      <c r="C115" s="53">
        <v>375</v>
      </c>
      <c r="D115" s="61">
        <v>11361</v>
      </c>
      <c r="E115" s="55">
        <f t="shared" si="1"/>
        <v>4260375</v>
      </c>
    </row>
    <row r="116" spans="1:5" ht="15.6" hidden="1">
      <c r="A116" s="22" t="s">
        <v>84</v>
      </c>
      <c r="B116" s="22" t="s">
        <v>3</v>
      </c>
      <c r="C116" s="53">
        <v>0</v>
      </c>
      <c r="D116" s="61"/>
      <c r="E116" s="55">
        <f t="shared" si="1"/>
        <v>0</v>
      </c>
    </row>
    <row r="117" spans="1:5" ht="15.6">
      <c r="A117" s="22" t="s">
        <v>85</v>
      </c>
      <c r="B117" s="22" t="s">
        <v>3</v>
      </c>
      <c r="C117" s="53">
        <v>10</v>
      </c>
      <c r="D117" s="61">
        <v>12000</v>
      </c>
      <c r="E117" s="55">
        <f t="shared" si="1"/>
        <v>120000</v>
      </c>
    </row>
    <row r="118" spans="1:5" ht="15.6">
      <c r="A118" s="22" t="s">
        <v>87</v>
      </c>
      <c r="B118" s="22" t="s">
        <v>3</v>
      </c>
      <c r="C118" s="53">
        <v>175</v>
      </c>
      <c r="D118" s="61">
        <v>4000</v>
      </c>
      <c r="E118" s="55">
        <f t="shared" si="1"/>
        <v>700000</v>
      </c>
    </row>
    <row r="119" spans="1:5" ht="15.6" hidden="1">
      <c r="A119" s="22" t="s">
        <v>88</v>
      </c>
      <c r="B119" s="22" t="s">
        <v>3</v>
      </c>
      <c r="C119" s="53">
        <v>0</v>
      </c>
      <c r="D119" s="61"/>
      <c r="E119" s="55">
        <f t="shared" si="1"/>
        <v>0</v>
      </c>
    </row>
    <row r="120" spans="1:5" ht="15.6" hidden="1">
      <c r="A120" s="22" t="s">
        <v>122</v>
      </c>
      <c r="B120" s="22" t="s">
        <v>3</v>
      </c>
      <c r="C120" s="53">
        <v>0</v>
      </c>
      <c r="D120" s="61"/>
      <c r="E120" s="55">
        <f t="shared" si="1"/>
        <v>0</v>
      </c>
    </row>
    <row r="121" spans="1:5" ht="15.6" hidden="1">
      <c r="A121" s="22" t="s">
        <v>89</v>
      </c>
      <c r="B121" s="22" t="s">
        <v>3</v>
      </c>
      <c r="C121" s="53">
        <v>0</v>
      </c>
      <c r="D121" s="61"/>
      <c r="E121" s="55">
        <f t="shared" si="1"/>
        <v>0</v>
      </c>
    </row>
    <row r="122" spans="1:5" ht="15.6" hidden="1">
      <c r="A122" s="22" t="s">
        <v>90</v>
      </c>
      <c r="B122" s="22" t="s">
        <v>40</v>
      </c>
      <c r="C122" s="53">
        <v>0</v>
      </c>
      <c r="D122" s="61"/>
      <c r="E122" s="55">
        <f t="shared" si="1"/>
        <v>0</v>
      </c>
    </row>
    <row r="123" spans="1:5" ht="15.6" hidden="1">
      <c r="A123" s="22" t="s">
        <v>91</v>
      </c>
      <c r="B123" s="22" t="s">
        <v>3</v>
      </c>
      <c r="C123" s="53">
        <v>0</v>
      </c>
      <c r="D123" s="61"/>
      <c r="E123" s="55">
        <f t="shared" si="1"/>
        <v>0</v>
      </c>
    </row>
    <row r="124" spans="1:5" ht="15.6" hidden="1">
      <c r="A124" s="22" t="s">
        <v>92</v>
      </c>
      <c r="B124" s="22" t="s">
        <v>40</v>
      </c>
      <c r="C124" s="53">
        <v>0</v>
      </c>
      <c r="D124" s="61"/>
      <c r="E124" s="55">
        <f t="shared" si="1"/>
        <v>0</v>
      </c>
    </row>
    <row r="125" spans="1:5" ht="15.6" hidden="1">
      <c r="A125" s="22" t="s">
        <v>93</v>
      </c>
      <c r="B125" s="22" t="s">
        <v>3</v>
      </c>
      <c r="C125" s="53">
        <v>0</v>
      </c>
      <c r="D125" s="61"/>
      <c r="E125" s="55">
        <f t="shared" si="1"/>
        <v>0</v>
      </c>
    </row>
    <row r="126" spans="1:5" ht="15.6" hidden="1">
      <c r="A126" s="22" t="s">
        <v>94</v>
      </c>
      <c r="B126" s="22" t="s">
        <v>3</v>
      </c>
      <c r="C126" s="53">
        <v>0</v>
      </c>
      <c r="D126" s="61"/>
      <c r="E126" s="55">
        <f t="shared" si="1"/>
        <v>0</v>
      </c>
    </row>
    <row r="127" spans="1:5" ht="15.6">
      <c r="A127" s="22" t="s">
        <v>95</v>
      </c>
      <c r="B127" s="22" t="s">
        <v>40</v>
      </c>
      <c r="C127" s="53">
        <v>410</v>
      </c>
      <c r="D127" s="61">
        <v>7000</v>
      </c>
      <c r="E127" s="55">
        <f t="shared" si="1"/>
        <v>2870000</v>
      </c>
    </row>
    <row r="128" spans="1:5">
      <c r="E128" s="51">
        <f>SUM(E3:E127)</f>
        <v>178262353</v>
      </c>
    </row>
  </sheetData>
  <autoFilter ref="A2:E127">
    <filterColumn colId="2">
      <filters>
        <filter val="1,010"/>
        <filter val="1,160"/>
        <filter val="1,284"/>
        <filter val="1,882"/>
        <filter val="10"/>
        <filter val="107"/>
        <filter val="11"/>
        <filter val="113"/>
        <filter val="120"/>
        <filter val="13"/>
        <filter val="14"/>
        <filter val="16"/>
        <filter val="160"/>
        <filter val="17"/>
        <filter val="175"/>
        <filter val="2,375"/>
        <filter val="20"/>
        <filter val="205"/>
        <filter val="210"/>
        <filter val="27"/>
        <filter val="30"/>
        <filter val="300"/>
        <filter val="320"/>
        <filter val="34"/>
        <filter val="35"/>
        <filter val="375"/>
        <filter val="38"/>
        <filter val="380"/>
        <filter val="4"/>
        <filter val="40"/>
        <filter val="41"/>
        <filter val="410"/>
        <filter val="440"/>
        <filter val="5"/>
        <filter val="50"/>
        <filter val="55"/>
        <filter val="590"/>
        <filter val="6"/>
        <filter val="680"/>
        <filter val="7"/>
        <filter val="73"/>
        <filter val="846"/>
        <filter val="9"/>
        <filter val="90"/>
        <filter val="92"/>
        <filter val="93"/>
      </filters>
    </filterColumn>
  </autoFilter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113"/>
  <sheetViews>
    <sheetView workbookViewId="0">
      <selection activeCell="J99" sqref="J99"/>
    </sheetView>
  </sheetViews>
  <sheetFormatPr defaultRowHeight="13.8"/>
  <cols>
    <col min="1" max="1" width="26.5" customWidth="1"/>
    <col min="4" max="4" width="11.8984375" customWidth="1"/>
    <col min="5" max="5" width="16.296875" customWidth="1"/>
  </cols>
  <sheetData>
    <row r="1" spans="1:5">
      <c r="A1" t="s">
        <v>181</v>
      </c>
    </row>
    <row r="2" spans="1:5" ht="61.2" customHeight="1">
      <c r="A2" s="52" t="s">
        <v>106</v>
      </c>
      <c r="B2" s="52" t="s">
        <v>0</v>
      </c>
      <c r="C2" s="53" t="s">
        <v>111</v>
      </c>
      <c r="D2" s="53" t="s">
        <v>112</v>
      </c>
      <c r="E2" s="54" t="s">
        <v>113</v>
      </c>
    </row>
    <row r="3" spans="1:5" ht="15.6">
      <c r="A3" s="22" t="s">
        <v>2</v>
      </c>
      <c r="B3" s="22" t="s">
        <v>3</v>
      </c>
      <c r="C3" s="53">
        <v>25</v>
      </c>
      <c r="D3" s="53">
        <v>16000</v>
      </c>
      <c r="E3" s="55">
        <f>C3*D3</f>
        <v>400000</v>
      </c>
    </row>
    <row r="4" spans="1:5" ht="15.6">
      <c r="A4" s="22" t="s">
        <v>4</v>
      </c>
      <c r="B4" s="22" t="s">
        <v>3</v>
      </c>
      <c r="C4" s="53">
        <v>930</v>
      </c>
      <c r="D4" s="53">
        <v>5000</v>
      </c>
      <c r="E4" s="55">
        <f t="shared" ref="E4:E67" si="0">C4*D4</f>
        <v>4650000</v>
      </c>
    </row>
    <row r="5" spans="1:5" ht="15.6">
      <c r="A5" s="22" t="s">
        <v>5</v>
      </c>
      <c r="B5" s="22" t="s">
        <v>3</v>
      </c>
      <c r="C5" s="53">
        <v>226</v>
      </c>
      <c r="D5" s="53">
        <v>3000</v>
      </c>
      <c r="E5" s="55">
        <f t="shared" si="0"/>
        <v>678000</v>
      </c>
    </row>
    <row r="6" spans="1:5" ht="15.6">
      <c r="A6" s="22" t="s">
        <v>96</v>
      </c>
      <c r="B6" s="22" t="s">
        <v>3</v>
      </c>
      <c r="C6" s="53">
        <v>30</v>
      </c>
      <c r="D6" s="53">
        <v>12000</v>
      </c>
      <c r="E6" s="55">
        <f t="shared" si="0"/>
        <v>360000</v>
      </c>
    </row>
    <row r="7" spans="1:5" ht="15.6" hidden="1">
      <c r="A7" s="22" t="s">
        <v>6</v>
      </c>
      <c r="B7" s="22" t="s">
        <v>3</v>
      </c>
      <c r="C7" s="53">
        <v>0</v>
      </c>
      <c r="D7" s="53"/>
      <c r="E7" s="55">
        <f t="shared" si="0"/>
        <v>0</v>
      </c>
    </row>
    <row r="8" spans="1:5" ht="15.6">
      <c r="A8" s="22" t="s">
        <v>7</v>
      </c>
      <c r="B8" s="22" t="s">
        <v>3</v>
      </c>
      <c r="C8" s="53">
        <v>565</v>
      </c>
      <c r="D8" s="53">
        <v>9000</v>
      </c>
      <c r="E8" s="55">
        <f t="shared" si="0"/>
        <v>5085000</v>
      </c>
    </row>
    <row r="9" spans="1:5" ht="15.6">
      <c r="A9" s="22" t="s">
        <v>116</v>
      </c>
      <c r="B9" s="22" t="s">
        <v>3</v>
      </c>
      <c r="C9" s="53">
        <v>1.5</v>
      </c>
      <c r="D9" s="53">
        <v>25000</v>
      </c>
      <c r="E9" s="55">
        <f t="shared" si="0"/>
        <v>37500</v>
      </c>
    </row>
    <row r="10" spans="1:5" ht="15.6">
      <c r="A10" s="22" t="s">
        <v>8</v>
      </c>
      <c r="B10" s="22" t="s">
        <v>3</v>
      </c>
      <c r="C10" s="53">
        <v>60</v>
      </c>
      <c r="D10" s="53">
        <v>15000</v>
      </c>
      <c r="E10" s="55">
        <f t="shared" si="0"/>
        <v>900000</v>
      </c>
    </row>
    <row r="11" spans="1:5" ht="15.6" hidden="1">
      <c r="A11" s="22" t="s">
        <v>8</v>
      </c>
      <c r="B11" s="22" t="s">
        <v>9</v>
      </c>
      <c r="C11" s="53">
        <v>0</v>
      </c>
      <c r="D11" s="53"/>
      <c r="E11" s="55">
        <f t="shared" si="0"/>
        <v>0</v>
      </c>
    </row>
    <row r="12" spans="1:5" ht="15.6">
      <c r="A12" s="22" t="s">
        <v>10</v>
      </c>
      <c r="B12" s="22" t="s">
        <v>3</v>
      </c>
      <c r="C12" s="53">
        <v>5</v>
      </c>
      <c r="D12" s="53">
        <v>16000</v>
      </c>
      <c r="E12" s="55">
        <f t="shared" si="0"/>
        <v>80000</v>
      </c>
    </row>
    <row r="13" spans="1:5" ht="15.6" hidden="1">
      <c r="A13" s="22" t="s">
        <v>10</v>
      </c>
      <c r="B13" s="22" t="s">
        <v>9</v>
      </c>
      <c r="C13" s="53">
        <v>0</v>
      </c>
      <c r="D13" s="53"/>
      <c r="E13" s="55">
        <f t="shared" si="0"/>
        <v>0</v>
      </c>
    </row>
    <row r="14" spans="1:5" ht="15.6" hidden="1">
      <c r="A14" s="22" t="s">
        <v>131</v>
      </c>
      <c r="B14" s="22" t="s">
        <v>3</v>
      </c>
      <c r="C14" s="53">
        <v>0</v>
      </c>
      <c r="D14" s="53"/>
      <c r="E14" s="55">
        <f t="shared" si="0"/>
        <v>0</v>
      </c>
    </row>
    <row r="15" spans="1:5" ht="15.6">
      <c r="A15" s="22" t="s">
        <v>12</v>
      </c>
      <c r="B15" s="22" t="s">
        <v>3</v>
      </c>
      <c r="C15" s="53">
        <v>5</v>
      </c>
      <c r="D15" s="53">
        <v>12000</v>
      </c>
      <c r="E15" s="55">
        <f t="shared" si="0"/>
        <v>60000</v>
      </c>
    </row>
    <row r="16" spans="1:5" ht="15.6" hidden="1">
      <c r="A16" s="63" t="s">
        <v>14</v>
      </c>
      <c r="B16" s="22" t="s">
        <v>3</v>
      </c>
      <c r="C16" s="53">
        <v>0</v>
      </c>
      <c r="D16" s="53"/>
      <c r="E16" s="55">
        <f t="shared" si="0"/>
        <v>0</v>
      </c>
    </row>
    <row r="17" spans="1:5" ht="15.6">
      <c r="A17" s="63" t="s">
        <v>15</v>
      </c>
      <c r="B17" s="22" t="s">
        <v>3</v>
      </c>
      <c r="C17" s="53">
        <v>76</v>
      </c>
      <c r="D17" s="53">
        <v>25000</v>
      </c>
      <c r="E17" s="55">
        <f t="shared" si="0"/>
        <v>1900000</v>
      </c>
    </row>
    <row r="18" spans="1:5" ht="15.6">
      <c r="A18" s="22" t="s">
        <v>16</v>
      </c>
      <c r="B18" s="22" t="s">
        <v>17</v>
      </c>
      <c r="C18" s="53">
        <v>8</v>
      </c>
      <c r="D18" s="53">
        <v>6000</v>
      </c>
      <c r="E18" s="55">
        <f t="shared" si="0"/>
        <v>48000</v>
      </c>
    </row>
    <row r="19" spans="1:5" ht="15.6">
      <c r="A19" s="63" t="s">
        <v>145</v>
      </c>
      <c r="B19" s="22" t="s">
        <v>40</v>
      </c>
      <c r="C19" s="53">
        <v>510</v>
      </c>
      <c r="D19" s="53">
        <v>8000</v>
      </c>
      <c r="E19" s="55">
        <f t="shared" si="0"/>
        <v>4080000</v>
      </c>
    </row>
    <row r="20" spans="1:5" ht="15.6">
      <c r="A20" s="63" t="s">
        <v>97</v>
      </c>
      <c r="B20" s="22" t="s">
        <v>3</v>
      </c>
      <c r="C20" s="53">
        <v>30</v>
      </c>
      <c r="D20" s="53">
        <v>18000</v>
      </c>
      <c r="E20" s="55">
        <f t="shared" si="0"/>
        <v>540000</v>
      </c>
    </row>
    <row r="21" spans="1:5" ht="15.6">
      <c r="A21" s="22" t="s">
        <v>18</v>
      </c>
      <c r="B21" s="22" t="s">
        <v>3</v>
      </c>
      <c r="C21" s="53">
        <v>100</v>
      </c>
      <c r="D21" s="53">
        <v>11000</v>
      </c>
      <c r="E21" s="55">
        <f t="shared" si="0"/>
        <v>1100000</v>
      </c>
    </row>
    <row r="22" spans="1:5" ht="15.6" hidden="1">
      <c r="A22" s="22" t="s">
        <v>18</v>
      </c>
      <c r="B22" s="22" t="s">
        <v>19</v>
      </c>
      <c r="C22" s="53">
        <v>0</v>
      </c>
      <c r="D22" s="53"/>
      <c r="E22" s="55">
        <f t="shared" si="0"/>
        <v>0</v>
      </c>
    </row>
    <row r="23" spans="1:5" ht="15.6">
      <c r="A23" s="22" t="s">
        <v>20</v>
      </c>
      <c r="B23" s="22" t="s">
        <v>3</v>
      </c>
      <c r="C23" s="53">
        <v>31</v>
      </c>
      <c r="D23" s="53">
        <v>12000</v>
      </c>
      <c r="E23" s="55">
        <f t="shared" si="0"/>
        <v>372000</v>
      </c>
    </row>
    <row r="24" spans="1:5" ht="15.6" hidden="1">
      <c r="A24" s="22" t="s">
        <v>20</v>
      </c>
      <c r="B24" s="22" t="s">
        <v>21</v>
      </c>
      <c r="C24" s="53">
        <v>0</v>
      </c>
      <c r="D24" s="53"/>
      <c r="E24" s="55">
        <f t="shared" si="0"/>
        <v>0</v>
      </c>
    </row>
    <row r="25" spans="1:5" ht="15.6">
      <c r="A25" s="22" t="s">
        <v>22</v>
      </c>
      <c r="B25" s="22" t="s">
        <v>3</v>
      </c>
      <c r="C25" s="53">
        <v>9</v>
      </c>
      <c r="D25" s="53">
        <v>20000</v>
      </c>
      <c r="E25" s="55">
        <f t="shared" si="0"/>
        <v>180000</v>
      </c>
    </row>
    <row r="26" spans="1:5" ht="15.6">
      <c r="A26" s="22" t="s">
        <v>22</v>
      </c>
      <c r="B26" s="22" t="s">
        <v>23</v>
      </c>
      <c r="C26" s="53">
        <v>56</v>
      </c>
      <c r="D26" s="53">
        <v>6000</v>
      </c>
      <c r="E26" s="55">
        <f t="shared" si="0"/>
        <v>336000</v>
      </c>
    </row>
    <row r="27" spans="1:5" ht="15.6">
      <c r="A27" s="22" t="s">
        <v>24</v>
      </c>
      <c r="B27" s="22" t="s">
        <v>25</v>
      </c>
      <c r="C27" s="53">
        <v>10</v>
      </c>
      <c r="D27" s="53">
        <v>10200</v>
      </c>
      <c r="E27" s="55">
        <f t="shared" si="0"/>
        <v>102000</v>
      </c>
    </row>
    <row r="28" spans="1:5" ht="15.6" hidden="1">
      <c r="A28" s="22" t="s">
        <v>26</v>
      </c>
      <c r="B28" s="22" t="s">
        <v>3</v>
      </c>
      <c r="C28" s="53">
        <v>0</v>
      </c>
      <c r="D28" s="53"/>
      <c r="E28" s="55">
        <f t="shared" si="0"/>
        <v>0</v>
      </c>
    </row>
    <row r="29" spans="1:5" ht="15.6">
      <c r="A29" s="22" t="s">
        <v>26</v>
      </c>
      <c r="B29" s="22" t="s">
        <v>23</v>
      </c>
      <c r="C29" s="53">
        <v>145</v>
      </c>
      <c r="D29" s="53">
        <v>10000</v>
      </c>
      <c r="E29" s="55">
        <f t="shared" si="0"/>
        <v>1450000</v>
      </c>
    </row>
    <row r="30" spans="1:5" ht="15.6">
      <c r="A30" s="22" t="s">
        <v>26</v>
      </c>
      <c r="B30" s="22" t="s">
        <v>27</v>
      </c>
      <c r="C30" s="53">
        <v>106</v>
      </c>
      <c r="D30" s="53">
        <v>7500</v>
      </c>
      <c r="E30" s="55">
        <f t="shared" si="0"/>
        <v>795000</v>
      </c>
    </row>
    <row r="31" spans="1:5" ht="15.6" hidden="1">
      <c r="A31" s="22" t="s">
        <v>28</v>
      </c>
      <c r="B31" s="22" t="s">
        <v>17</v>
      </c>
      <c r="C31" s="53">
        <v>0</v>
      </c>
      <c r="D31" s="53"/>
      <c r="E31" s="55">
        <f t="shared" si="0"/>
        <v>0</v>
      </c>
    </row>
    <row r="32" spans="1:5" ht="15.6">
      <c r="A32" s="22" t="s">
        <v>29</v>
      </c>
      <c r="B32" s="22" t="s">
        <v>30</v>
      </c>
      <c r="C32" s="53">
        <v>180</v>
      </c>
      <c r="D32" s="53">
        <v>13000</v>
      </c>
      <c r="E32" s="55">
        <f t="shared" si="0"/>
        <v>2340000</v>
      </c>
    </row>
    <row r="33" spans="1:5" ht="15.6">
      <c r="A33" s="22" t="s">
        <v>31</v>
      </c>
      <c r="B33" s="22" t="s">
        <v>3</v>
      </c>
      <c r="C33" s="53">
        <v>220</v>
      </c>
      <c r="D33" s="53">
        <v>6500</v>
      </c>
      <c r="E33" s="55">
        <f t="shared" si="0"/>
        <v>1430000</v>
      </c>
    </row>
    <row r="34" spans="1:5" ht="15.6" hidden="1">
      <c r="A34" s="22" t="s">
        <v>31</v>
      </c>
      <c r="B34" s="22" t="s">
        <v>30</v>
      </c>
      <c r="C34" s="53">
        <v>0</v>
      </c>
      <c r="D34" s="53"/>
      <c r="E34" s="55">
        <f t="shared" si="0"/>
        <v>0</v>
      </c>
    </row>
    <row r="35" spans="1:5" ht="15.6" hidden="1">
      <c r="A35" s="22" t="s">
        <v>32</v>
      </c>
      <c r="B35" s="22" t="s">
        <v>17</v>
      </c>
      <c r="C35" s="53">
        <v>0</v>
      </c>
      <c r="D35" s="53"/>
      <c r="E35" s="55">
        <f t="shared" si="0"/>
        <v>0</v>
      </c>
    </row>
    <row r="36" spans="1:5" ht="15.6">
      <c r="A36" s="22" t="s">
        <v>33</v>
      </c>
      <c r="B36" s="22" t="s">
        <v>3</v>
      </c>
      <c r="C36" s="53">
        <v>65</v>
      </c>
      <c r="D36" s="53">
        <v>8000</v>
      </c>
      <c r="E36" s="55">
        <f t="shared" si="0"/>
        <v>520000</v>
      </c>
    </row>
    <row r="37" spans="1:5" ht="15.6" hidden="1">
      <c r="A37" s="22" t="s">
        <v>33</v>
      </c>
      <c r="B37" s="22" t="s">
        <v>34</v>
      </c>
      <c r="C37" s="53">
        <v>0</v>
      </c>
      <c r="D37" s="53"/>
      <c r="E37" s="55">
        <f t="shared" si="0"/>
        <v>0</v>
      </c>
    </row>
    <row r="38" spans="1:5" ht="15.6">
      <c r="A38" s="22" t="s">
        <v>35</v>
      </c>
      <c r="B38" s="22" t="s">
        <v>3</v>
      </c>
      <c r="C38" s="53">
        <v>14</v>
      </c>
      <c r="D38" s="53">
        <v>12000</v>
      </c>
      <c r="E38" s="55">
        <f t="shared" si="0"/>
        <v>168000</v>
      </c>
    </row>
    <row r="39" spans="1:5" ht="15.6" hidden="1">
      <c r="A39" s="22" t="s">
        <v>35</v>
      </c>
      <c r="B39" s="22" t="s">
        <v>30</v>
      </c>
      <c r="C39" s="53">
        <v>0</v>
      </c>
      <c r="D39" s="53"/>
      <c r="E39" s="55">
        <f t="shared" si="0"/>
        <v>0</v>
      </c>
    </row>
    <row r="40" spans="1:5" ht="15.6">
      <c r="A40" s="22" t="s">
        <v>36</v>
      </c>
      <c r="B40" s="22" t="s">
        <v>30</v>
      </c>
      <c r="C40" s="53">
        <v>1</v>
      </c>
      <c r="D40" s="53">
        <v>3000</v>
      </c>
      <c r="E40" s="55">
        <f t="shared" si="0"/>
        <v>3000</v>
      </c>
    </row>
    <row r="41" spans="1:5" ht="15.6">
      <c r="A41" s="22" t="s">
        <v>37</v>
      </c>
      <c r="B41" s="22" t="s">
        <v>30</v>
      </c>
      <c r="C41" s="53">
        <v>17</v>
      </c>
      <c r="D41" s="53">
        <v>3900</v>
      </c>
      <c r="E41" s="55">
        <f t="shared" si="0"/>
        <v>66300</v>
      </c>
    </row>
    <row r="42" spans="1:5" ht="15.6">
      <c r="A42" s="22" t="s">
        <v>38</v>
      </c>
      <c r="B42" s="22" t="s">
        <v>3</v>
      </c>
      <c r="C42" s="53">
        <v>910</v>
      </c>
      <c r="D42" s="53">
        <v>4500</v>
      </c>
      <c r="E42" s="55">
        <f t="shared" si="0"/>
        <v>4095000</v>
      </c>
    </row>
    <row r="43" spans="1:5" ht="15.6" hidden="1">
      <c r="A43" s="22" t="s">
        <v>98</v>
      </c>
      <c r="B43" s="22" t="s">
        <v>3</v>
      </c>
      <c r="C43" s="53">
        <v>0</v>
      </c>
      <c r="D43" s="53"/>
      <c r="E43" s="55">
        <f t="shared" si="0"/>
        <v>0</v>
      </c>
    </row>
    <row r="44" spans="1:5" ht="15.6" hidden="1">
      <c r="A44" s="22" t="s">
        <v>99</v>
      </c>
      <c r="B44" s="22" t="s">
        <v>3</v>
      </c>
      <c r="C44" s="53">
        <v>0</v>
      </c>
      <c r="D44" s="53"/>
      <c r="E44" s="55">
        <f t="shared" si="0"/>
        <v>0</v>
      </c>
    </row>
    <row r="45" spans="1:5" ht="15.6">
      <c r="A45" s="22" t="s">
        <v>39</v>
      </c>
      <c r="B45" s="22" t="s">
        <v>3</v>
      </c>
      <c r="C45" s="53">
        <v>40</v>
      </c>
      <c r="D45" s="53">
        <v>11000</v>
      </c>
      <c r="E45" s="55">
        <f t="shared" si="0"/>
        <v>440000</v>
      </c>
    </row>
    <row r="46" spans="1:5" ht="15.6">
      <c r="A46" s="22" t="s">
        <v>39</v>
      </c>
      <c r="B46" s="22" t="s">
        <v>40</v>
      </c>
      <c r="C46" s="53">
        <v>335</v>
      </c>
      <c r="D46" s="53">
        <v>6000</v>
      </c>
      <c r="E46" s="55">
        <f t="shared" si="0"/>
        <v>2010000</v>
      </c>
    </row>
    <row r="47" spans="1:5" ht="15.6" hidden="1">
      <c r="A47" s="22" t="s">
        <v>100</v>
      </c>
      <c r="B47" s="22" t="s">
        <v>3</v>
      </c>
      <c r="C47" s="53">
        <v>0</v>
      </c>
      <c r="D47" s="53"/>
      <c r="E47" s="55">
        <f t="shared" si="0"/>
        <v>0</v>
      </c>
    </row>
    <row r="48" spans="1:5" ht="15.6">
      <c r="A48" s="22" t="s">
        <v>41</v>
      </c>
      <c r="B48" s="22" t="s">
        <v>3</v>
      </c>
      <c r="C48" s="53">
        <v>18</v>
      </c>
      <c r="D48" s="53">
        <v>14000</v>
      </c>
      <c r="E48" s="55">
        <f t="shared" si="0"/>
        <v>252000</v>
      </c>
    </row>
    <row r="49" spans="1:5" ht="15.6" hidden="1">
      <c r="A49" s="22" t="s">
        <v>42</v>
      </c>
      <c r="B49" s="22" t="s">
        <v>25</v>
      </c>
      <c r="C49" s="53">
        <v>0</v>
      </c>
      <c r="D49" s="53"/>
      <c r="E49" s="55">
        <f t="shared" si="0"/>
        <v>0</v>
      </c>
    </row>
    <row r="50" spans="1:5" ht="15.6">
      <c r="A50" s="22" t="s">
        <v>44</v>
      </c>
      <c r="B50" s="22" t="s">
        <v>3</v>
      </c>
      <c r="C50" s="53">
        <v>35</v>
      </c>
      <c r="D50" s="53">
        <v>4500</v>
      </c>
      <c r="E50" s="55">
        <f t="shared" si="0"/>
        <v>157500</v>
      </c>
    </row>
    <row r="51" spans="1:5" ht="15.6">
      <c r="A51" s="22" t="s">
        <v>45</v>
      </c>
      <c r="B51" s="22" t="s">
        <v>3</v>
      </c>
      <c r="C51" s="53">
        <v>25</v>
      </c>
      <c r="D51" s="53">
        <v>9000</v>
      </c>
      <c r="E51" s="55">
        <f t="shared" si="0"/>
        <v>225000</v>
      </c>
    </row>
    <row r="52" spans="1:5" ht="15.6" hidden="1">
      <c r="A52" s="22" t="s">
        <v>45</v>
      </c>
      <c r="B52" s="22" t="s">
        <v>30</v>
      </c>
      <c r="C52" s="53">
        <v>0</v>
      </c>
      <c r="D52" s="53"/>
      <c r="E52" s="55">
        <f t="shared" si="0"/>
        <v>0</v>
      </c>
    </row>
    <row r="53" spans="1:5" ht="15.6">
      <c r="A53" s="22" t="s">
        <v>46</v>
      </c>
      <c r="B53" s="22" t="s">
        <v>3</v>
      </c>
      <c r="C53" s="53">
        <v>8</v>
      </c>
      <c r="D53" s="53">
        <v>18000</v>
      </c>
      <c r="E53" s="55">
        <f t="shared" si="0"/>
        <v>144000</v>
      </c>
    </row>
    <row r="54" spans="1:5" ht="15.6">
      <c r="A54" s="22" t="s">
        <v>47</v>
      </c>
      <c r="B54" s="22" t="s">
        <v>3</v>
      </c>
      <c r="C54" s="53">
        <v>280</v>
      </c>
      <c r="D54" s="53">
        <v>8000</v>
      </c>
      <c r="E54" s="55">
        <f t="shared" si="0"/>
        <v>2240000</v>
      </c>
    </row>
    <row r="55" spans="1:5" ht="15.6" hidden="1">
      <c r="A55" s="22" t="s">
        <v>47</v>
      </c>
      <c r="B55" s="22" t="s">
        <v>48</v>
      </c>
      <c r="C55" s="53">
        <v>0</v>
      </c>
      <c r="D55" s="53"/>
      <c r="E55" s="55">
        <f t="shared" si="0"/>
        <v>0</v>
      </c>
    </row>
    <row r="56" spans="1:5" ht="15.6">
      <c r="A56" s="22" t="s">
        <v>134</v>
      </c>
      <c r="B56" s="22" t="s">
        <v>3</v>
      </c>
      <c r="C56" s="53">
        <v>9</v>
      </c>
      <c r="D56" s="53">
        <v>22000</v>
      </c>
      <c r="E56" s="55">
        <f t="shared" si="0"/>
        <v>198000</v>
      </c>
    </row>
    <row r="57" spans="1:5" ht="15.6">
      <c r="A57" s="22" t="s">
        <v>49</v>
      </c>
      <c r="B57" s="22" t="s">
        <v>30</v>
      </c>
      <c r="C57" s="53">
        <v>310</v>
      </c>
      <c r="D57" s="53">
        <v>1800</v>
      </c>
      <c r="E57" s="55">
        <f t="shared" si="0"/>
        <v>558000</v>
      </c>
    </row>
    <row r="58" spans="1:5" ht="15.6">
      <c r="A58" s="22" t="s">
        <v>50</v>
      </c>
      <c r="B58" s="22" t="s">
        <v>3</v>
      </c>
      <c r="C58" s="53">
        <v>2115</v>
      </c>
      <c r="D58" s="53">
        <v>25000</v>
      </c>
      <c r="E58" s="55">
        <f t="shared" si="0"/>
        <v>52875000</v>
      </c>
    </row>
    <row r="59" spans="1:5" ht="15.6">
      <c r="A59" s="22" t="s">
        <v>51</v>
      </c>
      <c r="B59" s="22" t="s">
        <v>3</v>
      </c>
      <c r="C59" s="53">
        <v>540</v>
      </c>
      <c r="D59" s="53">
        <v>25000</v>
      </c>
      <c r="E59" s="55">
        <f t="shared" si="0"/>
        <v>13500000</v>
      </c>
    </row>
    <row r="60" spans="1:5" ht="15.6" hidden="1">
      <c r="A60" s="22" t="s">
        <v>51</v>
      </c>
      <c r="B60" s="22" t="s">
        <v>30</v>
      </c>
      <c r="C60" s="53">
        <v>0</v>
      </c>
      <c r="D60" s="53"/>
      <c r="E60" s="55">
        <f t="shared" si="0"/>
        <v>0</v>
      </c>
    </row>
    <row r="61" spans="1:5" ht="15.6">
      <c r="A61" s="22" t="s">
        <v>53</v>
      </c>
      <c r="B61" s="22" t="s">
        <v>3</v>
      </c>
      <c r="C61" s="53">
        <v>140</v>
      </c>
      <c r="D61" s="53">
        <v>16000</v>
      </c>
      <c r="E61" s="55">
        <f t="shared" si="0"/>
        <v>2240000</v>
      </c>
    </row>
    <row r="62" spans="1:5" ht="15.6">
      <c r="A62" s="22" t="s">
        <v>54</v>
      </c>
      <c r="B62" s="22" t="s">
        <v>3</v>
      </c>
      <c r="C62" s="53">
        <v>20</v>
      </c>
      <c r="D62" s="53">
        <v>26000</v>
      </c>
      <c r="E62" s="55">
        <f t="shared" si="0"/>
        <v>520000</v>
      </c>
    </row>
    <row r="63" spans="1:5" ht="15.6">
      <c r="A63" s="22" t="s">
        <v>108</v>
      </c>
      <c r="B63" s="22" t="s">
        <v>30</v>
      </c>
      <c r="C63" s="53">
        <v>18</v>
      </c>
      <c r="D63" s="53">
        <v>5000</v>
      </c>
      <c r="E63" s="55">
        <f t="shared" si="0"/>
        <v>90000</v>
      </c>
    </row>
    <row r="64" spans="1:5" ht="15.6">
      <c r="A64" s="22" t="s">
        <v>56</v>
      </c>
      <c r="B64" s="22" t="s">
        <v>3</v>
      </c>
      <c r="C64" s="53">
        <v>810</v>
      </c>
      <c r="D64" s="53">
        <v>13000</v>
      </c>
      <c r="E64" s="55">
        <f t="shared" si="0"/>
        <v>10530000</v>
      </c>
    </row>
    <row r="65" spans="1:5" ht="15.6" hidden="1">
      <c r="A65" s="22" t="s">
        <v>56</v>
      </c>
      <c r="B65" s="22" t="s">
        <v>30</v>
      </c>
      <c r="C65" s="53">
        <v>0</v>
      </c>
      <c r="D65" s="53"/>
      <c r="E65" s="55">
        <f t="shared" si="0"/>
        <v>0</v>
      </c>
    </row>
    <row r="66" spans="1:5" ht="15.6">
      <c r="A66" s="22" t="s">
        <v>57</v>
      </c>
      <c r="B66" s="22" t="s">
        <v>30</v>
      </c>
      <c r="C66" s="53">
        <v>480</v>
      </c>
      <c r="D66" s="53">
        <v>5400</v>
      </c>
      <c r="E66" s="55">
        <f t="shared" si="0"/>
        <v>2592000</v>
      </c>
    </row>
    <row r="67" spans="1:5" ht="15.6">
      <c r="A67" s="22" t="s">
        <v>58</v>
      </c>
      <c r="B67" s="22" t="s">
        <v>3</v>
      </c>
      <c r="C67" s="53">
        <v>3</v>
      </c>
      <c r="D67" s="53">
        <v>8000</v>
      </c>
      <c r="E67" s="55">
        <f t="shared" si="0"/>
        <v>24000</v>
      </c>
    </row>
    <row r="68" spans="1:5" ht="15.6" hidden="1">
      <c r="A68" s="22" t="s">
        <v>59</v>
      </c>
      <c r="B68" s="22" t="s">
        <v>30</v>
      </c>
      <c r="C68" s="53">
        <v>0</v>
      </c>
      <c r="D68" s="53"/>
      <c r="E68" s="55">
        <f t="shared" ref="E68:E112" si="1">C68*D68</f>
        <v>0</v>
      </c>
    </row>
    <row r="69" spans="1:5" ht="15.6" hidden="1">
      <c r="A69" s="22" t="s">
        <v>60</v>
      </c>
      <c r="B69" s="22" t="s">
        <v>3</v>
      </c>
      <c r="C69" s="53">
        <v>0</v>
      </c>
      <c r="D69" s="53"/>
      <c r="E69" s="55">
        <f t="shared" si="1"/>
        <v>0</v>
      </c>
    </row>
    <row r="70" spans="1:5" ht="15.6" hidden="1">
      <c r="A70" s="22" t="s">
        <v>60</v>
      </c>
      <c r="B70" s="22" t="s">
        <v>30</v>
      </c>
      <c r="C70" s="53">
        <v>0</v>
      </c>
      <c r="D70" s="53"/>
      <c r="E70" s="55">
        <f t="shared" si="1"/>
        <v>0</v>
      </c>
    </row>
    <row r="71" spans="1:5" ht="15.6">
      <c r="A71" s="22" t="s">
        <v>60</v>
      </c>
      <c r="B71" s="22" t="s">
        <v>61</v>
      </c>
      <c r="C71" s="53">
        <v>15</v>
      </c>
      <c r="D71" s="53">
        <v>6500</v>
      </c>
      <c r="E71" s="55">
        <f t="shared" si="1"/>
        <v>97500</v>
      </c>
    </row>
    <row r="72" spans="1:5" ht="15.6" hidden="1">
      <c r="A72" s="22" t="s">
        <v>62</v>
      </c>
      <c r="B72" s="22" t="s">
        <v>3</v>
      </c>
      <c r="C72" s="53">
        <v>0</v>
      </c>
      <c r="D72" s="53"/>
      <c r="E72" s="55">
        <f t="shared" si="1"/>
        <v>0</v>
      </c>
    </row>
    <row r="73" spans="1:5" ht="15.6">
      <c r="A73" s="22" t="s">
        <v>119</v>
      </c>
      <c r="B73" s="22" t="s">
        <v>3</v>
      </c>
      <c r="C73" s="53">
        <v>0.5</v>
      </c>
      <c r="D73" s="53">
        <v>70000</v>
      </c>
      <c r="E73" s="55">
        <f t="shared" si="1"/>
        <v>35000</v>
      </c>
    </row>
    <row r="74" spans="1:5" ht="15.6" hidden="1">
      <c r="A74" s="22" t="s">
        <v>63</v>
      </c>
      <c r="B74" s="22" t="s">
        <v>3</v>
      </c>
      <c r="C74" s="53">
        <v>0</v>
      </c>
      <c r="D74" s="53"/>
      <c r="E74" s="55">
        <f t="shared" si="1"/>
        <v>0</v>
      </c>
    </row>
    <row r="75" spans="1:5" ht="15.6" hidden="1">
      <c r="A75" s="22" t="s">
        <v>64</v>
      </c>
      <c r="B75" s="22" t="s">
        <v>3</v>
      </c>
      <c r="C75" s="53">
        <v>0</v>
      </c>
      <c r="D75" s="53"/>
      <c r="E75" s="55">
        <f t="shared" si="1"/>
        <v>0</v>
      </c>
    </row>
    <row r="76" spans="1:5" ht="15.6" hidden="1">
      <c r="A76" s="22" t="s">
        <v>65</v>
      </c>
      <c r="B76" s="22" t="s">
        <v>3</v>
      </c>
      <c r="C76" s="53">
        <v>0</v>
      </c>
      <c r="D76" s="53"/>
      <c r="E76" s="55">
        <f t="shared" si="1"/>
        <v>0</v>
      </c>
    </row>
    <row r="77" spans="1:5" ht="15.6">
      <c r="A77" s="22" t="s">
        <v>65</v>
      </c>
      <c r="B77" s="22" t="s">
        <v>17</v>
      </c>
      <c r="C77" s="53">
        <v>730</v>
      </c>
      <c r="D77" s="53">
        <v>8000</v>
      </c>
      <c r="E77" s="55">
        <f t="shared" si="1"/>
        <v>5840000</v>
      </c>
    </row>
    <row r="78" spans="1:5" ht="15.6" hidden="1">
      <c r="A78" s="22" t="s">
        <v>66</v>
      </c>
      <c r="B78" s="22" t="s">
        <v>3</v>
      </c>
      <c r="C78" s="53">
        <v>0</v>
      </c>
      <c r="D78" s="53"/>
      <c r="E78" s="55">
        <f t="shared" si="1"/>
        <v>0</v>
      </c>
    </row>
    <row r="79" spans="1:5" ht="15.6">
      <c r="A79" s="22" t="s">
        <v>67</v>
      </c>
      <c r="B79" s="22" t="s">
        <v>3</v>
      </c>
      <c r="C79" s="53">
        <v>8</v>
      </c>
      <c r="D79" s="53">
        <v>13000</v>
      </c>
      <c r="E79" s="55">
        <f t="shared" si="1"/>
        <v>104000</v>
      </c>
    </row>
    <row r="80" spans="1:5" ht="15.6">
      <c r="A80" s="22" t="s">
        <v>68</v>
      </c>
      <c r="B80" s="22" t="s">
        <v>3</v>
      </c>
      <c r="C80" s="53">
        <v>7</v>
      </c>
      <c r="D80" s="53">
        <v>11500</v>
      </c>
      <c r="E80" s="55">
        <f t="shared" si="1"/>
        <v>80500</v>
      </c>
    </row>
    <row r="81" spans="1:5" ht="15.6" hidden="1">
      <c r="A81" s="22" t="s">
        <v>68</v>
      </c>
      <c r="B81" s="22" t="s">
        <v>40</v>
      </c>
      <c r="C81" s="53">
        <v>0</v>
      </c>
      <c r="D81" s="53"/>
      <c r="E81" s="55">
        <f t="shared" si="1"/>
        <v>0</v>
      </c>
    </row>
    <row r="82" spans="1:5" ht="15.6" hidden="1">
      <c r="A82" s="22" t="s">
        <v>69</v>
      </c>
      <c r="B82" s="22" t="s">
        <v>3</v>
      </c>
      <c r="C82" s="53">
        <v>0</v>
      </c>
      <c r="D82" s="53"/>
      <c r="E82" s="55">
        <f t="shared" si="1"/>
        <v>0</v>
      </c>
    </row>
    <row r="83" spans="1:5" ht="15.6" hidden="1">
      <c r="A83" s="22" t="s">
        <v>70</v>
      </c>
      <c r="B83" s="22" t="s">
        <v>30</v>
      </c>
      <c r="C83" s="53">
        <v>0</v>
      </c>
      <c r="D83" s="53"/>
      <c r="E83" s="55">
        <f t="shared" si="1"/>
        <v>0</v>
      </c>
    </row>
    <row r="84" spans="1:5" ht="15.6">
      <c r="A84" s="22" t="s">
        <v>71</v>
      </c>
      <c r="B84" s="22" t="s">
        <v>3</v>
      </c>
      <c r="C84" s="53">
        <v>10</v>
      </c>
      <c r="D84" s="53">
        <v>14000</v>
      </c>
      <c r="E84" s="55">
        <f t="shared" si="1"/>
        <v>140000</v>
      </c>
    </row>
    <row r="85" spans="1:5" ht="15.6">
      <c r="A85" s="22" t="s">
        <v>160</v>
      </c>
      <c r="B85" s="22" t="s">
        <v>3</v>
      </c>
      <c r="C85" s="53">
        <v>120</v>
      </c>
      <c r="D85" s="53">
        <v>50000</v>
      </c>
      <c r="E85" s="55">
        <f t="shared" si="1"/>
        <v>6000000</v>
      </c>
    </row>
    <row r="86" spans="1:5" ht="15.6" hidden="1">
      <c r="A86" s="22" t="s">
        <v>160</v>
      </c>
      <c r="B86" s="22" t="s">
        <v>171</v>
      </c>
      <c r="C86" s="53">
        <v>0</v>
      </c>
      <c r="D86" s="53"/>
      <c r="E86" s="55">
        <f t="shared" si="1"/>
        <v>0</v>
      </c>
    </row>
    <row r="87" spans="1:5" ht="15.6" hidden="1">
      <c r="A87" s="22" t="s">
        <v>72</v>
      </c>
      <c r="B87" s="22" t="s">
        <v>17</v>
      </c>
      <c r="C87" s="53">
        <v>0</v>
      </c>
      <c r="D87" s="53"/>
      <c r="E87" s="55">
        <f t="shared" si="1"/>
        <v>0</v>
      </c>
    </row>
    <row r="88" spans="1:5" ht="15.6" hidden="1">
      <c r="A88" s="22" t="s">
        <v>73</v>
      </c>
      <c r="B88" s="22" t="s">
        <v>25</v>
      </c>
      <c r="C88" s="53">
        <v>0</v>
      </c>
      <c r="D88" s="53"/>
      <c r="E88" s="55">
        <f t="shared" si="1"/>
        <v>0</v>
      </c>
    </row>
    <row r="89" spans="1:5" ht="15.6">
      <c r="A89" s="22" t="s">
        <v>73</v>
      </c>
      <c r="B89" s="22" t="s">
        <v>3</v>
      </c>
      <c r="C89" s="53">
        <v>10</v>
      </c>
      <c r="D89" s="53">
        <v>48000</v>
      </c>
      <c r="E89" s="55">
        <f t="shared" si="1"/>
        <v>480000</v>
      </c>
    </row>
    <row r="90" spans="1:5" ht="15.6">
      <c r="A90" s="22" t="s">
        <v>74</v>
      </c>
      <c r="B90" s="22" t="s">
        <v>3</v>
      </c>
      <c r="C90" s="53">
        <v>95</v>
      </c>
      <c r="D90" s="53">
        <v>26000</v>
      </c>
      <c r="E90" s="55">
        <f t="shared" si="1"/>
        <v>2470000</v>
      </c>
    </row>
    <row r="91" spans="1:5" ht="15.6" hidden="1">
      <c r="A91" s="22" t="s">
        <v>74</v>
      </c>
      <c r="B91" s="22" t="s">
        <v>9</v>
      </c>
      <c r="C91" s="53">
        <v>0</v>
      </c>
      <c r="D91" s="53"/>
      <c r="E91" s="55">
        <f t="shared" si="1"/>
        <v>0</v>
      </c>
    </row>
    <row r="92" spans="1:5" ht="15.6">
      <c r="A92" s="22" t="s">
        <v>75</v>
      </c>
      <c r="B92" s="22" t="s">
        <v>3</v>
      </c>
      <c r="C92" s="53">
        <v>5</v>
      </c>
      <c r="D92" s="53">
        <v>21000</v>
      </c>
      <c r="E92" s="55">
        <f t="shared" si="1"/>
        <v>105000</v>
      </c>
    </row>
    <row r="93" spans="1:5" ht="15.6">
      <c r="A93" s="22" t="s">
        <v>76</v>
      </c>
      <c r="B93" s="22" t="s">
        <v>3</v>
      </c>
      <c r="C93" s="53">
        <v>70</v>
      </c>
      <c r="D93" s="53">
        <v>35000</v>
      </c>
      <c r="E93" s="55">
        <f t="shared" si="1"/>
        <v>2450000</v>
      </c>
    </row>
    <row r="94" spans="1:5" ht="15.6" hidden="1">
      <c r="A94" s="22" t="s">
        <v>76</v>
      </c>
      <c r="B94" s="22" t="s">
        <v>9</v>
      </c>
      <c r="C94" s="53">
        <v>0</v>
      </c>
      <c r="D94" s="53"/>
      <c r="E94" s="55">
        <f t="shared" si="1"/>
        <v>0</v>
      </c>
    </row>
    <row r="95" spans="1:5" ht="15.6">
      <c r="A95" s="22" t="s">
        <v>77</v>
      </c>
      <c r="B95" s="22" t="s">
        <v>3</v>
      </c>
      <c r="C95" s="53">
        <v>7</v>
      </c>
      <c r="D95" s="53">
        <v>30000</v>
      </c>
      <c r="E95" s="55">
        <f t="shared" si="1"/>
        <v>210000</v>
      </c>
    </row>
    <row r="96" spans="1:5" ht="15.6">
      <c r="A96" s="22" t="s">
        <v>78</v>
      </c>
      <c r="B96" s="22" t="s">
        <v>3</v>
      </c>
      <c r="C96" s="53">
        <v>35</v>
      </c>
      <c r="D96" s="53">
        <v>27000</v>
      </c>
      <c r="E96" s="55">
        <f t="shared" si="1"/>
        <v>945000</v>
      </c>
    </row>
    <row r="97" spans="1:5" ht="15.6" hidden="1">
      <c r="A97" s="22" t="s">
        <v>78</v>
      </c>
      <c r="B97" s="22" t="s">
        <v>9</v>
      </c>
      <c r="C97" s="53">
        <v>0</v>
      </c>
      <c r="D97" s="53"/>
      <c r="E97" s="55">
        <f t="shared" si="1"/>
        <v>0</v>
      </c>
    </row>
    <row r="98" spans="1:5" ht="15.6">
      <c r="A98" s="22" t="s">
        <v>173</v>
      </c>
      <c r="B98" s="22" t="s">
        <v>3</v>
      </c>
      <c r="C98" s="53">
        <v>8</v>
      </c>
      <c r="D98" s="53">
        <v>22000</v>
      </c>
      <c r="E98" s="55">
        <f t="shared" si="1"/>
        <v>176000</v>
      </c>
    </row>
    <row r="99" spans="1:5" ht="15.6">
      <c r="A99" s="22" t="s">
        <v>79</v>
      </c>
      <c r="B99" s="22" t="s">
        <v>30</v>
      </c>
      <c r="C99" s="53">
        <v>20</v>
      </c>
      <c r="D99" s="53">
        <v>18000</v>
      </c>
      <c r="E99" s="55">
        <f t="shared" si="1"/>
        <v>360000</v>
      </c>
    </row>
    <row r="100" spans="1:5" ht="15.6" hidden="1">
      <c r="A100" s="22" t="s">
        <v>80</v>
      </c>
      <c r="B100" s="22" t="s">
        <v>30</v>
      </c>
      <c r="C100" s="53">
        <v>0</v>
      </c>
      <c r="D100" s="53"/>
      <c r="E100" s="55">
        <f t="shared" si="1"/>
        <v>0</v>
      </c>
    </row>
    <row r="101" spans="1:5" ht="15.6">
      <c r="A101" s="22" t="s">
        <v>81</v>
      </c>
      <c r="B101" s="22" t="s">
        <v>9</v>
      </c>
      <c r="C101" s="53">
        <v>1516</v>
      </c>
      <c r="D101" s="53">
        <v>9000</v>
      </c>
      <c r="E101" s="55">
        <f t="shared" si="1"/>
        <v>13644000</v>
      </c>
    </row>
    <row r="102" spans="1:5" ht="15.6">
      <c r="A102" s="22" t="s">
        <v>82</v>
      </c>
      <c r="B102" s="22" t="s">
        <v>9</v>
      </c>
      <c r="C102" s="53">
        <v>375</v>
      </c>
      <c r="D102" s="53">
        <v>11361</v>
      </c>
      <c r="E102" s="55">
        <f t="shared" si="1"/>
        <v>4260375</v>
      </c>
    </row>
    <row r="103" spans="1:5" ht="15.6">
      <c r="A103" s="22" t="s">
        <v>85</v>
      </c>
      <c r="B103" s="22" t="s">
        <v>3</v>
      </c>
      <c r="C103" s="53">
        <v>14</v>
      </c>
      <c r="D103" s="53">
        <v>13000</v>
      </c>
      <c r="E103" s="55">
        <f t="shared" si="1"/>
        <v>182000</v>
      </c>
    </row>
    <row r="104" spans="1:5" ht="15.6" hidden="1">
      <c r="A104" s="22" t="s">
        <v>109</v>
      </c>
      <c r="B104" s="22" t="s">
        <v>25</v>
      </c>
      <c r="C104" s="53">
        <v>0</v>
      </c>
      <c r="D104" s="53"/>
      <c r="E104" s="55">
        <f t="shared" si="1"/>
        <v>0</v>
      </c>
    </row>
    <row r="105" spans="1:5" ht="15.6">
      <c r="A105" s="22" t="s">
        <v>87</v>
      </c>
      <c r="B105" s="22" t="s">
        <v>3</v>
      </c>
      <c r="C105" s="53">
        <v>55</v>
      </c>
      <c r="D105" s="53">
        <v>4000</v>
      </c>
      <c r="E105" s="55">
        <f t="shared" si="1"/>
        <v>220000</v>
      </c>
    </row>
    <row r="106" spans="1:5" ht="15.6">
      <c r="A106" s="22" t="s">
        <v>88</v>
      </c>
      <c r="B106" s="22" t="s">
        <v>3</v>
      </c>
      <c r="C106" s="53">
        <v>4</v>
      </c>
      <c r="D106" s="53">
        <v>7000</v>
      </c>
      <c r="E106" s="55">
        <f t="shared" si="1"/>
        <v>28000</v>
      </c>
    </row>
    <row r="107" spans="1:5" ht="15.6" hidden="1">
      <c r="A107" s="22" t="s">
        <v>89</v>
      </c>
      <c r="B107" s="22" t="s">
        <v>3</v>
      </c>
      <c r="C107" s="53">
        <v>0</v>
      </c>
      <c r="D107" s="53"/>
      <c r="E107" s="55">
        <f t="shared" si="1"/>
        <v>0</v>
      </c>
    </row>
    <row r="108" spans="1:5" ht="15.6" hidden="1">
      <c r="A108" s="22" t="s">
        <v>90</v>
      </c>
      <c r="B108" s="22" t="s">
        <v>40</v>
      </c>
      <c r="C108" s="53">
        <v>0</v>
      </c>
      <c r="D108" s="53"/>
      <c r="E108" s="55">
        <f t="shared" si="1"/>
        <v>0</v>
      </c>
    </row>
    <row r="109" spans="1:5" ht="15.6" hidden="1">
      <c r="A109" s="22" t="s">
        <v>91</v>
      </c>
      <c r="B109" s="22" t="s">
        <v>3</v>
      </c>
      <c r="C109" s="53">
        <v>0</v>
      </c>
      <c r="D109" s="53"/>
      <c r="E109" s="55">
        <f t="shared" si="1"/>
        <v>0</v>
      </c>
    </row>
    <row r="110" spans="1:5" ht="15.6" hidden="1">
      <c r="A110" s="22" t="s">
        <v>92</v>
      </c>
      <c r="B110" s="22" t="s">
        <v>40</v>
      </c>
      <c r="C110" s="53">
        <v>0</v>
      </c>
      <c r="D110" s="53"/>
      <c r="E110" s="55">
        <f t="shared" si="1"/>
        <v>0</v>
      </c>
    </row>
    <row r="111" spans="1:5" ht="15.6">
      <c r="A111" s="22" t="s">
        <v>94</v>
      </c>
      <c r="B111" s="22" t="s">
        <v>3</v>
      </c>
      <c r="C111" s="53">
        <v>3</v>
      </c>
      <c r="D111" s="53">
        <v>30000</v>
      </c>
      <c r="E111" s="55">
        <f t="shared" si="1"/>
        <v>90000</v>
      </c>
    </row>
    <row r="112" spans="1:5" ht="15.6" hidden="1">
      <c r="A112" s="22" t="s">
        <v>95</v>
      </c>
      <c r="B112" s="22" t="s">
        <v>40</v>
      </c>
      <c r="C112" s="53">
        <v>0</v>
      </c>
      <c r="D112" s="53"/>
      <c r="E112" s="55">
        <f t="shared" si="1"/>
        <v>0</v>
      </c>
    </row>
    <row r="113" spans="5:5">
      <c r="E113" s="51">
        <f>SUM(E3:E111)</f>
        <v>158288675</v>
      </c>
    </row>
  </sheetData>
  <autoFilter ref="A2:F112">
    <filterColumn colId="2">
      <filters>
        <filter val="1"/>
        <filter val="1,516"/>
        <filter val="10"/>
        <filter val="100"/>
        <filter val="106"/>
        <filter val="120"/>
        <filter val="14"/>
        <filter val="140"/>
        <filter val="145"/>
        <filter val="15"/>
        <filter val="17"/>
        <filter val="18"/>
        <filter val="180"/>
        <filter val="2"/>
        <filter val="2,115"/>
        <filter val="20"/>
        <filter val="220"/>
        <filter val="226"/>
        <filter val="25"/>
        <filter val="280"/>
        <filter val="3"/>
        <filter val="30"/>
        <filter val="31"/>
        <filter val="310"/>
        <filter val="335"/>
        <filter val="35"/>
        <filter val="375"/>
        <filter val="4"/>
        <filter val="40"/>
        <filter val="480"/>
        <filter val="5"/>
        <filter val="510"/>
        <filter val="540"/>
        <filter val="55"/>
        <filter val="56"/>
        <filter val="565"/>
        <filter val="60"/>
        <filter val="65"/>
        <filter val="7"/>
        <filter val="70"/>
        <filter val="730"/>
        <filter val="76"/>
        <filter val="8"/>
        <filter val="810"/>
        <filter val="9"/>
        <filter val="910"/>
        <filter val="930"/>
        <filter val="95"/>
      </filters>
    </filterColumn>
  </autoFilter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2:E116"/>
  <sheetViews>
    <sheetView workbookViewId="0">
      <selection activeCell="G2" sqref="G2"/>
    </sheetView>
  </sheetViews>
  <sheetFormatPr defaultRowHeight="13.8"/>
  <cols>
    <col min="1" max="1" width="22.8984375" customWidth="1"/>
    <col min="4" max="4" width="10.5" customWidth="1"/>
    <col min="5" max="5" width="17.69921875" customWidth="1"/>
  </cols>
  <sheetData>
    <row r="2" spans="1:5" ht="67.2" customHeight="1">
      <c r="A2" s="52" t="s">
        <v>106</v>
      </c>
      <c r="B2" s="52" t="s">
        <v>0</v>
      </c>
      <c r="C2" s="53" t="s">
        <v>183</v>
      </c>
      <c r="D2" s="53" t="s">
        <v>112</v>
      </c>
      <c r="E2" s="54" t="s">
        <v>113</v>
      </c>
    </row>
    <row r="3" spans="1:5" ht="15.6">
      <c r="A3" s="22" t="s">
        <v>2</v>
      </c>
      <c r="B3" s="22" t="s">
        <v>3</v>
      </c>
      <c r="C3" s="53">
        <v>32</v>
      </c>
      <c r="D3" s="53">
        <v>16000</v>
      </c>
      <c r="E3" s="55">
        <f>C3*D3</f>
        <v>512000</v>
      </c>
    </row>
    <row r="4" spans="1:5" ht="15.6">
      <c r="A4" s="22" t="s">
        <v>4</v>
      </c>
      <c r="B4" s="22" t="s">
        <v>3</v>
      </c>
      <c r="C4" s="53">
        <v>15</v>
      </c>
      <c r="D4" s="53">
        <v>5000</v>
      </c>
      <c r="E4" s="55">
        <f t="shared" ref="E4:E67" si="0">C4*D4</f>
        <v>75000</v>
      </c>
    </row>
    <row r="5" spans="1:5" ht="15.6">
      <c r="A5" s="22" t="s">
        <v>5</v>
      </c>
      <c r="B5" s="22" t="s">
        <v>3</v>
      </c>
      <c r="C5" s="53">
        <v>1005</v>
      </c>
      <c r="D5" s="53">
        <v>6000</v>
      </c>
      <c r="E5" s="55">
        <f t="shared" si="0"/>
        <v>6030000</v>
      </c>
    </row>
    <row r="6" spans="1:5" ht="15.6">
      <c r="A6" s="22" t="s">
        <v>96</v>
      </c>
      <c r="B6" s="22" t="s">
        <v>3</v>
      </c>
      <c r="C6" s="53">
        <v>15</v>
      </c>
      <c r="D6" s="53">
        <v>12000</v>
      </c>
      <c r="E6" s="55">
        <f t="shared" si="0"/>
        <v>180000</v>
      </c>
    </row>
    <row r="7" spans="1:5" ht="15.6" hidden="1">
      <c r="A7" s="22" t="s">
        <v>6</v>
      </c>
      <c r="B7" s="22" t="s">
        <v>3</v>
      </c>
      <c r="C7" s="53">
        <v>0</v>
      </c>
      <c r="D7" s="53"/>
      <c r="E7" s="55">
        <f t="shared" si="0"/>
        <v>0</v>
      </c>
    </row>
    <row r="8" spans="1:5" ht="15.6">
      <c r="A8" s="22" t="s">
        <v>7</v>
      </c>
      <c r="B8" s="22" t="s">
        <v>3</v>
      </c>
      <c r="C8" s="53">
        <v>230</v>
      </c>
      <c r="D8" s="53">
        <v>9000</v>
      </c>
      <c r="E8" s="55">
        <f t="shared" si="0"/>
        <v>2070000</v>
      </c>
    </row>
    <row r="9" spans="1:5" ht="15.6">
      <c r="A9" s="22" t="s">
        <v>8</v>
      </c>
      <c r="B9" s="22" t="s">
        <v>3</v>
      </c>
      <c r="C9" s="53">
        <v>45</v>
      </c>
      <c r="D9" s="53">
        <v>15000</v>
      </c>
      <c r="E9" s="55">
        <f t="shared" si="0"/>
        <v>675000</v>
      </c>
    </row>
    <row r="10" spans="1:5" ht="15.6" hidden="1">
      <c r="A10" s="22" t="s">
        <v>8</v>
      </c>
      <c r="B10" s="22" t="s">
        <v>9</v>
      </c>
      <c r="C10" s="53">
        <v>0</v>
      </c>
      <c r="D10" s="53"/>
      <c r="E10" s="55">
        <f t="shared" si="0"/>
        <v>0</v>
      </c>
    </row>
    <row r="11" spans="1:5" ht="15.6">
      <c r="A11" s="22" t="s">
        <v>10</v>
      </c>
      <c r="B11" s="22" t="s">
        <v>3</v>
      </c>
      <c r="C11" s="53">
        <v>25</v>
      </c>
      <c r="D11" s="53">
        <v>16000</v>
      </c>
      <c r="E11" s="55">
        <f t="shared" si="0"/>
        <v>400000</v>
      </c>
    </row>
    <row r="12" spans="1:5" ht="15.6" hidden="1">
      <c r="A12" s="22" t="s">
        <v>10</v>
      </c>
      <c r="B12" s="22" t="s">
        <v>9</v>
      </c>
      <c r="C12" s="53">
        <v>0</v>
      </c>
      <c r="D12" s="53"/>
      <c r="E12" s="55">
        <f t="shared" si="0"/>
        <v>0</v>
      </c>
    </row>
    <row r="13" spans="1:5" ht="15.6" hidden="1">
      <c r="A13" s="22" t="s">
        <v>131</v>
      </c>
      <c r="B13" s="22" t="s">
        <v>3</v>
      </c>
      <c r="C13" s="53">
        <v>0</v>
      </c>
      <c r="D13" s="53"/>
      <c r="E13" s="55">
        <f t="shared" si="0"/>
        <v>0</v>
      </c>
    </row>
    <row r="14" spans="1:5" ht="15.6" hidden="1">
      <c r="A14" s="22" t="s">
        <v>12</v>
      </c>
      <c r="B14" s="22" t="s">
        <v>3</v>
      </c>
      <c r="C14" s="53">
        <v>0</v>
      </c>
      <c r="D14" s="53"/>
      <c r="E14" s="55">
        <f t="shared" si="0"/>
        <v>0</v>
      </c>
    </row>
    <row r="15" spans="1:5" ht="15.6" hidden="1">
      <c r="A15" s="22" t="s">
        <v>14</v>
      </c>
      <c r="B15" s="22" t="s">
        <v>3</v>
      </c>
      <c r="C15" s="53">
        <v>0</v>
      </c>
      <c r="D15" s="53"/>
      <c r="E15" s="55">
        <f t="shared" si="0"/>
        <v>0</v>
      </c>
    </row>
    <row r="16" spans="1:5" ht="15.6" hidden="1">
      <c r="A16" s="22" t="s">
        <v>15</v>
      </c>
      <c r="B16" s="22" t="s">
        <v>3</v>
      </c>
      <c r="C16" s="53">
        <v>0</v>
      </c>
      <c r="D16" s="53"/>
      <c r="E16" s="55">
        <f t="shared" si="0"/>
        <v>0</v>
      </c>
    </row>
    <row r="17" spans="1:5" ht="15.6">
      <c r="A17" s="22" t="s">
        <v>16</v>
      </c>
      <c r="B17" s="22" t="s">
        <v>17</v>
      </c>
      <c r="C17" s="53">
        <v>14</v>
      </c>
      <c r="D17" s="53">
        <v>6000</v>
      </c>
      <c r="E17" s="55">
        <f t="shared" si="0"/>
        <v>84000</v>
      </c>
    </row>
    <row r="18" spans="1:5" ht="15.6">
      <c r="A18" s="22" t="s">
        <v>145</v>
      </c>
      <c r="B18" s="22" t="s">
        <v>40</v>
      </c>
      <c r="C18" s="53">
        <v>10</v>
      </c>
      <c r="D18" s="53">
        <v>8000</v>
      </c>
      <c r="E18" s="55">
        <f t="shared" si="0"/>
        <v>80000</v>
      </c>
    </row>
    <row r="19" spans="1:5" ht="15.6" hidden="1">
      <c r="A19" s="22" t="s">
        <v>97</v>
      </c>
      <c r="B19" s="22" t="s">
        <v>3</v>
      </c>
      <c r="C19" s="53">
        <v>0</v>
      </c>
      <c r="D19" s="53"/>
      <c r="E19" s="55">
        <f t="shared" si="0"/>
        <v>0</v>
      </c>
    </row>
    <row r="20" spans="1:5" ht="15.6">
      <c r="A20" s="22" t="s">
        <v>18</v>
      </c>
      <c r="B20" s="22" t="s">
        <v>3</v>
      </c>
      <c r="C20" s="53">
        <v>140</v>
      </c>
      <c r="D20" s="53">
        <v>14000</v>
      </c>
      <c r="E20" s="55">
        <f t="shared" si="0"/>
        <v>1960000</v>
      </c>
    </row>
    <row r="21" spans="1:5" ht="15.6" hidden="1">
      <c r="A21" s="22" t="s">
        <v>18</v>
      </c>
      <c r="B21" s="22" t="s">
        <v>19</v>
      </c>
      <c r="C21" s="53">
        <v>0</v>
      </c>
      <c r="D21" s="53"/>
      <c r="E21" s="55">
        <f t="shared" si="0"/>
        <v>0</v>
      </c>
    </row>
    <row r="22" spans="1:5" ht="15.6">
      <c r="A22" s="22" t="s">
        <v>182</v>
      </c>
      <c r="B22" s="22" t="s">
        <v>21</v>
      </c>
      <c r="C22" s="53">
        <v>50</v>
      </c>
      <c r="D22" s="53">
        <v>7000</v>
      </c>
      <c r="E22" s="55">
        <f t="shared" si="0"/>
        <v>350000</v>
      </c>
    </row>
    <row r="23" spans="1:5" ht="15.6">
      <c r="A23" s="22" t="s">
        <v>20</v>
      </c>
      <c r="B23" s="22" t="s">
        <v>3</v>
      </c>
      <c r="C23" s="53">
        <v>20</v>
      </c>
      <c r="D23" s="53">
        <v>12000</v>
      </c>
      <c r="E23" s="55">
        <f t="shared" si="0"/>
        <v>240000</v>
      </c>
    </row>
    <row r="24" spans="1:5" ht="15.6" hidden="1">
      <c r="A24" s="22" t="s">
        <v>20</v>
      </c>
      <c r="B24" s="22" t="s">
        <v>21</v>
      </c>
      <c r="C24" s="53">
        <v>0</v>
      </c>
      <c r="D24" s="53"/>
      <c r="E24" s="55">
        <f t="shared" si="0"/>
        <v>0</v>
      </c>
    </row>
    <row r="25" spans="1:5" ht="15.6">
      <c r="A25" s="22" t="s">
        <v>22</v>
      </c>
      <c r="B25" s="22" t="s">
        <v>3</v>
      </c>
      <c r="C25" s="53">
        <v>2</v>
      </c>
      <c r="D25" s="53">
        <v>20000</v>
      </c>
      <c r="E25" s="55">
        <f t="shared" si="0"/>
        <v>40000</v>
      </c>
    </row>
    <row r="26" spans="1:5" ht="15.6">
      <c r="A26" s="22" t="s">
        <v>22</v>
      </c>
      <c r="B26" s="22" t="s">
        <v>23</v>
      </c>
      <c r="C26" s="53">
        <v>79</v>
      </c>
      <c r="D26" s="53">
        <v>6000</v>
      </c>
      <c r="E26" s="55">
        <f t="shared" si="0"/>
        <v>474000</v>
      </c>
    </row>
    <row r="27" spans="1:5" ht="15.6" hidden="1">
      <c r="A27" s="22" t="s">
        <v>24</v>
      </c>
      <c r="B27" s="22" t="s">
        <v>25</v>
      </c>
      <c r="C27" s="53">
        <v>0</v>
      </c>
      <c r="D27" s="53"/>
      <c r="E27" s="55">
        <f t="shared" si="0"/>
        <v>0</v>
      </c>
    </row>
    <row r="28" spans="1:5" ht="15.6" hidden="1">
      <c r="A28" s="22" t="s">
        <v>26</v>
      </c>
      <c r="B28" s="22" t="s">
        <v>3</v>
      </c>
      <c r="C28" s="53">
        <v>0</v>
      </c>
      <c r="D28" s="53"/>
      <c r="E28" s="55">
        <f t="shared" si="0"/>
        <v>0</v>
      </c>
    </row>
    <row r="29" spans="1:5" ht="15.6">
      <c r="A29" s="22" t="s">
        <v>26</v>
      </c>
      <c r="B29" s="22" t="s">
        <v>27</v>
      </c>
      <c r="C29" s="53">
        <v>21</v>
      </c>
      <c r="D29" s="53">
        <v>7500</v>
      </c>
      <c r="E29" s="55">
        <f t="shared" si="0"/>
        <v>157500</v>
      </c>
    </row>
    <row r="30" spans="1:5" ht="15.6">
      <c r="A30" s="22" t="s">
        <v>28</v>
      </c>
      <c r="B30" s="22" t="s">
        <v>3</v>
      </c>
      <c r="C30" s="53">
        <v>330</v>
      </c>
      <c r="D30" s="53">
        <v>18000</v>
      </c>
      <c r="E30" s="55">
        <f t="shared" si="0"/>
        <v>5940000</v>
      </c>
    </row>
    <row r="31" spans="1:5" ht="15.6" hidden="1">
      <c r="A31" s="22" t="s">
        <v>28</v>
      </c>
      <c r="B31" s="22" t="s">
        <v>17</v>
      </c>
      <c r="C31" s="53">
        <v>0</v>
      </c>
      <c r="D31" s="53"/>
      <c r="E31" s="55">
        <f t="shared" si="0"/>
        <v>0</v>
      </c>
    </row>
    <row r="32" spans="1:5" ht="15.6">
      <c r="A32" s="22" t="s">
        <v>29</v>
      </c>
      <c r="B32" s="22" t="s">
        <v>30</v>
      </c>
      <c r="C32" s="53">
        <v>30</v>
      </c>
      <c r="D32" s="53">
        <v>13000</v>
      </c>
      <c r="E32" s="55">
        <f t="shared" si="0"/>
        <v>390000</v>
      </c>
    </row>
    <row r="33" spans="1:5" ht="15.6">
      <c r="A33" s="22" t="s">
        <v>31</v>
      </c>
      <c r="B33" s="22" t="s">
        <v>3</v>
      </c>
      <c r="C33" s="53">
        <v>230</v>
      </c>
      <c r="D33" s="53">
        <v>6500</v>
      </c>
      <c r="E33" s="55">
        <f t="shared" si="0"/>
        <v>1495000</v>
      </c>
    </row>
    <row r="34" spans="1:5" ht="15.6" hidden="1">
      <c r="A34" s="22" t="s">
        <v>31</v>
      </c>
      <c r="B34" s="22" t="s">
        <v>30</v>
      </c>
      <c r="C34" s="53">
        <v>0</v>
      </c>
      <c r="D34" s="53"/>
      <c r="E34" s="55">
        <f t="shared" si="0"/>
        <v>0</v>
      </c>
    </row>
    <row r="35" spans="1:5" ht="15.6" hidden="1">
      <c r="A35" s="22" t="s">
        <v>32</v>
      </c>
      <c r="B35" s="22" t="s">
        <v>3</v>
      </c>
      <c r="C35" s="53">
        <v>0</v>
      </c>
      <c r="D35" s="53"/>
      <c r="E35" s="55">
        <f t="shared" si="0"/>
        <v>0</v>
      </c>
    </row>
    <row r="36" spans="1:5" ht="15.6" hidden="1">
      <c r="A36" s="22" t="s">
        <v>32</v>
      </c>
      <c r="B36" s="22" t="s">
        <v>17</v>
      </c>
      <c r="C36" s="53">
        <v>0</v>
      </c>
      <c r="D36" s="53"/>
      <c r="E36" s="55">
        <f t="shared" si="0"/>
        <v>0</v>
      </c>
    </row>
    <row r="37" spans="1:5" ht="15.6">
      <c r="A37" s="22" t="s">
        <v>33</v>
      </c>
      <c r="B37" s="22" t="s">
        <v>3</v>
      </c>
      <c r="C37" s="53">
        <v>45</v>
      </c>
      <c r="D37" s="53">
        <v>8000</v>
      </c>
      <c r="E37" s="55">
        <f t="shared" si="0"/>
        <v>360000</v>
      </c>
    </row>
    <row r="38" spans="1:5" ht="15.6" hidden="1">
      <c r="A38" s="22" t="s">
        <v>33</v>
      </c>
      <c r="B38" s="22" t="s">
        <v>34</v>
      </c>
      <c r="C38" s="53">
        <v>0</v>
      </c>
      <c r="D38" s="53"/>
      <c r="E38" s="55">
        <f t="shared" si="0"/>
        <v>0</v>
      </c>
    </row>
    <row r="39" spans="1:5" ht="15.6" hidden="1">
      <c r="A39" s="22" t="s">
        <v>35</v>
      </c>
      <c r="B39" s="22" t="s">
        <v>3</v>
      </c>
      <c r="C39" s="53">
        <v>0</v>
      </c>
      <c r="D39" s="53"/>
      <c r="E39" s="55">
        <f t="shared" si="0"/>
        <v>0</v>
      </c>
    </row>
    <row r="40" spans="1:5" ht="15.6" hidden="1">
      <c r="A40" s="22" t="s">
        <v>35</v>
      </c>
      <c r="B40" s="22" t="s">
        <v>30</v>
      </c>
      <c r="C40" s="53">
        <v>0</v>
      </c>
      <c r="D40" s="53"/>
      <c r="E40" s="55">
        <f t="shared" si="0"/>
        <v>0</v>
      </c>
    </row>
    <row r="41" spans="1:5" ht="15.6" hidden="1">
      <c r="A41" s="22" t="s">
        <v>36</v>
      </c>
      <c r="B41" s="22" t="s">
        <v>3</v>
      </c>
      <c r="C41" s="53">
        <v>0</v>
      </c>
      <c r="D41" s="53"/>
      <c r="E41" s="55">
        <f t="shared" si="0"/>
        <v>0</v>
      </c>
    </row>
    <row r="42" spans="1:5" ht="15.6">
      <c r="A42" s="22" t="s">
        <v>36</v>
      </c>
      <c r="B42" s="22" t="s">
        <v>30</v>
      </c>
      <c r="C42" s="53">
        <v>6</v>
      </c>
      <c r="D42" s="53">
        <v>3000</v>
      </c>
      <c r="E42" s="55">
        <f t="shared" si="0"/>
        <v>18000</v>
      </c>
    </row>
    <row r="43" spans="1:5" ht="15.6" hidden="1">
      <c r="A43" s="22" t="s">
        <v>37</v>
      </c>
      <c r="B43" s="22" t="s">
        <v>3</v>
      </c>
      <c r="C43" s="53">
        <v>0</v>
      </c>
      <c r="D43" s="53"/>
      <c r="E43" s="55">
        <f t="shared" si="0"/>
        <v>0</v>
      </c>
    </row>
    <row r="44" spans="1:5" ht="15.6">
      <c r="A44" s="22" t="s">
        <v>37</v>
      </c>
      <c r="B44" s="22" t="s">
        <v>30</v>
      </c>
      <c r="C44" s="53">
        <v>15</v>
      </c>
      <c r="D44" s="53">
        <v>3900</v>
      </c>
      <c r="E44" s="55">
        <f t="shared" si="0"/>
        <v>58500</v>
      </c>
    </row>
    <row r="45" spans="1:5" ht="15.6">
      <c r="A45" s="63" t="s">
        <v>38</v>
      </c>
      <c r="B45" s="63" t="s">
        <v>3</v>
      </c>
      <c r="C45" s="64">
        <v>1040</v>
      </c>
      <c r="D45" s="64">
        <v>4500</v>
      </c>
      <c r="E45" s="55">
        <f t="shared" si="0"/>
        <v>4680000</v>
      </c>
    </row>
    <row r="46" spans="1:5" ht="15.6" hidden="1">
      <c r="A46" s="22" t="s">
        <v>98</v>
      </c>
      <c r="B46" s="22" t="s">
        <v>3</v>
      </c>
      <c r="C46" s="53">
        <v>0</v>
      </c>
      <c r="D46" s="53"/>
      <c r="E46" s="55">
        <f t="shared" si="0"/>
        <v>0</v>
      </c>
    </row>
    <row r="47" spans="1:5" ht="15.6">
      <c r="A47" s="22" t="s">
        <v>99</v>
      </c>
      <c r="B47" s="22" t="s">
        <v>3</v>
      </c>
      <c r="C47" s="53">
        <v>110</v>
      </c>
      <c r="D47" s="53">
        <v>3000</v>
      </c>
      <c r="E47" s="55">
        <f t="shared" si="0"/>
        <v>330000</v>
      </c>
    </row>
    <row r="48" spans="1:5" ht="15.6" hidden="1">
      <c r="A48" s="22" t="s">
        <v>39</v>
      </c>
      <c r="B48" s="22" t="s">
        <v>3</v>
      </c>
      <c r="C48" s="53">
        <v>0</v>
      </c>
      <c r="D48" s="53"/>
      <c r="E48" s="55">
        <f t="shared" si="0"/>
        <v>0</v>
      </c>
    </row>
    <row r="49" spans="1:5" ht="15.6">
      <c r="A49" s="22" t="s">
        <v>39</v>
      </c>
      <c r="B49" s="22" t="s">
        <v>40</v>
      </c>
      <c r="C49" s="53">
        <v>550</v>
      </c>
      <c r="D49" s="53">
        <v>7000</v>
      </c>
      <c r="E49" s="55">
        <f t="shared" si="0"/>
        <v>3850000</v>
      </c>
    </row>
    <row r="50" spans="1:5" ht="15.6" hidden="1">
      <c r="A50" s="22" t="s">
        <v>100</v>
      </c>
      <c r="B50" s="22" t="s">
        <v>3</v>
      </c>
      <c r="C50" s="53">
        <v>0</v>
      </c>
      <c r="D50" s="53"/>
      <c r="E50" s="55">
        <f t="shared" si="0"/>
        <v>0</v>
      </c>
    </row>
    <row r="51" spans="1:5" ht="15.6">
      <c r="A51" s="22" t="s">
        <v>41</v>
      </c>
      <c r="B51" s="22" t="s">
        <v>3</v>
      </c>
      <c r="C51" s="53">
        <v>10</v>
      </c>
      <c r="D51" s="53">
        <v>14000</v>
      </c>
      <c r="E51" s="55">
        <f t="shared" si="0"/>
        <v>140000</v>
      </c>
    </row>
    <row r="52" spans="1:5" ht="15.6">
      <c r="A52" s="22" t="s">
        <v>42</v>
      </c>
      <c r="B52" s="22" t="s">
        <v>25</v>
      </c>
      <c r="C52" s="53">
        <v>6</v>
      </c>
      <c r="D52" s="53">
        <v>10000</v>
      </c>
      <c r="E52" s="55">
        <f t="shared" si="0"/>
        <v>60000</v>
      </c>
    </row>
    <row r="53" spans="1:5" ht="15.6" hidden="1">
      <c r="A53" s="22" t="s">
        <v>42</v>
      </c>
      <c r="B53" s="22" t="s">
        <v>3</v>
      </c>
      <c r="C53" s="53">
        <v>0</v>
      </c>
      <c r="D53" s="53"/>
      <c r="E53" s="55">
        <f t="shared" si="0"/>
        <v>0</v>
      </c>
    </row>
    <row r="54" spans="1:5" ht="15.6" hidden="1">
      <c r="A54" s="22" t="s">
        <v>44</v>
      </c>
      <c r="B54" s="22" t="s">
        <v>3</v>
      </c>
      <c r="C54" s="53">
        <v>0</v>
      </c>
      <c r="D54" s="53"/>
      <c r="E54" s="55">
        <f t="shared" si="0"/>
        <v>0</v>
      </c>
    </row>
    <row r="55" spans="1:5" ht="15.6">
      <c r="A55" s="22" t="s">
        <v>45</v>
      </c>
      <c r="B55" s="22" t="s">
        <v>3</v>
      </c>
      <c r="C55" s="53">
        <v>45</v>
      </c>
      <c r="D55" s="53">
        <v>9000</v>
      </c>
      <c r="E55" s="55">
        <f t="shared" si="0"/>
        <v>405000</v>
      </c>
    </row>
    <row r="56" spans="1:5" ht="15.6" hidden="1">
      <c r="A56" s="22" t="s">
        <v>45</v>
      </c>
      <c r="B56" s="22" t="s">
        <v>30</v>
      </c>
      <c r="C56" s="53">
        <v>0</v>
      </c>
      <c r="D56" s="53"/>
      <c r="E56" s="55">
        <f t="shared" si="0"/>
        <v>0</v>
      </c>
    </row>
    <row r="57" spans="1:5" ht="15.6">
      <c r="A57" s="22" t="s">
        <v>46</v>
      </c>
      <c r="B57" s="22" t="s">
        <v>3</v>
      </c>
      <c r="C57" s="53">
        <v>11</v>
      </c>
      <c r="D57" s="53">
        <v>18000</v>
      </c>
      <c r="E57" s="55">
        <f t="shared" si="0"/>
        <v>198000</v>
      </c>
    </row>
    <row r="58" spans="1:5" ht="15.6">
      <c r="A58" s="22" t="s">
        <v>47</v>
      </c>
      <c r="B58" s="22" t="s">
        <v>3</v>
      </c>
      <c r="C58" s="53">
        <v>470</v>
      </c>
      <c r="D58" s="53">
        <v>8000</v>
      </c>
      <c r="E58" s="55">
        <f t="shared" si="0"/>
        <v>3760000</v>
      </c>
    </row>
    <row r="59" spans="1:5" ht="15.6" hidden="1">
      <c r="A59" s="22" t="s">
        <v>47</v>
      </c>
      <c r="B59" s="22" t="s">
        <v>48</v>
      </c>
      <c r="C59" s="53">
        <v>0</v>
      </c>
      <c r="D59" s="53"/>
      <c r="E59" s="55">
        <f t="shared" si="0"/>
        <v>0</v>
      </c>
    </row>
    <row r="60" spans="1:5" ht="15.6">
      <c r="A60" s="22" t="s">
        <v>134</v>
      </c>
      <c r="B60" s="22" t="s">
        <v>3</v>
      </c>
      <c r="C60" s="53">
        <v>8</v>
      </c>
      <c r="D60" s="53">
        <v>22000</v>
      </c>
      <c r="E60" s="55">
        <f t="shared" si="0"/>
        <v>176000</v>
      </c>
    </row>
    <row r="61" spans="1:5" ht="15.6">
      <c r="A61" s="22" t="s">
        <v>49</v>
      </c>
      <c r="B61" s="22" t="s">
        <v>30</v>
      </c>
      <c r="C61" s="53">
        <v>210</v>
      </c>
      <c r="D61" s="53">
        <v>1800</v>
      </c>
      <c r="E61" s="55">
        <f t="shared" si="0"/>
        <v>378000</v>
      </c>
    </row>
    <row r="62" spans="1:5" ht="15.6">
      <c r="A62" s="22" t="s">
        <v>50</v>
      </c>
      <c r="B62" s="22" t="s">
        <v>3</v>
      </c>
      <c r="C62" s="53">
        <v>2230</v>
      </c>
      <c r="D62" s="53">
        <v>25000</v>
      </c>
      <c r="E62" s="55">
        <f t="shared" si="0"/>
        <v>55750000</v>
      </c>
    </row>
    <row r="63" spans="1:5" ht="15.6">
      <c r="A63" s="22" t="s">
        <v>51</v>
      </c>
      <c r="B63" s="22" t="s">
        <v>3</v>
      </c>
      <c r="C63" s="53">
        <v>530</v>
      </c>
      <c r="D63" s="53">
        <v>25000</v>
      </c>
      <c r="E63" s="55">
        <f t="shared" si="0"/>
        <v>13250000</v>
      </c>
    </row>
    <row r="64" spans="1:5" ht="15.6">
      <c r="A64" s="22" t="s">
        <v>53</v>
      </c>
      <c r="B64" s="22" t="s">
        <v>3</v>
      </c>
      <c r="C64" s="53">
        <v>40</v>
      </c>
      <c r="D64" s="53">
        <v>16000</v>
      </c>
      <c r="E64" s="55">
        <f t="shared" si="0"/>
        <v>640000</v>
      </c>
    </row>
    <row r="65" spans="1:5" ht="15.6">
      <c r="A65" s="22" t="s">
        <v>54</v>
      </c>
      <c r="B65" s="22" t="s">
        <v>3</v>
      </c>
      <c r="C65" s="53">
        <v>36</v>
      </c>
      <c r="D65" s="53">
        <v>26000</v>
      </c>
      <c r="E65" s="55">
        <f t="shared" si="0"/>
        <v>936000</v>
      </c>
    </row>
    <row r="66" spans="1:5" ht="15.6">
      <c r="A66" s="22" t="s">
        <v>108</v>
      </c>
      <c r="B66" s="22" t="s">
        <v>30</v>
      </c>
      <c r="C66" s="53">
        <v>14</v>
      </c>
      <c r="D66" s="53">
        <v>5000</v>
      </c>
      <c r="E66" s="55">
        <f t="shared" si="0"/>
        <v>70000</v>
      </c>
    </row>
    <row r="67" spans="1:5" ht="15.6" hidden="1">
      <c r="A67" s="22" t="s">
        <v>118</v>
      </c>
      <c r="B67" s="22" t="s">
        <v>3</v>
      </c>
      <c r="C67" s="53">
        <v>0</v>
      </c>
      <c r="D67" s="53"/>
      <c r="E67" s="55">
        <f t="shared" si="0"/>
        <v>0</v>
      </c>
    </row>
    <row r="68" spans="1:5" ht="15.6">
      <c r="A68" s="22" t="s">
        <v>56</v>
      </c>
      <c r="B68" s="22" t="s">
        <v>3</v>
      </c>
      <c r="C68" s="53">
        <v>1070</v>
      </c>
      <c r="D68" s="53">
        <v>10800</v>
      </c>
      <c r="E68" s="55">
        <f t="shared" ref="E68:E115" si="1">C68*D68</f>
        <v>11556000</v>
      </c>
    </row>
    <row r="69" spans="1:5" ht="15.6" hidden="1">
      <c r="A69" s="22" t="s">
        <v>56</v>
      </c>
      <c r="B69" s="22" t="s">
        <v>30</v>
      </c>
      <c r="C69" s="53">
        <v>0</v>
      </c>
      <c r="D69" s="53"/>
      <c r="E69" s="55">
        <f t="shared" si="1"/>
        <v>0</v>
      </c>
    </row>
    <row r="70" spans="1:5" ht="15.6">
      <c r="A70" s="22" t="s">
        <v>57</v>
      </c>
      <c r="B70" s="22" t="s">
        <v>30</v>
      </c>
      <c r="C70" s="53">
        <v>320</v>
      </c>
      <c r="D70" s="53">
        <v>5400</v>
      </c>
      <c r="E70" s="55">
        <f t="shared" si="1"/>
        <v>1728000</v>
      </c>
    </row>
    <row r="71" spans="1:5" ht="15.6" hidden="1">
      <c r="A71" s="22" t="s">
        <v>58</v>
      </c>
      <c r="B71" s="22" t="s">
        <v>3</v>
      </c>
      <c r="C71" s="53">
        <v>0</v>
      </c>
      <c r="D71" s="53"/>
      <c r="E71" s="55">
        <f t="shared" si="1"/>
        <v>0</v>
      </c>
    </row>
    <row r="72" spans="1:5" ht="15.6">
      <c r="A72" s="22" t="s">
        <v>59</v>
      </c>
      <c r="B72" s="22" t="s">
        <v>30</v>
      </c>
      <c r="C72" s="53">
        <v>15</v>
      </c>
      <c r="D72" s="53">
        <v>6000</v>
      </c>
      <c r="E72" s="55">
        <f t="shared" si="1"/>
        <v>90000</v>
      </c>
    </row>
    <row r="73" spans="1:5" ht="15.6" hidden="1">
      <c r="A73" s="22" t="s">
        <v>60</v>
      </c>
      <c r="B73" s="22" t="s">
        <v>3</v>
      </c>
      <c r="C73" s="53">
        <v>0</v>
      </c>
      <c r="D73" s="53"/>
      <c r="E73" s="55">
        <f t="shared" si="1"/>
        <v>0</v>
      </c>
    </row>
    <row r="74" spans="1:5" ht="15.6" hidden="1">
      <c r="A74" s="22" t="s">
        <v>60</v>
      </c>
      <c r="B74" s="22" t="s">
        <v>30</v>
      </c>
      <c r="C74" s="53">
        <v>0</v>
      </c>
      <c r="D74" s="53"/>
      <c r="E74" s="55">
        <f t="shared" si="1"/>
        <v>0</v>
      </c>
    </row>
    <row r="75" spans="1:5" ht="15.6">
      <c r="A75" s="22" t="s">
        <v>60</v>
      </c>
      <c r="B75" s="22" t="s">
        <v>61</v>
      </c>
      <c r="C75" s="53">
        <v>57</v>
      </c>
      <c r="D75" s="53">
        <v>6000</v>
      </c>
      <c r="E75" s="55">
        <f t="shared" si="1"/>
        <v>342000</v>
      </c>
    </row>
    <row r="76" spans="1:5" ht="15.6">
      <c r="A76" s="22" t="s">
        <v>62</v>
      </c>
      <c r="B76" s="22" t="s">
        <v>3</v>
      </c>
      <c r="C76" s="53">
        <v>0.5</v>
      </c>
      <c r="D76" s="53">
        <v>80000</v>
      </c>
      <c r="E76" s="55">
        <f t="shared" si="1"/>
        <v>40000</v>
      </c>
    </row>
    <row r="77" spans="1:5" ht="15.6" hidden="1">
      <c r="A77" s="22" t="s">
        <v>119</v>
      </c>
      <c r="B77" s="22" t="s">
        <v>3</v>
      </c>
      <c r="C77" s="53">
        <v>0</v>
      </c>
      <c r="D77" s="53"/>
      <c r="E77" s="55">
        <f t="shared" si="1"/>
        <v>0</v>
      </c>
    </row>
    <row r="78" spans="1:5" ht="15.6">
      <c r="A78" s="22" t="s">
        <v>64</v>
      </c>
      <c r="B78" s="22" t="s">
        <v>3</v>
      </c>
      <c r="C78" s="53">
        <v>0.5</v>
      </c>
      <c r="D78" s="53">
        <v>70000</v>
      </c>
      <c r="E78" s="55">
        <f t="shared" si="1"/>
        <v>35000</v>
      </c>
    </row>
    <row r="79" spans="1:5" ht="15.6" hidden="1">
      <c r="A79" s="22" t="s">
        <v>120</v>
      </c>
      <c r="B79" s="22" t="s">
        <v>30</v>
      </c>
      <c r="C79" s="53">
        <v>0</v>
      </c>
      <c r="D79" s="53"/>
      <c r="E79" s="55">
        <f t="shared" si="1"/>
        <v>0</v>
      </c>
    </row>
    <row r="80" spans="1:5" ht="15.6" hidden="1">
      <c r="A80" s="63" t="s">
        <v>65</v>
      </c>
      <c r="B80" s="63" t="s">
        <v>3</v>
      </c>
      <c r="C80" s="64">
        <v>0</v>
      </c>
      <c r="D80" s="64"/>
      <c r="E80" s="55">
        <f t="shared" si="1"/>
        <v>0</v>
      </c>
    </row>
    <row r="81" spans="1:5" ht="15.6" hidden="1">
      <c r="A81" s="63" t="s">
        <v>65</v>
      </c>
      <c r="B81" s="63" t="s">
        <v>17</v>
      </c>
      <c r="C81" s="64">
        <v>0</v>
      </c>
      <c r="D81" s="64"/>
      <c r="E81" s="55">
        <f t="shared" si="1"/>
        <v>0</v>
      </c>
    </row>
    <row r="82" spans="1:5" ht="15.6" hidden="1">
      <c r="A82" s="22" t="s">
        <v>66</v>
      </c>
      <c r="B82" s="22" t="s">
        <v>3</v>
      </c>
      <c r="C82" s="53">
        <v>0</v>
      </c>
      <c r="D82" s="53"/>
      <c r="E82" s="55">
        <f t="shared" si="1"/>
        <v>0</v>
      </c>
    </row>
    <row r="83" spans="1:5" ht="15.6">
      <c r="A83" s="22" t="s">
        <v>67</v>
      </c>
      <c r="B83" s="22" t="s">
        <v>3</v>
      </c>
      <c r="C83" s="53">
        <v>25</v>
      </c>
      <c r="D83" s="53">
        <v>11000</v>
      </c>
      <c r="E83" s="55">
        <f t="shared" si="1"/>
        <v>275000</v>
      </c>
    </row>
    <row r="84" spans="1:5" ht="15.6">
      <c r="A84" s="22" t="s">
        <v>68</v>
      </c>
      <c r="B84" s="22" t="s">
        <v>3</v>
      </c>
      <c r="C84" s="53">
        <v>13</v>
      </c>
      <c r="D84" s="53">
        <v>10000</v>
      </c>
      <c r="E84" s="55">
        <f t="shared" si="1"/>
        <v>130000</v>
      </c>
    </row>
    <row r="85" spans="1:5" ht="15.6" hidden="1">
      <c r="A85" s="22" t="s">
        <v>68</v>
      </c>
      <c r="B85" s="22" t="s">
        <v>40</v>
      </c>
      <c r="C85" s="53">
        <v>0</v>
      </c>
      <c r="D85" s="53"/>
      <c r="E85" s="55">
        <f t="shared" si="1"/>
        <v>0</v>
      </c>
    </row>
    <row r="86" spans="1:5" ht="15.6" hidden="1">
      <c r="A86" s="22" t="s">
        <v>70</v>
      </c>
      <c r="B86" s="22" t="s">
        <v>30</v>
      </c>
      <c r="C86" s="53">
        <v>0</v>
      </c>
      <c r="D86" s="53"/>
      <c r="E86" s="55">
        <f t="shared" si="1"/>
        <v>0</v>
      </c>
    </row>
    <row r="87" spans="1:5" ht="15.6">
      <c r="A87" s="22" t="s">
        <v>160</v>
      </c>
      <c r="B87" s="22" t="s">
        <v>3</v>
      </c>
      <c r="C87" s="53">
        <v>120</v>
      </c>
      <c r="D87" s="53">
        <v>50000</v>
      </c>
      <c r="E87" s="55">
        <f t="shared" si="1"/>
        <v>6000000</v>
      </c>
    </row>
    <row r="88" spans="1:5" ht="15.6" hidden="1">
      <c r="A88" s="22" t="s">
        <v>72</v>
      </c>
      <c r="B88" s="22" t="s">
        <v>17</v>
      </c>
      <c r="C88" s="53">
        <v>0</v>
      </c>
      <c r="D88" s="53"/>
      <c r="E88" s="55">
        <f t="shared" si="1"/>
        <v>0</v>
      </c>
    </row>
    <row r="89" spans="1:5" ht="15.6" hidden="1">
      <c r="A89" s="22" t="s">
        <v>73</v>
      </c>
      <c r="B89" s="22" t="s">
        <v>25</v>
      </c>
      <c r="C89" s="53">
        <v>0</v>
      </c>
      <c r="D89" s="53"/>
      <c r="E89" s="55">
        <f t="shared" si="1"/>
        <v>0</v>
      </c>
    </row>
    <row r="90" spans="1:5" ht="15.6">
      <c r="A90" s="22" t="s">
        <v>73</v>
      </c>
      <c r="B90" s="22" t="s">
        <v>3</v>
      </c>
      <c r="C90" s="53">
        <v>7</v>
      </c>
      <c r="D90" s="53">
        <v>42000</v>
      </c>
      <c r="E90" s="55">
        <f t="shared" si="1"/>
        <v>294000</v>
      </c>
    </row>
    <row r="91" spans="1:5" ht="15.6">
      <c r="A91" s="22" t="s">
        <v>74</v>
      </c>
      <c r="B91" s="22" t="s">
        <v>3</v>
      </c>
      <c r="C91" s="53">
        <v>100</v>
      </c>
      <c r="D91" s="53">
        <v>26000</v>
      </c>
      <c r="E91" s="55">
        <f t="shared" si="1"/>
        <v>2600000</v>
      </c>
    </row>
    <row r="92" spans="1:5" ht="15.6" hidden="1">
      <c r="A92" s="22" t="s">
        <v>74</v>
      </c>
      <c r="B92" s="22" t="s">
        <v>9</v>
      </c>
      <c r="C92" s="53">
        <v>0</v>
      </c>
      <c r="D92" s="53"/>
      <c r="E92" s="55">
        <f t="shared" si="1"/>
        <v>0</v>
      </c>
    </row>
    <row r="93" spans="1:5" ht="15.6">
      <c r="A93" s="22" t="s">
        <v>75</v>
      </c>
      <c r="B93" s="22" t="s">
        <v>3</v>
      </c>
      <c r="C93" s="53">
        <v>20</v>
      </c>
      <c r="D93" s="53">
        <v>21000</v>
      </c>
      <c r="E93" s="55">
        <f t="shared" si="1"/>
        <v>420000</v>
      </c>
    </row>
    <row r="94" spans="1:5" ht="15.6">
      <c r="A94" s="22" t="s">
        <v>76</v>
      </c>
      <c r="B94" s="22" t="s">
        <v>3</v>
      </c>
      <c r="C94" s="53">
        <v>37</v>
      </c>
      <c r="D94" s="53">
        <v>35000</v>
      </c>
      <c r="E94" s="55">
        <f t="shared" si="1"/>
        <v>1295000</v>
      </c>
    </row>
    <row r="95" spans="1:5" ht="15.6" hidden="1">
      <c r="A95" s="22" t="s">
        <v>76</v>
      </c>
      <c r="B95" s="22" t="s">
        <v>9</v>
      </c>
      <c r="C95" s="53">
        <v>0</v>
      </c>
      <c r="D95" s="53"/>
      <c r="E95" s="55">
        <f t="shared" si="1"/>
        <v>0</v>
      </c>
    </row>
    <row r="96" spans="1:5" ht="15.6">
      <c r="A96" s="22" t="s">
        <v>77</v>
      </c>
      <c r="B96" s="22" t="s">
        <v>3</v>
      </c>
      <c r="C96" s="53">
        <v>20</v>
      </c>
      <c r="D96" s="53">
        <v>30000</v>
      </c>
      <c r="E96" s="55">
        <f t="shared" si="1"/>
        <v>600000</v>
      </c>
    </row>
    <row r="97" spans="1:5" ht="15.6">
      <c r="A97" s="22" t="s">
        <v>78</v>
      </c>
      <c r="B97" s="22" t="s">
        <v>3</v>
      </c>
      <c r="C97" s="53">
        <v>33</v>
      </c>
      <c r="D97" s="53">
        <v>30000</v>
      </c>
      <c r="E97" s="55">
        <f t="shared" si="1"/>
        <v>990000</v>
      </c>
    </row>
    <row r="98" spans="1:5" ht="15.6" hidden="1">
      <c r="A98" s="22" t="s">
        <v>78</v>
      </c>
      <c r="B98" s="22" t="s">
        <v>9</v>
      </c>
      <c r="C98" s="53">
        <v>0</v>
      </c>
      <c r="D98" s="53"/>
      <c r="E98" s="55">
        <f t="shared" si="1"/>
        <v>0</v>
      </c>
    </row>
    <row r="99" spans="1:5" ht="15.6">
      <c r="A99" s="22" t="s">
        <v>173</v>
      </c>
      <c r="B99" s="22" t="s">
        <v>3</v>
      </c>
      <c r="C99" s="53">
        <v>20</v>
      </c>
      <c r="D99" s="53">
        <v>25000</v>
      </c>
      <c r="E99" s="55">
        <f t="shared" si="1"/>
        <v>500000</v>
      </c>
    </row>
    <row r="100" spans="1:5" ht="15.6">
      <c r="A100" s="22" t="s">
        <v>79</v>
      </c>
      <c r="B100" s="22" t="s">
        <v>30</v>
      </c>
      <c r="C100" s="53">
        <v>29</v>
      </c>
      <c r="D100" s="53">
        <v>18000</v>
      </c>
      <c r="E100" s="55">
        <f t="shared" si="1"/>
        <v>522000</v>
      </c>
    </row>
    <row r="101" spans="1:5" ht="15.6" hidden="1">
      <c r="A101" s="22" t="s">
        <v>80</v>
      </c>
      <c r="B101" s="22" t="s">
        <v>30</v>
      </c>
      <c r="C101" s="53">
        <v>0</v>
      </c>
      <c r="D101" s="53"/>
      <c r="E101" s="55">
        <f t="shared" si="1"/>
        <v>0</v>
      </c>
    </row>
    <row r="102" spans="1:5" ht="15.6">
      <c r="A102" s="22" t="s">
        <v>81</v>
      </c>
      <c r="B102" s="22" t="s">
        <v>9</v>
      </c>
      <c r="C102" s="53">
        <v>1513</v>
      </c>
      <c r="D102" s="53">
        <v>9000</v>
      </c>
      <c r="E102" s="55">
        <f t="shared" si="1"/>
        <v>13617000</v>
      </c>
    </row>
    <row r="103" spans="1:5" ht="15.6">
      <c r="A103" s="22" t="s">
        <v>82</v>
      </c>
      <c r="B103" s="22" t="s">
        <v>9</v>
      </c>
      <c r="C103" s="53">
        <v>375</v>
      </c>
      <c r="D103" s="53">
        <v>11361</v>
      </c>
      <c r="E103" s="55">
        <f t="shared" si="1"/>
        <v>4260375</v>
      </c>
    </row>
    <row r="104" spans="1:5" ht="15.6">
      <c r="A104" s="22" t="s">
        <v>85</v>
      </c>
      <c r="B104" s="22" t="s">
        <v>3</v>
      </c>
      <c r="C104" s="53">
        <v>15</v>
      </c>
      <c r="D104" s="53">
        <v>13000</v>
      </c>
      <c r="E104" s="55">
        <f t="shared" si="1"/>
        <v>195000</v>
      </c>
    </row>
    <row r="105" spans="1:5" ht="15.6" hidden="1">
      <c r="A105" s="22" t="s">
        <v>109</v>
      </c>
      <c r="B105" s="22" t="s">
        <v>25</v>
      </c>
      <c r="C105" s="53">
        <v>0</v>
      </c>
      <c r="D105" s="53"/>
      <c r="E105" s="55">
        <f t="shared" si="1"/>
        <v>0</v>
      </c>
    </row>
    <row r="106" spans="1:5" ht="15.6">
      <c r="A106" s="22" t="s">
        <v>87</v>
      </c>
      <c r="B106" s="22" t="s">
        <v>3</v>
      </c>
      <c r="C106" s="53">
        <v>70</v>
      </c>
      <c r="D106" s="53">
        <v>4000</v>
      </c>
      <c r="E106" s="55">
        <f t="shared" si="1"/>
        <v>280000</v>
      </c>
    </row>
    <row r="107" spans="1:5" ht="15.6" hidden="1">
      <c r="A107" s="22" t="s">
        <v>125</v>
      </c>
      <c r="B107" s="22" t="s">
        <v>3</v>
      </c>
      <c r="C107" s="53">
        <v>0</v>
      </c>
      <c r="D107" s="53"/>
      <c r="E107" s="55">
        <f t="shared" si="1"/>
        <v>0</v>
      </c>
    </row>
    <row r="108" spans="1:5" ht="15.6">
      <c r="A108" s="22" t="s">
        <v>88</v>
      </c>
      <c r="B108" s="22" t="s">
        <v>3</v>
      </c>
      <c r="C108" s="53">
        <v>12</v>
      </c>
      <c r="D108" s="53">
        <v>8000</v>
      </c>
      <c r="E108" s="55">
        <f t="shared" si="1"/>
        <v>96000</v>
      </c>
    </row>
    <row r="109" spans="1:5" ht="15.6">
      <c r="A109" s="22" t="s">
        <v>89</v>
      </c>
      <c r="B109" s="22" t="s">
        <v>3</v>
      </c>
      <c r="C109" s="53">
        <v>13</v>
      </c>
      <c r="D109" s="53">
        <v>25000</v>
      </c>
      <c r="E109" s="55">
        <f t="shared" si="1"/>
        <v>325000</v>
      </c>
    </row>
    <row r="110" spans="1:5" ht="15.6" hidden="1">
      <c r="A110" s="22" t="s">
        <v>90</v>
      </c>
      <c r="B110" s="22" t="s">
        <v>40</v>
      </c>
      <c r="C110" s="53">
        <v>0</v>
      </c>
      <c r="D110" s="53"/>
      <c r="E110" s="55">
        <f t="shared" si="1"/>
        <v>0</v>
      </c>
    </row>
    <row r="111" spans="1:5" ht="15.6">
      <c r="A111" s="22" t="s">
        <v>91</v>
      </c>
      <c r="B111" s="22" t="s">
        <v>3</v>
      </c>
      <c r="C111" s="53">
        <v>7</v>
      </c>
      <c r="D111" s="53">
        <v>24000</v>
      </c>
      <c r="E111" s="55">
        <f t="shared" si="1"/>
        <v>168000</v>
      </c>
    </row>
    <row r="112" spans="1:5" ht="15.6" hidden="1">
      <c r="A112" s="22" t="s">
        <v>92</v>
      </c>
      <c r="B112" s="22" t="s">
        <v>40</v>
      </c>
      <c r="C112" s="53">
        <v>0</v>
      </c>
      <c r="D112" s="53"/>
      <c r="E112" s="55">
        <f t="shared" si="1"/>
        <v>0</v>
      </c>
    </row>
    <row r="113" spans="1:5" ht="15.6" hidden="1">
      <c r="A113" s="22" t="s">
        <v>93</v>
      </c>
      <c r="B113" s="22" t="s">
        <v>3</v>
      </c>
      <c r="C113" s="53">
        <v>0</v>
      </c>
      <c r="D113" s="53"/>
      <c r="E113" s="55">
        <f t="shared" si="1"/>
        <v>0</v>
      </c>
    </row>
    <row r="114" spans="1:5" ht="15.6">
      <c r="A114" s="22" t="s">
        <v>94</v>
      </c>
      <c r="B114" s="22" t="s">
        <v>3</v>
      </c>
      <c r="C114" s="53">
        <v>19</v>
      </c>
      <c r="D114" s="53">
        <v>25000</v>
      </c>
      <c r="E114" s="55">
        <f t="shared" si="1"/>
        <v>475000</v>
      </c>
    </row>
    <row r="115" spans="1:5" ht="15.6">
      <c r="A115" s="22" t="s">
        <v>95</v>
      </c>
      <c r="B115" s="22" t="s">
        <v>40</v>
      </c>
      <c r="C115" s="53">
        <v>115</v>
      </c>
      <c r="D115" s="53">
        <v>7000</v>
      </c>
      <c r="E115" s="55">
        <f t="shared" si="1"/>
        <v>805000</v>
      </c>
    </row>
    <row r="116" spans="1:5">
      <c r="E116" s="51">
        <f>SUM(E3:E115)</f>
        <v>153850375</v>
      </c>
    </row>
  </sheetData>
  <autoFilter ref="A2:E115">
    <filterColumn colId="2">
      <filters>
        <filter val="1"/>
        <filter val="1,005"/>
        <filter val="1,040"/>
        <filter val="1,070"/>
        <filter val="1,513"/>
        <filter val="10"/>
        <filter val="100"/>
        <filter val="11"/>
        <filter val="110"/>
        <filter val="115"/>
        <filter val="12"/>
        <filter val="120"/>
        <filter val="13"/>
        <filter val="14"/>
        <filter val="140"/>
        <filter val="15"/>
        <filter val="19"/>
        <filter val="2"/>
        <filter val="2,230"/>
        <filter val="20"/>
        <filter val="21"/>
        <filter val="210"/>
        <filter val="230"/>
        <filter val="25"/>
        <filter val="29"/>
        <filter val="30"/>
        <filter val="32"/>
        <filter val="320"/>
        <filter val="33"/>
        <filter val="330"/>
        <filter val="36"/>
        <filter val="37"/>
        <filter val="375"/>
        <filter val="40"/>
        <filter val="45"/>
        <filter val="470"/>
        <filter val="50"/>
        <filter val="530"/>
        <filter val="550"/>
        <filter val="57"/>
        <filter val="6"/>
        <filter val="7"/>
        <filter val="70"/>
        <filter val="79"/>
        <filter val="8"/>
      </filters>
    </filterColumn>
  </autoFilter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2:E105"/>
  <sheetViews>
    <sheetView workbookViewId="0">
      <selection activeCell="J96" sqref="J96"/>
    </sheetView>
  </sheetViews>
  <sheetFormatPr defaultRowHeight="13.8"/>
  <cols>
    <col min="1" max="1" width="29.3984375" customWidth="1"/>
    <col min="5" max="5" width="16.09765625" customWidth="1"/>
  </cols>
  <sheetData>
    <row r="2" spans="1:5" ht="68.400000000000006" customHeight="1">
      <c r="A2" s="52" t="s">
        <v>106</v>
      </c>
      <c r="B2" s="52" t="s">
        <v>0</v>
      </c>
      <c r="C2" s="53" t="s">
        <v>111</v>
      </c>
      <c r="D2" s="53" t="s">
        <v>112</v>
      </c>
      <c r="E2" s="54" t="s">
        <v>113</v>
      </c>
    </row>
    <row r="3" spans="1:5" ht="15.6">
      <c r="A3" s="22" t="s">
        <v>31</v>
      </c>
      <c r="B3" s="22" t="s">
        <v>3</v>
      </c>
      <c r="C3" s="53">
        <v>102</v>
      </c>
      <c r="D3" s="53">
        <v>6500</v>
      </c>
      <c r="E3" s="55">
        <f>C3*D3</f>
        <v>663000</v>
      </c>
    </row>
    <row r="4" spans="1:5" ht="15.6" hidden="1">
      <c r="A4" s="22" t="s">
        <v>31</v>
      </c>
      <c r="B4" s="22" t="s">
        <v>30</v>
      </c>
      <c r="C4" s="53">
        <v>0</v>
      </c>
      <c r="D4" s="53"/>
      <c r="E4" s="55">
        <f t="shared" ref="E4:E67" si="0">C4*D4</f>
        <v>0</v>
      </c>
    </row>
    <row r="5" spans="1:5" ht="15.6" hidden="1">
      <c r="A5" s="22" t="s">
        <v>32</v>
      </c>
      <c r="B5" s="22" t="s">
        <v>17</v>
      </c>
      <c r="C5" s="53">
        <v>0</v>
      </c>
      <c r="D5" s="53"/>
      <c r="E5" s="55">
        <f t="shared" si="0"/>
        <v>0</v>
      </c>
    </row>
    <row r="6" spans="1:5" ht="15.6">
      <c r="A6" s="22" t="s">
        <v>42</v>
      </c>
      <c r="B6" s="22" t="s">
        <v>25</v>
      </c>
      <c r="C6" s="53">
        <v>13</v>
      </c>
      <c r="D6" s="53">
        <v>10000</v>
      </c>
      <c r="E6" s="55">
        <f t="shared" si="0"/>
        <v>130000</v>
      </c>
    </row>
    <row r="7" spans="1:5" ht="15.6">
      <c r="A7" s="22" t="s">
        <v>42</v>
      </c>
      <c r="B7" s="22" t="s">
        <v>3</v>
      </c>
      <c r="C7" s="53">
        <v>4.5</v>
      </c>
      <c r="D7" s="53">
        <v>25000</v>
      </c>
      <c r="E7" s="55">
        <f t="shared" si="0"/>
        <v>112500</v>
      </c>
    </row>
    <row r="8" spans="1:5" ht="15.6">
      <c r="A8" s="22" t="s">
        <v>45</v>
      </c>
      <c r="B8" s="22" t="s">
        <v>3</v>
      </c>
      <c r="C8" s="53">
        <v>25</v>
      </c>
      <c r="D8" s="53">
        <v>9000</v>
      </c>
      <c r="E8" s="55">
        <f t="shared" si="0"/>
        <v>225000</v>
      </c>
    </row>
    <row r="9" spans="1:5" ht="15.6" hidden="1">
      <c r="A9" s="22" t="s">
        <v>45</v>
      </c>
      <c r="B9" s="22" t="s">
        <v>30</v>
      </c>
      <c r="C9" s="53">
        <v>0</v>
      </c>
      <c r="D9" s="53"/>
      <c r="E9" s="55">
        <f t="shared" si="0"/>
        <v>0</v>
      </c>
    </row>
    <row r="10" spans="1:5" ht="15.6">
      <c r="A10" s="22" t="s">
        <v>47</v>
      </c>
      <c r="B10" s="22" t="s">
        <v>3</v>
      </c>
      <c r="C10" s="53">
        <v>200</v>
      </c>
      <c r="D10" s="53">
        <v>7000</v>
      </c>
      <c r="E10" s="55">
        <f t="shared" si="0"/>
        <v>1400000</v>
      </c>
    </row>
    <row r="11" spans="1:5" ht="15.6" hidden="1">
      <c r="A11" s="22" t="s">
        <v>47</v>
      </c>
      <c r="B11" s="22" t="s">
        <v>48</v>
      </c>
      <c r="C11" s="53">
        <v>0</v>
      </c>
      <c r="D11" s="53"/>
      <c r="E11" s="55">
        <f t="shared" si="0"/>
        <v>0</v>
      </c>
    </row>
    <row r="12" spans="1:5" ht="15.6">
      <c r="A12" s="22" t="s">
        <v>49</v>
      </c>
      <c r="B12" s="22" t="s">
        <v>30</v>
      </c>
      <c r="C12" s="53">
        <v>183</v>
      </c>
      <c r="D12" s="53">
        <v>1800</v>
      </c>
      <c r="E12" s="55">
        <f t="shared" si="0"/>
        <v>329400</v>
      </c>
    </row>
    <row r="13" spans="1:5" ht="15.6">
      <c r="A13" s="22" t="s">
        <v>51</v>
      </c>
      <c r="B13" s="22" t="s">
        <v>3</v>
      </c>
      <c r="C13" s="53">
        <v>725</v>
      </c>
      <c r="D13" s="53">
        <v>25000</v>
      </c>
      <c r="E13" s="55">
        <f t="shared" si="0"/>
        <v>18125000</v>
      </c>
    </row>
    <row r="14" spans="1:5" ht="15.6">
      <c r="A14" s="22" t="s">
        <v>53</v>
      </c>
      <c r="B14" s="22" t="s">
        <v>3</v>
      </c>
      <c r="C14" s="53">
        <v>200</v>
      </c>
      <c r="D14" s="53">
        <v>16000</v>
      </c>
      <c r="E14" s="55">
        <f t="shared" si="0"/>
        <v>3200000</v>
      </c>
    </row>
    <row r="15" spans="1:5" ht="15.6">
      <c r="A15" s="22" t="s">
        <v>56</v>
      </c>
      <c r="B15" s="22" t="s">
        <v>3</v>
      </c>
      <c r="C15" s="53">
        <v>260</v>
      </c>
      <c r="D15" s="53">
        <v>10800</v>
      </c>
      <c r="E15" s="55">
        <f t="shared" si="0"/>
        <v>2808000</v>
      </c>
    </row>
    <row r="16" spans="1:5" ht="15.6" hidden="1">
      <c r="A16" s="22" t="s">
        <v>56</v>
      </c>
      <c r="B16" s="22" t="s">
        <v>30</v>
      </c>
      <c r="C16" s="53">
        <v>0</v>
      </c>
      <c r="D16" s="53"/>
      <c r="E16" s="55">
        <f t="shared" si="0"/>
        <v>0</v>
      </c>
    </row>
    <row r="17" spans="1:5" ht="15.6">
      <c r="A17" s="22" t="s">
        <v>16</v>
      </c>
      <c r="B17" s="22" t="s">
        <v>17</v>
      </c>
      <c r="C17" s="53">
        <v>4</v>
      </c>
      <c r="D17" s="53">
        <v>6000</v>
      </c>
      <c r="E17" s="55">
        <f t="shared" si="0"/>
        <v>24000</v>
      </c>
    </row>
    <row r="18" spans="1:5" ht="15.6">
      <c r="A18" s="22" t="s">
        <v>5</v>
      </c>
      <c r="B18" s="22" t="s">
        <v>3</v>
      </c>
      <c r="C18" s="53">
        <v>428</v>
      </c>
      <c r="D18" s="53">
        <v>3000</v>
      </c>
      <c r="E18" s="55">
        <f t="shared" si="0"/>
        <v>1284000</v>
      </c>
    </row>
    <row r="19" spans="1:5" ht="15.6" hidden="1">
      <c r="A19" s="22" t="s">
        <v>35</v>
      </c>
      <c r="B19" s="22" t="s">
        <v>3</v>
      </c>
      <c r="C19" s="53">
        <v>0</v>
      </c>
      <c r="D19" s="53"/>
      <c r="E19" s="55">
        <f t="shared" si="0"/>
        <v>0</v>
      </c>
    </row>
    <row r="20" spans="1:5" ht="15.6" hidden="1">
      <c r="A20" s="22" t="s">
        <v>35</v>
      </c>
      <c r="B20" s="22" t="s">
        <v>30</v>
      </c>
      <c r="C20" s="53">
        <v>0</v>
      </c>
      <c r="D20" s="53"/>
      <c r="E20" s="55">
        <f t="shared" si="0"/>
        <v>0</v>
      </c>
    </row>
    <row r="21" spans="1:5" ht="15.6">
      <c r="A21" s="22" t="s">
        <v>37</v>
      </c>
      <c r="B21" s="22" t="s">
        <v>30</v>
      </c>
      <c r="C21" s="53">
        <v>9</v>
      </c>
      <c r="D21" s="53">
        <v>3900</v>
      </c>
      <c r="E21" s="55">
        <f t="shared" si="0"/>
        <v>35100</v>
      </c>
    </row>
    <row r="22" spans="1:5" ht="15.6">
      <c r="A22" s="22" t="s">
        <v>38</v>
      </c>
      <c r="B22" s="22" t="s">
        <v>3</v>
      </c>
      <c r="C22" s="53">
        <v>680</v>
      </c>
      <c r="D22" s="53">
        <v>4500</v>
      </c>
      <c r="E22" s="55">
        <f t="shared" si="0"/>
        <v>3060000</v>
      </c>
    </row>
    <row r="23" spans="1:5" ht="15.6">
      <c r="A23" s="22" t="s">
        <v>39</v>
      </c>
      <c r="B23" s="22" t="s">
        <v>3</v>
      </c>
      <c r="C23" s="53">
        <v>81</v>
      </c>
      <c r="D23" s="53">
        <v>10000</v>
      </c>
      <c r="E23" s="55">
        <f t="shared" si="0"/>
        <v>810000</v>
      </c>
    </row>
    <row r="24" spans="1:5" ht="15.6" hidden="1">
      <c r="A24" s="22" t="s">
        <v>39</v>
      </c>
      <c r="B24" s="22" t="s">
        <v>40</v>
      </c>
      <c r="C24" s="53">
        <v>0</v>
      </c>
      <c r="D24" s="53"/>
      <c r="E24" s="55">
        <f t="shared" si="0"/>
        <v>0</v>
      </c>
    </row>
    <row r="25" spans="1:5" ht="15.6">
      <c r="A25" s="22" t="s">
        <v>7</v>
      </c>
      <c r="B25" s="22" t="s">
        <v>3</v>
      </c>
      <c r="C25" s="53">
        <v>450</v>
      </c>
      <c r="D25" s="53">
        <v>9000</v>
      </c>
      <c r="E25" s="55">
        <f t="shared" si="0"/>
        <v>4050000</v>
      </c>
    </row>
    <row r="26" spans="1:5" ht="15.6">
      <c r="A26" s="22" t="s">
        <v>8</v>
      </c>
      <c r="B26" s="22" t="s">
        <v>3</v>
      </c>
      <c r="C26" s="53">
        <v>25</v>
      </c>
      <c r="D26" s="53">
        <v>15000</v>
      </c>
      <c r="E26" s="55">
        <f t="shared" si="0"/>
        <v>375000</v>
      </c>
    </row>
    <row r="27" spans="1:5" ht="15.6" hidden="1">
      <c r="A27" s="22" t="s">
        <v>8</v>
      </c>
      <c r="B27" s="22" t="s">
        <v>9</v>
      </c>
      <c r="C27" s="53">
        <v>0</v>
      </c>
      <c r="D27" s="53"/>
      <c r="E27" s="55">
        <f t="shared" si="0"/>
        <v>0</v>
      </c>
    </row>
    <row r="28" spans="1:5" ht="15.6">
      <c r="A28" s="22" t="s">
        <v>10</v>
      </c>
      <c r="B28" s="22" t="s">
        <v>3</v>
      </c>
      <c r="C28" s="53">
        <v>15</v>
      </c>
      <c r="D28" s="53">
        <v>13500</v>
      </c>
      <c r="E28" s="55">
        <f t="shared" si="0"/>
        <v>202500</v>
      </c>
    </row>
    <row r="29" spans="1:5" ht="15.6" hidden="1">
      <c r="A29" s="22" t="s">
        <v>10</v>
      </c>
      <c r="B29" s="22" t="s">
        <v>9</v>
      </c>
      <c r="C29" s="53">
        <v>0</v>
      </c>
      <c r="D29" s="53"/>
      <c r="E29" s="55">
        <f t="shared" si="0"/>
        <v>0</v>
      </c>
    </row>
    <row r="30" spans="1:5" ht="15.6">
      <c r="A30" s="22" t="s">
        <v>18</v>
      </c>
      <c r="B30" s="22" t="s">
        <v>3</v>
      </c>
      <c r="C30" s="53">
        <v>340</v>
      </c>
      <c r="D30" s="53">
        <v>14000</v>
      </c>
      <c r="E30" s="55">
        <f t="shared" si="0"/>
        <v>4760000</v>
      </c>
    </row>
    <row r="31" spans="1:5" ht="15.6" hidden="1">
      <c r="A31" s="22" t="s">
        <v>18</v>
      </c>
      <c r="B31" s="22" t="s">
        <v>19</v>
      </c>
      <c r="C31" s="53">
        <v>0</v>
      </c>
      <c r="D31" s="53"/>
      <c r="E31" s="55">
        <f t="shared" si="0"/>
        <v>0</v>
      </c>
    </row>
    <row r="32" spans="1:5" ht="15.6">
      <c r="A32" s="22" t="s">
        <v>28</v>
      </c>
      <c r="B32" s="22" t="s">
        <v>3</v>
      </c>
      <c r="C32" s="53">
        <v>70</v>
      </c>
      <c r="D32" s="53">
        <v>17000</v>
      </c>
      <c r="E32" s="55">
        <f t="shared" si="0"/>
        <v>1190000</v>
      </c>
    </row>
    <row r="33" spans="1:5" ht="15.6" hidden="1">
      <c r="A33" s="22" t="s">
        <v>28</v>
      </c>
      <c r="B33" s="22" t="s">
        <v>17</v>
      </c>
      <c r="C33" s="53">
        <v>0</v>
      </c>
      <c r="D33" s="53"/>
      <c r="E33" s="55">
        <f t="shared" si="0"/>
        <v>0</v>
      </c>
    </row>
    <row r="34" spans="1:5" ht="15.6">
      <c r="A34" s="22" t="s">
        <v>29</v>
      </c>
      <c r="B34" s="22" t="s">
        <v>30</v>
      </c>
      <c r="C34" s="53">
        <v>160</v>
      </c>
      <c r="D34" s="53">
        <v>12000</v>
      </c>
      <c r="E34" s="55">
        <f t="shared" si="0"/>
        <v>1920000</v>
      </c>
    </row>
    <row r="35" spans="1:5" ht="15.6" hidden="1">
      <c r="A35" s="22" t="s">
        <v>65</v>
      </c>
      <c r="B35" s="22" t="s">
        <v>3</v>
      </c>
      <c r="C35" s="53">
        <v>0</v>
      </c>
      <c r="D35" s="53"/>
      <c r="E35" s="55">
        <f t="shared" si="0"/>
        <v>0</v>
      </c>
    </row>
    <row r="36" spans="1:5" ht="15.6">
      <c r="A36" s="22" t="s">
        <v>65</v>
      </c>
      <c r="B36" s="22" t="s">
        <v>17</v>
      </c>
      <c r="C36" s="53">
        <v>28</v>
      </c>
      <c r="D36" s="53">
        <v>10000</v>
      </c>
      <c r="E36" s="55">
        <f t="shared" si="0"/>
        <v>280000</v>
      </c>
    </row>
    <row r="37" spans="1:5" ht="15.6" hidden="1">
      <c r="A37" s="22" t="s">
        <v>67</v>
      </c>
      <c r="B37" s="22" t="s">
        <v>3</v>
      </c>
      <c r="C37" s="53">
        <v>0</v>
      </c>
      <c r="D37" s="53"/>
      <c r="E37" s="55">
        <f t="shared" si="0"/>
        <v>0</v>
      </c>
    </row>
    <row r="38" spans="1:5" ht="15.6">
      <c r="A38" s="22" t="s">
        <v>74</v>
      </c>
      <c r="B38" s="22" t="s">
        <v>3</v>
      </c>
      <c r="C38" s="53">
        <v>85</v>
      </c>
      <c r="D38" s="53">
        <v>24000</v>
      </c>
      <c r="E38" s="55">
        <f t="shared" si="0"/>
        <v>2040000</v>
      </c>
    </row>
    <row r="39" spans="1:5" ht="15.6" hidden="1">
      <c r="A39" s="22" t="s">
        <v>74</v>
      </c>
      <c r="B39" s="22" t="s">
        <v>9</v>
      </c>
      <c r="C39" s="53">
        <v>0</v>
      </c>
      <c r="D39" s="53"/>
      <c r="E39" s="55">
        <f t="shared" si="0"/>
        <v>0</v>
      </c>
    </row>
    <row r="40" spans="1:5" ht="15.6">
      <c r="A40" s="22" t="s">
        <v>76</v>
      </c>
      <c r="B40" s="22" t="s">
        <v>3</v>
      </c>
      <c r="C40" s="53">
        <v>35</v>
      </c>
      <c r="D40" s="53">
        <v>34000</v>
      </c>
      <c r="E40" s="55">
        <f t="shared" si="0"/>
        <v>1190000</v>
      </c>
    </row>
    <row r="41" spans="1:5" ht="15.6" hidden="1">
      <c r="A41" s="22" t="s">
        <v>76</v>
      </c>
      <c r="B41" s="22" t="s">
        <v>9</v>
      </c>
      <c r="C41" s="53">
        <v>0</v>
      </c>
      <c r="D41" s="53"/>
      <c r="E41" s="55">
        <f t="shared" si="0"/>
        <v>0</v>
      </c>
    </row>
    <row r="42" spans="1:5" ht="15.6">
      <c r="A42" s="22" t="s">
        <v>78</v>
      </c>
      <c r="B42" s="22" t="s">
        <v>3</v>
      </c>
      <c r="C42" s="53">
        <v>70</v>
      </c>
      <c r="D42" s="53">
        <v>28000</v>
      </c>
      <c r="E42" s="55">
        <f t="shared" si="0"/>
        <v>1960000</v>
      </c>
    </row>
    <row r="43" spans="1:5" ht="15.6" hidden="1">
      <c r="A43" s="22" t="s">
        <v>78</v>
      </c>
      <c r="B43" s="22" t="s">
        <v>9</v>
      </c>
      <c r="C43" s="53">
        <v>0</v>
      </c>
      <c r="D43" s="53"/>
      <c r="E43" s="55">
        <f t="shared" si="0"/>
        <v>0</v>
      </c>
    </row>
    <row r="44" spans="1:5" ht="15.6" hidden="1">
      <c r="A44" s="22" t="s">
        <v>72</v>
      </c>
      <c r="B44" s="22" t="s">
        <v>17</v>
      </c>
      <c r="C44" s="53">
        <v>0</v>
      </c>
      <c r="D44" s="53"/>
      <c r="E44" s="55">
        <f t="shared" si="0"/>
        <v>0</v>
      </c>
    </row>
    <row r="45" spans="1:5" ht="15.6">
      <c r="A45" s="22" t="s">
        <v>50</v>
      </c>
      <c r="B45" s="22" t="s">
        <v>3</v>
      </c>
      <c r="C45" s="53">
        <v>1795</v>
      </c>
      <c r="D45" s="53">
        <v>25000</v>
      </c>
      <c r="E45" s="55">
        <f t="shared" si="0"/>
        <v>44875000</v>
      </c>
    </row>
    <row r="46" spans="1:5" ht="15.6">
      <c r="A46" s="22" t="s">
        <v>22</v>
      </c>
      <c r="B46" s="22" t="s">
        <v>3</v>
      </c>
      <c r="C46" s="53">
        <v>6</v>
      </c>
      <c r="D46" s="53">
        <v>20000</v>
      </c>
      <c r="E46" s="55">
        <f t="shared" si="0"/>
        <v>120000</v>
      </c>
    </row>
    <row r="47" spans="1:5" ht="15.6">
      <c r="A47" s="22" t="s">
        <v>22</v>
      </c>
      <c r="B47" s="22" t="s">
        <v>23</v>
      </c>
      <c r="C47" s="53">
        <v>56</v>
      </c>
      <c r="D47" s="53">
        <v>6000</v>
      </c>
      <c r="E47" s="55">
        <f t="shared" si="0"/>
        <v>336000</v>
      </c>
    </row>
    <row r="48" spans="1:5" ht="15.6">
      <c r="A48" s="22" t="s">
        <v>2</v>
      </c>
      <c r="B48" s="22" t="s">
        <v>3</v>
      </c>
      <c r="C48" s="53">
        <v>15</v>
      </c>
      <c r="D48" s="53">
        <v>16000</v>
      </c>
      <c r="E48" s="55">
        <f t="shared" si="0"/>
        <v>240000</v>
      </c>
    </row>
    <row r="49" spans="1:5" ht="15.6" hidden="1">
      <c r="A49" s="22" t="s">
        <v>4</v>
      </c>
      <c r="B49" s="22" t="s">
        <v>3</v>
      </c>
      <c r="C49" s="53">
        <v>0</v>
      </c>
      <c r="D49" s="53"/>
      <c r="E49" s="55">
        <f t="shared" si="0"/>
        <v>0</v>
      </c>
    </row>
    <row r="50" spans="1:5" ht="15.6" hidden="1">
      <c r="A50" s="22" t="s">
        <v>12</v>
      </c>
      <c r="B50" s="22" t="s">
        <v>3</v>
      </c>
      <c r="C50" s="53">
        <v>0</v>
      </c>
      <c r="D50" s="53"/>
      <c r="E50" s="55">
        <f t="shared" si="0"/>
        <v>0</v>
      </c>
    </row>
    <row r="51" spans="1:5" ht="15.6">
      <c r="A51" s="22" t="s">
        <v>20</v>
      </c>
      <c r="B51" s="22" t="s">
        <v>3</v>
      </c>
      <c r="C51" s="53">
        <v>5</v>
      </c>
      <c r="D51" s="53">
        <v>12000</v>
      </c>
      <c r="E51" s="55">
        <f t="shared" si="0"/>
        <v>60000</v>
      </c>
    </row>
    <row r="52" spans="1:5" ht="15.6" hidden="1">
      <c r="A52" s="22" t="s">
        <v>20</v>
      </c>
      <c r="B52" s="22" t="s">
        <v>21</v>
      </c>
      <c r="C52" s="53">
        <v>0</v>
      </c>
      <c r="D52" s="53"/>
      <c r="E52" s="55">
        <f t="shared" si="0"/>
        <v>0</v>
      </c>
    </row>
    <row r="53" spans="1:5" ht="15.6">
      <c r="A53" s="22" t="s">
        <v>24</v>
      </c>
      <c r="B53" s="22" t="s">
        <v>25</v>
      </c>
      <c r="C53" s="53">
        <v>24</v>
      </c>
      <c r="D53" s="53">
        <v>10200</v>
      </c>
      <c r="E53" s="55">
        <f t="shared" si="0"/>
        <v>244800</v>
      </c>
    </row>
    <row r="54" spans="1:5" ht="15.6" hidden="1">
      <c r="A54" s="22" t="s">
        <v>26</v>
      </c>
      <c r="B54" s="22" t="s">
        <v>3</v>
      </c>
      <c r="C54" s="53">
        <v>0</v>
      </c>
      <c r="D54" s="53"/>
      <c r="E54" s="55">
        <f t="shared" si="0"/>
        <v>0</v>
      </c>
    </row>
    <row r="55" spans="1:5" ht="15.6">
      <c r="A55" s="22" t="s">
        <v>26</v>
      </c>
      <c r="B55" s="22" t="s">
        <v>27</v>
      </c>
      <c r="C55" s="53">
        <v>31</v>
      </c>
      <c r="D55" s="53">
        <v>7500</v>
      </c>
      <c r="E55" s="55">
        <f t="shared" si="0"/>
        <v>232500</v>
      </c>
    </row>
    <row r="56" spans="1:5" ht="15.6">
      <c r="A56" s="22" t="s">
        <v>33</v>
      </c>
      <c r="B56" s="22" t="s">
        <v>3</v>
      </c>
      <c r="C56" s="53">
        <v>60</v>
      </c>
      <c r="D56" s="53">
        <v>8000</v>
      </c>
      <c r="E56" s="55">
        <f t="shared" si="0"/>
        <v>480000</v>
      </c>
    </row>
    <row r="57" spans="1:5" ht="15.6" hidden="1">
      <c r="A57" s="22" t="s">
        <v>33</v>
      </c>
      <c r="B57" s="22" t="s">
        <v>34</v>
      </c>
      <c r="C57" s="53">
        <v>0</v>
      </c>
      <c r="D57" s="53"/>
      <c r="E57" s="55">
        <f t="shared" si="0"/>
        <v>0</v>
      </c>
    </row>
    <row r="58" spans="1:5" ht="15.6">
      <c r="A58" s="22" t="s">
        <v>36</v>
      </c>
      <c r="B58" s="22" t="s">
        <v>30</v>
      </c>
      <c r="C58" s="53">
        <v>7</v>
      </c>
      <c r="D58" s="53">
        <v>3000</v>
      </c>
      <c r="E58" s="55">
        <f t="shared" si="0"/>
        <v>21000</v>
      </c>
    </row>
    <row r="59" spans="1:5" ht="15.6">
      <c r="A59" s="22" t="s">
        <v>54</v>
      </c>
      <c r="B59" s="22" t="s">
        <v>3</v>
      </c>
      <c r="C59" s="53">
        <v>22</v>
      </c>
      <c r="D59" s="53">
        <v>26000</v>
      </c>
      <c r="E59" s="55">
        <f t="shared" si="0"/>
        <v>572000</v>
      </c>
    </row>
    <row r="60" spans="1:5" ht="15.6" hidden="1">
      <c r="A60" s="22" t="s">
        <v>41</v>
      </c>
      <c r="B60" s="22" t="s">
        <v>3</v>
      </c>
      <c r="C60" s="53">
        <v>0</v>
      </c>
      <c r="D60" s="53"/>
      <c r="E60" s="55">
        <f t="shared" si="0"/>
        <v>0</v>
      </c>
    </row>
    <row r="61" spans="1:5" ht="15.6" hidden="1">
      <c r="A61" s="22" t="s">
        <v>44</v>
      </c>
      <c r="B61" s="22" t="s">
        <v>3</v>
      </c>
      <c r="C61" s="53">
        <v>0</v>
      </c>
      <c r="D61" s="53"/>
      <c r="E61" s="55">
        <f t="shared" si="0"/>
        <v>0</v>
      </c>
    </row>
    <row r="62" spans="1:5" ht="15.6">
      <c r="A62" s="22" t="s">
        <v>46</v>
      </c>
      <c r="B62" s="22" t="s">
        <v>3</v>
      </c>
      <c r="C62" s="53">
        <v>10</v>
      </c>
      <c r="D62" s="53">
        <v>18000</v>
      </c>
      <c r="E62" s="55">
        <f t="shared" si="0"/>
        <v>180000</v>
      </c>
    </row>
    <row r="63" spans="1:5" ht="15.6" hidden="1">
      <c r="A63" s="22" t="s">
        <v>58</v>
      </c>
      <c r="B63" s="22" t="s">
        <v>3</v>
      </c>
      <c r="C63" s="53">
        <v>0</v>
      </c>
      <c r="D63" s="53"/>
      <c r="E63" s="55">
        <f t="shared" si="0"/>
        <v>0</v>
      </c>
    </row>
    <row r="64" spans="1:5" ht="15.6">
      <c r="A64" s="22" t="s">
        <v>59</v>
      </c>
      <c r="B64" s="22" t="s">
        <v>30</v>
      </c>
      <c r="C64" s="53">
        <v>26</v>
      </c>
      <c r="D64" s="53">
        <v>6000</v>
      </c>
      <c r="E64" s="55">
        <f t="shared" si="0"/>
        <v>156000</v>
      </c>
    </row>
    <row r="65" spans="1:5" ht="15.6" hidden="1">
      <c r="A65" s="22" t="s">
        <v>60</v>
      </c>
      <c r="B65" s="22" t="s">
        <v>3</v>
      </c>
      <c r="C65" s="53">
        <v>0</v>
      </c>
      <c r="D65" s="53"/>
      <c r="E65" s="55">
        <f t="shared" si="0"/>
        <v>0</v>
      </c>
    </row>
    <row r="66" spans="1:5" ht="15.6" hidden="1">
      <c r="A66" s="22" t="s">
        <v>60</v>
      </c>
      <c r="B66" s="22" t="s">
        <v>30</v>
      </c>
      <c r="C66" s="53">
        <v>0</v>
      </c>
      <c r="D66" s="53"/>
      <c r="E66" s="55">
        <f t="shared" si="0"/>
        <v>0</v>
      </c>
    </row>
    <row r="67" spans="1:5" ht="15.6">
      <c r="A67" s="22" t="s">
        <v>60</v>
      </c>
      <c r="B67" s="22" t="s">
        <v>61</v>
      </c>
      <c r="C67" s="53">
        <v>70</v>
      </c>
      <c r="D67" s="53">
        <v>6000</v>
      </c>
      <c r="E67" s="55">
        <f t="shared" si="0"/>
        <v>420000</v>
      </c>
    </row>
    <row r="68" spans="1:5" ht="15.6" hidden="1">
      <c r="A68" s="22" t="s">
        <v>62</v>
      </c>
      <c r="B68" s="22" t="s">
        <v>3</v>
      </c>
      <c r="C68" s="53">
        <v>0</v>
      </c>
      <c r="D68" s="53"/>
      <c r="E68" s="55">
        <f t="shared" ref="E68:E104" si="1">C68*D68</f>
        <v>0</v>
      </c>
    </row>
    <row r="69" spans="1:5" ht="15.6" hidden="1">
      <c r="A69" s="22" t="s">
        <v>63</v>
      </c>
      <c r="B69" s="22" t="s">
        <v>3</v>
      </c>
      <c r="C69" s="53">
        <v>0</v>
      </c>
      <c r="D69" s="53"/>
      <c r="E69" s="55">
        <f t="shared" si="1"/>
        <v>0</v>
      </c>
    </row>
    <row r="70" spans="1:5" ht="15.6" hidden="1">
      <c r="A70" s="22" t="s">
        <v>64</v>
      </c>
      <c r="B70" s="22" t="s">
        <v>3</v>
      </c>
      <c r="C70" s="53">
        <v>0</v>
      </c>
      <c r="D70" s="53"/>
      <c r="E70" s="55">
        <f t="shared" si="1"/>
        <v>0</v>
      </c>
    </row>
    <row r="71" spans="1:5" ht="15.6">
      <c r="A71" s="22" t="s">
        <v>68</v>
      </c>
      <c r="B71" s="22" t="s">
        <v>3</v>
      </c>
      <c r="C71" s="53">
        <v>2</v>
      </c>
      <c r="D71" s="53">
        <v>10000</v>
      </c>
      <c r="E71" s="55">
        <f t="shared" si="1"/>
        <v>20000</v>
      </c>
    </row>
    <row r="72" spans="1:5" ht="15.6" hidden="1">
      <c r="A72" s="22" t="s">
        <v>68</v>
      </c>
      <c r="B72" s="22" t="s">
        <v>40</v>
      </c>
      <c r="C72" s="53">
        <v>0</v>
      </c>
      <c r="D72" s="53"/>
      <c r="E72" s="55">
        <f t="shared" si="1"/>
        <v>0</v>
      </c>
    </row>
    <row r="73" spans="1:5" ht="15.6">
      <c r="A73" s="22" t="s">
        <v>85</v>
      </c>
      <c r="B73" s="22" t="s">
        <v>3</v>
      </c>
      <c r="C73" s="53">
        <v>19</v>
      </c>
      <c r="D73" s="53">
        <v>13000</v>
      </c>
      <c r="E73" s="55">
        <f t="shared" si="1"/>
        <v>247000</v>
      </c>
    </row>
    <row r="74" spans="1:5" ht="15.6" hidden="1">
      <c r="A74" s="22" t="s">
        <v>70</v>
      </c>
      <c r="B74" s="22" t="s">
        <v>30</v>
      </c>
      <c r="C74" s="53">
        <v>0</v>
      </c>
      <c r="D74" s="53"/>
      <c r="E74" s="55">
        <f t="shared" si="1"/>
        <v>0</v>
      </c>
    </row>
    <row r="75" spans="1:5" ht="15.6">
      <c r="A75" s="22" t="s">
        <v>71</v>
      </c>
      <c r="B75" s="22" t="s">
        <v>3</v>
      </c>
      <c r="C75" s="53">
        <v>7</v>
      </c>
      <c r="D75" s="53">
        <v>14000</v>
      </c>
      <c r="E75" s="55">
        <f t="shared" si="1"/>
        <v>98000</v>
      </c>
    </row>
    <row r="76" spans="1:5" ht="15.6" hidden="1">
      <c r="A76" s="22" t="s">
        <v>73</v>
      </c>
      <c r="B76" s="22" t="s">
        <v>25</v>
      </c>
      <c r="C76" s="53">
        <v>0</v>
      </c>
      <c r="D76" s="53"/>
      <c r="E76" s="55">
        <f t="shared" si="1"/>
        <v>0</v>
      </c>
    </row>
    <row r="77" spans="1:5" ht="15.6">
      <c r="A77" s="22" t="s">
        <v>79</v>
      </c>
      <c r="B77" s="22" t="s">
        <v>30</v>
      </c>
      <c r="C77" s="53">
        <v>65</v>
      </c>
      <c r="D77" s="53">
        <v>18000</v>
      </c>
      <c r="E77" s="55">
        <f t="shared" si="1"/>
        <v>1170000</v>
      </c>
    </row>
    <row r="78" spans="1:5" ht="15.6">
      <c r="A78" s="22" t="s">
        <v>87</v>
      </c>
      <c r="B78" s="22" t="s">
        <v>3</v>
      </c>
      <c r="C78" s="53">
        <v>65</v>
      </c>
      <c r="D78" s="53">
        <v>4000</v>
      </c>
      <c r="E78" s="55">
        <f t="shared" si="1"/>
        <v>260000</v>
      </c>
    </row>
    <row r="79" spans="1:5" ht="15.6">
      <c r="A79" s="22" t="s">
        <v>81</v>
      </c>
      <c r="B79" s="22" t="s">
        <v>9</v>
      </c>
      <c r="C79" s="53">
        <v>2393</v>
      </c>
      <c r="D79" s="53">
        <v>9000</v>
      </c>
      <c r="E79" s="55">
        <f t="shared" si="1"/>
        <v>21537000</v>
      </c>
    </row>
    <row r="80" spans="1:5" ht="15.6" hidden="1">
      <c r="A80" s="22" t="s">
        <v>91</v>
      </c>
      <c r="B80" s="22" t="s">
        <v>3</v>
      </c>
      <c r="C80" s="53">
        <v>0</v>
      </c>
      <c r="D80" s="53"/>
      <c r="E80" s="55">
        <f t="shared" si="1"/>
        <v>0</v>
      </c>
    </row>
    <row r="81" spans="1:5" ht="15.6">
      <c r="A81" s="22" t="s">
        <v>94</v>
      </c>
      <c r="B81" s="22" t="s">
        <v>3</v>
      </c>
      <c r="C81" s="53">
        <v>6</v>
      </c>
      <c r="D81" s="53">
        <v>30000</v>
      </c>
      <c r="E81" s="55">
        <f t="shared" si="1"/>
        <v>180000</v>
      </c>
    </row>
    <row r="82" spans="1:5" ht="15.6">
      <c r="A82" s="22" t="s">
        <v>95</v>
      </c>
      <c r="B82" s="22" t="s">
        <v>40</v>
      </c>
      <c r="C82" s="53">
        <v>87</v>
      </c>
      <c r="D82" s="53">
        <v>7000</v>
      </c>
      <c r="E82" s="55">
        <f t="shared" si="1"/>
        <v>609000</v>
      </c>
    </row>
    <row r="83" spans="1:5" ht="15.6" hidden="1">
      <c r="A83" s="22" t="s">
        <v>100</v>
      </c>
      <c r="B83" s="22" t="s">
        <v>3</v>
      </c>
      <c r="C83" s="53">
        <v>0</v>
      </c>
      <c r="D83" s="53"/>
      <c r="E83" s="55">
        <f t="shared" si="1"/>
        <v>0</v>
      </c>
    </row>
    <row r="84" spans="1:5" ht="15.6">
      <c r="A84" s="22" t="s">
        <v>96</v>
      </c>
      <c r="B84" s="22" t="s">
        <v>3</v>
      </c>
      <c r="C84" s="53">
        <v>10</v>
      </c>
      <c r="D84" s="53">
        <v>9000</v>
      </c>
      <c r="E84" s="55">
        <f t="shared" si="1"/>
        <v>90000</v>
      </c>
    </row>
    <row r="85" spans="1:5" ht="15.6" hidden="1">
      <c r="A85" s="22" t="s">
        <v>97</v>
      </c>
      <c r="B85" s="22" t="s">
        <v>3</v>
      </c>
      <c r="C85" s="53">
        <v>0</v>
      </c>
      <c r="D85" s="53"/>
      <c r="E85" s="55">
        <f t="shared" si="1"/>
        <v>0</v>
      </c>
    </row>
    <row r="86" spans="1:5" ht="15.6" hidden="1">
      <c r="A86" s="22" t="s">
        <v>98</v>
      </c>
      <c r="B86" s="22" t="s">
        <v>3</v>
      </c>
      <c r="C86" s="53">
        <v>0</v>
      </c>
      <c r="D86" s="53"/>
      <c r="E86" s="55">
        <f t="shared" si="1"/>
        <v>0</v>
      </c>
    </row>
    <row r="87" spans="1:5" ht="15.6" hidden="1">
      <c r="A87" s="22" t="s">
        <v>43</v>
      </c>
      <c r="B87" s="22" t="s">
        <v>17</v>
      </c>
      <c r="C87" s="53">
        <v>0</v>
      </c>
      <c r="D87" s="53"/>
      <c r="E87" s="55">
        <f t="shared" si="1"/>
        <v>0</v>
      </c>
    </row>
    <row r="88" spans="1:5" ht="15.6">
      <c r="A88" s="22" t="s">
        <v>92</v>
      </c>
      <c r="B88" s="22" t="s">
        <v>40</v>
      </c>
      <c r="C88" s="53">
        <v>5</v>
      </c>
      <c r="D88" s="53">
        <v>6800</v>
      </c>
      <c r="E88" s="55">
        <f t="shared" si="1"/>
        <v>34000</v>
      </c>
    </row>
    <row r="89" spans="1:5" ht="15.6" hidden="1">
      <c r="A89" s="22" t="s">
        <v>90</v>
      </c>
      <c r="B89" s="22" t="s">
        <v>40</v>
      </c>
      <c r="C89" s="53">
        <v>0</v>
      </c>
      <c r="D89" s="53"/>
      <c r="E89" s="55">
        <f t="shared" si="1"/>
        <v>0</v>
      </c>
    </row>
    <row r="90" spans="1:5" ht="15.6" hidden="1">
      <c r="A90" s="22" t="s">
        <v>131</v>
      </c>
      <c r="B90" s="22" t="s">
        <v>3</v>
      </c>
      <c r="C90" s="53">
        <v>0</v>
      </c>
      <c r="D90" s="53"/>
      <c r="E90" s="55">
        <f t="shared" si="1"/>
        <v>0</v>
      </c>
    </row>
    <row r="91" spans="1:5" ht="15.6" hidden="1">
      <c r="A91" s="22" t="s">
        <v>15</v>
      </c>
      <c r="B91" s="22" t="s">
        <v>3</v>
      </c>
      <c r="C91" s="53">
        <v>0</v>
      </c>
      <c r="D91" s="53"/>
      <c r="E91" s="55">
        <f t="shared" si="1"/>
        <v>0</v>
      </c>
    </row>
    <row r="92" spans="1:5" ht="15.6" hidden="1">
      <c r="A92" s="22" t="s">
        <v>6</v>
      </c>
      <c r="B92" s="22" t="s">
        <v>3</v>
      </c>
      <c r="C92" s="53">
        <v>0</v>
      </c>
      <c r="D92" s="53"/>
      <c r="E92" s="55">
        <f t="shared" si="1"/>
        <v>0</v>
      </c>
    </row>
    <row r="93" spans="1:5" ht="15.6" hidden="1">
      <c r="A93" s="22" t="s">
        <v>80</v>
      </c>
      <c r="B93" s="22" t="s">
        <v>30</v>
      </c>
      <c r="C93" s="53">
        <v>0</v>
      </c>
      <c r="D93" s="53"/>
      <c r="E93" s="55">
        <f t="shared" si="1"/>
        <v>0</v>
      </c>
    </row>
    <row r="94" spans="1:5" ht="15.6">
      <c r="A94" s="22" t="s">
        <v>57</v>
      </c>
      <c r="B94" s="22" t="s">
        <v>30</v>
      </c>
      <c r="C94" s="53">
        <v>220</v>
      </c>
      <c r="D94" s="53">
        <v>5400</v>
      </c>
      <c r="E94" s="55">
        <f t="shared" si="1"/>
        <v>1188000</v>
      </c>
    </row>
    <row r="95" spans="1:5" ht="15.6" hidden="1">
      <c r="A95" s="22" t="s">
        <v>14</v>
      </c>
      <c r="B95" s="22" t="s">
        <v>3</v>
      </c>
      <c r="C95" s="53">
        <v>0</v>
      </c>
      <c r="D95" s="53"/>
      <c r="E95" s="55">
        <f t="shared" si="1"/>
        <v>0</v>
      </c>
    </row>
    <row r="96" spans="1:5" ht="15.6">
      <c r="A96" s="22" t="s">
        <v>88</v>
      </c>
      <c r="B96" s="22" t="s">
        <v>3</v>
      </c>
      <c r="C96" s="53">
        <v>11</v>
      </c>
      <c r="D96" s="53">
        <v>7000</v>
      </c>
      <c r="E96" s="55">
        <f t="shared" si="1"/>
        <v>77000</v>
      </c>
    </row>
    <row r="97" spans="1:5" ht="15.6" hidden="1">
      <c r="A97" s="22" t="s">
        <v>89</v>
      </c>
      <c r="B97" s="22" t="s">
        <v>3</v>
      </c>
      <c r="C97" s="53">
        <v>0</v>
      </c>
      <c r="D97" s="53"/>
      <c r="E97" s="55">
        <f t="shared" si="1"/>
        <v>0</v>
      </c>
    </row>
    <row r="98" spans="1:5" ht="15.6">
      <c r="A98" s="22" t="s">
        <v>66</v>
      </c>
      <c r="B98" s="22" t="s">
        <v>3</v>
      </c>
      <c r="C98" s="53">
        <v>8</v>
      </c>
      <c r="D98" s="53">
        <v>16000</v>
      </c>
      <c r="E98" s="55">
        <f t="shared" si="1"/>
        <v>128000</v>
      </c>
    </row>
    <row r="99" spans="1:5" ht="15.6">
      <c r="A99" s="22" t="s">
        <v>99</v>
      </c>
      <c r="B99" s="22" t="s">
        <v>3</v>
      </c>
      <c r="C99" s="53">
        <v>160</v>
      </c>
      <c r="D99" s="53">
        <v>3000</v>
      </c>
      <c r="E99" s="55">
        <f t="shared" si="1"/>
        <v>480000</v>
      </c>
    </row>
    <row r="100" spans="1:5" ht="15.6">
      <c r="A100" s="22" t="s">
        <v>134</v>
      </c>
      <c r="B100" s="22" t="s">
        <v>3</v>
      </c>
      <c r="C100" s="53">
        <v>7</v>
      </c>
      <c r="D100" s="53">
        <v>22000</v>
      </c>
      <c r="E100" s="55">
        <f t="shared" si="1"/>
        <v>154000</v>
      </c>
    </row>
    <row r="101" spans="1:5" ht="15.6">
      <c r="A101" s="22" t="s">
        <v>108</v>
      </c>
      <c r="B101" s="22" t="s">
        <v>3</v>
      </c>
      <c r="C101" s="53">
        <v>7</v>
      </c>
      <c r="D101" s="53">
        <v>10000</v>
      </c>
      <c r="E101" s="55">
        <f t="shared" si="1"/>
        <v>70000</v>
      </c>
    </row>
    <row r="102" spans="1:5" ht="15.6">
      <c r="A102" s="22" t="s">
        <v>160</v>
      </c>
      <c r="B102" s="22" t="s">
        <v>3</v>
      </c>
      <c r="C102" s="53">
        <v>120</v>
      </c>
      <c r="D102" s="53">
        <v>50000</v>
      </c>
      <c r="E102" s="55">
        <f t="shared" si="1"/>
        <v>6000000</v>
      </c>
    </row>
    <row r="103" spans="1:5" ht="15.6">
      <c r="A103" s="22" t="s">
        <v>75</v>
      </c>
      <c r="B103" s="22" t="s">
        <v>3</v>
      </c>
      <c r="C103" s="53">
        <v>5</v>
      </c>
      <c r="D103" s="53">
        <v>20000</v>
      </c>
      <c r="E103" s="55">
        <f t="shared" si="1"/>
        <v>100000</v>
      </c>
    </row>
    <row r="104" spans="1:5" ht="15.6">
      <c r="A104" s="22" t="s">
        <v>82</v>
      </c>
      <c r="B104" s="22" t="s">
        <v>9</v>
      </c>
      <c r="C104" s="53">
        <v>375</v>
      </c>
      <c r="D104" s="53">
        <v>11361</v>
      </c>
      <c r="E104" s="55">
        <f t="shared" si="1"/>
        <v>4260375</v>
      </c>
    </row>
    <row r="105" spans="1:5">
      <c r="E105" s="51">
        <f>SUM(E3:E104)</f>
        <v>134813175</v>
      </c>
    </row>
  </sheetData>
  <autoFilter ref="A2:E104">
    <filterColumn colId="2">
      <filters>
        <filter val="1,795"/>
        <filter val="10"/>
        <filter val="102"/>
        <filter val="11"/>
        <filter val="120"/>
        <filter val="13"/>
        <filter val="15"/>
        <filter val="160"/>
        <filter val="183"/>
        <filter val="19"/>
        <filter val="2"/>
        <filter val="2,393"/>
        <filter val="200"/>
        <filter val="22"/>
        <filter val="220"/>
        <filter val="24"/>
        <filter val="25"/>
        <filter val="26"/>
        <filter val="260"/>
        <filter val="28"/>
        <filter val="31"/>
        <filter val="340"/>
        <filter val="35"/>
        <filter val="375"/>
        <filter val="4"/>
        <filter val="428"/>
        <filter val="450"/>
        <filter val="5"/>
        <filter val="56"/>
        <filter val="6"/>
        <filter val="60"/>
        <filter val="65"/>
        <filter val="680"/>
        <filter val="7"/>
        <filter val="70"/>
        <filter val="725"/>
        <filter val="8"/>
        <filter val="81"/>
        <filter val="85"/>
        <filter val="87"/>
        <filter val="9"/>
      </filters>
    </filterColumn>
  </autoFilter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2:E105"/>
  <sheetViews>
    <sheetView workbookViewId="0">
      <selection activeCell="G3" sqref="G3"/>
    </sheetView>
  </sheetViews>
  <sheetFormatPr defaultRowHeight="13.8"/>
  <cols>
    <col min="1" max="1" width="21" customWidth="1"/>
    <col min="4" max="4" width="11.5" customWidth="1"/>
    <col min="5" max="5" width="17.5" customWidth="1"/>
  </cols>
  <sheetData>
    <row r="2" spans="1:5" ht="73.8" customHeight="1">
      <c r="A2" s="52" t="s">
        <v>106</v>
      </c>
      <c r="B2" s="52" t="s">
        <v>0</v>
      </c>
      <c r="C2" s="53" t="s">
        <v>111</v>
      </c>
      <c r="D2" s="54" t="s">
        <v>112</v>
      </c>
      <c r="E2" s="60" t="s">
        <v>113</v>
      </c>
    </row>
    <row r="3" spans="1:5" ht="15.6">
      <c r="A3" s="22" t="s">
        <v>31</v>
      </c>
      <c r="B3" s="22" t="s">
        <v>3</v>
      </c>
      <c r="C3" s="53">
        <v>130</v>
      </c>
      <c r="D3" s="55">
        <v>6500</v>
      </c>
      <c r="E3" s="47">
        <f>C3*D3</f>
        <v>845000</v>
      </c>
    </row>
    <row r="4" spans="1:5" ht="15.6" hidden="1">
      <c r="A4" s="22" t="s">
        <v>31</v>
      </c>
      <c r="B4" s="22" t="s">
        <v>30</v>
      </c>
      <c r="C4" s="53">
        <v>0</v>
      </c>
      <c r="D4" s="55"/>
      <c r="E4" s="47">
        <f t="shared" ref="E4:E67" si="0">C4*D4</f>
        <v>0</v>
      </c>
    </row>
    <row r="5" spans="1:5" ht="15.6">
      <c r="A5" s="22" t="s">
        <v>32</v>
      </c>
      <c r="B5" s="22" t="s">
        <v>17</v>
      </c>
      <c r="C5" s="53">
        <v>9</v>
      </c>
      <c r="D5" s="55">
        <v>6000</v>
      </c>
      <c r="E5" s="47">
        <f t="shared" si="0"/>
        <v>54000</v>
      </c>
    </row>
    <row r="6" spans="1:5" ht="15.6">
      <c r="A6" s="22" t="s">
        <v>42</v>
      </c>
      <c r="B6" s="22" t="s">
        <v>25</v>
      </c>
      <c r="C6" s="53">
        <v>39</v>
      </c>
      <c r="D6" s="55">
        <v>10000</v>
      </c>
      <c r="E6" s="47">
        <f t="shared" si="0"/>
        <v>390000</v>
      </c>
    </row>
    <row r="7" spans="1:5" ht="15.6">
      <c r="A7" s="22" t="s">
        <v>45</v>
      </c>
      <c r="B7" s="22" t="s">
        <v>3</v>
      </c>
      <c r="C7" s="53">
        <v>40</v>
      </c>
      <c r="D7" s="55">
        <v>9000</v>
      </c>
      <c r="E7" s="47">
        <f t="shared" si="0"/>
        <v>360000</v>
      </c>
    </row>
    <row r="8" spans="1:5" ht="15.6" hidden="1">
      <c r="A8" s="22" t="s">
        <v>45</v>
      </c>
      <c r="B8" s="22" t="s">
        <v>30</v>
      </c>
      <c r="C8" s="53">
        <v>0</v>
      </c>
      <c r="D8" s="55"/>
      <c r="E8" s="47">
        <f t="shared" si="0"/>
        <v>0</v>
      </c>
    </row>
    <row r="9" spans="1:5" ht="15.6">
      <c r="A9" s="22" t="s">
        <v>47</v>
      </c>
      <c r="B9" s="22" t="s">
        <v>3</v>
      </c>
      <c r="C9" s="53">
        <v>190</v>
      </c>
      <c r="D9" s="55">
        <v>7000</v>
      </c>
      <c r="E9" s="47">
        <f t="shared" si="0"/>
        <v>1330000</v>
      </c>
    </row>
    <row r="10" spans="1:5" ht="15.6" hidden="1">
      <c r="A10" s="22" t="s">
        <v>47</v>
      </c>
      <c r="B10" s="22" t="s">
        <v>48</v>
      </c>
      <c r="C10" s="53">
        <v>0</v>
      </c>
      <c r="D10" s="55"/>
      <c r="E10" s="47">
        <f t="shared" si="0"/>
        <v>0</v>
      </c>
    </row>
    <row r="11" spans="1:5" ht="15.6">
      <c r="A11" s="22" t="s">
        <v>49</v>
      </c>
      <c r="B11" s="22" t="s">
        <v>30</v>
      </c>
      <c r="C11" s="53">
        <v>143</v>
      </c>
      <c r="D11" s="55">
        <v>1800</v>
      </c>
      <c r="E11" s="47">
        <f t="shared" si="0"/>
        <v>257400</v>
      </c>
    </row>
    <row r="12" spans="1:5" ht="15.6">
      <c r="A12" s="22" t="s">
        <v>51</v>
      </c>
      <c r="B12" s="22" t="s">
        <v>3</v>
      </c>
      <c r="C12" s="53">
        <v>675</v>
      </c>
      <c r="D12" s="55">
        <v>25000</v>
      </c>
      <c r="E12" s="47">
        <f t="shared" si="0"/>
        <v>16875000</v>
      </c>
    </row>
    <row r="13" spans="1:5" ht="15.6">
      <c r="A13" s="22" t="s">
        <v>53</v>
      </c>
      <c r="B13" s="22" t="s">
        <v>3</v>
      </c>
      <c r="C13" s="53">
        <v>140</v>
      </c>
      <c r="D13" s="55">
        <v>16000</v>
      </c>
      <c r="E13" s="47">
        <f t="shared" si="0"/>
        <v>2240000</v>
      </c>
    </row>
    <row r="14" spans="1:5" ht="15.6">
      <c r="A14" s="22" t="s">
        <v>56</v>
      </c>
      <c r="B14" s="22" t="s">
        <v>3</v>
      </c>
      <c r="C14" s="53">
        <v>815</v>
      </c>
      <c r="D14" s="55">
        <v>10800</v>
      </c>
      <c r="E14" s="47">
        <f t="shared" si="0"/>
        <v>8802000</v>
      </c>
    </row>
    <row r="15" spans="1:5" ht="15.6" hidden="1">
      <c r="A15" s="22" t="s">
        <v>56</v>
      </c>
      <c r="B15" s="22" t="s">
        <v>30</v>
      </c>
      <c r="C15" s="53">
        <v>0</v>
      </c>
      <c r="D15" s="55"/>
      <c r="E15" s="47">
        <f t="shared" si="0"/>
        <v>0</v>
      </c>
    </row>
    <row r="16" spans="1:5" ht="15.6">
      <c r="A16" s="22" t="s">
        <v>16</v>
      </c>
      <c r="B16" s="22" t="s">
        <v>17</v>
      </c>
      <c r="C16" s="53">
        <v>7</v>
      </c>
      <c r="D16" s="55">
        <v>6000</v>
      </c>
      <c r="E16" s="47">
        <f t="shared" si="0"/>
        <v>42000</v>
      </c>
    </row>
    <row r="17" spans="1:5" ht="15.6">
      <c r="A17" s="22" t="s">
        <v>5</v>
      </c>
      <c r="B17" s="22" t="s">
        <v>3</v>
      </c>
      <c r="C17" s="53">
        <v>276</v>
      </c>
      <c r="D17" s="55">
        <v>3000</v>
      </c>
      <c r="E17" s="47">
        <f t="shared" si="0"/>
        <v>828000</v>
      </c>
    </row>
    <row r="18" spans="1:5" ht="15.6">
      <c r="A18" s="22" t="s">
        <v>35</v>
      </c>
      <c r="B18" s="22" t="s">
        <v>3</v>
      </c>
      <c r="C18" s="53">
        <v>20</v>
      </c>
      <c r="D18" s="55">
        <v>12000</v>
      </c>
      <c r="E18" s="47">
        <f t="shared" si="0"/>
        <v>240000</v>
      </c>
    </row>
    <row r="19" spans="1:5" ht="15.6" hidden="1">
      <c r="A19" s="22" t="s">
        <v>35</v>
      </c>
      <c r="B19" s="22" t="s">
        <v>30</v>
      </c>
      <c r="C19" s="53">
        <v>0</v>
      </c>
      <c r="D19" s="55"/>
      <c r="E19" s="47">
        <f t="shared" si="0"/>
        <v>0</v>
      </c>
    </row>
    <row r="20" spans="1:5" ht="15.6">
      <c r="A20" s="22" t="s">
        <v>37</v>
      </c>
      <c r="B20" s="22" t="s">
        <v>30</v>
      </c>
      <c r="C20" s="53">
        <v>1</v>
      </c>
      <c r="D20" s="55">
        <v>3900</v>
      </c>
      <c r="E20" s="47">
        <f t="shared" si="0"/>
        <v>3900</v>
      </c>
    </row>
    <row r="21" spans="1:5" ht="15.6">
      <c r="A21" s="22" t="s">
        <v>38</v>
      </c>
      <c r="B21" s="22" t="s">
        <v>3</v>
      </c>
      <c r="C21" s="53">
        <v>1010</v>
      </c>
      <c r="D21" s="55">
        <v>4500</v>
      </c>
      <c r="E21" s="47">
        <f t="shared" si="0"/>
        <v>4545000</v>
      </c>
    </row>
    <row r="22" spans="1:5" ht="15.6">
      <c r="A22" s="22" t="s">
        <v>39</v>
      </c>
      <c r="B22" s="22" t="s">
        <v>3</v>
      </c>
      <c r="C22" s="53">
        <v>60</v>
      </c>
      <c r="D22" s="55">
        <v>10000</v>
      </c>
      <c r="E22" s="47">
        <f t="shared" si="0"/>
        <v>600000</v>
      </c>
    </row>
    <row r="23" spans="1:5" ht="15.6" hidden="1">
      <c r="A23" s="22" t="s">
        <v>39</v>
      </c>
      <c r="B23" s="22" t="s">
        <v>40</v>
      </c>
      <c r="C23" s="53">
        <v>0</v>
      </c>
      <c r="D23" s="55"/>
      <c r="E23" s="47">
        <f t="shared" si="0"/>
        <v>0</v>
      </c>
    </row>
    <row r="24" spans="1:5" ht="15.6">
      <c r="A24" s="22" t="s">
        <v>7</v>
      </c>
      <c r="B24" s="22" t="s">
        <v>3</v>
      </c>
      <c r="C24" s="53">
        <v>85</v>
      </c>
      <c r="D24" s="55">
        <v>9000</v>
      </c>
      <c r="E24" s="47">
        <f t="shared" si="0"/>
        <v>765000</v>
      </c>
    </row>
    <row r="25" spans="1:5" ht="15.6">
      <c r="A25" s="22" t="s">
        <v>8</v>
      </c>
      <c r="B25" s="22" t="s">
        <v>3</v>
      </c>
      <c r="C25" s="53">
        <v>12</v>
      </c>
      <c r="D25" s="55">
        <v>15000</v>
      </c>
      <c r="E25" s="47">
        <f t="shared" si="0"/>
        <v>180000</v>
      </c>
    </row>
    <row r="26" spans="1:5" ht="15.6" hidden="1">
      <c r="A26" s="22" t="s">
        <v>8</v>
      </c>
      <c r="B26" s="22" t="s">
        <v>9</v>
      </c>
      <c r="C26" s="53">
        <v>0</v>
      </c>
      <c r="D26" s="55"/>
      <c r="E26" s="47">
        <f t="shared" si="0"/>
        <v>0</v>
      </c>
    </row>
    <row r="27" spans="1:5" ht="15.6">
      <c r="A27" s="22" t="s">
        <v>10</v>
      </c>
      <c r="B27" s="22" t="s">
        <v>3</v>
      </c>
      <c r="C27" s="53">
        <v>34</v>
      </c>
      <c r="D27" s="55">
        <v>13000</v>
      </c>
      <c r="E27" s="47">
        <f t="shared" si="0"/>
        <v>442000</v>
      </c>
    </row>
    <row r="28" spans="1:5" ht="15.6" hidden="1">
      <c r="A28" s="22" t="s">
        <v>10</v>
      </c>
      <c r="B28" s="22" t="s">
        <v>9</v>
      </c>
      <c r="C28" s="53">
        <v>0</v>
      </c>
      <c r="D28" s="55"/>
      <c r="E28" s="47">
        <f t="shared" si="0"/>
        <v>0</v>
      </c>
    </row>
    <row r="29" spans="1:5" ht="15.6">
      <c r="A29" s="22" t="s">
        <v>18</v>
      </c>
      <c r="B29" s="22" t="s">
        <v>3</v>
      </c>
      <c r="C29" s="53">
        <v>130</v>
      </c>
      <c r="D29" s="55">
        <v>14000</v>
      </c>
      <c r="E29" s="47">
        <f t="shared" si="0"/>
        <v>1820000</v>
      </c>
    </row>
    <row r="30" spans="1:5" ht="15.6" hidden="1">
      <c r="A30" s="22" t="s">
        <v>18</v>
      </c>
      <c r="B30" s="22" t="s">
        <v>19</v>
      </c>
      <c r="C30" s="53">
        <v>0</v>
      </c>
      <c r="D30" s="55"/>
      <c r="E30" s="47">
        <f t="shared" si="0"/>
        <v>0</v>
      </c>
    </row>
    <row r="31" spans="1:5" ht="15.6">
      <c r="A31" s="22" t="s">
        <v>28</v>
      </c>
      <c r="B31" s="22" t="s">
        <v>3</v>
      </c>
      <c r="C31" s="53">
        <v>190</v>
      </c>
      <c r="D31" s="55">
        <v>17000</v>
      </c>
      <c r="E31" s="47">
        <f t="shared" si="0"/>
        <v>3230000</v>
      </c>
    </row>
    <row r="32" spans="1:5" ht="15.6" hidden="1">
      <c r="A32" s="22" t="s">
        <v>28</v>
      </c>
      <c r="B32" s="22" t="s">
        <v>17</v>
      </c>
      <c r="C32" s="53">
        <v>0</v>
      </c>
      <c r="D32" s="55"/>
      <c r="E32" s="47">
        <f t="shared" si="0"/>
        <v>0</v>
      </c>
    </row>
    <row r="33" spans="1:5" ht="15.6">
      <c r="A33" s="22" t="s">
        <v>29</v>
      </c>
      <c r="B33" s="22" t="s">
        <v>30</v>
      </c>
      <c r="C33" s="53">
        <v>10</v>
      </c>
      <c r="D33" s="55">
        <v>12000</v>
      </c>
      <c r="E33" s="47">
        <f t="shared" si="0"/>
        <v>120000</v>
      </c>
    </row>
    <row r="34" spans="1:5" ht="15.6" hidden="1">
      <c r="A34" s="22" t="s">
        <v>65</v>
      </c>
      <c r="B34" s="22" t="s">
        <v>3</v>
      </c>
      <c r="C34" s="53">
        <v>0</v>
      </c>
      <c r="D34" s="55"/>
      <c r="E34" s="47">
        <f t="shared" si="0"/>
        <v>0</v>
      </c>
    </row>
    <row r="35" spans="1:5" ht="15.6" hidden="1">
      <c r="A35" s="22" t="s">
        <v>65</v>
      </c>
      <c r="B35" s="22" t="s">
        <v>17</v>
      </c>
      <c r="C35" s="53">
        <v>0</v>
      </c>
      <c r="D35" s="55"/>
      <c r="E35" s="47">
        <f t="shared" si="0"/>
        <v>0</v>
      </c>
    </row>
    <row r="36" spans="1:5" ht="15.6">
      <c r="A36" s="22" t="s">
        <v>67</v>
      </c>
      <c r="B36" s="22" t="s">
        <v>3</v>
      </c>
      <c r="C36" s="53">
        <v>15</v>
      </c>
      <c r="D36" s="55">
        <v>13000</v>
      </c>
      <c r="E36" s="47">
        <f t="shared" si="0"/>
        <v>195000</v>
      </c>
    </row>
    <row r="37" spans="1:5" ht="15.6">
      <c r="A37" s="22" t="s">
        <v>74</v>
      </c>
      <c r="B37" s="22" t="s">
        <v>3</v>
      </c>
      <c r="C37" s="53">
        <v>45</v>
      </c>
      <c r="D37" s="55">
        <v>24000</v>
      </c>
      <c r="E37" s="47">
        <f t="shared" si="0"/>
        <v>1080000</v>
      </c>
    </row>
    <row r="38" spans="1:5" ht="15.6" hidden="1">
      <c r="A38" s="22" t="s">
        <v>74</v>
      </c>
      <c r="B38" s="22" t="s">
        <v>9</v>
      </c>
      <c r="C38" s="53">
        <v>0</v>
      </c>
      <c r="D38" s="55"/>
      <c r="E38" s="47">
        <f t="shared" si="0"/>
        <v>0</v>
      </c>
    </row>
    <row r="39" spans="1:5" ht="15.6">
      <c r="A39" s="22" t="s">
        <v>76</v>
      </c>
      <c r="B39" s="22" t="s">
        <v>3</v>
      </c>
      <c r="C39" s="53">
        <v>30</v>
      </c>
      <c r="D39" s="55">
        <v>32000</v>
      </c>
      <c r="E39" s="47">
        <f t="shared" si="0"/>
        <v>960000</v>
      </c>
    </row>
    <row r="40" spans="1:5" ht="15.6" hidden="1">
      <c r="A40" s="22" t="s">
        <v>76</v>
      </c>
      <c r="B40" s="22" t="s">
        <v>9</v>
      </c>
      <c r="C40" s="53">
        <v>0</v>
      </c>
      <c r="D40" s="55"/>
      <c r="E40" s="47">
        <f t="shared" si="0"/>
        <v>0</v>
      </c>
    </row>
    <row r="41" spans="1:5" ht="15.6">
      <c r="A41" s="22" t="s">
        <v>78</v>
      </c>
      <c r="B41" s="22" t="s">
        <v>3</v>
      </c>
      <c r="C41" s="53">
        <v>32</v>
      </c>
      <c r="D41" s="55">
        <v>28000</v>
      </c>
      <c r="E41" s="47">
        <f t="shared" si="0"/>
        <v>896000</v>
      </c>
    </row>
    <row r="42" spans="1:5" ht="15.6" hidden="1">
      <c r="A42" s="22" t="s">
        <v>78</v>
      </c>
      <c r="B42" s="22" t="s">
        <v>9</v>
      </c>
      <c r="C42" s="53">
        <v>0</v>
      </c>
      <c r="D42" s="55"/>
      <c r="E42" s="47">
        <f t="shared" si="0"/>
        <v>0</v>
      </c>
    </row>
    <row r="43" spans="1:5" ht="15.6">
      <c r="A43" s="22" t="s">
        <v>72</v>
      </c>
      <c r="B43" s="22" t="s">
        <v>17</v>
      </c>
      <c r="C43" s="53">
        <v>9</v>
      </c>
      <c r="D43" s="55">
        <v>10000</v>
      </c>
      <c r="E43" s="47">
        <f t="shared" si="0"/>
        <v>90000</v>
      </c>
    </row>
    <row r="44" spans="1:5" ht="15.6">
      <c r="A44" s="22" t="s">
        <v>50</v>
      </c>
      <c r="B44" s="22" t="s">
        <v>3</v>
      </c>
      <c r="C44" s="53">
        <v>1560</v>
      </c>
      <c r="D44" s="55">
        <v>25000</v>
      </c>
      <c r="E44" s="47">
        <f t="shared" si="0"/>
        <v>39000000</v>
      </c>
    </row>
    <row r="45" spans="1:5" ht="15.6" hidden="1">
      <c r="A45" s="22" t="s">
        <v>22</v>
      </c>
      <c r="B45" s="22" t="s">
        <v>3</v>
      </c>
      <c r="C45" s="53">
        <v>0</v>
      </c>
      <c r="D45" s="55"/>
      <c r="E45" s="47">
        <f t="shared" si="0"/>
        <v>0</v>
      </c>
    </row>
    <row r="46" spans="1:5" ht="15.6">
      <c r="A46" s="22" t="s">
        <v>22</v>
      </c>
      <c r="B46" s="22" t="s">
        <v>23</v>
      </c>
      <c r="C46" s="53">
        <v>30</v>
      </c>
      <c r="D46" s="55">
        <v>6000</v>
      </c>
      <c r="E46" s="47">
        <f t="shared" si="0"/>
        <v>180000</v>
      </c>
    </row>
    <row r="47" spans="1:5" ht="15.6">
      <c r="A47" s="22" t="s">
        <v>2</v>
      </c>
      <c r="B47" s="22" t="s">
        <v>3</v>
      </c>
      <c r="C47" s="53">
        <v>50</v>
      </c>
      <c r="D47" s="55">
        <v>16000</v>
      </c>
      <c r="E47" s="47">
        <f t="shared" si="0"/>
        <v>800000</v>
      </c>
    </row>
    <row r="48" spans="1:5" ht="15.6">
      <c r="A48" s="22" t="s">
        <v>4</v>
      </c>
      <c r="B48" s="22" t="s">
        <v>3</v>
      </c>
      <c r="C48" s="53">
        <v>300</v>
      </c>
      <c r="D48" s="55">
        <v>5500</v>
      </c>
      <c r="E48" s="47">
        <f t="shared" si="0"/>
        <v>1650000</v>
      </c>
    </row>
    <row r="49" spans="1:5" ht="15.6" hidden="1">
      <c r="A49" s="22" t="s">
        <v>12</v>
      </c>
      <c r="B49" s="22" t="s">
        <v>3</v>
      </c>
      <c r="C49" s="53">
        <v>0</v>
      </c>
      <c r="D49" s="55"/>
      <c r="E49" s="47">
        <f t="shared" si="0"/>
        <v>0</v>
      </c>
    </row>
    <row r="50" spans="1:5" ht="15.6" hidden="1">
      <c r="A50" s="22" t="s">
        <v>20</v>
      </c>
      <c r="B50" s="22" t="s">
        <v>3</v>
      </c>
      <c r="C50" s="53">
        <v>0</v>
      </c>
      <c r="D50" s="55"/>
      <c r="E50" s="47">
        <f t="shared" si="0"/>
        <v>0</v>
      </c>
    </row>
    <row r="51" spans="1:5" ht="15.6" hidden="1">
      <c r="A51" s="22" t="s">
        <v>20</v>
      </c>
      <c r="B51" s="22" t="s">
        <v>21</v>
      </c>
      <c r="C51" s="53">
        <v>0</v>
      </c>
      <c r="D51" s="55"/>
      <c r="E51" s="47">
        <f t="shared" si="0"/>
        <v>0</v>
      </c>
    </row>
    <row r="52" spans="1:5" ht="15.6" hidden="1">
      <c r="A52" s="22" t="s">
        <v>24</v>
      </c>
      <c r="B52" s="22" t="s">
        <v>25</v>
      </c>
      <c r="C52" s="53">
        <v>0</v>
      </c>
      <c r="D52" s="55"/>
      <c r="E52" s="47">
        <f t="shared" si="0"/>
        <v>0</v>
      </c>
    </row>
    <row r="53" spans="1:5" ht="15.6" hidden="1">
      <c r="A53" s="22" t="s">
        <v>26</v>
      </c>
      <c r="B53" s="22" t="s">
        <v>3</v>
      </c>
      <c r="C53" s="53">
        <v>0</v>
      </c>
      <c r="D53" s="55"/>
      <c r="E53" s="47">
        <f t="shared" si="0"/>
        <v>0</v>
      </c>
    </row>
    <row r="54" spans="1:5" ht="15.6">
      <c r="A54" s="22" t="s">
        <v>26</v>
      </c>
      <c r="B54" s="22" t="s">
        <v>27</v>
      </c>
      <c r="C54" s="53">
        <v>115</v>
      </c>
      <c r="D54" s="55">
        <v>7500</v>
      </c>
      <c r="E54" s="47">
        <f t="shared" si="0"/>
        <v>862500</v>
      </c>
    </row>
    <row r="55" spans="1:5" ht="15.6">
      <c r="A55" s="22" t="s">
        <v>33</v>
      </c>
      <c r="B55" s="22" t="s">
        <v>3</v>
      </c>
      <c r="C55" s="53">
        <v>45</v>
      </c>
      <c r="D55" s="55">
        <v>8000</v>
      </c>
      <c r="E55" s="47">
        <f t="shared" si="0"/>
        <v>360000</v>
      </c>
    </row>
    <row r="56" spans="1:5" ht="15.6" hidden="1">
      <c r="A56" s="22" t="s">
        <v>33</v>
      </c>
      <c r="B56" s="22" t="s">
        <v>34</v>
      </c>
      <c r="C56" s="53">
        <v>0</v>
      </c>
      <c r="D56" s="55"/>
      <c r="E56" s="47">
        <f t="shared" si="0"/>
        <v>0</v>
      </c>
    </row>
    <row r="57" spans="1:5" ht="15.6" hidden="1">
      <c r="A57" s="22" t="s">
        <v>36</v>
      </c>
      <c r="B57" s="22" t="s">
        <v>30</v>
      </c>
      <c r="C57" s="53">
        <v>0</v>
      </c>
      <c r="D57" s="55"/>
      <c r="E57" s="47">
        <f t="shared" si="0"/>
        <v>0</v>
      </c>
    </row>
    <row r="58" spans="1:5" ht="15.6">
      <c r="A58" s="22" t="s">
        <v>54</v>
      </c>
      <c r="B58" s="22" t="s">
        <v>3</v>
      </c>
      <c r="C58" s="53">
        <v>4</v>
      </c>
      <c r="D58" s="55">
        <v>26000</v>
      </c>
      <c r="E58" s="47">
        <f t="shared" si="0"/>
        <v>104000</v>
      </c>
    </row>
    <row r="59" spans="1:5" ht="15.6" hidden="1">
      <c r="A59" s="22" t="s">
        <v>41</v>
      </c>
      <c r="B59" s="22" t="s">
        <v>3</v>
      </c>
      <c r="C59" s="53">
        <v>0</v>
      </c>
      <c r="D59" s="55"/>
      <c r="E59" s="47">
        <f t="shared" si="0"/>
        <v>0</v>
      </c>
    </row>
    <row r="60" spans="1:5" ht="15.6" hidden="1">
      <c r="A60" s="22" t="s">
        <v>44</v>
      </c>
      <c r="B60" s="22" t="s">
        <v>3</v>
      </c>
      <c r="C60" s="53">
        <v>0</v>
      </c>
      <c r="D60" s="55"/>
      <c r="E60" s="47">
        <f t="shared" si="0"/>
        <v>0</v>
      </c>
    </row>
    <row r="61" spans="1:5" ht="15.6">
      <c r="A61" s="22" t="s">
        <v>46</v>
      </c>
      <c r="B61" s="22" t="s">
        <v>3</v>
      </c>
      <c r="C61" s="53">
        <v>13</v>
      </c>
      <c r="D61" s="55">
        <v>18000</v>
      </c>
      <c r="E61" s="47">
        <f t="shared" si="0"/>
        <v>234000</v>
      </c>
    </row>
    <row r="62" spans="1:5" ht="15.6" hidden="1">
      <c r="A62" s="22" t="s">
        <v>58</v>
      </c>
      <c r="B62" s="22" t="s">
        <v>3</v>
      </c>
      <c r="C62" s="53">
        <v>0</v>
      </c>
      <c r="D62" s="55"/>
      <c r="E62" s="47">
        <f t="shared" si="0"/>
        <v>0</v>
      </c>
    </row>
    <row r="63" spans="1:5" ht="15.6">
      <c r="A63" s="22" t="s">
        <v>59</v>
      </c>
      <c r="B63" s="22" t="s">
        <v>30</v>
      </c>
      <c r="C63" s="53">
        <v>14</v>
      </c>
      <c r="D63" s="55">
        <v>6000</v>
      </c>
      <c r="E63" s="47">
        <f t="shared" si="0"/>
        <v>84000</v>
      </c>
    </row>
    <row r="64" spans="1:5" ht="15.6" hidden="1">
      <c r="A64" s="22" t="s">
        <v>60</v>
      </c>
      <c r="B64" s="22" t="s">
        <v>3</v>
      </c>
      <c r="C64" s="53">
        <v>0</v>
      </c>
      <c r="D64" s="55"/>
      <c r="E64" s="47">
        <f t="shared" si="0"/>
        <v>0</v>
      </c>
    </row>
    <row r="65" spans="1:5" ht="15.6" hidden="1">
      <c r="A65" s="22" t="s">
        <v>60</v>
      </c>
      <c r="B65" s="22" t="s">
        <v>30</v>
      </c>
      <c r="C65" s="53">
        <v>0</v>
      </c>
      <c r="D65" s="55"/>
      <c r="E65" s="47">
        <f t="shared" si="0"/>
        <v>0</v>
      </c>
    </row>
    <row r="66" spans="1:5" ht="15.6">
      <c r="A66" s="22" t="s">
        <v>60</v>
      </c>
      <c r="B66" s="22" t="s">
        <v>61</v>
      </c>
      <c r="C66" s="53">
        <v>12</v>
      </c>
      <c r="D66" s="55">
        <v>6000</v>
      </c>
      <c r="E66" s="47">
        <f t="shared" si="0"/>
        <v>72000</v>
      </c>
    </row>
    <row r="67" spans="1:5" ht="15.6">
      <c r="A67" s="22" t="s">
        <v>62</v>
      </c>
      <c r="B67" s="22" t="s">
        <v>3</v>
      </c>
      <c r="C67" s="53">
        <v>0.5</v>
      </c>
      <c r="D67" s="55">
        <v>80000</v>
      </c>
      <c r="E67" s="47">
        <f t="shared" si="0"/>
        <v>40000</v>
      </c>
    </row>
    <row r="68" spans="1:5" ht="15.6">
      <c r="A68" s="22" t="s">
        <v>63</v>
      </c>
      <c r="B68" s="22" t="s">
        <v>3</v>
      </c>
      <c r="C68" s="53">
        <v>0.5</v>
      </c>
      <c r="D68" s="55">
        <v>70000</v>
      </c>
      <c r="E68" s="47">
        <f t="shared" ref="E68:E104" si="1">C68*D68</f>
        <v>35000</v>
      </c>
    </row>
    <row r="69" spans="1:5" ht="15.6">
      <c r="A69" s="22" t="s">
        <v>64</v>
      </c>
      <c r="B69" s="22" t="s">
        <v>3</v>
      </c>
      <c r="C69" s="53">
        <v>0.5</v>
      </c>
      <c r="D69" s="55">
        <v>70000</v>
      </c>
      <c r="E69" s="47">
        <f t="shared" si="1"/>
        <v>35000</v>
      </c>
    </row>
    <row r="70" spans="1:5" ht="15.6">
      <c r="A70" s="22" t="s">
        <v>68</v>
      </c>
      <c r="B70" s="22" t="s">
        <v>3</v>
      </c>
      <c r="C70" s="53">
        <v>25</v>
      </c>
      <c r="D70" s="55">
        <v>10000</v>
      </c>
      <c r="E70" s="47">
        <f t="shared" si="1"/>
        <v>250000</v>
      </c>
    </row>
    <row r="71" spans="1:5" ht="15.6" hidden="1">
      <c r="A71" s="22" t="s">
        <v>68</v>
      </c>
      <c r="B71" s="22" t="s">
        <v>40</v>
      </c>
      <c r="C71" s="53">
        <v>0</v>
      </c>
      <c r="D71" s="55"/>
      <c r="E71" s="47">
        <f t="shared" si="1"/>
        <v>0</v>
      </c>
    </row>
    <row r="72" spans="1:5" ht="15.6">
      <c r="A72" s="22" t="s">
        <v>85</v>
      </c>
      <c r="B72" s="22" t="s">
        <v>3</v>
      </c>
      <c r="C72" s="53">
        <v>5</v>
      </c>
      <c r="D72" s="55">
        <v>13000</v>
      </c>
      <c r="E72" s="47">
        <f t="shared" si="1"/>
        <v>65000</v>
      </c>
    </row>
    <row r="73" spans="1:5" ht="15.6" hidden="1">
      <c r="A73" s="22" t="s">
        <v>70</v>
      </c>
      <c r="B73" s="22" t="s">
        <v>30</v>
      </c>
      <c r="C73" s="53">
        <v>0</v>
      </c>
      <c r="D73" s="55"/>
      <c r="E73" s="47">
        <f t="shared" si="1"/>
        <v>0</v>
      </c>
    </row>
    <row r="74" spans="1:5" ht="15.6">
      <c r="A74" s="22" t="s">
        <v>71</v>
      </c>
      <c r="B74" s="22" t="s">
        <v>3</v>
      </c>
      <c r="C74" s="53">
        <v>4</v>
      </c>
      <c r="D74" s="55">
        <v>14000</v>
      </c>
      <c r="E74" s="47">
        <f t="shared" si="1"/>
        <v>56000</v>
      </c>
    </row>
    <row r="75" spans="1:5" ht="15.6" hidden="1">
      <c r="A75" s="22" t="s">
        <v>73</v>
      </c>
      <c r="B75" s="22" t="s">
        <v>25</v>
      </c>
      <c r="C75" s="53">
        <v>0</v>
      </c>
      <c r="D75" s="55"/>
      <c r="E75" s="47">
        <f t="shared" si="1"/>
        <v>0</v>
      </c>
    </row>
    <row r="76" spans="1:5" ht="15.6">
      <c r="A76" s="22" t="s">
        <v>73</v>
      </c>
      <c r="B76" s="22" t="s">
        <v>3</v>
      </c>
      <c r="C76" s="53">
        <v>4</v>
      </c>
      <c r="D76" s="55">
        <v>42000</v>
      </c>
      <c r="E76" s="47">
        <f t="shared" si="1"/>
        <v>168000</v>
      </c>
    </row>
    <row r="77" spans="1:5" ht="15.6">
      <c r="A77" s="22" t="s">
        <v>79</v>
      </c>
      <c r="B77" s="22" t="s">
        <v>30</v>
      </c>
      <c r="C77" s="53">
        <v>69</v>
      </c>
      <c r="D77" s="55">
        <v>18000</v>
      </c>
      <c r="E77" s="47">
        <f t="shared" si="1"/>
        <v>1242000</v>
      </c>
    </row>
    <row r="78" spans="1:5" ht="15.6">
      <c r="A78" s="22" t="s">
        <v>87</v>
      </c>
      <c r="B78" s="22" t="s">
        <v>3</v>
      </c>
      <c r="C78" s="53">
        <v>180</v>
      </c>
      <c r="D78" s="55">
        <v>4000</v>
      </c>
      <c r="E78" s="47">
        <f t="shared" si="1"/>
        <v>720000</v>
      </c>
    </row>
    <row r="79" spans="1:5" ht="15.6">
      <c r="A79" s="22" t="s">
        <v>81</v>
      </c>
      <c r="B79" s="22" t="s">
        <v>9</v>
      </c>
      <c r="C79" s="53">
        <v>2323</v>
      </c>
      <c r="D79" s="55">
        <v>9000</v>
      </c>
      <c r="E79" s="47">
        <f t="shared" si="1"/>
        <v>20907000</v>
      </c>
    </row>
    <row r="80" spans="1:5" ht="15.6">
      <c r="A80" s="22" t="s">
        <v>91</v>
      </c>
      <c r="B80" s="22" t="s">
        <v>3</v>
      </c>
      <c r="C80" s="53">
        <v>2</v>
      </c>
      <c r="D80" s="55">
        <v>24000</v>
      </c>
      <c r="E80" s="47">
        <f t="shared" si="1"/>
        <v>48000</v>
      </c>
    </row>
    <row r="81" spans="1:5" ht="15.6">
      <c r="A81" s="22" t="s">
        <v>94</v>
      </c>
      <c r="B81" s="22" t="s">
        <v>3</v>
      </c>
      <c r="C81" s="53">
        <v>16</v>
      </c>
      <c r="D81" s="55">
        <v>25000</v>
      </c>
      <c r="E81" s="47">
        <f t="shared" si="1"/>
        <v>400000</v>
      </c>
    </row>
    <row r="82" spans="1:5" ht="15.6" hidden="1">
      <c r="A82" s="22" t="s">
        <v>95</v>
      </c>
      <c r="B82" s="22" t="s">
        <v>40</v>
      </c>
      <c r="C82" s="53">
        <v>0</v>
      </c>
      <c r="D82" s="55"/>
      <c r="E82" s="47">
        <f t="shared" si="1"/>
        <v>0</v>
      </c>
    </row>
    <row r="83" spans="1:5" ht="15.6" hidden="1">
      <c r="A83" s="22" t="s">
        <v>97</v>
      </c>
      <c r="B83" s="22" t="s">
        <v>3</v>
      </c>
      <c r="C83" s="53">
        <v>0</v>
      </c>
      <c r="D83" s="55"/>
      <c r="E83" s="47">
        <f t="shared" si="1"/>
        <v>0</v>
      </c>
    </row>
    <row r="84" spans="1:5" ht="15.6" hidden="1">
      <c r="A84" s="22" t="s">
        <v>100</v>
      </c>
      <c r="B84" s="22" t="s">
        <v>3</v>
      </c>
      <c r="C84" s="53">
        <v>0</v>
      </c>
      <c r="D84" s="55"/>
      <c r="E84" s="47">
        <f t="shared" si="1"/>
        <v>0</v>
      </c>
    </row>
    <row r="85" spans="1:5" ht="15.6" hidden="1">
      <c r="A85" s="22" t="s">
        <v>96</v>
      </c>
      <c r="B85" s="22" t="s">
        <v>3</v>
      </c>
      <c r="C85" s="53">
        <v>0</v>
      </c>
      <c r="D85" s="55"/>
      <c r="E85" s="47">
        <f t="shared" si="1"/>
        <v>0</v>
      </c>
    </row>
    <row r="86" spans="1:5" ht="15.6" hidden="1">
      <c r="A86" s="22" t="s">
        <v>98</v>
      </c>
      <c r="B86" s="22" t="s">
        <v>3</v>
      </c>
      <c r="C86" s="53">
        <v>0</v>
      </c>
      <c r="D86" s="55"/>
      <c r="E86" s="47">
        <f t="shared" si="1"/>
        <v>0</v>
      </c>
    </row>
    <row r="87" spans="1:5" ht="15.6" hidden="1">
      <c r="A87" s="22" t="s">
        <v>92</v>
      </c>
      <c r="B87" s="22" t="s">
        <v>40</v>
      </c>
      <c r="C87" s="53">
        <v>0</v>
      </c>
      <c r="D87" s="55"/>
      <c r="E87" s="47">
        <f t="shared" si="1"/>
        <v>0</v>
      </c>
    </row>
    <row r="88" spans="1:5" ht="15.6" hidden="1">
      <c r="A88" s="22" t="s">
        <v>90</v>
      </c>
      <c r="B88" s="22" t="s">
        <v>40</v>
      </c>
      <c r="C88" s="53">
        <v>0</v>
      </c>
      <c r="D88" s="55"/>
      <c r="E88" s="47">
        <f t="shared" si="1"/>
        <v>0</v>
      </c>
    </row>
    <row r="89" spans="1:5" ht="15.6">
      <c r="A89" s="22" t="s">
        <v>160</v>
      </c>
      <c r="B89" s="22" t="s">
        <v>3</v>
      </c>
      <c r="C89" s="53">
        <v>120</v>
      </c>
      <c r="D89" s="55">
        <v>50000</v>
      </c>
      <c r="E89" s="47">
        <f t="shared" si="1"/>
        <v>6000000</v>
      </c>
    </row>
    <row r="90" spans="1:5" ht="15.6" hidden="1">
      <c r="A90" s="22" t="s">
        <v>160</v>
      </c>
      <c r="B90" s="22" t="s">
        <v>171</v>
      </c>
      <c r="C90" s="53">
        <v>0</v>
      </c>
      <c r="D90" s="55"/>
      <c r="E90" s="47">
        <f t="shared" si="1"/>
        <v>0</v>
      </c>
    </row>
    <row r="91" spans="1:5" ht="15.6" hidden="1">
      <c r="A91" s="22" t="s">
        <v>160</v>
      </c>
      <c r="B91" s="22" t="s">
        <v>172</v>
      </c>
      <c r="C91" s="53">
        <v>0</v>
      </c>
      <c r="D91" s="55"/>
      <c r="E91" s="47">
        <f t="shared" si="1"/>
        <v>0</v>
      </c>
    </row>
    <row r="92" spans="1:5" ht="15.6" hidden="1">
      <c r="A92" s="22" t="s">
        <v>15</v>
      </c>
      <c r="B92" s="22" t="s">
        <v>3</v>
      </c>
      <c r="C92" s="53">
        <v>0</v>
      </c>
      <c r="D92" s="55"/>
      <c r="E92" s="47">
        <f t="shared" si="1"/>
        <v>0</v>
      </c>
    </row>
    <row r="93" spans="1:5" ht="15.6">
      <c r="A93" s="22" t="s">
        <v>6</v>
      </c>
      <c r="B93" s="22" t="s">
        <v>3</v>
      </c>
      <c r="C93" s="53">
        <v>5</v>
      </c>
      <c r="D93" s="55">
        <v>7000</v>
      </c>
      <c r="E93" s="47">
        <f t="shared" si="1"/>
        <v>35000</v>
      </c>
    </row>
    <row r="94" spans="1:5" ht="15.6" hidden="1">
      <c r="A94" s="22" t="s">
        <v>80</v>
      </c>
      <c r="B94" s="22" t="s">
        <v>30</v>
      </c>
      <c r="C94" s="53">
        <v>0</v>
      </c>
      <c r="D94" s="55"/>
      <c r="E94" s="47">
        <f t="shared" si="1"/>
        <v>0</v>
      </c>
    </row>
    <row r="95" spans="1:5" ht="15.6">
      <c r="A95" s="22" t="s">
        <v>57</v>
      </c>
      <c r="B95" s="22" t="s">
        <v>30</v>
      </c>
      <c r="C95" s="53">
        <v>210</v>
      </c>
      <c r="D95" s="55">
        <v>5400</v>
      </c>
      <c r="E95" s="47">
        <f t="shared" si="1"/>
        <v>1134000</v>
      </c>
    </row>
    <row r="96" spans="1:5" ht="15.6" hidden="1">
      <c r="A96" s="22" t="s">
        <v>108</v>
      </c>
      <c r="B96" s="22" t="s">
        <v>30</v>
      </c>
      <c r="C96" s="53">
        <v>0</v>
      </c>
      <c r="D96" s="55"/>
      <c r="E96" s="47">
        <f t="shared" si="1"/>
        <v>0</v>
      </c>
    </row>
    <row r="97" spans="1:5" ht="15.6" hidden="1">
      <c r="A97" s="22" t="s">
        <v>120</v>
      </c>
      <c r="B97" s="22" t="s">
        <v>30</v>
      </c>
      <c r="C97" s="53">
        <v>0</v>
      </c>
      <c r="D97" s="55"/>
      <c r="E97" s="47">
        <f t="shared" si="1"/>
        <v>0</v>
      </c>
    </row>
    <row r="98" spans="1:5" ht="15.6">
      <c r="A98" s="22" t="s">
        <v>14</v>
      </c>
      <c r="B98" s="22" t="s">
        <v>3</v>
      </c>
      <c r="C98" s="53">
        <v>80</v>
      </c>
      <c r="D98" s="55">
        <v>14000</v>
      </c>
      <c r="E98" s="47">
        <f t="shared" si="1"/>
        <v>1120000</v>
      </c>
    </row>
    <row r="99" spans="1:5" ht="15.6" hidden="1">
      <c r="A99" s="22" t="s">
        <v>89</v>
      </c>
      <c r="B99" s="22" t="s">
        <v>3</v>
      </c>
      <c r="C99" s="53">
        <v>0</v>
      </c>
      <c r="D99" s="55"/>
      <c r="E99" s="47">
        <f t="shared" si="1"/>
        <v>0</v>
      </c>
    </row>
    <row r="100" spans="1:5" ht="15.6">
      <c r="A100" s="22" t="s">
        <v>88</v>
      </c>
      <c r="B100" s="22" t="s">
        <v>3</v>
      </c>
      <c r="C100" s="53">
        <v>3</v>
      </c>
      <c r="D100" s="55">
        <v>8000</v>
      </c>
      <c r="E100" s="47">
        <f t="shared" si="1"/>
        <v>24000</v>
      </c>
    </row>
    <row r="101" spans="1:5" ht="15.6" hidden="1">
      <c r="A101" s="22" t="s">
        <v>66</v>
      </c>
      <c r="B101" s="22" t="s">
        <v>3</v>
      </c>
      <c r="C101" s="53">
        <v>0</v>
      </c>
      <c r="D101" s="55"/>
      <c r="E101" s="47">
        <f t="shared" si="1"/>
        <v>0</v>
      </c>
    </row>
    <row r="102" spans="1:5" ht="15.6">
      <c r="A102" s="22" t="s">
        <v>99</v>
      </c>
      <c r="B102" s="22" t="s">
        <v>3</v>
      </c>
      <c r="C102" s="53">
        <v>240</v>
      </c>
      <c r="D102" s="55">
        <v>3500</v>
      </c>
      <c r="E102" s="47">
        <f t="shared" si="1"/>
        <v>840000</v>
      </c>
    </row>
    <row r="103" spans="1:5" ht="15.6">
      <c r="A103" s="22" t="s">
        <v>134</v>
      </c>
      <c r="B103" s="22" t="s">
        <v>3</v>
      </c>
      <c r="C103" s="53">
        <v>7</v>
      </c>
      <c r="D103" s="55">
        <v>22000</v>
      </c>
      <c r="E103" s="47">
        <f t="shared" si="1"/>
        <v>154000</v>
      </c>
    </row>
    <row r="104" spans="1:5" ht="15.6">
      <c r="A104" s="22" t="s">
        <v>82</v>
      </c>
      <c r="B104" s="22" t="s">
        <v>9</v>
      </c>
      <c r="C104" s="53">
        <v>353</v>
      </c>
      <c r="D104" s="55">
        <v>11361</v>
      </c>
      <c r="E104" s="47">
        <f t="shared" si="1"/>
        <v>4010433</v>
      </c>
    </row>
    <row r="105" spans="1:5">
      <c r="E105" s="51">
        <f>SUM(E3:E104)</f>
        <v>127820233</v>
      </c>
    </row>
  </sheetData>
  <autoFilter ref="A2:E104">
    <filterColumn colId="2">
      <filters>
        <filter val="1"/>
        <filter val="1,010"/>
        <filter val="1,560"/>
        <filter val="10"/>
        <filter val="115"/>
        <filter val="12"/>
        <filter val="120"/>
        <filter val="13"/>
        <filter val="130"/>
        <filter val="14"/>
        <filter val="140"/>
        <filter val="143"/>
        <filter val="15"/>
        <filter val="16"/>
        <filter val="180"/>
        <filter val="190"/>
        <filter val="2"/>
        <filter val="2,323"/>
        <filter val="20"/>
        <filter val="210"/>
        <filter val="240"/>
        <filter val="25"/>
        <filter val="276"/>
        <filter val="3"/>
        <filter val="30"/>
        <filter val="300"/>
        <filter val="32"/>
        <filter val="34"/>
        <filter val="353"/>
        <filter val="39"/>
        <filter val="4"/>
        <filter val="40"/>
        <filter val="45"/>
        <filter val="5"/>
        <filter val="50"/>
        <filter val="60"/>
        <filter val="675"/>
        <filter val="69"/>
        <filter val="7"/>
        <filter val="80"/>
        <filter val="815"/>
        <filter val="85"/>
        <filter val="9"/>
      </filters>
    </filterColumn>
  </autoFilter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105"/>
  <sheetViews>
    <sheetView workbookViewId="0">
      <selection activeCell="G9" sqref="G9"/>
    </sheetView>
  </sheetViews>
  <sheetFormatPr defaultRowHeight="13.8"/>
  <cols>
    <col min="1" max="1" width="24.796875" customWidth="1"/>
    <col min="4" max="4" width="11.09765625" customWidth="1"/>
    <col min="5" max="5" width="16.19921875" customWidth="1"/>
  </cols>
  <sheetData>
    <row r="1" spans="1:5">
      <c r="A1" t="s">
        <v>184</v>
      </c>
    </row>
    <row r="2" spans="1:5" ht="69.599999999999994" customHeight="1">
      <c r="A2" s="52" t="s">
        <v>106</v>
      </c>
      <c r="B2" s="52" t="s">
        <v>0</v>
      </c>
      <c r="C2" s="53" t="s">
        <v>111</v>
      </c>
      <c r="D2" s="54" t="s">
        <v>112</v>
      </c>
      <c r="E2" s="60" t="s">
        <v>113</v>
      </c>
    </row>
    <row r="3" spans="1:5" ht="15.6">
      <c r="A3" s="22" t="s">
        <v>31</v>
      </c>
      <c r="B3" s="22" t="s">
        <v>3</v>
      </c>
      <c r="C3" s="53">
        <v>326</v>
      </c>
      <c r="D3" s="55">
        <v>6000</v>
      </c>
      <c r="E3" s="47">
        <f>C3*D3</f>
        <v>1956000</v>
      </c>
    </row>
    <row r="4" spans="1:5" ht="15.6" hidden="1">
      <c r="A4" s="22" t="s">
        <v>31</v>
      </c>
      <c r="B4" s="22" t="s">
        <v>30</v>
      </c>
      <c r="C4" s="53">
        <v>0</v>
      </c>
      <c r="D4" s="55"/>
      <c r="E4" s="47">
        <f t="shared" ref="E4:E67" si="0">C4*D4</f>
        <v>0</v>
      </c>
    </row>
    <row r="5" spans="1:5" ht="15.6">
      <c r="A5" s="22" t="s">
        <v>32</v>
      </c>
      <c r="B5" s="22" t="s">
        <v>17</v>
      </c>
      <c r="C5" s="53">
        <v>9</v>
      </c>
      <c r="D5" s="55">
        <v>6000</v>
      </c>
      <c r="E5" s="47">
        <f t="shared" si="0"/>
        <v>54000</v>
      </c>
    </row>
    <row r="6" spans="1:5" ht="15.6">
      <c r="A6" s="22" t="s">
        <v>42</v>
      </c>
      <c r="B6" s="22" t="s">
        <v>25</v>
      </c>
      <c r="C6" s="53">
        <v>24</v>
      </c>
      <c r="D6" s="55">
        <v>10000</v>
      </c>
      <c r="E6" s="47">
        <f t="shared" si="0"/>
        <v>240000</v>
      </c>
    </row>
    <row r="7" spans="1:5" ht="15.6">
      <c r="A7" s="22" t="s">
        <v>45</v>
      </c>
      <c r="B7" s="22" t="s">
        <v>3</v>
      </c>
      <c r="C7" s="53">
        <v>32</v>
      </c>
      <c r="D7" s="55">
        <v>9000</v>
      </c>
      <c r="E7" s="47">
        <f t="shared" si="0"/>
        <v>288000</v>
      </c>
    </row>
    <row r="8" spans="1:5" ht="15.6" hidden="1">
      <c r="A8" s="22" t="s">
        <v>45</v>
      </c>
      <c r="B8" s="22" t="s">
        <v>30</v>
      </c>
      <c r="C8" s="53">
        <v>0</v>
      </c>
      <c r="D8" s="55"/>
      <c r="E8" s="47">
        <f t="shared" si="0"/>
        <v>0</v>
      </c>
    </row>
    <row r="9" spans="1:5" ht="15.6">
      <c r="A9" s="22" t="s">
        <v>47</v>
      </c>
      <c r="B9" s="22" t="s">
        <v>3</v>
      </c>
      <c r="C9" s="53">
        <v>260</v>
      </c>
      <c r="D9" s="55">
        <v>7000</v>
      </c>
      <c r="E9" s="47">
        <f t="shared" si="0"/>
        <v>1820000</v>
      </c>
    </row>
    <row r="10" spans="1:5" ht="15.6" hidden="1">
      <c r="A10" s="22" t="s">
        <v>47</v>
      </c>
      <c r="B10" s="22" t="s">
        <v>48</v>
      </c>
      <c r="C10" s="53">
        <v>0</v>
      </c>
      <c r="D10" s="55"/>
      <c r="E10" s="47">
        <f t="shared" si="0"/>
        <v>0</v>
      </c>
    </row>
    <row r="11" spans="1:5" ht="15.6">
      <c r="A11" s="22" t="s">
        <v>49</v>
      </c>
      <c r="B11" s="22" t="s">
        <v>30</v>
      </c>
      <c r="C11" s="53">
        <v>333</v>
      </c>
      <c r="D11" s="55">
        <v>1800</v>
      </c>
      <c r="E11" s="47">
        <f t="shared" si="0"/>
        <v>599400</v>
      </c>
    </row>
    <row r="12" spans="1:5" ht="15.6">
      <c r="A12" s="22" t="s">
        <v>51</v>
      </c>
      <c r="B12" s="22" t="s">
        <v>3</v>
      </c>
      <c r="C12" s="53">
        <v>527</v>
      </c>
      <c r="D12" s="55">
        <v>25000</v>
      </c>
      <c r="E12" s="47">
        <f t="shared" si="0"/>
        <v>13175000</v>
      </c>
    </row>
    <row r="13" spans="1:5" ht="15.6" hidden="1">
      <c r="A13" s="22" t="s">
        <v>51</v>
      </c>
      <c r="B13" s="22" t="s">
        <v>30</v>
      </c>
      <c r="C13" s="53">
        <v>0</v>
      </c>
      <c r="D13" s="55"/>
      <c r="E13" s="47">
        <f t="shared" si="0"/>
        <v>0</v>
      </c>
    </row>
    <row r="14" spans="1:5" ht="15.6">
      <c r="A14" s="22" t="s">
        <v>53</v>
      </c>
      <c r="B14" s="22" t="s">
        <v>3</v>
      </c>
      <c r="C14" s="53">
        <v>70</v>
      </c>
      <c r="D14" s="55">
        <v>16000</v>
      </c>
      <c r="E14" s="47">
        <f t="shared" si="0"/>
        <v>1120000</v>
      </c>
    </row>
    <row r="15" spans="1:5" ht="15.6">
      <c r="A15" s="22" t="s">
        <v>56</v>
      </c>
      <c r="B15" s="22" t="s">
        <v>3</v>
      </c>
      <c r="C15" s="53">
        <v>450</v>
      </c>
      <c r="D15" s="55">
        <v>10800</v>
      </c>
      <c r="E15" s="47">
        <f t="shared" si="0"/>
        <v>4860000</v>
      </c>
    </row>
    <row r="16" spans="1:5" ht="15.6" hidden="1">
      <c r="A16" s="22" t="s">
        <v>56</v>
      </c>
      <c r="B16" s="22" t="s">
        <v>30</v>
      </c>
      <c r="C16" s="53">
        <v>0</v>
      </c>
      <c r="D16" s="55"/>
      <c r="E16" s="47">
        <f t="shared" si="0"/>
        <v>0</v>
      </c>
    </row>
    <row r="17" spans="1:5" ht="15.6">
      <c r="A17" s="22" t="s">
        <v>5</v>
      </c>
      <c r="B17" s="22" t="s">
        <v>3</v>
      </c>
      <c r="C17" s="53">
        <v>420</v>
      </c>
      <c r="D17" s="55">
        <v>3000</v>
      </c>
      <c r="E17" s="47">
        <f t="shared" si="0"/>
        <v>1260000</v>
      </c>
    </row>
    <row r="18" spans="1:5" ht="15.6">
      <c r="A18" s="22" t="s">
        <v>35</v>
      </c>
      <c r="B18" s="22" t="s">
        <v>3</v>
      </c>
      <c r="C18" s="53">
        <v>11</v>
      </c>
      <c r="D18" s="55">
        <v>12000</v>
      </c>
      <c r="E18" s="47">
        <f t="shared" si="0"/>
        <v>132000</v>
      </c>
    </row>
    <row r="19" spans="1:5" ht="15.6" hidden="1">
      <c r="A19" s="22" t="s">
        <v>35</v>
      </c>
      <c r="B19" s="22" t="s">
        <v>30</v>
      </c>
      <c r="C19" s="53">
        <v>0</v>
      </c>
      <c r="D19" s="55"/>
      <c r="E19" s="47">
        <f t="shared" si="0"/>
        <v>0</v>
      </c>
    </row>
    <row r="20" spans="1:5" ht="15.6">
      <c r="A20" s="65" t="s">
        <v>38</v>
      </c>
      <c r="B20" s="65" t="s">
        <v>3</v>
      </c>
      <c r="C20" s="66">
        <v>920</v>
      </c>
      <c r="D20" s="67">
        <v>4500</v>
      </c>
      <c r="E20" s="47">
        <f t="shared" si="0"/>
        <v>4140000</v>
      </c>
    </row>
    <row r="21" spans="1:5" ht="15.6">
      <c r="A21" s="22" t="s">
        <v>39</v>
      </c>
      <c r="B21" s="22" t="s">
        <v>3</v>
      </c>
      <c r="C21" s="53">
        <v>180</v>
      </c>
      <c r="D21" s="55">
        <v>10000</v>
      </c>
      <c r="E21" s="47">
        <f t="shared" si="0"/>
        <v>1800000</v>
      </c>
    </row>
    <row r="22" spans="1:5" ht="15.6" hidden="1">
      <c r="A22" s="22" t="s">
        <v>39</v>
      </c>
      <c r="B22" s="22" t="s">
        <v>40</v>
      </c>
      <c r="C22" s="53">
        <v>0</v>
      </c>
      <c r="D22" s="55"/>
      <c r="E22" s="47">
        <f t="shared" si="0"/>
        <v>0</v>
      </c>
    </row>
    <row r="23" spans="1:5" ht="15.6">
      <c r="A23" s="22" t="s">
        <v>7</v>
      </c>
      <c r="B23" s="22" t="s">
        <v>3</v>
      </c>
      <c r="C23" s="53">
        <v>300</v>
      </c>
      <c r="D23" s="55">
        <v>11000</v>
      </c>
      <c r="E23" s="47">
        <f t="shared" si="0"/>
        <v>3300000</v>
      </c>
    </row>
    <row r="24" spans="1:5" ht="15.6">
      <c r="A24" s="22" t="s">
        <v>8</v>
      </c>
      <c r="B24" s="22" t="s">
        <v>3</v>
      </c>
      <c r="C24" s="53">
        <v>110</v>
      </c>
      <c r="D24" s="55">
        <v>15000</v>
      </c>
      <c r="E24" s="47">
        <f t="shared" si="0"/>
        <v>1650000</v>
      </c>
    </row>
    <row r="25" spans="1:5" ht="15.6" hidden="1">
      <c r="A25" s="22" t="s">
        <v>8</v>
      </c>
      <c r="B25" s="22" t="s">
        <v>9</v>
      </c>
      <c r="C25" s="53">
        <v>0</v>
      </c>
      <c r="D25" s="55"/>
      <c r="E25" s="47">
        <f t="shared" si="0"/>
        <v>0</v>
      </c>
    </row>
    <row r="26" spans="1:5" ht="15.6">
      <c r="A26" s="22" t="s">
        <v>10</v>
      </c>
      <c r="B26" s="22" t="s">
        <v>3</v>
      </c>
      <c r="C26" s="53">
        <v>8</v>
      </c>
      <c r="D26" s="55">
        <v>13500</v>
      </c>
      <c r="E26" s="47">
        <f t="shared" si="0"/>
        <v>108000</v>
      </c>
    </row>
    <row r="27" spans="1:5" ht="15.6" hidden="1">
      <c r="A27" s="22" t="s">
        <v>10</v>
      </c>
      <c r="B27" s="22" t="s">
        <v>9</v>
      </c>
      <c r="C27" s="53">
        <v>0</v>
      </c>
      <c r="D27" s="55"/>
      <c r="E27" s="47">
        <f t="shared" si="0"/>
        <v>0</v>
      </c>
    </row>
    <row r="28" spans="1:5" ht="15.6">
      <c r="A28" s="22" t="s">
        <v>18</v>
      </c>
      <c r="B28" s="22" t="s">
        <v>3</v>
      </c>
      <c r="C28" s="53">
        <v>300</v>
      </c>
      <c r="D28" s="55">
        <v>16000</v>
      </c>
      <c r="E28" s="47">
        <f t="shared" si="0"/>
        <v>4800000</v>
      </c>
    </row>
    <row r="29" spans="1:5" ht="15.6" hidden="1">
      <c r="A29" s="22" t="s">
        <v>18</v>
      </c>
      <c r="B29" s="22" t="s">
        <v>19</v>
      </c>
      <c r="C29" s="53">
        <v>0</v>
      </c>
      <c r="D29" s="55"/>
      <c r="E29" s="47">
        <f t="shared" si="0"/>
        <v>0</v>
      </c>
    </row>
    <row r="30" spans="1:5" ht="15.6">
      <c r="A30" s="22" t="s">
        <v>28</v>
      </c>
      <c r="B30" s="22" t="s">
        <v>3</v>
      </c>
      <c r="C30" s="53">
        <v>370</v>
      </c>
      <c r="D30" s="55">
        <v>16000</v>
      </c>
      <c r="E30" s="47">
        <f t="shared" si="0"/>
        <v>5920000</v>
      </c>
    </row>
    <row r="31" spans="1:5" ht="15.6" hidden="1">
      <c r="A31" s="22" t="s">
        <v>28</v>
      </c>
      <c r="B31" s="22" t="s">
        <v>17</v>
      </c>
      <c r="C31" s="53">
        <v>0</v>
      </c>
      <c r="D31" s="55"/>
      <c r="E31" s="47">
        <f t="shared" si="0"/>
        <v>0</v>
      </c>
    </row>
    <row r="32" spans="1:5" ht="15.6">
      <c r="A32" s="22" t="s">
        <v>29</v>
      </c>
      <c r="B32" s="22" t="s">
        <v>30</v>
      </c>
      <c r="C32" s="53">
        <v>150</v>
      </c>
      <c r="D32" s="55">
        <v>11000</v>
      </c>
      <c r="E32" s="47">
        <f t="shared" si="0"/>
        <v>1650000</v>
      </c>
    </row>
    <row r="33" spans="1:5" ht="15.6" hidden="1">
      <c r="A33" s="22" t="s">
        <v>65</v>
      </c>
      <c r="B33" s="22" t="s">
        <v>3</v>
      </c>
      <c r="C33" s="53">
        <v>0</v>
      </c>
      <c r="D33" s="55"/>
      <c r="E33" s="47">
        <f t="shared" si="0"/>
        <v>0</v>
      </c>
    </row>
    <row r="34" spans="1:5" ht="15.6" hidden="1">
      <c r="A34" s="22" t="s">
        <v>65</v>
      </c>
      <c r="B34" s="22" t="s">
        <v>17</v>
      </c>
      <c r="C34" s="53">
        <v>0</v>
      </c>
      <c r="D34" s="55"/>
      <c r="E34" s="47">
        <f t="shared" si="0"/>
        <v>0</v>
      </c>
    </row>
    <row r="35" spans="1:5" ht="15.6">
      <c r="A35" s="22" t="s">
        <v>67</v>
      </c>
      <c r="B35" s="22" t="s">
        <v>3</v>
      </c>
      <c r="C35" s="53">
        <v>27</v>
      </c>
      <c r="D35" s="55">
        <v>13000</v>
      </c>
      <c r="E35" s="47">
        <f t="shared" si="0"/>
        <v>351000</v>
      </c>
    </row>
    <row r="36" spans="1:5" ht="15.6">
      <c r="A36" s="22" t="s">
        <v>74</v>
      </c>
      <c r="B36" s="22" t="s">
        <v>3</v>
      </c>
      <c r="C36" s="53">
        <v>130</v>
      </c>
      <c r="D36" s="55">
        <v>24000</v>
      </c>
      <c r="E36" s="47">
        <f t="shared" si="0"/>
        <v>3120000</v>
      </c>
    </row>
    <row r="37" spans="1:5" ht="15.6" hidden="1">
      <c r="A37" s="22" t="s">
        <v>74</v>
      </c>
      <c r="B37" s="22" t="s">
        <v>9</v>
      </c>
      <c r="C37" s="53">
        <v>0</v>
      </c>
      <c r="D37" s="55"/>
      <c r="E37" s="47">
        <f t="shared" si="0"/>
        <v>0</v>
      </c>
    </row>
    <row r="38" spans="1:5" ht="15.6">
      <c r="A38" s="22" t="s">
        <v>76</v>
      </c>
      <c r="B38" s="22" t="s">
        <v>3</v>
      </c>
      <c r="C38" s="53">
        <v>65</v>
      </c>
      <c r="D38" s="55">
        <v>32000</v>
      </c>
      <c r="E38" s="47">
        <f t="shared" si="0"/>
        <v>2080000</v>
      </c>
    </row>
    <row r="39" spans="1:5" ht="15.6" hidden="1">
      <c r="A39" s="22" t="s">
        <v>76</v>
      </c>
      <c r="B39" s="22" t="s">
        <v>9</v>
      </c>
      <c r="C39" s="53">
        <v>0</v>
      </c>
      <c r="D39" s="55"/>
      <c r="E39" s="47">
        <f t="shared" si="0"/>
        <v>0</v>
      </c>
    </row>
    <row r="40" spans="1:5" ht="15.6">
      <c r="A40" s="22" t="s">
        <v>78</v>
      </c>
      <c r="B40" s="22" t="s">
        <v>3</v>
      </c>
      <c r="C40" s="53">
        <v>45</v>
      </c>
      <c r="D40" s="55">
        <v>30000</v>
      </c>
      <c r="E40" s="47">
        <f t="shared" si="0"/>
        <v>1350000</v>
      </c>
    </row>
    <row r="41" spans="1:5" ht="15.6" hidden="1">
      <c r="A41" s="22" t="s">
        <v>78</v>
      </c>
      <c r="B41" s="22" t="s">
        <v>9</v>
      </c>
      <c r="C41" s="53">
        <v>0</v>
      </c>
      <c r="D41" s="55"/>
      <c r="E41" s="47">
        <f t="shared" si="0"/>
        <v>0</v>
      </c>
    </row>
    <row r="42" spans="1:5" ht="15.6" hidden="1">
      <c r="A42" s="22" t="s">
        <v>72</v>
      </c>
      <c r="B42" s="22" t="s">
        <v>17</v>
      </c>
      <c r="C42" s="53">
        <v>0</v>
      </c>
      <c r="D42" s="55"/>
      <c r="E42" s="47">
        <f t="shared" si="0"/>
        <v>0</v>
      </c>
    </row>
    <row r="43" spans="1:5" ht="15.6">
      <c r="A43" s="22" t="s">
        <v>50</v>
      </c>
      <c r="B43" s="22" t="s">
        <v>3</v>
      </c>
      <c r="C43" s="53">
        <v>1400</v>
      </c>
      <c r="D43" s="55">
        <v>25000</v>
      </c>
      <c r="E43" s="47">
        <f t="shared" si="0"/>
        <v>35000000</v>
      </c>
    </row>
    <row r="44" spans="1:5" ht="15.6">
      <c r="A44" s="22" t="s">
        <v>22</v>
      </c>
      <c r="B44" s="22" t="s">
        <v>3</v>
      </c>
      <c r="C44" s="53">
        <v>4</v>
      </c>
      <c r="D44" s="55">
        <v>20000</v>
      </c>
      <c r="E44" s="47">
        <f t="shared" si="0"/>
        <v>80000</v>
      </c>
    </row>
    <row r="45" spans="1:5" ht="15.6">
      <c r="A45" s="22" t="s">
        <v>22</v>
      </c>
      <c r="B45" s="22" t="s">
        <v>23</v>
      </c>
      <c r="C45" s="53">
        <v>80</v>
      </c>
      <c r="D45" s="55">
        <v>6000</v>
      </c>
      <c r="E45" s="47">
        <f t="shared" si="0"/>
        <v>480000</v>
      </c>
    </row>
    <row r="46" spans="1:5" ht="15.6" hidden="1">
      <c r="A46" s="22" t="s">
        <v>69</v>
      </c>
      <c r="B46" s="22" t="s">
        <v>3</v>
      </c>
      <c r="C46" s="53">
        <v>0</v>
      </c>
      <c r="D46" s="55"/>
      <c r="E46" s="47">
        <f t="shared" si="0"/>
        <v>0</v>
      </c>
    </row>
    <row r="47" spans="1:5" ht="15.6">
      <c r="A47" s="22" t="s">
        <v>2</v>
      </c>
      <c r="B47" s="22" t="s">
        <v>3</v>
      </c>
      <c r="C47" s="53">
        <v>39</v>
      </c>
      <c r="D47" s="55">
        <v>16000</v>
      </c>
      <c r="E47" s="47">
        <f t="shared" si="0"/>
        <v>624000</v>
      </c>
    </row>
    <row r="48" spans="1:5" ht="15.6">
      <c r="A48" s="22" t="s">
        <v>4</v>
      </c>
      <c r="B48" s="22" t="s">
        <v>3</v>
      </c>
      <c r="C48" s="53">
        <v>320</v>
      </c>
      <c r="D48" s="55">
        <v>6000</v>
      </c>
      <c r="E48" s="47">
        <f t="shared" si="0"/>
        <v>1920000</v>
      </c>
    </row>
    <row r="49" spans="1:5" ht="15.6" hidden="1">
      <c r="A49" s="22" t="s">
        <v>12</v>
      </c>
      <c r="B49" s="22" t="s">
        <v>3</v>
      </c>
      <c r="C49" s="53">
        <v>0</v>
      </c>
      <c r="D49" s="55"/>
      <c r="E49" s="47">
        <f t="shared" si="0"/>
        <v>0</v>
      </c>
    </row>
    <row r="50" spans="1:5" ht="15.6" hidden="1">
      <c r="A50" s="22" t="s">
        <v>20</v>
      </c>
      <c r="B50" s="22" t="s">
        <v>3</v>
      </c>
      <c r="C50" s="53">
        <v>0</v>
      </c>
      <c r="D50" s="55"/>
      <c r="E50" s="47">
        <f t="shared" si="0"/>
        <v>0</v>
      </c>
    </row>
    <row r="51" spans="1:5" ht="15.6" hidden="1">
      <c r="A51" s="22" t="s">
        <v>20</v>
      </c>
      <c r="B51" s="22" t="s">
        <v>21</v>
      </c>
      <c r="C51" s="53">
        <v>0</v>
      </c>
      <c r="D51" s="55"/>
      <c r="E51" s="47">
        <f t="shared" si="0"/>
        <v>0</v>
      </c>
    </row>
    <row r="52" spans="1:5" ht="15.6">
      <c r="A52" s="22" t="s">
        <v>24</v>
      </c>
      <c r="B52" s="22" t="s">
        <v>25</v>
      </c>
      <c r="C52" s="53">
        <v>15</v>
      </c>
      <c r="D52" s="55">
        <v>11100</v>
      </c>
      <c r="E52" s="47">
        <f t="shared" si="0"/>
        <v>166500</v>
      </c>
    </row>
    <row r="53" spans="1:5" ht="15.6" hidden="1">
      <c r="A53" s="22" t="s">
        <v>26</v>
      </c>
      <c r="B53" s="22" t="s">
        <v>3</v>
      </c>
      <c r="C53" s="53">
        <v>0</v>
      </c>
      <c r="D53" s="55"/>
      <c r="E53" s="47">
        <f t="shared" si="0"/>
        <v>0</v>
      </c>
    </row>
    <row r="54" spans="1:5" ht="15.6">
      <c r="A54" s="22" t="s">
        <v>26</v>
      </c>
      <c r="B54" s="22" t="s">
        <v>27</v>
      </c>
      <c r="C54" s="53">
        <v>45</v>
      </c>
      <c r="D54" s="55">
        <v>7500</v>
      </c>
      <c r="E54" s="47">
        <f t="shared" si="0"/>
        <v>337500</v>
      </c>
    </row>
    <row r="55" spans="1:5" ht="15.6">
      <c r="A55" s="22" t="s">
        <v>33</v>
      </c>
      <c r="B55" s="22" t="s">
        <v>3</v>
      </c>
      <c r="C55" s="53">
        <v>66</v>
      </c>
      <c r="D55" s="55">
        <v>8000</v>
      </c>
      <c r="E55" s="47">
        <f t="shared" si="0"/>
        <v>528000</v>
      </c>
    </row>
    <row r="56" spans="1:5" ht="15.6" hidden="1">
      <c r="A56" s="22" t="s">
        <v>33</v>
      </c>
      <c r="B56" s="22" t="s">
        <v>34</v>
      </c>
      <c r="C56" s="53">
        <v>0</v>
      </c>
      <c r="D56" s="55"/>
      <c r="E56" s="47">
        <f t="shared" si="0"/>
        <v>0</v>
      </c>
    </row>
    <row r="57" spans="1:5" ht="15.6">
      <c r="A57" s="22" t="s">
        <v>36</v>
      </c>
      <c r="B57" s="22" t="s">
        <v>30</v>
      </c>
      <c r="C57" s="53">
        <v>6</v>
      </c>
      <c r="D57" s="55">
        <v>3000</v>
      </c>
      <c r="E57" s="47">
        <f t="shared" si="0"/>
        <v>18000</v>
      </c>
    </row>
    <row r="58" spans="1:5" ht="15.6">
      <c r="A58" s="22" t="s">
        <v>54</v>
      </c>
      <c r="B58" s="22" t="s">
        <v>3</v>
      </c>
      <c r="C58" s="53">
        <v>39</v>
      </c>
      <c r="D58" s="55">
        <v>25000</v>
      </c>
      <c r="E58" s="47">
        <f t="shared" si="0"/>
        <v>975000</v>
      </c>
    </row>
    <row r="59" spans="1:5" ht="15.6" hidden="1">
      <c r="A59" s="22" t="s">
        <v>41</v>
      </c>
      <c r="B59" s="22" t="s">
        <v>3</v>
      </c>
      <c r="C59" s="53">
        <v>0</v>
      </c>
      <c r="D59" s="55"/>
      <c r="E59" s="47">
        <f t="shared" si="0"/>
        <v>0</v>
      </c>
    </row>
    <row r="60" spans="1:5" ht="15.6" hidden="1">
      <c r="A60" s="22" t="s">
        <v>44</v>
      </c>
      <c r="B60" s="22" t="s">
        <v>3</v>
      </c>
      <c r="C60" s="53">
        <v>0</v>
      </c>
      <c r="D60" s="55"/>
      <c r="E60" s="47">
        <f t="shared" si="0"/>
        <v>0</v>
      </c>
    </row>
    <row r="61" spans="1:5" ht="15.6">
      <c r="A61" s="22" t="s">
        <v>46</v>
      </c>
      <c r="B61" s="22" t="s">
        <v>3</v>
      </c>
      <c r="C61" s="53">
        <v>11</v>
      </c>
      <c r="D61" s="55">
        <v>18000</v>
      </c>
      <c r="E61" s="47">
        <f t="shared" si="0"/>
        <v>198000</v>
      </c>
    </row>
    <row r="62" spans="1:5" ht="15.6">
      <c r="A62" s="22" t="s">
        <v>58</v>
      </c>
      <c r="B62" s="22" t="s">
        <v>3</v>
      </c>
      <c r="C62" s="53">
        <v>3</v>
      </c>
      <c r="D62" s="55">
        <v>8000</v>
      </c>
      <c r="E62" s="47">
        <f t="shared" si="0"/>
        <v>24000</v>
      </c>
    </row>
    <row r="63" spans="1:5" ht="15.6">
      <c r="A63" s="22" t="s">
        <v>59</v>
      </c>
      <c r="B63" s="22" t="s">
        <v>30</v>
      </c>
      <c r="C63" s="53">
        <v>16</v>
      </c>
      <c r="D63" s="55">
        <v>6000</v>
      </c>
      <c r="E63" s="47">
        <f t="shared" si="0"/>
        <v>96000</v>
      </c>
    </row>
    <row r="64" spans="1:5" ht="15.6" hidden="1">
      <c r="A64" s="22" t="s">
        <v>60</v>
      </c>
      <c r="B64" s="22" t="s">
        <v>3</v>
      </c>
      <c r="C64" s="53">
        <v>0</v>
      </c>
      <c r="D64" s="55"/>
      <c r="E64" s="47">
        <f t="shared" si="0"/>
        <v>0</v>
      </c>
    </row>
    <row r="65" spans="1:5" ht="15.6" hidden="1">
      <c r="A65" s="22" t="s">
        <v>60</v>
      </c>
      <c r="B65" s="22" t="s">
        <v>30</v>
      </c>
      <c r="C65" s="53">
        <v>0</v>
      </c>
      <c r="D65" s="55"/>
      <c r="E65" s="47">
        <f t="shared" si="0"/>
        <v>0</v>
      </c>
    </row>
    <row r="66" spans="1:5" ht="15.6">
      <c r="A66" s="22" t="s">
        <v>60</v>
      </c>
      <c r="B66" s="22" t="s">
        <v>61</v>
      </c>
      <c r="C66" s="53">
        <v>19</v>
      </c>
      <c r="D66" s="55">
        <v>7000</v>
      </c>
      <c r="E66" s="47">
        <f t="shared" si="0"/>
        <v>133000</v>
      </c>
    </row>
    <row r="67" spans="1:5" ht="15.6">
      <c r="A67" s="22" t="s">
        <v>62</v>
      </c>
      <c r="B67" s="22" t="s">
        <v>3</v>
      </c>
      <c r="C67" s="53">
        <v>0.5</v>
      </c>
      <c r="D67" s="55">
        <v>80000</v>
      </c>
      <c r="E67" s="47">
        <f t="shared" si="0"/>
        <v>40000</v>
      </c>
    </row>
    <row r="68" spans="1:5" ht="15.6">
      <c r="A68" s="22" t="s">
        <v>63</v>
      </c>
      <c r="B68" s="22" t="s">
        <v>3</v>
      </c>
      <c r="C68" s="53">
        <v>0.5</v>
      </c>
      <c r="D68" s="55">
        <v>70000</v>
      </c>
      <c r="E68" s="47">
        <f t="shared" ref="E68:E104" si="1">C68*D68</f>
        <v>35000</v>
      </c>
    </row>
    <row r="69" spans="1:5" ht="15.6">
      <c r="A69" s="22" t="s">
        <v>64</v>
      </c>
      <c r="B69" s="22" t="s">
        <v>3</v>
      </c>
      <c r="C69" s="53">
        <v>0.5</v>
      </c>
      <c r="D69" s="55">
        <v>70000</v>
      </c>
      <c r="E69" s="47">
        <f t="shared" si="1"/>
        <v>35000</v>
      </c>
    </row>
    <row r="70" spans="1:5" ht="15.6">
      <c r="A70" s="22" t="s">
        <v>68</v>
      </c>
      <c r="B70" s="22" t="s">
        <v>3</v>
      </c>
      <c r="C70" s="53">
        <v>3</v>
      </c>
      <c r="D70" s="55">
        <v>10000</v>
      </c>
      <c r="E70" s="47">
        <f t="shared" si="1"/>
        <v>30000</v>
      </c>
    </row>
    <row r="71" spans="1:5" ht="15.6" hidden="1">
      <c r="A71" s="22" t="s">
        <v>68</v>
      </c>
      <c r="B71" s="22" t="s">
        <v>40</v>
      </c>
      <c r="C71" s="53">
        <v>0</v>
      </c>
      <c r="D71" s="55"/>
      <c r="E71" s="47">
        <f t="shared" si="1"/>
        <v>0</v>
      </c>
    </row>
    <row r="72" spans="1:5" ht="15.6">
      <c r="A72" s="22" t="s">
        <v>85</v>
      </c>
      <c r="B72" s="22" t="s">
        <v>3</v>
      </c>
      <c r="C72" s="53">
        <v>13</v>
      </c>
      <c r="D72" s="55">
        <v>13000</v>
      </c>
      <c r="E72" s="47">
        <f t="shared" si="1"/>
        <v>169000</v>
      </c>
    </row>
    <row r="73" spans="1:5" ht="15.6" hidden="1">
      <c r="A73" s="22" t="s">
        <v>70</v>
      </c>
      <c r="B73" s="22" t="s">
        <v>30</v>
      </c>
      <c r="C73" s="53">
        <v>0</v>
      </c>
      <c r="D73" s="55"/>
      <c r="E73" s="47">
        <f t="shared" si="1"/>
        <v>0</v>
      </c>
    </row>
    <row r="74" spans="1:5" ht="15.6">
      <c r="A74" s="22" t="s">
        <v>71</v>
      </c>
      <c r="B74" s="22" t="s">
        <v>3</v>
      </c>
      <c r="C74" s="53">
        <v>32</v>
      </c>
      <c r="D74" s="55">
        <v>14000</v>
      </c>
      <c r="E74" s="47">
        <f t="shared" si="1"/>
        <v>448000</v>
      </c>
    </row>
    <row r="75" spans="1:5" ht="15.6" hidden="1">
      <c r="A75" s="22" t="s">
        <v>73</v>
      </c>
      <c r="B75" s="22" t="s">
        <v>25</v>
      </c>
      <c r="C75" s="53">
        <v>0</v>
      </c>
      <c r="D75" s="55"/>
      <c r="E75" s="47">
        <f t="shared" si="1"/>
        <v>0</v>
      </c>
    </row>
    <row r="76" spans="1:5" ht="15.6">
      <c r="A76" s="22" t="s">
        <v>73</v>
      </c>
      <c r="B76" s="22" t="s">
        <v>3</v>
      </c>
      <c r="C76" s="53">
        <v>12</v>
      </c>
      <c r="D76" s="55">
        <v>28000</v>
      </c>
      <c r="E76" s="47">
        <f t="shared" si="1"/>
        <v>336000</v>
      </c>
    </row>
    <row r="77" spans="1:5" ht="15.6" hidden="1">
      <c r="A77" s="22" t="s">
        <v>79</v>
      </c>
      <c r="B77" s="22" t="s">
        <v>30</v>
      </c>
      <c r="C77" s="53">
        <v>0</v>
      </c>
      <c r="D77" s="55"/>
      <c r="E77" s="47">
        <f t="shared" si="1"/>
        <v>0</v>
      </c>
    </row>
    <row r="78" spans="1:5" ht="15.6">
      <c r="A78" s="22" t="s">
        <v>87</v>
      </c>
      <c r="B78" s="22" t="s">
        <v>3</v>
      </c>
      <c r="C78" s="53">
        <v>133</v>
      </c>
      <c r="D78" s="55">
        <v>3500</v>
      </c>
      <c r="E78" s="47">
        <f t="shared" si="1"/>
        <v>465500</v>
      </c>
    </row>
    <row r="79" spans="1:5" ht="15.6">
      <c r="A79" s="22" t="s">
        <v>81</v>
      </c>
      <c r="B79" s="22" t="s">
        <v>9</v>
      </c>
      <c r="C79" s="53">
        <v>2291</v>
      </c>
      <c r="D79" s="55">
        <v>9000</v>
      </c>
      <c r="E79" s="47">
        <f t="shared" si="1"/>
        <v>20619000</v>
      </c>
    </row>
    <row r="80" spans="1:5" ht="15.6" hidden="1">
      <c r="A80" s="22" t="s">
        <v>91</v>
      </c>
      <c r="B80" s="22" t="s">
        <v>3</v>
      </c>
      <c r="C80" s="53">
        <v>0</v>
      </c>
      <c r="D80" s="55"/>
      <c r="E80" s="47">
        <f t="shared" si="1"/>
        <v>0</v>
      </c>
    </row>
    <row r="81" spans="1:5" ht="15.6" hidden="1">
      <c r="A81" s="22" t="s">
        <v>93</v>
      </c>
      <c r="B81" s="22" t="s">
        <v>3</v>
      </c>
      <c r="C81" s="53">
        <v>0</v>
      </c>
      <c r="D81" s="55"/>
      <c r="E81" s="47">
        <f t="shared" si="1"/>
        <v>0</v>
      </c>
    </row>
    <row r="82" spans="1:5" ht="15.6" hidden="1">
      <c r="A82" s="22" t="s">
        <v>94</v>
      </c>
      <c r="B82" s="22" t="s">
        <v>3</v>
      </c>
      <c r="C82" s="53">
        <v>0</v>
      </c>
      <c r="D82" s="55"/>
      <c r="E82" s="47">
        <f t="shared" si="1"/>
        <v>0</v>
      </c>
    </row>
    <row r="83" spans="1:5" ht="15.6">
      <c r="A83" s="22" t="s">
        <v>95</v>
      </c>
      <c r="B83" s="22" t="s">
        <v>40</v>
      </c>
      <c r="C83" s="53">
        <v>12</v>
      </c>
      <c r="D83" s="55">
        <v>7000</v>
      </c>
      <c r="E83" s="47">
        <f t="shared" si="1"/>
        <v>84000</v>
      </c>
    </row>
    <row r="84" spans="1:5" ht="15.6">
      <c r="A84" s="22" t="s">
        <v>145</v>
      </c>
      <c r="B84" s="22" t="s">
        <v>40</v>
      </c>
      <c r="C84" s="53">
        <v>190</v>
      </c>
      <c r="D84" s="55">
        <v>5000</v>
      </c>
      <c r="E84" s="47">
        <f t="shared" si="1"/>
        <v>950000</v>
      </c>
    </row>
    <row r="85" spans="1:5" ht="15.6">
      <c r="A85" s="22" t="s">
        <v>97</v>
      </c>
      <c r="B85" s="22" t="s">
        <v>3</v>
      </c>
      <c r="C85" s="53">
        <v>50</v>
      </c>
      <c r="D85" s="55">
        <v>18000</v>
      </c>
      <c r="E85" s="47">
        <f t="shared" si="1"/>
        <v>900000</v>
      </c>
    </row>
    <row r="86" spans="1:5" ht="15.6">
      <c r="A86" s="22" t="s">
        <v>100</v>
      </c>
      <c r="B86" s="22" t="s">
        <v>3</v>
      </c>
      <c r="C86" s="53">
        <v>3</v>
      </c>
      <c r="D86" s="55">
        <v>28000</v>
      </c>
      <c r="E86" s="47">
        <f t="shared" si="1"/>
        <v>84000</v>
      </c>
    </row>
    <row r="87" spans="1:5" ht="15.6">
      <c r="A87" s="22" t="s">
        <v>96</v>
      </c>
      <c r="B87" s="22" t="s">
        <v>3</v>
      </c>
      <c r="C87" s="53">
        <v>6</v>
      </c>
      <c r="D87" s="55">
        <v>9000</v>
      </c>
      <c r="E87" s="47">
        <f t="shared" si="1"/>
        <v>54000</v>
      </c>
    </row>
    <row r="88" spans="1:5" ht="15.6">
      <c r="A88" s="22" t="s">
        <v>98</v>
      </c>
      <c r="B88" s="22" t="s">
        <v>3</v>
      </c>
      <c r="C88" s="53">
        <v>1.5</v>
      </c>
      <c r="D88" s="55">
        <v>14000</v>
      </c>
      <c r="E88" s="47">
        <f t="shared" si="1"/>
        <v>21000</v>
      </c>
    </row>
    <row r="89" spans="1:5" ht="15.6" hidden="1">
      <c r="A89" s="22" t="s">
        <v>92</v>
      </c>
      <c r="B89" s="22" t="s">
        <v>40</v>
      </c>
      <c r="C89" s="53">
        <v>0</v>
      </c>
      <c r="D89" s="55"/>
      <c r="E89" s="47">
        <f t="shared" si="1"/>
        <v>0</v>
      </c>
    </row>
    <row r="90" spans="1:5" ht="15.6">
      <c r="A90" s="22" t="s">
        <v>90</v>
      </c>
      <c r="B90" s="22" t="s">
        <v>40</v>
      </c>
      <c r="C90" s="53">
        <v>45</v>
      </c>
      <c r="D90" s="55">
        <v>6800</v>
      </c>
      <c r="E90" s="47">
        <f t="shared" si="1"/>
        <v>306000</v>
      </c>
    </row>
    <row r="91" spans="1:5" ht="15.6" hidden="1">
      <c r="A91" s="22" t="s">
        <v>108</v>
      </c>
      <c r="B91" s="22" t="s">
        <v>30</v>
      </c>
      <c r="C91" s="53">
        <v>0</v>
      </c>
      <c r="D91" s="55"/>
      <c r="E91" s="47">
        <f t="shared" si="1"/>
        <v>0</v>
      </c>
    </row>
    <row r="92" spans="1:5" ht="15.6">
      <c r="A92" s="22" t="s">
        <v>88</v>
      </c>
      <c r="B92" s="22" t="s">
        <v>3</v>
      </c>
      <c r="C92" s="53">
        <v>3</v>
      </c>
      <c r="D92" s="55">
        <v>13000</v>
      </c>
      <c r="E92" s="47">
        <f t="shared" si="1"/>
        <v>39000</v>
      </c>
    </row>
    <row r="93" spans="1:5" ht="15.6" hidden="1">
      <c r="A93" s="22" t="s">
        <v>89</v>
      </c>
      <c r="B93" s="22" t="s">
        <v>3</v>
      </c>
      <c r="C93" s="53">
        <v>0</v>
      </c>
      <c r="D93" s="55"/>
      <c r="E93" s="47">
        <f t="shared" si="1"/>
        <v>0</v>
      </c>
    </row>
    <row r="94" spans="1:5" ht="15.6" hidden="1">
      <c r="A94" s="22" t="s">
        <v>15</v>
      </c>
      <c r="B94" s="22" t="s">
        <v>3</v>
      </c>
      <c r="C94" s="53">
        <v>0</v>
      </c>
      <c r="D94" s="55"/>
      <c r="E94" s="47">
        <f t="shared" si="1"/>
        <v>0</v>
      </c>
    </row>
    <row r="95" spans="1:5" ht="15.6">
      <c r="A95" s="22" t="s">
        <v>134</v>
      </c>
      <c r="B95" s="22" t="s">
        <v>3</v>
      </c>
      <c r="C95" s="53">
        <v>7</v>
      </c>
      <c r="D95" s="55">
        <v>22000</v>
      </c>
      <c r="E95" s="47">
        <f t="shared" si="1"/>
        <v>154000</v>
      </c>
    </row>
    <row r="96" spans="1:5" ht="15.6">
      <c r="A96" s="22" t="s">
        <v>6</v>
      </c>
      <c r="B96" s="22" t="s">
        <v>3</v>
      </c>
      <c r="C96" s="53">
        <v>5</v>
      </c>
      <c r="D96" s="55">
        <v>8000</v>
      </c>
      <c r="E96" s="47">
        <f t="shared" si="1"/>
        <v>40000</v>
      </c>
    </row>
    <row r="97" spans="1:5" ht="15.6">
      <c r="A97" s="22" t="s">
        <v>57</v>
      </c>
      <c r="B97" s="22" t="s">
        <v>30</v>
      </c>
      <c r="C97" s="53">
        <v>140</v>
      </c>
      <c r="D97" s="55">
        <v>5400</v>
      </c>
      <c r="E97" s="47">
        <f t="shared" si="1"/>
        <v>756000</v>
      </c>
    </row>
    <row r="98" spans="1:5" ht="15.6" hidden="1">
      <c r="A98" s="22" t="s">
        <v>131</v>
      </c>
      <c r="B98" s="22" t="s">
        <v>3</v>
      </c>
      <c r="C98" s="53">
        <v>0</v>
      </c>
      <c r="D98" s="55"/>
      <c r="E98" s="47">
        <f t="shared" si="1"/>
        <v>0</v>
      </c>
    </row>
    <row r="99" spans="1:5" ht="15.6" hidden="1">
      <c r="A99" s="22" t="s">
        <v>80</v>
      </c>
      <c r="B99" s="22" t="s">
        <v>30</v>
      </c>
      <c r="C99" s="53">
        <v>0</v>
      </c>
      <c r="D99" s="55"/>
      <c r="E99" s="47">
        <f t="shared" si="1"/>
        <v>0</v>
      </c>
    </row>
    <row r="100" spans="1:5" ht="15.6">
      <c r="A100" s="22" t="s">
        <v>14</v>
      </c>
      <c r="B100" s="22" t="s">
        <v>3</v>
      </c>
      <c r="C100" s="53">
        <v>23</v>
      </c>
      <c r="D100" s="55">
        <v>14000</v>
      </c>
      <c r="E100" s="47">
        <f t="shared" si="1"/>
        <v>322000</v>
      </c>
    </row>
    <row r="101" spans="1:5" ht="15.6" hidden="1">
      <c r="A101" s="22" t="s">
        <v>66</v>
      </c>
      <c r="B101" s="22" t="s">
        <v>3</v>
      </c>
      <c r="C101" s="53">
        <v>0</v>
      </c>
      <c r="D101" s="55"/>
      <c r="E101" s="47">
        <f t="shared" si="1"/>
        <v>0</v>
      </c>
    </row>
    <row r="102" spans="1:5" ht="15.6">
      <c r="A102" s="22" t="s">
        <v>99</v>
      </c>
      <c r="B102" s="22" t="s">
        <v>3</v>
      </c>
      <c r="C102" s="53">
        <v>240</v>
      </c>
      <c r="D102" s="55">
        <v>3000</v>
      </c>
      <c r="E102" s="47">
        <f t="shared" si="1"/>
        <v>720000</v>
      </c>
    </row>
    <row r="103" spans="1:5" ht="15.6">
      <c r="A103" s="22" t="s">
        <v>160</v>
      </c>
      <c r="B103" s="22" t="s">
        <v>3</v>
      </c>
      <c r="C103" s="53">
        <v>120</v>
      </c>
      <c r="D103" s="55">
        <v>50000</v>
      </c>
      <c r="E103" s="47">
        <f t="shared" si="1"/>
        <v>6000000</v>
      </c>
    </row>
    <row r="104" spans="1:5" ht="15.6">
      <c r="A104" s="22" t="s">
        <v>82</v>
      </c>
      <c r="B104" s="22" t="s">
        <v>9</v>
      </c>
      <c r="C104" s="53">
        <v>353</v>
      </c>
      <c r="D104" s="55">
        <v>11361</v>
      </c>
      <c r="E104" s="47">
        <f t="shared" si="1"/>
        <v>4010433</v>
      </c>
    </row>
    <row r="105" spans="1:5">
      <c r="E105" s="51">
        <f>SUM(E3:E104)</f>
        <v>132971333</v>
      </c>
    </row>
  </sheetData>
  <autoFilter ref="A2:E104">
    <filterColumn colId="2">
      <filters>
        <filter val="1"/>
        <filter val="1,400"/>
        <filter val="11"/>
        <filter val="110"/>
        <filter val="12"/>
        <filter val="120"/>
        <filter val="13"/>
        <filter val="130"/>
        <filter val="133"/>
        <filter val="140"/>
        <filter val="15"/>
        <filter val="150"/>
        <filter val="16"/>
        <filter val="180"/>
        <filter val="19"/>
        <filter val="190"/>
        <filter val="2"/>
        <filter val="2,291"/>
        <filter val="23"/>
        <filter val="24"/>
        <filter val="240"/>
        <filter val="260"/>
        <filter val="27"/>
        <filter val="3"/>
        <filter val="300"/>
        <filter val="32"/>
        <filter val="320"/>
        <filter val="326"/>
        <filter val="333"/>
        <filter val="353"/>
        <filter val="370"/>
        <filter val="39"/>
        <filter val="4"/>
        <filter val="420"/>
        <filter val="45"/>
        <filter val="450"/>
        <filter val="5"/>
        <filter val="50"/>
        <filter val="527"/>
        <filter val="6"/>
        <filter val="65"/>
        <filter val="66"/>
        <filter val="7"/>
        <filter val="70"/>
        <filter val="8"/>
        <filter val="80"/>
        <filter val="9"/>
        <filter val="920"/>
      </filters>
    </filterColumn>
  </autoFilter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2:E105"/>
  <sheetViews>
    <sheetView workbookViewId="0">
      <selection activeCell="G4" sqref="G4"/>
    </sheetView>
  </sheetViews>
  <sheetFormatPr defaultRowHeight="13.8"/>
  <cols>
    <col min="1" max="1" width="25.3984375" customWidth="1"/>
    <col min="4" max="4" width="14.796875" customWidth="1"/>
    <col min="5" max="5" width="16.5" customWidth="1"/>
  </cols>
  <sheetData>
    <row r="2" spans="1:5" ht="58.2" customHeight="1">
      <c r="A2" s="52" t="s">
        <v>106</v>
      </c>
      <c r="B2" s="52" t="s">
        <v>0</v>
      </c>
      <c r="C2" s="53" t="s">
        <v>111</v>
      </c>
      <c r="D2" s="54" t="s">
        <v>112</v>
      </c>
      <c r="E2" s="60" t="s">
        <v>113</v>
      </c>
    </row>
    <row r="3" spans="1:5" ht="15.6">
      <c r="A3" s="22" t="s">
        <v>2</v>
      </c>
      <c r="B3" s="22" t="s">
        <v>3</v>
      </c>
      <c r="C3" s="53">
        <v>50</v>
      </c>
      <c r="D3" s="55">
        <v>16000</v>
      </c>
      <c r="E3" s="47">
        <f>C3*D3</f>
        <v>800000</v>
      </c>
    </row>
    <row r="4" spans="1:5" ht="15.6">
      <c r="A4" s="22" t="s">
        <v>4</v>
      </c>
      <c r="B4" s="22" t="s">
        <v>3</v>
      </c>
      <c r="C4" s="53">
        <v>270</v>
      </c>
      <c r="D4" s="55">
        <v>6000</v>
      </c>
      <c r="E4" s="47">
        <f t="shared" ref="E4:E67" si="0">C4*D4</f>
        <v>1620000</v>
      </c>
    </row>
    <row r="5" spans="1:5" ht="15.6">
      <c r="A5" s="22" t="s">
        <v>5</v>
      </c>
      <c r="B5" s="22" t="s">
        <v>3</v>
      </c>
      <c r="C5" s="53">
        <v>796</v>
      </c>
      <c r="D5" s="55">
        <v>3000</v>
      </c>
      <c r="E5" s="47">
        <f t="shared" si="0"/>
        <v>2388000</v>
      </c>
    </row>
    <row r="6" spans="1:5" ht="15.6">
      <c r="A6" s="22" t="s">
        <v>96</v>
      </c>
      <c r="B6" s="22" t="s">
        <v>3</v>
      </c>
      <c r="C6" s="53">
        <v>8</v>
      </c>
      <c r="D6" s="55">
        <v>14000</v>
      </c>
      <c r="E6" s="47">
        <f t="shared" si="0"/>
        <v>112000</v>
      </c>
    </row>
    <row r="7" spans="1:5" ht="15.6">
      <c r="A7" s="22" t="s">
        <v>6</v>
      </c>
      <c r="B7" s="22" t="s">
        <v>3</v>
      </c>
      <c r="C7" s="53">
        <v>7</v>
      </c>
      <c r="D7" s="55">
        <v>8000</v>
      </c>
      <c r="E7" s="47">
        <f t="shared" si="0"/>
        <v>56000</v>
      </c>
    </row>
    <row r="8" spans="1:5" ht="15.6">
      <c r="A8" s="22" t="s">
        <v>7</v>
      </c>
      <c r="B8" s="22" t="s">
        <v>3</v>
      </c>
      <c r="C8" s="53">
        <v>331</v>
      </c>
      <c r="D8" s="55">
        <v>11000</v>
      </c>
      <c r="E8" s="47">
        <f t="shared" si="0"/>
        <v>3641000</v>
      </c>
    </row>
    <row r="9" spans="1:5" ht="15.6">
      <c r="A9" s="22" t="s">
        <v>8</v>
      </c>
      <c r="B9" s="22" t="s">
        <v>3</v>
      </c>
      <c r="C9" s="53">
        <v>130</v>
      </c>
      <c r="D9" s="55">
        <v>15000</v>
      </c>
      <c r="E9" s="47">
        <f t="shared" si="0"/>
        <v>1950000</v>
      </c>
    </row>
    <row r="10" spans="1:5" ht="15.6" hidden="1">
      <c r="A10" s="22" t="s">
        <v>8</v>
      </c>
      <c r="B10" s="22" t="s">
        <v>9</v>
      </c>
      <c r="C10" s="53">
        <v>0</v>
      </c>
      <c r="D10" s="55"/>
      <c r="E10" s="47">
        <f t="shared" si="0"/>
        <v>0</v>
      </c>
    </row>
    <row r="11" spans="1:5" ht="15.6">
      <c r="A11" s="22" t="s">
        <v>10</v>
      </c>
      <c r="B11" s="22" t="s">
        <v>3</v>
      </c>
      <c r="C11" s="53">
        <v>34</v>
      </c>
      <c r="D11" s="55">
        <v>13500</v>
      </c>
      <c r="E11" s="47">
        <f t="shared" si="0"/>
        <v>459000</v>
      </c>
    </row>
    <row r="12" spans="1:5" ht="15.6" hidden="1">
      <c r="A12" s="22" t="s">
        <v>10</v>
      </c>
      <c r="B12" s="22" t="s">
        <v>9</v>
      </c>
      <c r="C12" s="53">
        <v>0</v>
      </c>
      <c r="D12" s="55"/>
      <c r="E12" s="47">
        <f t="shared" si="0"/>
        <v>0</v>
      </c>
    </row>
    <row r="13" spans="1:5" ht="15.6" hidden="1">
      <c r="A13" s="22" t="s">
        <v>131</v>
      </c>
      <c r="B13" s="22" t="s">
        <v>3</v>
      </c>
      <c r="C13" s="53">
        <v>0</v>
      </c>
      <c r="D13" s="55"/>
      <c r="E13" s="47">
        <f t="shared" si="0"/>
        <v>0</v>
      </c>
    </row>
    <row r="14" spans="1:5" ht="15.6">
      <c r="A14" s="22" t="s">
        <v>12</v>
      </c>
      <c r="B14" s="22" t="s">
        <v>3</v>
      </c>
      <c r="C14" s="53">
        <v>5</v>
      </c>
      <c r="D14" s="55">
        <v>12000</v>
      </c>
      <c r="E14" s="47">
        <f t="shared" si="0"/>
        <v>60000</v>
      </c>
    </row>
    <row r="15" spans="1:5" ht="15.6" hidden="1">
      <c r="A15" s="22" t="s">
        <v>14</v>
      </c>
      <c r="B15" s="22" t="s">
        <v>3</v>
      </c>
      <c r="C15" s="53">
        <v>0</v>
      </c>
      <c r="D15" s="55"/>
      <c r="E15" s="47">
        <f t="shared" si="0"/>
        <v>0</v>
      </c>
    </row>
    <row r="16" spans="1:5" ht="15.6" hidden="1">
      <c r="A16" s="22" t="s">
        <v>15</v>
      </c>
      <c r="B16" s="22" t="s">
        <v>3</v>
      </c>
      <c r="C16" s="53">
        <v>0</v>
      </c>
      <c r="D16" s="55"/>
      <c r="E16" s="47">
        <f t="shared" si="0"/>
        <v>0</v>
      </c>
    </row>
    <row r="17" spans="1:5" ht="15.6">
      <c r="A17" s="22" t="s">
        <v>16</v>
      </c>
      <c r="B17" s="22" t="s">
        <v>17</v>
      </c>
      <c r="C17" s="53">
        <v>26</v>
      </c>
      <c r="D17" s="55">
        <v>6000</v>
      </c>
      <c r="E17" s="47">
        <f t="shared" si="0"/>
        <v>156000</v>
      </c>
    </row>
    <row r="18" spans="1:5" ht="15.6">
      <c r="A18" s="22" t="s">
        <v>145</v>
      </c>
      <c r="B18" s="22" t="s">
        <v>40</v>
      </c>
      <c r="C18" s="53">
        <v>360</v>
      </c>
      <c r="D18" s="55">
        <v>5000</v>
      </c>
      <c r="E18" s="47">
        <f t="shared" si="0"/>
        <v>1800000</v>
      </c>
    </row>
    <row r="19" spans="1:5" ht="15.6">
      <c r="A19" s="22" t="s">
        <v>97</v>
      </c>
      <c r="B19" s="22" t="s">
        <v>3</v>
      </c>
      <c r="C19" s="53">
        <v>8</v>
      </c>
      <c r="D19" s="55">
        <v>17000</v>
      </c>
      <c r="E19" s="47">
        <f t="shared" si="0"/>
        <v>136000</v>
      </c>
    </row>
    <row r="20" spans="1:5" ht="15.6">
      <c r="A20" s="22" t="s">
        <v>18</v>
      </c>
      <c r="B20" s="22" t="s">
        <v>3</v>
      </c>
      <c r="C20" s="53">
        <v>321</v>
      </c>
      <c r="D20" s="55">
        <v>16000</v>
      </c>
      <c r="E20" s="47">
        <f t="shared" si="0"/>
        <v>5136000</v>
      </c>
    </row>
    <row r="21" spans="1:5" ht="15.6" hidden="1">
      <c r="A21" s="22" t="s">
        <v>18</v>
      </c>
      <c r="B21" s="22" t="s">
        <v>19</v>
      </c>
      <c r="C21" s="53">
        <v>0</v>
      </c>
      <c r="D21" s="55"/>
      <c r="E21" s="47">
        <f t="shared" si="0"/>
        <v>0</v>
      </c>
    </row>
    <row r="22" spans="1:5" ht="15.6">
      <c r="A22" s="22" t="s">
        <v>182</v>
      </c>
      <c r="B22" s="22" t="s">
        <v>21</v>
      </c>
      <c r="C22" s="53">
        <v>50</v>
      </c>
      <c r="D22" s="55">
        <v>7000</v>
      </c>
      <c r="E22" s="47">
        <f t="shared" si="0"/>
        <v>350000</v>
      </c>
    </row>
    <row r="23" spans="1:5" ht="15.6" hidden="1">
      <c r="A23" s="22" t="s">
        <v>20</v>
      </c>
      <c r="B23" s="22" t="s">
        <v>3</v>
      </c>
      <c r="C23" s="53">
        <v>0</v>
      </c>
      <c r="D23" s="55"/>
      <c r="E23" s="47">
        <f t="shared" si="0"/>
        <v>0</v>
      </c>
    </row>
    <row r="24" spans="1:5" ht="15.6" hidden="1">
      <c r="A24" s="22" t="s">
        <v>20</v>
      </c>
      <c r="B24" s="22" t="s">
        <v>21</v>
      </c>
      <c r="C24" s="53">
        <v>0</v>
      </c>
      <c r="D24" s="55"/>
      <c r="E24" s="47">
        <f t="shared" si="0"/>
        <v>0</v>
      </c>
    </row>
    <row r="25" spans="1:5" ht="15.6">
      <c r="A25" s="22" t="s">
        <v>22</v>
      </c>
      <c r="B25" s="22" t="s">
        <v>3</v>
      </c>
      <c r="C25" s="53">
        <v>6</v>
      </c>
      <c r="D25" s="55">
        <v>20000</v>
      </c>
      <c r="E25" s="47">
        <f t="shared" si="0"/>
        <v>120000</v>
      </c>
    </row>
    <row r="26" spans="1:5" ht="15.6">
      <c r="A26" s="22" t="s">
        <v>22</v>
      </c>
      <c r="B26" s="22" t="s">
        <v>23</v>
      </c>
      <c r="C26" s="53">
        <v>64</v>
      </c>
      <c r="D26" s="55">
        <v>6000</v>
      </c>
      <c r="E26" s="47">
        <f t="shared" si="0"/>
        <v>384000</v>
      </c>
    </row>
    <row r="27" spans="1:5" ht="15.6">
      <c r="A27" s="22" t="s">
        <v>24</v>
      </c>
      <c r="B27" s="22" t="s">
        <v>25</v>
      </c>
      <c r="C27" s="53">
        <v>20</v>
      </c>
      <c r="D27" s="55">
        <v>11100</v>
      </c>
      <c r="E27" s="47">
        <f t="shared" si="0"/>
        <v>222000</v>
      </c>
    </row>
    <row r="28" spans="1:5" ht="15.6" hidden="1">
      <c r="A28" s="22" t="s">
        <v>26</v>
      </c>
      <c r="B28" s="22" t="s">
        <v>3</v>
      </c>
      <c r="C28" s="53">
        <v>0</v>
      </c>
      <c r="D28" s="55"/>
      <c r="E28" s="47">
        <f t="shared" si="0"/>
        <v>0</v>
      </c>
    </row>
    <row r="29" spans="1:5" ht="15.6">
      <c r="A29" s="22" t="s">
        <v>26</v>
      </c>
      <c r="B29" s="22" t="s">
        <v>23</v>
      </c>
      <c r="C29" s="53">
        <v>96</v>
      </c>
      <c r="D29" s="55">
        <v>10000</v>
      </c>
      <c r="E29" s="47">
        <f t="shared" si="0"/>
        <v>960000</v>
      </c>
    </row>
    <row r="30" spans="1:5" ht="15.6">
      <c r="A30" s="22" t="s">
        <v>26</v>
      </c>
      <c r="B30" s="22" t="s">
        <v>27</v>
      </c>
      <c r="C30" s="53">
        <v>295</v>
      </c>
      <c r="D30" s="55">
        <v>7500</v>
      </c>
      <c r="E30" s="47">
        <f t="shared" si="0"/>
        <v>2212500</v>
      </c>
    </row>
    <row r="31" spans="1:5" ht="15.6">
      <c r="A31" s="22" t="s">
        <v>28</v>
      </c>
      <c r="B31" s="22" t="s">
        <v>3</v>
      </c>
      <c r="C31" s="53">
        <v>334</v>
      </c>
      <c r="D31" s="55">
        <v>16000</v>
      </c>
      <c r="E31" s="47">
        <f t="shared" si="0"/>
        <v>5344000</v>
      </c>
    </row>
    <row r="32" spans="1:5" ht="15.6" hidden="1">
      <c r="A32" s="22" t="s">
        <v>28</v>
      </c>
      <c r="B32" s="22" t="s">
        <v>17</v>
      </c>
      <c r="C32" s="53">
        <v>0</v>
      </c>
      <c r="D32" s="55"/>
      <c r="E32" s="47">
        <f t="shared" si="0"/>
        <v>0</v>
      </c>
    </row>
    <row r="33" spans="1:5" ht="15.6">
      <c r="A33" s="22" t="s">
        <v>29</v>
      </c>
      <c r="B33" s="22" t="s">
        <v>30</v>
      </c>
      <c r="C33" s="53">
        <v>75</v>
      </c>
      <c r="D33" s="55">
        <v>11000</v>
      </c>
      <c r="E33" s="47">
        <f t="shared" si="0"/>
        <v>825000</v>
      </c>
    </row>
    <row r="34" spans="1:5" ht="15.6">
      <c r="A34" s="22" t="s">
        <v>31</v>
      </c>
      <c r="B34" s="22" t="s">
        <v>3</v>
      </c>
      <c r="C34" s="53">
        <v>281</v>
      </c>
      <c r="D34" s="55">
        <v>6000</v>
      </c>
      <c r="E34" s="47">
        <f t="shared" si="0"/>
        <v>1686000</v>
      </c>
    </row>
    <row r="35" spans="1:5" ht="15.6" hidden="1">
      <c r="A35" s="22" t="s">
        <v>31</v>
      </c>
      <c r="B35" s="22" t="s">
        <v>30</v>
      </c>
      <c r="C35" s="53">
        <v>0</v>
      </c>
      <c r="D35" s="55"/>
      <c r="E35" s="47">
        <f t="shared" si="0"/>
        <v>0</v>
      </c>
    </row>
    <row r="36" spans="1:5" ht="15.6" hidden="1">
      <c r="A36" s="22" t="s">
        <v>32</v>
      </c>
      <c r="B36" s="22" t="s">
        <v>17</v>
      </c>
      <c r="C36" s="53">
        <v>0</v>
      </c>
      <c r="D36" s="55"/>
      <c r="E36" s="47">
        <f t="shared" si="0"/>
        <v>0</v>
      </c>
    </row>
    <row r="37" spans="1:5" ht="15.6">
      <c r="A37" s="22" t="s">
        <v>33</v>
      </c>
      <c r="B37" s="22" t="s">
        <v>3</v>
      </c>
      <c r="C37" s="53">
        <v>60</v>
      </c>
      <c r="D37" s="55">
        <v>8000</v>
      </c>
      <c r="E37" s="47">
        <f t="shared" si="0"/>
        <v>480000</v>
      </c>
    </row>
    <row r="38" spans="1:5" ht="15.6" hidden="1">
      <c r="A38" s="22" t="s">
        <v>33</v>
      </c>
      <c r="B38" s="22" t="s">
        <v>34</v>
      </c>
      <c r="C38" s="53">
        <v>0</v>
      </c>
      <c r="D38" s="55"/>
      <c r="E38" s="47">
        <f t="shared" si="0"/>
        <v>0</v>
      </c>
    </row>
    <row r="39" spans="1:5" ht="15.6">
      <c r="A39" s="22" t="s">
        <v>35</v>
      </c>
      <c r="B39" s="22" t="s">
        <v>3</v>
      </c>
      <c r="C39" s="53">
        <v>10</v>
      </c>
      <c r="D39" s="55">
        <v>7200</v>
      </c>
      <c r="E39" s="47">
        <f t="shared" si="0"/>
        <v>72000</v>
      </c>
    </row>
    <row r="40" spans="1:5" ht="15.6" hidden="1">
      <c r="A40" s="22" t="s">
        <v>35</v>
      </c>
      <c r="B40" s="22" t="s">
        <v>30</v>
      </c>
      <c r="C40" s="53">
        <v>0</v>
      </c>
      <c r="D40" s="55"/>
      <c r="E40" s="47">
        <f t="shared" si="0"/>
        <v>0</v>
      </c>
    </row>
    <row r="41" spans="1:5" ht="15.6">
      <c r="A41" s="22" t="s">
        <v>36</v>
      </c>
      <c r="B41" s="22" t="s">
        <v>30</v>
      </c>
      <c r="C41" s="53">
        <v>1</v>
      </c>
      <c r="D41" s="55">
        <v>3000</v>
      </c>
      <c r="E41" s="47">
        <f t="shared" si="0"/>
        <v>3000</v>
      </c>
    </row>
    <row r="42" spans="1:5" ht="15.6" hidden="1">
      <c r="A42" s="22" t="s">
        <v>37</v>
      </c>
      <c r="B42" s="22" t="s">
        <v>30</v>
      </c>
      <c r="C42" s="53">
        <v>0</v>
      </c>
      <c r="D42" s="55"/>
      <c r="E42" s="47">
        <f t="shared" si="0"/>
        <v>0</v>
      </c>
    </row>
    <row r="43" spans="1:5" ht="15.6">
      <c r="A43" s="22" t="s">
        <v>38</v>
      </c>
      <c r="B43" s="22" t="s">
        <v>3</v>
      </c>
      <c r="C43" s="53">
        <v>750</v>
      </c>
      <c r="D43" s="55">
        <v>5000</v>
      </c>
      <c r="E43" s="47">
        <f t="shared" si="0"/>
        <v>3750000</v>
      </c>
    </row>
    <row r="44" spans="1:5" ht="15.6">
      <c r="A44" s="22" t="s">
        <v>98</v>
      </c>
      <c r="B44" s="22" t="s">
        <v>3</v>
      </c>
      <c r="C44" s="53">
        <v>1</v>
      </c>
      <c r="D44" s="55">
        <v>14000</v>
      </c>
      <c r="E44" s="47">
        <f t="shared" si="0"/>
        <v>14000</v>
      </c>
    </row>
    <row r="45" spans="1:5" ht="15.6">
      <c r="A45" s="22" t="s">
        <v>99</v>
      </c>
      <c r="B45" s="22" t="s">
        <v>3</v>
      </c>
      <c r="C45" s="53">
        <v>240</v>
      </c>
      <c r="D45" s="55">
        <v>3000</v>
      </c>
      <c r="E45" s="47">
        <f t="shared" si="0"/>
        <v>720000</v>
      </c>
    </row>
    <row r="46" spans="1:5" ht="15.6">
      <c r="A46" s="22" t="s">
        <v>39</v>
      </c>
      <c r="B46" s="22" t="s">
        <v>3</v>
      </c>
      <c r="C46" s="53">
        <v>112</v>
      </c>
      <c r="D46" s="55">
        <v>10000</v>
      </c>
      <c r="E46" s="47">
        <f t="shared" si="0"/>
        <v>1120000</v>
      </c>
    </row>
    <row r="47" spans="1:5" ht="15.6" hidden="1">
      <c r="A47" s="22" t="s">
        <v>39</v>
      </c>
      <c r="B47" s="22" t="s">
        <v>40</v>
      </c>
      <c r="C47" s="53">
        <v>0</v>
      </c>
      <c r="D47" s="55"/>
      <c r="E47" s="47">
        <f t="shared" si="0"/>
        <v>0</v>
      </c>
    </row>
    <row r="48" spans="1:5" ht="15.6" hidden="1">
      <c r="A48" s="22" t="s">
        <v>100</v>
      </c>
      <c r="B48" s="22" t="s">
        <v>3</v>
      </c>
      <c r="C48" s="53">
        <v>0</v>
      </c>
      <c r="D48" s="55"/>
      <c r="E48" s="47">
        <f t="shared" si="0"/>
        <v>0</v>
      </c>
    </row>
    <row r="49" spans="1:5" ht="15.6">
      <c r="A49" s="22" t="s">
        <v>41</v>
      </c>
      <c r="B49" s="22" t="s">
        <v>3</v>
      </c>
      <c r="C49" s="53">
        <v>9</v>
      </c>
      <c r="D49" s="55">
        <v>14000</v>
      </c>
      <c r="E49" s="47">
        <f t="shared" si="0"/>
        <v>126000</v>
      </c>
    </row>
    <row r="50" spans="1:5" ht="15.6">
      <c r="A50" s="22" t="s">
        <v>42</v>
      </c>
      <c r="B50" s="22" t="s">
        <v>25</v>
      </c>
      <c r="C50" s="53">
        <v>13</v>
      </c>
      <c r="D50" s="55">
        <v>10000</v>
      </c>
      <c r="E50" s="47">
        <f t="shared" si="0"/>
        <v>130000</v>
      </c>
    </row>
    <row r="51" spans="1:5" ht="15.6">
      <c r="A51" s="22" t="s">
        <v>43</v>
      </c>
      <c r="B51" s="22" t="s">
        <v>3</v>
      </c>
      <c r="C51" s="53">
        <v>0.8</v>
      </c>
      <c r="D51" s="55">
        <v>16000</v>
      </c>
      <c r="E51" s="47">
        <f t="shared" si="0"/>
        <v>12800</v>
      </c>
    </row>
    <row r="52" spans="1:5" ht="15.6" hidden="1">
      <c r="A52" s="22" t="s">
        <v>44</v>
      </c>
      <c r="B52" s="22" t="s">
        <v>3</v>
      </c>
      <c r="C52" s="53">
        <v>0</v>
      </c>
      <c r="D52" s="55"/>
      <c r="E52" s="47">
        <f t="shared" si="0"/>
        <v>0</v>
      </c>
    </row>
    <row r="53" spans="1:5" ht="15.6">
      <c r="A53" s="22" t="s">
        <v>45</v>
      </c>
      <c r="B53" s="22" t="s">
        <v>3</v>
      </c>
      <c r="C53" s="53">
        <v>41</v>
      </c>
      <c r="D53" s="55">
        <v>9000</v>
      </c>
      <c r="E53" s="47">
        <f t="shared" si="0"/>
        <v>369000</v>
      </c>
    </row>
    <row r="54" spans="1:5" ht="15.6" hidden="1">
      <c r="A54" s="22" t="s">
        <v>45</v>
      </c>
      <c r="B54" s="22" t="s">
        <v>30</v>
      </c>
      <c r="C54" s="53">
        <v>0</v>
      </c>
      <c r="D54" s="55"/>
      <c r="E54" s="47">
        <f t="shared" si="0"/>
        <v>0</v>
      </c>
    </row>
    <row r="55" spans="1:5" ht="15.6">
      <c r="A55" s="22" t="s">
        <v>46</v>
      </c>
      <c r="B55" s="22" t="s">
        <v>3</v>
      </c>
      <c r="C55" s="53">
        <v>7</v>
      </c>
      <c r="D55" s="55">
        <v>19000</v>
      </c>
      <c r="E55" s="47">
        <f t="shared" si="0"/>
        <v>133000</v>
      </c>
    </row>
    <row r="56" spans="1:5" ht="15.6">
      <c r="A56" s="22" t="s">
        <v>47</v>
      </c>
      <c r="B56" s="22" t="s">
        <v>3</v>
      </c>
      <c r="C56" s="53">
        <v>220</v>
      </c>
      <c r="D56" s="55">
        <v>7000</v>
      </c>
      <c r="E56" s="47">
        <f t="shared" si="0"/>
        <v>1540000</v>
      </c>
    </row>
    <row r="57" spans="1:5" ht="15.6" hidden="1">
      <c r="A57" s="22" t="s">
        <v>47</v>
      </c>
      <c r="B57" s="22" t="s">
        <v>48</v>
      </c>
      <c r="C57" s="53">
        <v>0</v>
      </c>
      <c r="D57" s="55"/>
      <c r="E57" s="47">
        <f t="shared" si="0"/>
        <v>0</v>
      </c>
    </row>
    <row r="58" spans="1:5" ht="15.6">
      <c r="A58" s="22" t="s">
        <v>49</v>
      </c>
      <c r="B58" s="22" t="s">
        <v>30</v>
      </c>
      <c r="C58" s="53">
        <v>160</v>
      </c>
      <c r="D58" s="55">
        <v>1800</v>
      </c>
      <c r="E58" s="47">
        <f t="shared" si="0"/>
        <v>288000</v>
      </c>
    </row>
    <row r="59" spans="1:5" ht="15.6">
      <c r="A59" s="22" t="s">
        <v>50</v>
      </c>
      <c r="B59" s="22" t="s">
        <v>3</v>
      </c>
      <c r="C59" s="53">
        <v>1300</v>
      </c>
      <c r="D59" s="55">
        <v>25000</v>
      </c>
      <c r="E59" s="47">
        <f t="shared" si="0"/>
        <v>32500000</v>
      </c>
    </row>
    <row r="60" spans="1:5" ht="15.6">
      <c r="A60" s="22" t="s">
        <v>51</v>
      </c>
      <c r="B60" s="22" t="s">
        <v>3</v>
      </c>
      <c r="C60" s="53">
        <v>497</v>
      </c>
      <c r="D60" s="55">
        <v>25000</v>
      </c>
      <c r="E60" s="47">
        <f t="shared" si="0"/>
        <v>12425000</v>
      </c>
    </row>
    <row r="61" spans="1:5" ht="15.6">
      <c r="A61" s="22" t="s">
        <v>53</v>
      </c>
      <c r="B61" s="22" t="s">
        <v>3</v>
      </c>
      <c r="C61" s="53">
        <v>230</v>
      </c>
      <c r="D61" s="55">
        <v>16000</v>
      </c>
      <c r="E61" s="47">
        <f t="shared" si="0"/>
        <v>3680000</v>
      </c>
    </row>
    <row r="62" spans="1:5" ht="15.6">
      <c r="A62" s="22" t="s">
        <v>54</v>
      </c>
      <c r="B62" s="22" t="s">
        <v>3</v>
      </c>
      <c r="C62" s="53">
        <v>59</v>
      </c>
      <c r="D62" s="55">
        <v>25000</v>
      </c>
      <c r="E62" s="47">
        <f t="shared" si="0"/>
        <v>1475000</v>
      </c>
    </row>
    <row r="63" spans="1:5" ht="15.6" hidden="1">
      <c r="A63" s="22" t="s">
        <v>108</v>
      </c>
      <c r="B63" s="22" t="s">
        <v>30</v>
      </c>
      <c r="C63" s="53">
        <v>0</v>
      </c>
      <c r="D63" s="55"/>
      <c r="E63" s="47">
        <f t="shared" si="0"/>
        <v>0</v>
      </c>
    </row>
    <row r="64" spans="1:5" ht="15.6">
      <c r="A64" s="22" t="s">
        <v>56</v>
      </c>
      <c r="B64" s="22" t="s">
        <v>3</v>
      </c>
      <c r="C64" s="53">
        <v>390</v>
      </c>
      <c r="D64" s="55">
        <v>14000</v>
      </c>
      <c r="E64" s="47">
        <f t="shared" si="0"/>
        <v>5460000</v>
      </c>
    </row>
    <row r="65" spans="1:5" ht="15.6" hidden="1">
      <c r="A65" s="22" t="s">
        <v>56</v>
      </c>
      <c r="B65" s="22" t="s">
        <v>30</v>
      </c>
      <c r="C65" s="53">
        <v>0</v>
      </c>
      <c r="D65" s="55"/>
      <c r="E65" s="47">
        <f t="shared" si="0"/>
        <v>0</v>
      </c>
    </row>
    <row r="66" spans="1:5" ht="15.6">
      <c r="A66" s="22" t="s">
        <v>58</v>
      </c>
      <c r="B66" s="22" t="s">
        <v>3</v>
      </c>
      <c r="C66" s="53">
        <v>2</v>
      </c>
      <c r="D66" s="55">
        <v>9000</v>
      </c>
      <c r="E66" s="47">
        <f t="shared" si="0"/>
        <v>18000</v>
      </c>
    </row>
    <row r="67" spans="1:5" ht="15.6">
      <c r="A67" s="22" t="s">
        <v>59</v>
      </c>
      <c r="B67" s="22" t="s">
        <v>30</v>
      </c>
      <c r="C67" s="53">
        <v>12</v>
      </c>
      <c r="D67" s="55">
        <v>6000</v>
      </c>
      <c r="E67" s="47">
        <f t="shared" si="0"/>
        <v>72000</v>
      </c>
    </row>
    <row r="68" spans="1:5" ht="15.6" hidden="1">
      <c r="A68" s="22" t="s">
        <v>60</v>
      </c>
      <c r="B68" s="22" t="s">
        <v>3</v>
      </c>
      <c r="C68" s="53">
        <v>0</v>
      </c>
      <c r="D68" s="55"/>
      <c r="E68" s="47">
        <f t="shared" ref="E68:E104" si="1">C68*D68</f>
        <v>0</v>
      </c>
    </row>
    <row r="69" spans="1:5" ht="15.6" hidden="1">
      <c r="A69" s="22" t="s">
        <v>60</v>
      </c>
      <c r="B69" s="22" t="s">
        <v>30</v>
      </c>
      <c r="C69" s="53">
        <v>0</v>
      </c>
      <c r="D69" s="55"/>
      <c r="E69" s="47">
        <f t="shared" si="1"/>
        <v>0</v>
      </c>
    </row>
    <row r="70" spans="1:5" ht="15.6">
      <c r="A70" s="22" t="s">
        <v>60</v>
      </c>
      <c r="B70" s="22" t="s">
        <v>61</v>
      </c>
      <c r="C70" s="53">
        <v>10</v>
      </c>
      <c r="D70" s="55">
        <v>7000</v>
      </c>
      <c r="E70" s="47">
        <f t="shared" si="1"/>
        <v>70000</v>
      </c>
    </row>
    <row r="71" spans="1:5" ht="15.6" hidden="1">
      <c r="A71" s="22" t="s">
        <v>64</v>
      </c>
      <c r="B71" s="22" t="s">
        <v>3</v>
      </c>
      <c r="C71" s="53">
        <v>0</v>
      </c>
      <c r="D71" s="55"/>
      <c r="E71" s="47">
        <f t="shared" si="1"/>
        <v>0</v>
      </c>
    </row>
    <row r="72" spans="1:5" ht="15.6" hidden="1">
      <c r="A72" s="22" t="s">
        <v>65</v>
      </c>
      <c r="B72" s="22" t="s">
        <v>3</v>
      </c>
      <c r="C72" s="53">
        <v>0</v>
      </c>
      <c r="D72" s="55"/>
      <c r="E72" s="47">
        <f t="shared" si="1"/>
        <v>0</v>
      </c>
    </row>
    <row r="73" spans="1:5" ht="15.6">
      <c r="A73" s="22" t="s">
        <v>65</v>
      </c>
      <c r="B73" s="22" t="s">
        <v>17</v>
      </c>
      <c r="C73" s="53">
        <v>658</v>
      </c>
      <c r="D73" s="55">
        <v>9000</v>
      </c>
      <c r="E73" s="47">
        <f t="shared" si="1"/>
        <v>5922000</v>
      </c>
    </row>
    <row r="74" spans="1:5" ht="15.6" hidden="1">
      <c r="A74" s="22" t="s">
        <v>66</v>
      </c>
      <c r="B74" s="22" t="s">
        <v>3</v>
      </c>
      <c r="C74" s="53">
        <v>0</v>
      </c>
      <c r="D74" s="55"/>
      <c r="E74" s="47">
        <f t="shared" si="1"/>
        <v>0</v>
      </c>
    </row>
    <row r="75" spans="1:5" ht="15.6">
      <c r="A75" s="22" t="s">
        <v>67</v>
      </c>
      <c r="B75" s="22" t="s">
        <v>3</v>
      </c>
      <c r="C75" s="53">
        <v>9</v>
      </c>
      <c r="D75" s="55">
        <v>10000</v>
      </c>
      <c r="E75" s="47">
        <f t="shared" si="1"/>
        <v>90000</v>
      </c>
    </row>
    <row r="76" spans="1:5" ht="15.6">
      <c r="A76" s="22" t="s">
        <v>68</v>
      </c>
      <c r="B76" s="22" t="s">
        <v>3</v>
      </c>
      <c r="C76" s="53">
        <v>35</v>
      </c>
      <c r="D76" s="55">
        <v>10000</v>
      </c>
      <c r="E76" s="47">
        <f t="shared" si="1"/>
        <v>350000</v>
      </c>
    </row>
    <row r="77" spans="1:5" ht="15.6" hidden="1">
      <c r="A77" s="22" t="s">
        <v>68</v>
      </c>
      <c r="B77" s="22" t="s">
        <v>40</v>
      </c>
      <c r="C77" s="53">
        <v>0</v>
      </c>
      <c r="D77" s="55"/>
      <c r="E77" s="47">
        <f t="shared" si="1"/>
        <v>0</v>
      </c>
    </row>
    <row r="78" spans="1:5" ht="15.6" hidden="1">
      <c r="A78" s="22" t="s">
        <v>148</v>
      </c>
      <c r="B78" s="22" t="s">
        <v>25</v>
      </c>
      <c r="C78" s="53">
        <v>0</v>
      </c>
      <c r="D78" s="55"/>
      <c r="E78" s="47">
        <f t="shared" si="1"/>
        <v>0</v>
      </c>
    </row>
    <row r="79" spans="1:5" ht="15.6" hidden="1">
      <c r="A79" s="22" t="s">
        <v>70</v>
      </c>
      <c r="B79" s="22" t="s">
        <v>30</v>
      </c>
      <c r="C79" s="53">
        <v>0</v>
      </c>
      <c r="D79" s="55"/>
      <c r="E79" s="47">
        <f t="shared" si="1"/>
        <v>0</v>
      </c>
    </row>
    <row r="80" spans="1:5" ht="15.6">
      <c r="A80" s="22" t="s">
        <v>71</v>
      </c>
      <c r="B80" s="22" t="s">
        <v>3</v>
      </c>
      <c r="C80" s="53">
        <v>35</v>
      </c>
      <c r="D80" s="55">
        <v>14000</v>
      </c>
      <c r="E80" s="47">
        <f t="shared" si="1"/>
        <v>490000</v>
      </c>
    </row>
    <row r="81" spans="1:5" ht="15.6">
      <c r="A81" s="22" t="s">
        <v>160</v>
      </c>
      <c r="B81" s="22" t="s">
        <v>3</v>
      </c>
      <c r="C81" s="53">
        <v>120</v>
      </c>
      <c r="D81" s="55">
        <v>50000</v>
      </c>
      <c r="E81" s="47">
        <f t="shared" si="1"/>
        <v>6000000</v>
      </c>
    </row>
    <row r="82" spans="1:5" ht="15.6" hidden="1">
      <c r="A82" s="22" t="s">
        <v>72</v>
      </c>
      <c r="B82" s="22" t="s">
        <v>17</v>
      </c>
      <c r="C82" s="53">
        <v>0</v>
      </c>
      <c r="D82" s="55"/>
      <c r="E82" s="47">
        <f t="shared" si="1"/>
        <v>0</v>
      </c>
    </row>
    <row r="83" spans="1:5" ht="15.6" hidden="1">
      <c r="A83" s="22" t="s">
        <v>73</v>
      </c>
      <c r="B83" s="22" t="s">
        <v>25</v>
      </c>
      <c r="C83" s="53">
        <v>0</v>
      </c>
      <c r="D83" s="55"/>
      <c r="E83" s="47">
        <f t="shared" si="1"/>
        <v>0</v>
      </c>
    </row>
    <row r="84" spans="1:5" ht="15.6">
      <c r="A84" s="22" t="s">
        <v>73</v>
      </c>
      <c r="B84" s="22" t="s">
        <v>3</v>
      </c>
      <c r="C84" s="53">
        <v>7</v>
      </c>
      <c r="D84" s="55">
        <v>28000</v>
      </c>
      <c r="E84" s="47">
        <f t="shared" si="1"/>
        <v>196000</v>
      </c>
    </row>
    <row r="85" spans="1:5" ht="15.6" hidden="1">
      <c r="A85" s="22" t="s">
        <v>74</v>
      </c>
      <c r="B85" s="22" t="s">
        <v>3</v>
      </c>
      <c r="C85" s="53">
        <v>0</v>
      </c>
      <c r="D85" s="55"/>
      <c r="E85" s="47">
        <f t="shared" si="1"/>
        <v>0</v>
      </c>
    </row>
    <row r="86" spans="1:5" ht="15.6" hidden="1">
      <c r="A86" s="22" t="s">
        <v>74</v>
      </c>
      <c r="B86" s="22" t="s">
        <v>9</v>
      </c>
      <c r="C86" s="53">
        <v>0</v>
      </c>
      <c r="D86" s="55"/>
      <c r="E86" s="47">
        <f t="shared" si="1"/>
        <v>0</v>
      </c>
    </row>
    <row r="87" spans="1:5" ht="15.6">
      <c r="A87" s="22" t="s">
        <v>76</v>
      </c>
      <c r="B87" s="22" t="s">
        <v>3</v>
      </c>
      <c r="C87" s="53">
        <v>50</v>
      </c>
      <c r="D87" s="55">
        <v>30000</v>
      </c>
      <c r="E87" s="47">
        <f t="shared" si="1"/>
        <v>1500000</v>
      </c>
    </row>
    <row r="88" spans="1:5" ht="15.6" hidden="1">
      <c r="A88" s="22" t="s">
        <v>76</v>
      </c>
      <c r="B88" s="22" t="s">
        <v>9</v>
      </c>
      <c r="C88" s="53">
        <v>0</v>
      </c>
      <c r="D88" s="55"/>
      <c r="E88" s="47">
        <f t="shared" si="1"/>
        <v>0</v>
      </c>
    </row>
    <row r="89" spans="1:5" ht="15.6">
      <c r="A89" s="22" t="s">
        <v>78</v>
      </c>
      <c r="B89" s="22" t="s">
        <v>3</v>
      </c>
      <c r="C89" s="53">
        <v>85</v>
      </c>
      <c r="D89" s="55">
        <v>28000</v>
      </c>
      <c r="E89" s="47">
        <f t="shared" si="1"/>
        <v>2380000</v>
      </c>
    </row>
    <row r="90" spans="1:5" ht="15.6" hidden="1">
      <c r="A90" s="22" t="s">
        <v>78</v>
      </c>
      <c r="B90" s="22" t="s">
        <v>9</v>
      </c>
      <c r="C90" s="53">
        <v>0</v>
      </c>
      <c r="D90" s="55"/>
      <c r="E90" s="47">
        <f t="shared" si="1"/>
        <v>0</v>
      </c>
    </row>
    <row r="91" spans="1:5" ht="15.6" hidden="1">
      <c r="A91" s="22" t="s">
        <v>79</v>
      </c>
      <c r="B91" s="22" t="s">
        <v>30</v>
      </c>
      <c r="C91" s="53">
        <v>0</v>
      </c>
      <c r="D91" s="55"/>
      <c r="E91" s="47">
        <f t="shared" si="1"/>
        <v>0</v>
      </c>
    </row>
    <row r="92" spans="1:5" ht="15.6" hidden="1">
      <c r="A92" s="22" t="s">
        <v>80</v>
      </c>
      <c r="B92" s="22" t="s">
        <v>30</v>
      </c>
      <c r="C92" s="53">
        <v>0</v>
      </c>
      <c r="D92" s="55"/>
      <c r="E92" s="47">
        <f t="shared" si="1"/>
        <v>0</v>
      </c>
    </row>
    <row r="93" spans="1:5" ht="15.6">
      <c r="A93" s="22" t="s">
        <v>81</v>
      </c>
      <c r="B93" s="22" t="s">
        <v>9</v>
      </c>
      <c r="C93" s="53">
        <v>2291</v>
      </c>
      <c r="D93" s="55">
        <v>9000</v>
      </c>
      <c r="E93" s="47">
        <f t="shared" si="1"/>
        <v>20619000</v>
      </c>
    </row>
    <row r="94" spans="1:5" ht="15.6">
      <c r="A94" s="22" t="s">
        <v>82</v>
      </c>
      <c r="B94" s="22" t="s">
        <v>9</v>
      </c>
      <c r="C94" s="53">
        <v>353</v>
      </c>
      <c r="D94" s="55">
        <v>11361</v>
      </c>
      <c r="E94" s="47">
        <f t="shared" si="1"/>
        <v>4010433</v>
      </c>
    </row>
    <row r="95" spans="1:5" ht="15.6">
      <c r="A95" s="22" t="s">
        <v>85</v>
      </c>
      <c r="B95" s="22" t="s">
        <v>3</v>
      </c>
      <c r="C95" s="53">
        <v>10</v>
      </c>
      <c r="D95" s="55">
        <v>13000</v>
      </c>
      <c r="E95" s="47">
        <f t="shared" si="1"/>
        <v>130000</v>
      </c>
    </row>
    <row r="96" spans="1:5" ht="15.6" hidden="1">
      <c r="A96" s="22" t="s">
        <v>109</v>
      </c>
      <c r="B96" s="22" t="s">
        <v>25</v>
      </c>
      <c r="C96" s="53">
        <v>0</v>
      </c>
      <c r="D96" s="55"/>
      <c r="E96" s="47">
        <f t="shared" si="1"/>
        <v>0</v>
      </c>
    </row>
    <row r="97" spans="1:5" ht="15.6">
      <c r="A97" s="22" t="s">
        <v>87</v>
      </c>
      <c r="B97" s="22" t="s">
        <v>3</v>
      </c>
      <c r="C97" s="53">
        <v>23</v>
      </c>
      <c r="D97" s="55">
        <v>3500</v>
      </c>
      <c r="E97" s="47">
        <f t="shared" si="1"/>
        <v>80500</v>
      </c>
    </row>
    <row r="98" spans="1:5" ht="15.6" hidden="1">
      <c r="A98" s="22" t="s">
        <v>88</v>
      </c>
      <c r="B98" s="22" t="s">
        <v>3</v>
      </c>
      <c r="C98" s="53">
        <v>0</v>
      </c>
      <c r="D98" s="55"/>
      <c r="E98" s="47">
        <f t="shared" si="1"/>
        <v>0</v>
      </c>
    </row>
    <row r="99" spans="1:5" ht="15.6" hidden="1">
      <c r="A99" s="22" t="s">
        <v>89</v>
      </c>
      <c r="B99" s="22" t="s">
        <v>3</v>
      </c>
      <c r="C99" s="53">
        <v>0</v>
      </c>
      <c r="D99" s="55"/>
      <c r="E99" s="47">
        <f t="shared" si="1"/>
        <v>0</v>
      </c>
    </row>
    <row r="100" spans="1:5" ht="15.6" hidden="1">
      <c r="A100" s="22" t="s">
        <v>90</v>
      </c>
      <c r="B100" s="22" t="s">
        <v>40</v>
      </c>
      <c r="C100" s="53">
        <v>0</v>
      </c>
      <c r="D100" s="55"/>
      <c r="E100" s="47">
        <f t="shared" si="1"/>
        <v>0</v>
      </c>
    </row>
    <row r="101" spans="1:5" ht="15.6" hidden="1">
      <c r="A101" s="22" t="s">
        <v>91</v>
      </c>
      <c r="B101" s="22" t="s">
        <v>3</v>
      </c>
      <c r="C101" s="53">
        <v>0</v>
      </c>
      <c r="D101" s="55"/>
      <c r="E101" s="47">
        <f t="shared" si="1"/>
        <v>0</v>
      </c>
    </row>
    <row r="102" spans="1:5" ht="15.6" hidden="1">
      <c r="A102" s="22" t="s">
        <v>92</v>
      </c>
      <c r="B102" s="22" t="s">
        <v>40</v>
      </c>
      <c r="C102" s="53">
        <v>0</v>
      </c>
      <c r="D102" s="55"/>
      <c r="E102" s="47">
        <f t="shared" si="1"/>
        <v>0</v>
      </c>
    </row>
    <row r="103" spans="1:5" ht="15.6">
      <c r="A103" s="22" t="s">
        <v>94</v>
      </c>
      <c r="B103" s="22" t="s">
        <v>3</v>
      </c>
      <c r="C103" s="53">
        <v>23</v>
      </c>
      <c r="D103" s="55">
        <v>25000</v>
      </c>
      <c r="E103" s="47">
        <f t="shared" si="1"/>
        <v>575000</v>
      </c>
    </row>
    <row r="104" spans="1:5" ht="15.6" hidden="1">
      <c r="A104" s="22" t="s">
        <v>95</v>
      </c>
      <c r="B104" s="22" t="s">
        <v>40</v>
      </c>
      <c r="C104" s="53">
        <v>0</v>
      </c>
      <c r="D104" s="55"/>
      <c r="E104" s="47">
        <f t="shared" si="1"/>
        <v>0</v>
      </c>
    </row>
    <row r="105" spans="1:5">
      <c r="E105" s="51">
        <f>SUM(E3:E103)</f>
        <v>137218233</v>
      </c>
    </row>
  </sheetData>
  <autoFilter ref="A2:E104">
    <filterColumn colId="2">
      <filters>
        <filter val="1"/>
        <filter val="1,300"/>
        <filter val="10"/>
        <filter val="112"/>
        <filter val="12"/>
        <filter val="120"/>
        <filter val="13"/>
        <filter val="130"/>
        <filter val="160"/>
        <filter val="2"/>
        <filter val="2,291"/>
        <filter val="20"/>
        <filter val="220"/>
        <filter val="23"/>
        <filter val="230"/>
        <filter val="240"/>
        <filter val="26"/>
        <filter val="270"/>
        <filter val="281"/>
        <filter val="295"/>
        <filter val="321"/>
        <filter val="331"/>
        <filter val="334"/>
        <filter val="34"/>
        <filter val="35"/>
        <filter val="353"/>
        <filter val="360"/>
        <filter val="390"/>
        <filter val="41"/>
        <filter val="497"/>
        <filter val="5"/>
        <filter val="50"/>
        <filter val="59"/>
        <filter val="6"/>
        <filter val="60"/>
        <filter val="64"/>
        <filter val="658"/>
        <filter val="7"/>
        <filter val="75"/>
        <filter val="750"/>
        <filter val="796"/>
        <filter val="8"/>
        <filter val="85"/>
        <filter val="9"/>
        <filter val="96"/>
      </filters>
    </filterColumn>
  </autoFilter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125"/>
  <sheetViews>
    <sheetView workbookViewId="0">
      <selection activeCell="G11" sqref="G11"/>
    </sheetView>
  </sheetViews>
  <sheetFormatPr defaultRowHeight="13.8"/>
  <cols>
    <col min="1" max="1" width="23.69921875" customWidth="1"/>
    <col min="4" max="4" width="10.69921875" customWidth="1"/>
    <col min="5" max="5" width="19.3984375" customWidth="1"/>
  </cols>
  <sheetData>
    <row r="1" spans="1:5">
      <c r="A1" t="s">
        <v>185</v>
      </c>
    </row>
    <row r="2" spans="1:5" ht="39" customHeight="1">
      <c r="A2" s="52" t="s">
        <v>106</v>
      </c>
      <c r="B2" s="52" t="s">
        <v>0</v>
      </c>
      <c r="C2" s="53" t="s">
        <v>111</v>
      </c>
      <c r="D2" s="53" t="s">
        <v>112</v>
      </c>
      <c r="E2" s="54" t="s">
        <v>113</v>
      </c>
    </row>
    <row r="3" spans="1:5" ht="15.6">
      <c r="A3" s="22" t="s">
        <v>2</v>
      </c>
      <c r="B3" s="22" t="s">
        <v>3</v>
      </c>
      <c r="C3" s="53">
        <v>32</v>
      </c>
      <c r="D3" s="53">
        <v>16000</v>
      </c>
      <c r="E3" s="55">
        <f>C3*D3</f>
        <v>512000</v>
      </c>
    </row>
    <row r="4" spans="1:5" ht="15.6">
      <c r="A4" s="22" t="s">
        <v>4</v>
      </c>
      <c r="B4" s="22" t="s">
        <v>3</v>
      </c>
      <c r="C4" s="53">
        <v>95</v>
      </c>
      <c r="D4" s="53">
        <v>6000</v>
      </c>
      <c r="E4" s="55">
        <f t="shared" ref="E4:E67" si="0">C4*D4</f>
        <v>570000</v>
      </c>
    </row>
    <row r="5" spans="1:5" ht="15.6">
      <c r="A5" s="22" t="s">
        <v>5</v>
      </c>
      <c r="B5" s="22" t="s">
        <v>3</v>
      </c>
      <c r="C5" s="53">
        <v>840</v>
      </c>
      <c r="D5" s="53">
        <v>3000</v>
      </c>
      <c r="E5" s="55">
        <f t="shared" si="0"/>
        <v>2520000</v>
      </c>
    </row>
    <row r="6" spans="1:5" ht="15.6">
      <c r="A6" s="22" t="s">
        <v>96</v>
      </c>
      <c r="B6" s="22" t="s">
        <v>3</v>
      </c>
      <c r="C6" s="53">
        <v>5</v>
      </c>
      <c r="D6" s="53">
        <v>14000</v>
      </c>
      <c r="E6" s="55">
        <f t="shared" si="0"/>
        <v>70000</v>
      </c>
    </row>
    <row r="7" spans="1:5" ht="15.6">
      <c r="A7" s="22" t="s">
        <v>6</v>
      </c>
      <c r="B7" s="22" t="s">
        <v>3</v>
      </c>
      <c r="C7" s="53">
        <v>3</v>
      </c>
      <c r="D7" s="53">
        <v>8000</v>
      </c>
      <c r="E7" s="55">
        <f t="shared" si="0"/>
        <v>24000</v>
      </c>
    </row>
    <row r="8" spans="1:5" ht="15.6">
      <c r="A8" s="22" t="s">
        <v>7</v>
      </c>
      <c r="B8" s="22" t="s">
        <v>3</v>
      </c>
      <c r="C8" s="53">
        <v>245</v>
      </c>
      <c r="D8" s="53">
        <v>11000</v>
      </c>
      <c r="E8" s="55">
        <f t="shared" si="0"/>
        <v>2695000</v>
      </c>
    </row>
    <row r="9" spans="1:5" ht="15.6">
      <c r="A9" s="22" t="s">
        <v>8</v>
      </c>
      <c r="B9" s="22" t="s">
        <v>3</v>
      </c>
      <c r="C9" s="53">
        <v>135</v>
      </c>
      <c r="D9" s="53">
        <v>15000</v>
      </c>
      <c r="E9" s="55">
        <f t="shared" si="0"/>
        <v>2025000</v>
      </c>
    </row>
    <row r="10" spans="1:5" ht="15.6" hidden="1">
      <c r="A10" s="22" t="s">
        <v>8</v>
      </c>
      <c r="B10" s="22" t="s">
        <v>9</v>
      </c>
      <c r="C10" s="53">
        <v>0</v>
      </c>
      <c r="D10" s="53"/>
      <c r="E10" s="55">
        <f t="shared" si="0"/>
        <v>0</v>
      </c>
    </row>
    <row r="11" spans="1:5" ht="15.6">
      <c r="A11" s="22" t="s">
        <v>10</v>
      </c>
      <c r="B11" s="22" t="s">
        <v>3</v>
      </c>
      <c r="C11" s="53">
        <v>22</v>
      </c>
      <c r="D11" s="53">
        <v>13500</v>
      </c>
      <c r="E11" s="55">
        <f t="shared" si="0"/>
        <v>297000</v>
      </c>
    </row>
    <row r="12" spans="1:5" ht="15.6" hidden="1">
      <c r="A12" s="22" t="s">
        <v>10</v>
      </c>
      <c r="B12" s="22" t="s">
        <v>9</v>
      </c>
      <c r="C12" s="53">
        <v>0</v>
      </c>
      <c r="D12" s="53"/>
      <c r="E12" s="55">
        <f t="shared" si="0"/>
        <v>0</v>
      </c>
    </row>
    <row r="13" spans="1:5" ht="15.6" hidden="1">
      <c r="A13" s="22" t="s">
        <v>11</v>
      </c>
      <c r="B13" s="22" t="s">
        <v>3</v>
      </c>
      <c r="C13" s="53">
        <v>0</v>
      </c>
      <c r="D13" s="53"/>
      <c r="E13" s="55">
        <f t="shared" si="0"/>
        <v>0</v>
      </c>
    </row>
    <row r="14" spans="1:5" ht="15.6">
      <c r="A14" s="22" t="s">
        <v>12</v>
      </c>
      <c r="B14" s="22" t="s">
        <v>3</v>
      </c>
      <c r="C14" s="53">
        <v>11</v>
      </c>
      <c r="D14" s="53">
        <v>12000</v>
      </c>
      <c r="E14" s="55">
        <f t="shared" si="0"/>
        <v>132000</v>
      </c>
    </row>
    <row r="15" spans="1:5" ht="15.6" hidden="1">
      <c r="A15" s="22" t="s">
        <v>13</v>
      </c>
      <c r="B15" s="22" t="s">
        <v>3</v>
      </c>
      <c r="C15" s="53">
        <v>0</v>
      </c>
      <c r="D15" s="53"/>
      <c r="E15" s="55">
        <f t="shared" si="0"/>
        <v>0</v>
      </c>
    </row>
    <row r="16" spans="1:5" ht="15.6" hidden="1">
      <c r="A16" s="22" t="s">
        <v>14</v>
      </c>
      <c r="B16" s="22" t="s">
        <v>3</v>
      </c>
      <c r="C16" s="53">
        <v>0</v>
      </c>
      <c r="D16" s="53"/>
      <c r="E16" s="55">
        <f t="shared" si="0"/>
        <v>0</v>
      </c>
    </row>
    <row r="17" spans="1:5" ht="15.6" hidden="1">
      <c r="A17" s="22" t="s">
        <v>15</v>
      </c>
      <c r="B17" s="22" t="s">
        <v>3</v>
      </c>
      <c r="C17" s="53">
        <v>0</v>
      </c>
      <c r="D17" s="53"/>
      <c r="E17" s="55">
        <f t="shared" si="0"/>
        <v>0</v>
      </c>
    </row>
    <row r="18" spans="1:5" ht="15.6">
      <c r="A18" s="22" t="s">
        <v>16</v>
      </c>
      <c r="B18" s="22" t="s">
        <v>17</v>
      </c>
      <c r="C18" s="53">
        <v>16</v>
      </c>
      <c r="D18" s="53">
        <v>6000</v>
      </c>
      <c r="E18" s="55">
        <f t="shared" si="0"/>
        <v>96000</v>
      </c>
    </row>
    <row r="19" spans="1:5" ht="15.6">
      <c r="A19" s="22" t="s">
        <v>145</v>
      </c>
      <c r="B19" s="22" t="s">
        <v>40</v>
      </c>
      <c r="C19" s="53">
        <v>430</v>
      </c>
      <c r="D19" s="53">
        <v>5000</v>
      </c>
      <c r="E19" s="55">
        <f t="shared" si="0"/>
        <v>2150000</v>
      </c>
    </row>
    <row r="20" spans="1:5" ht="15.6" hidden="1">
      <c r="A20" s="22" t="s">
        <v>97</v>
      </c>
      <c r="B20" s="22" t="s">
        <v>3</v>
      </c>
      <c r="C20" s="53">
        <v>0</v>
      </c>
      <c r="D20" s="53"/>
      <c r="E20" s="55">
        <f t="shared" si="0"/>
        <v>0</v>
      </c>
    </row>
    <row r="21" spans="1:5" ht="15.6">
      <c r="A21" s="22" t="s">
        <v>18</v>
      </c>
      <c r="B21" s="22" t="s">
        <v>3</v>
      </c>
      <c r="C21" s="53">
        <v>250</v>
      </c>
      <c r="D21" s="53">
        <v>16000</v>
      </c>
      <c r="E21" s="55">
        <f t="shared" si="0"/>
        <v>4000000</v>
      </c>
    </row>
    <row r="22" spans="1:5" ht="15.6" hidden="1">
      <c r="A22" s="22" t="s">
        <v>18</v>
      </c>
      <c r="B22" s="22" t="s">
        <v>17</v>
      </c>
      <c r="C22" s="53">
        <v>0</v>
      </c>
      <c r="D22" s="53"/>
      <c r="E22" s="55">
        <f t="shared" si="0"/>
        <v>0</v>
      </c>
    </row>
    <row r="23" spans="1:5" ht="15.6" hidden="1">
      <c r="A23" s="22" t="s">
        <v>18</v>
      </c>
      <c r="B23" s="22" t="s">
        <v>19</v>
      </c>
      <c r="C23" s="53">
        <v>0</v>
      </c>
      <c r="D23" s="53"/>
      <c r="E23" s="55">
        <f t="shared" si="0"/>
        <v>0</v>
      </c>
    </row>
    <row r="24" spans="1:5" ht="15.6">
      <c r="A24" s="22" t="s">
        <v>20</v>
      </c>
      <c r="B24" s="22" t="s">
        <v>3</v>
      </c>
      <c r="C24" s="53">
        <v>27</v>
      </c>
      <c r="D24" s="53">
        <v>12000</v>
      </c>
      <c r="E24" s="55">
        <f t="shared" si="0"/>
        <v>324000</v>
      </c>
    </row>
    <row r="25" spans="1:5" ht="15.6">
      <c r="A25" s="22" t="s">
        <v>20</v>
      </c>
      <c r="B25" s="22" t="s">
        <v>21</v>
      </c>
      <c r="C25" s="53">
        <v>40</v>
      </c>
      <c r="D25" s="53">
        <v>7000</v>
      </c>
      <c r="E25" s="55">
        <f t="shared" si="0"/>
        <v>280000</v>
      </c>
    </row>
    <row r="26" spans="1:5" ht="15.6">
      <c r="A26" s="22" t="s">
        <v>22</v>
      </c>
      <c r="B26" s="22" t="s">
        <v>3</v>
      </c>
      <c r="C26" s="53">
        <v>10</v>
      </c>
      <c r="D26" s="53">
        <v>20000</v>
      </c>
      <c r="E26" s="55">
        <f t="shared" si="0"/>
        <v>200000</v>
      </c>
    </row>
    <row r="27" spans="1:5" ht="15.6">
      <c r="A27" s="22" t="s">
        <v>22</v>
      </c>
      <c r="B27" s="22" t="s">
        <v>23</v>
      </c>
      <c r="C27" s="53">
        <v>65</v>
      </c>
      <c r="D27" s="53">
        <v>6000</v>
      </c>
      <c r="E27" s="55">
        <f t="shared" si="0"/>
        <v>390000</v>
      </c>
    </row>
    <row r="28" spans="1:5" ht="15.6">
      <c r="A28" s="22" t="s">
        <v>24</v>
      </c>
      <c r="B28" s="22" t="s">
        <v>25</v>
      </c>
      <c r="C28" s="53">
        <v>5</v>
      </c>
      <c r="D28" s="53">
        <v>11100</v>
      </c>
      <c r="E28" s="55">
        <f t="shared" si="0"/>
        <v>55500</v>
      </c>
    </row>
    <row r="29" spans="1:5" ht="15.6" hidden="1">
      <c r="A29" s="22" t="s">
        <v>26</v>
      </c>
      <c r="B29" s="22" t="s">
        <v>3</v>
      </c>
      <c r="C29" s="53">
        <v>0</v>
      </c>
      <c r="D29" s="53"/>
      <c r="E29" s="55">
        <f t="shared" si="0"/>
        <v>0</v>
      </c>
    </row>
    <row r="30" spans="1:5" ht="15.6">
      <c r="A30" s="22" t="s">
        <v>26</v>
      </c>
      <c r="B30" s="22" t="s">
        <v>27</v>
      </c>
      <c r="C30" s="53">
        <v>274</v>
      </c>
      <c r="D30" s="53">
        <v>7500</v>
      </c>
      <c r="E30" s="55">
        <f t="shared" si="0"/>
        <v>2055000</v>
      </c>
    </row>
    <row r="31" spans="1:5" ht="15.6">
      <c r="A31" s="22" t="s">
        <v>28</v>
      </c>
      <c r="B31" s="22" t="s">
        <v>3</v>
      </c>
      <c r="C31" s="53">
        <v>300</v>
      </c>
      <c r="D31" s="53">
        <v>16000</v>
      </c>
      <c r="E31" s="55">
        <f t="shared" si="0"/>
        <v>4800000</v>
      </c>
    </row>
    <row r="32" spans="1:5" ht="15.6" hidden="1">
      <c r="A32" s="22" t="s">
        <v>28</v>
      </c>
      <c r="B32" s="22" t="s">
        <v>17</v>
      </c>
      <c r="C32" s="53">
        <v>0</v>
      </c>
      <c r="D32" s="53"/>
      <c r="E32" s="55">
        <f t="shared" si="0"/>
        <v>0</v>
      </c>
    </row>
    <row r="33" spans="1:5" ht="15.6">
      <c r="A33" s="22" t="s">
        <v>29</v>
      </c>
      <c r="B33" s="22" t="s">
        <v>30</v>
      </c>
      <c r="C33" s="53">
        <v>60</v>
      </c>
      <c r="D33" s="53">
        <v>11000</v>
      </c>
      <c r="E33" s="55">
        <f t="shared" si="0"/>
        <v>660000</v>
      </c>
    </row>
    <row r="34" spans="1:5" ht="15.6">
      <c r="A34" s="22" t="s">
        <v>31</v>
      </c>
      <c r="B34" s="22" t="s">
        <v>3</v>
      </c>
      <c r="C34" s="53">
        <v>100</v>
      </c>
      <c r="D34" s="53">
        <v>6000</v>
      </c>
      <c r="E34" s="55">
        <f t="shared" si="0"/>
        <v>600000</v>
      </c>
    </row>
    <row r="35" spans="1:5" ht="15.6" hidden="1">
      <c r="A35" s="22" t="s">
        <v>31</v>
      </c>
      <c r="B35" s="22" t="s">
        <v>30</v>
      </c>
      <c r="C35" s="53">
        <v>0</v>
      </c>
      <c r="D35" s="53"/>
      <c r="E35" s="55">
        <f t="shared" si="0"/>
        <v>0</v>
      </c>
    </row>
    <row r="36" spans="1:5" ht="15.6" hidden="1">
      <c r="A36" s="22" t="s">
        <v>32</v>
      </c>
      <c r="B36" s="22" t="s">
        <v>3</v>
      </c>
      <c r="C36" s="53">
        <v>0</v>
      </c>
      <c r="D36" s="53"/>
      <c r="E36" s="55">
        <f t="shared" si="0"/>
        <v>0</v>
      </c>
    </row>
    <row r="37" spans="1:5" ht="15.6" hidden="1">
      <c r="A37" s="22" t="s">
        <v>32</v>
      </c>
      <c r="B37" s="22" t="s">
        <v>17</v>
      </c>
      <c r="C37" s="53">
        <v>0</v>
      </c>
      <c r="D37" s="53"/>
      <c r="E37" s="55">
        <f t="shared" si="0"/>
        <v>0</v>
      </c>
    </row>
    <row r="38" spans="1:5" ht="15.6">
      <c r="A38" s="22" t="s">
        <v>33</v>
      </c>
      <c r="B38" s="22" t="s">
        <v>3</v>
      </c>
      <c r="C38" s="53">
        <v>45</v>
      </c>
      <c r="D38" s="53">
        <v>8000</v>
      </c>
      <c r="E38" s="55">
        <f t="shared" si="0"/>
        <v>360000</v>
      </c>
    </row>
    <row r="39" spans="1:5" ht="15.6" hidden="1">
      <c r="A39" s="22" t="s">
        <v>33</v>
      </c>
      <c r="B39" s="22" t="s">
        <v>34</v>
      </c>
      <c r="C39" s="53">
        <v>0</v>
      </c>
      <c r="D39" s="53"/>
      <c r="E39" s="55">
        <f t="shared" si="0"/>
        <v>0</v>
      </c>
    </row>
    <row r="40" spans="1:5" ht="15.6">
      <c r="A40" s="22" t="s">
        <v>35</v>
      </c>
      <c r="B40" s="22" t="s">
        <v>3</v>
      </c>
      <c r="C40" s="53">
        <v>22</v>
      </c>
      <c r="D40" s="53">
        <v>12000</v>
      </c>
      <c r="E40" s="55">
        <f t="shared" si="0"/>
        <v>264000</v>
      </c>
    </row>
    <row r="41" spans="1:5" ht="15.6" hidden="1">
      <c r="A41" s="22" t="s">
        <v>35</v>
      </c>
      <c r="B41" s="22" t="s">
        <v>30</v>
      </c>
      <c r="C41" s="53">
        <v>0</v>
      </c>
      <c r="D41" s="53"/>
      <c r="E41" s="55">
        <f t="shared" si="0"/>
        <v>0</v>
      </c>
    </row>
    <row r="42" spans="1:5" ht="15.6" hidden="1">
      <c r="A42" s="22" t="s">
        <v>36</v>
      </c>
      <c r="B42" s="22" t="s">
        <v>3</v>
      </c>
      <c r="C42" s="53">
        <v>0</v>
      </c>
      <c r="D42" s="53"/>
      <c r="E42" s="55">
        <f t="shared" si="0"/>
        <v>0</v>
      </c>
    </row>
    <row r="43" spans="1:5" ht="15.6">
      <c r="A43" s="22" t="s">
        <v>36</v>
      </c>
      <c r="B43" s="22" t="s">
        <v>30</v>
      </c>
      <c r="C43" s="53">
        <v>8</v>
      </c>
      <c r="D43" s="53">
        <v>3000</v>
      </c>
      <c r="E43" s="55">
        <f t="shared" si="0"/>
        <v>24000</v>
      </c>
    </row>
    <row r="44" spans="1:5" ht="15.6" hidden="1">
      <c r="A44" s="22" t="s">
        <v>37</v>
      </c>
      <c r="B44" s="22" t="s">
        <v>3</v>
      </c>
      <c r="C44" s="53">
        <v>0</v>
      </c>
      <c r="D44" s="53"/>
      <c r="E44" s="55">
        <f t="shared" si="0"/>
        <v>0</v>
      </c>
    </row>
    <row r="45" spans="1:5" ht="15.6">
      <c r="A45" s="22" t="s">
        <v>37</v>
      </c>
      <c r="B45" s="22" t="s">
        <v>30</v>
      </c>
      <c r="C45" s="53">
        <v>11</v>
      </c>
      <c r="D45" s="53">
        <v>3900</v>
      </c>
      <c r="E45" s="55">
        <f t="shared" si="0"/>
        <v>42900</v>
      </c>
    </row>
    <row r="46" spans="1:5" ht="15.6">
      <c r="A46" s="22" t="s">
        <v>38</v>
      </c>
      <c r="B46" s="22" t="s">
        <v>3</v>
      </c>
      <c r="C46" s="53">
        <v>520</v>
      </c>
      <c r="D46" s="53">
        <v>5000</v>
      </c>
      <c r="E46" s="55">
        <f t="shared" si="0"/>
        <v>2600000</v>
      </c>
    </row>
    <row r="47" spans="1:5" ht="15.6" hidden="1">
      <c r="A47" s="22" t="s">
        <v>98</v>
      </c>
      <c r="B47" s="22" t="s">
        <v>3</v>
      </c>
      <c r="C47" s="53">
        <v>0</v>
      </c>
      <c r="D47" s="53"/>
      <c r="E47" s="55">
        <f t="shared" si="0"/>
        <v>0</v>
      </c>
    </row>
    <row r="48" spans="1:5" ht="15.6">
      <c r="A48" s="22" t="s">
        <v>99</v>
      </c>
      <c r="B48" s="22" t="s">
        <v>3</v>
      </c>
      <c r="C48" s="53">
        <v>240</v>
      </c>
      <c r="D48" s="53">
        <v>3000</v>
      </c>
      <c r="E48" s="55">
        <f t="shared" si="0"/>
        <v>720000</v>
      </c>
    </row>
    <row r="49" spans="1:5" ht="15.6">
      <c r="A49" s="22" t="s">
        <v>39</v>
      </c>
      <c r="B49" s="22" t="s">
        <v>3</v>
      </c>
      <c r="C49" s="53">
        <v>235</v>
      </c>
      <c r="D49" s="53">
        <v>9000</v>
      </c>
      <c r="E49" s="55">
        <f t="shared" si="0"/>
        <v>2115000</v>
      </c>
    </row>
    <row r="50" spans="1:5" ht="15.6" hidden="1">
      <c r="A50" s="22" t="s">
        <v>39</v>
      </c>
      <c r="B50" s="22" t="s">
        <v>40</v>
      </c>
      <c r="C50" s="53">
        <v>0</v>
      </c>
      <c r="D50" s="53"/>
      <c r="E50" s="55">
        <f t="shared" si="0"/>
        <v>0</v>
      </c>
    </row>
    <row r="51" spans="1:5" ht="15.6" hidden="1">
      <c r="A51" s="22" t="s">
        <v>100</v>
      </c>
      <c r="B51" s="22" t="s">
        <v>3</v>
      </c>
      <c r="C51" s="53">
        <v>0</v>
      </c>
      <c r="D51" s="53"/>
      <c r="E51" s="55">
        <f t="shared" si="0"/>
        <v>0</v>
      </c>
    </row>
    <row r="52" spans="1:5" ht="15.6" hidden="1">
      <c r="A52" s="22" t="s">
        <v>41</v>
      </c>
      <c r="B52" s="22" t="s">
        <v>3</v>
      </c>
      <c r="C52" s="53">
        <v>0</v>
      </c>
      <c r="D52" s="53"/>
      <c r="E52" s="55">
        <f t="shared" si="0"/>
        <v>0</v>
      </c>
    </row>
    <row r="53" spans="1:5" ht="15.6">
      <c r="A53" s="22" t="s">
        <v>42</v>
      </c>
      <c r="B53" s="22" t="s">
        <v>25</v>
      </c>
      <c r="C53" s="53">
        <v>14</v>
      </c>
      <c r="D53" s="53">
        <v>10000</v>
      </c>
      <c r="E53" s="55">
        <f t="shared" si="0"/>
        <v>140000</v>
      </c>
    </row>
    <row r="54" spans="1:5" ht="15.6" hidden="1">
      <c r="A54" s="22" t="s">
        <v>42</v>
      </c>
      <c r="B54" s="22" t="s">
        <v>3</v>
      </c>
      <c r="C54" s="53">
        <v>0</v>
      </c>
      <c r="D54" s="53"/>
      <c r="E54" s="55">
        <f t="shared" si="0"/>
        <v>0</v>
      </c>
    </row>
    <row r="55" spans="1:5" ht="15.6" hidden="1">
      <c r="A55" s="22" t="s">
        <v>44</v>
      </c>
      <c r="B55" s="22" t="s">
        <v>3</v>
      </c>
      <c r="C55" s="53">
        <v>0</v>
      </c>
      <c r="D55" s="53"/>
      <c r="E55" s="55">
        <f t="shared" si="0"/>
        <v>0</v>
      </c>
    </row>
    <row r="56" spans="1:5" ht="15.6">
      <c r="A56" s="22" t="s">
        <v>45</v>
      </c>
      <c r="B56" s="22" t="s">
        <v>3</v>
      </c>
      <c r="C56" s="53">
        <v>25</v>
      </c>
      <c r="D56" s="53">
        <v>10000</v>
      </c>
      <c r="E56" s="55">
        <f t="shared" si="0"/>
        <v>250000</v>
      </c>
    </row>
    <row r="57" spans="1:5" ht="15.6" hidden="1">
      <c r="A57" s="22" t="s">
        <v>45</v>
      </c>
      <c r="B57" s="22" t="s">
        <v>30</v>
      </c>
      <c r="C57" s="53">
        <v>0</v>
      </c>
      <c r="D57" s="53"/>
      <c r="E57" s="55">
        <f t="shared" si="0"/>
        <v>0</v>
      </c>
    </row>
    <row r="58" spans="1:5" ht="15.6">
      <c r="A58" s="22" t="s">
        <v>46</v>
      </c>
      <c r="B58" s="22" t="s">
        <v>3</v>
      </c>
      <c r="C58" s="53">
        <v>6</v>
      </c>
      <c r="D58" s="53">
        <v>19000</v>
      </c>
      <c r="E58" s="55">
        <f t="shared" si="0"/>
        <v>114000</v>
      </c>
    </row>
    <row r="59" spans="1:5" ht="15.6">
      <c r="A59" s="22" t="s">
        <v>47</v>
      </c>
      <c r="B59" s="22" t="s">
        <v>3</v>
      </c>
      <c r="C59" s="53">
        <v>290</v>
      </c>
      <c r="D59" s="53">
        <v>7000</v>
      </c>
      <c r="E59" s="55">
        <f t="shared" si="0"/>
        <v>2030000</v>
      </c>
    </row>
    <row r="60" spans="1:5" ht="15.6" hidden="1">
      <c r="A60" s="22" t="s">
        <v>47</v>
      </c>
      <c r="B60" s="22" t="s">
        <v>48</v>
      </c>
      <c r="C60" s="53">
        <v>0</v>
      </c>
      <c r="D60" s="53"/>
      <c r="E60" s="55">
        <f t="shared" si="0"/>
        <v>0</v>
      </c>
    </row>
    <row r="61" spans="1:5" ht="15.6">
      <c r="A61" s="22" t="s">
        <v>134</v>
      </c>
      <c r="B61" s="22" t="s">
        <v>3</v>
      </c>
      <c r="C61" s="53">
        <v>3</v>
      </c>
      <c r="D61" s="53">
        <v>20000</v>
      </c>
      <c r="E61" s="55">
        <f t="shared" si="0"/>
        <v>60000</v>
      </c>
    </row>
    <row r="62" spans="1:5" ht="15.6">
      <c r="A62" s="22" t="s">
        <v>49</v>
      </c>
      <c r="B62" s="22" t="s">
        <v>30</v>
      </c>
      <c r="C62" s="53">
        <v>233</v>
      </c>
      <c r="D62" s="53">
        <v>7000</v>
      </c>
      <c r="E62" s="55">
        <f t="shared" si="0"/>
        <v>1631000</v>
      </c>
    </row>
    <row r="63" spans="1:5" ht="15.6">
      <c r="A63" s="22" t="s">
        <v>50</v>
      </c>
      <c r="B63" s="22" t="s">
        <v>3</v>
      </c>
      <c r="C63" s="53">
        <v>990</v>
      </c>
      <c r="D63" s="53">
        <v>25000</v>
      </c>
      <c r="E63" s="55">
        <f t="shared" si="0"/>
        <v>24750000</v>
      </c>
    </row>
    <row r="64" spans="1:5" ht="15.6">
      <c r="A64" s="22" t="s">
        <v>51</v>
      </c>
      <c r="B64" s="22" t="s">
        <v>3</v>
      </c>
      <c r="C64" s="53">
        <v>175</v>
      </c>
      <c r="D64" s="53">
        <v>25000</v>
      </c>
      <c r="E64" s="55">
        <f t="shared" si="0"/>
        <v>4375000</v>
      </c>
    </row>
    <row r="65" spans="1:5" ht="15.6">
      <c r="A65" s="22" t="s">
        <v>53</v>
      </c>
      <c r="B65" s="22" t="s">
        <v>3</v>
      </c>
      <c r="C65" s="53">
        <v>440</v>
      </c>
      <c r="D65" s="53">
        <v>15000</v>
      </c>
      <c r="E65" s="55">
        <f t="shared" si="0"/>
        <v>6600000</v>
      </c>
    </row>
    <row r="66" spans="1:5" ht="15.6">
      <c r="A66" s="22" t="s">
        <v>54</v>
      </c>
      <c r="B66" s="22" t="s">
        <v>3</v>
      </c>
      <c r="C66" s="53">
        <v>6</v>
      </c>
      <c r="D66" s="53">
        <v>25000</v>
      </c>
      <c r="E66" s="55">
        <f t="shared" si="0"/>
        <v>150000</v>
      </c>
    </row>
    <row r="67" spans="1:5" ht="15.6" hidden="1">
      <c r="A67" s="22" t="s">
        <v>55</v>
      </c>
      <c r="B67" s="22" t="s">
        <v>3</v>
      </c>
      <c r="C67" s="53">
        <v>0</v>
      </c>
      <c r="D67" s="53"/>
      <c r="E67" s="55">
        <f t="shared" si="0"/>
        <v>0</v>
      </c>
    </row>
    <row r="68" spans="1:5" ht="15.6" hidden="1">
      <c r="A68" s="22" t="s">
        <v>108</v>
      </c>
      <c r="B68" s="22" t="s">
        <v>3</v>
      </c>
      <c r="C68" s="53">
        <v>0</v>
      </c>
      <c r="D68" s="53"/>
      <c r="E68" s="55">
        <f t="shared" ref="E68:E124" si="1">C68*D68</f>
        <v>0</v>
      </c>
    </row>
    <row r="69" spans="1:5" ht="15.6" hidden="1">
      <c r="A69" s="22" t="s">
        <v>108</v>
      </c>
      <c r="B69" s="22" t="s">
        <v>30</v>
      </c>
      <c r="C69" s="53">
        <v>0</v>
      </c>
      <c r="D69" s="53"/>
      <c r="E69" s="55">
        <f t="shared" si="1"/>
        <v>0</v>
      </c>
    </row>
    <row r="70" spans="1:5" ht="15.6" hidden="1">
      <c r="A70" s="22" t="s">
        <v>118</v>
      </c>
      <c r="B70" s="22" t="s">
        <v>3</v>
      </c>
      <c r="C70" s="53">
        <v>0</v>
      </c>
      <c r="D70" s="53"/>
      <c r="E70" s="55">
        <f t="shared" si="1"/>
        <v>0</v>
      </c>
    </row>
    <row r="71" spans="1:5" ht="15.6">
      <c r="A71" s="22" t="s">
        <v>56</v>
      </c>
      <c r="B71" s="22" t="s">
        <v>3</v>
      </c>
      <c r="C71" s="53">
        <v>265</v>
      </c>
      <c r="D71" s="53">
        <v>13000</v>
      </c>
      <c r="E71" s="55">
        <f t="shared" si="1"/>
        <v>3445000</v>
      </c>
    </row>
    <row r="72" spans="1:5" ht="15.6" hidden="1">
      <c r="A72" s="22" t="s">
        <v>56</v>
      </c>
      <c r="B72" s="22" t="s">
        <v>30</v>
      </c>
      <c r="C72" s="53">
        <v>0</v>
      </c>
      <c r="D72" s="53"/>
      <c r="E72" s="55">
        <f t="shared" si="1"/>
        <v>0</v>
      </c>
    </row>
    <row r="73" spans="1:5" ht="15.6">
      <c r="A73" s="22" t="s">
        <v>57</v>
      </c>
      <c r="B73" s="22" t="s">
        <v>30</v>
      </c>
      <c r="C73" s="53">
        <v>16</v>
      </c>
      <c r="D73" s="53">
        <v>5400</v>
      </c>
      <c r="E73" s="55">
        <f t="shared" si="1"/>
        <v>86400</v>
      </c>
    </row>
    <row r="74" spans="1:5" ht="15.6">
      <c r="A74" s="22" t="s">
        <v>58</v>
      </c>
      <c r="B74" s="22" t="s">
        <v>3</v>
      </c>
      <c r="C74" s="53">
        <v>5</v>
      </c>
      <c r="D74" s="53">
        <v>9000</v>
      </c>
      <c r="E74" s="55">
        <f t="shared" si="1"/>
        <v>45000</v>
      </c>
    </row>
    <row r="75" spans="1:5" ht="15.6">
      <c r="A75" s="22" t="s">
        <v>59</v>
      </c>
      <c r="B75" s="22" t="s">
        <v>30</v>
      </c>
      <c r="C75" s="53">
        <v>15</v>
      </c>
      <c r="D75" s="53">
        <v>6000</v>
      </c>
      <c r="E75" s="55">
        <f t="shared" si="1"/>
        <v>90000</v>
      </c>
    </row>
    <row r="76" spans="1:5" ht="15.6" hidden="1">
      <c r="A76" s="22" t="s">
        <v>60</v>
      </c>
      <c r="B76" s="22" t="s">
        <v>3</v>
      </c>
      <c r="C76" s="53">
        <v>0</v>
      </c>
      <c r="D76" s="53"/>
      <c r="E76" s="55">
        <f t="shared" si="1"/>
        <v>0</v>
      </c>
    </row>
    <row r="77" spans="1:5" ht="15.6" hidden="1">
      <c r="A77" s="22" t="s">
        <v>60</v>
      </c>
      <c r="B77" s="22" t="s">
        <v>30</v>
      </c>
      <c r="C77" s="53">
        <v>0</v>
      </c>
      <c r="D77" s="53"/>
      <c r="E77" s="55">
        <f t="shared" si="1"/>
        <v>0</v>
      </c>
    </row>
    <row r="78" spans="1:5" ht="15.6">
      <c r="A78" s="22" t="s">
        <v>60</v>
      </c>
      <c r="B78" s="22" t="s">
        <v>61</v>
      </c>
      <c r="C78" s="53">
        <v>34</v>
      </c>
      <c r="D78" s="53">
        <v>7000</v>
      </c>
      <c r="E78" s="55">
        <f t="shared" si="1"/>
        <v>238000</v>
      </c>
    </row>
    <row r="79" spans="1:5" ht="15.6">
      <c r="A79" s="22" t="s">
        <v>62</v>
      </c>
      <c r="B79" s="22" t="s">
        <v>3</v>
      </c>
      <c r="C79" s="53">
        <v>0.5</v>
      </c>
      <c r="D79" s="53">
        <v>80000</v>
      </c>
      <c r="E79" s="55">
        <f t="shared" si="1"/>
        <v>40000</v>
      </c>
    </row>
    <row r="80" spans="1:5" ht="15.6" hidden="1">
      <c r="A80" s="22" t="s">
        <v>119</v>
      </c>
      <c r="B80" s="22" t="s">
        <v>3</v>
      </c>
      <c r="C80" s="53">
        <v>0</v>
      </c>
      <c r="D80" s="53"/>
      <c r="E80" s="55">
        <f t="shared" si="1"/>
        <v>0</v>
      </c>
    </row>
    <row r="81" spans="1:5" ht="15.6" hidden="1">
      <c r="A81" s="22" t="s">
        <v>63</v>
      </c>
      <c r="B81" s="22" t="s">
        <v>3</v>
      </c>
      <c r="C81" s="53">
        <v>0</v>
      </c>
      <c r="D81" s="53"/>
      <c r="E81" s="55">
        <f t="shared" si="1"/>
        <v>0</v>
      </c>
    </row>
    <row r="82" spans="1:5" ht="15.6">
      <c r="A82" s="22" t="s">
        <v>64</v>
      </c>
      <c r="B82" s="22" t="s">
        <v>3</v>
      </c>
      <c r="C82" s="53">
        <v>0.5</v>
      </c>
      <c r="D82" s="53">
        <v>70000</v>
      </c>
      <c r="E82" s="55">
        <f t="shared" si="1"/>
        <v>35000</v>
      </c>
    </row>
    <row r="83" spans="1:5" ht="15.6" hidden="1">
      <c r="A83" s="22" t="s">
        <v>120</v>
      </c>
      <c r="B83" s="22" t="s">
        <v>30</v>
      </c>
      <c r="C83" s="53">
        <v>0</v>
      </c>
      <c r="D83" s="53"/>
      <c r="E83" s="55">
        <f t="shared" si="1"/>
        <v>0</v>
      </c>
    </row>
    <row r="84" spans="1:5" ht="15.6" hidden="1">
      <c r="A84" s="22" t="s">
        <v>65</v>
      </c>
      <c r="B84" s="22" t="s">
        <v>3</v>
      </c>
      <c r="C84" s="53">
        <v>0</v>
      </c>
      <c r="D84" s="53"/>
      <c r="E84" s="55">
        <f t="shared" si="1"/>
        <v>0</v>
      </c>
    </row>
    <row r="85" spans="1:5" ht="15.6">
      <c r="A85" s="22" t="s">
        <v>65</v>
      </c>
      <c r="B85" s="22" t="s">
        <v>17</v>
      </c>
      <c r="C85" s="53">
        <v>670</v>
      </c>
      <c r="D85" s="53">
        <v>9500</v>
      </c>
      <c r="E85" s="55">
        <f t="shared" si="1"/>
        <v>6365000</v>
      </c>
    </row>
    <row r="86" spans="1:5" ht="15.6">
      <c r="A86" s="22" t="s">
        <v>66</v>
      </c>
      <c r="B86" s="22" t="s">
        <v>3</v>
      </c>
      <c r="C86" s="53">
        <v>4</v>
      </c>
      <c r="D86" s="53">
        <v>16000</v>
      </c>
      <c r="E86" s="55">
        <f t="shared" si="1"/>
        <v>64000</v>
      </c>
    </row>
    <row r="87" spans="1:5" ht="15.6">
      <c r="A87" s="22" t="s">
        <v>67</v>
      </c>
      <c r="B87" s="22" t="s">
        <v>3</v>
      </c>
      <c r="C87" s="53">
        <v>8</v>
      </c>
      <c r="D87" s="53">
        <v>10000</v>
      </c>
      <c r="E87" s="55">
        <f t="shared" si="1"/>
        <v>80000</v>
      </c>
    </row>
    <row r="88" spans="1:5" ht="15.6">
      <c r="A88" s="22" t="s">
        <v>68</v>
      </c>
      <c r="B88" s="22" t="s">
        <v>3</v>
      </c>
      <c r="C88" s="53">
        <v>10</v>
      </c>
      <c r="D88" s="53">
        <v>11500</v>
      </c>
      <c r="E88" s="55">
        <f t="shared" si="1"/>
        <v>115000</v>
      </c>
    </row>
    <row r="89" spans="1:5" ht="15.6" hidden="1">
      <c r="A89" s="22" t="s">
        <v>68</v>
      </c>
      <c r="B89" s="22" t="s">
        <v>40</v>
      </c>
      <c r="C89" s="53">
        <v>0</v>
      </c>
      <c r="D89" s="53"/>
      <c r="E89" s="55">
        <f t="shared" si="1"/>
        <v>0</v>
      </c>
    </row>
    <row r="90" spans="1:5" ht="15.6" hidden="1">
      <c r="A90" s="22" t="s">
        <v>69</v>
      </c>
      <c r="B90" s="22" t="s">
        <v>3</v>
      </c>
      <c r="C90" s="53">
        <v>0</v>
      </c>
      <c r="D90" s="53"/>
      <c r="E90" s="55">
        <f t="shared" si="1"/>
        <v>0</v>
      </c>
    </row>
    <row r="91" spans="1:5" ht="15.6" hidden="1">
      <c r="A91" s="22" t="s">
        <v>70</v>
      </c>
      <c r="B91" s="22" t="s">
        <v>30</v>
      </c>
      <c r="C91" s="53">
        <v>0</v>
      </c>
      <c r="D91" s="53"/>
      <c r="E91" s="55">
        <f t="shared" si="1"/>
        <v>0</v>
      </c>
    </row>
    <row r="92" spans="1:5" ht="15.6">
      <c r="A92" s="22" t="s">
        <v>71</v>
      </c>
      <c r="B92" s="22" t="s">
        <v>3</v>
      </c>
      <c r="C92" s="53">
        <v>4</v>
      </c>
      <c r="D92" s="53">
        <v>14000</v>
      </c>
      <c r="E92" s="55">
        <f t="shared" si="1"/>
        <v>56000</v>
      </c>
    </row>
    <row r="93" spans="1:5" ht="15.6">
      <c r="A93" s="22" t="s">
        <v>160</v>
      </c>
      <c r="B93" s="22" t="s">
        <v>3</v>
      </c>
      <c r="C93" s="53">
        <v>120</v>
      </c>
      <c r="D93" s="53">
        <v>50000</v>
      </c>
      <c r="E93" s="55">
        <f t="shared" si="1"/>
        <v>6000000</v>
      </c>
    </row>
    <row r="94" spans="1:5" ht="15.6" hidden="1">
      <c r="A94" s="22" t="s">
        <v>72</v>
      </c>
      <c r="B94" s="22" t="s">
        <v>17</v>
      </c>
      <c r="C94" s="53">
        <v>0</v>
      </c>
      <c r="D94" s="53"/>
      <c r="E94" s="55">
        <f t="shared" si="1"/>
        <v>0</v>
      </c>
    </row>
    <row r="95" spans="1:5" ht="15.6" hidden="1">
      <c r="A95" s="22" t="s">
        <v>73</v>
      </c>
      <c r="B95" s="22" t="s">
        <v>25</v>
      </c>
      <c r="C95" s="53">
        <v>0</v>
      </c>
      <c r="D95" s="53"/>
      <c r="E95" s="55">
        <f t="shared" si="1"/>
        <v>0</v>
      </c>
    </row>
    <row r="96" spans="1:5" ht="15.6">
      <c r="A96" s="22" t="s">
        <v>73</v>
      </c>
      <c r="B96" s="22" t="s">
        <v>3</v>
      </c>
      <c r="C96" s="53">
        <v>1</v>
      </c>
      <c r="D96" s="53">
        <v>28000</v>
      </c>
      <c r="E96" s="55">
        <f t="shared" si="1"/>
        <v>28000</v>
      </c>
    </row>
    <row r="97" spans="1:5" ht="15.6">
      <c r="A97" s="22" t="s">
        <v>74</v>
      </c>
      <c r="B97" s="22" t="s">
        <v>3</v>
      </c>
      <c r="C97" s="53">
        <v>45</v>
      </c>
      <c r="D97" s="53">
        <v>23000</v>
      </c>
      <c r="E97" s="55">
        <f t="shared" si="1"/>
        <v>1035000</v>
      </c>
    </row>
    <row r="98" spans="1:5" ht="15.6" hidden="1">
      <c r="A98" s="22" t="s">
        <v>74</v>
      </c>
      <c r="B98" s="22" t="s">
        <v>9</v>
      </c>
      <c r="C98" s="53">
        <v>0</v>
      </c>
      <c r="D98" s="53"/>
      <c r="E98" s="55">
        <f t="shared" si="1"/>
        <v>0</v>
      </c>
    </row>
    <row r="99" spans="1:5" ht="15.6">
      <c r="A99" s="22" t="s">
        <v>75</v>
      </c>
      <c r="B99" s="22" t="s">
        <v>3</v>
      </c>
      <c r="C99" s="53">
        <v>20</v>
      </c>
      <c r="D99" s="53">
        <v>18000</v>
      </c>
      <c r="E99" s="55">
        <f t="shared" si="1"/>
        <v>360000</v>
      </c>
    </row>
    <row r="100" spans="1:5" ht="15.6">
      <c r="A100" s="22" t="s">
        <v>76</v>
      </c>
      <c r="B100" s="22" t="s">
        <v>3</v>
      </c>
      <c r="C100" s="53">
        <v>40</v>
      </c>
      <c r="D100" s="53">
        <v>30000</v>
      </c>
      <c r="E100" s="55">
        <f t="shared" si="1"/>
        <v>1200000</v>
      </c>
    </row>
    <row r="101" spans="1:5" ht="15.6" hidden="1">
      <c r="A101" s="22" t="s">
        <v>76</v>
      </c>
      <c r="B101" s="22" t="s">
        <v>9</v>
      </c>
      <c r="C101" s="53">
        <v>0</v>
      </c>
      <c r="D101" s="53"/>
      <c r="E101" s="55">
        <f t="shared" si="1"/>
        <v>0</v>
      </c>
    </row>
    <row r="102" spans="1:5" ht="15.6">
      <c r="A102" s="22" t="s">
        <v>77</v>
      </c>
      <c r="B102" s="22" t="s">
        <v>3</v>
      </c>
      <c r="C102" s="53">
        <v>20</v>
      </c>
      <c r="D102" s="53">
        <v>25000</v>
      </c>
      <c r="E102" s="55">
        <f t="shared" si="1"/>
        <v>500000</v>
      </c>
    </row>
    <row r="103" spans="1:5" ht="15.6">
      <c r="A103" s="22" t="s">
        <v>78</v>
      </c>
      <c r="B103" s="22" t="s">
        <v>3</v>
      </c>
      <c r="C103" s="53">
        <v>90</v>
      </c>
      <c r="D103" s="53">
        <v>30000</v>
      </c>
      <c r="E103" s="55">
        <f t="shared" si="1"/>
        <v>2700000</v>
      </c>
    </row>
    <row r="104" spans="1:5" ht="15.6" hidden="1">
      <c r="A104" s="22" t="s">
        <v>78</v>
      </c>
      <c r="B104" s="22" t="s">
        <v>9</v>
      </c>
      <c r="C104" s="53">
        <v>0</v>
      </c>
      <c r="D104" s="53"/>
      <c r="E104" s="55">
        <f t="shared" si="1"/>
        <v>0</v>
      </c>
    </row>
    <row r="105" spans="1:5" ht="15.6">
      <c r="A105" s="22" t="s">
        <v>173</v>
      </c>
      <c r="B105" s="22" t="s">
        <v>3</v>
      </c>
      <c r="C105" s="53">
        <v>20</v>
      </c>
      <c r="D105" s="53">
        <v>25000</v>
      </c>
      <c r="E105" s="55">
        <f t="shared" si="1"/>
        <v>500000</v>
      </c>
    </row>
    <row r="106" spans="1:5" ht="15.6" hidden="1">
      <c r="A106" s="22" t="s">
        <v>79</v>
      </c>
      <c r="B106" s="22" t="s">
        <v>30</v>
      </c>
      <c r="C106" s="53">
        <v>0</v>
      </c>
      <c r="D106" s="53"/>
      <c r="E106" s="55">
        <f t="shared" si="1"/>
        <v>0</v>
      </c>
    </row>
    <row r="107" spans="1:5" ht="15.6">
      <c r="A107" s="22" t="s">
        <v>80</v>
      </c>
      <c r="B107" s="22" t="s">
        <v>30</v>
      </c>
      <c r="C107" s="53">
        <v>37</v>
      </c>
      <c r="D107" s="53">
        <v>8750</v>
      </c>
      <c r="E107" s="55">
        <f t="shared" si="1"/>
        <v>323750</v>
      </c>
    </row>
    <row r="108" spans="1:5" ht="15.6" hidden="1">
      <c r="A108" s="22" t="s">
        <v>121</v>
      </c>
      <c r="B108" s="22" t="s">
        <v>3</v>
      </c>
      <c r="C108" s="53">
        <v>0</v>
      </c>
      <c r="D108" s="53"/>
      <c r="E108" s="55">
        <f t="shared" si="1"/>
        <v>0</v>
      </c>
    </row>
    <row r="109" spans="1:5" ht="15.6" hidden="1">
      <c r="A109" s="22" t="s">
        <v>140</v>
      </c>
      <c r="B109" s="22" t="s">
        <v>3</v>
      </c>
      <c r="C109" s="53">
        <v>0</v>
      </c>
      <c r="D109" s="53"/>
      <c r="E109" s="55">
        <f t="shared" si="1"/>
        <v>0</v>
      </c>
    </row>
    <row r="110" spans="1:5" ht="15.6">
      <c r="A110" s="22" t="s">
        <v>81</v>
      </c>
      <c r="B110" s="22" t="s">
        <v>9</v>
      </c>
      <c r="C110" s="53">
        <v>2118</v>
      </c>
      <c r="D110" s="53">
        <v>9000</v>
      </c>
      <c r="E110" s="55">
        <f t="shared" si="1"/>
        <v>19062000</v>
      </c>
    </row>
    <row r="111" spans="1:5" ht="15.6">
      <c r="A111" s="22" t="s">
        <v>82</v>
      </c>
      <c r="B111" s="22" t="s">
        <v>9</v>
      </c>
      <c r="C111" s="53">
        <v>353</v>
      </c>
      <c r="D111" s="53">
        <v>11361</v>
      </c>
      <c r="E111" s="55">
        <f t="shared" si="1"/>
        <v>4010433</v>
      </c>
    </row>
    <row r="112" spans="1:5" ht="15.6" hidden="1">
      <c r="A112" s="22" t="s">
        <v>84</v>
      </c>
      <c r="B112" s="22" t="s">
        <v>3</v>
      </c>
      <c r="C112" s="53">
        <v>0</v>
      </c>
      <c r="D112" s="53"/>
      <c r="E112" s="55">
        <f t="shared" si="1"/>
        <v>0</v>
      </c>
    </row>
    <row r="113" spans="1:5" ht="15.6">
      <c r="A113" s="22" t="s">
        <v>85</v>
      </c>
      <c r="B113" s="22" t="s">
        <v>3</v>
      </c>
      <c r="C113" s="53">
        <v>11</v>
      </c>
      <c r="D113" s="53">
        <v>13000</v>
      </c>
      <c r="E113" s="55">
        <f t="shared" si="1"/>
        <v>143000</v>
      </c>
    </row>
    <row r="114" spans="1:5" ht="15.6">
      <c r="A114" s="22" t="s">
        <v>87</v>
      </c>
      <c r="B114" s="22" t="s">
        <v>3</v>
      </c>
      <c r="C114" s="53">
        <v>50</v>
      </c>
      <c r="D114" s="53">
        <v>3500</v>
      </c>
      <c r="E114" s="55">
        <f t="shared" si="1"/>
        <v>175000</v>
      </c>
    </row>
    <row r="115" spans="1:5" ht="15.6" hidden="1">
      <c r="A115" s="22" t="s">
        <v>125</v>
      </c>
      <c r="B115" s="22" t="s">
        <v>3</v>
      </c>
      <c r="C115" s="53">
        <v>0</v>
      </c>
      <c r="D115" s="53"/>
      <c r="E115" s="55">
        <f t="shared" si="1"/>
        <v>0</v>
      </c>
    </row>
    <row r="116" spans="1:5" ht="15.6">
      <c r="A116" s="22" t="s">
        <v>88</v>
      </c>
      <c r="B116" s="22" t="s">
        <v>3</v>
      </c>
      <c r="C116" s="53">
        <v>4</v>
      </c>
      <c r="D116" s="53">
        <v>13000</v>
      </c>
      <c r="E116" s="55">
        <f t="shared" si="1"/>
        <v>52000</v>
      </c>
    </row>
    <row r="117" spans="1:5" ht="15.6" hidden="1">
      <c r="A117" s="22" t="s">
        <v>122</v>
      </c>
      <c r="B117" s="22" t="s">
        <v>3</v>
      </c>
      <c r="C117" s="53">
        <v>0</v>
      </c>
      <c r="D117" s="53"/>
      <c r="E117" s="55">
        <f t="shared" si="1"/>
        <v>0</v>
      </c>
    </row>
    <row r="118" spans="1:5" ht="15.6" hidden="1">
      <c r="A118" s="22" t="s">
        <v>89</v>
      </c>
      <c r="B118" s="22" t="s">
        <v>3</v>
      </c>
      <c r="C118" s="53">
        <v>0</v>
      </c>
      <c r="D118" s="53"/>
      <c r="E118" s="55">
        <f t="shared" si="1"/>
        <v>0</v>
      </c>
    </row>
    <row r="119" spans="1:5" ht="15.6" hidden="1">
      <c r="A119" s="22" t="s">
        <v>90</v>
      </c>
      <c r="B119" s="22" t="s">
        <v>40</v>
      </c>
      <c r="C119" s="53">
        <v>0</v>
      </c>
      <c r="D119" s="53"/>
      <c r="E119" s="55">
        <f t="shared" si="1"/>
        <v>0</v>
      </c>
    </row>
    <row r="120" spans="1:5" ht="15.6" hidden="1">
      <c r="A120" s="22" t="s">
        <v>91</v>
      </c>
      <c r="B120" s="22" t="s">
        <v>3</v>
      </c>
      <c r="C120" s="53">
        <v>0</v>
      </c>
      <c r="D120" s="53"/>
      <c r="E120" s="55">
        <f t="shared" si="1"/>
        <v>0</v>
      </c>
    </row>
    <row r="121" spans="1:5" ht="15.6" hidden="1">
      <c r="A121" s="22" t="s">
        <v>92</v>
      </c>
      <c r="B121" s="22" t="s">
        <v>40</v>
      </c>
      <c r="C121" s="53">
        <v>0</v>
      </c>
      <c r="D121" s="53"/>
      <c r="E121" s="55">
        <f t="shared" si="1"/>
        <v>0</v>
      </c>
    </row>
    <row r="122" spans="1:5" ht="15.6" hidden="1">
      <c r="A122" s="22" t="s">
        <v>93</v>
      </c>
      <c r="B122" s="22" t="s">
        <v>3</v>
      </c>
      <c r="C122" s="53">
        <v>0</v>
      </c>
      <c r="D122" s="53"/>
      <c r="E122" s="55">
        <f t="shared" si="1"/>
        <v>0</v>
      </c>
    </row>
    <row r="123" spans="1:5" ht="15.6" hidden="1">
      <c r="A123" s="22" t="s">
        <v>94</v>
      </c>
      <c r="B123" s="22" t="s">
        <v>3</v>
      </c>
      <c r="C123" s="53">
        <v>0</v>
      </c>
      <c r="D123" s="53"/>
      <c r="E123" s="55">
        <f t="shared" si="1"/>
        <v>0</v>
      </c>
    </row>
    <row r="124" spans="1:5" ht="15.6">
      <c r="A124" s="22" t="s">
        <v>95</v>
      </c>
      <c r="B124" s="22" t="s">
        <v>40</v>
      </c>
      <c r="C124" s="53">
        <v>55</v>
      </c>
      <c r="D124" s="53">
        <v>7000</v>
      </c>
      <c r="E124" s="55">
        <f t="shared" si="1"/>
        <v>385000</v>
      </c>
    </row>
    <row r="125" spans="1:5">
      <c r="E125" s="51">
        <f>SUM(E3:E124)</f>
        <v>117814983</v>
      </c>
    </row>
  </sheetData>
  <autoFilter ref="A2:E124">
    <filterColumn colId="2">
      <filters>
        <filter val="1"/>
        <filter val="10"/>
        <filter val="100"/>
        <filter val="11"/>
        <filter val="120"/>
        <filter val="135"/>
        <filter val="14"/>
        <filter val="15"/>
        <filter val="16"/>
        <filter val="175"/>
        <filter val="2,118"/>
        <filter val="20"/>
        <filter val="22"/>
        <filter val="233"/>
        <filter val="235"/>
        <filter val="240"/>
        <filter val="245"/>
        <filter val="25"/>
        <filter val="250"/>
        <filter val="265"/>
        <filter val="27"/>
        <filter val="274"/>
        <filter val="290"/>
        <filter val="3"/>
        <filter val="300"/>
        <filter val="32"/>
        <filter val="34"/>
        <filter val="353"/>
        <filter val="37"/>
        <filter val="4"/>
        <filter val="40"/>
        <filter val="430"/>
        <filter val="440"/>
        <filter val="45"/>
        <filter val="5"/>
        <filter val="50"/>
        <filter val="520"/>
        <filter val="55"/>
        <filter val="6"/>
        <filter val="60"/>
        <filter val="65"/>
        <filter val="670"/>
        <filter val="8"/>
        <filter val="840"/>
        <filter val="90"/>
        <filter val="95"/>
        <filter val="990"/>
      </filters>
    </filterColumn>
  </autoFilter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113"/>
  <sheetViews>
    <sheetView topLeftCell="A62" workbookViewId="0">
      <selection activeCell="F3" sqref="F3"/>
    </sheetView>
  </sheetViews>
  <sheetFormatPr defaultRowHeight="13.8"/>
  <cols>
    <col min="1" max="1" width="21.69921875" customWidth="1"/>
    <col min="5" max="5" width="16.796875" customWidth="1"/>
  </cols>
  <sheetData>
    <row r="1" spans="1:5">
      <c r="A1" t="s">
        <v>186</v>
      </c>
    </row>
    <row r="2" spans="1:5" ht="50.4" customHeight="1">
      <c r="A2" s="52" t="s">
        <v>106</v>
      </c>
      <c r="B2" s="52" t="s">
        <v>0</v>
      </c>
      <c r="C2" s="53" t="s">
        <v>111</v>
      </c>
      <c r="D2" s="53" t="s">
        <v>112</v>
      </c>
      <c r="E2" s="54" t="s">
        <v>113</v>
      </c>
    </row>
    <row r="3" spans="1:5" ht="15.6">
      <c r="A3" s="22" t="s">
        <v>2</v>
      </c>
      <c r="B3" s="22" t="s">
        <v>3</v>
      </c>
      <c r="C3" s="53">
        <v>23</v>
      </c>
      <c r="D3" s="53">
        <v>18000</v>
      </c>
      <c r="E3" s="55">
        <f>C3*D3</f>
        <v>414000</v>
      </c>
    </row>
    <row r="4" spans="1:5" ht="15.6">
      <c r="A4" s="22" t="s">
        <v>4</v>
      </c>
      <c r="B4" s="22" t="s">
        <v>3</v>
      </c>
      <c r="C4" s="53">
        <v>365</v>
      </c>
      <c r="D4" s="53">
        <v>5500</v>
      </c>
      <c r="E4" s="55">
        <f t="shared" ref="E4:E67" si="0">C4*D4</f>
        <v>2007500</v>
      </c>
    </row>
    <row r="5" spans="1:5" ht="15.6">
      <c r="A5" s="22" t="s">
        <v>5</v>
      </c>
      <c r="B5" s="22" t="s">
        <v>3</v>
      </c>
      <c r="C5" s="53">
        <v>1304</v>
      </c>
      <c r="D5" s="53">
        <v>3500</v>
      </c>
      <c r="E5" s="55">
        <f t="shared" si="0"/>
        <v>4564000</v>
      </c>
    </row>
    <row r="6" spans="1:5" ht="15.6" hidden="1">
      <c r="A6" s="22" t="s">
        <v>96</v>
      </c>
      <c r="B6" s="22" t="s">
        <v>3</v>
      </c>
      <c r="C6" s="53">
        <v>0</v>
      </c>
      <c r="D6" s="53"/>
      <c r="E6" s="55">
        <f t="shared" si="0"/>
        <v>0</v>
      </c>
    </row>
    <row r="7" spans="1:5" ht="15.6" hidden="1">
      <c r="A7" s="22" t="s">
        <v>6</v>
      </c>
      <c r="B7" s="22" t="s">
        <v>3</v>
      </c>
      <c r="C7" s="53">
        <v>0</v>
      </c>
      <c r="D7" s="53"/>
      <c r="E7" s="55">
        <f t="shared" si="0"/>
        <v>0</v>
      </c>
    </row>
    <row r="8" spans="1:5" ht="15.6">
      <c r="A8" s="22" t="s">
        <v>7</v>
      </c>
      <c r="B8" s="22" t="s">
        <v>3</v>
      </c>
      <c r="C8" s="53">
        <v>280</v>
      </c>
      <c r="D8" s="53">
        <v>11000</v>
      </c>
      <c r="E8" s="55">
        <f t="shared" si="0"/>
        <v>3080000</v>
      </c>
    </row>
    <row r="9" spans="1:5" ht="15.6">
      <c r="A9" s="22" t="s">
        <v>8</v>
      </c>
      <c r="B9" s="22" t="s">
        <v>3</v>
      </c>
      <c r="C9" s="53">
        <v>55</v>
      </c>
      <c r="D9" s="53">
        <v>15000</v>
      </c>
      <c r="E9" s="55">
        <f t="shared" si="0"/>
        <v>825000</v>
      </c>
    </row>
    <row r="10" spans="1:5" ht="15.6" hidden="1">
      <c r="A10" s="22" t="s">
        <v>8</v>
      </c>
      <c r="B10" s="22" t="s">
        <v>9</v>
      </c>
      <c r="C10" s="53">
        <v>0</v>
      </c>
      <c r="D10" s="53"/>
      <c r="E10" s="55">
        <f t="shared" si="0"/>
        <v>0</v>
      </c>
    </row>
    <row r="11" spans="1:5" ht="15.6">
      <c r="A11" s="22" t="s">
        <v>10</v>
      </c>
      <c r="B11" s="22" t="s">
        <v>3</v>
      </c>
      <c r="C11" s="53">
        <v>25</v>
      </c>
      <c r="D11" s="53">
        <v>13500</v>
      </c>
      <c r="E11" s="55">
        <f t="shared" si="0"/>
        <v>337500</v>
      </c>
    </row>
    <row r="12" spans="1:5" ht="15.6" hidden="1">
      <c r="A12" s="22" t="s">
        <v>10</v>
      </c>
      <c r="B12" s="22" t="s">
        <v>9</v>
      </c>
      <c r="C12" s="53">
        <v>0</v>
      </c>
      <c r="D12" s="53"/>
      <c r="E12" s="55">
        <f t="shared" si="0"/>
        <v>0</v>
      </c>
    </row>
    <row r="13" spans="1:5" ht="15.6" hidden="1">
      <c r="A13" s="22" t="s">
        <v>11</v>
      </c>
      <c r="B13" s="22" t="s">
        <v>3</v>
      </c>
      <c r="C13" s="53">
        <v>0</v>
      </c>
      <c r="D13" s="53"/>
      <c r="E13" s="55">
        <f t="shared" si="0"/>
        <v>0</v>
      </c>
    </row>
    <row r="14" spans="1:5" ht="15.6">
      <c r="A14" s="22" t="s">
        <v>12</v>
      </c>
      <c r="B14" s="22" t="s">
        <v>3</v>
      </c>
      <c r="C14" s="53">
        <v>3</v>
      </c>
      <c r="D14" s="53">
        <v>12000</v>
      </c>
      <c r="E14" s="55">
        <f t="shared" si="0"/>
        <v>36000</v>
      </c>
    </row>
    <row r="15" spans="1:5" ht="15.6" hidden="1">
      <c r="A15" s="22" t="s">
        <v>13</v>
      </c>
      <c r="B15" s="22" t="s">
        <v>3</v>
      </c>
      <c r="C15" s="53">
        <v>0</v>
      </c>
      <c r="D15" s="53"/>
      <c r="E15" s="55">
        <f t="shared" si="0"/>
        <v>0</v>
      </c>
    </row>
    <row r="16" spans="1:5" ht="15.6">
      <c r="A16" s="22" t="s">
        <v>14</v>
      </c>
      <c r="B16" s="22" t="s">
        <v>3</v>
      </c>
      <c r="C16" s="53">
        <v>160</v>
      </c>
      <c r="D16" s="53">
        <v>14000</v>
      </c>
      <c r="E16" s="55">
        <f t="shared" si="0"/>
        <v>2240000</v>
      </c>
    </row>
    <row r="17" spans="1:5" ht="15.6" hidden="1">
      <c r="A17" s="22" t="s">
        <v>15</v>
      </c>
      <c r="B17" s="22" t="s">
        <v>3</v>
      </c>
      <c r="C17" s="53">
        <v>0</v>
      </c>
      <c r="D17" s="53"/>
      <c r="E17" s="55">
        <f t="shared" si="0"/>
        <v>0</v>
      </c>
    </row>
    <row r="18" spans="1:5" ht="15.6" hidden="1">
      <c r="A18" s="22" t="s">
        <v>16</v>
      </c>
      <c r="B18" s="22" t="s">
        <v>17</v>
      </c>
      <c r="C18" s="53">
        <v>0</v>
      </c>
      <c r="D18" s="53"/>
      <c r="E18" s="55">
        <f t="shared" si="0"/>
        <v>0</v>
      </c>
    </row>
    <row r="19" spans="1:5" ht="15.6" hidden="1">
      <c r="A19" s="22" t="s">
        <v>145</v>
      </c>
      <c r="B19" s="22" t="s">
        <v>40</v>
      </c>
      <c r="C19" s="53">
        <v>0</v>
      </c>
      <c r="D19" s="53"/>
      <c r="E19" s="55">
        <f t="shared" si="0"/>
        <v>0</v>
      </c>
    </row>
    <row r="20" spans="1:5" ht="15.6" hidden="1">
      <c r="A20" s="22" t="s">
        <v>97</v>
      </c>
      <c r="B20" s="22" t="s">
        <v>3</v>
      </c>
      <c r="C20" s="53">
        <v>0</v>
      </c>
      <c r="D20" s="53"/>
      <c r="E20" s="55">
        <f t="shared" si="0"/>
        <v>0</v>
      </c>
    </row>
    <row r="21" spans="1:5" ht="15.6">
      <c r="A21" s="22" t="s">
        <v>18</v>
      </c>
      <c r="B21" s="22" t="s">
        <v>3</v>
      </c>
      <c r="C21" s="53">
        <v>155</v>
      </c>
      <c r="D21" s="53">
        <v>16000</v>
      </c>
      <c r="E21" s="55">
        <f t="shared" si="0"/>
        <v>2480000</v>
      </c>
    </row>
    <row r="22" spans="1:5" ht="15.6" hidden="1">
      <c r="A22" s="22" t="s">
        <v>18</v>
      </c>
      <c r="B22" s="22" t="s">
        <v>17</v>
      </c>
      <c r="C22" s="53">
        <v>0</v>
      </c>
      <c r="D22" s="53"/>
      <c r="E22" s="55">
        <f t="shared" si="0"/>
        <v>0</v>
      </c>
    </row>
    <row r="23" spans="1:5" ht="15.6" hidden="1">
      <c r="A23" s="22" t="s">
        <v>18</v>
      </c>
      <c r="B23" s="22" t="s">
        <v>19</v>
      </c>
      <c r="C23" s="53">
        <v>0</v>
      </c>
      <c r="D23" s="53"/>
      <c r="E23" s="55">
        <f t="shared" si="0"/>
        <v>0</v>
      </c>
    </row>
    <row r="24" spans="1:5" ht="15.6">
      <c r="A24" s="22" t="s">
        <v>20</v>
      </c>
      <c r="B24" s="22" t="s">
        <v>3</v>
      </c>
      <c r="C24" s="53">
        <v>15</v>
      </c>
      <c r="D24" s="53">
        <v>14000</v>
      </c>
      <c r="E24" s="55">
        <f t="shared" si="0"/>
        <v>210000</v>
      </c>
    </row>
    <row r="25" spans="1:5" ht="15.6">
      <c r="A25" s="22" t="s">
        <v>20</v>
      </c>
      <c r="B25" s="22" t="s">
        <v>21</v>
      </c>
      <c r="C25" s="53">
        <v>40</v>
      </c>
      <c r="D25" s="53">
        <v>8000</v>
      </c>
      <c r="E25" s="55">
        <f t="shared" si="0"/>
        <v>320000</v>
      </c>
    </row>
    <row r="26" spans="1:5" ht="15.6">
      <c r="A26" s="22" t="s">
        <v>22</v>
      </c>
      <c r="B26" s="22" t="s">
        <v>3</v>
      </c>
      <c r="C26" s="53">
        <v>14</v>
      </c>
      <c r="D26" s="53">
        <v>20000</v>
      </c>
      <c r="E26" s="55">
        <f t="shared" si="0"/>
        <v>280000</v>
      </c>
    </row>
    <row r="27" spans="1:5" ht="15.6">
      <c r="A27" s="22" t="s">
        <v>22</v>
      </c>
      <c r="B27" s="22" t="s">
        <v>23</v>
      </c>
      <c r="C27" s="53">
        <v>80</v>
      </c>
      <c r="D27" s="53">
        <v>6000</v>
      </c>
      <c r="E27" s="55">
        <f t="shared" si="0"/>
        <v>480000</v>
      </c>
    </row>
    <row r="28" spans="1:5" ht="15.6">
      <c r="A28" s="22" t="s">
        <v>24</v>
      </c>
      <c r="B28" s="22" t="s">
        <v>25</v>
      </c>
      <c r="C28" s="53">
        <v>15</v>
      </c>
      <c r="D28" s="53">
        <v>12000</v>
      </c>
      <c r="E28" s="55">
        <f t="shared" si="0"/>
        <v>180000</v>
      </c>
    </row>
    <row r="29" spans="1:5" ht="15.6" hidden="1">
      <c r="A29" s="22" t="s">
        <v>26</v>
      </c>
      <c r="B29" s="22" t="s">
        <v>3</v>
      </c>
      <c r="C29" s="53">
        <v>0</v>
      </c>
      <c r="D29" s="53"/>
      <c r="E29" s="55">
        <f t="shared" si="0"/>
        <v>0</v>
      </c>
    </row>
    <row r="30" spans="1:5" ht="15.6">
      <c r="A30" s="22" t="s">
        <v>26</v>
      </c>
      <c r="B30" s="22" t="s">
        <v>27</v>
      </c>
      <c r="C30" s="53">
        <v>150</v>
      </c>
      <c r="D30" s="53">
        <v>7500</v>
      </c>
      <c r="E30" s="55">
        <f t="shared" si="0"/>
        <v>1125000</v>
      </c>
    </row>
    <row r="31" spans="1:5" ht="15.6">
      <c r="A31" s="22" t="s">
        <v>28</v>
      </c>
      <c r="B31" s="22" t="s">
        <v>3</v>
      </c>
      <c r="C31" s="53">
        <v>250</v>
      </c>
      <c r="D31" s="53">
        <v>16000</v>
      </c>
      <c r="E31" s="55">
        <f t="shared" si="0"/>
        <v>4000000</v>
      </c>
    </row>
    <row r="32" spans="1:5" ht="15.6" hidden="1">
      <c r="A32" s="22" t="s">
        <v>28</v>
      </c>
      <c r="B32" s="22" t="s">
        <v>17</v>
      </c>
      <c r="C32" s="53">
        <v>0</v>
      </c>
      <c r="D32" s="53"/>
      <c r="E32" s="55">
        <f t="shared" si="0"/>
        <v>0</v>
      </c>
    </row>
    <row r="33" spans="1:5" ht="15.6">
      <c r="A33" s="22" t="s">
        <v>29</v>
      </c>
      <c r="B33" s="22" t="s">
        <v>30</v>
      </c>
      <c r="C33" s="53">
        <v>90</v>
      </c>
      <c r="D33" s="53">
        <v>11000</v>
      </c>
      <c r="E33" s="55">
        <f t="shared" si="0"/>
        <v>990000</v>
      </c>
    </row>
    <row r="34" spans="1:5" ht="15.6">
      <c r="A34" s="22" t="s">
        <v>31</v>
      </c>
      <c r="B34" s="22" t="s">
        <v>3</v>
      </c>
      <c r="C34" s="53">
        <v>326</v>
      </c>
      <c r="D34" s="53">
        <v>6000</v>
      </c>
      <c r="E34" s="55">
        <f t="shared" si="0"/>
        <v>1956000</v>
      </c>
    </row>
    <row r="35" spans="1:5" ht="15.6" hidden="1">
      <c r="A35" s="22" t="s">
        <v>31</v>
      </c>
      <c r="B35" s="22" t="s">
        <v>30</v>
      </c>
      <c r="C35" s="53">
        <v>0</v>
      </c>
      <c r="D35" s="53"/>
      <c r="E35" s="55">
        <f t="shared" si="0"/>
        <v>0</v>
      </c>
    </row>
    <row r="36" spans="1:5" ht="15.6">
      <c r="A36" s="22" t="s">
        <v>32</v>
      </c>
      <c r="B36" s="22" t="s">
        <v>17</v>
      </c>
      <c r="C36" s="53">
        <v>6</v>
      </c>
      <c r="D36" s="53">
        <v>6000</v>
      </c>
      <c r="E36" s="55">
        <f t="shared" si="0"/>
        <v>36000</v>
      </c>
    </row>
    <row r="37" spans="1:5" ht="15.6">
      <c r="A37" s="22" t="s">
        <v>33</v>
      </c>
      <c r="B37" s="22" t="s">
        <v>3</v>
      </c>
      <c r="C37" s="53">
        <v>55</v>
      </c>
      <c r="D37" s="53">
        <v>8000</v>
      </c>
      <c r="E37" s="55">
        <f t="shared" si="0"/>
        <v>440000</v>
      </c>
    </row>
    <row r="38" spans="1:5" ht="15.6" hidden="1">
      <c r="A38" s="22" t="s">
        <v>33</v>
      </c>
      <c r="B38" s="22" t="s">
        <v>34</v>
      </c>
      <c r="C38" s="53">
        <v>0</v>
      </c>
      <c r="D38" s="53"/>
      <c r="E38" s="55">
        <f t="shared" si="0"/>
        <v>0</v>
      </c>
    </row>
    <row r="39" spans="1:5" ht="15.6" hidden="1">
      <c r="A39" s="22" t="s">
        <v>35</v>
      </c>
      <c r="B39" s="22" t="s">
        <v>3</v>
      </c>
      <c r="C39" s="53">
        <v>0</v>
      </c>
      <c r="D39" s="53"/>
      <c r="E39" s="55">
        <f t="shared" si="0"/>
        <v>0</v>
      </c>
    </row>
    <row r="40" spans="1:5" ht="15.6" hidden="1">
      <c r="A40" s="22" t="s">
        <v>35</v>
      </c>
      <c r="B40" s="22" t="s">
        <v>30</v>
      </c>
      <c r="C40" s="53">
        <v>0</v>
      </c>
      <c r="D40" s="53"/>
      <c r="E40" s="55">
        <f t="shared" si="0"/>
        <v>0</v>
      </c>
    </row>
    <row r="41" spans="1:5" ht="15.6">
      <c r="A41" s="22" t="s">
        <v>36</v>
      </c>
      <c r="B41" s="22" t="s">
        <v>30</v>
      </c>
      <c r="C41" s="53">
        <v>10</v>
      </c>
      <c r="D41" s="53">
        <v>3000</v>
      </c>
      <c r="E41" s="55">
        <f t="shared" si="0"/>
        <v>30000</v>
      </c>
    </row>
    <row r="42" spans="1:5" ht="15.6">
      <c r="A42" s="22" t="s">
        <v>37</v>
      </c>
      <c r="B42" s="22" t="s">
        <v>30</v>
      </c>
      <c r="C42" s="53">
        <v>17</v>
      </c>
      <c r="D42" s="53">
        <v>3300</v>
      </c>
      <c r="E42" s="55">
        <f t="shared" si="0"/>
        <v>56100</v>
      </c>
    </row>
    <row r="43" spans="1:5" ht="15.6">
      <c r="A43" s="22" t="s">
        <v>38</v>
      </c>
      <c r="B43" s="22" t="s">
        <v>3</v>
      </c>
      <c r="C43" s="53">
        <v>870</v>
      </c>
      <c r="D43" s="53">
        <v>4500</v>
      </c>
      <c r="E43" s="55">
        <f t="shared" si="0"/>
        <v>3915000</v>
      </c>
    </row>
    <row r="44" spans="1:5" ht="15.6">
      <c r="A44" s="22" t="s">
        <v>99</v>
      </c>
      <c r="B44" s="22" t="s">
        <v>3</v>
      </c>
      <c r="C44" s="53">
        <v>230</v>
      </c>
      <c r="D44" s="53">
        <v>3000</v>
      </c>
      <c r="E44" s="55">
        <f t="shared" si="0"/>
        <v>690000</v>
      </c>
    </row>
    <row r="45" spans="1:5" ht="15.6">
      <c r="A45" s="22" t="s">
        <v>39</v>
      </c>
      <c r="B45" s="22" t="s">
        <v>3</v>
      </c>
      <c r="C45" s="53">
        <v>100</v>
      </c>
      <c r="D45" s="53">
        <v>10000</v>
      </c>
      <c r="E45" s="55">
        <f t="shared" si="0"/>
        <v>1000000</v>
      </c>
    </row>
    <row r="46" spans="1:5" ht="15.6" hidden="1">
      <c r="A46" s="22" t="s">
        <v>39</v>
      </c>
      <c r="B46" s="22" t="s">
        <v>40</v>
      </c>
      <c r="C46" s="53">
        <v>0</v>
      </c>
      <c r="D46" s="53"/>
      <c r="E46" s="55">
        <f t="shared" si="0"/>
        <v>0</v>
      </c>
    </row>
    <row r="47" spans="1:5" ht="15.6" hidden="1">
      <c r="A47" s="22" t="s">
        <v>100</v>
      </c>
      <c r="B47" s="22" t="s">
        <v>3</v>
      </c>
      <c r="C47" s="53">
        <v>0</v>
      </c>
      <c r="D47" s="53"/>
      <c r="E47" s="55">
        <f t="shared" si="0"/>
        <v>0</v>
      </c>
    </row>
    <row r="48" spans="1:5" ht="15.6" hidden="1">
      <c r="A48" s="22" t="s">
        <v>41</v>
      </c>
      <c r="B48" s="22" t="s">
        <v>3</v>
      </c>
      <c r="C48" s="53">
        <v>0</v>
      </c>
      <c r="D48" s="53"/>
      <c r="E48" s="55">
        <f t="shared" si="0"/>
        <v>0</v>
      </c>
    </row>
    <row r="49" spans="1:5" ht="15.6">
      <c r="A49" s="22" t="s">
        <v>42</v>
      </c>
      <c r="B49" s="22" t="s">
        <v>25</v>
      </c>
      <c r="C49" s="53">
        <v>4</v>
      </c>
      <c r="D49" s="53">
        <v>10000</v>
      </c>
      <c r="E49" s="55">
        <f t="shared" si="0"/>
        <v>40000</v>
      </c>
    </row>
    <row r="50" spans="1:5" ht="15.6" hidden="1">
      <c r="A50" s="22" t="s">
        <v>44</v>
      </c>
      <c r="B50" s="22" t="s">
        <v>3</v>
      </c>
      <c r="C50" s="53">
        <v>0</v>
      </c>
      <c r="D50" s="53"/>
      <c r="E50" s="55">
        <f t="shared" si="0"/>
        <v>0</v>
      </c>
    </row>
    <row r="51" spans="1:5" ht="15.6">
      <c r="A51" s="22" t="s">
        <v>45</v>
      </c>
      <c r="B51" s="22" t="s">
        <v>3</v>
      </c>
      <c r="C51" s="53">
        <v>60</v>
      </c>
      <c r="D51" s="53">
        <v>9000</v>
      </c>
      <c r="E51" s="55">
        <f t="shared" si="0"/>
        <v>540000</v>
      </c>
    </row>
    <row r="52" spans="1:5" ht="15.6" hidden="1">
      <c r="A52" s="22" t="s">
        <v>45</v>
      </c>
      <c r="B52" s="22" t="s">
        <v>30</v>
      </c>
      <c r="C52" s="53">
        <v>0</v>
      </c>
      <c r="D52" s="53"/>
      <c r="E52" s="55">
        <f t="shared" si="0"/>
        <v>0</v>
      </c>
    </row>
    <row r="53" spans="1:5" ht="15.6">
      <c r="A53" s="22" t="s">
        <v>46</v>
      </c>
      <c r="B53" s="22" t="s">
        <v>3</v>
      </c>
      <c r="C53" s="53">
        <v>15</v>
      </c>
      <c r="D53" s="53">
        <v>19000</v>
      </c>
      <c r="E53" s="55">
        <f t="shared" si="0"/>
        <v>285000</v>
      </c>
    </row>
    <row r="54" spans="1:5" ht="15.6">
      <c r="A54" s="22" t="s">
        <v>47</v>
      </c>
      <c r="B54" s="22" t="s">
        <v>3</v>
      </c>
      <c r="C54" s="53">
        <v>360</v>
      </c>
      <c r="D54" s="53">
        <v>7000</v>
      </c>
      <c r="E54" s="55">
        <f t="shared" si="0"/>
        <v>2520000</v>
      </c>
    </row>
    <row r="55" spans="1:5" ht="15.6" hidden="1">
      <c r="A55" s="22" t="s">
        <v>47</v>
      </c>
      <c r="B55" s="22" t="s">
        <v>48</v>
      </c>
      <c r="C55" s="53">
        <v>0</v>
      </c>
      <c r="D55" s="53"/>
      <c r="E55" s="55">
        <f t="shared" si="0"/>
        <v>0</v>
      </c>
    </row>
    <row r="56" spans="1:5" ht="15.6">
      <c r="A56" s="22" t="s">
        <v>134</v>
      </c>
      <c r="B56" s="22" t="s">
        <v>3</v>
      </c>
      <c r="C56" s="53">
        <v>12</v>
      </c>
      <c r="D56" s="53">
        <v>20000</v>
      </c>
      <c r="E56" s="55">
        <f t="shared" si="0"/>
        <v>240000</v>
      </c>
    </row>
    <row r="57" spans="1:5" ht="15.6">
      <c r="A57" s="22" t="s">
        <v>49</v>
      </c>
      <c r="B57" s="22" t="s">
        <v>30</v>
      </c>
      <c r="C57" s="53">
        <v>183</v>
      </c>
      <c r="D57" s="53">
        <v>1800</v>
      </c>
      <c r="E57" s="55">
        <f t="shared" si="0"/>
        <v>329400</v>
      </c>
    </row>
    <row r="58" spans="1:5" ht="15.6">
      <c r="A58" s="22" t="s">
        <v>50</v>
      </c>
      <c r="B58" s="22" t="s">
        <v>3</v>
      </c>
      <c r="C58" s="53">
        <v>1755</v>
      </c>
      <c r="D58" s="53">
        <v>25000</v>
      </c>
      <c r="E58" s="55">
        <f t="shared" si="0"/>
        <v>43875000</v>
      </c>
    </row>
    <row r="59" spans="1:5" ht="15.6">
      <c r="A59" s="22" t="s">
        <v>51</v>
      </c>
      <c r="B59" s="22" t="s">
        <v>3</v>
      </c>
      <c r="C59" s="53">
        <v>280</v>
      </c>
      <c r="D59" s="53">
        <v>25000</v>
      </c>
      <c r="E59" s="55">
        <f t="shared" si="0"/>
        <v>7000000</v>
      </c>
    </row>
    <row r="60" spans="1:5" ht="15.6" hidden="1">
      <c r="A60" s="22" t="s">
        <v>51</v>
      </c>
      <c r="B60" s="22" t="s">
        <v>30</v>
      </c>
      <c r="C60" s="53">
        <v>0</v>
      </c>
      <c r="D60" s="53"/>
      <c r="E60" s="55">
        <f t="shared" si="0"/>
        <v>0</v>
      </c>
    </row>
    <row r="61" spans="1:5" ht="15.6">
      <c r="A61" s="22" t="s">
        <v>53</v>
      </c>
      <c r="B61" s="22" t="s">
        <v>3</v>
      </c>
      <c r="C61" s="53">
        <v>340</v>
      </c>
      <c r="D61" s="53">
        <v>16000</v>
      </c>
      <c r="E61" s="55">
        <f t="shared" si="0"/>
        <v>5440000</v>
      </c>
    </row>
    <row r="62" spans="1:5" ht="15.6">
      <c r="A62" s="22" t="s">
        <v>54</v>
      </c>
      <c r="B62" s="22" t="s">
        <v>3</v>
      </c>
      <c r="C62" s="53">
        <v>46</v>
      </c>
      <c r="D62" s="53">
        <v>25000</v>
      </c>
      <c r="E62" s="55">
        <f t="shared" si="0"/>
        <v>1150000</v>
      </c>
    </row>
    <row r="63" spans="1:5" ht="15.6" hidden="1">
      <c r="A63" s="22" t="s">
        <v>55</v>
      </c>
      <c r="B63" s="22" t="s">
        <v>3</v>
      </c>
      <c r="C63" s="53">
        <v>0</v>
      </c>
      <c r="D63" s="53"/>
      <c r="E63" s="55">
        <f t="shared" si="0"/>
        <v>0</v>
      </c>
    </row>
    <row r="64" spans="1:5" ht="15.6" hidden="1">
      <c r="A64" s="22" t="s">
        <v>108</v>
      </c>
      <c r="B64" s="22" t="s">
        <v>30</v>
      </c>
      <c r="C64" s="53">
        <v>0</v>
      </c>
      <c r="D64" s="53"/>
      <c r="E64" s="55">
        <f t="shared" si="0"/>
        <v>0</v>
      </c>
    </row>
    <row r="65" spans="1:5" ht="15.6">
      <c r="A65" s="22" t="s">
        <v>56</v>
      </c>
      <c r="B65" s="22" t="s">
        <v>3</v>
      </c>
      <c r="C65" s="53">
        <v>1250</v>
      </c>
      <c r="D65" s="53">
        <v>10800</v>
      </c>
      <c r="E65" s="55">
        <f t="shared" si="0"/>
        <v>13500000</v>
      </c>
    </row>
    <row r="66" spans="1:5" ht="15.6" hidden="1">
      <c r="A66" s="22" t="s">
        <v>56</v>
      </c>
      <c r="B66" s="22" t="s">
        <v>30</v>
      </c>
      <c r="C66" s="53">
        <v>0</v>
      </c>
      <c r="D66" s="53"/>
      <c r="E66" s="55">
        <f t="shared" si="0"/>
        <v>0</v>
      </c>
    </row>
    <row r="67" spans="1:5" ht="15.6" hidden="1">
      <c r="A67" s="22" t="s">
        <v>57</v>
      </c>
      <c r="B67" s="22" t="s">
        <v>30</v>
      </c>
      <c r="C67" s="53">
        <v>0</v>
      </c>
      <c r="D67" s="53"/>
      <c r="E67" s="55">
        <f t="shared" si="0"/>
        <v>0</v>
      </c>
    </row>
    <row r="68" spans="1:5" ht="15.6" hidden="1">
      <c r="A68" s="22" t="s">
        <v>58</v>
      </c>
      <c r="B68" s="22" t="s">
        <v>3</v>
      </c>
      <c r="C68" s="53">
        <v>0</v>
      </c>
      <c r="D68" s="53"/>
      <c r="E68" s="55">
        <f t="shared" ref="E68:E112" si="1">C68*D68</f>
        <v>0</v>
      </c>
    </row>
    <row r="69" spans="1:5" ht="15.6">
      <c r="A69" s="22" t="s">
        <v>59</v>
      </c>
      <c r="B69" s="22" t="s">
        <v>30</v>
      </c>
      <c r="C69" s="53">
        <v>18</v>
      </c>
      <c r="D69" s="53">
        <v>6000</v>
      </c>
      <c r="E69" s="55">
        <f t="shared" si="1"/>
        <v>108000</v>
      </c>
    </row>
    <row r="70" spans="1:5" ht="15.6" hidden="1">
      <c r="A70" s="22" t="s">
        <v>60</v>
      </c>
      <c r="B70" s="22" t="s">
        <v>3</v>
      </c>
      <c r="C70" s="53">
        <v>0</v>
      </c>
      <c r="D70" s="53"/>
      <c r="E70" s="55">
        <f t="shared" si="1"/>
        <v>0</v>
      </c>
    </row>
    <row r="71" spans="1:5" ht="15.6" hidden="1">
      <c r="A71" s="22" t="s">
        <v>60</v>
      </c>
      <c r="B71" s="22" t="s">
        <v>30</v>
      </c>
      <c r="C71" s="53">
        <v>0</v>
      </c>
      <c r="D71" s="53"/>
      <c r="E71" s="55">
        <f t="shared" si="1"/>
        <v>0</v>
      </c>
    </row>
    <row r="72" spans="1:5" ht="15.6">
      <c r="A72" s="22" t="s">
        <v>60</v>
      </c>
      <c r="B72" s="22" t="s">
        <v>61</v>
      </c>
      <c r="C72" s="53">
        <v>34</v>
      </c>
      <c r="D72" s="53">
        <v>8500</v>
      </c>
      <c r="E72" s="55">
        <f t="shared" si="1"/>
        <v>289000</v>
      </c>
    </row>
    <row r="73" spans="1:5" ht="15.6" hidden="1">
      <c r="A73" s="22" t="s">
        <v>62</v>
      </c>
      <c r="B73" s="22" t="s">
        <v>3</v>
      </c>
      <c r="C73" s="53">
        <v>0</v>
      </c>
      <c r="D73" s="53"/>
      <c r="E73" s="55">
        <f t="shared" si="1"/>
        <v>0</v>
      </c>
    </row>
    <row r="74" spans="1:5" ht="15.6" hidden="1">
      <c r="A74" s="22" t="s">
        <v>63</v>
      </c>
      <c r="B74" s="22" t="s">
        <v>3</v>
      </c>
      <c r="C74" s="53">
        <v>0</v>
      </c>
      <c r="D74" s="53"/>
      <c r="E74" s="55">
        <f t="shared" si="1"/>
        <v>0</v>
      </c>
    </row>
    <row r="75" spans="1:5" ht="15.6" hidden="1">
      <c r="A75" s="22" t="s">
        <v>64</v>
      </c>
      <c r="B75" s="22" t="s">
        <v>3</v>
      </c>
      <c r="C75" s="53">
        <v>0</v>
      </c>
      <c r="D75" s="53"/>
      <c r="E75" s="55">
        <f t="shared" si="1"/>
        <v>0</v>
      </c>
    </row>
    <row r="76" spans="1:5" ht="15.6" hidden="1">
      <c r="A76" s="22" t="s">
        <v>65</v>
      </c>
      <c r="B76" s="22" t="s">
        <v>3</v>
      </c>
      <c r="C76" s="53">
        <v>0</v>
      </c>
      <c r="D76" s="53"/>
      <c r="E76" s="55">
        <f t="shared" si="1"/>
        <v>0</v>
      </c>
    </row>
    <row r="77" spans="1:5" ht="15.6">
      <c r="A77" s="22" t="s">
        <v>65</v>
      </c>
      <c r="B77" s="22" t="s">
        <v>17</v>
      </c>
      <c r="C77" s="53">
        <v>436</v>
      </c>
      <c r="D77" s="53">
        <v>8500</v>
      </c>
      <c r="E77" s="55">
        <f t="shared" si="1"/>
        <v>3706000</v>
      </c>
    </row>
    <row r="78" spans="1:5" ht="15.6">
      <c r="A78" s="22" t="s">
        <v>66</v>
      </c>
      <c r="B78" s="22" t="s">
        <v>3</v>
      </c>
      <c r="C78" s="53">
        <v>3</v>
      </c>
      <c r="D78" s="53">
        <v>16000</v>
      </c>
      <c r="E78" s="55">
        <f t="shared" si="1"/>
        <v>48000</v>
      </c>
    </row>
    <row r="79" spans="1:5" ht="15.6">
      <c r="A79" s="22" t="s">
        <v>67</v>
      </c>
      <c r="B79" s="22" t="s">
        <v>3</v>
      </c>
      <c r="C79" s="53">
        <v>5</v>
      </c>
      <c r="D79" s="53">
        <v>10000</v>
      </c>
      <c r="E79" s="55">
        <f t="shared" si="1"/>
        <v>50000</v>
      </c>
    </row>
    <row r="80" spans="1:5" ht="15.6" hidden="1">
      <c r="A80" s="22" t="s">
        <v>68</v>
      </c>
      <c r="B80" s="22" t="s">
        <v>3</v>
      </c>
      <c r="C80" s="53">
        <v>0</v>
      </c>
      <c r="D80" s="53"/>
      <c r="E80" s="55">
        <f t="shared" si="1"/>
        <v>0</v>
      </c>
    </row>
    <row r="81" spans="1:5" ht="15.6" hidden="1">
      <c r="A81" s="22" t="s">
        <v>68</v>
      </c>
      <c r="B81" s="22" t="s">
        <v>40</v>
      </c>
      <c r="C81" s="53">
        <v>0</v>
      </c>
      <c r="D81" s="53"/>
      <c r="E81" s="55">
        <f t="shared" si="1"/>
        <v>0</v>
      </c>
    </row>
    <row r="82" spans="1:5" ht="15.6" hidden="1">
      <c r="A82" s="22" t="s">
        <v>69</v>
      </c>
      <c r="B82" s="22" t="s">
        <v>3</v>
      </c>
      <c r="C82" s="53">
        <v>0</v>
      </c>
      <c r="D82" s="53"/>
      <c r="E82" s="55">
        <f t="shared" si="1"/>
        <v>0</v>
      </c>
    </row>
    <row r="83" spans="1:5" ht="15.6" hidden="1">
      <c r="A83" s="22" t="s">
        <v>70</v>
      </c>
      <c r="B83" s="22" t="s">
        <v>30</v>
      </c>
      <c r="C83" s="53">
        <v>0</v>
      </c>
      <c r="D83" s="53"/>
      <c r="E83" s="55">
        <f t="shared" si="1"/>
        <v>0</v>
      </c>
    </row>
    <row r="84" spans="1:5" ht="15.6">
      <c r="A84" s="22" t="s">
        <v>71</v>
      </c>
      <c r="B84" s="22" t="s">
        <v>3</v>
      </c>
      <c r="C84" s="53">
        <v>5</v>
      </c>
      <c r="D84" s="53">
        <v>14000</v>
      </c>
      <c r="E84" s="55">
        <f t="shared" si="1"/>
        <v>70000</v>
      </c>
    </row>
    <row r="85" spans="1:5" ht="15.6">
      <c r="A85" s="22" t="s">
        <v>160</v>
      </c>
      <c r="B85" s="22" t="s">
        <v>3</v>
      </c>
      <c r="C85" s="53">
        <v>120</v>
      </c>
      <c r="D85" s="53">
        <v>50000</v>
      </c>
      <c r="E85" s="55">
        <f t="shared" si="1"/>
        <v>6000000</v>
      </c>
    </row>
    <row r="86" spans="1:5" ht="15.6" hidden="1">
      <c r="A86" s="22" t="s">
        <v>72</v>
      </c>
      <c r="B86" s="22" t="s">
        <v>17</v>
      </c>
      <c r="C86" s="53">
        <v>0</v>
      </c>
      <c r="D86" s="53"/>
      <c r="E86" s="55">
        <f t="shared" si="1"/>
        <v>0</v>
      </c>
    </row>
    <row r="87" spans="1:5" ht="15.6" hidden="1">
      <c r="A87" s="22" t="s">
        <v>73</v>
      </c>
      <c r="B87" s="22" t="s">
        <v>25</v>
      </c>
      <c r="C87" s="53">
        <v>0</v>
      </c>
      <c r="D87" s="53"/>
      <c r="E87" s="55">
        <f t="shared" si="1"/>
        <v>0</v>
      </c>
    </row>
    <row r="88" spans="1:5" ht="15.6">
      <c r="A88" s="22" t="s">
        <v>73</v>
      </c>
      <c r="B88" s="22" t="s">
        <v>3</v>
      </c>
      <c r="C88" s="53">
        <v>5</v>
      </c>
      <c r="D88" s="53">
        <v>28000</v>
      </c>
      <c r="E88" s="55">
        <f t="shared" si="1"/>
        <v>140000</v>
      </c>
    </row>
    <row r="89" spans="1:5" ht="15.6">
      <c r="A89" s="22" t="s">
        <v>74</v>
      </c>
      <c r="B89" s="22" t="s">
        <v>3</v>
      </c>
      <c r="C89" s="53">
        <v>60</v>
      </c>
      <c r="D89" s="53">
        <v>26000</v>
      </c>
      <c r="E89" s="55">
        <f t="shared" si="1"/>
        <v>1560000</v>
      </c>
    </row>
    <row r="90" spans="1:5" ht="15.6" hidden="1">
      <c r="A90" s="22" t="s">
        <v>74</v>
      </c>
      <c r="B90" s="22" t="s">
        <v>9</v>
      </c>
      <c r="C90" s="53">
        <v>0</v>
      </c>
      <c r="D90" s="53"/>
      <c r="E90" s="55">
        <f t="shared" si="1"/>
        <v>0</v>
      </c>
    </row>
    <row r="91" spans="1:5" ht="15.6">
      <c r="A91" s="22" t="s">
        <v>75</v>
      </c>
      <c r="B91" s="22" t="s">
        <v>3</v>
      </c>
      <c r="C91" s="53">
        <v>28</v>
      </c>
      <c r="D91" s="53">
        <v>21000</v>
      </c>
      <c r="E91" s="55">
        <f t="shared" si="1"/>
        <v>588000</v>
      </c>
    </row>
    <row r="92" spans="1:5" ht="15.6">
      <c r="A92" s="22" t="s">
        <v>76</v>
      </c>
      <c r="B92" s="22" t="s">
        <v>3</v>
      </c>
      <c r="C92" s="53">
        <v>70</v>
      </c>
      <c r="D92" s="53">
        <v>26000</v>
      </c>
      <c r="E92" s="55">
        <f t="shared" si="1"/>
        <v>1820000</v>
      </c>
    </row>
    <row r="93" spans="1:5" ht="15.6" hidden="1">
      <c r="A93" s="22" t="s">
        <v>76</v>
      </c>
      <c r="B93" s="22" t="s">
        <v>9</v>
      </c>
      <c r="C93" s="53">
        <v>0</v>
      </c>
      <c r="D93" s="53"/>
      <c r="E93" s="55">
        <f t="shared" si="1"/>
        <v>0</v>
      </c>
    </row>
    <row r="94" spans="1:5" ht="15.6">
      <c r="A94" s="22" t="s">
        <v>77</v>
      </c>
      <c r="B94" s="22" t="s">
        <v>3</v>
      </c>
      <c r="C94" s="53">
        <v>28</v>
      </c>
      <c r="D94" s="53">
        <v>21000</v>
      </c>
      <c r="E94" s="55">
        <f t="shared" si="1"/>
        <v>588000</v>
      </c>
    </row>
    <row r="95" spans="1:5" ht="15.6">
      <c r="A95" s="22" t="s">
        <v>78</v>
      </c>
      <c r="B95" s="22" t="s">
        <v>3</v>
      </c>
      <c r="C95" s="53">
        <v>65</v>
      </c>
      <c r="D95" s="53">
        <v>30000</v>
      </c>
      <c r="E95" s="55">
        <f t="shared" si="1"/>
        <v>1950000</v>
      </c>
    </row>
    <row r="96" spans="1:5" ht="15.6" hidden="1">
      <c r="A96" s="22" t="s">
        <v>78</v>
      </c>
      <c r="B96" s="22" t="s">
        <v>9</v>
      </c>
      <c r="C96" s="53">
        <v>0</v>
      </c>
      <c r="D96" s="53"/>
      <c r="E96" s="55">
        <f t="shared" si="1"/>
        <v>0</v>
      </c>
    </row>
    <row r="97" spans="1:5" ht="15.6">
      <c r="A97" s="22" t="s">
        <v>173</v>
      </c>
      <c r="B97" s="22" t="s">
        <v>3</v>
      </c>
      <c r="C97" s="53">
        <v>28</v>
      </c>
      <c r="D97" s="53">
        <v>25000</v>
      </c>
      <c r="E97" s="55">
        <f t="shared" si="1"/>
        <v>700000</v>
      </c>
    </row>
    <row r="98" spans="1:5" ht="15.6">
      <c r="A98" s="22" t="s">
        <v>79</v>
      </c>
      <c r="B98" s="22" t="s">
        <v>30</v>
      </c>
      <c r="C98" s="53">
        <v>5</v>
      </c>
      <c r="D98" s="53">
        <v>17000</v>
      </c>
      <c r="E98" s="55">
        <f t="shared" si="1"/>
        <v>85000</v>
      </c>
    </row>
    <row r="99" spans="1:5" ht="15.6">
      <c r="A99" s="22" t="s">
        <v>80</v>
      </c>
      <c r="B99" s="22" t="s">
        <v>30</v>
      </c>
      <c r="C99" s="53">
        <v>20</v>
      </c>
      <c r="D99" s="53">
        <v>10000</v>
      </c>
      <c r="E99" s="55">
        <f t="shared" si="1"/>
        <v>200000</v>
      </c>
    </row>
    <row r="100" spans="1:5" ht="15.6">
      <c r="A100" s="22" t="s">
        <v>81</v>
      </c>
      <c r="B100" s="22" t="s">
        <v>9</v>
      </c>
      <c r="C100" s="53">
        <v>2095</v>
      </c>
      <c r="D100" s="53">
        <v>9000</v>
      </c>
      <c r="E100" s="55">
        <f t="shared" si="1"/>
        <v>18855000</v>
      </c>
    </row>
    <row r="101" spans="1:5" ht="15.6">
      <c r="A101" s="22" t="s">
        <v>82</v>
      </c>
      <c r="B101" s="22" t="s">
        <v>9</v>
      </c>
      <c r="C101" s="53">
        <v>353</v>
      </c>
      <c r="D101" s="53">
        <v>11361</v>
      </c>
      <c r="E101" s="55">
        <f t="shared" si="1"/>
        <v>4010433</v>
      </c>
    </row>
    <row r="102" spans="1:5" ht="15.6" hidden="1">
      <c r="A102" s="22" t="s">
        <v>84</v>
      </c>
      <c r="B102" s="22" t="s">
        <v>3</v>
      </c>
      <c r="C102" s="53">
        <v>0</v>
      </c>
      <c r="D102" s="53"/>
      <c r="E102" s="55">
        <f t="shared" si="1"/>
        <v>0</v>
      </c>
    </row>
    <row r="103" spans="1:5" ht="15.6">
      <c r="A103" s="22" t="s">
        <v>85</v>
      </c>
      <c r="B103" s="22" t="s">
        <v>3</v>
      </c>
      <c r="C103" s="53">
        <v>6</v>
      </c>
      <c r="D103" s="53">
        <v>13000</v>
      </c>
      <c r="E103" s="55">
        <f t="shared" si="1"/>
        <v>78000</v>
      </c>
    </row>
    <row r="104" spans="1:5" ht="15.6">
      <c r="A104" s="22" t="s">
        <v>87</v>
      </c>
      <c r="B104" s="22" t="s">
        <v>3</v>
      </c>
      <c r="C104" s="53">
        <v>80</v>
      </c>
      <c r="D104" s="53">
        <v>3500</v>
      </c>
      <c r="E104" s="55">
        <f t="shared" si="1"/>
        <v>280000</v>
      </c>
    </row>
    <row r="105" spans="1:5" ht="15.6" hidden="1">
      <c r="A105" s="22" t="s">
        <v>88</v>
      </c>
      <c r="B105" s="22" t="s">
        <v>3</v>
      </c>
      <c r="C105" s="53">
        <v>0</v>
      </c>
      <c r="D105" s="53"/>
      <c r="E105" s="55">
        <f t="shared" si="1"/>
        <v>0</v>
      </c>
    </row>
    <row r="106" spans="1:5" ht="15.6" hidden="1">
      <c r="A106" s="22" t="s">
        <v>89</v>
      </c>
      <c r="B106" s="22" t="s">
        <v>3</v>
      </c>
      <c r="C106" s="53">
        <v>0</v>
      </c>
      <c r="D106" s="53"/>
      <c r="E106" s="55">
        <f t="shared" si="1"/>
        <v>0</v>
      </c>
    </row>
    <row r="107" spans="1:5" ht="15.6" hidden="1">
      <c r="A107" s="22" t="s">
        <v>90</v>
      </c>
      <c r="B107" s="22" t="s">
        <v>40</v>
      </c>
      <c r="C107" s="53">
        <v>0</v>
      </c>
      <c r="D107" s="53"/>
      <c r="E107" s="55">
        <f t="shared" si="1"/>
        <v>0</v>
      </c>
    </row>
    <row r="108" spans="1:5" ht="15.6" hidden="1">
      <c r="A108" s="22" t="s">
        <v>91</v>
      </c>
      <c r="B108" s="22" t="s">
        <v>3</v>
      </c>
      <c r="C108" s="53">
        <v>0</v>
      </c>
      <c r="D108" s="53"/>
      <c r="E108" s="55">
        <f t="shared" si="1"/>
        <v>0</v>
      </c>
    </row>
    <row r="109" spans="1:5" ht="15.6" hidden="1">
      <c r="A109" s="22" t="s">
        <v>92</v>
      </c>
      <c r="B109" s="22" t="s">
        <v>40</v>
      </c>
      <c r="C109" s="53">
        <v>0</v>
      </c>
      <c r="D109" s="53"/>
      <c r="E109" s="55">
        <f t="shared" si="1"/>
        <v>0</v>
      </c>
    </row>
    <row r="110" spans="1:5" ht="15.6" hidden="1">
      <c r="A110" s="22" t="s">
        <v>93</v>
      </c>
      <c r="B110" s="22" t="s">
        <v>3</v>
      </c>
      <c r="C110" s="53">
        <v>0</v>
      </c>
      <c r="D110" s="53"/>
      <c r="E110" s="55">
        <f t="shared" si="1"/>
        <v>0</v>
      </c>
    </row>
    <row r="111" spans="1:5" ht="15.6" hidden="1">
      <c r="A111" s="22" t="s">
        <v>94</v>
      </c>
      <c r="B111" s="22" t="s">
        <v>3</v>
      </c>
      <c r="C111" s="53">
        <v>0</v>
      </c>
      <c r="D111" s="53"/>
      <c r="E111" s="55">
        <f t="shared" si="1"/>
        <v>0</v>
      </c>
    </row>
    <row r="112" spans="1:5" ht="15.6">
      <c r="A112" s="22" t="s">
        <v>95</v>
      </c>
      <c r="B112" s="22" t="s">
        <v>40</v>
      </c>
      <c r="C112" s="53">
        <v>130</v>
      </c>
      <c r="D112" s="53">
        <v>7500</v>
      </c>
      <c r="E112" s="55">
        <f t="shared" si="1"/>
        <v>975000</v>
      </c>
    </row>
    <row r="113" spans="5:5">
      <c r="E113" s="51">
        <f>SUM(E3:E112)</f>
        <v>148711933</v>
      </c>
    </row>
  </sheetData>
  <autoFilter ref="A2:E112">
    <filterColumn colId="2">
      <filters>
        <filter val="1,250"/>
        <filter val="1,304"/>
        <filter val="1,755"/>
        <filter val="10"/>
        <filter val="100"/>
        <filter val="12"/>
        <filter val="120"/>
        <filter val="130"/>
        <filter val="14"/>
        <filter val="15"/>
        <filter val="150"/>
        <filter val="155"/>
        <filter val="160"/>
        <filter val="17"/>
        <filter val="18"/>
        <filter val="183"/>
        <filter val="2,095"/>
        <filter val="20"/>
        <filter val="23"/>
        <filter val="230"/>
        <filter val="25"/>
        <filter val="250"/>
        <filter val="28"/>
        <filter val="280"/>
        <filter val="3"/>
        <filter val="326"/>
        <filter val="34"/>
        <filter val="340"/>
        <filter val="353"/>
        <filter val="360"/>
        <filter val="365"/>
        <filter val="4"/>
        <filter val="40"/>
        <filter val="436"/>
        <filter val="46"/>
        <filter val="5"/>
        <filter val="55"/>
        <filter val="6"/>
        <filter val="60"/>
        <filter val="65"/>
        <filter val="70"/>
        <filter val="80"/>
        <filter val="870"/>
        <filter val="90"/>
      </filters>
    </filterColumn>
  </autoFilter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125"/>
  <sheetViews>
    <sheetView workbookViewId="0">
      <selection activeCell="E126" sqref="E126"/>
    </sheetView>
  </sheetViews>
  <sheetFormatPr defaultRowHeight="13.8"/>
  <cols>
    <col min="1" max="1" width="29" customWidth="1"/>
    <col min="3" max="3" width="10.69921875" customWidth="1"/>
    <col min="4" max="4" width="11.59765625" customWidth="1"/>
    <col min="5" max="5" width="19.59765625" customWidth="1"/>
  </cols>
  <sheetData>
    <row r="1" spans="1:5">
      <c r="A1" t="s">
        <v>189</v>
      </c>
    </row>
    <row r="2" spans="1:5" ht="40.799999999999997" customHeight="1">
      <c r="A2" s="52" t="s">
        <v>106</v>
      </c>
      <c r="B2" s="52" t="s">
        <v>0</v>
      </c>
      <c r="C2" s="53" t="s">
        <v>111</v>
      </c>
      <c r="D2" s="54" t="s">
        <v>112</v>
      </c>
      <c r="E2" s="60" t="s">
        <v>113</v>
      </c>
    </row>
    <row r="3" spans="1:5" ht="15.6">
      <c r="A3" s="22" t="s">
        <v>2</v>
      </c>
      <c r="B3" s="22" t="s">
        <v>3</v>
      </c>
      <c r="C3" s="53">
        <v>20</v>
      </c>
      <c r="D3" s="55">
        <v>18000</v>
      </c>
      <c r="E3" s="47">
        <f>C3*D3</f>
        <v>360000</v>
      </c>
    </row>
    <row r="4" spans="1:5" ht="15.6">
      <c r="A4" s="22" t="s">
        <v>4</v>
      </c>
      <c r="B4" s="22" t="s">
        <v>3</v>
      </c>
      <c r="C4" s="53">
        <v>440</v>
      </c>
      <c r="D4" s="55">
        <v>5500</v>
      </c>
      <c r="E4" s="47">
        <f t="shared" ref="E4:E67" si="0">C4*D4</f>
        <v>2420000</v>
      </c>
    </row>
    <row r="5" spans="1:5" ht="15.6">
      <c r="A5" s="22" t="s">
        <v>5</v>
      </c>
      <c r="B5" s="22" t="s">
        <v>3</v>
      </c>
      <c r="C5" s="53">
        <v>750</v>
      </c>
      <c r="D5" s="55">
        <v>3500</v>
      </c>
      <c r="E5" s="47">
        <f t="shared" si="0"/>
        <v>2625000</v>
      </c>
    </row>
    <row r="6" spans="1:5" ht="15.6" hidden="1">
      <c r="A6" s="22" t="s">
        <v>96</v>
      </c>
      <c r="B6" s="22" t="s">
        <v>3</v>
      </c>
      <c r="C6" s="53">
        <v>0</v>
      </c>
      <c r="D6" s="55"/>
      <c r="E6" s="47">
        <f t="shared" si="0"/>
        <v>0</v>
      </c>
    </row>
    <row r="7" spans="1:5" ht="15.6" hidden="1">
      <c r="A7" s="22" t="s">
        <v>6</v>
      </c>
      <c r="B7" s="22" t="s">
        <v>3</v>
      </c>
      <c r="C7" s="53">
        <v>0</v>
      </c>
      <c r="D7" s="55"/>
      <c r="E7" s="47">
        <f t="shared" si="0"/>
        <v>0</v>
      </c>
    </row>
    <row r="8" spans="1:5" ht="15.6">
      <c r="A8" s="22" t="s">
        <v>7</v>
      </c>
      <c r="B8" s="22" t="s">
        <v>3</v>
      </c>
      <c r="C8" s="53">
        <v>240</v>
      </c>
      <c r="D8" s="55">
        <v>10500</v>
      </c>
      <c r="E8" s="47">
        <f t="shared" si="0"/>
        <v>2520000</v>
      </c>
    </row>
    <row r="9" spans="1:5" ht="15.6" hidden="1">
      <c r="A9" s="22" t="s">
        <v>116</v>
      </c>
      <c r="B9" s="22" t="s">
        <v>3</v>
      </c>
      <c r="C9" s="53">
        <v>0</v>
      </c>
      <c r="D9" s="55"/>
      <c r="E9" s="47">
        <f t="shared" si="0"/>
        <v>0</v>
      </c>
    </row>
    <row r="10" spans="1:5" ht="15.6">
      <c r="A10" s="22" t="s">
        <v>8</v>
      </c>
      <c r="B10" s="22" t="s">
        <v>3</v>
      </c>
      <c r="C10" s="53">
        <v>115</v>
      </c>
      <c r="D10" s="55">
        <v>13000</v>
      </c>
      <c r="E10" s="47">
        <f t="shared" si="0"/>
        <v>1495000</v>
      </c>
    </row>
    <row r="11" spans="1:5" ht="15.6" hidden="1">
      <c r="A11" s="22" t="s">
        <v>8</v>
      </c>
      <c r="B11" s="22" t="s">
        <v>9</v>
      </c>
      <c r="C11" s="53">
        <v>0</v>
      </c>
      <c r="D11" s="55"/>
      <c r="E11" s="47">
        <f t="shared" si="0"/>
        <v>0</v>
      </c>
    </row>
    <row r="12" spans="1:5" ht="15.6">
      <c r="A12" s="22" t="s">
        <v>10</v>
      </c>
      <c r="B12" s="22" t="s">
        <v>3</v>
      </c>
      <c r="C12" s="53">
        <v>24</v>
      </c>
      <c r="D12" s="55">
        <v>13500</v>
      </c>
      <c r="E12" s="47">
        <f t="shared" si="0"/>
        <v>324000</v>
      </c>
    </row>
    <row r="13" spans="1:5" ht="15.6" hidden="1">
      <c r="A13" s="22" t="s">
        <v>10</v>
      </c>
      <c r="B13" s="22" t="s">
        <v>9</v>
      </c>
      <c r="C13" s="53">
        <v>0</v>
      </c>
      <c r="D13" s="55"/>
      <c r="E13" s="47">
        <f t="shared" si="0"/>
        <v>0</v>
      </c>
    </row>
    <row r="14" spans="1:5" ht="15.6" hidden="1">
      <c r="A14" s="22" t="s">
        <v>11</v>
      </c>
      <c r="B14" s="22" t="s">
        <v>3</v>
      </c>
      <c r="C14" s="53">
        <v>0</v>
      </c>
      <c r="D14" s="55"/>
      <c r="E14" s="47">
        <f t="shared" si="0"/>
        <v>0</v>
      </c>
    </row>
    <row r="15" spans="1:5" ht="15.6" hidden="1">
      <c r="A15" s="22" t="s">
        <v>12</v>
      </c>
      <c r="B15" s="22" t="s">
        <v>3</v>
      </c>
      <c r="C15" s="53">
        <v>0</v>
      </c>
      <c r="D15" s="55"/>
      <c r="E15" s="47">
        <f t="shared" si="0"/>
        <v>0</v>
      </c>
    </row>
    <row r="16" spans="1:5" ht="15.6" hidden="1">
      <c r="A16" s="22" t="s">
        <v>13</v>
      </c>
      <c r="B16" s="22" t="s">
        <v>3</v>
      </c>
      <c r="C16" s="53">
        <v>0</v>
      </c>
      <c r="D16" s="55"/>
      <c r="E16" s="47">
        <f t="shared" si="0"/>
        <v>0</v>
      </c>
    </row>
    <row r="17" spans="1:5" ht="15.6">
      <c r="A17" s="22" t="s">
        <v>14</v>
      </c>
      <c r="B17" s="22" t="s">
        <v>3</v>
      </c>
      <c r="C17" s="53">
        <v>10</v>
      </c>
      <c r="D17" s="55">
        <v>14000</v>
      </c>
      <c r="E17" s="47">
        <f t="shared" si="0"/>
        <v>140000</v>
      </c>
    </row>
    <row r="18" spans="1:5" ht="15.6" hidden="1">
      <c r="A18" s="22" t="s">
        <v>15</v>
      </c>
      <c r="B18" s="22" t="s">
        <v>3</v>
      </c>
      <c r="C18" s="53">
        <v>0</v>
      </c>
      <c r="D18" s="55"/>
      <c r="E18" s="47">
        <f t="shared" si="0"/>
        <v>0</v>
      </c>
    </row>
    <row r="19" spans="1:5" ht="15.6" hidden="1">
      <c r="A19" s="22" t="s">
        <v>16</v>
      </c>
      <c r="B19" s="22" t="s">
        <v>17</v>
      </c>
      <c r="C19" s="53">
        <v>0</v>
      </c>
      <c r="D19" s="55"/>
      <c r="E19" s="47">
        <f t="shared" si="0"/>
        <v>0</v>
      </c>
    </row>
    <row r="20" spans="1:5" ht="15.6" hidden="1">
      <c r="A20" s="22" t="s">
        <v>145</v>
      </c>
      <c r="B20" s="22" t="s">
        <v>40</v>
      </c>
      <c r="C20" s="53">
        <v>0</v>
      </c>
      <c r="D20" s="55"/>
      <c r="E20" s="47">
        <f t="shared" si="0"/>
        <v>0</v>
      </c>
    </row>
    <row r="21" spans="1:5" ht="15.6" hidden="1">
      <c r="A21" s="22" t="s">
        <v>97</v>
      </c>
      <c r="B21" s="22" t="s">
        <v>3</v>
      </c>
      <c r="C21" s="53">
        <v>0</v>
      </c>
      <c r="D21" s="55"/>
      <c r="E21" s="47">
        <f t="shared" si="0"/>
        <v>0</v>
      </c>
    </row>
    <row r="22" spans="1:5" ht="15.6">
      <c r="A22" s="22" t="s">
        <v>18</v>
      </c>
      <c r="B22" s="22" t="s">
        <v>3</v>
      </c>
      <c r="C22" s="53">
        <v>295</v>
      </c>
      <c r="D22" s="55">
        <v>16000</v>
      </c>
      <c r="E22" s="47">
        <f t="shared" si="0"/>
        <v>4720000</v>
      </c>
    </row>
    <row r="23" spans="1:5" ht="15.6" hidden="1">
      <c r="A23" s="22" t="s">
        <v>18</v>
      </c>
      <c r="B23" s="22" t="s">
        <v>17</v>
      </c>
      <c r="C23" s="53">
        <v>0</v>
      </c>
      <c r="D23" s="55"/>
      <c r="E23" s="47">
        <f t="shared" si="0"/>
        <v>0</v>
      </c>
    </row>
    <row r="24" spans="1:5" ht="15.6" hidden="1">
      <c r="A24" s="22" t="s">
        <v>18</v>
      </c>
      <c r="B24" s="22" t="s">
        <v>19</v>
      </c>
      <c r="C24" s="53">
        <v>0</v>
      </c>
      <c r="D24" s="55"/>
      <c r="E24" s="47">
        <f t="shared" si="0"/>
        <v>0</v>
      </c>
    </row>
    <row r="25" spans="1:5" ht="15.6" hidden="1">
      <c r="A25" s="22" t="s">
        <v>20</v>
      </c>
      <c r="B25" s="22" t="s">
        <v>3</v>
      </c>
      <c r="C25" s="53">
        <v>0</v>
      </c>
      <c r="D25" s="55"/>
      <c r="E25" s="47">
        <f t="shared" si="0"/>
        <v>0</v>
      </c>
    </row>
    <row r="26" spans="1:5" ht="15.6" hidden="1">
      <c r="A26" s="22" t="s">
        <v>20</v>
      </c>
      <c r="B26" s="22" t="s">
        <v>21</v>
      </c>
      <c r="C26" s="53">
        <v>0</v>
      </c>
      <c r="D26" s="55"/>
      <c r="E26" s="47">
        <f t="shared" si="0"/>
        <v>0</v>
      </c>
    </row>
    <row r="27" spans="1:5" ht="15.6">
      <c r="A27" s="22" t="s">
        <v>22</v>
      </c>
      <c r="B27" s="22" t="s">
        <v>3</v>
      </c>
      <c r="C27" s="53">
        <v>12</v>
      </c>
      <c r="D27" s="55">
        <v>20000</v>
      </c>
      <c r="E27" s="47">
        <f t="shared" si="0"/>
        <v>240000</v>
      </c>
    </row>
    <row r="28" spans="1:5" ht="15.6">
      <c r="A28" s="22" t="s">
        <v>22</v>
      </c>
      <c r="B28" s="22" t="s">
        <v>23</v>
      </c>
      <c r="C28" s="53">
        <v>76</v>
      </c>
      <c r="D28" s="55">
        <v>6000</v>
      </c>
      <c r="E28" s="47">
        <f t="shared" si="0"/>
        <v>456000</v>
      </c>
    </row>
    <row r="29" spans="1:5" ht="15.6">
      <c r="A29" s="22" t="s">
        <v>24</v>
      </c>
      <c r="B29" s="22" t="s">
        <v>25</v>
      </c>
      <c r="C29" s="53">
        <v>10</v>
      </c>
      <c r="D29" s="55">
        <v>12000</v>
      </c>
      <c r="E29" s="47">
        <f t="shared" si="0"/>
        <v>120000</v>
      </c>
    </row>
    <row r="30" spans="1:5" ht="15.6" hidden="1">
      <c r="A30" s="22" t="s">
        <v>26</v>
      </c>
      <c r="B30" s="22" t="s">
        <v>3</v>
      </c>
      <c r="C30" s="53">
        <v>0</v>
      </c>
      <c r="D30" s="55"/>
      <c r="E30" s="47">
        <f t="shared" si="0"/>
        <v>0</v>
      </c>
    </row>
    <row r="31" spans="1:5" ht="15.6">
      <c r="A31" s="22" t="s">
        <v>26</v>
      </c>
      <c r="B31" s="22" t="s">
        <v>27</v>
      </c>
      <c r="C31" s="53">
        <v>150</v>
      </c>
      <c r="D31" s="55">
        <v>7500</v>
      </c>
      <c r="E31" s="47">
        <f t="shared" si="0"/>
        <v>1125000</v>
      </c>
    </row>
    <row r="32" spans="1:5" ht="15.6">
      <c r="A32" s="22" t="s">
        <v>28</v>
      </c>
      <c r="B32" s="22" t="s">
        <v>3</v>
      </c>
      <c r="C32" s="53">
        <v>390</v>
      </c>
      <c r="D32" s="55">
        <v>15000</v>
      </c>
      <c r="E32" s="47">
        <f t="shared" si="0"/>
        <v>5850000</v>
      </c>
    </row>
    <row r="33" spans="1:5" ht="15.6" hidden="1">
      <c r="A33" s="22" t="s">
        <v>28</v>
      </c>
      <c r="B33" s="22" t="s">
        <v>17</v>
      </c>
      <c r="C33" s="53">
        <v>0</v>
      </c>
      <c r="D33" s="55"/>
      <c r="E33" s="47">
        <f t="shared" si="0"/>
        <v>0</v>
      </c>
    </row>
    <row r="34" spans="1:5" ht="15.6">
      <c r="A34" s="22" t="s">
        <v>29</v>
      </c>
      <c r="B34" s="22" t="s">
        <v>30</v>
      </c>
      <c r="C34" s="53">
        <v>50</v>
      </c>
      <c r="D34" s="55">
        <v>10000</v>
      </c>
      <c r="E34" s="47">
        <f t="shared" si="0"/>
        <v>500000</v>
      </c>
    </row>
    <row r="35" spans="1:5" ht="15.6">
      <c r="A35" s="22" t="s">
        <v>31</v>
      </c>
      <c r="B35" s="22" t="s">
        <v>3</v>
      </c>
      <c r="C35" s="53">
        <v>225</v>
      </c>
      <c r="D35" s="55">
        <v>6000</v>
      </c>
      <c r="E35" s="47">
        <f t="shared" si="0"/>
        <v>1350000</v>
      </c>
    </row>
    <row r="36" spans="1:5" ht="15.6" hidden="1">
      <c r="A36" s="22" t="s">
        <v>31</v>
      </c>
      <c r="B36" s="22" t="s">
        <v>30</v>
      </c>
      <c r="C36" s="53">
        <v>0</v>
      </c>
      <c r="D36" s="55"/>
      <c r="E36" s="47">
        <f t="shared" si="0"/>
        <v>0</v>
      </c>
    </row>
    <row r="37" spans="1:5" ht="15.6" hidden="1">
      <c r="A37" s="22" t="s">
        <v>32</v>
      </c>
      <c r="B37" s="22" t="s">
        <v>3</v>
      </c>
      <c r="C37" s="53">
        <v>0</v>
      </c>
      <c r="D37" s="55"/>
      <c r="E37" s="47">
        <f t="shared" si="0"/>
        <v>0</v>
      </c>
    </row>
    <row r="38" spans="1:5" ht="15.6" hidden="1">
      <c r="A38" s="22" t="s">
        <v>32</v>
      </c>
      <c r="B38" s="22" t="s">
        <v>17</v>
      </c>
      <c r="C38" s="53">
        <v>0</v>
      </c>
      <c r="D38" s="55"/>
      <c r="E38" s="47">
        <f t="shared" si="0"/>
        <v>0</v>
      </c>
    </row>
    <row r="39" spans="1:5" ht="15.6">
      <c r="A39" s="22" t="s">
        <v>33</v>
      </c>
      <c r="B39" s="22" t="s">
        <v>3</v>
      </c>
      <c r="C39" s="53">
        <v>70</v>
      </c>
      <c r="D39" s="55">
        <v>8000</v>
      </c>
      <c r="E39" s="47">
        <f t="shared" si="0"/>
        <v>560000</v>
      </c>
    </row>
    <row r="40" spans="1:5" ht="15.6" hidden="1">
      <c r="A40" s="22" t="s">
        <v>33</v>
      </c>
      <c r="B40" s="22" t="s">
        <v>34</v>
      </c>
      <c r="C40" s="53">
        <v>0</v>
      </c>
      <c r="D40" s="55"/>
      <c r="E40" s="47">
        <f t="shared" si="0"/>
        <v>0</v>
      </c>
    </row>
    <row r="41" spans="1:5" ht="15.6">
      <c r="A41" s="22" t="s">
        <v>35</v>
      </c>
      <c r="B41" s="22" t="s">
        <v>3</v>
      </c>
      <c r="C41" s="53">
        <v>22</v>
      </c>
      <c r="D41" s="55">
        <v>24000</v>
      </c>
      <c r="E41" s="47">
        <f t="shared" si="0"/>
        <v>528000</v>
      </c>
    </row>
    <row r="42" spans="1:5" ht="15.6" hidden="1">
      <c r="A42" s="22" t="s">
        <v>35</v>
      </c>
      <c r="B42" s="22" t="s">
        <v>30</v>
      </c>
      <c r="C42" s="53">
        <v>0</v>
      </c>
      <c r="D42" s="55"/>
      <c r="E42" s="47">
        <f t="shared" si="0"/>
        <v>0</v>
      </c>
    </row>
    <row r="43" spans="1:5" ht="15.6" hidden="1">
      <c r="A43" s="22" t="s">
        <v>36</v>
      </c>
      <c r="B43" s="22" t="s">
        <v>3</v>
      </c>
      <c r="C43" s="53">
        <v>0</v>
      </c>
      <c r="D43" s="55"/>
      <c r="E43" s="47">
        <f t="shared" si="0"/>
        <v>0</v>
      </c>
    </row>
    <row r="44" spans="1:5" ht="15.6">
      <c r="A44" s="22" t="s">
        <v>36</v>
      </c>
      <c r="B44" s="22" t="s">
        <v>30</v>
      </c>
      <c r="C44" s="53">
        <v>5</v>
      </c>
      <c r="D44" s="55">
        <v>3000</v>
      </c>
      <c r="E44" s="47">
        <f t="shared" si="0"/>
        <v>15000</v>
      </c>
    </row>
    <row r="45" spans="1:5" ht="15.6" hidden="1">
      <c r="A45" s="22" t="s">
        <v>37</v>
      </c>
      <c r="B45" s="22" t="s">
        <v>3</v>
      </c>
      <c r="C45" s="53">
        <v>0</v>
      </c>
      <c r="D45" s="55"/>
      <c r="E45" s="47">
        <f t="shared" si="0"/>
        <v>0</v>
      </c>
    </row>
    <row r="46" spans="1:5" ht="15.6">
      <c r="A46" s="22" t="s">
        <v>37</v>
      </c>
      <c r="B46" s="22" t="s">
        <v>30</v>
      </c>
      <c r="C46" s="53">
        <v>25</v>
      </c>
      <c r="D46" s="55">
        <v>3300</v>
      </c>
      <c r="E46" s="47">
        <f t="shared" si="0"/>
        <v>82500</v>
      </c>
    </row>
    <row r="47" spans="1:5" ht="15.6">
      <c r="A47" s="22" t="s">
        <v>38</v>
      </c>
      <c r="B47" s="22" t="s">
        <v>3</v>
      </c>
      <c r="C47" s="53">
        <v>2250</v>
      </c>
      <c r="D47" s="55">
        <v>5000</v>
      </c>
      <c r="E47" s="47">
        <f t="shared" si="0"/>
        <v>11250000</v>
      </c>
    </row>
    <row r="48" spans="1:5" ht="15.6" hidden="1">
      <c r="A48" s="22" t="s">
        <v>98</v>
      </c>
      <c r="B48" s="22" t="s">
        <v>3</v>
      </c>
      <c r="C48" s="53">
        <v>0</v>
      </c>
      <c r="D48" s="55"/>
      <c r="E48" s="47">
        <f t="shared" si="0"/>
        <v>0</v>
      </c>
    </row>
    <row r="49" spans="1:5" ht="15.6">
      <c r="A49" s="22" t="s">
        <v>39</v>
      </c>
      <c r="B49" s="22" t="s">
        <v>3</v>
      </c>
      <c r="C49" s="53">
        <v>170</v>
      </c>
      <c r="D49" s="55">
        <v>10000</v>
      </c>
      <c r="E49" s="47">
        <f t="shared" si="0"/>
        <v>1700000</v>
      </c>
    </row>
    <row r="50" spans="1:5" ht="15.6" hidden="1">
      <c r="A50" s="22" t="s">
        <v>39</v>
      </c>
      <c r="B50" s="22" t="s">
        <v>40</v>
      </c>
      <c r="C50" s="53">
        <v>0</v>
      </c>
      <c r="D50" s="55"/>
      <c r="E50" s="47">
        <f t="shared" si="0"/>
        <v>0</v>
      </c>
    </row>
    <row r="51" spans="1:5" ht="15.6" hidden="1">
      <c r="A51" s="22" t="s">
        <v>100</v>
      </c>
      <c r="B51" s="22" t="s">
        <v>3</v>
      </c>
      <c r="C51" s="53">
        <v>0</v>
      </c>
      <c r="D51" s="55"/>
      <c r="E51" s="47">
        <f t="shared" si="0"/>
        <v>0</v>
      </c>
    </row>
    <row r="52" spans="1:5" ht="15.6" hidden="1">
      <c r="A52" s="22" t="s">
        <v>41</v>
      </c>
      <c r="B52" s="22" t="s">
        <v>3</v>
      </c>
      <c r="C52" s="53">
        <v>0</v>
      </c>
      <c r="D52" s="55"/>
      <c r="E52" s="47">
        <f t="shared" si="0"/>
        <v>0</v>
      </c>
    </row>
    <row r="53" spans="1:5" ht="15.6">
      <c r="A53" s="22" t="s">
        <v>42</v>
      </c>
      <c r="B53" s="22" t="s">
        <v>25</v>
      </c>
      <c r="C53" s="53">
        <v>12</v>
      </c>
      <c r="D53" s="55">
        <v>10000</v>
      </c>
      <c r="E53" s="47">
        <f t="shared" si="0"/>
        <v>120000</v>
      </c>
    </row>
    <row r="54" spans="1:5" ht="15.6" hidden="1">
      <c r="A54" s="22" t="s">
        <v>42</v>
      </c>
      <c r="B54" s="22" t="s">
        <v>3</v>
      </c>
      <c r="C54" s="53">
        <v>0</v>
      </c>
      <c r="D54" s="55"/>
      <c r="E54" s="47">
        <f t="shared" si="0"/>
        <v>0</v>
      </c>
    </row>
    <row r="55" spans="1:5" ht="15.6" hidden="1">
      <c r="A55" s="22" t="s">
        <v>44</v>
      </c>
      <c r="B55" s="22" t="s">
        <v>3</v>
      </c>
      <c r="C55" s="53">
        <v>0</v>
      </c>
      <c r="D55" s="55"/>
      <c r="E55" s="47">
        <f t="shared" si="0"/>
        <v>0</v>
      </c>
    </row>
    <row r="56" spans="1:5" ht="15.6">
      <c r="A56" s="22" t="s">
        <v>45</v>
      </c>
      <c r="B56" s="22" t="s">
        <v>3</v>
      </c>
      <c r="C56" s="53">
        <v>20</v>
      </c>
      <c r="D56" s="55">
        <v>9000</v>
      </c>
      <c r="E56" s="47">
        <f t="shared" si="0"/>
        <v>180000</v>
      </c>
    </row>
    <row r="57" spans="1:5" ht="15.6" hidden="1">
      <c r="A57" s="22" t="s">
        <v>45</v>
      </c>
      <c r="B57" s="22" t="s">
        <v>30</v>
      </c>
      <c r="C57" s="53">
        <v>0</v>
      </c>
      <c r="D57" s="55"/>
      <c r="E57" s="47">
        <f t="shared" si="0"/>
        <v>0</v>
      </c>
    </row>
    <row r="58" spans="1:5" ht="15.6">
      <c r="A58" s="22" t="s">
        <v>46</v>
      </c>
      <c r="B58" s="22" t="s">
        <v>3</v>
      </c>
      <c r="C58" s="53">
        <v>6</v>
      </c>
      <c r="D58" s="55">
        <v>19000</v>
      </c>
      <c r="E58" s="47">
        <f t="shared" si="0"/>
        <v>114000</v>
      </c>
    </row>
    <row r="59" spans="1:5" ht="15.6">
      <c r="A59" s="22" t="s">
        <v>47</v>
      </c>
      <c r="B59" s="22" t="s">
        <v>3</v>
      </c>
      <c r="C59" s="53">
        <v>208</v>
      </c>
      <c r="D59" s="55">
        <v>7000</v>
      </c>
      <c r="E59" s="47">
        <f t="shared" si="0"/>
        <v>1456000</v>
      </c>
    </row>
    <row r="60" spans="1:5" ht="15.6" hidden="1">
      <c r="A60" s="22" t="s">
        <v>47</v>
      </c>
      <c r="B60" s="22" t="s">
        <v>48</v>
      </c>
      <c r="C60" s="53">
        <v>0</v>
      </c>
      <c r="D60" s="55"/>
      <c r="E60" s="47">
        <f t="shared" si="0"/>
        <v>0</v>
      </c>
    </row>
    <row r="61" spans="1:5" ht="15.6">
      <c r="A61" s="22" t="s">
        <v>134</v>
      </c>
      <c r="B61" s="22" t="s">
        <v>3</v>
      </c>
      <c r="C61" s="53">
        <v>12</v>
      </c>
      <c r="D61" s="55">
        <v>20000</v>
      </c>
      <c r="E61" s="47">
        <f t="shared" si="0"/>
        <v>240000</v>
      </c>
    </row>
    <row r="62" spans="1:5" ht="15.6">
      <c r="A62" s="22" t="s">
        <v>49</v>
      </c>
      <c r="B62" s="22" t="s">
        <v>30</v>
      </c>
      <c r="C62" s="53">
        <v>130</v>
      </c>
      <c r="D62" s="55">
        <v>1800</v>
      </c>
      <c r="E62" s="47">
        <f t="shared" si="0"/>
        <v>234000</v>
      </c>
    </row>
    <row r="63" spans="1:5" ht="15.6">
      <c r="A63" s="22" t="s">
        <v>50</v>
      </c>
      <c r="B63" s="22" t="s">
        <v>3</v>
      </c>
      <c r="C63" s="53">
        <v>3425</v>
      </c>
      <c r="D63" s="55">
        <v>25000</v>
      </c>
      <c r="E63" s="47">
        <f t="shared" si="0"/>
        <v>85625000</v>
      </c>
    </row>
    <row r="64" spans="1:5" ht="15.6">
      <c r="A64" s="22" t="s">
        <v>51</v>
      </c>
      <c r="B64" s="22" t="s">
        <v>3</v>
      </c>
      <c r="C64" s="53">
        <v>255</v>
      </c>
      <c r="D64" s="55">
        <v>25000</v>
      </c>
      <c r="E64" s="47">
        <f t="shared" si="0"/>
        <v>6375000</v>
      </c>
    </row>
    <row r="65" spans="1:5" ht="15.6">
      <c r="A65" s="22" t="s">
        <v>53</v>
      </c>
      <c r="B65" s="22" t="s">
        <v>3</v>
      </c>
      <c r="C65" s="53">
        <v>160</v>
      </c>
      <c r="D65" s="55">
        <v>16000</v>
      </c>
      <c r="E65" s="47">
        <f t="shared" si="0"/>
        <v>2560000</v>
      </c>
    </row>
    <row r="66" spans="1:5" ht="15.6">
      <c r="A66" s="22" t="s">
        <v>54</v>
      </c>
      <c r="B66" s="22" t="s">
        <v>3</v>
      </c>
      <c r="C66" s="53">
        <v>15</v>
      </c>
      <c r="D66" s="55">
        <v>25000</v>
      </c>
      <c r="E66" s="47">
        <f t="shared" si="0"/>
        <v>375000</v>
      </c>
    </row>
    <row r="67" spans="1:5" ht="15.6" hidden="1">
      <c r="A67" s="22" t="s">
        <v>55</v>
      </c>
      <c r="B67" s="22" t="s">
        <v>3</v>
      </c>
      <c r="C67" s="53">
        <v>0</v>
      </c>
      <c r="D67" s="55"/>
      <c r="E67" s="47">
        <f t="shared" si="0"/>
        <v>0</v>
      </c>
    </row>
    <row r="68" spans="1:5" ht="15.6" hidden="1">
      <c r="A68" s="22" t="s">
        <v>108</v>
      </c>
      <c r="B68" s="22" t="s">
        <v>3</v>
      </c>
      <c r="C68" s="53">
        <v>0</v>
      </c>
      <c r="D68" s="55"/>
      <c r="E68" s="47">
        <f t="shared" ref="E68:E124" si="1">C68*D68</f>
        <v>0</v>
      </c>
    </row>
    <row r="69" spans="1:5" ht="15.6" hidden="1">
      <c r="A69" s="22" t="s">
        <v>118</v>
      </c>
      <c r="B69" s="22" t="s">
        <v>3</v>
      </c>
      <c r="C69" s="53">
        <v>0</v>
      </c>
      <c r="D69" s="55"/>
      <c r="E69" s="47">
        <f t="shared" si="1"/>
        <v>0</v>
      </c>
    </row>
    <row r="70" spans="1:5" ht="15.6">
      <c r="A70" s="22" t="s">
        <v>56</v>
      </c>
      <c r="B70" s="22" t="s">
        <v>3</v>
      </c>
      <c r="C70" s="53">
        <v>35</v>
      </c>
      <c r="D70" s="55">
        <v>14000</v>
      </c>
      <c r="E70" s="47">
        <f t="shared" si="1"/>
        <v>490000</v>
      </c>
    </row>
    <row r="71" spans="1:5" ht="15.6" hidden="1">
      <c r="A71" s="22" t="s">
        <v>56</v>
      </c>
      <c r="B71" s="22" t="s">
        <v>30</v>
      </c>
      <c r="C71" s="53">
        <v>0</v>
      </c>
      <c r="D71" s="55"/>
      <c r="E71" s="47">
        <f t="shared" si="1"/>
        <v>0</v>
      </c>
    </row>
    <row r="72" spans="1:5" ht="15.6" hidden="1">
      <c r="A72" s="22" t="s">
        <v>57</v>
      </c>
      <c r="B72" s="22" t="s">
        <v>30</v>
      </c>
      <c r="C72" s="53">
        <v>0</v>
      </c>
      <c r="D72" s="55"/>
      <c r="E72" s="47">
        <f t="shared" si="1"/>
        <v>0</v>
      </c>
    </row>
    <row r="73" spans="1:5" ht="15.6" hidden="1">
      <c r="A73" s="22" t="s">
        <v>58</v>
      </c>
      <c r="B73" s="22" t="s">
        <v>3</v>
      </c>
      <c r="C73" s="53">
        <v>0</v>
      </c>
      <c r="D73" s="55"/>
      <c r="E73" s="47">
        <f t="shared" si="1"/>
        <v>0</v>
      </c>
    </row>
    <row r="74" spans="1:5" ht="15.6" hidden="1">
      <c r="A74" s="22" t="s">
        <v>59</v>
      </c>
      <c r="B74" s="22" t="s">
        <v>30</v>
      </c>
      <c r="C74" s="53">
        <v>0</v>
      </c>
      <c r="D74" s="55"/>
      <c r="E74" s="47">
        <f t="shared" si="1"/>
        <v>0</v>
      </c>
    </row>
    <row r="75" spans="1:5" ht="15.6" hidden="1">
      <c r="A75" s="22" t="s">
        <v>60</v>
      </c>
      <c r="B75" s="22" t="s">
        <v>3</v>
      </c>
      <c r="C75" s="53">
        <v>0</v>
      </c>
      <c r="D75" s="55"/>
      <c r="E75" s="47">
        <f t="shared" si="1"/>
        <v>0</v>
      </c>
    </row>
    <row r="76" spans="1:5" ht="15.6">
      <c r="A76" s="22" t="s">
        <v>60</v>
      </c>
      <c r="B76" s="22" t="s">
        <v>30</v>
      </c>
      <c r="C76" s="53">
        <v>28</v>
      </c>
      <c r="D76" s="55">
        <v>8500</v>
      </c>
      <c r="E76" s="47">
        <f t="shared" si="1"/>
        <v>238000</v>
      </c>
    </row>
    <row r="77" spans="1:5" ht="15.6" hidden="1">
      <c r="A77" s="22" t="s">
        <v>60</v>
      </c>
      <c r="B77" s="22" t="s">
        <v>61</v>
      </c>
      <c r="C77" s="53">
        <v>0</v>
      </c>
      <c r="D77" s="55"/>
      <c r="E77" s="47">
        <f t="shared" si="1"/>
        <v>0</v>
      </c>
    </row>
    <row r="78" spans="1:5" ht="15.6" hidden="1">
      <c r="A78" s="22" t="s">
        <v>62</v>
      </c>
      <c r="B78" s="22" t="s">
        <v>3</v>
      </c>
      <c r="C78" s="53">
        <v>0</v>
      </c>
      <c r="D78" s="55"/>
      <c r="E78" s="47">
        <f t="shared" si="1"/>
        <v>0</v>
      </c>
    </row>
    <row r="79" spans="1:5" ht="15.6" hidden="1">
      <c r="A79" s="22" t="s">
        <v>119</v>
      </c>
      <c r="B79" s="22" t="s">
        <v>3</v>
      </c>
      <c r="C79" s="53">
        <v>0</v>
      </c>
      <c r="D79" s="55"/>
      <c r="E79" s="47">
        <f t="shared" si="1"/>
        <v>0</v>
      </c>
    </row>
    <row r="80" spans="1:5" ht="15.6" hidden="1">
      <c r="A80" s="22" t="s">
        <v>63</v>
      </c>
      <c r="B80" s="22" t="s">
        <v>3</v>
      </c>
      <c r="C80" s="53">
        <v>0</v>
      </c>
      <c r="D80" s="55"/>
      <c r="E80" s="47">
        <f t="shared" si="1"/>
        <v>0</v>
      </c>
    </row>
    <row r="81" spans="1:5" ht="15.6" hidden="1">
      <c r="A81" s="22" t="s">
        <v>64</v>
      </c>
      <c r="B81" s="22" t="s">
        <v>3</v>
      </c>
      <c r="C81" s="53">
        <v>0</v>
      </c>
      <c r="D81" s="55"/>
      <c r="E81" s="47">
        <f t="shared" si="1"/>
        <v>0</v>
      </c>
    </row>
    <row r="82" spans="1:5" ht="15.6" hidden="1">
      <c r="A82" s="22" t="s">
        <v>65</v>
      </c>
      <c r="B82" s="22" t="s">
        <v>3</v>
      </c>
      <c r="C82" s="53">
        <v>0</v>
      </c>
      <c r="D82" s="55"/>
      <c r="E82" s="47">
        <f t="shared" si="1"/>
        <v>0</v>
      </c>
    </row>
    <row r="83" spans="1:5" ht="15.6">
      <c r="A83" s="22" t="s">
        <v>65</v>
      </c>
      <c r="B83" s="22" t="s">
        <v>17</v>
      </c>
      <c r="C83" s="53">
        <v>280</v>
      </c>
      <c r="D83" s="55">
        <v>8500</v>
      </c>
      <c r="E83" s="47">
        <f t="shared" si="1"/>
        <v>2380000</v>
      </c>
    </row>
    <row r="84" spans="1:5" ht="15.6">
      <c r="A84" s="22" t="s">
        <v>66</v>
      </c>
      <c r="B84" s="22" t="s">
        <v>3</v>
      </c>
      <c r="C84" s="53">
        <v>3</v>
      </c>
      <c r="D84" s="55">
        <v>16000</v>
      </c>
      <c r="E84" s="47">
        <f t="shared" si="1"/>
        <v>48000</v>
      </c>
    </row>
    <row r="85" spans="1:5" ht="15.6">
      <c r="A85" s="22" t="s">
        <v>67</v>
      </c>
      <c r="B85" s="22" t="s">
        <v>3</v>
      </c>
      <c r="C85" s="53">
        <v>28</v>
      </c>
      <c r="D85" s="55">
        <v>10000</v>
      </c>
      <c r="E85" s="47">
        <f t="shared" si="1"/>
        <v>280000</v>
      </c>
    </row>
    <row r="86" spans="1:5" ht="15.6">
      <c r="A86" s="22" t="s">
        <v>68</v>
      </c>
      <c r="B86" s="22" t="s">
        <v>3</v>
      </c>
      <c r="C86" s="53">
        <v>4</v>
      </c>
      <c r="D86" s="55">
        <v>11000</v>
      </c>
      <c r="E86" s="47">
        <f t="shared" si="1"/>
        <v>44000</v>
      </c>
    </row>
    <row r="87" spans="1:5" ht="15.6" hidden="1">
      <c r="A87" s="22" t="s">
        <v>68</v>
      </c>
      <c r="B87" s="22" t="s">
        <v>40</v>
      </c>
      <c r="C87" s="53">
        <v>0</v>
      </c>
      <c r="D87" s="55"/>
      <c r="E87" s="47">
        <f t="shared" si="1"/>
        <v>0</v>
      </c>
    </row>
    <row r="88" spans="1:5" ht="15.6" hidden="1">
      <c r="A88" s="22" t="s">
        <v>69</v>
      </c>
      <c r="B88" s="22" t="s">
        <v>3</v>
      </c>
      <c r="C88" s="53">
        <v>0</v>
      </c>
      <c r="D88" s="55"/>
      <c r="E88" s="47">
        <f t="shared" si="1"/>
        <v>0</v>
      </c>
    </row>
    <row r="89" spans="1:5" ht="15.6" hidden="1">
      <c r="A89" s="22" t="s">
        <v>148</v>
      </c>
      <c r="B89" s="22" t="s">
        <v>25</v>
      </c>
      <c r="C89" s="53">
        <v>0</v>
      </c>
      <c r="D89" s="55"/>
      <c r="E89" s="47">
        <f t="shared" si="1"/>
        <v>0</v>
      </c>
    </row>
    <row r="90" spans="1:5" ht="15.6" hidden="1">
      <c r="A90" s="22" t="s">
        <v>70</v>
      </c>
      <c r="B90" s="22" t="s">
        <v>30</v>
      </c>
      <c r="C90" s="53">
        <v>0</v>
      </c>
      <c r="D90" s="55"/>
      <c r="E90" s="47">
        <f t="shared" si="1"/>
        <v>0</v>
      </c>
    </row>
    <row r="91" spans="1:5" ht="15.6">
      <c r="A91" s="22" t="s">
        <v>71</v>
      </c>
      <c r="B91" s="22" t="s">
        <v>3</v>
      </c>
      <c r="C91" s="53">
        <v>20</v>
      </c>
      <c r="D91" s="55">
        <v>14000</v>
      </c>
      <c r="E91" s="47">
        <f t="shared" si="1"/>
        <v>280000</v>
      </c>
    </row>
    <row r="92" spans="1:5" ht="15.6">
      <c r="A92" s="22" t="s">
        <v>160</v>
      </c>
      <c r="B92" s="22" t="s">
        <v>3</v>
      </c>
      <c r="C92" s="53">
        <v>120</v>
      </c>
      <c r="D92" s="55">
        <v>50000</v>
      </c>
      <c r="E92" s="47">
        <f t="shared" si="1"/>
        <v>6000000</v>
      </c>
    </row>
    <row r="93" spans="1:5" ht="15.6" hidden="1">
      <c r="A93" s="22" t="s">
        <v>160</v>
      </c>
      <c r="B93" s="22" t="s">
        <v>187</v>
      </c>
      <c r="C93" s="53">
        <v>0</v>
      </c>
      <c r="D93" s="55"/>
      <c r="E93" s="47">
        <f t="shared" si="1"/>
        <v>0</v>
      </c>
    </row>
    <row r="94" spans="1:5" ht="15.6" hidden="1">
      <c r="A94" s="22" t="s">
        <v>160</v>
      </c>
      <c r="B94" s="22" t="s">
        <v>188</v>
      </c>
      <c r="C94" s="53">
        <v>0</v>
      </c>
      <c r="D94" s="55"/>
      <c r="E94" s="47">
        <f t="shared" si="1"/>
        <v>0</v>
      </c>
    </row>
    <row r="95" spans="1:5" ht="15.6" hidden="1">
      <c r="A95" s="22" t="s">
        <v>72</v>
      </c>
      <c r="B95" s="22" t="s">
        <v>17</v>
      </c>
      <c r="C95" s="53">
        <v>0</v>
      </c>
      <c r="D95" s="55"/>
      <c r="E95" s="47">
        <f t="shared" si="1"/>
        <v>0</v>
      </c>
    </row>
    <row r="96" spans="1:5" ht="15.6" hidden="1">
      <c r="A96" s="22" t="s">
        <v>73</v>
      </c>
      <c r="B96" s="22" t="s">
        <v>25</v>
      </c>
      <c r="C96" s="53">
        <v>0</v>
      </c>
      <c r="D96" s="55"/>
      <c r="E96" s="47">
        <f t="shared" si="1"/>
        <v>0</v>
      </c>
    </row>
    <row r="97" spans="1:5" ht="15.6">
      <c r="A97" s="22" t="s">
        <v>73</v>
      </c>
      <c r="B97" s="22" t="s">
        <v>3</v>
      </c>
      <c r="C97" s="53">
        <v>7</v>
      </c>
      <c r="D97" s="55">
        <v>28000</v>
      </c>
      <c r="E97" s="47">
        <f t="shared" si="1"/>
        <v>196000</v>
      </c>
    </row>
    <row r="98" spans="1:5" ht="15.6">
      <c r="A98" s="22" t="s">
        <v>74</v>
      </c>
      <c r="B98" s="22" t="s">
        <v>3</v>
      </c>
      <c r="C98" s="53">
        <v>70</v>
      </c>
      <c r="D98" s="55">
        <v>24000</v>
      </c>
      <c r="E98" s="47">
        <f t="shared" si="1"/>
        <v>1680000</v>
      </c>
    </row>
    <row r="99" spans="1:5" ht="15.6" hidden="1">
      <c r="A99" s="22" t="s">
        <v>74</v>
      </c>
      <c r="B99" s="22" t="s">
        <v>9</v>
      </c>
      <c r="C99" s="53">
        <v>0</v>
      </c>
      <c r="D99" s="55"/>
      <c r="E99" s="47">
        <f t="shared" si="1"/>
        <v>0</v>
      </c>
    </row>
    <row r="100" spans="1:5" ht="15.6">
      <c r="A100" s="22" t="s">
        <v>75</v>
      </c>
      <c r="B100" s="22" t="s">
        <v>3</v>
      </c>
      <c r="C100" s="53">
        <v>20</v>
      </c>
      <c r="D100" s="55">
        <v>21000</v>
      </c>
      <c r="E100" s="47">
        <f t="shared" si="1"/>
        <v>420000</v>
      </c>
    </row>
    <row r="101" spans="1:5" ht="15.6">
      <c r="A101" s="22" t="s">
        <v>76</v>
      </c>
      <c r="B101" s="22" t="s">
        <v>3</v>
      </c>
      <c r="C101" s="53">
        <v>60</v>
      </c>
      <c r="D101" s="55">
        <v>26000</v>
      </c>
      <c r="E101" s="47">
        <f t="shared" si="1"/>
        <v>1560000</v>
      </c>
    </row>
    <row r="102" spans="1:5" ht="15.6" hidden="1">
      <c r="A102" s="22" t="s">
        <v>76</v>
      </c>
      <c r="B102" s="22" t="s">
        <v>9</v>
      </c>
      <c r="C102" s="53">
        <v>0</v>
      </c>
      <c r="D102" s="55"/>
      <c r="E102" s="47">
        <f t="shared" si="1"/>
        <v>0</v>
      </c>
    </row>
    <row r="103" spans="1:5" ht="15.6">
      <c r="A103" s="22" t="s">
        <v>77</v>
      </c>
      <c r="B103" s="22" t="s">
        <v>3</v>
      </c>
      <c r="C103" s="53">
        <v>20</v>
      </c>
      <c r="D103" s="55">
        <v>21000</v>
      </c>
      <c r="E103" s="47">
        <f t="shared" si="1"/>
        <v>420000</v>
      </c>
    </row>
    <row r="104" spans="1:5" ht="15.6">
      <c r="A104" s="22" t="s">
        <v>78</v>
      </c>
      <c r="B104" s="22" t="s">
        <v>3</v>
      </c>
      <c r="C104" s="53">
        <v>97</v>
      </c>
      <c r="D104" s="55">
        <v>30000</v>
      </c>
      <c r="E104" s="47">
        <f t="shared" si="1"/>
        <v>2910000</v>
      </c>
    </row>
    <row r="105" spans="1:5" ht="15.6" hidden="1">
      <c r="A105" s="22" t="s">
        <v>78</v>
      </c>
      <c r="B105" s="22" t="s">
        <v>9</v>
      </c>
      <c r="C105" s="53">
        <v>0</v>
      </c>
      <c r="D105" s="55"/>
      <c r="E105" s="47">
        <f t="shared" si="1"/>
        <v>0</v>
      </c>
    </row>
    <row r="106" spans="1:5" ht="15.6">
      <c r="A106" s="22" t="s">
        <v>173</v>
      </c>
      <c r="B106" s="22" t="s">
        <v>3</v>
      </c>
      <c r="C106" s="53">
        <v>12</v>
      </c>
      <c r="D106" s="55">
        <v>25000</v>
      </c>
      <c r="E106" s="47">
        <f t="shared" si="1"/>
        <v>300000</v>
      </c>
    </row>
    <row r="107" spans="1:5" ht="15.6">
      <c r="A107" s="22" t="s">
        <v>79</v>
      </c>
      <c r="B107" s="22" t="s">
        <v>30</v>
      </c>
      <c r="C107" s="53">
        <v>70</v>
      </c>
      <c r="D107" s="55">
        <v>17000</v>
      </c>
      <c r="E107" s="47">
        <f t="shared" si="1"/>
        <v>1190000</v>
      </c>
    </row>
    <row r="108" spans="1:5" ht="15.6">
      <c r="A108" s="22" t="s">
        <v>80</v>
      </c>
      <c r="B108" s="22" t="s">
        <v>30</v>
      </c>
      <c r="C108" s="53">
        <v>8</v>
      </c>
      <c r="D108" s="55">
        <v>10000</v>
      </c>
      <c r="E108" s="47">
        <f t="shared" si="1"/>
        <v>80000</v>
      </c>
    </row>
    <row r="109" spans="1:5" ht="15.6" hidden="1">
      <c r="A109" s="22" t="s">
        <v>140</v>
      </c>
      <c r="B109" s="22" t="s">
        <v>3</v>
      </c>
      <c r="C109" s="53">
        <v>0</v>
      </c>
      <c r="D109" s="55"/>
      <c r="E109" s="47">
        <f t="shared" si="1"/>
        <v>0</v>
      </c>
    </row>
    <row r="110" spans="1:5" ht="15.6">
      <c r="A110" s="22" t="s">
        <v>81</v>
      </c>
      <c r="B110" s="22" t="s">
        <v>9</v>
      </c>
      <c r="C110" s="53">
        <v>1675</v>
      </c>
      <c r="D110" s="55">
        <v>9000</v>
      </c>
      <c r="E110" s="47">
        <f t="shared" si="1"/>
        <v>15075000</v>
      </c>
    </row>
    <row r="111" spans="1:5" ht="15.6">
      <c r="A111" s="22" t="s">
        <v>82</v>
      </c>
      <c r="B111" s="22" t="s">
        <v>9</v>
      </c>
      <c r="C111" s="53">
        <v>353</v>
      </c>
      <c r="D111" s="55">
        <v>11361</v>
      </c>
      <c r="E111" s="47">
        <f t="shared" si="1"/>
        <v>4010433</v>
      </c>
    </row>
    <row r="112" spans="1:5" ht="15.6">
      <c r="A112" s="22" t="s">
        <v>83</v>
      </c>
      <c r="B112" s="22" t="s">
        <v>9</v>
      </c>
      <c r="C112" s="53">
        <v>58</v>
      </c>
      <c r="D112" s="55">
        <v>100000</v>
      </c>
      <c r="E112" s="47">
        <f t="shared" si="1"/>
        <v>5800000</v>
      </c>
    </row>
    <row r="113" spans="1:5" ht="15.6" hidden="1">
      <c r="A113" s="22" t="s">
        <v>84</v>
      </c>
      <c r="B113" s="22" t="s">
        <v>3</v>
      </c>
      <c r="C113" s="53">
        <v>0</v>
      </c>
      <c r="D113" s="55"/>
      <c r="E113" s="47">
        <f t="shared" si="1"/>
        <v>0</v>
      </c>
    </row>
    <row r="114" spans="1:5" ht="15.6">
      <c r="A114" s="22" t="s">
        <v>85</v>
      </c>
      <c r="B114" s="22" t="s">
        <v>3</v>
      </c>
      <c r="C114" s="53">
        <v>2</v>
      </c>
      <c r="D114" s="55">
        <v>13000</v>
      </c>
      <c r="E114" s="47">
        <f t="shared" si="1"/>
        <v>26000</v>
      </c>
    </row>
    <row r="115" spans="1:5" ht="15.6">
      <c r="A115" s="22" t="s">
        <v>87</v>
      </c>
      <c r="B115" s="22" t="s">
        <v>3</v>
      </c>
      <c r="C115" s="53">
        <v>100</v>
      </c>
      <c r="D115" s="55">
        <v>3500</v>
      </c>
      <c r="E115" s="47">
        <f t="shared" si="1"/>
        <v>350000</v>
      </c>
    </row>
    <row r="116" spans="1:5" ht="15.6" hidden="1">
      <c r="A116" s="22" t="s">
        <v>125</v>
      </c>
      <c r="B116" s="22" t="s">
        <v>3</v>
      </c>
      <c r="C116" s="53">
        <v>0</v>
      </c>
      <c r="D116" s="55"/>
      <c r="E116" s="47">
        <f t="shared" si="1"/>
        <v>0</v>
      </c>
    </row>
    <row r="117" spans="1:5" ht="15.6" hidden="1">
      <c r="A117" s="22" t="s">
        <v>88</v>
      </c>
      <c r="B117" s="22" t="s">
        <v>3</v>
      </c>
      <c r="C117" s="53">
        <v>0</v>
      </c>
      <c r="D117" s="55"/>
      <c r="E117" s="47">
        <f t="shared" si="1"/>
        <v>0</v>
      </c>
    </row>
    <row r="118" spans="1:5" ht="15.6" hidden="1">
      <c r="A118" s="22" t="s">
        <v>89</v>
      </c>
      <c r="B118" s="22" t="s">
        <v>3</v>
      </c>
      <c r="C118" s="53">
        <v>0</v>
      </c>
      <c r="D118" s="55"/>
      <c r="E118" s="47">
        <f t="shared" si="1"/>
        <v>0</v>
      </c>
    </row>
    <row r="119" spans="1:5" ht="15.6" hidden="1">
      <c r="A119" s="22" t="s">
        <v>90</v>
      </c>
      <c r="B119" s="22" t="s">
        <v>40</v>
      </c>
      <c r="C119" s="53">
        <v>0</v>
      </c>
      <c r="D119" s="55"/>
      <c r="E119" s="47">
        <f t="shared" si="1"/>
        <v>0</v>
      </c>
    </row>
    <row r="120" spans="1:5" ht="15.6" hidden="1">
      <c r="A120" s="22" t="s">
        <v>91</v>
      </c>
      <c r="B120" s="22" t="s">
        <v>3</v>
      </c>
      <c r="C120" s="53">
        <v>0</v>
      </c>
      <c r="D120" s="55"/>
      <c r="E120" s="47">
        <f t="shared" si="1"/>
        <v>0</v>
      </c>
    </row>
    <row r="121" spans="1:5" ht="15.6" hidden="1">
      <c r="A121" s="22" t="s">
        <v>92</v>
      </c>
      <c r="B121" s="22" t="s">
        <v>40</v>
      </c>
      <c r="C121" s="53">
        <v>0</v>
      </c>
      <c r="D121" s="55"/>
      <c r="E121" s="47">
        <f t="shared" si="1"/>
        <v>0</v>
      </c>
    </row>
    <row r="122" spans="1:5" ht="15.6" hidden="1">
      <c r="A122" s="22" t="s">
        <v>93</v>
      </c>
      <c r="B122" s="22" t="s">
        <v>3</v>
      </c>
      <c r="C122" s="53">
        <v>0</v>
      </c>
      <c r="D122" s="55"/>
      <c r="E122" s="47">
        <f t="shared" si="1"/>
        <v>0</v>
      </c>
    </row>
    <row r="123" spans="1:5" ht="15.6" hidden="1">
      <c r="A123" s="22" t="s">
        <v>94</v>
      </c>
      <c r="B123" s="22" t="s">
        <v>3</v>
      </c>
      <c r="C123" s="53">
        <v>0</v>
      </c>
      <c r="D123" s="55"/>
      <c r="E123" s="47">
        <f t="shared" si="1"/>
        <v>0</v>
      </c>
    </row>
    <row r="124" spans="1:5" ht="15.6" hidden="1">
      <c r="A124" s="22" t="s">
        <v>95</v>
      </c>
      <c r="B124" s="22" t="s">
        <v>40</v>
      </c>
      <c r="C124" s="53">
        <v>0</v>
      </c>
      <c r="D124" s="55"/>
      <c r="E124" s="47">
        <f t="shared" si="1"/>
        <v>0</v>
      </c>
    </row>
    <row r="125" spans="1:5">
      <c r="E125" s="51">
        <f>SUM(E3:E115)</f>
        <v>179436933</v>
      </c>
    </row>
  </sheetData>
  <autoFilter ref="A2:E124">
    <filterColumn colId="2">
      <filters>
        <filter val="1,675"/>
        <filter val="10"/>
        <filter val="100"/>
        <filter val="115"/>
        <filter val="12"/>
        <filter val="120"/>
        <filter val="130"/>
        <filter val="15"/>
        <filter val="150"/>
        <filter val="160"/>
        <filter val="170"/>
        <filter val="2"/>
        <filter val="2,250"/>
        <filter val="20"/>
        <filter val="208"/>
        <filter val="22"/>
        <filter val="225"/>
        <filter val="24"/>
        <filter val="240"/>
        <filter val="25"/>
        <filter val="255"/>
        <filter val="28"/>
        <filter val="280"/>
        <filter val="295"/>
        <filter val="3"/>
        <filter val="3,425"/>
        <filter val="35"/>
        <filter val="353"/>
        <filter val="390"/>
        <filter val="4"/>
        <filter val="440"/>
        <filter val="5"/>
        <filter val="50"/>
        <filter val="58"/>
        <filter val="6"/>
        <filter val="60"/>
        <filter val="7"/>
        <filter val="70"/>
        <filter val="750"/>
        <filter val="76"/>
        <filter val="8"/>
        <filter val="97"/>
      </filters>
    </filterColumn>
  </autoFilter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113"/>
  <sheetViews>
    <sheetView tabSelected="1" workbookViewId="0">
      <selection activeCell="H17" sqref="H17"/>
    </sheetView>
  </sheetViews>
  <sheetFormatPr defaultRowHeight="13.8"/>
  <cols>
    <col min="1" max="1" width="24.69921875" customWidth="1"/>
    <col min="5" max="5" width="15.5" customWidth="1"/>
  </cols>
  <sheetData>
    <row r="1" spans="1:5">
      <c r="A1" t="s">
        <v>193</v>
      </c>
    </row>
    <row r="2" spans="1:5" ht="61.8" customHeight="1">
      <c r="A2" s="52" t="s">
        <v>106</v>
      </c>
      <c r="B2" s="52" t="s">
        <v>0</v>
      </c>
      <c r="C2" s="53" t="s">
        <v>111</v>
      </c>
      <c r="D2" s="53" t="s">
        <v>112</v>
      </c>
      <c r="E2" s="54" t="s">
        <v>113</v>
      </c>
    </row>
    <row r="3" spans="1:5" ht="15.6">
      <c r="A3" s="22" t="s">
        <v>2</v>
      </c>
      <c r="B3" s="22" t="s">
        <v>3</v>
      </c>
      <c r="C3" s="53">
        <v>15</v>
      </c>
      <c r="D3" s="53">
        <v>18000</v>
      </c>
      <c r="E3" s="55">
        <f>C3*D3</f>
        <v>270000</v>
      </c>
    </row>
    <row r="4" spans="1:5" ht="15.6">
      <c r="A4" s="22" t="s">
        <v>4</v>
      </c>
      <c r="B4" s="22" t="s">
        <v>3</v>
      </c>
      <c r="C4" s="53">
        <v>436</v>
      </c>
      <c r="D4" s="53">
        <v>5500</v>
      </c>
      <c r="E4" s="55">
        <f t="shared" ref="E4:E67" si="0">C4*D4</f>
        <v>2398000</v>
      </c>
    </row>
    <row r="5" spans="1:5" ht="15.6">
      <c r="A5" s="22" t="s">
        <v>5</v>
      </c>
      <c r="B5" s="22" t="s">
        <v>3</v>
      </c>
      <c r="C5" s="53">
        <v>411</v>
      </c>
      <c r="D5" s="53">
        <v>3500</v>
      </c>
      <c r="E5" s="55">
        <f t="shared" si="0"/>
        <v>1438500</v>
      </c>
    </row>
    <row r="6" spans="1:5" ht="15.6" hidden="1">
      <c r="A6" s="22" t="s">
        <v>96</v>
      </c>
      <c r="B6" s="22" t="s">
        <v>3</v>
      </c>
      <c r="C6" s="53">
        <v>0</v>
      </c>
      <c r="D6" s="53"/>
      <c r="E6" s="55">
        <f t="shared" si="0"/>
        <v>0</v>
      </c>
    </row>
    <row r="7" spans="1:5" ht="15.6" hidden="1">
      <c r="A7" s="22" t="s">
        <v>6</v>
      </c>
      <c r="B7" s="22" t="s">
        <v>3</v>
      </c>
      <c r="C7" s="53">
        <v>0</v>
      </c>
      <c r="D7" s="53"/>
      <c r="E7" s="55">
        <f t="shared" si="0"/>
        <v>0</v>
      </c>
    </row>
    <row r="8" spans="1:5" ht="15.6">
      <c r="A8" s="22" t="s">
        <v>7</v>
      </c>
      <c r="B8" s="22" t="s">
        <v>3</v>
      </c>
      <c r="C8" s="53">
        <v>300</v>
      </c>
      <c r="D8" s="53">
        <v>10500</v>
      </c>
      <c r="E8" s="55">
        <f t="shared" si="0"/>
        <v>3150000</v>
      </c>
    </row>
    <row r="9" spans="1:5" ht="15.6" hidden="1">
      <c r="A9" s="22" t="s">
        <v>116</v>
      </c>
      <c r="B9" s="22" t="s">
        <v>3</v>
      </c>
      <c r="C9" s="53">
        <v>0</v>
      </c>
      <c r="D9" s="53"/>
      <c r="E9" s="55">
        <f t="shared" si="0"/>
        <v>0</v>
      </c>
    </row>
    <row r="10" spans="1:5" ht="15.6" hidden="1">
      <c r="A10" s="22" t="s">
        <v>8</v>
      </c>
      <c r="B10" s="22" t="s">
        <v>3</v>
      </c>
      <c r="C10" s="53">
        <v>0</v>
      </c>
      <c r="D10" s="53"/>
      <c r="E10" s="55">
        <f t="shared" si="0"/>
        <v>0</v>
      </c>
    </row>
    <row r="11" spans="1:5" ht="15.6" hidden="1">
      <c r="A11" s="22" t="s">
        <v>8</v>
      </c>
      <c r="B11" s="22" t="s">
        <v>9</v>
      </c>
      <c r="C11" s="53">
        <v>0</v>
      </c>
      <c r="D11" s="53"/>
      <c r="E11" s="55">
        <f t="shared" si="0"/>
        <v>0</v>
      </c>
    </row>
    <row r="12" spans="1:5" ht="15.6">
      <c r="A12" s="22" t="s">
        <v>10</v>
      </c>
      <c r="B12" s="22" t="s">
        <v>3</v>
      </c>
      <c r="C12" s="53">
        <v>67</v>
      </c>
      <c r="D12" s="53">
        <v>15000</v>
      </c>
      <c r="E12" s="55">
        <f t="shared" si="0"/>
        <v>1005000</v>
      </c>
    </row>
    <row r="13" spans="1:5" ht="15.6" hidden="1">
      <c r="A13" s="22" t="s">
        <v>10</v>
      </c>
      <c r="B13" s="22" t="s">
        <v>9</v>
      </c>
      <c r="C13" s="53">
        <v>0</v>
      </c>
      <c r="D13" s="53"/>
      <c r="E13" s="55">
        <f t="shared" si="0"/>
        <v>0</v>
      </c>
    </row>
    <row r="14" spans="1:5" ht="15.6" hidden="1">
      <c r="A14" s="22" t="s">
        <v>11</v>
      </c>
      <c r="B14" s="22" t="s">
        <v>3</v>
      </c>
      <c r="C14" s="53">
        <v>0</v>
      </c>
      <c r="D14" s="53"/>
      <c r="E14" s="55">
        <f t="shared" si="0"/>
        <v>0</v>
      </c>
    </row>
    <row r="15" spans="1:5" ht="15.6">
      <c r="A15" s="22" t="s">
        <v>12</v>
      </c>
      <c r="B15" s="22" t="s">
        <v>3</v>
      </c>
      <c r="C15" s="53">
        <v>8</v>
      </c>
      <c r="D15" s="53">
        <v>12000</v>
      </c>
      <c r="E15" s="55">
        <f t="shared" si="0"/>
        <v>96000</v>
      </c>
    </row>
    <row r="16" spans="1:5" ht="15.6" hidden="1">
      <c r="A16" s="22" t="s">
        <v>13</v>
      </c>
      <c r="B16" s="22" t="s">
        <v>3</v>
      </c>
      <c r="C16" s="53">
        <v>0</v>
      </c>
      <c r="D16" s="53"/>
      <c r="E16" s="55">
        <f t="shared" si="0"/>
        <v>0</v>
      </c>
    </row>
    <row r="17" spans="1:5" ht="15.6">
      <c r="A17" s="22" t="s">
        <v>14</v>
      </c>
      <c r="B17" s="22" t="s">
        <v>3</v>
      </c>
      <c r="C17" s="53">
        <v>10</v>
      </c>
      <c r="D17" s="53">
        <v>13000</v>
      </c>
      <c r="E17" s="55">
        <f t="shared" si="0"/>
        <v>130000</v>
      </c>
    </row>
    <row r="18" spans="1:5" ht="15.6" hidden="1">
      <c r="A18" s="22" t="s">
        <v>15</v>
      </c>
      <c r="B18" s="22" t="s">
        <v>3</v>
      </c>
      <c r="C18" s="53">
        <v>0</v>
      </c>
      <c r="D18" s="53"/>
      <c r="E18" s="55">
        <f t="shared" si="0"/>
        <v>0</v>
      </c>
    </row>
    <row r="19" spans="1:5" ht="15.6" hidden="1">
      <c r="A19" s="22" t="s">
        <v>16</v>
      </c>
      <c r="B19" s="22" t="s">
        <v>17</v>
      </c>
      <c r="C19" s="53">
        <v>0</v>
      </c>
      <c r="D19" s="53"/>
      <c r="E19" s="55">
        <f t="shared" si="0"/>
        <v>0</v>
      </c>
    </row>
    <row r="20" spans="1:5" ht="15.6" hidden="1">
      <c r="A20" s="22" t="s">
        <v>145</v>
      </c>
      <c r="B20" s="22" t="s">
        <v>40</v>
      </c>
      <c r="C20" s="53">
        <v>0</v>
      </c>
      <c r="D20" s="53"/>
      <c r="E20" s="55">
        <f t="shared" si="0"/>
        <v>0</v>
      </c>
    </row>
    <row r="21" spans="1:5" ht="15.6" hidden="1">
      <c r="A21" s="22" t="s">
        <v>97</v>
      </c>
      <c r="B21" s="22" t="s">
        <v>3</v>
      </c>
      <c r="C21" s="53">
        <v>0</v>
      </c>
      <c r="D21" s="53"/>
      <c r="E21" s="55">
        <f t="shared" si="0"/>
        <v>0</v>
      </c>
    </row>
    <row r="22" spans="1:5" ht="15.6">
      <c r="A22" s="22" t="s">
        <v>18</v>
      </c>
      <c r="B22" s="22" t="s">
        <v>3</v>
      </c>
      <c r="C22" s="53">
        <v>95</v>
      </c>
      <c r="D22" s="53">
        <v>16000</v>
      </c>
      <c r="E22" s="55">
        <f t="shared" si="0"/>
        <v>1520000</v>
      </c>
    </row>
    <row r="23" spans="1:5" ht="15.6" hidden="1">
      <c r="A23" s="22" t="s">
        <v>18</v>
      </c>
      <c r="B23" s="22" t="s">
        <v>17</v>
      </c>
      <c r="C23" s="53">
        <v>0</v>
      </c>
      <c r="D23" s="53"/>
      <c r="E23" s="55">
        <f t="shared" si="0"/>
        <v>0</v>
      </c>
    </row>
    <row r="24" spans="1:5" ht="15.6" hidden="1">
      <c r="A24" s="22" t="s">
        <v>18</v>
      </c>
      <c r="B24" s="22" t="s">
        <v>19</v>
      </c>
      <c r="C24" s="53">
        <v>0</v>
      </c>
      <c r="D24" s="53"/>
      <c r="E24" s="55">
        <f t="shared" si="0"/>
        <v>0</v>
      </c>
    </row>
    <row r="25" spans="1:5" ht="15.6">
      <c r="A25" s="22" t="s">
        <v>20</v>
      </c>
      <c r="B25" s="22" t="s">
        <v>3</v>
      </c>
      <c r="C25" s="53">
        <v>30</v>
      </c>
      <c r="D25" s="53">
        <v>14000</v>
      </c>
      <c r="E25" s="55">
        <f t="shared" si="0"/>
        <v>420000</v>
      </c>
    </row>
    <row r="26" spans="1:5" ht="15.6" hidden="1">
      <c r="A26" s="22" t="s">
        <v>20</v>
      </c>
      <c r="B26" s="22" t="s">
        <v>21</v>
      </c>
      <c r="C26" s="53">
        <v>0</v>
      </c>
      <c r="D26" s="53"/>
      <c r="E26" s="55">
        <f t="shared" si="0"/>
        <v>0</v>
      </c>
    </row>
    <row r="27" spans="1:5" ht="15.6">
      <c r="A27" s="22" t="s">
        <v>22</v>
      </c>
      <c r="B27" s="22" t="s">
        <v>171</v>
      </c>
      <c r="C27" s="53">
        <v>12</v>
      </c>
      <c r="D27" s="53">
        <v>10000</v>
      </c>
      <c r="E27" s="55">
        <f t="shared" si="0"/>
        <v>120000</v>
      </c>
    </row>
    <row r="28" spans="1:5" ht="15.6">
      <c r="A28" s="22" t="s">
        <v>22</v>
      </c>
      <c r="B28" s="22" t="s">
        <v>23</v>
      </c>
      <c r="C28" s="53">
        <v>65</v>
      </c>
      <c r="D28" s="53">
        <v>6000</v>
      </c>
      <c r="E28" s="55">
        <f t="shared" si="0"/>
        <v>390000</v>
      </c>
    </row>
    <row r="29" spans="1:5" ht="15.6" hidden="1">
      <c r="A29" s="22" t="s">
        <v>24</v>
      </c>
      <c r="B29" s="22" t="s">
        <v>25</v>
      </c>
      <c r="C29" s="53">
        <v>0</v>
      </c>
      <c r="D29" s="53"/>
      <c r="E29" s="55">
        <f t="shared" si="0"/>
        <v>0</v>
      </c>
    </row>
    <row r="30" spans="1:5" ht="15.6" hidden="1">
      <c r="A30" s="22" t="s">
        <v>26</v>
      </c>
      <c r="B30" s="22" t="s">
        <v>3</v>
      </c>
      <c r="C30" s="53">
        <v>0</v>
      </c>
      <c r="D30" s="53"/>
      <c r="E30" s="55">
        <f t="shared" si="0"/>
        <v>0</v>
      </c>
    </row>
    <row r="31" spans="1:5" ht="15.6">
      <c r="A31" s="22" t="s">
        <v>26</v>
      </c>
      <c r="B31" s="22" t="s">
        <v>27</v>
      </c>
      <c r="C31" s="53">
        <v>15</v>
      </c>
      <c r="D31" s="53">
        <v>7500</v>
      </c>
      <c r="E31" s="55">
        <f t="shared" si="0"/>
        <v>112500</v>
      </c>
    </row>
    <row r="32" spans="1:5" ht="15.6">
      <c r="A32" s="22" t="s">
        <v>28</v>
      </c>
      <c r="B32" s="22" t="s">
        <v>3</v>
      </c>
      <c r="C32" s="53">
        <v>415</v>
      </c>
      <c r="D32" s="53">
        <v>15000</v>
      </c>
      <c r="E32" s="55">
        <f t="shared" si="0"/>
        <v>6225000</v>
      </c>
    </row>
    <row r="33" spans="1:5" ht="15.6" hidden="1">
      <c r="A33" s="22" t="s">
        <v>28</v>
      </c>
      <c r="B33" s="22" t="s">
        <v>17</v>
      </c>
      <c r="C33" s="53">
        <v>0</v>
      </c>
      <c r="D33" s="53"/>
      <c r="E33" s="55">
        <f t="shared" si="0"/>
        <v>0</v>
      </c>
    </row>
    <row r="34" spans="1:5" ht="15.6">
      <c r="A34" s="22" t="s">
        <v>29</v>
      </c>
      <c r="B34" s="22" t="s">
        <v>30</v>
      </c>
      <c r="C34" s="53">
        <v>30</v>
      </c>
      <c r="D34" s="53">
        <v>10000</v>
      </c>
      <c r="E34" s="55">
        <f t="shared" si="0"/>
        <v>300000</v>
      </c>
    </row>
    <row r="35" spans="1:5" ht="15.6">
      <c r="A35" s="22" t="s">
        <v>31</v>
      </c>
      <c r="B35" s="22" t="s">
        <v>3</v>
      </c>
      <c r="C35" s="53">
        <v>125</v>
      </c>
      <c r="D35" s="53">
        <v>6000</v>
      </c>
      <c r="E35" s="55">
        <f t="shared" si="0"/>
        <v>750000</v>
      </c>
    </row>
    <row r="36" spans="1:5" ht="15.6" hidden="1">
      <c r="A36" s="22" t="s">
        <v>31</v>
      </c>
      <c r="B36" s="22" t="s">
        <v>30</v>
      </c>
      <c r="C36" s="53">
        <v>0</v>
      </c>
      <c r="D36" s="53"/>
      <c r="E36" s="55">
        <f t="shared" si="0"/>
        <v>0</v>
      </c>
    </row>
    <row r="37" spans="1:5" ht="15.6">
      <c r="A37" s="22" t="s">
        <v>32</v>
      </c>
      <c r="B37" s="22" t="s">
        <v>17</v>
      </c>
      <c r="C37" s="53">
        <v>4</v>
      </c>
      <c r="D37" s="53">
        <v>6000</v>
      </c>
      <c r="E37" s="55">
        <f t="shared" si="0"/>
        <v>24000</v>
      </c>
    </row>
    <row r="38" spans="1:5" ht="15.6">
      <c r="A38" s="22" t="s">
        <v>33</v>
      </c>
      <c r="B38" s="22" t="s">
        <v>3</v>
      </c>
      <c r="C38" s="53">
        <v>40</v>
      </c>
      <c r="D38" s="53">
        <v>8000</v>
      </c>
      <c r="E38" s="55">
        <f t="shared" si="0"/>
        <v>320000</v>
      </c>
    </row>
    <row r="39" spans="1:5" ht="15.6" hidden="1">
      <c r="A39" s="22" t="s">
        <v>33</v>
      </c>
      <c r="B39" s="22" t="s">
        <v>34</v>
      </c>
      <c r="C39" s="53">
        <v>0</v>
      </c>
      <c r="D39" s="53"/>
      <c r="E39" s="55">
        <f t="shared" si="0"/>
        <v>0</v>
      </c>
    </row>
    <row r="40" spans="1:5" ht="15.6" hidden="1">
      <c r="A40" s="22" t="s">
        <v>35</v>
      </c>
      <c r="B40" s="22" t="s">
        <v>3</v>
      </c>
      <c r="C40" s="53">
        <v>0</v>
      </c>
      <c r="D40" s="53"/>
      <c r="E40" s="55">
        <f t="shared" si="0"/>
        <v>0</v>
      </c>
    </row>
    <row r="41" spans="1:5" ht="15.6" hidden="1">
      <c r="A41" s="22" t="s">
        <v>35</v>
      </c>
      <c r="B41" s="22" t="s">
        <v>30</v>
      </c>
      <c r="C41" s="53">
        <v>0</v>
      </c>
      <c r="D41" s="53"/>
      <c r="E41" s="55">
        <f t="shared" si="0"/>
        <v>0</v>
      </c>
    </row>
    <row r="42" spans="1:5" ht="15.6">
      <c r="A42" s="22" t="s">
        <v>36</v>
      </c>
      <c r="B42" s="22" t="s">
        <v>30</v>
      </c>
      <c r="C42" s="53">
        <v>8</v>
      </c>
      <c r="D42" s="53">
        <v>3000</v>
      </c>
      <c r="E42" s="55">
        <f t="shared" si="0"/>
        <v>24000</v>
      </c>
    </row>
    <row r="43" spans="1:5" ht="15.6">
      <c r="A43" s="22" t="s">
        <v>37</v>
      </c>
      <c r="B43" s="22" t="s">
        <v>30</v>
      </c>
      <c r="C43" s="53">
        <v>14</v>
      </c>
      <c r="D43" s="53">
        <v>3300</v>
      </c>
      <c r="E43" s="55">
        <f t="shared" si="0"/>
        <v>46200</v>
      </c>
    </row>
    <row r="44" spans="1:5" ht="15.6">
      <c r="A44" s="22" t="s">
        <v>38</v>
      </c>
      <c r="B44" s="22" t="s">
        <v>3</v>
      </c>
      <c r="C44" s="53">
        <v>1925</v>
      </c>
      <c r="D44" s="53">
        <v>5000</v>
      </c>
      <c r="E44" s="55">
        <f t="shared" si="0"/>
        <v>9625000</v>
      </c>
    </row>
    <row r="45" spans="1:5" ht="15.6">
      <c r="A45" s="22" t="s">
        <v>98</v>
      </c>
      <c r="B45" s="22" t="s">
        <v>3</v>
      </c>
      <c r="C45" s="53">
        <v>2</v>
      </c>
      <c r="D45" s="53">
        <v>14000</v>
      </c>
      <c r="E45" s="55">
        <f t="shared" si="0"/>
        <v>28000</v>
      </c>
    </row>
    <row r="46" spans="1:5" ht="15.6">
      <c r="A46" s="22" t="s">
        <v>99</v>
      </c>
      <c r="B46" s="22" t="s">
        <v>3</v>
      </c>
      <c r="C46" s="53">
        <v>100</v>
      </c>
      <c r="D46" s="53">
        <v>3000</v>
      </c>
      <c r="E46" s="55">
        <f t="shared" si="0"/>
        <v>300000</v>
      </c>
    </row>
    <row r="47" spans="1:5" ht="15.6">
      <c r="A47" s="22" t="s">
        <v>39</v>
      </c>
      <c r="B47" s="22" t="s">
        <v>3</v>
      </c>
      <c r="C47" s="53">
        <v>25</v>
      </c>
      <c r="D47" s="53">
        <v>10000</v>
      </c>
      <c r="E47" s="55">
        <f t="shared" si="0"/>
        <v>250000</v>
      </c>
    </row>
    <row r="48" spans="1:5" ht="15.6" hidden="1">
      <c r="A48" s="22" t="s">
        <v>39</v>
      </c>
      <c r="B48" s="22" t="s">
        <v>40</v>
      </c>
      <c r="C48" s="53">
        <v>0</v>
      </c>
      <c r="D48" s="53"/>
      <c r="E48" s="55">
        <f t="shared" si="0"/>
        <v>0</v>
      </c>
    </row>
    <row r="49" spans="1:5" ht="15.6" hidden="1">
      <c r="A49" s="22" t="s">
        <v>100</v>
      </c>
      <c r="B49" s="22" t="s">
        <v>3</v>
      </c>
      <c r="C49" s="53">
        <v>0</v>
      </c>
      <c r="D49" s="53"/>
      <c r="E49" s="55">
        <f t="shared" si="0"/>
        <v>0</v>
      </c>
    </row>
    <row r="50" spans="1:5" ht="15.6" hidden="1">
      <c r="A50" s="22" t="s">
        <v>41</v>
      </c>
      <c r="B50" s="22" t="s">
        <v>3</v>
      </c>
      <c r="C50" s="53">
        <v>0</v>
      </c>
      <c r="D50" s="53"/>
      <c r="E50" s="55">
        <f t="shared" si="0"/>
        <v>0</v>
      </c>
    </row>
    <row r="51" spans="1:5" ht="15.6">
      <c r="A51" s="22" t="s">
        <v>42</v>
      </c>
      <c r="B51" s="22" t="s">
        <v>25</v>
      </c>
      <c r="C51" s="53">
        <v>2</v>
      </c>
      <c r="D51" s="53">
        <v>10000</v>
      </c>
      <c r="E51" s="55">
        <f t="shared" si="0"/>
        <v>20000</v>
      </c>
    </row>
    <row r="52" spans="1:5" ht="15.6" hidden="1">
      <c r="A52" s="22" t="s">
        <v>44</v>
      </c>
      <c r="B52" s="22" t="s">
        <v>3</v>
      </c>
      <c r="C52" s="53">
        <v>0</v>
      </c>
      <c r="D52" s="53"/>
      <c r="E52" s="55">
        <f t="shared" si="0"/>
        <v>0</v>
      </c>
    </row>
    <row r="53" spans="1:5" ht="15.6">
      <c r="A53" s="22" t="s">
        <v>45</v>
      </c>
      <c r="B53" s="22" t="s">
        <v>3</v>
      </c>
      <c r="C53" s="53">
        <v>70</v>
      </c>
      <c r="D53" s="53">
        <v>9000</v>
      </c>
      <c r="E53" s="55">
        <f t="shared" si="0"/>
        <v>630000</v>
      </c>
    </row>
    <row r="54" spans="1:5" ht="15.6" hidden="1">
      <c r="A54" s="22" t="s">
        <v>45</v>
      </c>
      <c r="B54" s="22" t="s">
        <v>30</v>
      </c>
      <c r="C54" s="53">
        <v>0</v>
      </c>
      <c r="D54" s="53"/>
      <c r="E54" s="55">
        <f t="shared" si="0"/>
        <v>0</v>
      </c>
    </row>
    <row r="55" spans="1:5" ht="15.6">
      <c r="A55" s="22" t="s">
        <v>46</v>
      </c>
      <c r="B55" s="22" t="s">
        <v>3</v>
      </c>
      <c r="C55" s="53">
        <v>7</v>
      </c>
      <c r="D55" s="53">
        <v>19000</v>
      </c>
      <c r="E55" s="55">
        <f t="shared" si="0"/>
        <v>133000</v>
      </c>
    </row>
    <row r="56" spans="1:5" ht="15.6">
      <c r="A56" s="22" t="s">
        <v>47</v>
      </c>
      <c r="B56" s="22" t="s">
        <v>3</v>
      </c>
      <c r="C56" s="53">
        <v>270</v>
      </c>
      <c r="D56" s="53">
        <v>7000</v>
      </c>
      <c r="E56" s="55">
        <f t="shared" si="0"/>
        <v>1890000</v>
      </c>
    </row>
    <row r="57" spans="1:5" ht="15.6" hidden="1">
      <c r="A57" s="22" t="s">
        <v>47</v>
      </c>
      <c r="B57" s="22" t="s">
        <v>48</v>
      </c>
      <c r="C57" s="53">
        <v>0</v>
      </c>
      <c r="D57" s="53"/>
      <c r="E57" s="55">
        <f t="shared" si="0"/>
        <v>0</v>
      </c>
    </row>
    <row r="58" spans="1:5" ht="15.6">
      <c r="A58" s="22" t="s">
        <v>134</v>
      </c>
      <c r="B58" s="22" t="s">
        <v>3</v>
      </c>
      <c r="C58" s="53">
        <v>3</v>
      </c>
      <c r="D58" s="53">
        <v>20000</v>
      </c>
      <c r="E58" s="55">
        <f t="shared" si="0"/>
        <v>60000</v>
      </c>
    </row>
    <row r="59" spans="1:5" ht="15.6">
      <c r="A59" s="22" t="s">
        <v>49</v>
      </c>
      <c r="B59" s="22" t="s">
        <v>30</v>
      </c>
      <c r="C59" s="53">
        <v>200</v>
      </c>
      <c r="D59" s="53">
        <v>1800</v>
      </c>
      <c r="E59" s="55">
        <f t="shared" si="0"/>
        <v>360000</v>
      </c>
    </row>
    <row r="60" spans="1:5" ht="15.6">
      <c r="A60" s="22" t="s">
        <v>50</v>
      </c>
      <c r="B60" s="22" t="s">
        <v>3</v>
      </c>
      <c r="C60" s="53">
        <v>2850</v>
      </c>
      <c r="D60" s="53">
        <v>25000</v>
      </c>
      <c r="E60" s="55">
        <f t="shared" si="0"/>
        <v>71250000</v>
      </c>
    </row>
    <row r="61" spans="1:5" ht="15.6">
      <c r="A61" s="22" t="s">
        <v>51</v>
      </c>
      <c r="B61" s="22" t="s">
        <v>3</v>
      </c>
      <c r="C61" s="53">
        <v>205</v>
      </c>
      <c r="D61" s="53">
        <v>25000</v>
      </c>
      <c r="E61" s="55">
        <f t="shared" si="0"/>
        <v>5125000</v>
      </c>
    </row>
    <row r="62" spans="1:5" ht="15.6" hidden="1">
      <c r="A62" s="22" t="s">
        <v>53</v>
      </c>
      <c r="B62" s="22" t="s">
        <v>3</v>
      </c>
      <c r="C62" s="53">
        <v>0</v>
      </c>
      <c r="D62" s="53"/>
      <c r="E62" s="55">
        <f t="shared" si="0"/>
        <v>0</v>
      </c>
    </row>
    <row r="63" spans="1:5" ht="15.6">
      <c r="A63" s="22" t="s">
        <v>54</v>
      </c>
      <c r="B63" s="22" t="s">
        <v>3</v>
      </c>
      <c r="C63" s="53">
        <v>23</v>
      </c>
      <c r="D63" s="53">
        <v>25000</v>
      </c>
      <c r="E63" s="55">
        <f t="shared" si="0"/>
        <v>575000</v>
      </c>
    </row>
    <row r="64" spans="1:5" ht="15.6" hidden="1">
      <c r="A64" s="22" t="s">
        <v>55</v>
      </c>
      <c r="B64" s="22" t="s">
        <v>3</v>
      </c>
      <c r="C64" s="53">
        <v>0</v>
      </c>
      <c r="D64" s="53"/>
      <c r="E64" s="55">
        <f t="shared" si="0"/>
        <v>0</v>
      </c>
    </row>
    <row r="65" spans="1:5" ht="15.6">
      <c r="A65" s="22" t="s">
        <v>108</v>
      </c>
      <c r="B65" s="22" t="s">
        <v>3</v>
      </c>
      <c r="C65" s="53">
        <v>3</v>
      </c>
      <c r="D65" s="53">
        <v>5400</v>
      </c>
      <c r="E65" s="55">
        <f t="shared" si="0"/>
        <v>16200</v>
      </c>
    </row>
    <row r="66" spans="1:5" ht="15.6">
      <c r="A66" s="22" t="s">
        <v>56</v>
      </c>
      <c r="B66" s="22" t="s">
        <v>3</v>
      </c>
      <c r="C66" s="53">
        <v>490</v>
      </c>
      <c r="D66" s="53">
        <v>14000</v>
      </c>
      <c r="E66" s="55">
        <f t="shared" si="0"/>
        <v>6860000</v>
      </c>
    </row>
    <row r="67" spans="1:5" ht="15.6" hidden="1">
      <c r="A67" s="22" t="s">
        <v>56</v>
      </c>
      <c r="B67" s="22" t="s">
        <v>30</v>
      </c>
      <c r="C67" s="53">
        <v>0</v>
      </c>
      <c r="D67" s="53"/>
      <c r="E67" s="55">
        <f t="shared" si="0"/>
        <v>0</v>
      </c>
    </row>
    <row r="68" spans="1:5" ht="15.6" hidden="1">
      <c r="A68" s="22" t="s">
        <v>57</v>
      </c>
      <c r="B68" s="22" t="s">
        <v>30</v>
      </c>
      <c r="C68" s="53">
        <v>0</v>
      </c>
      <c r="D68" s="53"/>
      <c r="E68" s="55">
        <f t="shared" ref="E68:E112" si="1">C68*D68</f>
        <v>0</v>
      </c>
    </row>
    <row r="69" spans="1:5" ht="15.6" hidden="1">
      <c r="A69" s="22" t="s">
        <v>58</v>
      </c>
      <c r="B69" s="22" t="s">
        <v>3</v>
      </c>
      <c r="C69" s="53">
        <v>0</v>
      </c>
      <c r="D69" s="53"/>
      <c r="E69" s="55">
        <f t="shared" si="1"/>
        <v>0</v>
      </c>
    </row>
    <row r="70" spans="1:5" ht="15.6">
      <c r="A70" s="22" t="s">
        <v>59</v>
      </c>
      <c r="B70" s="22" t="s">
        <v>30</v>
      </c>
      <c r="C70" s="53">
        <v>15</v>
      </c>
      <c r="D70" s="53">
        <v>6000</v>
      </c>
      <c r="E70" s="55">
        <f t="shared" si="1"/>
        <v>90000</v>
      </c>
    </row>
    <row r="71" spans="1:5" ht="15.6" hidden="1">
      <c r="A71" s="22" t="s">
        <v>60</v>
      </c>
      <c r="B71" s="22" t="s">
        <v>3</v>
      </c>
      <c r="C71" s="53">
        <v>0</v>
      </c>
      <c r="D71" s="53"/>
      <c r="E71" s="55">
        <f t="shared" si="1"/>
        <v>0</v>
      </c>
    </row>
    <row r="72" spans="1:5" ht="15.6" hidden="1">
      <c r="A72" s="22" t="s">
        <v>60</v>
      </c>
      <c r="B72" s="22" t="s">
        <v>30</v>
      </c>
      <c r="C72" s="53">
        <v>0</v>
      </c>
      <c r="D72" s="53"/>
      <c r="E72" s="55">
        <f t="shared" si="1"/>
        <v>0</v>
      </c>
    </row>
    <row r="73" spans="1:5" ht="15.6">
      <c r="A73" s="22" t="s">
        <v>60</v>
      </c>
      <c r="B73" s="22" t="s">
        <v>61</v>
      </c>
      <c r="C73" s="53">
        <v>30</v>
      </c>
      <c r="D73" s="53">
        <v>8500</v>
      </c>
      <c r="E73" s="55">
        <f t="shared" si="1"/>
        <v>255000</v>
      </c>
    </row>
    <row r="74" spans="1:5" ht="15.6" hidden="1">
      <c r="A74" s="22" t="s">
        <v>62</v>
      </c>
      <c r="B74" s="22" t="s">
        <v>3</v>
      </c>
      <c r="C74" s="53">
        <v>0</v>
      </c>
      <c r="D74" s="53"/>
      <c r="E74" s="55">
        <f t="shared" si="1"/>
        <v>0</v>
      </c>
    </row>
    <row r="75" spans="1:5" ht="15.6" hidden="1">
      <c r="A75" s="22" t="s">
        <v>63</v>
      </c>
      <c r="B75" s="22" t="s">
        <v>3</v>
      </c>
      <c r="C75" s="53">
        <v>0</v>
      </c>
      <c r="D75" s="53"/>
      <c r="E75" s="55">
        <f t="shared" si="1"/>
        <v>0</v>
      </c>
    </row>
    <row r="76" spans="1:5" ht="15.6" hidden="1">
      <c r="A76" s="22" t="s">
        <v>64</v>
      </c>
      <c r="B76" s="22" t="s">
        <v>3</v>
      </c>
      <c r="C76" s="53">
        <v>0</v>
      </c>
      <c r="D76" s="53"/>
      <c r="E76" s="55">
        <f t="shared" si="1"/>
        <v>0</v>
      </c>
    </row>
    <row r="77" spans="1:5" ht="15.6" hidden="1">
      <c r="A77" s="22" t="s">
        <v>120</v>
      </c>
      <c r="B77" s="22" t="s">
        <v>30</v>
      </c>
      <c r="C77" s="53">
        <v>0</v>
      </c>
      <c r="D77" s="53"/>
      <c r="E77" s="55">
        <f t="shared" si="1"/>
        <v>0</v>
      </c>
    </row>
    <row r="78" spans="1:5" ht="15.6">
      <c r="A78" s="22" t="s">
        <v>65</v>
      </c>
      <c r="B78" s="22" t="s">
        <v>3</v>
      </c>
      <c r="C78" s="53">
        <v>70</v>
      </c>
      <c r="D78" s="53">
        <v>13000</v>
      </c>
      <c r="E78" s="55">
        <f t="shared" si="1"/>
        <v>910000</v>
      </c>
    </row>
    <row r="79" spans="1:5" ht="15.6">
      <c r="A79" s="22" t="s">
        <v>65</v>
      </c>
      <c r="B79" s="22" t="s">
        <v>17</v>
      </c>
      <c r="C79" s="53">
        <v>606</v>
      </c>
      <c r="D79" s="53">
        <v>9000</v>
      </c>
      <c r="E79" s="55">
        <f t="shared" si="1"/>
        <v>5454000</v>
      </c>
    </row>
    <row r="80" spans="1:5" ht="15.6" hidden="1">
      <c r="A80" s="22" t="s">
        <v>66</v>
      </c>
      <c r="B80" s="22" t="s">
        <v>3</v>
      </c>
      <c r="C80" s="53">
        <v>0</v>
      </c>
      <c r="D80" s="53"/>
      <c r="E80" s="55">
        <f t="shared" si="1"/>
        <v>0</v>
      </c>
    </row>
    <row r="81" spans="1:5" ht="15.6">
      <c r="A81" s="22" t="s">
        <v>67</v>
      </c>
      <c r="B81" s="22" t="s">
        <v>3</v>
      </c>
      <c r="C81" s="53">
        <v>25</v>
      </c>
      <c r="D81" s="53">
        <v>15000</v>
      </c>
      <c r="E81" s="55">
        <f t="shared" si="1"/>
        <v>375000</v>
      </c>
    </row>
    <row r="82" spans="1:5" ht="15.6">
      <c r="A82" s="22" t="s">
        <v>68</v>
      </c>
      <c r="B82" s="22" t="s">
        <v>3</v>
      </c>
      <c r="C82" s="53">
        <v>20</v>
      </c>
      <c r="D82" s="53">
        <v>10000</v>
      </c>
      <c r="E82" s="55">
        <f t="shared" si="1"/>
        <v>200000</v>
      </c>
    </row>
    <row r="83" spans="1:5" ht="15.6" hidden="1">
      <c r="A83" s="22" t="s">
        <v>68</v>
      </c>
      <c r="B83" s="22" t="s">
        <v>40</v>
      </c>
      <c r="C83" s="53">
        <v>0</v>
      </c>
      <c r="D83" s="53"/>
      <c r="E83" s="55">
        <f t="shared" si="1"/>
        <v>0</v>
      </c>
    </row>
    <row r="84" spans="1:5" ht="15.6" hidden="1">
      <c r="A84" s="22" t="s">
        <v>69</v>
      </c>
      <c r="B84" s="22" t="s">
        <v>3</v>
      </c>
      <c r="C84" s="53">
        <v>0</v>
      </c>
      <c r="D84" s="53"/>
      <c r="E84" s="55">
        <f t="shared" si="1"/>
        <v>0</v>
      </c>
    </row>
    <row r="85" spans="1:5" ht="15.6" hidden="1">
      <c r="A85" s="22" t="s">
        <v>70</v>
      </c>
      <c r="B85" s="22" t="s">
        <v>30</v>
      </c>
      <c r="C85" s="53">
        <v>0</v>
      </c>
      <c r="D85" s="53"/>
      <c r="E85" s="55">
        <f t="shared" si="1"/>
        <v>0</v>
      </c>
    </row>
    <row r="86" spans="1:5" ht="15.6">
      <c r="A86" s="22" t="s">
        <v>71</v>
      </c>
      <c r="B86" s="22" t="s">
        <v>3</v>
      </c>
      <c r="C86" s="53">
        <v>14</v>
      </c>
      <c r="D86" s="53">
        <v>14000</v>
      </c>
      <c r="E86" s="55">
        <f t="shared" si="1"/>
        <v>196000</v>
      </c>
    </row>
    <row r="87" spans="1:5" ht="15.6" hidden="1">
      <c r="A87" s="22" t="s">
        <v>72</v>
      </c>
      <c r="B87" s="22" t="s">
        <v>17</v>
      </c>
      <c r="C87" s="53">
        <v>0</v>
      </c>
      <c r="D87" s="53"/>
      <c r="E87" s="55">
        <f t="shared" si="1"/>
        <v>0</v>
      </c>
    </row>
    <row r="88" spans="1:5" ht="15.6" hidden="1">
      <c r="A88" s="22" t="s">
        <v>73</v>
      </c>
      <c r="B88" s="22" t="s">
        <v>25</v>
      </c>
      <c r="C88" s="53">
        <v>0</v>
      </c>
      <c r="D88" s="53"/>
      <c r="E88" s="55">
        <f t="shared" si="1"/>
        <v>0</v>
      </c>
    </row>
    <row r="89" spans="1:5" ht="15.6">
      <c r="A89" s="22" t="s">
        <v>73</v>
      </c>
      <c r="B89" s="22" t="s">
        <v>3</v>
      </c>
      <c r="C89" s="53">
        <v>3</v>
      </c>
      <c r="D89" s="53">
        <v>28000</v>
      </c>
      <c r="E89" s="55">
        <f t="shared" si="1"/>
        <v>84000</v>
      </c>
    </row>
    <row r="90" spans="1:5" ht="15.6">
      <c r="A90" s="22" t="s">
        <v>74</v>
      </c>
      <c r="B90" s="22" t="s">
        <v>3</v>
      </c>
      <c r="C90" s="53">
        <v>45</v>
      </c>
      <c r="D90" s="53">
        <v>24000</v>
      </c>
      <c r="E90" s="55">
        <f t="shared" si="1"/>
        <v>1080000</v>
      </c>
    </row>
    <row r="91" spans="1:5" ht="15.6" hidden="1">
      <c r="A91" s="22" t="s">
        <v>74</v>
      </c>
      <c r="B91" s="22" t="s">
        <v>9</v>
      </c>
      <c r="C91" s="53">
        <v>0</v>
      </c>
      <c r="D91" s="53"/>
      <c r="E91" s="55">
        <f t="shared" si="1"/>
        <v>0</v>
      </c>
    </row>
    <row r="92" spans="1:5" ht="15.6">
      <c r="A92" s="22" t="s">
        <v>76</v>
      </c>
      <c r="B92" s="22" t="s">
        <v>3</v>
      </c>
      <c r="C92" s="53">
        <v>77</v>
      </c>
      <c r="D92" s="53">
        <v>26000</v>
      </c>
      <c r="E92" s="55">
        <f t="shared" si="1"/>
        <v>2002000</v>
      </c>
    </row>
    <row r="93" spans="1:5" ht="15.6" hidden="1">
      <c r="A93" s="22" t="s">
        <v>76</v>
      </c>
      <c r="B93" s="22" t="s">
        <v>9</v>
      </c>
      <c r="C93" s="53">
        <v>0</v>
      </c>
      <c r="D93" s="53"/>
      <c r="E93" s="55">
        <f t="shared" si="1"/>
        <v>0</v>
      </c>
    </row>
    <row r="94" spans="1:5" ht="15.6">
      <c r="A94" s="22" t="s">
        <v>78</v>
      </c>
      <c r="B94" s="22" t="s">
        <v>3</v>
      </c>
      <c r="C94" s="53">
        <v>30</v>
      </c>
      <c r="D94" s="53">
        <v>30000</v>
      </c>
      <c r="E94" s="55">
        <f t="shared" si="1"/>
        <v>900000</v>
      </c>
    </row>
    <row r="95" spans="1:5" ht="15.6" hidden="1">
      <c r="A95" s="22" t="s">
        <v>78</v>
      </c>
      <c r="B95" s="22" t="s">
        <v>9</v>
      </c>
      <c r="C95" s="53">
        <v>0</v>
      </c>
      <c r="D95" s="53"/>
      <c r="E95" s="55">
        <f t="shared" si="1"/>
        <v>0</v>
      </c>
    </row>
    <row r="96" spans="1:5" ht="15.6">
      <c r="A96" s="22" t="s">
        <v>79</v>
      </c>
      <c r="B96" s="22" t="s">
        <v>30</v>
      </c>
      <c r="C96" s="53">
        <v>75</v>
      </c>
      <c r="D96" s="53">
        <v>17000</v>
      </c>
      <c r="E96" s="55">
        <f t="shared" si="1"/>
        <v>1275000</v>
      </c>
    </row>
    <row r="97" spans="1:5" ht="15.6" hidden="1">
      <c r="A97" s="22" t="s">
        <v>80</v>
      </c>
      <c r="B97" s="22" t="s">
        <v>30</v>
      </c>
      <c r="C97" s="53">
        <v>0</v>
      </c>
      <c r="D97" s="53"/>
      <c r="E97" s="55">
        <f t="shared" si="1"/>
        <v>0</v>
      </c>
    </row>
    <row r="98" spans="1:5" ht="15.6" hidden="1">
      <c r="A98" s="22" t="s">
        <v>190</v>
      </c>
      <c r="B98" s="22" t="s">
        <v>191</v>
      </c>
      <c r="C98" s="53">
        <v>0</v>
      </c>
      <c r="D98" s="53"/>
      <c r="E98" s="55">
        <f t="shared" si="1"/>
        <v>0</v>
      </c>
    </row>
    <row r="99" spans="1:5" ht="15.6" hidden="1">
      <c r="A99" s="22" t="s">
        <v>190</v>
      </c>
      <c r="B99" s="22" t="s">
        <v>192</v>
      </c>
      <c r="C99" s="53">
        <v>0</v>
      </c>
      <c r="D99" s="53"/>
      <c r="E99" s="55">
        <f t="shared" si="1"/>
        <v>0</v>
      </c>
    </row>
    <row r="100" spans="1:5" ht="15.6">
      <c r="A100" s="22" t="s">
        <v>81</v>
      </c>
      <c r="B100" s="22" t="s">
        <v>9</v>
      </c>
      <c r="C100" s="53">
        <v>1195</v>
      </c>
      <c r="D100" s="53">
        <v>9000</v>
      </c>
      <c r="E100" s="55">
        <f t="shared" si="1"/>
        <v>10755000</v>
      </c>
    </row>
    <row r="101" spans="1:5" ht="15.6">
      <c r="A101" s="22" t="s">
        <v>82</v>
      </c>
      <c r="B101" s="22" t="s">
        <v>9</v>
      </c>
      <c r="C101" s="53">
        <v>353</v>
      </c>
      <c r="D101" s="53">
        <v>11361</v>
      </c>
      <c r="E101" s="55">
        <f t="shared" si="1"/>
        <v>4010433</v>
      </c>
    </row>
    <row r="102" spans="1:5" ht="15.6" hidden="1">
      <c r="A102" s="22" t="s">
        <v>84</v>
      </c>
      <c r="B102" s="22" t="s">
        <v>3</v>
      </c>
      <c r="C102" s="53">
        <v>0</v>
      </c>
      <c r="D102" s="53"/>
      <c r="E102" s="55">
        <f t="shared" si="1"/>
        <v>0</v>
      </c>
    </row>
    <row r="103" spans="1:5" ht="15.6">
      <c r="A103" s="22" t="s">
        <v>85</v>
      </c>
      <c r="B103" s="22" t="s">
        <v>3</v>
      </c>
      <c r="C103" s="53">
        <v>13</v>
      </c>
      <c r="D103" s="53">
        <v>18000</v>
      </c>
      <c r="E103" s="55">
        <f t="shared" si="1"/>
        <v>234000</v>
      </c>
    </row>
    <row r="104" spans="1:5" ht="15.6">
      <c r="A104" s="22" t="s">
        <v>87</v>
      </c>
      <c r="B104" s="22" t="s">
        <v>3</v>
      </c>
      <c r="C104" s="53">
        <v>20</v>
      </c>
      <c r="D104" s="53">
        <v>3500</v>
      </c>
      <c r="E104" s="55">
        <f t="shared" si="1"/>
        <v>70000</v>
      </c>
    </row>
    <row r="105" spans="1:5" ht="15.6">
      <c r="A105" s="22" t="s">
        <v>88</v>
      </c>
      <c r="B105" s="22" t="s">
        <v>3</v>
      </c>
      <c r="C105" s="53">
        <v>17</v>
      </c>
      <c r="D105" s="53">
        <v>25000</v>
      </c>
      <c r="E105" s="55">
        <f t="shared" si="1"/>
        <v>425000</v>
      </c>
    </row>
    <row r="106" spans="1:5" ht="15.6" hidden="1">
      <c r="A106" s="22" t="s">
        <v>89</v>
      </c>
      <c r="B106" s="22" t="s">
        <v>3</v>
      </c>
      <c r="C106" s="53">
        <v>0</v>
      </c>
      <c r="D106" s="53"/>
      <c r="E106" s="55">
        <f t="shared" si="1"/>
        <v>0</v>
      </c>
    </row>
    <row r="107" spans="1:5" ht="15.6" hidden="1">
      <c r="A107" s="22" t="s">
        <v>90</v>
      </c>
      <c r="B107" s="22" t="s">
        <v>40</v>
      </c>
      <c r="C107" s="53">
        <v>0</v>
      </c>
      <c r="D107" s="53"/>
      <c r="E107" s="55">
        <f t="shared" si="1"/>
        <v>0</v>
      </c>
    </row>
    <row r="108" spans="1:5" ht="15.6">
      <c r="A108" s="22" t="s">
        <v>91</v>
      </c>
      <c r="B108" s="22" t="s">
        <v>3</v>
      </c>
      <c r="C108" s="53">
        <v>5</v>
      </c>
      <c r="D108" s="53">
        <v>24000</v>
      </c>
      <c r="E108" s="55">
        <f t="shared" si="1"/>
        <v>120000</v>
      </c>
    </row>
    <row r="109" spans="1:5" ht="15.6" hidden="1">
      <c r="A109" s="22" t="s">
        <v>92</v>
      </c>
      <c r="B109" s="22" t="s">
        <v>40</v>
      </c>
      <c r="C109" s="53">
        <v>0</v>
      </c>
      <c r="D109" s="53"/>
      <c r="E109" s="55">
        <f t="shared" si="1"/>
        <v>0</v>
      </c>
    </row>
    <row r="110" spans="1:5" ht="15.6" hidden="1">
      <c r="A110" s="22" t="s">
        <v>93</v>
      </c>
      <c r="B110" s="22" t="s">
        <v>3</v>
      </c>
      <c r="C110" s="53">
        <v>0</v>
      </c>
      <c r="D110" s="53"/>
      <c r="E110" s="55">
        <f t="shared" si="1"/>
        <v>0</v>
      </c>
    </row>
    <row r="111" spans="1:5" ht="15.6" hidden="1">
      <c r="A111" s="22" t="s">
        <v>94</v>
      </c>
      <c r="B111" s="22" t="s">
        <v>3</v>
      </c>
      <c r="C111" s="53">
        <v>0</v>
      </c>
      <c r="D111" s="53"/>
      <c r="E111" s="55">
        <f t="shared" si="1"/>
        <v>0</v>
      </c>
    </row>
    <row r="112" spans="1:5" ht="15.6" hidden="1">
      <c r="A112" s="22" t="s">
        <v>95</v>
      </c>
      <c r="B112" s="22" t="s">
        <v>40</v>
      </c>
      <c r="C112" s="53">
        <v>0</v>
      </c>
      <c r="D112" s="53"/>
      <c r="E112" s="55">
        <f t="shared" si="1"/>
        <v>0</v>
      </c>
    </row>
    <row r="113" spans="5:5">
      <c r="E113" s="51">
        <f>SUM(E3:E108)</f>
        <v>144296833</v>
      </c>
    </row>
  </sheetData>
  <autoFilter ref="A2:E112">
    <filterColumn colId="2">
      <filters>
        <filter val="1,195"/>
        <filter val="1,925"/>
        <filter val="10"/>
        <filter val="100"/>
        <filter val="12"/>
        <filter val="125"/>
        <filter val="13"/>
        <filter val="14"/>
        <filter val="15"/>
        <filter val="17"/>
        <filter val="2"/>
        <filter val="2,850"/>
        <filter val="20"/>
        <filter val="200"/>
        <filter val="205"/>
        <filter val="23"/>
        <filter val="25"/>
        <filter val="270"/>
        <filter val="3"/>
        <filter val="30"/>
        <filter val="300"/>
        <filter val="353"/>
        <filter val="4"/>
        <filter val="40"/>
        <filter val="411"/>
        <filter val="415"/>
        <filter val="436"/>
        <filter val="45"/>
        <filter val="490"/>
        <filter val="5"/>
        <filter val="606"/>
        <filter val="65"/>
        <filter val="67"/>
        <filter val="7"/>
        <filter val="70"/>
        <filter val="75"/>
        <filter val="77"/>
        <filter val="8"/>
        <filter val="95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1.2</vt:lpstr>
      <vt:lpstr>2.2</vt:lpstr>
      <vt:lpstr>3.2</vt:lpstr>
      <vt:lpstr>4.2</vt:lpstr>
      <vt:lpstr>5.2</vt:lpstr>
      <vt:lpstr>6.2</vt:lpstr>
      <vt:lpstr>7.2</vt:lpstr>
      <vt:lpstr>8.2</vt:lpstr>
      <vt:lpstr>9.2</vt:lpstr>
      <vt:lpstr>10.2</vt:lpstr>
      <vt:lpstr>11.2</vt:lpstr>
      <vt:lpstr>12.2</vt:lpstr>
      <vt:lpstr>13.2</vt:lpstr>
      <vt:lpstr>14.2</vt:lpstr>
      <vt:lpstr>15.2</vt:lpstr>
      <vt:lpstr>16.2</vt:lpstr>
      <vt:lpstr>17.2</vt:lpstr>
      <vt:lpstr>18.2</vt:lpstr>
      <vt:lpstr>19.2</vt:lpstr>
      <vt:lpstr>20.2</vt:lpstr>
      <vt:lpstr>21.2</vt:lpstr>
      <vt:lpstr>22.2</vt:lpstr>
      <vt:lpstr>23.2</vt:lpstr>
      <vt:lpstr>24.2</vt:lpstr>
      <vt:lpstr>25.2</vt:lpstr>
      <vt:lpstr>26.2</vt:lpstr>
      <vt:lpstr>27.2</vt:lpstr>
      <vt:lpstr>28.2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</cp:lastModifiedBy>
  <dcterms:created xsi:type="dcterms:W3CDTF">2025-02-01T04:00:01Z</dcterms:created>
  <dcterms:modified xsi:type="dcterms:W3CDTF">2025-03-01T04:05:55Z</dcterms:modified>
</cp:coreProperties>
</file>