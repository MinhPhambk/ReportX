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6. BÁO CÁO CHUYỂN KHO HN\"/>
    </mc:Choice>
  </mc:AlternateContent>
  <xr:revisionPtr revIDLastSave="0" documentId="13_ncr:1_{72AF1437-978D-4CDA-91D7-74D6887C4B1C}" xr6:coauthVersionLast="47" xr6:coauthVersionMax="47" xr10:uidLastSave="{00000000-0000-0000-0000-000000000000}"/>
  <bookViews>
    <workbookView xWindow="-108" yWindow="-108" windowWidth="23256" windowHeight="12456" tabRatio="856" activeTab="2" xr2:uid="{00000000-000D-0000-FFFF-FFFF00000000}"/>
  </bookViews>
  <sheets>
    <sheet name="31.12" sheetId="33" r:id="rId1"/>
    <sheet name="3012" sheetId="32" r:id="rId2"/>
    <sheet name="29.12" sheetId="30" r:id="rId3"/>
    <sheet name="28.12" sheetId="31" r:id="rId4"/>
    <sheet name="2712" sheetId="25" r:id="rId5"/>
    <sheet name="2612" sheetId="26" r:id="rId6"/>
    <sheet name="2512" sheetId="27" r:id="rId7"/>
    <sheet name="2412" sheetId="29" r:id="rId8"/>
    <sheet name="23.12" sheetId="28" r:id="rId9"/>
    <sheet name="2212" sheetId="22" r:id="rId10"/>
    <sheet name="2112" sheetId="23" r:id="rId11"/>
    <sheet name="2012" sheetId="21" r:id="rId12"/>
    <sheet name="1912" sheetId="20" r:id="rId13"/>
    <sheet name="1812" sheetId="19" r:id="rId14"/>
    <sheet name="1712" sheetId="18" r:id="rId15"/>
    <sheet name="1612" sheetId="17" r:id="rId16"/>
    <sheet name="1512" sheetId="14" r:id="rId17"/>
    <sheet name="1412" sheetId="15" r:id="rId18"/>
    <sheet name="1312" sheetId="16" r:id="rId19"/>
    <sheet name="1212" sheetId="13" r:id="rId20"/>
    <sheet name="1112" sheetId="11" r:id="rId21"/>
    <sheet name="1012" sheetId="12" r:id="rId22"/>
    <sheet name="0912" sheetId="9" r:id="rId23"/>
    <sheet name="0812" sheetId="7" r:id="rId24"/>
    <sheet name="0712" sheetId="8" r:id="rId25"/>
    <sheet name="0612" sheetId="6" r:id="rId26"/>
    <sheet name="0512" sheetId="5" r:id="rId27"/>
    <sheet name="0412" sheetId="4" r:id="rId28"/>
    <sheet name="0312" sheetId="3" r:id="rId29"/>
    <sheet name="0212" sheetId="2" r:id="rId30"/>
    <sheet name="0112" sheetId="1" r:id="rId31"/>
    <sheet name="Mã hàng" sheetId="10" r:id="rId32"/>
  </sheets>
  <externalReferences>
    <externalReference r:id="rId33"/>
  </externalReferences>
  <definedNames>
    <definedName name="_xlnm._FilterDatabase" localSheetId="30" hidden="1">'0112'!$A$2:$H$54</definedName>
    <definedName name="_xlnm._FilterDatabase" localSheetId="29" hidden="1">'0212'!$A$2:$F$51</definedName>
    <definedName name="_xlnm._FilterDatabase" localSheetId="28" hidden="1">'0312'!$A$2:$K$48</definedName>
    <definedName name="_xlnm._FilterDatabase" localSheetId="27" hidden="1">'0412'!$A$2:$F$39</definedName>
    <definedName name="_xlnm._FilterDatabase" localSheetId="26">'0512'!$A$2:$F$47</definedName>
    <definedName name="_xlnm._FilterDatabase" localSheetId="25" hidden="1">'0612'!$A$2:$F$41</definedName>
    <definedName name="_xlnm._FilterDatabase" localSheetId="24" hidden="1">'0712'!$A$2:$J$46</definedName>
    <definedName name="_xlnm._FilterDatabase" localSheetId="23" hidden="1">'0812'!$A$2:$J$50</definedName>
    <definedName name="_xlnm._FilterDatabase" localSheetId="22" hidden="1">'0912'!$A$2:$I$54</definedName>
    <definedName name="_xlnm._FilterDatabase" localSheetId="12" hidden="1">'1912'!$A$2:$H$51</definedName>
    <definedName name="_xlnm._FilterDatabase" localSheetId="2" hidden="1">'29.12'!$A$2:$H$2</definedName>
    <definedName name="_xlnm._FilterDatabase" localSheetId="31" hidden="1">'Mã hàng'!$A$1:$E$1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3" l="1"/>
  <c r="H5" i="33"/>
  <c r="H24" i="33"/>
  <c r="H30" i="33"/>
  <c r="E6" i="33"/>
  <c r="F6" i="33"/>
  <c r="G6" i="33" s="1"/>
  <c r="H6" i="33" s="1"/>
  <c r="E7" i="33"/>
  <c r="F7" i="33"/>
  <c r="G7" i="33" s="1"/>
  <c r="H7" i="33" s="1"/>
  <c r="E8" i="33"/>
  <c r="F8" i="33"/>
  <c r="G8" i="33" s="1"/>
  <c r="H8" i="33" s="1"/>
  <c r="E9" i="33"/>
  <c r="F9" i="33"/>
  <c r="G9" i="33" s="1"/>
  <c r="H9" i="33" s="1"/>
  <c r="E10" i="33"/>
  <c r="F10" i="33"/>
  <c r="G10" i="33" s="1"/>
  <c r="H10" i="33" s="1"/>
  <c r="E11" i="33"/>
  <c r="F11" i="33"/>
  <c r="G11" i="33" s="1"/>
  <c r="H11" i="33" s="1"/>
  <c r="E12" i="33"/>
  <c r="G12" i="33" s="1"/>
  <c r="H12" i="33" s="1"/>
  <c r="E26" i="33"/>
  <c r="G26" i="33" s="1"/>
  <c r="H26" i="33" s="1"/>
  <c r="F26" i="33"/>
  <c r="E27" i="33"/>
  <c r="F27" i="33"/>
  <c r="G27" i="33" s="1"/>
  <c r="H27" i="33" s="1"/>
  <c r="E28" i="33"/>
  <c r="F28" i="33"/>
  <c r="G28" i="33" s="1"/>
  <c r="H28" i="33" s="1"/>
  <c r="E29" i="33"/>
  <c r="F29" i="33"/>
  <c r="G29" i="33" s="1"/>
  <c r="H29" i="33" s="1"/>
  <c r="E30" i="33"/>
  <c r="F30" i="33"/>
  <c r="E31" i="33"/>
  <c r="F31" i="33"/>
  <c r="G31" i="33" s="1"/>
  <c r="H31" i="33" s="1"/>
  <c r="E32" i="33"/>
  <c r="E39" i="33"/>
  <c r="E41" i="33"/>
  <c r="E42" i="33"/>
  <c r="E46" i="33"/>
  <c r="F46" i="33"/>
  <c r="G46" i="33" s="1"/>
  <c r="H46" i="33" s="1"/>
  <c r="E47" i="33"/>
  <c r="F47" i="33"/>
  <c r="G47" i="33" s="1"/>
  <c r="H47" i="33" s="1"/>
  <c r="E48" i="33"/>
  <c r="F48" i="33"/>
  <c r="G48" i="33" s="1"/>
  <c r="H48" i="33" s="1"/>
  <c r="E49" i="33"/>
  <c r="F49" i="33"/>
  <c r="G49" i="33" s="1"/>
  <c r="H49" i="33" s="1"/>
  <c r="E50" i="33"/>
  <c r="F50" i="33"/>
  <c r="G50" i="33" s="1"/>
  <c r="H50" i="33" s="1"/>
  <c r="F3" i="33"/>
  <c r="G3" i="33" s="1"/>
  <c r="H3" i="33" s="1"/>
  <c r="E3" i="33"/>
  <c r="A4" i="33"/>
  <c r="E4" i="33" s="1"/>
  <c r="A5" i="33"/>
  <c r="E5" i="33" s="1"/>
  <c r="A6" i="33"/>
  <c r="A7" i="33"/>
  <c r="A8" i="33"/>
  <c r="A9" i="33"/>
  <c r="A10" i="33"/>
  <c r="A11" i="33"/>
  <c r="A12" i="33"/>
  <c r="F12" i="33" s="1"/>
  <c r="A13" i="33"/>
  <c r="E13" i="33" s="1"/>
  <c r="A14" i="33"/>
  <c r="E14" i="33" s="1"/>
  <c r="G14" i="33" s="1"/>
  <c r="H14" i="33" s="1"/>
  <c r="A15" i="33"/>
  <c r="E15" i="33" s="1"/>
  <c r="A16" i="33"/>
  <c r="E16" i="33" s="1"/>
  <c r="A17" i="33"/>
  <c r="E17" i="33" s="1"/>
  <c r="A18" i="33"/>
  <c r="E18" i="33" s="1"/>
  <c r="A19" i="33"/>
  <c r="E19" i="33" s="1"/>
  <c r="A20" i="33"/>
  <c r="E20" i="33" s="1"/>
  <c r="A21" i="33"/>
  <c r="E21" i="33" s="1"/>
  <c r="A22" i="33"/>
  <c r="E22" i="33" s="1"/>
  <c r="A23" i="33"/>
  <c r="E23" i="33" s="1"/>
  <c r="A24" i="33"/>
  <c r="E24" i="33" s="1"/>
  <c r="A25" i="33"/>
  <c r="E25" i="33" s="1"/>
  <c r="A26" i="33"/>
  <c r="A27" i="33"/>
  <c r="A28" i="33"/>
  <c r="A29" i="33"/>
  <c r="A30" i="33"/>
  <c r="A31" i="33"/>
  <c r="A32" i="33"/>
  <c r="F32" i="33" s="1"/>
  <c r="G32" i="33" s="1"/>
  <c r="H32" i="33" s="1"/>
  <c r="A33" i="33"/>
  <c r="E33" i="33" s="1"/>
  <c r="A34" i="33"/>
  <c r="E34" i="33" s="1"/>
  <c r="A35" i="33"/>
  <c r="E35" i="33" s="1"/>
  <c r="A36" i="33"/>
  <c r="E36" i="33" s="1"/>
  <c r="A37" i="33"/>
  <c r="E37" i="33" s="1"/>
  <c r="A38" i="33"/>
  <c r="E38" i="33" s="1"/>
  <c r="A39" i="33"/>
  <c r="F39" i="33" s="1"/>
  <c r="G39" i="33" s="1"/>
  <c r="H39" i="33" s="1"/>
  <c r="A40" i="33"/>
  <c r="E40" i="33" s="1"/>
  <c r="A41" i="33"/>
  <c r="F41" i="33" s="1"/>
  <c r="G41" i="33" s="1"/>
  <c r="H41" i="33" s="1"/>
  <c r="A42" i="33"/>
  <c r="F42" i="33" s="1"/>
  <c r="G42" i="33" s="1"/>
  <c r="H42" i="33" s="1"/>
  <c r="A43" i="33"/>
  <c r="E43" i="33" s="1"/>
  <c r="A44" i="33"/>
  <c r="E44" i="33" s="1"/>
  <c r="A45" i="33"/>
  <c r="E45" i="33" s="1"/>
  <c r="A46" i="33"/>
  <c r="A47" i="33"/>
  <c r="A48" i="33"/>
  <c r="A49" i="33"/>
  <c r="A50" i="33"/>
  <c r="A3" i="33"/>
  <c r="G6" i="32"/>
  <c r="H6" i="32"/>
  <c r="H4" i="32"/>
  <c r="H7" i="32"/>
  <c r="H22" i="32"/>
  <c r="H23" i="32"/>
  <c r="H25" i="32"/>
  <c r="F8" i="32"/>
  <c r="G8" i="32" s="1"/>
  <c r="H8" i="32" s="1"/>
  <c r="E12" i="32"/>
  <c r="F12" i="32"/>
  <c r="G12" i="32" s="1"/>
  <c r="H12" i="32" s="1"/>
  <c r="E13" i="32"/>
  <c r="F13" i="32"/>
  <c r="G13" i="32" s="1"/>
  <c r="H13" i="32" s="1"/>
  <c r="E14" i="32"/>
  <c r="F14" i="32"/>
  <c r="G14" i="32" s="1"/>
  <c r="H14" i="32" s="1"/>
  <c r="E15" i="32"/>
  <c r="F15" i="32"/>
  <c r="G15" i="32" s="1"/>
  <c r="H15" i="32" s="1"/>
  <c r="E16" i="32"/>
  <c r="F16" i="32"/>
  <c r="G16" i="32" s="1"/>
  <c r="H16" i="32" s="1"/>
  <c r="E17" i="32"/>
  <c r="F17" i="32"/>
  <c r="G17" i="32" s="1"/>
  <c r="H17" i="32" s="1"/>
  <c r="E18" i="32"/>
  <c r="F18" i="32"/>
  <c r="G18" i="32" s="1"/>
  <c r="H18" i="32" s="1"/>
  <c r="F27" i="32"/>
  <c r="G27" i="32" s="1"/>
  <c r="H27" i="32" s="1"/>
  <c r="F28" i="32"/>
  <c r="G28" i="32" s="1"/>
  <c r="H28" i="32" s="1"/>
  <c r="E32" i="32"/>
  <c r="F32" i="32"/>
  <c r="G32" i="32" s="1"/>
  <c r="H32" i="32" s="1"/>
  <c r="E33" i="32"/>
  <c r="F33" i="32"/>
  <c r="G33" i="32" s="1"/>
  <c r="H33" i="32" s="1"/>
  <c r="E34" i="32"/>
  <c r="F34" i="32"/>
  <c r="G34" i="32" s="1"/>
  <c r="H34" i="32" s="1"/>
  <c r="F3" i="32"/>
  <c r="G3" i="32" s="1"/>
  <c r="H3" i="32" s="1"/>
  <c r="E3" i="32"/>
  <c r="A4" i="32"/>
  <c r="F4" i="32" s="1"/>
  <c r="A5" i="32"/>
  <c r="F5" i="32" s="1"/>
  <c r="G5" i="32" s="1"/>
  <c r="H5" i="32" s="1"/>
  <c r="A6" i="32"/>
  <c r="F6" i="32" s="1"/>
  <c r="A7" i="32"/>
  <c r="F7" i="32" s="1"/>
  <c r="A8" i="32"/>
  <c r="E8" i="32" s="1"/>
  <c r="A9" i="32"/>
  <c r="E9" i="32" s="1"/>
  <c r="A10" i="32"/>
  <c r="E10" i="32" s="1"/>
  <c r="G10" i="32" s="1"/>
  <c r="H10" i="32" s="1"/>
  <c r="A11" i="32"/>
  <c r="E11" i="32" s="1"/>
  <c r="A12" i="32"/>
  <c r="A13" i="32"/>
  <c r="A14" i="32"/>
  <c r="A15" i="32"/>
  <c r="A16" i="32"/>
  <c r="A17" i="32"/>
  <c r="A18" i="32"/>
  <c r="A19" i="32"/>
  <c r="E19" i="32" s="1"/>
  <c r="A20" i="32"/>
  <c r="E20" i="32" s="1"/>
  <c r="A21" i="32"/>
  <c r="E21" i="32" s="1"/>
  <c r="A22" i="32"/>
  <c r="E22" i="32" s="1"/>
  <c r="A23" i="32"/>
  <c r="F23" i="32" s="1"/>
  <c r="A24" i="32"/>
  <c r="E24" i="32" s="1"/>
  <c r="A25" i="32"/>
  <c r="E25" i="32" s="1"/>
  <c r="A26" i="32"/>
  <c r="E26" i="32" s="1"/>
  <c r="A27" i="32"/>
  <c r="E27" i="32" s="1"/>
  <c r="A28" i="32"/>
  <c r="E28" i="32" s="1"/>
  <c r="A29" i="32"/>
  <c r="E29" i="32" s="1"/>
  <c r="A30" i="32"/>
  <c r="E30" i="32" s="1"/>
  <c r="A31" i="32"/>
  <c r="E31" i="32" s="1"/>
  <c r="A32" i="32"/>
  <c r="A33" i="32"/>
  <c r="A34" i="32"/>
  <c r="A3" i="32"/>
  <c r="F21" i="33" l="1"/>
  <c r="G21" i="33" s="1"/>
  <c r="H21" i="33" s="1"/>
  <c r="E7" i="32"/>
  <c r="F40" i="33"/>
  <c r="G40" i="33" s="1"/>
  <c r="H40" i="33" s="1"/>
  <c r="F20" i="33"/>
  <c r="G20" i="33" s="1"/>
  <c r="H20" i="33" s="1"/>
  <c r="E6" i="32"/>
  <c r="F19" i="33"/>
  <c r="G19" i="33" s="1"/>
  <c r="H19" i="33" s="1"/>
  <c r="F25" i="32"/>
  <c r="E5" i="32"/>
  <c r="F38" i="33"/>
  <c r="G38" i="33" s="1"/>
  <c r="H38" i="33" s="1"/>
  <c r="F18" i="33"/>
  <c r="G18" i="33" s="1"/>
  <c r="H18" i="33" s="1"/>
  <c r="F24" i="32"/>
  <c r="G24" i="32" s="1"/>
  <c r="H24" i="32" s="1"/>
  <c r="F37" i="33"/>
  <c r="G37" i="33" s="1"/>
  <c r="H37" i="33" s="1"/>
  <c r="F17" i="33"/>
  <c r="G17" i="33" s="1"/>
  <c r="H17" i="33" s="1"/>
  <c r="E4" i="32"/>
  <c r="F36" i="33"/>
  <c r="G36" i="33" s="1"/>
  <c r="H36" i="33" s="1"/>
  <c r="F26" i="32"/>
  <c r="G26" i="32" s="1"/>
  <c r="H26" i="32" s="1"/>
  <c r="F16" i="33"/>
  <c r="G16" i="33" s="1"/>
  <c r="H16" i="33" s="1"/>
  <c r="F45" i="33"/>
  <c r="G45" i="33" s="1"/>
  <c r="H45" i="33" s="1"/>
  <c r="F35" i="33"/>
  <c r="G35" i="33" s="1"/>
  <c r="H35" i="33" s="1"/>
  <c r="F25" i="33"/>
  <c r="G25" i="33" s="1"/>
  <c r="H25" i="33" s="1"/>
  <c r="F15" i="33"/>
  <c r="G15" i="33" s="1"/>
  <c r="H15" i="33" s="1"/>
  <c r="F5" i="33"/>
  <c r="F31" i="32"/>
  <c r="G31" i="32" s="1"/>
  <c r="H31" i="32" s="1"/>
  <c r="F21" i="32"/>
  <c r="G21" i="32" s="1"/>
  <c r="H21" i="32" s="1"/>
  <c r="F11" i="32"/>
  <c r="G11" i="32" s="1"/>
  <c r="H11" i="32" s="1"/>
  <c r="F44" i="33"/>
  <c r="G44" i="33" s="1"/>
  <c r="H44" i="33" s="1"/>
  <c r="F34" i="33"/>
  <c r="G34" i="33" s="1"/>
  <c r="H34" i="33" s="1"/>
  <c r="F24" i="33"/>
  <c r="F14" i="33"/>
  <c r="F4" i="33"/>
  <c r="F30" i="32"/>
  <c r="G30" i="32" s="1"/>
  <c r="H30" i="32" s="1"/>
  <c r="F20" i="32"/>
  <c r="G20" i="32" s="1"/>
  <c r="H20" i="32" s="1"/>
  <c r="F10" i="32"/>
  <c r="F43" i="33"/>
  <c r="G43" i="33" s="1"/>
  <c r="H43" i="33" s="1"/>
  <c r="F33" i="33"/>
  <c r="G33" i="33" s="1"/>
  <c r="H33" i="33" s="1"/>
  <c r="F23" i="33"/>
  <c r="G23" i="33" s="1"/>
  <c r="H23" i="33" s="1"/>
  <c r="F13" i="33"/>
  <c r="G13" i="33" s="1"/>
  <c r="H13" i="33" s="1"/>
  <c r="E23" i="32"/>
  <c r="F22" i="32"/>
  <c r="F29" i="32"/>
  <c r="G29" i="32" s="1"/>
  <c r="H29" i="32" s="1"/>
  <c r="F19" i="32"/>
  <c r="G19" i="32" s="1"/>
  <c r="H19" i="32" s="1"/>
  <c r="F9" i="32"/>
  <c r="G9" i="32" s="1"/>
  <c r="H9" i="32" s="1"/>
  <c r="F22" i="33"/>
  <c r="G22" i="33" s="1"/>
  <c r="H22" i="33" s="1"/>
  <c r="G5" i="30"/>
  <c r="H5" i="30" s="1"/>
  <c r="H37" i="30"/>
  <c r="E21" i="30"/>
  <c r="F21" i="30"/>
  <c r="G21" i="30" s="1"/>
  <c r="H21" i="30" s="1"/>
  <c r="E36" i="30"/>
  <c r="F36" i="30"/>
  <c r="G36" i="30" s="1"/>
  <c r="H36" i="30" s="1"/>
  <c r="E37" i="30"/>
  <c r="E41" i="30"/>
  <c r="F41" i="30"/>
  <c r="G41" i="30" s="1"/>
  <c r="H41" i="30" s="1"/>
  <c r="E53" i="30"/>
  <c r="F56" i="30"/>
  <c r="G56" i="30" s="1"/>
  <c r="H56" i="30" s="1"/>
  <c r="E57" i="30"/>
  <c r="A4" i="30"/>
  <c r="E4" i="30" s="1"/>
  <c r="A5" i="30"/>
  <c r="E5" i="30" s="1"/>
  <c r="A6" i="30"/>
  <c r="E6" i="30" s="1"/>
  <c r="A7" i="30"/>
  <c r="F7" i="30" s="1"/>
  <c r="G7" i="30" s="1"/>
  <c r="H7" i="30" s="1"/>
  <c r="A8" i="30"/>
  <c r="E8" i="30" s="1"/>
  <c r="A9" i="30"/>
  <c r="E9" i="30" s="1"/>
  <c r="A10" i="30"/>
  <c r="F10" i="30" s="1"/>
  <c r="G10" i="30" s="1"/>
  <c r="H10" i="30" s="1"/>
  <c r="A11" i="30"/>
  <c r="E11" i="30" s="1"/>
  <c r="A12" i="30"/>
  <c r="E12" i="30" s="1"/>
  <c r="A13" i="30"/>
  <c r="E13" i="30" s="1"/>
  <c r="A14" i="30"/>
  <c r="E14" i="30" s="1"/>
  <c r="A15" i="30"/>
  <c r="E15" i="30" s="1"/>
  <c r="A16" i="30"/>
  <c r="E16" i="30" s="1"/>
  <c r="A17" i="30"/>
  <c r="F17" i="30" s="1"/>
  <c r="G17" i="30" s="1"/>
  <c r="H17" i="30" s="1"/>
  <c r="A18" i="30"/>
  <c r="E18" i="30" s="1"/>
  <c r="A19" i="30"/>
  <c r="E19" i="30" s="1"/>
  <c r="A20" i="30"/>
  <c r="F20" i="30" s="1"/>
  <c r="G20" i="30" s="1"/>
  <c r="H20" i="30" s="1"/>
  <c r="A21" i="30"/>
  <c r="A22" i="30"/>
  <c r="E22" i="30" s="1"/>
  <c r="A23" i="30"/>
  <c r="E23" i="30" s="1"/>
  <c r="A24" i="30"/>
  <c r="E24" i="30" s="1"/>
  <c r="A25" i="30"/>
  <c r="E25" i="30" s="1"/>
  <c r="A26" i="30"/>
  <c r="E26" i="30" s="1"/>
  <c r="A27" i="30"/>
  <c r="F27" i="30" s="1"/>
  <c r="G27" i="30" s="1"/>
  <c r="H27" i="30" s="1"/>
  <c r="A28" i="30"/>
  <c r="E28" i="30" s="1"/>
  <c r="A29" i="30"/>
  <c r="E29" i="30" s="1"/>
  <c r="A30" i="30"/>
  <c r="F30" i="30" s="1"/>
  <c r="G30" i="30" s="1"/>
  <c r="H30" i="30" s="1"/>
  <c r="A31" i="30"/>
  <c r="E31" i="30" s="1"/>
  <c r="G31" i="30" s="1"/>
  <c r="H31" i="30" s="1"/>
  <c r="A32" i="30"/>
  <c r="E32" i="30" s="1"/>
  <c r="A33" i="30"/>
  <c r="E33" i="30" s="1"/>
  <c r="A34" i="30"/>
  <c r="E34" i="30" s="1"/>
  <c r="A35" i="30"/>
  <c r="E35" i="30" s="1"/>
  <c r="A36" i="30"/>
  <c r="A37" i="30"/>
  <c r="F37" i="30" s="1"/>
  <c r="A38" i="30"/>
  <c r="E38" i="30" s="1"/>
  <c r="A39" i="30"/>
  <c r="E39" i="30" s="1"/>
  <c r="A40" i="30"/>
  <c r="F40" i="30" s="1"/>
  <c r="G40" i="30" s="1"/>
  <c r="H40" i="30" s="1"/>
  <c r="A41" i="30"/>
  <c r="A42" i="30"/>
  <c r="E42" i="30" s="1"/>
  <c r="A43" i="30"/>
  <c r="E43" i="30" s="1"/>
  <c r="A44" i="30"/>
  <c r="E44" i="30" s="1"/>
  <c r="A45" i="30"/>
  <c r="E45" i="30" s="1"/>
  <c r="A46" i="30"/>
  <c r="E46" i="30" s="1"/>
  <c r="A47" i="30"/>
  <c r="F47" i="30" s="1"/>
  <c r="G47" i="30" s="1"/>
  <c r="H47" i="30" s="1"/>
  <c r="A48" i="30"/>
  <c r="E48" i="30" s="1"/>
  <c r="A49" i="30"/>
  <c r="E49" i="30" s="1"/>
  <c r="A50" i="30"/>
  <c r="F50" i="30" s="1"/>
  <c r="G50" i="30" s="1"/>
  <c r="H50" i="30" s="1"/>
  <c r="A51" i="30"/>
  <c r="F51" i="30" s="1"/>
  <c r="G51" i="30" s="1"/>
  <c r="H51" i="30" s="1"/>
  <c r="A52" i="30"/>
  <c r="E52" i="30" s="1"/>
  <c r="A53" i="30"/>
  <c r="F53" i="30" s="1"/>
  <c r="G53" i="30" s="1"/>
  <c r="H53" i="30" s="1"/>
  <c r="A54" i="30"/>
  <c r="E54" i="30" s="1"/>
  <c r="A55" i="30"/>
  <c r="E55" i="30" s="1"/>
  <c r="A56" i="30"/>
  <c r="E56" i="30" s="1"/>
  <c r="A57" i="30"/>
  <c r="F57" i="30" s="1"/>
  <c r="G57" i="30" s="1"/>
  <c r="H57" i="30" s="1"/>
  <c r="A3" i="30"/>
  <c r="F3" i="30" s="1"/>
  <c r="G3" i="30" s="1"/>
  <c r="G7" i="31"/>
  <c r="H7" i="31" s="1"/>
  <c r="H4" i="31"/>
  <c r="H5" i="31"/>
  <c r="H24" i="31"/>
  <c r="H25" i="31"/>
  <c r="H26" i="31"/>
  <c r="H30" i="31"/>
  <c r="H37" i="31"/>
  <c r="F9" i="31"/>
  <c r="G9" i="31" s="1"/>
  <c r="H9" i="31" s="1"/>
  <c r="E10" i="31"/>
  <c r="F10" i="31"/>
  <c r="G10" i="31" s="1"/>
  <c r="H10" i="31" s="1"/>
  <c r="E11" i="31"/>
  <c r="F22" i="31"/>
  <c r="G22" i="31" s="1"/>
  <c r="H22" i="31" s="1"/>
  <c r="E30" i="31"/>
  <c r="F30" i="31"/>
  <c r="E31" i="31"/>
  <c r="E36" i="31"/>
  <c r="F36" i="31"/>
  <c r="G36" i="31" s="1"/>
  <c r="H36" i="31" s="1"/>
  <c r="E38" i="31"/>
  <c r="A4" i="31"/>
  <c r="E4" i="31" s="1"/>
  <c r="A5" i="31"/>
  <c r="E5" i="31" s="1"/>
  <c r="A6" i="31"/>
  <c r="E6" i="31" s="1"/>
  <c r="A7" i="31"/>
  <c r="E7" i="31" s="1"/>
  <c r="A8" i="31"/>
  <c r="E8" i="31" s="1"/>
  <c r="A9" i="31"/>
  <c r="E9" i="31" s="1"/>
  <c r="A10" i="31"/>
  <c r="A11" i="31"/>
  <c r="F11" i="31" s="1"/>
  <c r="G11" i="31" s="1"/>
  <c r="H11" i="31" s="1"/>
  <c r="A12" i="31"/>
  <c r="E12" i="31" s="1"/>
  <c r="A13" i="31"/>
  <c r="E13" i="31" s="1"/>
  <c r="A14" i="31"/>
  <c r="E14" i="31" s="1"/>
  <c r="A15" i="31"/>
  <c r="E15" i="31" s="1"/>
  <c r="A16" i="31"/>
  <c r="E16" i="31" s="1"/>
  <c r="A17" i="31"/>
  <c r="E17" i="31" s="1"/>
  <c r="A18" i="31"/>
  <c r="F18" i="31" s="1"/>
  <c r="G18" i="31" s="1"/>
  <c r="H18" i="31" s="1"/>
  <c r="A19" i="31"/>
  <c r="E19" i="31" s="1"/>
  <c r="A20" i="31"/>
  <c r="E20" i="31" s="1"/>
  <c r="A21" i="31"/>
  <c r="F21" i="31" s="1"/>
  <c r="G21" i="31" s="1"/>
  <c r="H21" i="31" s="1"/>
  <c r="A22" i="31"/>
  <c r="E22" i="31" s="1"/>
  <c r="A23" i="31"/>
  <c r="E23" i="31" s="1"/>
  <c r="A24" i="31"/>
  <c r="E24" i="31" s="1"/>
  <c r="A25" i="31"/>
  <c r="E25" i="31" s="1"/>
  <c r="A26" i="31"/>
  <c r="E26" i="31" s="1"/>
  <c r="A27" i="31"/>
  <c r="E27" i="31" s="1"/>
  <c r="A28" i="31"/>
  <c r="F28" i="31" s="1"/>
  <c r="G28" i="31" s="1"/>
  <c r="H28" i="31" s="1"/>
  <c r="A29" i="31"/>
  <c r="E29" i="31" s="1"/>
  <c r="A30" i="31"/>
  <c r="A31" i="31"/>
  <c r="F31" i="31" s="1"/>
  <c r="G31" i="31" s="1"/>
  <c r="H31" i="31" s="1"/>
  <c r="A32" i="31"/>
  <c r="E32" i="31" s="1"/>
  <c r="A33" i="31"/>
  <c r="E33" i="31" s="1"/>
  <c r="A34" i="31"/>
  <c r="E34" i="31" s="1"/>
  <c r="A35" i="31"/>
  <c r="E35" i="31" s="1"/>
  <c r="A36" i="31"/>
  <c r="A37" i="31"/>
  <c r="E37" i="31" s="1"/>
  <c r="A38" i="31"/>
  <c r="F38" i="31" s="1"/>
  <c r="G38" i="31" s="1"/>
  <c r="H38" i="31" s="1"/>
  <c r="A39" i="31"/>
  <c r="E39" i="31" s="1"/>
  <c r="A40" i="31"/>
  <c r="E40" i="31" s="1"/>
  <c r="A41" i="31"/>
  <c r="F41" i="31" s="1"/>
  <c r="G41" i="31" s="1"/>
  <c r="H41" i="31" s="1"/>
  <c r="A42" i="31"/>
  <c r="E42" i="31" s="1"/>
  <c r="A43" i="31"/>
  <c r="E43" i="31" s="1"/>
  <c r="A44" i="31"/>
  <c r="E44" i="31" s="1"/>
  <c r="A45" i="31"/>
  <c r="F45" i="31" s="1"/>
  <c r="G45" i="31" s="1"/>
  <c r="H45" i="31" s="1"/>
  <c r="A46" i="31"/>
  <c r="E46" i="31" s="1"/>
  <c r="A3" i="31"/>
  <c r="F3" i="31" s="1"/>
  <c r="G3" i="31" s="1"/>
  <c r="G40" i="25"/>
  <c r="H40" i="25" s="1"/>
  <c r="G17" i="25"/>
  <c r="H17" i="25" s="1"/>
  <c r="G9" i="25"/>
  <c r="H9" i="25" s="1"/>
  <c r="H4" i="25"/>
  <c r="H10" i="25"/>
  <c r="H24" i="25"/>
  <c r="H27" i="25"/>
  <c r="H28" i="25"/>
  <c r="H29" i="25"/>
  <c r="H32" i="25"/>
  <c r="H36" i="25"/>
  <c r="H37" i="25"/>
  <c r="E4" i="25"/>
  <c r="F4" i="25"/>
  <c r="E5" i="25"/>
  <c r="F5" i="25"/>
  <c r="G5" i="25" s="1"/>
  <c r="H5" i="25" s="1"/>
  <c r="E6" i="25"/>
  <c r="F6" i="25"/>
  <c r="G6" i="25" s="1"/>
  <c r="H6" i="25" s="1"/>
  <c r="E7" i="25"/>
  <c r="F7" i="25"/>
  <c r="G7" i="25" s="1"/>
  <c r="H7" i="25" s="1"/>
  <c r="E8" i="25"/>
  <c r="F8" i="25"/>
  <c r="G8" i="25" s="1"/>
  <c r="H8" i="25" s="1"/>
  <c r="E9" i="25"/>
  <c r="F9" i="25"/>
  <c r="E10" i="25"/>
  <c r="F10" i="25"/>
  <c r="E11" i="25"/>
  <c r="F11" i="25"/>
  <c r="G11" i="25" s="1"/>
  <c r="H11" i="25" s="1"/>
  <c r="E12" i="25"/>
  <c r="F12" i="25"/>
  <c r="G12" i="25" s="1"/>
  <c r="H12" i="25" s="1"/>
  <c r="E13" i="25"/>
  <c r="F13" i="25"/>
  <c r="G13" i="25" s="1"/>
  <c r="H13" i="25" s="1"/>
  <c r="E14" i="25"/>
  <c r="F14" i="25"/>
  <c r="G14" i="25" s="1"/>
  <c r="H14" i="25" s="1"/>
  <c r="E15" i="25"/>
  <c r="F15" i="25"/>
  <c r="G15" i="25" s="1"/>
  <c r="H15" i="25" s="1"/>
  <c r="E16" i="25"/>
  <c r="F16" i="25"/>
  <c r="G16" i="25" s="1"/>
  <c r="H16" i="25" s="1"/>
  <c r="E17" i="25"/>
  <c r="F17" i="25"/>
  <c r="E18" i="25"/>
  <c r="F18" i="25"/>
  <c r="G18" i="25" s="1"/>
  <c r="H18" i="25" s="1"/>
  <c r="E19" i="25"/>
  <c r="F19" i="25"/>
  <c r="G19" i="25" s="1"/>
  <c r="H19" i="25" s="1"/>
  <c r="E20" i="25"/>
  <c r="F20" i="25"/>
  <c r="G20" i="25" s="1"/>
  <c r="H20" i="25" s="1"/>
  <c r="E21" i="25"/>
  <c r="F21" i="25"/>
  <c r="G21" i="25" s="1"/>
  <c r="H21" i="25" s="1"/>
  <c r="E22" i="25"/>
  <c r="G22" i="25" s="1"/>
  <c r="H22" i="25" s="1"/>
  <c r="F22" i="25"/>
  <c r="E23" i="25"/>
  <c r="F23" i="25"/>
  <c r="G23" i="25" s="1"/>
  <c r="H23" i="25" s="1"/>
  <c r="E24" i="25"/>
  <c r="F24" i="25"/>
  <c r="E25" i="25"/>
  <c r="F25" i="25"/>
  <c r="G25" i="25" s="1"/>
  <c r="H25" i="25" s="1"/>
  <c r="E26" i="25"/>
  <c r="F26" i="25"/>
  <c r="G26" i="25" s="1"/>
  <c r="H26" i="25" s="1"/>
  <c r="E27" i="25"/>
  <c r="F27" i="25"/>
  <c r="E28" i="25"/>
  <c r="F28" i="25"/>
  <c r="E29" i="25"/>
  <c r="F29" i="25"/>
  <c r="E30" i="25"/>
  <c r="F30" i="25"/>
  <c r="G30" i="25" s="1"/>
  <c r="H30" i="25" s="1"/>
  <c r="E31" i="25"/>
  <c r="F31" i="25"/>
  <c r="G31" i="25" s="1"/>
  <c r="H31" i="25" s="1"/>
  <c r="E32" i="25"/>
  <c r="F32" i="25"/>
  <c r="E33" i="25"/>
  <c r="F33" i="25"/>
  <c r="G33" i="25" s="1"/>
  <c r="H33" i="25" s="1"/>
  <c r="E34" i="25"/>
  <c r="F34" i="25"/>
  <c r="G34" i="25" s="1"/>
  <c r="H34" i="25" s="1"/>
  <c r="E35" i="25"/>
  <c r="F35" i="25"/>
  <c r="G35" i="25" s="1"/>
  <c r="H35" i="25" s="1"/>
  <c r="E36" i="25"/>
  <c r="F36" i="25"/>
  <c r="E37" i="25"/>
  <c r="F37" i="25"/>
  <c r="E38" i="25"/>
  <c r="F38" i="25"/>
  <c r="G38" i="25" s="1"/>
  <c r="H38" i="25" s="1"/>
  <c r="E39" i="25"/>
  <c r="F39" i="25"/>
  <c r="G39" i="25" s="1"/>
  <c r="H39" i="25" s="1"/>
  <c r="E40" i="25"/>
  <c r="F40" i="25"/>
  <c r="E41" i="25"/>
  <c r="F41" i="25"/>
  <c r="G41" i="25" s="1"/>
  <c r="H41" i="25" s="1"/>
  <c r="E42" i="25"/>
  <c r="F42" i="25"/>
  <c r="G42" i="25" s="1"/>
  <c r="H42" i="25" s="1"/>
  <c r="E43" i="25"/>
  <c r="F43" i="25"/>
  <c r="G43" i="25" s="1"/>
  <c r="H43" i="25" s="1"/>
  <c r="E44" i="25"/>
  <c r="F44" i="25"/>
  <c r="G44" i="25" s="1"/>
  <c r="H44" i="25" s="1"/>
  <c r="E45" i="25"/>
  <c r="F45" i="25"/>
  <c r="G45" i="25" s="1"/>
  <c r="H45" i="25" s="1"/>
  <c r="E46" i="25"/>
  <c r="F46" i="25"/>
  <c r="G46" i="25" s="1"/>
  <c r="H46" i="25" s="1"/>
  <c r="E47" i="25"/>
  <c r="F47" i="25"/>
  <c r="G47" i="25" s="1"/>
  <c r="H47" i="25" s="1"/>
  <c r="E48" i="25"/>
  <c r="F48" i="25"/>
  <c r="G48" i="25" s="1"/>
  <c r="H48" i="25" s="1"/>
  <c r="E49" i="25"/>
  <c r="F49" i="25"/>
  <c r="G49" i="25" s="1"/>
  <c r="H49" i="25" s="1"/>
  <c r="E50" i="25"/>
  <c r="F50" i="25"/>
  <c r="G50" i="25" s="1"/>
  <c r="H50" i="25" s="1"/>
  <c r="E51" i="25"/>
  <c r="F51" i="25"/>
  <c r="G51" i="25" s="1"/>
  <c r="H51" i="25" s="1"/>
  <c r="E52" i="25"/>
  <c r="F52" i="25"/>
  <c r="G52" i="25" s="1"/>
  <c r="H52" i="25" s="1"/>
  <c r="E53" i="25"/>
  <c r="F53" i="25"/>
  <c r="G53" i="25" s="1"/>
  <c r="H53" i="25" s="1"/>
  <c r="F3" i="25"/>
  <c r="G3" i="25" s="1"/>
  <c r="H3" i="25" s="1"/>
  <c r="E3" i="25"/>
  <c r="G35" i="26"/>
  <c r="H35" i="26" s="1"/>
  <c r="G6" i="26"/>
  <c r="H6" i="26" s="1"/>
  <c r="H4" i="26"/>
  <c r="H7" i="26"/>
  <c r="H8" i="26"/>
  <c r="H16" i="26"/>
  <c r="H31" i="26"/>
  <c r="H32" i="26"/>
  <c r="H43" i="26"/>
  <c r="E4" i="26"/>
  <c r="F4" i="26"/>
  <c r="E5" i="26"/>
  <c r="F5" i="26"/>
  <c r="G5" i="26" s="1"/>
  <c r="H5" i="26" s="1"/>
  <c r="E6" i="26"/>
  <c r="F6" i="26"/>
  <c r="E7" i="26"/>
  <c r="F7" i="26"/>
  <c r="E8" i="26"/>
  <c r="F8" i="26"/>
  <c r="E9" i="26"/>
  <c r="G9" i="26" s="1"/>
  <c r="H9" i="26" s="1"/>
  <c r="F9" i="26"/>
  <c r="E10" i="26"/>
  <c r="F10" i="26"/>
  <c r="G10" i="26" s="1"/>
  <c r="H10" i="26" s="1"/>
  <c r="E11" i="26"/>
  <c r="F11" i="26"/>
  <c r="G11" i="26" s="1"/>
  <c r="H11" i="26" s="1"/>
  <c r="E12" i="26"/>
  <c r="F12" i="26"/>
  <c r="G12" i="26" s="1"/>
  <c r="H12" i="26" s="1"/>
  <c r="E13" i="26"/>
  <c r="F13" i="26"/>
  <c r="G13" i="26" s="1"/>
  <c r="H13" i="26" s="1"/>
  <c r="E14" i="26"/>
  <c r="F14" i="26"/>
  <c r="G14" i="26" s="1"/>
  <c r="H14" i="26" s="1"/>
  <c r="E15" i="26"/>
  <c r="G15" i="26" s="1"/>
  <c r="H15" i="26" s="1"/>
  <c r="F15" i="26"/>
  <c r="E16" i="26"/>
  <c r="F16" i="26"/>
  <c r="E17" i="26"/>
  <c r="F17" i="26"/>
  <c r="G17" i="26" s="1"/>
  <c r="H17" i="26" s="1"/>
  <c r="E18" i="26"/>
  <c r="F18" i="26"/>
  <c r="G18" i="26" s="1"/>
  <c r="H18" i="26" s="1"/>
  <c r="E19" i="26"/>
  <c r="F19" i="26"/>
  <c r="G19" i="26" s="1"/>
  <c r="H19" i="26" s="1"/>
  <c r="E20" i="26"/>
  <c r="F20" i="26"/>
  <c r="G20" i="26" s="1"/>
  <c r="H20" i="26" s="1"/>
  <c r="E21" i="26"/>
  <c r="F21" i="26"/>
  <c r="G21" i="26" s="1"/>
  <c r="H21" i="26" s="1"/>
  <c r="E22" i="26"/>
  <c r="F22" i="26"/>
  <c r="G22" i="26" s="1"/>
  <c r="H22" i="26" s="1"/>
  <c r="E23" i="26"/>
  <c r="F23" i="26"/>
  <c r="G23" i="26" s="1"/>
  <c r="H23" i="26" s="1"/>
  <c r="E24" i="26"/>
  <c r="F24" i="26"/>
  <c r="G24" i="26" s="1"/>
  <c r="H24" i="26" s="1"/>
  <c r="E25" i="26"/>
  <c r="F25" i="26"/>
  <c r="G25" i="26" s="1"/>
  <c r="H25" i="26" s="1"/>
  <c r="E26" i="26"/>
  <c r="F26" i="26"/>
  <c r="G26" i="26" s="1"/>
  <c r="H26" i="26" s="1"/>
  <c r="E27" i="26"/>
  <c r="F27" i="26"/>
  <c r="G27" i="26" s="1"/>
  <c r="H27" i="26" s="1"/>
  <c r="E28" i="26"/>
  <c r="F28" i="26"/>
  <c r="G28" i="26" s="1"/>
  <c r="H28" i="26" s="1"/>
  <c r="E29" i="26"/>
  <c r="F29" i="26"/>
  <c r="G29" i="26" s="1"/>
  <c r="H29" i="26" s="1"/>
  <c r="E30" i="26"/>
  <c r="F30" i="26"/>
  <c r="G30" i="26" s="1"/>
  <c r="H30" i="26" s="1"/>
  <c r="E31" i="26"/>
  <c r="F31" i="26"/>
  <c r="E32" i="26"/>
  <c r="F32" i="26"/>
  <c r="E33" i="26"/>
  <c r="F33" i="26"/>
  <c r="G33" i="26" s="1"/>
  <c r="H33" i="26" s="1"/>
  <c r="E34" i="26"/>
  <c r="F34" i="26"/>
  <c r="G34" i="26" s="1"/>
  <c r="H34" i="26" s="1"/>
  <c r="E35" i="26"/>
  <c r="F35" i="26"/>
  <c r="E36" i="26"/>
  <c r="F36" i="26"/>
  <c r="G36" i="26" s="1"/>
  <c r="H36" i="26" s="1"/>
  <c r="E37" i="26"/>
  <c r="F37" i="26"/>
  <c r="G37" i="26" s="1"/>
  <c r="H37" i="26" s="1"/>
  <c r="E38" i="26"/>
  <c r="F38" i="26"/>
  <c r="G38" i="26" s="1"/>
  <c r="H38" i="26" s="1"/>
  <c r="E39" i="26"/>
  <c r="G39" i="26" s="1"/>
  <c r="H39" i="26" s="1"/>
  <c r="F39" i="26"/>
  <c r="E40" i="26"/>
  <c r="F40" i="26"/>
  <c r="G40" i="26" s="1"/>
  <c r="H40" i="26" s="1"/>
  <c r="E41" i="26"/>
  <c r="F41" i="26"/>
  <c r="G41" i="26" s="1"/>
  <c r="H41" i="26" s="1"/>
  <c r="E42" i="26"/>
  <c r="F42" i="26"/>
  <c r="G42" i="26" s="1"/>
  <c r="H42" i="26" s="1"/>
  <c r="E43" i="26"/>
  <c r="F43" i="26"/>
  <c r="E44" i="26"/>
  <c r="F44" i="26"/>
  <c r="G44" i="26" s="1"/>
  <c r="H44" i="26" s="1"/>
  <c r="E45" i="26"/>
  <c r="F45" i="26"/>
  <c r="G45" i="26" s="1"/>
  <c r="H45" i="26" s="1"/>
  <c r="E46" i="26"/>
  <c r="F46" i="26"/>
  <c r="G46" i="26" s="1"/>
  <c r="H46" i="26" s="1"/>
  <c r="E47" i="26"/>
  <c r="F47" i="26"/>
  <c r="G47" i="26" s="1"/>
  <c r="H47" i="26" s="1"/>
  <c r="E48" i="26"/>
  <c r="F48" i="26"/>
  <c r="G48" i="26" s="1"/>
  <c r="H48" i="26" s="1"/>
  <c r="E49" i="26"/>
  <c r="F49" i="26"/>
  <c r="G49" i="26" s="1"/>
  <c r="H49" i="26" s="1"/>
  <c r="E50" i="26"/>
  <c r="F50" i="26"/>
  <c r="G50" i="26" s="1"/>
  <c r="H50" i="26" s="1"/>
  <c r="H3" i="26"/>
  <c r="F3" i="26"/>
  <c r="E3" i="26"/>
  <c r="H1" i="33" l="1"/>
  <c r="H1" i="32"/>
  <c r="F24" i="30"/>
  <c r="G24" i="30" s="1"/>
  <c r="H24" i="30" s="1"/>
  <c r="F23" i="30"/>
  <c r="G23" i="30" s="1"/>
  <c r="H23" i="30" s="1"/>
  <c r="F29" i="31"/>
  <c r="G29" i="31" s="1"/>
  <c r="H29" i="31" s="1"/>
  <c r="E28" i="31"/>
  <c r="F54" i="30"/>
  <c r="G54" i="30" s="1"/>
  <c r="H54" i="30" s="1"/>
  <c r="F22" i="30"/>
  <c r="G22" i="30" s="1"/>
  <c r="H22" i="30" s="1"/>
  <c r="E21" i="31"/>
  <c r="E51" i="30"/>
  <c r="F19" i="31"/>
  <c r="G19" i="31" s="1"/>
  <c r="H19" i="31" s="1"/>
  <c r="E50" i="30"/>
  <c r="E17" i="30"/>
  <c r="E18" i="31"/>
  <c r="E47" i="30"/>
  <c r="F16" i="30"/>
  <c r="G16" i="30" s="1"/>
  <c r="H16" i="30" s="1"/>
  <c r="F16" i="31"/>
  <c r="G16" i="31" s="1"/>
  <c r="H16" i="31" s="1"/>
  <c r="F44" i="30"/>
  <c r="G44" i="30" s="1"/>
  <c r="H44" i="30" s="1"/>
  <c r="F43" i="30"/>
  <c r="G43" i="30" s="1"/>
  <c r="H43" i="30" s="1"/>
  <c r="F14" i="30"/>
  <c r="G14" i="30" s="1"/>
  <c r="H14" i="30" s="1"/>
  <c r="E45" i="31"/>
  <c r="F15" i="31"/>
  <c r="G15" i="31" s="1"/>
  <c r="H15" i="31" s="1"/>
  <c r="E10" i="30"/>
  <c r="F42" i="31"/>
  <c r="G42" i="31" s="1"/>
  <c r="H42" i="31" s="1"/>
  <c r="F42" i="30"/>
  <c r="G42" i="30" s="1"/>
  <c r="H42" i="30" s="1"/>
  <c r="E7" i="30"/>
  <c r="E41" i="31"/>
  <c r="F4" i="30"/>
  <c r="G4" i="30" s="1"/>
  <c r="H4" i="30" s="1"/>
  <c r="F39" i="31"/>
  <c r="G39" i="31" s="1"/>
  <c r="H39" i="31" s="1"/>
  <c r="F35" i="31"/>
  <c r="G35" i="31" s="1"/>
  <c r="H35" i="31" s="1"/>
  <c r="F34" i="30"/>
  <c r="G34" i="30" s="1"/>
  <c r="H34" i="30" s="1"/>
  <c r="E30" i="30"/>
  <c r="E27" i="30"/>
  <c r="H1" i="26"/>
  <c r="H1" i="25"/>
  <c r="F46" i="31"/>
  <c r="G46" i="31" s="1"/>
  <c r="H46" i="31" s="1"/>
  <c r="F26" i="31"/>
  <c r="F6" i="31"/>
  <c r="G6" i="31" s="1"/>
  <c r="H6" i="31" s="1"/>
  <c r="E40" i="30"/>
  <c r="E20" i="30"/>
  <c r="F49" i="30"/>
  <c r="G49" i="30" s="1"/>
  <c r="H49" i="30" s="1"/>
  <c r="F39" i="30"/>
  <c r="G39" i="30" s="1"/>
  <c r="H39" i="30" s="1"/>
  <c r="F29" i="30"/>
  <c r="G29" i="30" s="1"/>
  <c r="H29" i="30" s="1"/>
  <c r="F19" i="30"/>
  <c r="G19" i="30" s="1"/>
  <c r="H19" i="30" s="1"/>
  <c r="F9" i="30"/>
  <c r="G9" i="30" s="1"/>
  <c r="H9" i="30" s="1"/>
  <c r="F25" i="31"/>
  <c r="F5" i="31"/>
  <c r="E3" i="30"/>
  <c r="F48" i="30"/>
  <c r="G48" i="30" s="1"/>
  <c r="H48" i="30" s="1"/>
  <c r="F38" i="30"/>
  <c r="G38" i="30" s="1"/>
  <c r="H38" i="30" s="1"/>
  <c r="F28" i="30"/>
  <c r="G28" i="30" s="1"/>
  <c r="H28" i="30" s="1"/>
  <c r="F18" i="30"/>
  <c r="G18" i="30" s="1"/>
  <c r="H18" i="30" s="1"/>
  <c r="F8" i="30"/>
  <c r="G8" i="30" s="1"/>
  <c r="H8" i="30" s="1"/>
  <c r="F44" i="31"/>
  <c r="G44" i="31" s="1"/>
  <c r="H44" i="31" s="1"/>
  <c r="F34" i="31"/>
  <c r="G34" i="31" s="1"/>
  <c r="H34" i="31" s="1"/>
  <c r="F24" i="31"/>
  <c r="F14" i="31"/>
  <c r="G14" i="31" s="1"/>
  <c r="H14" i="31" s="1"/>
  <c r="F4" i="31"/>
  <c r="F43" i="31"/>
  <c r="G43" i="31" s="1"/>
  <c r="H43" i="31" s="1"/>
  <c r="F33" i="31"/>
  <c r="G33" i="31" s="1"/>
  <c r="H33" i="31" s="1"/>
  <c r="F23" i="31"/>
  <c r="G23" i="31" s="1"/>
  <c r="H23" i="31" s="1"/>
  <c r="F13" i="31"/>
  <c r="G13" i="31" s="1"/>
  <c r="H13" i="31" s="1"/>
  <c r="F46" i="30"/>
  <c r="G46" i="30" s="1"/>
  <c r="H46" i="30" s="1"/>
  <c r="F26" i="30"/>
  <c r="G26" i="30" s="1"/>
  <c r="H26" i="30" s="1"/>
  <c r="F6" i="30"/>
  <c r="G6" i="30" s="1"/>
  <c r="H6" i="30" s="1"/>
  <c r="F32" i="31"/>
  <c r="G32" i="31" s="1"/>
  <c r="H32" i="31" s="1"/>
  <c r="F12" i="31"/>
  <c r="G12" i="31" s="1"/>
  <c r="H12" i="31" s="1"/>
  <c r="F55" i="30"/>
  <c r="G55" i="30" s="1"/>
  <c r="H55" i="30" s="1"/>
  <c r="F45" i="30"/>
  <c r="G45" i="30" s="1"/>
  <c r="H45" i="30" s="1"/>
  <c r="F35" i="30"/>
  <c r="G35" i="30" s="1"/>
  <c r="H35" i="30" s="1"/>
  <c r="F25" i="30"/>
  <c r="G25" i="30" s="1"/>
  <c r="H25" i="30" s="1"/>
  <c r="F15" i="30"/>
  <c r="G15" i="30" s="1"/>
  <c r="H15" i="30" s="1"/>
  <c r="F5" i="30"/>
  <c r="F40" i="31"/>
  <c r="G40" i="31" s="1"/>
  <c r="H40" i="31" s="1"/>
  <c r="F20" i="31"/>
  <c r="G20" i="31" s="1"/>
  <c r="H20" i="31" s="1"/>
  <c r="F33" i="30"/>
  <c r="G33" i="30" s="1"/>
  <c r="H33" i="30" s="1"/>
  <c r="F13" i="30"/>
  <c r="G13" i="30" s="1"/>
  <c r="H13" i="30" s="1"/>
  <c r="F52" i="30"/>
  <c r="G52" i="30" s="1"/>
  <c r="H52" i="30" s="1"/>
  <c r="F32" i="30"/>
  <c r="G32" i="30" s="1"/>
  <c r="H32" i="30" s="1"/>
  <c r="F12" i="30"/>
  <c r="G12" i="30" s="1"/>
  <c r="H12" i="30" s="1"/>
  <c r="F8" i="31"/>
  <c r="G8" i="31" s="1"/>
  <c r="H8" i="31" s="1"/>
  <c r="F31" i="30"/>
  <c r="F11" i="30"/>
  <c r="G11" i="30" s="1"/>
  <c r="H11" i="30" s="1"/>
  <c r="E3" i="31"/>
  <c r="F37" i="31"/>
  <c r="F27" i="31"/>
  <c r="G27" i="31" s="1"/>
  <c r="H27" i="31" s="1"/>
  <c r="F17" i="31"/>
  <c r="G17" i="31" s="1"/>
  <c r="H17" i="31" s="1"/>
  <c r="F7" i="31"/>
  <c r="H3" i="30"/>
  <c r="H3" i="31"/>
  <c r="E6" i="27"/>
  <c r="F6" i="27"/>
  <c r="H6" i="27"/>
  <c r="E7" i="27"/>
  <c r="F7" i="27"/>
  <c r="G7" i="27" s="1"/>
  <c r="H7" i="27" s="1"/>
  <c r="E8" i="27"/>
  <c r="F8" i="27"/>
  <c r="G8" i="27" s="1"/>
  <c r="H8" i="27" s="1"/>
  <c r="E9" i="27"/>
  <c r="F9" i="27"/>
  <c r="G9" i="27" s="1"/>
  <c r="H9" i="27" s="1"/>
  <c r="E10" i="27"/>
  <c r="F10" i="27"/>
  <c r="G10" i="27" s="1"/>
  <c r="H10" i="27" s="1"/>
  <c r="E11" i="27"/>
  <c r="G11" i="27" s="1"/>
  <c r="H11" i="27" s="1"/>
  <c r="F11" i="27"/>
  <c r="E12" i="27"/>
  <c r="F12" i="27"/>
  <c r="G12" i="27" s="1"/>
  <c r="H12" i="27" s="1"/>
  <c r="E13" i="27"/>
  <c r="F13" i="27"/>
  <c r="G13" i="27" s="1"/>
  <c r="H13" i="27" s="1"/>
  <c r="E14" i="27"/>
  <c r="F14" i="27"/>
  <c r="G14" i="27" s="1"/>
  <c r="H14" i="27" s="1"/>
  <c r="E15" i="27"/>
  <c r="F15" i="27"/>
  <c r="G15" i="27" s="1"/>
  <c r="H15" i="27" s="1"/>
  <c r="E16" i="27"/>
  <c r="F16" i="27"/>
  <c r="G16" i="27" s="1"/>
  <c r="H16" i="27" s="1"/>
  <c r="E17" i="27"/>
  <c r="F17" i="27"/>
  <c r="G17" i="27" s="1"/>
  <c r="H17" i="27" s="1"/>
  <c r="E18" i="27"/>
  <c r="F18" i="27"/>
  <c r="G18" i="27" s="1"/>
  <c r="H18" i="27" s="1"/>
  <c r="E19" i="27"/>
  <c r="F19" i="27"/>
  <c r="G19" i="27" s="1"/>
  <c r="H19" i="27" s="1"/>
  <c r="E20" i="27"/>
  <c r="F20" i="27"/>
  <c r="G20" i="27" s="1"/>
  <c r="H20" i="27" s="1"/>
  <c r="E21" i="27"/>
  <c r="F21" i="27"/>
  <c r="G21" i="27" s="1"/>
  <c r="H21" i="27" s="1"/>
  <c r="E22" i="27"/>
  <c r="F22" i="27"/>
  <c r="G22" i="27" s="1"/>
  <c r="H22" i="27" s="1"/>
  <c r="E23" i="27"/>
  <c r="F23" i="27"/>
  <c r="G23" i="27" s="1"/>
  <c r="H23" i="27" s="1"/>
  <c r="E24" i="27"/>
  <c r="F24" i="27"/>
  <c r="G24" i="27" s="1"/>
  <c r="H24" i="27" s="1"/>
  <c r="E25" i="27"/>
  <c r="F25" i="27"/>
  <c r="G25" i="27" s="1"/>
  <c r="H25" i="27" s="1"/>
  <c r="E26" i="27"/>
  <c r="F26" i="27"/>
  <c r="G26" i="27" s="1"/>
  <c r="H26" i="27" s="1"/>
  <c r="E27" i="27"/>
  <c r="F27" i="27"/>
  <c r="G27" i="27" s="1"/>
  <c r="H27" i="27" s="1"/>
  <c r="E28" i="27"/>
  <c r="F28" i="27"/>
  <c r="G28" i="27" s="1"/>
  <c r="H28" i="27" s="1"/>
  <c r="E29" i="27"/>
  <c r="F29" i="27"/>
  <c r="G29" i="27" s="1"/>
  <c r="H29" i="27" s="1"/>
  <c r="E30" i="27"/>
  <c r="F30" i="27"/>
  <c r="G30" i="27" s="1"/>
  <c r="H30" i="27" s="1"/>
  <c r="E31" i="27"/>
  <c r="F31" i="27"/>
  <c r="H31" i="27"/>
  <c r="E32" i="27"/>
  <c r="F32" i="27"/>
  <c r="G32" i="27" s="1"/>
  <c r="H32" i="27" s="1"/>
  <c r="E33" i="27"/>
  <c r="F33" i="27"/>
  <c r="G33" i="27" s="1"/>
  <c r="H33" i="27" s="1"/>
  <c r="E34" i="27"/>
  <c r="F34" i="27"/>
  <c r="G34" i="27" s="1"/>
  <c r="H34" i="27" s="1"/>
  <c r="E35" i="27"/>
  <c r="F35" i="27"/>
  <c r="G35" i="27" s="1"/>
  <c r="H35" i="27" s="1"/>
  <c r="E36" i="27"/>
  <c r="F36" i="27"/>
  <c r="G36" i="27" s="1"/>
  <c r="H36" i="27" s="1"/>
  <c r="E37" i="27"/>
  <c r="F37" i="27"/>
  <c r="G37" i="27" s="1"/>
  <c r="H37" i="27" s="1"/>
  <c r="E38" i="27"/>
  <c r="F38" i="27"/>
  <c r="G38" i="27" s="1"/>
  <c r="H38" i="27" s="1"/>
  <c r="E39" i="27"/>
  <c r="F39" i="27"/>
  <c r="G39" i="27" s="1"/>
  <c r="H39" i="27" s="1"/>
  <c r="E40" i="27"/>
  <c r="F40" i="27"/>
  <c r="G40" i="27" s="1"/>
  <c r="H40" i="27" s="1"/>
  <c r="E41" i="27"/>
  <c r="F41" i="27"/>
  <c r="G41" i="27" s="1"/>
  <c r="H41" i="27" s="1"/>
  <c r="E42" i="27"/>
  <c r="F42" i="27"/>
  <c r="G42" i="27" s="1"/>
  <c r="H42" i="27" s="1"/>
  <c r="E43" i="27"/>
  <c r="F43" i="27"/>
  <c r="G43" i="27" s="1"/>
  <c r="H43" i="27" s="1"/>
  <c r="E44" i="27"/>
  <c r="F44" i="27"/>
  <c r="G44" i="27" s="1"/>
  <c r="H44" i="27" s="1"/>
  <c r="E45" i="27"/>
  <c r="F45" i="27"/>
  <c r="G45" i="27" s="1"/>
  <c r="H45" i="27" s="1"/>
  <c r="E46" i="27"/>
  <c r="F46" i="27"/>
  <c r="G46" i="27" s="1"/>
  <c r="H46" i="27" s="1"/>
  <c r="E47" i="27"/>
  <c r="F47" i="27"/>
  <c r="G47" i="27" s="1"/>
  <c r="H47" i="27" s="1"/>
  <c r="F5" i="27"/>
  <c r="H5" i="27" s="1"/>
  <c r="E5" i="27"/>
  <c r="G36" i="23"/>
  <c r="G35" i="29"/>
  <c r="H35" i="29" s="1"/>
  <c r="G34" i="29"/>
  <c r="H34" i="29" s="1"/>
  <c r="E6" i="29"/>
  <c r="F6" i="29"/>
  <c r="G6" i="29" s="1"/>
  <c r="H6" i="29" s="1"/>
  <c r="E7" i="29"/>
  <c r="F7" i="29"/>
  <c r="G7" i="29" s="1"/>
  <c r="H7" i="29" s="1"/>
  <c r="E8" i="29"/>
  <c r="F8" i="29"/>
  <c r="G8" i="29" s="1"/>
  <c r="H8" i="29" s="1"/>
  <c r="E9" i="29"/>
  <c r="F9" i="29"/>
  <c r="G9" i="29" s="1"/>
  <c r="H9" i="29" s="1"/>
  <c r="E10" i="29"/>
  <c r="F10" i="29"/>
  <c r="G10" i="29" s="1"/>
  <c r="H10" i="29" s="1"/>
  <c r="E11" i="29"/>
  <c r="F11" i="29"/>
  <c r="H11" i="29"/>
  <c r="E12" i="29"/>
  <c r="F12" i="29"/>
  <c r="G12" i="29" s="1"/>
  <c r="H12" i="29" s="1"/>
  <c r="E13" i="29"/>
  <c r="F13" i="29"/>
  <c r="G13" i="29" s="1"/>
  <c r="H13" i="29" s="1"/>
  <c r="E14" i="29"/>
  <c r="F14" i="29"/>
  <c r="G14" i="29" s="1"/>
  <c r="H14" i="29" s="1"/>
  <c r="E15" i="29"/>
  <c r="F15" i="29"/>
  <c r="G15" i="29" s="1"/>
  <c r="H15" i="29" s="1"/>
  <c r="E16" i="29"/>
  <c r="F16" i="29"/>
  <c r="G16" i="29" s="1"/>
  <c r="H16" i="29" s="1"/>
  <c r="E17" i="29"/>
  <c r="F17" i="29"/>
  <c r="G17" i="29" s="1"/>
  <c r="H17" i="29" s="1"/>
  <c r="E18" i="29"/>
  <c r="F18" i="29"/>
  <c r="G18" i="29" s="1"/>
  <c r="H18" i="29" s="1"/>
  <c r="E19" i="29"/>
  <c r="F19" i="29"/>
  <c r="G19" i="29" s="1"/>
  <c r="H19" i="29" s="1"/>
  <c r="E20" i="29"/>
  <c r="F20" i="29"/>
  <c r="G20" i="29" s="1"/>
  <c r="H20" i="29" s="1"/>
  <c r="E21" i="29"/>
  <c r="F21" i="29"/>
  <c r="G21" i="29" s="1"/>
  <c r="H21" i="29" s="1"/>
  <c r="E22" i="29"/>
  <c r="F22" i="29"/>
  <c r="G22" i="29" s="1"/>
  <c r="H22" i="29" s="1"/>
  <c r="E23" i="29"/>
  <c r="F23" i="29"/>
  <c r="G23" i="29" s="1"/>
  <c r="H23" i="29" s="1"/>
  <c r="E24" i="29"/>
  <c r="F24" i="29"/>
  <c r="G24" i="29" s="1"/>
  <c r="H24" i="29" s="1"/>
  <c r="E25" i="29"/>
  <c r="F25" i="29"/>
  <c r="G25" i="29" s="1"/>
  <c r="H25" i="29" s="1"/>
  <c r="E26" i="29"/>
  <c r="F26" i="29"/>
  <c r="G26" i="29" s="1"/>
  <c r="H26" i="29" s="1"/>
  <c r="E27" i="29"/>
  <c r="F27" i="29"/>
  <c r="G27" i="29" s="1"/>
  <c r="H27" i="29" s="1"/>
  <c r="E28" i="29"/>
  <c r="F28" i="29"/>
  <c r="G28" i="29" s="1"/>
  <c r="H28" i="29" s="1"/>
  <c r="E29" i="29"/>
  <c r="F29" i="29"/>
  <c r="G29" i="29" s="1"/>
  <c r="H29" i="29" s="1"/>
  <c r="E30" i="29"/>
  <c r="F30" i="29"/>
  <c r="G30" i="29" s="1"/>
  <c r="H30" i="29" s="1"/>
  <c r="E31" i="29"/>
  <c r="F31" i="29"/>
  <c r="H31" i="29"/>
  <c r="E32" i="29"/>
  <c r="F32" i="29"/>
  <c r="G32" i="29" s="1"/>
  <c r="H32" i="29" s="1"/>
  <c r="E33" i="29"/>
  <c r="F33" i="29"/>
  <c r="G33" i="29" s="1"/>
  <c r="H33" i="29" s="1"/>
  <c r="E34" i="29"/>
  <c r="F34" i="29"/>
  <c r="E35" i="29"/>
  <c r="F35" i="29"/>
  <c r="E36" i="29"/>
  <c r="F36" i="29"/>
  <c r="G36" i="29" s="1"/>
  <c r="H36" i="29" s="1"/>
  <c r="E37" i="29"/>
  <c r="F37" i="29"/>
  <c r="G37" i="29" s="1"/>
  <c r="H37" i="29" s="1"/>
  <c r="E38" i="29"/>
  <c r="F38" i="29"/>
  <c r="G38" i="29" s="1"/>
  <c r="H38" i="29" s="1"/>
  <c r="E39" i="29"/>
  <c r="F39" i="29"/>
  <c r="G39" i="29" s="1"/>
  <c r="H39" i="29" s="1"/>
  <c r="E40" i="29"/>
  <c r="F40" i="29"/>
  <c r="G40" i="29" s="1"/>
  <c r="H40" i="29" s="1"/>
  <c r="E41" i="29"/>
  <c r="F41" i="29"/>
  <c r="E42" i="29"/>
  <c r="F42" i="29"/>
  <c r="G42" i="29" s="1"/>
  <c r="H42" i="29" s="1"/>
  <c r="E43" i="29"/>
  <c r="F43" i="29"/>
  <c r="G43" i="29" s="1"/>
  <c r="H43" i="29" s="1"/>
  <c r="E44" i="29"/>
  <c r="F44" i="29"/>
  <c r="G44" i="29" s="1"/>
  <c r="H44" i="29" s="1"/>
  <c r="E45" i="29"/>
  <c r="F45" i="29"/>
  <c r="G45" i="29" s="1"/>
  <c r="H45" i="29" s="1"/>
  <c r="E46" i="29"/>
  <c r="F46" i="29"/>
  <c r="G46" i="29" s="1"/>
  <c r="H46" i="29" s="1"/>
  <c r="E47" i="29"/>
  <c r="F47" i="29"/>
  <c r="G47" i="29" s="1"/>
  <c r="H47" i="29" s="1"/>
  <c r="E48" i="29"/>
  <c r="F48" i="29"/>
  <c r="G48" i="29" s="1"/>
  <c r="H48" i="29" s="1"/>
  <c r="E49" i="29"/>
  <c r="F49" i="29"/>
  <c r="G49" i="29" s="1"/>
  <c r="H49" i="29" s="1"/>
  <c r="E50" i="29"/>
  <c r="F50" i="29"/>
  <c r="G50" i="29" s="1"/>
  <c r="H50" i="29" s="1"/>
  <c r="E51" i="29"/>
  <c r="F51" i="29"/>
  <c r="G51" i="29" s="1"/>
  <c r="H51" i="29" s="1"/>
  <c r="F5" i="29"/>
  <c r="G5" i="29" s="1"/>
  <c r="E5" i="29"/>
  <c r="G32" i="28"/>
  <c r="H1" i="31" l="1"/>
  <c r="H1" i="30"/>
  <c r="G41" i="29"/>
  <c r="H41" i="29" s="1"/>
  <c r="H3" i="27"/>
  <c r="H5" i="29"/>
  <c r="E5" i="28"/>
  <c r="F5" i="28"/>
  <c r="G5" i="28" s="1"/>
  <c r="H5" i="28" s="1"/>
  <c r="E6" i="28"/>
  <c r="F6" i="28"/>
  <c r="G6" i="28" s="1"/>
  <c r="H6" i="28" s="1"/>
  <c r="E7" i="28"/>
  <c r="F7" i="28"/>
  <c r="G7" i="28" s="1"/>
  <c r="H7" i="28" s="1"/>
  <c r="E8" i="28"/>
  <c r="F8" i="28"/>
  <c r="G8" i="28" s="1"/>
  <c r="H8" i="28" s="1"/>
  <c r="E9" i="28"/>
  <c r="F9" i="28"/>
  <c r="G9" i="28" s="1"/>
  <c r="H9" i="28" s="1"/>
  <c r="E10" i="28"/>
  <c r="F10" i="28"/>
  <c r="G10" i="28" s="1"/>
  <c r="H10" i="28" s="1"/>
  <c r="E11" i="28"/>
  <c r="F11" i="28"/>
  <c r="G11" i="28" s="1"/>
  <c r="H11" i="28" s="1"/>
  <c r="E12" i="28"/>
  <c r="F12" i="28"/>
  <c r="G12" i="28" s="1"/>
  <c r="H12" i="28" s="1"/>
  <c r="E13" i="28"/>
  <c r="F13" i="28"/>
  <c r="G13" i="28" s="1"/>
  <c r="H13" i="28" s="1"/>
  <c r="E14" i="28"/>
  <c r="F14" i="28"/>
  <c r="G14" i="28" s="1"/>
  <c r="H14" i="28" s="1"/>
  <c r="E15" i="28"/>
  <c r="F15" i="28"/>
  <c r="G15" i="28" s="1"/>
  <c r="H15" i="28" s="1"/>
  <c r="E16" i="28"/>
  <c r="F16" i="28"/>
  <c r="G16" i="28" s="1"/>
  <c r="H16" i="28" s="1"/>
  <c r="E17" i="28"/>
  <c r="F17" i="28"/>
  <c r="G17" i="28" s="1"/>
  <c r="H17" i="28" s="1"/>
  <c r="E18" i="28"/>
  <c r="F18" i="28"/>
  <c r="H18" i="28"/>
  <c r="E19" i="28"/>
  <c r="F19" i="28"/>
  <c r="H19" i="28"/>
  <c r="E20" i="28"/>
  <c r="F20" i="28"/>
  <c r="H20" i="28"/>
  <c r="E21" i="28"/>
  <c r="F21" i="28"/>
  <c r="G21" i="28" s="1"/>
  <c r="H21" i="28" s="1"/>
  <c r="E22" i="28"/>
  <c r="F22" i="28"/>
  <c r="G22" i="28" s="1"/>
  <c r="H22" i="28" s="1"/>
  <c r="E23" i="28"/>
  <c r="F23" i="28"/>
  <c r="G23" i="28" s="1"/>
  <c r="H23" i="28" s="1"/>
  <c r="E24" i="28"/>
  <c r="F24" i="28"/>
  <c r="G24" i="28" s="1"/>
  <c r="H24" i="28" s="1"/>
  <c r="E25" i="28"/>
  <c r="F25" i="28"/>
  <c r="H25" i="28"/>
  <c r="E26" i="28"/>
  <c r="F26" i="28"/>
  <c r="G26" i="28" s="1"/>
  <c r="H26" i="28" s="1"/>
  <c r="E27" i="28"/>
  <c r="F27" i="28"/>
  <c r="G27" i="28" s="1"/>
  <c r="H27" i="28" s="1"/>
  <c r="E28" i="28"/>
  <c r="F28" i="28"/>
  <c r="G28" i="28" s="1"/>
  <c r="H28" i="28" s="1"/>
  <c r="E29" i="28"/>
  <c r="F29" i="28"/>
  <c r="G29" i="28" s="1"/>
  <c r="H29" i="28" s="1"/>
  <c r="E30" i="28"/>
  <c r="F30" i="28"/>
  <c r="G30" i="28" s="1"/>
  <c r="H30" i="28" s="1"/>
  <c r="E31" i="28"/>
  <c r="F31" i="28"/>
  <c r="G31" i="28" s="1"/>
  <c r="H31" i="28" s="1"/>
  <c r="E32" i="28"/>
  <c r="F32" i="28"/>
  <c r="H32" i="28"/>
  <c r="E33" i="28"/>
  <c r="F33" i="28"/>
  <c r="G33" i="28" s="1"/>
  <c r="H33" i="28" s="1"/>
  <c r="E34" i="28"/>
  <c r="F34" i="28"/>
  <c r="H34" i="28"/>
  <c r="E35" i="28"/>
  <c r="F35" i="28"/>
  <c r="G35" i="28" s="1"/>
  <c r="H35" i="28" s="1"/>
  <c r="E36" i="28"/>
  <c r="F36" i="28"/>
  <c r="G36" i="28" s="1"/>
  <c r="H36" i="28" s="1"/>
  <c r="E37" i="28"/>
  <c r="F37" i="28"/>
  <c r="G37" i="28" s="1"/>
  <c r="H37" i="28" s="1"/>
  <c r="E38" i="28"/>
  <c r="F38" i="28"/>
  <c r="G38" i="28" s="1"/>
  <c r="H38" i="28" s="1"/>
  <c r="E39" i="28"/>
  <c r="F39" i="28"/>
  <c r="G39" i="28" s="1"/>
  <c r="H39" i="28" s="1"/>
  <c r="E40" i="28"/>
  <c r="F40" i="28"/>
  <c r="H40" i="28"/>
  <c r="E41" i="28"/>
  <c r="G41" i="28" s="1"/>
  <c r="H41" i="28" s="1"/>
  <c r="F41" i="28"/>
  <c r="E42" i="28"/>
  <c r="F42" i="28"/>
  <c r="H42" i="28"/>
  <c r="E43" i="28"/>
  <c r="F43" i="28"/>
  <c r="G43" i="28" s="1"/>
  <c r="H43" i="28" s="1"/>
  <c r="E44" i="28"/>
  <c r="F44" i="28"/>
  <c r="G44" i="28" s="1"/>
  <c r="H44" i="28" s="1"/>
  <c r="E45" i="28"/>
  <c r="F45" i="28"/>
  <c r="G45" i="28" s="1"/>
  <c r="H45" i="28" s="1"/>
  <c r="E46" i="28"/>
  <c r="F46" i="28"/>
  <c r="G46" i="28" s="1"/>
  <c r="H46" i="28" s="1"/>
  <c r="E47" i="28"/>
  <c r="F47" i="28"/>
  <c r="G47" i="28" s="1"/>
  <c r="H47" i="28" s="1"/>
  <c r="E48" i="28"/>
  <c r="F48" i="28"/>
  <c r="G48" i="28" s="1"/>
  <c r="H48" i="28" s="1"/>
  <c r="F4" i="28"/>
  <c r="G4" i="28" s="1"/>
  <c r="E4" i="28"/>
  <c r="G32" i="22"/>
  <c r="G26" i="22"/>
  <c r="H26" i="22" s="1"/>
  <c r="G25" i="22"/>
  <c r="H25" i="22" s="1"/>
  <c r="G8" i="22"/>
  <c r="H8" i="22" s="1"/>
  <c r="E7" i="22"/>
  <c r="F7" i="22"/>
  <c r="H7" i="22"/>
  <c r="E8" i="22"/>
  <c r="F8" i="22"/>
  <c r="E9" i="22"/>
  <c r="F9" i="22"/>
  <c r="G9" i="22" s="1"/>
  <c r="H9" i="22" s="1"/>
  <c r="E10" i="22"/>
  <c r="F10" i="22"/>
  <c r="G10" i="22" s="1"/>
  <c r="H10" i="22" s="1"/>
  <c r="E11" i="22"/>
  <c r="F11" i="22"/>
  <c r="G11" i="22" s="1"/>
  <c r="H11" i="22" s="1"/>
  <c r="E12" i="22"/>
  <c r="F12" i="22"/>
  <c r="G12" i="22" s="1"/>
  <c r="H12" i="22" s="1"/>
  <c r="E13" i="22"/>
  <c r="F13" i="22"/>
  <c r="G13" i="22" s="1"/>
  <c r="H13" i="22" s="1"/>
  <c r="E14" i="22"/>
  <c r="F14" i="22"/>
  <c r="G14" i="22" s="1"/>
  <c r="H14" i="22" s="1"/>
  <c r="E15" i="22"/>
  <c r="F15" i="22"/>
  <c r="G15" i="22" s="1"/>
  <c r="H15" i="22" s="1"/>
  <c r="E16" i="22"/>
  <c r="F16" i="22"/>
  <c r="H16" i="22"/>
  <c r="E17" i="22"/>
  <c r="F17" i="22"/>
  <c r="G17" i="22" s="1"/>
  <c r="H17" i="22" s="1"/>
  <c r="E18" i="22"/>
  <c r="F18" i="22"/>
  <c r="G18" i="22" s="1"/>
  <c r="H18" i="22" s="1"/>
  <c r="E19" i="22"/>
  <c r="F19" i="22"/>
  <c r="G19" i="22" s="1"/>
  <c r="H19" i="22" s="1"/>
  <c r="E20" i="22"/>
  <c r="F20" i="22"/>
  <c r="H20" i="22"/>
  <c r="E21" i="22"/>
  <c r="F21" i="22"/>
  <c r="G21" i="22" s="1"/>
  <c r="H21" i="22" s="1"/>
  <c r="E22" i="22"/>
  <c r="F22" i="22"/>
  <c r="G22" i="22" s="1"/>
  <c r="H22" i="22" s="1"/>
  <c r="E23" i="22"/>
  <c r="F23" i="22"/>
  <c r="G23" i="22" s="1"/>
  <c r="H23" i="22" s="1"/>
  <c r="E24" i="22"/>
  <c r="F24" i="22"/>
  <c r="G24" i="22" s="1"/>
  <c r="H24" i="22" s="1"/>
  <c r="E25" i="22"/>
  <c r="F25" i="22"/>
  <c r="E26" i="22"/>
  <c r="F26" i="22"/>
  <c r="E27" i="22"/>
  <c r="F27" i="22"/>
  <c r="G27" i="22" s="1"/>
  <c r="H27" i="22" s="1"/>
  <c r="E28" i="22"/>
  <c r="F28" i="22"/>
  <c r="H28" i="22"/>
  <c r="E29" i="22"/>
  <c r="F29" i="22"/>
  <c r="G29" i="22" s="1"/>
  <c r="H29" i="22" s="1"/>
  <c r="E30" i="22"/>
  <c r="F30" i="22"/>
  <c r="G30" i="22" s="1"/>
  <c r="H30" i="22" s="1"/>
  <c r="E31" i="22"/>
  <c r="F31" i="22"/>
  <c r="G31" i="22" s="1"/>
  <c r="H31" i="22" s="1"/>
  <c r="E32" i="22"/>
  <c r="F32" i="22"/>
  <c r="H32" i="22"/>
  <c r="E33" i="22"/>
  <c r="F33" i="22"/>
  <c r="G33" i="22" s="1"/>
  <c r="H33" i="22" s="1"/>
  <c r="E34" i="22"/>
  <c r="F34" i="22"/>
  <c r="G34" i="22" s="1"/>
  <c r="H34" i="22" s="1"/>
  <c r="E35" i="22"/>
  <c r="F35" i="22"/>
  <c r="G35" i="22" s="1"/>
  <c r="H35" i="22" s="1"/>
  <c r="E36" i="22"/>
  <c r="F36" i="22"/>
  <c r="H36" i="22"/>
  <c r="E37" i="22"/>
  <c r="F37" i="22"/>
  <c r="G37" i="22" s="1"/>
  <c r="H37" i="22" s="1"/>
  <c r="E38" i="22"/>
  <c r="F38" i="22"/>
  <c r="G38" i="22" s="1"/>
  <c r="H38" i="22" s="1"/>
  <c r="E39" i="22"/>
  <c r="F39" i="22"/>
  <c r="G39" i="22" s="1"/>
  <c r="H39" i="22" s="1"/>
  <c r="E40" i="22"/>
  <c r="F40" i="22"/>
  <c r="G40" i="22" s="1"/>
  <c r="H40" i="22" s="1"/>
  <c r="E41" i="22"/>
  <c r="F41" i="22"/>
  <c r="G41" i="22" s="1"/>
  <c r="H41" i="22" s="1"/>
  <c r="E42" i="22"/>
  <c r="F42" i="22"/>
  <c r="G42" i="22" s="1"/>
  <c r="H42" i="22" s="1"/>
  <c r="E43" i="22"/>
  <c r="F43" i="22"/>
  <c r="H43" i="22"/>
  <c r="E44" i="22"/>
  <c r="F44" i="22"/>
  <c r="G44" i="22" s="1"/>
  <c r="H44" i="22" s="1"/>
  <c r="E45" i="22"/>
  <c r="F45" i="22"/>
  <c r="H45" i="22"/>
  <c r="E46" i="22"/>
  <c r="F46" i="22"/>
  <c r="G46" i="22" s="1"/>
  <c r="H46" i="22" s="1"/>
  <c r="E47" i="22"/>
  <c r="F47" i="22"/>
  <c r="G47" i="22" s="1"/>
  <c r="H47" i="22" s="1"/>
  <c r="F6" i="22"/>
  <c r="G6" i="22" s="1"/>
  <c r="H6" i="22" s="1"/>
  <c r="E6" i="22"/>
  <c r="G6" i="23"/>
  <c r="E5" i="23"/>
  <c r="F5" i="23"/>
  <c r="H5" i="23" s="1"/>
  <c r="E6" i="23"/>
  <c r="F6" i="23"/>
  <c r="E7" i="23"/>
  <c r="F7" i="23"/>
  <c r="G7" i="23" s="1"/>
  <c r="E8" i="23"/>
  <c r="F8" i="23"/>
  <c r="H8" i="23" s="1"/>
  <c r="E9" i="23"/>
  <c r="F9" i="23"/>
  <c r="H9" i="23" s="1"/>
  <c r="E10" i="23"/>
  <c r="F10" i="23"/>
  <c r="G10" i="23" s="1"/>
  <c r="E11" i="23"/>
  <c r="F11" i="23"/>
  <c r="G11" i="23" s="1"/>
  <c r="E12" i="23"/>
  <c r="F12" i="23"/>
  <c r="G12" i="23" s="1"/>
  <c r="E13" i="23"/>
  <c r="F13" i="23"/>
  <c r="E14" i="23"/>
  <c r="F14" i="23"/>
  <c r="G14" i="23" s="1"/>
  <c r="E15" i="23"/>
  <c r="F15" i="23"/>
  <c r="E16" i="23"/>
  <c r="F16" i="23"/>
  <c r="G16" i="23" s="1"/>
  <c r="E17" i="23"/>
  <c r="F17" i="23"/>
  <c r="G17" i="23" s="1"/>
  <c r="E18" i="23"/>
  <c r="F18" i="23"/>
  <c r="G18" i="23" s="1"/>
  <c r="E19" i="23"/>
  <c r="F19" i="23"/>
  <c r="G19" i="23" s="1"/>
  <c r="E20" i="23"/>
  <c r="F20" i="23"/>
  <c r="E21" i="23"/>
  <c r="F21" i="23"/>
  <c r="G21" i="23" s="1"/>
  <c r="E22" i="23"/>
  <c r="F22" i="23"/>
  <c r="H22" i="23" s="1"/>
  <c r="E23" i="23"/>
  <c r="F23" i="23"/>
  <c r="H23" i="23" s="1"/>
  <c r="E24" i="23"/>
  <c r="F24" i="23"/>
  <c r="G24" i="23" s="1"/>
  <c r="E25" i="23"/>
  <c r="F25" i="23"/>
  <c r="G25" i="23" s="1"/>
  <c r="E26" i="23"/>
  <c r="F26" i="23"/>
  <c r="G26" i="23" s="1"/>
  <c r="E27" i="23"/>
  <c r="F27" i="23"/>
  <c r="G27" i="23" s="1"/>
  <c r="E28" i="23"/>
  <c r="F28" i="23"/>
  <c r="G28" i="23" s="1"/>
  <c r="E29" i="23"/>
  <c r="F29" i="23"/>
  <c r="G29" i="23" s="1"/>
  <c r="E30" i="23"/>
  <c r="F30" i="23"/>
  <c r="E31" i="23"/>
  <c r="F31" i="23"/>
  <c r="G31" i="23" s="1"/>
  <c r="E32" i="23"/>
  <c r="F32" i="23"/>
  <c r="G32" i="23" s="1"/>
  <c r="E33" i="23"/>
  <c r="F33" i="23"/>
  <c r="E34" i="23"/>
  <c r="F34" i="23"/>
  <c r="E35" i="23"/>
  <c r="F35" i="23"/>
  <c r="G35" i="23" s="1"/>
  <c r="E36" i="23"/>
  <c r="F36" i="23"/>
  <c r="E37" i="23"/>
  <c r="F37" i="23"/>
  <c r="G37" i="23" s="1"/>
  <c r="E38" i="23"/>
  <c r="F38" i="23"/>
  <c r="G38" i="23" s="1"/>
  <c r="E39" i="23"/>
  <c r="F39" i="23"/>
  <c r="G39" i="23" s="1"/>
  <c r="E40" i="23"/>
  <c r="F40" i="23"/>
  <c r="H40" i="23" s="1"/>
  <c r="E41" i="23"/>
  <c r="F41" i="23"/>
  <c r="G41" i="23" s="1"/>
  <c r="E42" i="23"/>
  <c r="F42" i="23"/>
  <c r="G42" i="23" s="1"/>
  <c r="E43" i="23"/>
  <c r="F43" i="23"/>
  <c r="G43" i="23" s="1"/>
  <c r="E44" i="23"/>
  <c r="F44" i="23"/>
  <c r="E45" i="23"/>
  <c r="F45" i="23"/>
  <c r="E46" i="23"/>
  <c r="F46" i="23"/>
  <c r="E47" i="23"/>
  <c r="F47" i="23"/>
  <c r="G47" i="23" s="1"/>
  <c r="E48" i="23"/>
  <c r="F48" i="23"/>
  <c r="E49" i="23"/>
  <c r="F49" i="23"/>
  <c r="G49" i="23" s="1"/>
  <c r="E50" i="23"/>
  <c r="F50" i="23"/>
  <c r="H50" i="23" s="1"/>
  <c r="E51" i="23"/>
  <c r="F51" i="23"/>
  <c r="H51" i="23" s="1"/>
  <c r="F4" i="23"/>
  <c r="H4" i="23" s="1"/>
  <c r="E4" i="23"/>
  <c r="H3" i="29" l="1"/>
  <c r="H4" i="22"/>
  <c r="H12" i="23"/>
  <c r="H11" i="23"/>
  <c r="G48" i="23"/>
  <c r="H48" i="23" s="1"/>
  <c r="H14" i="23"/>
  <c r="H10" i="23"/>
  <c r="G15" i="23"/>
  <c r="H15" i="23" s="1"/>
  <c r="G20" i="23"/>
  <c r="H20" i="23" s="1"/>
  <c r="G30" i="23"/>
  <c r="H30" i="23" s="1"/>
  <c r="H47" i="23"/>
  <c r="G46" i="23"/>
  <c r="H46" i="23" s="1"/>
  <c r="H35" i="23"/>
  <c r="H49" i="23"/>
  <c r="H21" i="23"/>
  <c r="G13" i="23"/>
  <c r="H13" i="23" s="1"/>
  <c r="G45" i="23"/>
  <c r="H45" i="23" s="1"/>
  <c r="G34" i="23"/>
  <c r="H34" i="23" s="1"/>
  <c r="G44" i="23"/>
  <c r="H44" i="23" s="1"/>
  <c r="H4" i="28"/>
  <c r="H2" i="28" s="1"/>
  <c r="H42" i="23"/>
  <c r="H43" i="23"/>
  <c r="H41" i="23"/>
  <c r="H39" i="23"/>
  <c r="H38" i="23"/>
  <c r="H37" i="23"/>
  <c r="H36" i="23"/>
  <c r="H33" i="23"/>
  <c r="H32" i="23"/>
  <c r="H31" i="23"/>
  <c r="H29" i="23"/>
  <c r="H28" i="23"/>
  <c r="H25" i="23"/>
  <c r="H27" i="23"/>
  <c r="H26" i="23"/>
  <c r="H24" i="23"/>
  <c r="H19" i="23"/>
  <c r="H18" i="23"/>
  <c r="H17" i="23"/>
  <c r="H16" i="23"/>
  <c r="H7" i="23"/>
  <c r="H6" i="23"/>
  <c r="G43" i="21"/>
  <c r="H43" i="21" s="1"/>
  <c r="G42" i="21"/>
  <c r="H42" i="21" s="1"/>
  <c r="E52" i="21"/>
  <c r="F52" i="21"/>
  <c r="G52" i="21" s="1"/>
  <c r="H52" i="21" s="1"/>
  <c r="E53" i="21"/>
  <c r="F53" i="21"/>
  <c r="G53" i="21" s="1"/>
  <c r="H53" i="21" s="1"/>
  <c r="E54" i="21"/>
  <c r="F54" i="21"/>
  <c r="G40" i="21"/>
  <c r="H40" i="21" s="1"/>
  <c r="G32" i="21"/>
  <c r="H32" i="21" s="1"/>
  <c r="G21" i="21"/>
  <c r="H21" i="21" s="1"/>
  <c r="G7" i="21"/>
  <c r="H7" i="21" s="1"/>
  <c r="H4" i="21"/>
  <c r="H5" i="21"/>
  <c r="H24" i="21"/>
  <c r="H25" i="21"/>
  <c r="H34" i="21"/>
  <c r="H36" i="21"/>
  <c r="H37" i="21"/>
  <c r="H44" i="21"/>
  <c r="H54" i="21"/>
  <c r="F3" i="21"/>
  <c r="G3" i="21" s="1"/>
  <c r="H3" i="21" s="1"/>
  <c r="E3" i="21"/>
  <c r="F51" i="21"/>
  <c r="G51" i="21" s="1"/>
  <c r="H51" i="21" s="1"/>
  <c r="E51" i="21"/>
  <c r="F50" i="21"/>
  <c r="G50" i="21" s="1"/>
  <c r="H50" i="21" s="1"/>
  <c r="E50" i="21"/>
  <c r="F49" i="21"/>
  <c r="G49" i="21" s="1"/>
  <c r="H49" i="21" s="1"/>
  <c r="E49" i="21"/>
  <c r="F48" i="21"/>
  <c r="G48" i="21" s="1"/>
  <c r="H48" i="21" s="1"/>
  <c r="E48" i="21"/>
  <c r="F47" i="21"/>
  <c r="G47" i="21" s="1"/>
  <c r="H47" i="21" s="1"/>
  <c r="E47" i="21"/>
  <c r="F46" i="21"/>
  <c r="G46" i="21" s="1"/>
  <c r="H46" i="21" s="1"/>
  <c r="E46" i="21"/>
  <c r="F45" i="21"/>
  <c r="G45" i="21" s="1"/>
  <c r="H45" i="21" s="1"/>
  <c r="E45" i="21"/>
  <c r="F44" i="21"/>
  <c r="E44" i="21"/>
  <c r="F43" i="21"/>
  <c r="E43" i="21"/>
  <c r="F42" i="21"/>
  <c r="E42" i="21"/>
  <c r="F41" i="21"/>
  <c r="G41" i="21" s="1"/>
  <c r="H41" i="21" s="1"/>
  <c r="E41" i="21"/>
  <c r="F40" i="21"/>
  <c r="E40" i="21"/>
  <c r="F39" i="21"/>
  <c r="G39" i="21" s="1"/>
  <c r="H39" i="21" s="1"/>
  <c r="E39" i="21"/>
  <c r="F38" i="21"/>
  <c r="G38" i="21" s="1"/>
  <c r="H38" i="21" s="1"/>
  <c r="E38" i="21"/>
  <c r="F37" i="21"/>
  <c r="E37" i="21"/>
  <c r="F36" i="21"/>
  <c r="E36" i="21"/>
  <c r="F35" i="21"/>
  <c r="G35" i="21" s="1"/>
  <c r="H35" i="21" s="1"/>
  <c r="E35" i="21"/>
  <c r="F34" i="21"/>
  <c r="E34" i="21"/>
  <c r="F33" i="21"/>
  <c r="G33" i="21" s="1"/>
  <c r="H33" i="21" s="1"/>
  <c r="E33" i="21"/>
  <c r="F32" i="21"/>
  <c r="E32" i="21"/>
  <c r="F31" i="21"/>
  <c r="G31" i="21" s="1"/>
  <c r="H31" i="21" s="1"/>
  <c r="E31" i="21"/>
  <c r="F30" i="21"/>
  <c r="G30" i="21" s="1"/>
  <c r="H30" i="21" s="1"/>
  <c r="E30" i="21"/>
  <c r="F29" i="21"/>
  <c r="G29" i="21" s="1"/>
  <c r="H29" i="21" s="1"/>
  <c r="E29" i="21"/>
  <c r="F28" i="21"/>
  <c r="G28" i="21" s="1"/>
  <c r="H28" i="21" s="1"/>
  <c r="E28" i="21"/>
  <c r="F27" i="21"/>
  <c r="G27" i="21" s="1"/>
  <c r="H27" i="21" s="1"/>
  <c r="E27" i="21"/>
  <c r="F26" i="21"/>
  <c r="G26" i="21" s="1"/>
  <c r="H26" i="21" s="1"/>
  <c r="E26" i="21"/>
  <c r="F25" i="21"/>
  <c r="E25" i="21"/>
  <c r="F24" i="21"/>
  <c r="E24" i="21"/>
  <c r="F23" i="21"/>
  <c r="G23" i="21" s="1"/>
  <c r="H23" i="21" s="1"/>
  <c r="E23" i="21"/>
  <c r="F22" i="21"/>
  <c r="G22" i="21" s="1"/>
  <c r="H22" i="21" s="1"/>
  <c r="E22" i="21"/>
  <c r="F21" i="21"/>
  <c r="E21" i="21"/>
  <c r="F20" i="21"/>
  <c r="E20" i="21"/>
  <c r="G20" i="21" s="1"/>
  <c r="H20" i="21" s="1"/>
  <c r="F19" i="21"/>
  <c r="G19" i="21" s="1"/>
  <c r="H19" i="21" s="1"/>
  <c r="E19" i="21"/>
  <c r="F18" i="21"/>
  <c r="G18" i="21" s="1"/>
  <c r="H18" i="21" s="1"/>
  <c r="E18" i="21"/>
  <c r="F17" i="21"/>
  <c r="G17" i="21" s="1"/>
  <c r="H17" i="21" s="1"/>
  <c r="E17" i="21"/>
  <c r="F16" i="21"/>
  <c r="G16" i="21" s="1"/>
  <c r="H16" i="21" s="1"/>
  <c r="E16" i="21"/>
  <c r="F15" i="21"/>
  <c r="G15" i="21" s="1"/>
  <c r="H15" i="21" s="1"/>
  <c r="E15" i="21"/>
  <c r="F14" i="21"/>
  <c r="G14" i="21" s="1"/>
  <c r="H14" i="21" s="1"/>
  <c r="E14" i="21"/>
  <c r="F13" i="21"/>
  <c r="G13" i="21" s="1"/>
  <c r="H13" i="21" s="1"/>
  <c r="E13" i="21"/>
  <c r="F12" i="21"/>
  <c r="G12" i="21" s="1"/>
  <c r="H12" i="21" s="1"/>
  <c r="E12" i="21"/>
  <c r="F11" i="21"/>
  <c r="E11" i="21"/>
  <c r="G11" i="21" s="1"/>
  <c r="H11" i="21" s="1"/>
  <c r="F10" i="21"/>
  <c r="G10" i="21" s="1"/>
  <c r="H10" i="21" s="1"/>
  <c r="E10" i="21"/>
  <c r="F9" i="21"/>
  <c r="G9" i="21" s="1"/>
  <c r="H9" i="21" s="1"/>
  <c r="E9" i="21"/>
  <c r="F8" i="21"/>
  <c r="G8" i="21" s="1"/>
  <c r="H8" i="21" s="1"/>
  <c r="E8" i="21"/>
  <c r="F7" i="21"/>
  <c r="E7" i="21"/>
  <c r="F6" i="21"/>
  <c r="G6" i="21" s="1"/>
  <c r="H6" i="21" s="1"/>
  <c r="E6" i="21"/>
  <c r="F5" i="21"/>
  <c r="E5" i="21"/>
  <c r="F4" i="21"/>
  <c r="E4" i="21"/>
  <c r="H42" i="20"/>
  <c r="H43" i="20"/>
  <c r="H4" i="20"/>
  <c r="H5" i="20"/>
  <c r="H6" i="20"/>
  <c r="H19" i="20"/>
  <c r="H24" i="20"/>
  <c r="G3" i="20"/>
  <c r="H3" i="20" s="1"/>
  <c r="E4" i="20"/>
  <c r="E5" i="20"/>
  <c r="E6" i="20"/>
  <c r="E7" i="20"/>
  <c r="E8" i="20"/>
  <c r="E9" i="20"/>
  <c r="E10" i="20"/>
  <c r="E11" i="20"/>
  <c r="G11" i="20" s="1"/>
  <c r="H11" i="20" s="1"/>
  <c r="E12" i="20"/>
  <c r="E13" i="20"/>
  <c r="E14" i="20"/>
  <c r="G14" i="20" s="1"/>
  <c r="H14" i="20" s="1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3" i="20"/>
  <c r="F4" i="20"/>
  <c r="F5" i="20"/>
  <c r="F6" i="20"/>
  <c r="F7" i="20"/>
  <c r="G7" i="20" s="1"/>
  <c r="H7" i="20" s="1"/>
  <c r="F8" i="20"/>
  <c r="G8" i="20" s="1"/>
  <c r="H8" i="20" s="1"/>
  <c r="F9" i="20"/>
  <c r="G9" i="20" s="1"/>
  <c r="H9" i="20" s="1"/>
  <c r="F10" i="20"/>
  <c r="G10" i="20" s="1"/>
  <c r="H10" i="20" s="1"/>
  <c r="F11" i="20"/>
  <c r="F12" i="20"/>
  <c r="G12" i="20" s="1"/>
  <c r="H12" i="20" s="1"/>
  <c r="F13" i="20"/>
  <c r="G13" i="20" s="1"/>
  <c r="H13" i="20" s="1"/>
  <c r="F14" i="20"/>
  <c r="F15" i="20"/>
  <c r="G15" i="20" s="1"/>
  <c r="H15" i="20" s="1"/>
  <c r="F16" i="20"/>
  <c r="G16" i="20" s="1"/>
  <c r="H16" i="20" s="1"/>
  <c r="F17" i="20"/>
  <c r="G17" i="20" s="1"/>
  <c r="H17" i="20" s="1"/>
  <c r="F18" i="20"/>
  <c r="G18" i="20" s="1"/>
  <c r="H18" i="20" s="1"/>
  <c r="F19" i="20"/>
  <c r="F20" i="20"/>
  <c r="G20" i="20" s="1"/>
  <c r="H20" i="20" s="1"/>
  <c r="F21" i="20"/>
  <c r="G21" i="20" s="1"/>
  <c r="H21" i="20" s="1"/>
  <c r="F22" i="20"/>
  <c r="G22" i="20" s="1"/>
  <c r="H22" i="20" s="1"/>
  <c r="F23" i="20"/>
  <c r="G23" i="20" s="1"/>
  <c r="H23" i="20" s="1"/>
  <c r="F24" i="20"/>
  <c r="F25" i="20"/>
  <c r="G25" i="20" s="1"/>
  <c r="H25" i="20" s="1"/>
  <c r="F26" i="20"/>
  <c r="G26" i="20" s="1"/>
  <c r="H26" i="20" s="1"/>
  <c r="F27" i="20"/>
  <c r="G27" i="20" s="1"/>
  <c r="H27" i="20" s="1"/>
  <c r="F28" i="20"/>
  <c r="G28" i="20" s="1"/>
  <c r="H28" i="20" s="1"/>
  <c r="F29" i="20"/>
  <c r="G29" i="20" s="1"/>
  <c r="H29" i="20" s="1"/>
  <c r="F30" i="20"/>
  <c r="G30" i="20" s="1"/>
  <c r="H30" i="20" s="1"/>
  <c r="F31" i="20"/>
  <c r="G31" i="20" s="1"/>
  <c r="H31" i="20" s="1"/>
  <c r="F32" i="20"/>
  <c r="G32" i="20" s="1"/>
  <c r="H32" i="20" s="1"/>
  <c r="F33" i="20"/>
  <c r="G33" i="20" s="1"/>
  <c r="H33" i="20" s="1"/>
  <c r="F34" i="20"/>
  <c r="G34" i="20" s="1"/>
  <c r="H34" i="20" s="1"/>
  <c r="F35" i="20"/>
  <c r="G35" i="20" s="1"/>
  <c r="H35" i="20" s="1"/>
  <c r="F36" i="20"/>
  <c r="G36" i="20" s="1"/>
  <c r="H36" i="20" s="1"/>
  <c r="F37" i="20"/>
  <c r="G37" i="20" s="1"/>
  <c r="H37" i="20" s="1"/>
  <c r="F38" i="20"/>
  <c r="G38" i="20" s="1"/>
  <c r="H38" i="20" s="1"/>
  <c r="F39" i="20"/>
  <c r="G39" i="20" s="1"/>
  <c r="H39" i="20" s="1"/>
  <c r="F40" i="20"/>
  <c r="G40" i="20" s="1"/>
  <c r="H40" i="20" s="1"/>
  <c r="F41" i="20"/>
  <c r="G41" i="20" s="1"/>
  <c r="H41" i="20" s="1"/>
  <c r="F42" i="20"/>
  <c r="F43" i="20"/>
  <c r="F44" i="20"/>
  <c r="G44" i="20" s="1"/>
  <c r="H44" i="20" s="1"/>
  <c r="F45" i="20"/>
  <c r="G45" i="20" s="1"/>
  <c r="H45" i="20" s="1"/>
  <c r="F46" i="20"/>
  <c r="G46" i="20" s="1"/>
  <c r="H46" i="20" s="1"/>
  <c r="F47" i="20"/>
  <c r="G47" i="20" s="1"/>
  <c r="H47" i="20" s="1"/>
  <c r="F48" i="20"/>
  <c r="G48" i="20" s="1"/>
  <c r="H48" i="20" s="1"/>
  <c r="F49" i="20"/>
  <c r="G49" i="20" s="1"/>
  <c r="H49" i="20" s="1"/>
  <c r="F50" i="20"/>
  <c r="G50" i="20" s="1"/>
  <c r="H50" i="20" s="1"/>
  <c r="F51" i="20"/>
  <c r="G51" i="20" s="1"/>
  <c r="H51" i="20" s="1"/>
  <c r="F3" i="20"/>
  <c r="H2" i="23" l="1"/>
  <c r="H1" i="21"/>
  <c r="H1" i="20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3" i="19"/>
  <c r="E35" i="19"/>
  <c r="E7" i="19"/>
  <c r="H1" i="19" l="1"/>
  <c r="F4" i="19"/>
  <c r="F8" i="19"/>
  <c r="F9" i="19"/>
  <c r="F10" i="19"/>
  <c r="F11" i="19"/>
  <c r="F12" i="19"/>
  <c r="F13" i="19"/>
  <c r="F14" i="19"/>
  <c r="F15" i="19"/>
  <c r="F16" i="19"/>
  <c r="F17" i="19"/>
  <c r="F18" i="19"/>
  <c r="E18" i="19" s="1"/>
  <c r="F19" i="19"/>
  <c r="F20" i="19"/>
  <c r="F21" i="19"/>
  <c r="F22" i="19"/>
  <c r="F23" i="19"/>
  <c r="F24" i="19"/>
  <c r="F25" i="19"/>
  <c r="F26" i="19"/>
  <c r="F27" i="19"/>
  <c r="F28" i="19"/>
  <c r="F29" i="19"/>
  <c r="E29" i="19" s="1"/>
  <c r="F30" i="19"/>
  <c r="E30" i="19" s="1"/>
  <c r="F31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E48" i="19" s="1"/>
  <c r="F49" i="19"/>
  <c r="E49" i="19" s="1"/>
  <c r="F50" i="19"/>
  <c r="E50" i="19" s="1"/>
  <c r="F51" i="19"/>
  <c r="F52" i="19"/>
  <c r="E52" i="19" s="1"/>
  <c r="F53" i="19"/>
  <c r="E53" i="19" s="1"/>
  <c r="F54" i="19"/>
  <c r="F55" i="19"/>
  <c r="E55" i="19" s="1"/>
  <c r="F56" i="19"/>
  <c r="F57" i="19"/>
  <c r="E57" i="19" s="1"/>
  <c r="E8" i="19"/>
  <c r="E9" i="19"/>
  <c r="E10" i="19"/>
  <c r="E11" i="19"/>
  <c r="E12" i="19"/>
  <c r="E13" i="19"/>
  <c r="E14" i="19"/>
  <c r="E15" i="19"/>
  <c r="E16" i="19"/>
  <c r="E17" i="19"/>
  <c r="E19" i="19"/>
  <c r="E20" i="19"/>
  <c r="E21" i="19"/>
  <c r="E22" i="19"/>
  <c r="E24" i="19"/>
  <c r="E25" i="19"/>
  <c r="E26" i="19"/>
  <c r="E27" i="19"/>
  <c r="E28" i="19"/>
  <c r="E31" i="19"/>
  <c r="E33" i="19"/>
  <c r="E34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51" i="19"/>
  <c r="E54" i="19"/>
  <c r="E56" i="19"/>
  <c r="F3" i="19"/>
  <c r="E3" i="19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3" i="18"/>
  <c r="E34" i="18"/>
  <c r="E7" i="18"/>
  <c r="H10" i="17"/>
  <c r="H52" i="17"/>
  <c r="H4" i="17"/>
  <c r="H5" i="17"/>
  <c r="H6" i="17"/>
  <c r="H7" i="17"/>
  <c r="H8" i="17"/>
  <c r="H9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3" i="17"/>
  <c r="E39" i="17"/>
  <c r="H1" i="18" l="1"/>
  <c r="H1" i="17"/>
  <c r="F5" i="17"/>
  <c r="F6" i="17"/>
  <c r="F7" i="17"/>
  <c r="E10" i="17"/>
  <c r="F11" i="17"/>
  <c r="E11" i="17" s="1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E26" i="17" s="1"/>
  <c r="F27" i="17"/>
  <c r="F28" i="17"/>
  <c r="F29" i="17"/>
  <c r="F30" i="17"/>
  <c r="F31" i="17"/>
  <c r="F32" i="17"/>
  <c r="E32" i="17" s="1"/>
  <c r="F33" i="17"/>
  <c r="F34" i="17"/>
  <c r="E34" i="17" s="1"/>
  <c r="F35" i="17"/>
  <c r="F36" i="17"/>
  <c r="F37" i="17"/>
  <c r="F38" i="17"/>
  <c r="F39" i="17"/>
  <c r="F40" i="17"/>
  <c r="F41" i="17"/>
  <c r="E41" i="17" s="1"/>
  <c r="F42" i="17"/>
  <c r="F43" i="17"/>
  <c r="E43" i="17" s="1"/>
  <c r="F44" i="17"/>
  <c r="F45" i="17"/>
  <c r="F46" i="17"/>
  <c r="F48" i="17"/>
  <c r="F49" i="17"/>
  <c r="F50" i="17"/>
  <c r="F51" i="17"/>
  <c r="F52" i="17"/>
  <c r="E5" i="17"/>
  <c r="E6" i="17"/>
  <c r="E7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7" i="17"/>
  <c r="E28" i="17"/>
  <c r="E29" i="17"/>
  <c r="E30" i="17"/>
  <c r="E31" i="17"/>
  <c r="E33" i="17"/>
  <c r="E35" i="17"/>
  <c r="E36" i="17"/>
  <c r="E37" i="17"/>
  <c r="E38" i="17"/>
  <c r="E40" i="17"/>
  <c r="E42" i="17"/>
  <c r="E44" i="17"/>
  <c r="E45" i="17"/>
  <c r="E48" i="17"/>
  <c r="E50" i="17"/>
  <c r="E51" i="17"/>
  <c r="E52" i="17"/>
  <c r="F8" i="18"/>
  <c r="F9" i="18"/>
  <c r="E9" i="18" s="1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E24" i="18" s="1"/>
  <c r="F25" i="18"/>
  <c r="F26" i="18"/>
  <c r="E26" i="18" s="1"/>
  <c r="F27" i="18"/>
  <c r="F28" i="18"/>
  <c r="F29" i="18"/>
  <c r="F30" i="18"/>
  <c r="F31" i="18"/>
  <c r="F33" i="18"/>
  <c r="F35" i="18"/>
  <c r="F36" i="18"/>
  <c r="F37" i="18"/>
  <c r="E37" i="18" s="1"/>
  <c r="F38" i="18"/>
  <c r="F39" i="18"/>
  <c r="F40" i="18"/>
  <c r="E40" i="18" s="1"/>
  <c r="F41" i="18"/>
  <c r="F42" i="18"/>
  <c r="E42" i="18" s="1"/>
  <c r="F44" i="18"/>
  <c r="E44" i="18" s="1"/>
  <c r="F45" i="18"/>
  <c r="F46" i="18"/>
  <c r="F47" i="18"/>
  <c r="F48" i="18"/>
  <c r="F49" i="18"/>
  <c r="F50" i="18"/>
  <c r="F51" i="18"/>
  <c r="E51" i="18" s="1"/>
  <c r="F52" i="18"/>
  <c r="E52" i="18" s="1"/>
  <c r="F53" i="18"/>
  <c r="E53" i="18" s="1"/>
  <c r="F55" i="18"/>
  <c r="F56" i="18"/>
  <c r="F57" i="18"/>
  <c r="F58" i="18"/>
  <c r="F59" i="18"/>
  <c r="F60" i="18"/>
  <c r="F61" i="18"/>
  <c r="F62" i="18"/>
  <c r="F63" i="18"/>
  <c r="F64" i="18"/>
  <c r="E64" i="18" s="1"/>
  <c r="F65" i="18"/>
  <c r="E65" i="18" s="1"/>
  <c r="F4" i="18"/>
  <c r="E4" i="18" s="1"/>
  <c r="E8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5" i="18"/>
  <c r="E27" i="18"/>
  <c r="E28" i="18"/>
  <c r="E29" i="18"/>
  <c r="E31" i="18"/>
  <c r="E33" i="18"/>
  <c r="E35" i="18"/>
  <c r="E36" i="18"/>
  <c r="E38" i="18"/>
  <c r="E39" i="18"/>
  <c r="E41" i="18"/>
  <c r="E45" i="18"/>
  <c r="E46" i="18"/>
  <c r="E47" i="18"/>
  <c r="E48" i="18"/>
  <c r="E49" i="18"/>
  <c r="E50" i="18"/>
  <c r="E54" i="18"/>
  <c r="E55" i="18"/>
  <c r="E56" i="18"/>
  <c r="E57" i="18"/>
  <c r="E58" i="18"/>
  <c r="E59" i="18"/>
  <c r="E60" i="18"/>
  <c r="E61" i="18"/>
  <c r="E62" i="18"/>
  <c r="E63" i="18"/>
  <c r="E3" i="18"/>
  <c r="F3" i="18"/>
  <c r="F4" i="17"/>
  <c r="E4" i="17"/>
  <c r="H51" i="1"/>
  <c r="H29" i="15"/>
  <c r="H22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3" i="14"/>
  <c r="F5" i="14"/>
  <c r="F6" i="14"/>
  <c r="E6" i="14" s="1"/>
  <c r="F7" i="14"/>
  <c r="E7" i="14" s="1"/>
  <c r="F8" i="14"/>
  <c r="F9" i="14"/>
  <c r="E9" i="14" s="1"/>
  <c r="F10" i="14"/>
  <c r="F11" i="14"/>
  <c r="F12" i="14"/>
  <c r="F13" i="14"/>
  <c r="F14" i="14"/>
  <c r="F15" i="14"/>
  <c r="F16" i="14"/>
  <c r="F17" i="14"/>
  <c r="F18" i="14"/>
  <c r="F19" i="14"/>
  <c r="F20" i="14"/>
  <c r="E20" i="14" s="1"/>
  <c r="F21" i="14"/>
  <c r="E21" i="14" s="1"/>
  <c r="F22" i="14"/>
  <c r="F23" i="14"/>
  <c r="F24" i="14"/>
  <c r="F25" i="14"/>
  <c r="F26" i="14"/>
  <c r="F27" i="14"/>
  <c r="F28" i="14"/>
  <c r="F29" i="14"/>
  <c r="F30" i="14"/>
  <c r="E30" i="14" s="1"/>
  <c r="F31" i="14"/>
  <c r="F32" i="14"/>
  <c r="E32" i="14" s="1"/>
  <c r="F33" i="14"/>
  <c r="E33" i="14" s="1"/>
  <c r="F34" i="14"/>
  <c r="F35" i="14"/>
  <c r="F36" i="14"/>
  <c r="F37" i="14"/>
  <c r="F38" i="14"/>
  <c r="F39" i="14"/>
  <c r="E39" i="14" s="1"/>
  <c r="F40" i="14"/>
  <c r="E40" i="14" s="1"/>
  <c r="F41" i="14"/>
  <c r="F42" i="14"/>
  <c r="F43" i="14"/>
  <c r="F44" i="14"/>
  <c r="F45" i="14"/>
  <c r="F46" i="14"/>
  <c r="F47" i="14"/>
  <c r="F48" i="14"/>
  <c r="F49" i="14"/>
  <c r="E5" i="14"/>
  <c r="E8" i="14"/>
  <c r="E10" i="14"/>
  <c r="E11" i="14"/>
  <c r="E12" i="14"/>
  <c r="E13" i="14"/>
  <c r="E14" i="14"/>
  <c r="E15" i="14"/>
  <c r="E16" i="14"/>
  <c r="E17" i="14"/>
  <c r="E18" i="14"/>
  <c r="E19" i="14"/>
  <c r="E22" i="14"/>
  <c r="E23" i="14"/>
  <c r="E25" i="14"/>
  <c r="E26" i="14"/>
  <c r="E27" i="14"/>
  <c r="E28" i="14"/>
  <c r="E29" i="14"/>
  <c r="E31" i="14"/>
  <c r="E35" i="14"/>
  <c r="E37" i="14"/>
  <c r="E41" i="14"/>
  <c r="E42" i="14"/>
  <c r="E43" i="14"/>
  <c r="E44" i="14"/>
  <c r="E45" i="14"/>
  <c r="E47" i="14"/>
  <c r="E48" i="14"/>
  <c r="E49" i="14"/>
  <c r="F4" i="14"/>
  <c r="E4" i="14"/>
  <c r="H34" i="16"/>
  <c r="H55" i="15"/>
  <c r="H3" i="15"/>
  <c r="E36" i="14" l="1"/>
  <c r="H1" i="14"/>
  <c r="E38" i="14"/>
  <c r="H45" i="15"/>
  <c r="H41" i="15"/>
  <c r="H61" i="16"/>
  <c r="H3" i="13"/>
  <c r="H36" i="11"/>
  <c r="H44" i="9"/>
  <c r="H50" i="7"/>
  <c r="H46" i="8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2" i="6"/>
  <c r="H33" i="6"/>
  <c r="H34" i="6"/>
  <c r="H35" i="6"/>
  <c r="H36" i="6"/>
  <c r="H37" i="6"/>
  <c r="H38" i="6"/>
  <c r="H39" i="6"/>
  <c r="H40" i="6"/>
  <c r="H41" i="6"/>
  <c r="H3" i="6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3" i="5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3" i="4"/>
  <c r="H3" i="3"/>
  <c r="H51" i="2"/>
  <c r="H3" i="2"/>
  <c r="H3" i="1"/>
  <c r="H1" i="4" l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30" i="15"/>
  <c r="H31" i="15"/>
  <c r="H32" i="15"/>
  <c r="H33" i="15"/>
  <c r="H34" i="15"/>
  <c r="H35" i="15"/>
  <c r="H36" i="15"/>
  <c r="H37" i="15"/>
  <c r="H38" i="15"/>
  <c r="H39" i="15"/>
  <c r="H40" i="15"/>
  <c r="H42" i="15"/>
  <c r="H43" i="15"/>
  <c r="H44" i="15"/>
  <c r="H46" i="15"/>
  <c r="H47" i="15"/>
  <c r="H48" i="15"/>
  <c r="H49" i="15"/>
  <c r="H50" i="15"/>
  <c r="H51" i="15"/>
  <c r="H52" i="15"/>
  <c r="H53" i="15"/>
  <c r="H54" i="15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3" i="16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F4" i="15"/>
  <c r="F6" i="15"/>
  <c r="E6" i="15" s="1"/>
  <c r="F7" i="15"/>
  <c r="E7" i="15" s="1"/>
  <c r="F8" i="15"/>
  <c r="F9" i="15"/>
  <c r="F10" i="15"/>
  <c r="F11" i="15"/>
  <c r="F12" i="15"/>
  <c r="F13" i="15"/>
  <c r="F14" i="15"/>
  <c r="F15" i="15"/>
  <c r="F16" i="15"/>
  <c r="F17" i="15"/>
  <c r="F18" i="15"/>
  <c r="E18" i="15" s="1"/>
  <c r="F19" i="15"/>
  <c r="F20" i="15"/>
  <c r="F21" i="15"/>
  <c r="F22" i="15"/>
  <c r="F23" i="15"/>
  <c r="F24" i="15"/>
  <c r="F25" i="15"/>
  <c r="F26" i="15"/>
  <c r="F27" i="15"/>
  <c r="F28" i="15"/>
  <c r="F29" i="15"/>
  <c r="F30" i="15"/>
  <c r="E30" i="15" s="1"/>
  <c r="F31" i="15"/>
  <c r="F32" i="15"/>
  <c r="E32" i="15" s="1"/>
  <c r="F36" i="15"/>
  <c r="F37" i="15"/>
  <c r="F38" i="15"/>
  <c r="F39" i="15"/>
  <c r="F40" i="15"/>
  <c r="F41" i="15"/>
  <c r="F42" i="15"/>
  <c r="F43" i="15"/>
  <c r="E43" i="15" s="1"/>
  <c r="F44" i="15"/>
  <c r="F47" i="15"/>
  <c r="F49" i="15"/>
  <c r="F50" i="15"/>
  <c r="F51" i="15"/>
  <c r="F52" i="15"/>
  <c r="F53" i="15"/>
  <c r="F54" i="15"/>
  <c r="F55" i="15"/>
  <c r="E4" i="15"/>
  <c r="E8" i="15"/>
  <c r="E9" i="15"/>
  <c r="E10" i="15"/>
  <c r="E11" i="15"/>
  <c r="E12" i="15"/>
  <c r="E13" i="15"/>
  <c r="E14" i="15"/>
  <c r="E15" i="15"/>
  <c r="E16" i="15"/>
  <c r="E17" i="15"/>
  <c r="E19" i="15"/>
  <c r="E20" i="15"/>
  <c r="E21" i="15"/>
  <c r="E22" i="15"/>
  <c r="E24" i="15"/>
  <c r="E26" i="15"/>
  <c r="E27" i="15"/>
  <c r="E28" i="15"/>
  <c r="E29" i="15"/>
  <c r="E31" i="15"/>
  <c r="E36" i="15"/>
  <c r="E37" i="15"/>
  <c r="E38" i="15"/>
  <c r="E39" i="15"/>
  <c r="E40" i="15"/>
  <c r="E42" i="15"/>
  <c r="E44" i="15"/>
  <c r="E46" i="15"/>
  <c r="E47" i="15"/>
  <c r="E49" i="15"/>
  <c r="E50" i="15"/>
  <c r="E51" i="15"/>
  <c r="E52" i="15"/>
  <c r="E53" i="15"/>
  <c r="E54" i="15"/>
  <c r="E55" i="15"/>
  <c r="H39" i="11"/>
  <c r="H3" i="12"/>
  <c r="H3" i="9"/>
  <c r="H3" i="7"/>
  <c r="H30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1" i="11"/>
  <c r="H32" i="11"/>
  <c r="H33" i="11"/>
  <c r="H34" i="11"/>
  <c r="H35" i="11"/>
  <c r="H37" i="11"/>
  <c r="H38" i="11"/>
  <c r="H3" i="11"/>
  <c r="G31" i="6"/>
  <c r="H31" i="6" s="1"/>
  <c r="H1" i="6" s="1"/>
  <c r="G30" i="5"/>
  <c r="H30" i="5" s="1"/>
  <c r="H1" i="5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F34" i="1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5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5" i="9"/>
  <c r="H46" i="9"/>
  <c r="H47" i="9"/>
  <c r="H48" i="9"/>
  <c r="H49" i="9"/>
  <c r="H50" i="9"/>
  <c r="H51" i="9"/>
  <c r="H52" i="9"/>
  <c r="H54" i="9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3" i="8"/>
  <c r="H1" i="2" l="1"/>
  <c r="H1" i="15"/>
  <c r="H1" i="7"/>
  <c r="H1" i="13"/>
  <c r="H1" i="16"/>
  <c r="H1" i="12"/>
  <c r="H1" i="11"/>
  <c r="H1" i="8"/>
  <c r="H1" i="9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1" i="3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2" i="1"/>
  <c r="H53" i="1"/>
  <c r="H54" i="1"/>
  <c r="F44" i="1"/>
  <c r="F43" i="1"/>
  <c r="F41" i="1"/>
  <c r="F39" i="1"/>
  <c r="F36" i="1"/>
  <c r="F35" i="1"/>
  <c r="F32" i="1"/>
  <c r="F21" i="1"/>
  <c r="F20" i="1"/>
  <c r="F19" i="1"/>
  <c r="F18" i="1"/>
  <c r="F17" i="1"/>
  <c r="F14" i="1"/>
  <c r="F13" i="1"/>
  <c r="F11" i="1"/>
  <c r="F8" i="1"/>
  <c r="F6" i="1"/>
  <c r="F5" i="1"/>
  <c r="F7" i="1"/>
  <c r="F9" i="1"/>
  <c r="F10" i="1"/>
  <c r="F12" i="1"/>
  <c r="F15" i="1"/>
  <c r="F16" i="1"/>
  <c r="F22" i="1"/>
  <c r="F23" i="1"/>
  <c r="F24" i="1"/>
  <c r="F26" i="1"/>
  <c r="F28" i="1"/>
  <c r="F29" i="1"/>
  <c r="F31" i="1"/>
  <c r="F33" i="1"/>
  <c r="F38" i="1"/>
  <c r="F40" i="1"/>
  <c r="F42" i="1"/>
  <c r="F45" i="1"/>
  <c r="F46" i="1"/>
  <c r="F47" i="1"/>
  <c r="F48" i="1"/>
  <c r="F49" i="1"/>
  <c r="F50" i="1"/>
  <c r="F51" i="1"/>
  <c r="F52" i="1"/>
  <c r="F53" i="1"/>
  <c r="F54" i="1"/>
  <c r="F3" i="1"/>
  <c r="H1" i="1" l="1"/>
</calcChain>
</file>

<file path=xl/sharedStrings.xml><?xml version="1.0" encoding="utf-8"?>
<sst xmlns="http://schemas.openxmlformats.org/spreadsheetml/2006/main" count="3447" uniqueCount="235">
  <si>
    <t>Bắp Cải Tím</t>
  </si>
  <si>
    <t>KG</t>
  </si>
  <si>
    <t>Bí Ngô Mini</t>
  </si>
  <si>
    <t>Bí Ngòi Xanh</t>
  </si>
  <si>
    <t>Trái 280gr</t>
  </si>
  <si>
    <t>Bí Non Nhật</t>
  </si>
  <si>
    <t>Bơ Booth</t>
  </si>
  <si>
    <t>Trái</t>
  </si>
  <si>
    <t>Bông Cải Xanh Baby</t>
  </si>
  <si>
    <t>Cà Chua Beef</t>
  </si>
  <si>
    <t>Cà Chua Beef Trung</t>
  </si>
  <si>
    <t>Vỉ</t>
  </si>
  <si>
    <t>Vỉ 500gr</t>
  </si>
  <si>
    <t>Cà Chua Bi Đỏ</t>
  </si>
  <si>
    <t>Hộp 300gr</t>
  </si>
  <si>
    <t>Cà Chua Bi Mix</t>
  </si>
  <si>
    <t>Hộp</t>
  </si>
  <si>
    <t>Cà Chua Socola</t>
  </si>
  <si>
    <t>Cà Chua Thường</t>
  </si>
  <si>
    <t>Cà Rốt</t>
  </si>
  <si>
    <t>Cà Rốt Baby</t>
  </si>
  <si>
    <t>Cải Kale</t>
  </si>
  <si>
    <t>Túi</t>
  </si>
  <si>
    <t>Túi 150gr</t>
  </si>
  <si>
    <t>Cần Tây</t>
  </si>
  <si>
    <t>Cây</t>
  </si>
  <si>
    <t>Chanh Không Hạt</t>
  </si>
  <si>
    <t>Củ Cải Đỏ</t>
  </si>
  <si>
    <t>Củ Cải Trắng</t>
  </si>
  <si>
    <t>Củ Hành Tây</t>
  </si>
  <si>
    <t>Củ Khoai Lang Mật Size 46</t>
  </si>
  <si>
    <t>Củ Khoai Lang Nhật</t>
  </si>
  <si>
    <t>Củ Khoai Mỡ</t>
  </si>
  <si>
    <t>Đậu Cove Nhật</t>
  </si>
  <si>
    <t>Đậu Cove Trắng</t>
  </si>
  <si>
    <t>Đậu Đỏ</t>
  </si>
  <si>
    <t>Túi 300gr</t>
  </si>
  <si>
    <t>Dưa Leo Baby</t>
  </si>
  <si>
    <t>Dưa Leo Nhật</t>
  </si>
  <si>
    <t>Dưa Leo Thường</t>
  </si>
  <si>
    <t>Hành Paro</t>
  </si>
  <si>
    <t>Hồng Treo Gió</t>
  </si>
  <si>
    <t>Lá É</t>
  </si>
  <si>
    <t>Lá Hương Thảo</t>
  </si>
  <si>
    <t>Gói</t>
  </si>
  <si>
    <t>Lá Mè</t>
  </si>
  <si>
    <t>Măng Tây</t>
  </si>
  <si>
    <t>Ớt Chuông Đỏ</t>
  </si>
  <si>
    <t>Ớt Chuông Snack</t>
  </si>
  <si>
    <t>Trái 180gr</t>
  </si>
  <si>
    <t>Ớt Chuông Vàng</t>
  </si>
  <si>
    <t>Ớt Chuông Xanh</t>
  </si>
  <si>
    <t>Ớt Sweet Palemo</t>
  </si>
  <si>
    <t>Rau Ngò Rí</t>
  </si>
  <si>
    <t>Xà Lách Lolo Xanh</t>
  </si>
  <si>
    <t>Xà Lách Lolo Xanh T.C Cây</t>
  </si>
  <si>
    <t>Xà Lách Mỡ T.C</t>
  </si>
  <si>
    <t>Xà Lách Mỡ T.C Cây</t>
  </si>
  <si>
    <t>Xà Lách Mỹ</t>
  </si>
  <si>
    <t>Xà Lách Rocket</t>
  </si>
  <si>
    <t>Xà Lách Romaine</t>
  </si>
  <si>
    <t>Xà Lách Thủy Tinh T.C Cây</t>
  </si>
  <si>
    <t>Ngày đóng tại ĐL</t>
  </si>
  <si>
    <t>Cải Bó Xôi</t>
  </si>
  <si>
    <t>Ớt Chuông Baby</t>
  </si>
  <si>
    <t>Bí Đao Xanh</t>
  </si>
  <si>
    <t>Xà Lách Mỡ</t>
  </si>
  <si>
    <t>Bắp Cải Trắng</t>
  </si>
  <si>
    <t>Bông Cải Xanh 7Cm</t>
  </si>
  <si>
    <t>Cải Thảo</t>
  </si>
  <si>
    <t>Ớt Chuông Ba Màu</t>
  </si>
  <si>
    <t>Cà Rốt Trung</t>
  </si>
  <si>
    <t>Bắp Cải Trái Tim</t>
  </si>
  <si>
    <t>Bí Đỏ Tròn</t>
  </si>
  <si>
    <t>Củ Dền</t>
  </si>
  <si>
    <t>Trái Chanh Vàng</t>
  </si>
  <si>
    <t>Xà Lách Lolo Tím</t>
  </si>
  <si>
    <t>Củ Hành Tây Tím</t>
  </si>
  <si>
    <t>Lá Quế Tây</t>
  </si>
  <si>
    <t>BẮP CẢI TRẮNG</t>
  </si>
  <si>
    <t>SẢN PHẨM</t>
  </si>
  <si>
    <t>ĐVT</t>
  </si>
  <si>
    <t>SL</t>
  </si>
  <si>
    <t>NGÀY</t>
  </si>
  <si>
    <t>CỘT PHỤ</t>
  </si>
  <si>
    <t>GIÁ</t>
  </si>
  <si>
    <t>THÀNH TIỀN</t>
  </si>
  <si>
    <t>Bắp Cải Tím 01/12/2024</t>
  </si>
  <si>
    <t>Bí Ngô Mini 01/12/2024</t>
  </si>
  <si>
    <t>Bí Ngòi Xanh 01/12/2024</t>
  </si>
  <si>
    <t>Bí Non Nhật 01/12/2024</t>
  </si>
  <si>
    <t>Bơ Booth 01/12/2024</t>
  </si>
  <si>
    <t>Bông Cải Xanh Baby 01/12/2024</t>
  </si>
  <si>
    <t>Cà Chua Beef 01/12/2024</t>
  </si>
  <si>
    <t>Cà Chua Beef Trung 01/12/2024</t>
  </si>
  <si>
    <t>Cà Chua Bi Đỏ 01/12/2024</t>
  </si>
  <si>
    <t>Cà Chua Bi Mix 01/12/2024</t>
  </si>
  <si>
    <t>Cà Chua Socola 01/12/2024</t>
  </si>
  <si>
    <t>Cà Chua Thường 01/12/2024</t>
  </si>
  <si>
    <t>Cà Rốt 01/12/2024</t>
  </si>
  <si>
    <t>Cà Rốt Baby 01/12/2024</t>
  </si>
  <si>
    <t>Cải Kale 01/12/2024</t>
  </si>
  <si>
    <t>Cần Tây 01/12/2024</t>
  </si>
  <si>
    <t>Chanh Không Hạt 01/12/2024</t>
  </si>
  <si>
    <t>Củ Cải Đỏ 01/12/2024</t>
  </si>
  <si>
    <t>Củ Cải Trắng 01/12/2024</t>
  </si>
  <si>
    <t>Củ Hành Tây 01/12/2024</t>
  </si>
  <si>
    <t>Củ Khoai Lang Mật Size 46 01/12/2024</t>
  </si>
  <si>
    <t>Củ Khoai Lang Nhật 01/12/2024</t>
  </si>
  <si>
    <t>Củ Khoai Mỡ 01/12/2024</t>
  </si>
  <si>
    <t>Đậu Cove Nhật 01/12/2024</t>
  </si>
  <si>
    <t>Đậu Cove Trắng 01/12/2024</t>
  </si>
  <si>
    <t>Dưa Leo Baby 01/12/2024</t>
  </si>
  <si>
    <t>Dưa Leo Nhật 01/12/2024</t>
  </si>
  <si>
    <t>Dưa Leo Thường 01/12/2024</t>
  </si>
  <si>
    <t>Hồng Treo Gió 01/12/2024</t>
  </si>
  <si>
    <t>Lá Hương Thảo 01/12/2024</t>
  </si>
  <si>
    <t>Ớt Chuông Đỏ 01/12/2024</t>
  </si>
  <si>
    <t>Ớt Chuông Snack 01/12/2024</t>
  </si>
  <si>
    <t>Ớt Chuông Vàng 01/12/2024</t>
  </si>
  <si>
    <t>Ớt Chuông Xanh 01/12/2024</t>
  </si>
  <si>
    <t>Ớt Sweet Palemo 01/12/2024</t>
  </si>
  <si>
    <t>Rau Ngò Rí 01/12/2024</t>
  </si>
  <si>
    <t>Xà Lách Mỹ 01/12/2024</t>
  </si>
  <si>
    <t>Xà Lách Rocket 01/12/2024</t>
  </si>
  <si>
    <t>Xà Lách Romaine 01/12/2024</t>
  </si>
  <si>
    <t>Đậu Đỏ 01/12/2024</t>
  </si>
  <si>
    <t>Hành Paro 01/12/2024</t>
  </si>
  <si>
    <t>Lá É 01/12/2024</t>
  </si>
  <si>
    <t>Lá Mè 01/12/2024</t>
  </si>
  <si>
    <t>Măng Tây 01/12/2024</t>
  </si>
  <si>
    <t>Xà Lách Lolo Xanh 01/12/2024</t>
  </si>
  <si>
    <t>Xà Lách Lolo Xanh T.C Cây 01/12/2024</t>
  </si>
  <si>
    <t>Xà Lách Mỡ T.C 01/12/2024</t>
  </si>
  <si>
    <t>Xà Lách Mỡ T.C Cây 01/12/2024</t>
  </si>
  <si>
    <t>Xà Lách Thủy Tinh T.C Cây 01/12/2024</t>
  </si>
  <si>
    <t>đỏ 33, vàng 25, xanh 25</t>
  </si>
  <si>
    <t>giá xà lách mỡ thủy canh 02.12</t>
  </si>
  <si>
    <t>giá xà lách romaine 02.12</t>
  </si>
  <si>
    <t>Củ Khoai Tây Vàng</t>
  </si>
  <si>
    <t>hộp</t>
  </si>
  <si>
    <t>Lá Nha Đam</t>
  </si>
  <si>
    <t>Ngày đóng tại ĐL 09/12/2024</t>
  </si>
  <si>
    <t>3 đk</t>
  </si>
  <si>
    <t>2 đk</t>
  </si>
  <si>
    <t>Ghi chú</t>
  </si>
  <si>
    <t>Tỉ lệ</t>
  </si>
  <si>
    <t>Dưa leo baby</t>
  </si>
  <si>
    <t xml:space="preserve">Ngày đóng tại ĐL </t>
  </si>
  <si>
    <t>Ớt chuông 1kg = 4 trái</t>
  </si>
  <si>
    <t>Cà chua bi mix 1 hộp = 300g</t>
  </si>
  <si>
    <t>Bí non nhật 1 trái = 300g</t>
  </si>
  <si>
    <t>Hành Paro 1 cây = 150g</t>
  </si>
  <si>
    <t>Bí ngòi xanh 1 trái = 300g</t>
  </si>
  <si>
    <t>Bí đao xanh 1 trái = 500g</t>
  </si>
  <si>
    <t>Lấy xà lách mỡ T.C đóng xà lách mỡ</t>
  </si>
  <si>
    <t>Cần tây 1 cây = 500g</t>
  </si>
  <si>
    <t>Lá mè 1 túi = 50g</t>
  </si>
  <si>
    <t>Bông cải xanh baby 1 vỉ = 200g</t>
  </si>
  <si>
    <t>Cà rốt baby 1 vỉ = 200g</t>
  </si>
  <si>
    <t>Cải kale 1 túi = 300g</t>
  </si>
  <si>
    <t>Cải kale 1 túi = 150g</t>
  </si>
  <si>
    <t>Cà chua beef trung 1 vỉ = 500g</t>
  </si>
  <si>
    <t>Chanh không hạt 1 vỉ = 250g</t>
  </si>
  <si>
    <t>Dưa leo nhật 1 túi = 600g</t>
  </si>
  <si>
    <t>Lá é 1 túi = 300g</t>
  </si>
  <si>
    <t>Giá 06.12</t>
  </si>
  <si>
    <t>Đơn vị</t>
  </si>
  <si>
    <t>Kg</t>
  </si>
  <si>
    <t>1 trái 300g</t>
  </si>
  <si>
    <t>1 vỉ 200g</t>
  </si>
  <si>
    <t>1 vỉ 500g</t>
  </si>
  <si>
    <t>1 hộp 300g</t>
  </si>
  <si>
    <t>1 túi 300g</t>
  </si>
  <si>
    <t>1 túi 150g</t>
  </si>
  <si>
    <t>1 cây 500g</t>
  </si>
  <si>
    <t>1 vỉ 250g</t>
  </si>
  <si>
    <t>1 túi 600g</t>
  </si>
  <si>
    <t>1 cây 150g</t>
  </si>
  <si>
    <t>1 hộp 500g</t>
  </si>
  <si>
    <t>1 gói 300g</t>
  </si>
  <si>
    <t>1 gói 50g</t>
  </si>
  <si>
    <t>4 trái 1kg</t>
  </si>
  <si>
    <t>Sản phẩm</t>
  </si>
  <si>
    <t>Đơn vị chính</t>
  </si>
  <si>
    <t>1 trái 500g</t>
  </si>
  <si>
    <t>1 túi 50g</t>
  </si>
  <si>
    <t>1 túi 200g</t>
  </si>
  <si>
    <t>Xà lách rocket 1 túi = 200g</t>
  </si>
  <si>
    <t>kg</t>
  </si>
  <si>
    <t>Ngày đóng tại ĐL 10/12/2024</t>
  </si>
  <si>
    <t>Ngày đóng tại ĐL 11/12/2024</t>
  </si>
  <si>
    <t xml:space="preserve">Dưa leo   </t>
  </si>
  <si>
    <t>1 vỉ 350g</t>
  </si>
  <si>
    <t>Củ Su Hào</t>
  </si>
  <si>
    <t>Ngày đóng tại ĐL 12/12/2024</t>
  </si>
  <si>
    <t>Bí Ngòi Vàng</t>
  </si>
  <si>
    <t>CÀ CHUA BI CAM SỮA</t>
  </si>
  <si>
    <t>KHOAI MẬT SIZE 7-8</t>
  </si>
  <si>
    <t>HỘP</t>
  </si>
  <si>
    <t>60 VỈ + 100KG</t>
  </si>
  <si>
    <t>Hạt Dẻ Ngố</t>
  </si>
  <si>
    <t>Lá Tía Tô</t>
  </si>
  <si>
    <t>304 TRÁI + 40KG</t>
  </si>
  <si>
    <t>Ngày đóng tại ĐL 15/12/2024</t>
  </si>
  <si>
    <t>Ngày đóng tại ĐL 13/12/2024</t>
  </si>
  <si>
    <t>Ngày đóng tại ĐL 14/12/2024</t>
  </si>
  <si>
    <t>bằng giá size 46</t>
  </si>
  <si>
    <t>NGÀY ĐÓNG TẠI ĐL</t>
  </si>
  <si>
    <t>Cà Tím Sọc Pha Lê</t>
  </si>
  <si>
    <t>dưa leo baby</t>
  </si>
  <si>
    <t>Xà Lách Lolo Xanh T.C</t>
  </si>
  <si>
    <t>Ớt chuông đỏ</t>
  </si>
  <si>
    <t>Ớt chuông vàng</t>
  </si>
  <si>
    <t>ớt chuông baby</t>
  </si>
  <si>
    <t>lá mè</t>
  </si>
  <si>
    <t>túi</t>
  </si>
  <si>
    <t>trái</t>
  </si>
  <si>
    <t>bb</t>
  </si>
  <si>
    <t>Trái Mâm Xôi</t>
  </si>
  <si>
    <t>Khoai mật</t>
  </si>
  <si>
    <t>NGÀY ĐÓNG HÀNG TẠI ĐÀ LẠT</t>
  </si>
  <si>
    <t>Bó xôi mini</t>
  </si>
  <si>
    <t xml:space="preserve">kg </t>
  </si>
  <si>
    <t>TRÁI</t>
  </si>
  <si>
    <t>Bông Cải Trắng</t>
  </si>
  <si>
    <t>xà lách mỹ</t>
  </si>
  <si>
    <t>Hộp 250gr</t>
  </si>
  <si>
    <t>DƯA LEO thường</t>
  </si>
  <si>
    <t>Xà Lách Mỡ t.c</t>
  </si>
  <si>
    <t>bơ booth</t>
  </si>
  <si>
    <t>TÚI 600G</t>
  </si>
  <si>
    <t>CÀ RỐT</t>
  </si>
  <si>
    <t>BẮP CẢI TÍM</t>
  </si>
  <si>
    <t>TÚI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</si>
</sst>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_-* #,##0.0_-;\-* #,##0.0_-;_-* &quot;-&quot;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4" borderId="0" xfId="0" applyFont="1" applyFill="1"/>
    <xf numFmtId="165" fontId="2" fillId="0" borderId="0" xfId="1" applyNumberFormat="1" applyFont="1"/>
    <xf numFmtId="0" fontId="3" fillId="0" borderId="1" xfId="0" applyFont="1" applyBorder="1"/>
    <xf numFmtId="14" fontId="3" fillId="0" borderId="1" xfId="0" applyNumberFormat="1" applyFont="1" applyBorder="1"/>
    <xf numFmtId="0" fontId="3" fillId="4" borderId="1" xfId="0" applyFont="1" applyFill="1" applyBorder="1"/>
    <xf numFmtId="165" fontId="3" fillId="0" borderId="1" xfId="1" applyNumberFormat="1" applyFont="1" applyBorder="1"/>
    <xf numFmtId="0" fontId="2" fillId="2" borderId="1" xfId="0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14" fontId="2" fillId="0" borderId="1" xfId="0" applyNumberFormat="1" applyFont="1" applyBorder="1"/>
    <xf numFmtId="0" fontId="2" fillId="5" borderId="1" xfId="0" applyFont="1" applyFill="1" applyBorder="1" applyAlignment="1">
      <alignment vertical="center"/>
    </xf>
    <xf numFmtId="165" fontId="2" fillId="0" borderId="1" xfId="1" applyNumberFormat="1" applyFont="1" applyBorder="1"/>
    <xf numFmtId="0" fontId="2" fillId="4" borderId="1" xfId="0" applyFont="1" applyFill="1" applyBorder="1" applyAlignment="1">
      <alignment vertical="center"/>
    </xf>
    <xf numFmtId="165" fontId="2" fillId="6" borderId="1" xfId="1" applyNumberFormat="1" applyFont="1" applyFill="1" applyBorder="1"/>
    <xf numFmtId="165" fontId="4" fillId="6" borderId="0" xfId="1" applyNumberFormat="1" applyFont="1" applyFill="1"/>
    <xf numFmtId="165" fontId="2" fillId="0" borderId="1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5" fontId="2" fillId="0" borderId="0" xfId="1" applyNumberFormat="1" applyFont="1" applyAlignment="1">
      <alignment vertical="center"/>
    </xf>
    <xf numFmtId="165" fontId="3" fillId="0" borderId="1" xfId="1" applyNumberFormat="1" applyFont="1" applyBorder="1" applyAlignment="1">
      <alignment vertical="center"/>
    </xf>
    <xf numFmtId="165" fontId="3" fillId="0" borderId="0" xfId="1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165" fontId="2" fillId="0" borderId="0" xfId="1" applyNumberFormat="1" applyFont="1" applyBorder="1" applyAlignment="1">
      <alignment vertical="center"/>
    </xf>
    <xf numFmtId="165" fontId="3" fillId="0" borderId="0" xfId="1" applyNumberFormat="1" applyFont="1" applyBorder="1" applyAlignment="1">
      <alignment vertical="center"/>
    </xf>
    <xf numFmtId="164" fontId="4" fillId="6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4" fillId="6" borderId="0" xfId="1" applyNumberFormat="1" applyFont="1" applyFill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5" fontId="4" fillId="6" borderId="0" xfId="1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5" fontId="2" fillId="4" borderId="0" xfId="0" applyNumberFormat="1" applyFont="1" applyFill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6" borderId="0" xfId="0" applyNumberFormat="1" applyFont="1" applyFill="1" applyAlignment="1">
      <alignment vertical="center"/>
    </xf>
    <xf numFmtId="165" fontId="2" fillId="4" borderId="0" xfId="1" applyNumberFormat="1" applyFont="1" applyFill="1" applyAlignment="1">
      <alignment vertical="center"/>
    </xf>
    <xf numFmtId="165" fontId="3" fillId="6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64" fontId="7" fillId="3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4" fontId="7" fillId="0" borderId="1" xfId="0" applyNumberFormat="1" applyFont="1" applyBorder="1"/>
    <xf numFmtId="0" fontId="7" fillId="4" borderId="1" xfId="0" applyFont="1" applyFill="1" applyBorder="1" applyAlignment="1">
      <alignment vertical="center"/>
    </xf>
    <xf numFmtId="165" fontId="7" fillId="6" borderId="1" xfId="1" applyNumberFormat="1" applyFont="1" applyFill="1" applyBorder="1"/>
    <xf numFmtId="165" fontId="7" fillId="0" borderId="1" xfId="1" applyNumberFormat="1" applyFont="1" applyBorder="1"/>
    <xf numFmtId="0" fontId="7" fillId="0" borderId="0" xfId="0" applyFont="1"/>
    <xf numFmtId="165" fontId="8" fillId="6" borderId="1" xfId="1" applyNumberFormat="1" applyFont="1" applyFill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165" fontId="3" fillId="4" borderId="1" xfId="1" applyNumberFormat="1" applyFont="1" applyFill="1" applyBorder="1" applyAlignment="1">
      <alignment vertical="center"/>
    </xf>
    <xf numFmtId="165" fontId="2" fillId="6" borderId="1" xfId="1" applyNumberFormat="1" applyFont="1" applyFill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65" fontId="4" fillId="6" borderId="2" xfId="1" applyNumberFormat="1" applyFont="1" applyFill="1" applyBorder="1"/>
    <xf numFmtId="0" fontId="3" fillId="7" borderId="5" xfId="0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165" fontId="3" fillId="7" borderId="5" xfId="1" applyNumberFormat="1" applyFont="1" applyFill="1" applyBorder="1" applyAlignment="1">
      <alignment horizontal="center" vertical="center"/>
    </xf>
    <xf numFmtId="165" fontId="2" fillId="0" borderId="0" xfId="1" applyNumberFormat="1" applyFont="1" applyBorder="1"/>
    <xf numFmtId="164" fontId="5" fillId="3" borderId="1" xfId="1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165" fontId="4" fillId="6" borderId="0" xfId="1" applyNumberFormat="1" applyFont="1" applyFill="1" applyAlignment="1"/>
    <xf numFmtId="0" fontId="3" fillId="7" borderId="1" xfId="0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65" fontId="3" fillId="7" borderId="1" xfId="1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164" fontId="2" fillId="3" borderId="1" xfId="1" applyNumberFormat="1" applyFont="1" applyFill="1" applyBorder="1" applyAlignment="1"/>
    <xf numFmtId="165" fontId="2" fillId="0" borderId="1" xfId="1" applyNumberFormat="1" applyFont="1" applyBorder="1" applyAlignment="1"/>
    <xf numFmtId="165" fontId="2" fillId="6" borderId="1" xfId="1" applyNumberFormat="1" applyFont="1" applyFill="1" applyBorder="1" applyAlignmen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VEGA/%23V&#431;&#7900;N%20RAU%20&#272;&#192;%20L&#7840;T/02.SALE/1.%20B&#193;O%20C&#193;O/01.%20Daily%20report/Sales%20revenue/DAILY%20SALE%20DECEMBER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ALE BY DAY"/>
      <sheetName val="SALE DETAIL"/>
      <sheetName val="PURCHASE BY DAY"/>
      <sheetName val="PURCHASE DETAIL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CỌT PHỤ</v>
          </cell>
          <cell r="B1" t="str">
            <v>Đơn giá</v>
          </cell>
        </row>
        <row r="2">
          <cell r="A2" t="str">
            <v>Dầu Do 0.001 S-V 01/12/2024</v>
          </cell>
          <cell r="B2">
            <v>17636.36</v>
          </cell>
        </row>
        <row r="3">
          <cell r="A3" t="str">
            <v>DO 0.05S-II 01/12/2024</v>
          </cell>
          <cell r="B3">
            <v>17400</v>
          </cell>
        </row>
        <row r="4">
          <cell r="A4" t="str">
            <v>Dầu Do 0.001 S-V 01/12/2024</v>
          </cell>
          <cell r="B4">
            <v>17636.36</v>
          </cell>
        </row>
        <row r="5">
          <cell r="A5" t="str">
            <v>Cước đường bộ xe 49C37197T đi qua trạm Liên Đầm thời gian GD 20:56:49 ngày 01/12/2024 mã GD 1522476122 01/12/2024</v>
          </cell>
          <cell r="B5">
            <v>78704</v>
          </cell>
        </row>
        <row r="6">
          <cell r="A6" t="str">
            <v>DO 0.05S-II 01/12/2024</v>
          </cell>
          <cell r="B6">
            <v>17400</v>
          </cell>
        </row>
        <row r="7">
          <cell r="A7" t="str">
            <v>DO 0.05S-II 01/12/2024</v>
          </cell>
          <cell r="B7">
            <v>17400</v>
          </cell>
        </row>
        <row r="8">
          <cell r="A8" t="str">
            <v>Xà Lách Lolo Xanh T.C Cây 01/12/2024</v>
          </cell>
          <cell r="B8">
            <v>6800</v>
          </cell>
        </row>
        <row r="9">
          <cell r="A9" t="str">
            <v>Xà Lách Mỡ T.C Cây 01/12/2024</v>
          </cell>
          <cell r="B9">
            <v>6800</v>
          </cell>
        </row>
        <row r="10">
          <cell r="A10" t="str">
            <v>Xà Lách Mỡ T.C 01/12/2024</v>
          </cell>
          <cell r="B10">
            <v>28000</v>
          </cell>
        </row>
        <row r="11">
          <cell r="A11" t="str">
            <v>Xà Lách Thủy Tinh T.C Cây 01/12/2024</v>
          </cell>
          <cell r="B11">
            <v>6800</v>
          </cell>
        </row>
        <row r="12">
          <cell r="A12" t="str">
            <v>Cà Chua Bi Mix 01/12/2024</v>
          </cell>
          <cell r="B12">
            <v>51500</v>
          </cell>
        </row>
        <row r="13">
          <cell r="A13" t="str">
            <v>Cà Chua Socola 01/12/2024</v>
          </cell>
          <cell r="B13">
            <v>46500</v>
          </cell>
        </row>
        <row r="14">
          <cell r="A14" t="str">
            <v>Cải Kale 01/12/2024</v>
          </cell>
          <cell r="B14">
            <v>22500</v>
          </cell>
        </row>
        <row r="15">
          <cell r="A15" t="str">
            <v>Chanh Không Hạt 01/12/2024</v>
          </cell>
          <cell r="B15">
            <v>26000</v>
          </cell>
        </row>
        <row r="16">
          <cell r="A16" t="str">
            <v>Ớt Chuông Đỏ 01/12/2024</v>
          </cell>
          <cell r="B16">
            <v>30000</v>
          </cell>
        </row>
        <row r="17">
          <cell r="A17" t="str">
            <v>Ớt Chuông Vàng 01/12/2024</v>
          </cell>
          <cell r="B17">
            <v>15000</v>
          </cell>
        </row>
        <row r="18">
          <cell r="A18" t="str">
            <v>Ớt Chuông Xanh 01/12/2024</v>
          </cell>
          <cell r="B18">
            <v>28000</v>
          </cell>
        </row>
        <row r="19">
          <cell r="A19" t="str">
            <v>Ớt Chuông Snack 01/12/2024</v>
          </cell>
          <cell r="B19">
            <v>49000</v>
          </cell>
        </row>
        <row r="20">
          <cell r="A20" t="str">
            <v>Hồng Treo Gió 01/12/2024</v>
          </cell>
          <cell r="B20">
            <v>200000</v>
          </cell>
        </row>
        <row r="21">
          <cell r="A21" t="str">
            <v>Bí Ngòi Xanh 01/12/2024</v>
          </cell>
          <cell r="B21">
            <v>8000</v>
          </cell>
        </row>
        <row r="22">
          <cell r="A22" t="str">
            <v>Cà Rốt 01/12/2024</v>
          </cell>
          <cell r="B22">
            <v>15000</v>
          </cell>
        </row>
        <row r="23">
          <cell r="A23" t="str">
            <v>Rau Ngò Rí 01/12/2024</v>
          </cell>
          <cell r="B23">
            <v>35000</v>
          </cell>
        </row>
        <row r="24">
          <cell r="A24" t="str">
            <v>Măng Tây 01/12/2024</v>
          </cell>
          <cell r="B24">
            <v>63000</v>
          </cell>
        </row>
        <row r="25">
          <cell r="A25" t="str">
            <v>Măng Tây 01/12/2024</v>
          </cell>
          <cell r="B25">
            <v>50000</v>
          </cell>
        </row>
        <row r="26">
          <cell r="A26" t="str">
            <v>Lá É 01/12/2024</v>
          </cell>
          <cell r="B26">
            <v>28000</v>
          </cell>
        </row>
        <row r="27">
          <cell r="A27" t="str">
            <v>Đậu Cove Trắng 01/12/2024</v>
          </cell>
          <cell r="B27">
            <v>6500</v>
          </cell>
        </row>
        <row r="28">
          <cell r="A28" t="str">
            <v>Dưa Leo Nhật 01/12/2024</v>
          </cell>
          <cell r="B28">
            <v>9000</v>
          </cell>
        </row>
        <row r="29">
          <cell r="A29" t="str">
            <v>Bí Non Nhật 01/12/2024</v>
          </cell>
          <cell r="B29">
            <v>10000</v>
          </cell>
        </row>
        <row r="30">
          <cell r="A30" t="str">
            <v>Dưa Leo Thường 01/12/2024</v>
          </cell>
          <cell r="B30">
            <v>4000</v>
          </cell>
        </row>
        <row r="31">
          <cell r="A31" t="str">
            <v>Củ Khoai Lang Nhật 01/12/2024</v>
          </cell>
          <cell r="B31">
            <v>17500</v>
          </cell>
        </row>
        <row r="32">
          <cell r="A32" t="str">
            <v>Củ Cải Trắng 01/12/2024</v>
          </cell>
          <cell r="B32">
            <v>5000</v>
          </cell>
        </row>
        <row r="33">
          <cell r="A33" t="str">
            <v>Bí Ngòi Xanh 01/12/2024</v>
          </cell>
          <cell r="B33">
            <v>8000</v>
          </cell>
        </row>
        <row r="34">
          <cell r="A34" t="str">
            <v>Bắp Cải Tím 01/12/2024</v>
          </cell>
          <cell r="B34">
            <v>30000</v>
          </cell>
        </row>
        <row r="35">
          <cell r="A35" t="str">
            <v>Cần Tây 01/12/2024</v>
          </cell>
          <cell r="B35">
            <v>20000</v>
          </cell>
        </row>
        <row r="36">
          <cell r="A36" t="str">
            <v>Trái Mít Thái 01/12/2024</v>
          </cell>
          <cell r="B36">
            <v>19629</v>
          </cell>
        </row>
        <row r="37">
          <cell r="A37" t="str">
            <v>Xà Lách Mỹ 01/12/2024</v>
          </cell>
          <cell r="B37">
            <v>30000</v>
          </cell>
        </row>
        <row r="38">
          <cell r="A38" t="str">
            <v>Lá Mè 01/12/2024</v>
          </cell>
          <cell r="B38">
            <v>36000</v>
          </cell>
        </row>
        <row r="39">
          <cell r="A39" t="str">
            <v>Cà Chua Beef 01/12/2024</v>
          </cell>
          <cell r="B39">
            <v>26000</v>
          </cell>
        </row>
        <row r="40">
          <cell r="A40" t="str">
            <v>Ớt Sweet Palemo 01/12/2024</v>
          </cell>
          <cell r="B40">
            <v>19000</v>
          </cell>
        </row>
        <row r="41">
          <cell r="A41" t="str">
            <v>Xà Lách Rocket 01/12/2024</v>
          </cell>
          <cell r="B41">
            <v>120000</v>
          </cell>
        </row>
        <row r="42">
          <cell r="A42" t="str">
            <v>Cà Chua Bi Đỏ 01/12/2024</v>
          </cell>
          <cell r="B42">
            <v>8700</v>
          </cell>
        </row>
        <row r="43">
          <cell r="A43" t="str">
            <v>Bơ Booth 01/12/2024</v>
          </cell>
          <cell r="B43">
            <v>45000</v>
          </cell>
        </row>
        <row r="44">
          <cell r="A44" t="str">
            <v>Trái Su Su 01/12/2024</v>
          </cell>
          <cell r="B44">
            <v>7000</v>
          </cell>
        </row>
        <row r="45">
          <cell r="A45" t="str">
            <v>Đậu Cove Trắng 01/12/2024</v>
          </cell>
          <cell r="B45">
            <v>9000</v>
          </cell>
        </row>
        <row r="46">
          <cell r="A46" t="str">
            <v>Dưa Leo Nhật 01/12/2024</v>
          </cell>
          <cell r="B46">
            <v>9000</v>
          </cell>
        </row>
        <row r="47">
          <cell r="A47" t="str">
            <v>Dưa Leo Thường 01/12/2024</v>
          </cell>
          <cell r="B47">
            <v>8000</v>
          </cell>
        </row>
        <row r="48">
          <cell r="A48" t="str">
            <v>Cà Tím 01/12/2024</v>
          </cell>
          <cell r="B48">
            <v>3500</v>
          </cell>
        </row>
        <row r="49">
          <cell r="A49" t="str">
            <v>Trái Khổ Qua 01/12/2024</v>
          </cell>
          <cell r="B49">
            <v>9000</v>
          </cell>
        </row>
        <row r="50">
          <cell r="A50" t="str">
            <v>Củ Khoai Lang Nhật 01/12/2024</v>
          </cell>
          <cell r="B50">
            <v>17500</v>
          </cell>
        </row>
        <row r="51">
          <cell r="A51" t="str">
            <v>Củ Cải Trắng 01/12/2024</v>
          </cell>
          <cell r="B51">
            <v>5000</v>
          </cell>
        </row>
        <row r="52">
          <cell r="A52" t="str">
            <v>Cà Rốt 01/12/2024</v>
          </cell>
          <cell r="B52">
            <v>13000</v>
          </cell>
        </row>
        <row r="53">
          <cell r="A53" t="str">
            <v>Trái Su Su 01/12/2024</v>
          </cell>
          <cell r="B53">
            <v>6500</v>
          </cell>
        </row>
        <row r="54">
          <cell r="A54" t="str">
            <v>Lá Nha Đam 01/12/2024</v>
          </cell>
          <cell r="B54">
            <v>14000</v>
          </cell>
        </row>
        <row r="55">
          <cell r="A55" t="str">
            <v>Bí Đỏ Hồ Lô 01/12/2024</v>
          </cell>
          <cell r="B55">
            <v>12000</v>
          </cell>
        </row>
        <row r="56">
          <cell r="A56" t="str">
            <v>Cà Tím 01/12/2024</v>
          </cell>
          <cell r="B56">
            <v>5500</v>
          </cell>
        </row>
        <row r="57">
          <cell r="A57" t="str">
            <v>Chuối Laba 01/12/2024</v>
          </cell>
          <cell r="B57">
            <v>14000</v>
          </cell>
        </row>
        <row r="58">
          <cell r="A58" t="str">
            <v>Trái Mâm Xôi 01/12/2024</v>
          </cell>
          <cell r="B58">
            <v>35000</v>
          </cell>
        </row>
        <row r="59">
          <cell r="A59" t="str">
            <v>Bông Cải Xanh 7Cm 01/12/2024</v>
          </cell>
          <cell r="B59">
            <v>30000</v>
          </cell>
        </row>
        <row r="60">
          <cell r="A60" t="str">
            <v>Bắp Cải Tím 01/12/2024</v>
          </cell>
          <cell r="B60">
            <v>30000</v>
          </cell>
        </row>
        <row r="61">
          <cell r="A61" t="str">
            <v>Cần Tây 01/12/2024</v>
          </cell>
          <cell r="B61">
            <v>20000</v>
          </cell>
        </row>
        <row r="62">
          <cell r="A62" t="str">
            <v>Dưa Leo Baby 01/12/2024</v>
          </cell>
          <cell r="B62">
            <v>4000</v>
          </cell>
        </row>
        <row r="63">
          <cell r="A63" t="str">
            <v>Cà Chua Socola 01/12/2024</v>
          </cell>
          <cell r="B63">
            <v>34000</v>
          </cell>
        </row>
        <row r="64">
          <cell r="A64" t="str">
            <v>Trái Su Su 01/12/2024</v>
          </cell>
          <cell r="B64">
            <v>6000</v>
          </cell>
        </row>
        <row r="65">
          <cell r="A65" t="str">
            <v>Củ Dền 01/12/2024</v>
          </cell>
          <cell r="B65">
            <v>18000</v>
          </cell>
        </row>
        <row r="66">
          <cell r="A66" t="str">
            <v>Dưa Leo Baby 01/12/2024</v>
          </cell>
          <cell r="B66">
            <v>5000</v>
          </cell>
        </row>
        <row r="67">
          <cell r="A67" t="str">
            <v>Bông Cải Xanh 10Cm 01/12/2024</v>
          </cell>
          <cell r="B67">
            <v>26000</v>
          </cell>
        </row>
        <row r="68">
          <cell r="A68" t="str">
            <v>Bông Cải Xanh 7Cm 01/12/2024</v>
          </cell>
          <cell r="B68">
            <v>32000</v>
          </cell>
        </row>
        <row r="69">
          <cell r="A69" t="str">
            <v>Bông Cải Xanh 7Cm 01/12/2024</v>
          </cell>
          <cell r="B69">
            <v>32000</v>
          </cell>
        </row>
        <row r="70">
          <cell r="A70" t="str">
            <v>Củ Hành Tây 01/12/2024</v>
          </cell>
          <cell r="B70">
            <v>29000</v>
          </cell>
        </row>
        <row r="71">
          <cell r="A71" t="str">
            <v>Cà Chua Socola 01/12/2024</v>
          </cell>
          <cell r="B71">
            <v>13000</v>
          </cell>
        </row>
        <row r="72">
          <cell r="A72" t="str">
            <v>Bí Ngòi Xanh 01/12/2024</v>
          </cell>
          <cell r="B72">
            <v>9000</v>
          </cell>
        </row>
        <row r="73">
          <cell r="A73" t="str">
            <v>Rau Bầu Đất 01/12/2024</v>
          </cell>
          <cell r="B73">
            <v>30000</v>
          </cell>
        </row>
        <row r="74">
          <cell r="A74" t="str">
            <v>Cà Chua Bi Đỏ 01/12/2024</v>
          </cell>
          <cell r="B74">
            <v>8700</v>
          </cell>
        </row>
        <row r="75">
          <cell r="A75" t="str">
            <v>Cà Chua Bi Đỏ 01/12/2024</v>
          </cell>
          <cell r="B75">
            <v>14500</v>
          </cell>
        </row>
        <row r="76">
          <cell r="A76" t="str">
            <v>Bơ Booth 01/12/2024</v>
          </cell>
          <cell r="B76">
            <v>45000</v>
          </cell>
        </row>
        <row r="77">
          <cell r="A77" t="str">
            <v>Củ Gừng 01/12/2024</v>
          </cell>
          <cell r="B77">
            <v>39000</v>
          </cell>
        </row>
        <row r="78">
          <cell r="A78" t="str">
            <v>Cà Chua Thường 01/12/2024</v>
          </cell>
          <cell r="B78">
            <v>20000</v>
          </cell>
        </row>
        <row r="79">
          <cell r="A79" t="str">
            <v>Ớt Sweet Palemo 01/12/2024</v>
          </cell>
          <cell r="B79">
            <v>20000</v>
          </cell>
        </row>
        <row r="80">
          <cell r="A80" t="str">
            <v>Bí Non Nhật 01/12/2024</v>
          </cell>
          <cell r="B80">
            <v>10000</v>
          </cell>
        </row>
        <row r="81">
          <cell r="A81" t="str">
            <v>Xà Lách Lolo Xanh T.C 01/12/2024</v>
          </cell>
          <cell r="B81">
            <v>26000</v>
          </cell>
        </row>
        <row r="82">
          <cell r="A82" t="str">
            <v>Xà Lách Mỡ T.C 01/12/2024</v>
          </cell>
          <cell r="B82">
            <v>26000</v>
          </cell>
        </row>
        <row r="83">
          <cell r="A83" t="str">
            <v>Đậu Cove Nhật 01/12/2024</v>
          </cell>
          <cell r="B83">
            <v>6000</v>
          </cell>
        </row>
        <row r="84">
          <cell r="A84" t="str">
            <v>Bắp Cải Trắng 01/12/2024</v>
          </cell>
          <cell r="B84">
            <v>11000</v>
          </cell>
        </row>
        <row r="85">
          <cell r="A85" t="str">
            <v>Củ Su Hào 01/12/2024</v>
          </cell>
          <cell r="B85">
            <v>13000</v>
          </cell>
        </row>
        <row r="86">
          <cell r="A86" t="str">
            <v>Xà Lách Lolo Xanh T.C 01/12/2024</v>
          </cell>
          <cell r="B86">
            <v>28000</v>
          </cell>
        </row>
        <row r="87">
          <cell r="A87" t="str">
            <v>Ớt Chuông Đỏ 01/12/2024</v>
          </cell>
          <cell r="B87">
            <v>25000</v>
          </cell>
        </row>
        <row r="88">
          <cell r="A88" t="str">
            <v>Ớt Chuông Vàng 01/12/2024</v>
          </cell>
          <cell r="B88">
            <v>13000</v>
          </cell>
        </row>
        <row r="89">
          <cell r="A89" t="str">
            <v>Ớt Chuông Xanh 01/12/2024</v>
          </cell>
          <cell r="B89">
            <v>25000</v>
          </cell>
        </row>
        <row r="90">
          <cell r="A90" t="str">
            <v>Ớt Chuông Vàng Trung 01/12/2024</v>
          </cell>
          <cell r="B90">
            <v>8000</v>
          </cell>
        </row>
        <row r="91">
          <cell r="A91" t="str">
            <v>Bí Ngòi Xanh 01/12/2024</v>
          </cell>
          <cell r="B91">
            <v>8000</v>
          </cell>
        </row>
        <row r="92">
          <cell r="A92" t="str">
            <v>Ớt Chuông Baby 01/12/2024</v>
          </cell>
          <cell r="B92">
            <v>44000</v>
          </cell>
        </row>
        <row r="93">
          <cell r="A93" t="str">
            <v>Bắp Cải Trái Tim 01/12/2024</v>
          </cell>
          <cell r="B93">
            <v>6000</v>
          </cell>
        </row>
        <row r="94">
          <cell r="A94" t="str">
            <v>Cà Chua Thường Trung 01/12/2024</v>
          </cell>
          <cell r="B94">
            <v>16000</v>
          </cell>
        </row>
        <row r="95">
          <cell r="A95" t="str">
            <v>Củ Khoai Tây Vàng 01/12/2024</v>
          </cell>
          <cell r="B95">
            <v>18000</v>
          </cell>
        </row>
        <row r="96">
          <cell r="A96" t="str">
            <v>Dưa Leo Baby 01/12/2024</v>
          </cell>
          <cell r="B96">
            <v>6000</v>
          </cell>
        </row>
        <row r="97">
          <cell r="A97" t="str">
            <v>Dưa Leo Baby 01/12/2024</v>
          </cell>
          <cell r="B97">
            <v>4000</v>
          </cell>
        </row>
        <row r="98">
          <cell r="A98" t="str">
            <v>Gia Công Rau Củ Quả 01/12/2024</v>
          </cell>
          <cell r="B98">
            <v>1700</v>
          </cell>
        </row>
        <row r="99">
          <cell r="A99" t="str">
            <v>Gia Công Rau Củ Quả 01/12/2024</v>
          </cell>
          <cell r="B99">
            <v>1700</v>
          </cell>
        </row>
        <row r="100">
          <cell r="A100" t="str">
            <v>Xà Lách Thủy Tinh T.C Cây 01/12/2024</v>
          </cell>
          <cell r="B100">
            <v>6800</v>
          </cell>
        </row>
        <row r="101">
          <cell r="A101" t="str">
            <v>Cà Chua Beef 01/12/2024</v>
          </cell>
          <cell r="B101">
            <v>15600</v>
          </cell>
        </row>
        <row r="102">
          <cell r="A102" t="str">
            <v>Cà Chua Beef 01/12/2024</v>
          </cell>
          <cell r="B102">
            <v>20000</v>
          </cell>
        </row>
        <row r="103">
          <cell r="A103" t="str">
            <v>Cà Chua Beef Trung 01/12/2024</v>
          </cell>
          <cell r="B103">
            <v>19000</v>
          </cell>
        </row>
        <row r="104">
          <cell r="A104" t="str">
            <v>Cải Bó Xôi 01/12/2024</v>
          </cell>
          <cell r="B104">
            <v>17000</v>
          </cell>
        </row>
        <row r="105">
          <cell r="A105" t="str">
            <v>Cải Bó Xôi 01/12/2024</v>
          </cell>
          <cell r="B105">
            <v>20000</v>
          </cell>
        </row>
        <row r="106">
          <cell r="A106" t="str">
            <v>Cà Chua Bi Mix 01/12/2024</v>
          </cell>
          <cell r="B106">
            <v>50000</v>
          </cell>
        </row>
        <row r="107">
          <cell r="A107" t="str">
            <v>Cà Chua Bi Mix 01/12/2024</v>
          </cell>
          <cell r="B107">
            <v>51500</v>
          </cell>
        </row>
        <row r="108">
          <cell r="A108" t="str">
            <v>Trái Cam Canh 01/12/2024</v>
          </cell>
          <cell r="B108">
            <v>43000</v>
          </cell>
        </row>
        <row r="109">
          <cell r="A109" t="str">
            <v>Trái Cam Canh 01/12/2024</v>
          </cell>
          <cell r="B109">
            <v>38000</v>
          </cell>
        </row>
        <row r="110">
          <cell r="A110" t="str">
            <v>Trái Cam Canh 01/12/2024</v>
          </cell>
          <cell r="B110">
            <v>41000</v>
          </cell>
        </row>
        <row r="111">
          <cell r="A111" t="str">
            <v>Cước Vận Chuyển Hàng Hóa 01/12/2024</v>
          </cell>
          <cell r="B111">
            <v>2100</v>
          </cell>
        </row>
        <row r="112">
          <cell r="A112" t="str">
            <v>Bông Cải Xanh Baby 01/12/2024</v>
          </cell>
          <cell r="B112">
            <v>47000</v>
          </cell>
        </row>
        <row r="113">
          <cell r="A113" t="str">
            <v>Xà Lách Lolo Xanh 01/12/2024</v>
          </cell>
          <cell r="B113">
            <v>15000</v>
          </cell>
        </row>
        <row r="114">
          <cell r="A114" t="str">
            <v>Cà Rốt Baby 01/12/2024</v>
          </cell>
          <cell r="B114">
            <v>38000</v>
          </cell>
        </row>
        <row r="115">
          <cell r="A115" t="str">
            <v>Lá Mè 01/12/2024</v>
          </cell>
          <cell r="B115">
            <v>38000</v>
          </cell>
        </row>
        <row r="116">
          <cell r="A116" t="str">
            <v>Bông Cải Xanh Baby 01/12/2024</v>
          </cell>
          <cell r="B116">
            <v>47000</v>
          </cell>
        </row>
        <row r="117">
          <cell r="A117" t="str">
            <v>Cà Chua Beef Trung 01/12/2024</v>
          </cell>
          <cell r="B117">
            <v>20000</v>
          </cell>
        </row>
        <row r="118">
          <cell r="A118" t="str">
            <v>Củ Cải Đỏ 01/12/2024</v>
          </cell>
          <cell r="B118">
            <v>9500</v>
          </cell>
        </row>
        <row r="119">
          <cell r="A119" t="str">
            <v>Ớt Sweet Palemo 01/12/2024</v>
          </cell>
          <cell r="B119">
            <v>18000</v>
          </cell>
        </row>
        <row r="120">
          <cell r="A120" t="str">
            <v>Xà Lách Lolo Xanh 01/12/2024</v>
          </cell>
          <cell r="B120">
            <v>12000</v>
          </cell>
        </row>
        <row r="121">
          <cell r="A121" t="str">
            <v>Cà Chua Beef Trung 01/12/2024</v>
          </cell>
          <cell r="B121">
            <v>19000</v>
          </cell>
        </row>
        <row r="122">
          <cell r="A122" t="str">
            <v>Xà Lách Romaine 01/12/2024</v>
          </cell>
          <cell r="B122">
            <v>20000</v>
          </cell>
        </row>
        <row r="123">
          <cell r="A123" t="str">
            <v>Lá Mè 01/12/2024</v>
          </cell>
          <cell r="B123">
            <v>38000</v>
          </cell>
        </row>
        <row r="124">
          <cell r="A124" t="str">
            <v>Dưa Leo Baby 01/12/2024</v>
          </cell>
          <cell r="B124">
            <v>5000</v>
          </cell>
        </row>
        <row r="125">
          <cell r="A125" t="str">
            <v>Cà Rốt Baby 01/12/2024</v>
          </cell>
          <cell r="B125">
            <v>38000</v>
          </cell>
        </row>
        <row r="126">
          <cell r="A126" t="str">
            <v>Cải Kale 01/12/2024</v>
          </cell>
          <cell r="B126">
            <v>21000</v>
          </cell>
        </row>
        <row r="127">
          <cell r="A127" t="str">
            <v>Cà Chua Thường 01/12/2024</v>
          </cell>
          <cell r="B127">
            <v>18000</v>
          </cell>
        </row>
        <row r="128">
          <cell r="A128" t="str">
            <v>Xà Lách Mỡ T.C Cây 01/12/2024</v>
          </cell>
          <cell r="B128">
            <v>6800</v>
          </cell>
        </row>
        <row r="129">
          <cell r="A129" t="str">
            <v>Bông Cải Trắng 01/12/2024</v>
          </cell>
          <cell r="B129">
            <v>25000</v>
          </cell>
        </row>
        <row r="130">
          <cell r="A130" t="str">
            <v>Cải Thảo 01/12/2024</v>
          </cell>
          <cell r="B130">
            <v>6000</v>
          </cell>
        </row>
        <row r="131">
          <cell r="A131" t="str">
            <v>Cải Thảo Kim Chi 01/12/2024</v>
          </cell>
          <cell r="B131">
            <v>3500</v>
          </cell>
        </row>
        <row r="132">
          <cell r="A132" t="str">
            <v>Bắp Cải Trái Tim 01/12/2024</v>
          </cell>
          <cell r="B132">
            <v>10000</v>
          </cell>
        </row>
        <row r="133">
          <cell r="A133" t="str">
            <v>Củ Khoai Tây Vàng 01/12/2024</v>
          </cell>
          <cell r="B133">
            <v>18000</v>
          </cell>
        </row>
        <row r="134">
          <cell r="A134" t="str">
            <v>Cải Thảo Kim Chi 01/12/2024</v>
          </cell>
          <cell r="B134">
            <v>3000</v>
          </cell>
        </row>
        <row r="135">
          <cell r="A135" t="str">
            <v>Củ Su Hào 01/12/2024</v>
          </cell>
          <cell r="B135">
            <v>13000</v>
          </cell>
        </row>
        <row r="136">
          <cell r="A136" t="str">
            <v>Bơ Booth 01/12/2024</v>
          </cell>
          <cell r="B136">
            <v>35000</v>
          </cell>
        </row>
        <row r="137">
          <cell r="A137" t="str">
            <v>Cải Thảo 01/12/2024</v>
          </cell>
          <cell r="B137">
            <v>6000</v>
          </cell>
        </row>
        <row r="138">
          <cell r="A138" t="str">
            <v>Cải Thảo Kim Chi 01/12/2024</v>
          </cell>
          <cell r="B138">
            <v>4000</v>
          </cell>
        </row>
        <row r="139">
          <cell r="A139" t="str">
            <v>Bắp Cải Trái Tim 01/12/2024</v>
          </cell>
          <cell r="B139">
            <v>17000</v>
          </cell>
        </row>
        <row r="140">
          <cell r="A140" t="str">
            <v>Củ Khoai Lang Nhật 01/12/2024</v>
          </cell>
          <cell r="B140">
            <v>17000</v>
          </cell>
        </row>
        <row r="141">
          <cell r="A141" t="str">
            <v>Chuối Laba 01/12/2024</v>
          </cell>
          <cell r="B141">
            <v>13000</v>
          </cell>
        </row>
        <row r="142">
          <cell r="A142" t="str">
            <v>Cà Chua Thường 01/12/2024</v>
          </cell>
          <cell r="B142">
            <v>21000</v>
          </cell>
        </row>
        <row r="143">
          <cell r="A143" t="str">
            <v>Đậu Cove Nhật 01/12/2024</v>
          </cell>
          <cell r="B143">
            <v>6000</v>
          </cell>
        </row>
        <row r="144">
          <cell r="A144" t="str">
            <v>Cà Rốt 01/12/2024</v>
          </cell>
          <cell r="B144">
            <v>15000</v>
          </cell>
        </row>
        <row r="145">
          <cell r="A145" t="str">
            <v>Bí Đao Xanh 01/12/2024</v>
          </cell>
          <cell r="B145">
            <v>10000</v>
          </cell>
        </row>
        <row r="146">
          <cell r="A146" t="str">
            <v>Trái Su Su 01/12/2024</v>
          </cell>
          <cell r="B146">
            <v>7000</v>
          </cell>
        </row>
        <row r="147">
          <cell r="A147" t="str">
            <v>Bắp Cải Trắng 01/12/2024</v>
          </cell>
          <cell r="B147">
            <v>10000</v>
          </cell>
        </row>
        <row r="148">
          <cell r="A148" t="str">
            <v>Cà Chua Thường 01/12/2024</v>
          </cell>
          <cell r="B148">
            <v>20000</v>
          </cell>
        </row>
        <row r="149">
          <cell r="A149" t="str">
            <v>Chanh Dây Tím 01/12/2024</v>
          </cell>
          <cell r="B149">
            <v>28000</v>
          </cell>
        </row>
        <row r="150">
          <cell r="A150" t="str">
            <v>Dưa Leo Baby 01/12/2024</v>
          </cell>
          <cell r="B150">
            <v>5000</v>
          </cell>
        </row>
        <row r="151">
          <cell r="A151" t="str">
            <v>Xà Lách Lolo Xanh T.C Cây 01/12/2024</v>
          </cell>
          <cell r="B151">
            <v>6000</v>
          </cell>
        </row>
        <row r="152">
          <cell r="A152" t="str">
            <v>Cần Tây 01/12/2024</v>
          </cell>
          <cell r="B152">
            <v>17000</v>
          </cell>
        </row>
        <row r="153">
          <cell r="A153" t="str">
            <v>Bắp Cải Tím 01/12/2024</v>
          </cell>
          <cell r="B153">
            <v>30000</v>
          </cell>
        </row>
        <row r="154">
          <cell r="A154" t="str">
            <v>Cần Tây 01/12/2024</v>
          </cell>
          <cell r="B154">
            <v>16000</v>
          </cell>
        </row>
        <row r="155">
          <cell r="A155" t="str">
            <v>Bông Cải Xanh Cọng 01/12/2024</v>
          </cell>
          <cell r="B155">
            <v>26000</v>
          </cell>
        </row>
        <row r="156">
          <cell r="A156" t="str">
            <v>Bông Cải Xanh Cọng 01/12/2024</v>
          </cell>
          <cell r="B156">
            <v>23000</v>
          </cell>
        </row>
        <row r="157">
          <cell r="A157" t="str">
            <v>Ớt Chuông Đỏ 01/12/2024</v>
          </cell>
          <cell r="B157">
            <v>25000</v>
          </cell>
        </row>
        <row r="158">
          <cell r="A158" t="str">
            <v>Ớt Chuông Vàng 01/12/2024</v>
          </cell>
          <cell r="B158">
            <v>13000</v>
          </cell>
        </row>
        <row r="159">
          <cell r="A159" t="str">
            <v>Ớt Chuông Xanh 01/12/2024</v>
          </cell>
          <cell r="B159">
            <v>25000</v>
          </cell>
        </row>
        <row r="160">
          <cell r="A160" t="str">
            <v>Cà Chua Beef 01/12/2024</v>
          </cell>
          <cell r="B160">
            <v>21000</v>
          </cell>
        </row>
        <row r="161">
          <cell r="A161" t="str">
            <v>Cà Chua Beef 01/12/2024</v>
          </cell>
          <cell r="B161">
            <v>18000</v>
          </cell>
        </row>
        <row r="162">
          <cell r="A162" t="str">
            <v>Hành Paro 01/12/2024</v>
          </cell>
          <cell r="B162">
            <v>28000</v>
          </cell>
        </row>
        <row r="163">
          <cell r="A163" t="str">
            <v>Xà Lách Thủy Tinh T.C Cây 01/12/2024</v>
          </cell>
          <cell r="B163">
            <v>6500</v>
          </cell>
        </row>
        <row r="164">
          <cell r="A164" t="str">
            <v>Cà Tím 01/12/2024</v>
          </cell>
          <cell r="B164">
            <v>6000</v>
          </cell>
        </row>
        <row r="165">
          <cell r="A165" t="str">
            <v>Đậu Cove Trắng 01/12/2024</v>
          </cell>
          <cell r="B165">
            <v>9000</v>
          </cell>
        </row>
        <row r="166">
          <cell r="A166" t="str">
            <v>Cà Chua Beef 01/12/2024</v>
          </cell>
          <cell r="B166">
            <v>16000</v>
          </cell>
        </row>
        <row r="167">
          <cell r="A167" t="str">
            <v>Củ Cải Trắng 01/12/2024</v>
          </cell>
          <cell r="B167">
            <v>5000</v>
          </cell>
        </row>
        <row r="168">
          <cell r="A168" t="str">
            <v>Củ Dền 01/12/2024</v>
          </cell>
          <cell r="B168">
            <v>16000</v>
          </cell>
        </row>
        <row r="169">
          <cell r="A169" t="str">
            <v>Cà Rốt 01/12/2024</v>
          </cell>
          <cell r="B169">
            <v>12000</v>
          </cell>
        </row>
        <row r="170">
          <cell r="A170" t="str">
            <v>Trái Su Su 01/12/2024</v>
          </cell>
          <cell r="B170">
            <v>7000</v>
          </cell>
        </row>
        <row r="171">
          <cell r="A171" t="str">
            <v>DO 0.05S-II 02/12/2024</v>
          </cell>
          <cell r="B171">
            <v>17400</v>
          </cell>
        </row>
        <row r="172">
          <cell r="A172" t="str">
            <v>DO 0.05S-II 02/12/2024</v>
          </cell>
          <cell r="B172">
            <v>17400</v>
          </cell>
        </row>
        <row r="173">
          <cell r="A173" t="str">
            <v>Cước đường bộ xe 49C37197T đi qua trạm Liên Đầm thời gian GD 12:34:01 ngày 02/12/2024 mã GD 1523260667 02/12/2024</v>
          </cell>
          <cell r="B173">
            <v>78704</v>
          </cell>
        </row>
        <row r="174">
          <cell r="A174" t="str">
            <v>Cước đường bộ xe 49C37197T đi qua đoạn Long Phước - NH51 thời gian GD 06:48:04 ngày 02/12/2024 mã GD 1522727140 02/12/2024</v>
          </cell>
          <cell r="B174">
            <v>76806</v>
          </cell>
        </row>
        <row r="175">
          <cell r="A175" t="str">
            <v>Cước đường bộ xe 49C37197T đi qua trạm Cầu Phú Mỹ thời gian GD 06:18:15 ngày 02/12/2024 mã GD 1522758155 02/12/2024</v>
          </cell>
          <cell r="B175">
            <v>22222</v>
          </cell>
        </row>
        <row r="176">
          <cell r="A176" t="str">
            <v>Cước đường bộ xe 49C37197T đi qua trạm Xa Lộ - Hà Nội thời gian GD 02:11:50 ngày 02/12/2024 mã GD 1522635902 02/12/2024</v>
          </cell>
          <cell r="B176">
            <v>50000</v>
          </cell>
        </row>
        <row r="177">
          <cell r="A177" t="str">
            <v>Ớt Chuông Baby 02/12/2024</v>
          </cell>
          <cell r="B177">
            <v>50000</v>
          </cell>
        </row>
        <row r="178">
          <cell r="A178" t="str">
            <v>Ớt Sweet Palemo 02/12/2024</v>
          </cell>
          <cell r="B178">
            <v>18000</v>
          </cell>
        </row>
        <row r="179">
          <cell r="A179" t="str">
            <v>Củ Khoai Lang Mật Size 23 02/12/2024</v>
          </cell>
          <cell r="B179">
            <v>31000</v>
          </cell>
        </row>
        <row r="180">
          <cell r="A180" t="str">
            <v>Củ Khoai Lang Mật Size 46 02/12/2024</v>
          </cell>
          <cell r="B180">
            <v>31000</v>
          </cell>
        </row>
        <row r="181">
          <cell r="A181" t="str">
            <v>Hành Paro 02/12/2024</v>
          </cell>
          <cell r="B181">
            <v>28000</v>
          </cell>
        </row>
        <row r="182">
          <cell r="A182" t="str">
            <v>Bí Ngòi Xanh 02/12/2024</v>
          </cell>
          <cell r="B182">
            <v>9000</v>
          </cell>
        </row>
        <row r="183">
          <cell r="A183" t="str">
            <v>Gia Công Rau Củ Quả 02/12/2024</v>
          </cell>
          <cell r="B183">
            <v>1700</v>
          </cell>
        </row>
        <row r="184">
          <cell r="A184" t="str">
            <v>Gia Công Rau Củ Quả 02/12/2024</v>
          </cell>
          <cell r="B184">
            <v>1700</v>
          </cell>
        </row>
        <row r="185">
          <cell r="A185" t="str">
            <v>Gia Công Rau Củ Quả 02/12/2024</v>
          </cell>
          <cell r="B185">
            <v>1700</v>
          </cell>
        </row>
        <row r="186">
          <cell r="A186" t="str">
            <v>Cà Chua Socola 02/12/2024</v>
          </cell>
          <cell r="B186">
            <v>34000</v>
          </cell>
        </row>
        <row r="187">
          <cell r="A187" t="str">
            <v>Dưa Leo Baby 02/12/2024</v>
          </cell>
          <cell r="B187">
            <v>6000</v>
          </cell>
        </row>
        <row r="188">
          <cell r="A188" t="str">
            <v>Cà Chua Beef 02/12/2024</v>
          </cell>
          <cell r="B188">
            <v>21000</v>
          </cell>
        </row>
        <row r="189">
          <cell r="A189" t="str">
            <v>Cải Bó Xôi 02/12/2024</v>
          </cell>
          <cell r="B189">
            <v>14000</v>
          </cell>
        </row>
        <row r="190">
          <cell r="A190" t="str">
            <v>Cà Chua Beef Chùm 02/12/2024</v>
          </cell>
          <cell r="B190">
            <v>22000</v>
          </cell>
        </row>
        <row r="191">
          <cell r="A191" t="str">
            <v>Cà Chua Beef 02/12/2024</v>
          </cell>
          <cell r="B191">
            <v>21000</v>
          </cell>
        </row>
        <row r="192">
          <cell r="A192" t="str">
            <v>Bông Cải Xanh 7Cm 02/12/2024</v>
          </cell>
          <cell r="B192">
            <v>30000</v>
          </cell>
        </row>
        <row r="193">
          <cell r="A193" t="str">
            <v>Bông Cải Xanh 10Cm 02/12/2024</v>
          </cell>
          <cell r="B193">
            <v>26000</v>
          </cell>
        </row>
        <row r="194">
          <cell r="A194" t="str">
            <v>Bông Cải Xanh 7Cm 02/12/2024</v>
          </cell>
          <cell r="B194">
            <v>32000</v>
          </cell>
        </row>
        <row r="195">
          <cell r="A195" t="str">
            <v>Bông Cải Xanh 7Cm 02/12/2024</v>
          </cell>
          <cell r="B195">
            <v>32000</v>
          </cell>
        </row>
        <row r="196">
          <cell r="A196" t="str">
            <v>Bông Cải Trắng 02/12/2024</v>
          </cell>
          <cell r="B196">
            <v>15000</v>
          </cell>
        </row>
        <row r="197">
          <cell r="A197" t="str">
            <v>Củ Dền 02/12/2024</v>
          </cell>
          <cell r="B197">
            <v>16000</v>
          </cell>
        </row>
        <row r="198">
          <cell r="A198" t="str">
            <v>Cần Tây 02/12/2024</v>
          </cell>
          <cell r="B198">
            <v>20000</v>
          </cell>
        </row>
        <row r="199">
          <cell r="A199" t="str">
            <v>Cần Tây 02/12/2024</v>
          </cell>
          <cell r="B199">
            <v>16000</v>
          </cell>
        </row>
        <row r="200">
          <cell r="A200" t="str">
            <v>Hành Paro 02/12/2024</v>
          </cell>
          <cell r="B200">
            <v>27000</v>
          </cell>
        </row>
        <row r="201">
          <cell r="A201" t="str">
            <v>Dưa Leo Baby 02/12/2024</v>
          </cell>
          <cell r="B201">
            <v>4000</v>
          </cell>
        </row>
        <row r="202">
          <cell r="A202" t="str">
            <v>Ớt Sweet Palemo 02/12/2024</v>
          </cell>
          <cell r="B202">
            <v>18000</v>
          </cell>
        </row>
        <row r="203">
          <cell r="A203" t="str">
            <v>Xà Lách Thủy Tinh T.C Cây 02/12/2024</v>
          </cell>
          <cell r="B203">
            <v>6800</v>
          </cell>
        </row>
        <row r="204">
          <cell r="A204" t="str">
            <v>Ớt Chuông Đỏ 02/12/2024</v>
          </cell>
          <cell r="B204">
            <v>25000</v>
          </cell>
        </row>
        <row r="205">
          <cell r="A205" t="str">
            <v>Ớt Chuông Đỏ Trung 02/12/2024</v>
          </cell>
          <cell r="B205">
            <v>20000</v>
          </cell>
        </row>
        <row r="206">
          <cell r="A206" t="str">
            <v>Ớt Chuông Vàng Trung 02/12/2024</v>
          </cell>
          <cell r="B206">
            <v>8000</v>
          </cell>
        </row>
        <row r="207">
          <cell r="A207" t="str">
            <v>Ớt Chuông Xanh 02/12/2024</v>
          </cell>
          <cell r="B207">
            <v>25000</v>
          </cell>
        </row>
        <row r="208">
          <cell r="A208" t="str">
            <v>Củ Hành Tây 02/12/2024</v>
          </cell>
          <cell r="B208">
            <v>22500</v>
          </cell>
        </row>
        <row r="209">
          <cell r="A209" t="str">
            <v>Bơ Booth 02/12/2024</v>
          </cell>
          <cell r="B209">
            <v>45000</v>
          </cell>
        </row>
        <row r="210">
          <cell r="A210" t="str">
            <v>Củ Gừng 02/12/2024</v>
          </cell>
          <cell r="B210">
            <v>39000</v>
          </cell>
        </row>
        <row r="211">
          <cell r="A211" t="str">
            <v>Củ Khoai Mỡ 02/12/2024</v>
          </cell>
          <cell r="B211">
            <v>25000</v>
          </cell>
        </row>
        <row r="212">
          <cell r="A212" t="str">
            <v>Củ Khoai Tây Vàng 02/12/2024</v>
          </cell>
          <cell r="B212">
            <v>18000</v>
          </cell>
        </row>
        <row r="213">
          <cell r="A213" t="str">
            <v>Cà Chua Socola 02/12/2024</v>
          </cell>
          <cell r="B213">
            <v>14000</v>
          </cell>
        </row>
        <row r="214">
          <cell r="A214" t="str">
            <v>Xà Lách Rocket 02/12/2024</v>
          </cell>
          <cell r="B214">
            <v>120000</v>
          </cell>
        </row>
        <row r="215">
          <cell r="A215" t="str">
            <v>Bí Ngòi Vàng 02/12/2024</v>
          </cell>
          <cell r="B215">
            <v>35000</v>
          </cell>
        </row>
        <row r="216">
          <cell r="A216" t="str">
            <v>Đậu Hà Lan Trái 02/12/2024</v>
          </cell>
          <cell r="B216">
            <v>80000</v>
          </cell>
        </row>
        <row r="217">
          <cell r="A217" t="str">
            <v>Xà Lách Carol 02/12/2024</v>
          </cell>
          <cell r="B217">
            <v>32000</v>
          </cell>
        </row>
        <row r="218">
          <cell r="A218" t="str">
            <v>Rau Bầu Đất 02/12/2024</v>
          </cell>
          <cell r="B218">
            <v>30000</v>
          </cell>
        </row>
        <row r="219">
          <cell r="A219" t="str">
            <v>Xà Lách Lolo Xanh T.C 02/12/2024</v>
          </cell>
          <cell r="B219">
            <v>28000</v>
          </cell>
        </row>
        <row r="220">
          <cell r="A220" t="str">
            <v>Xà Lách Mỡ T.C 02/12/2024</v>
          </cell>
          <cell r="B220">
            <v>27000</v>
          </cell>
        </row>
        <row r="221">
          <cell r="A221" t="str">
            <v>Củ Su Hào 02/12/2024</v>
          </cell>
          <cell r="B221">
            <v>11000</v>
          </cell>
        </row>
        <row r="222">
          <cell r="A222" t="str">
            <v>Cà Chua Thường 02/12/2024</v>
          </cell>
          <cell r="B222">
            <v>19000</v>
          </cell>
        </row>
        <row r="223">
          <cell r="A223" t="str">
            <v>Cà Chua Thường Trung 02/12/2024</v>
          </cell>
          <cell r="B223">
            <v>16000</v>
          </cell>
        </row>
        <row r="224">
          <cell r="A224" t="str">
            <v>Chuối Laba 02/12/2024</v>
          </cell>
          <cell r="B224">
            <v>13000</v>
          </cell>
        </row>
        <row r="225">
          <cell r="A225" t="str">
            <v>Cà Chua Bi Đỏ 02/12/2024</v>
          </cell>
          <cell r="B225">
            <v>9000</v>
          </cell>
        </row>
        <row r="226">
          <cell r="A226" t="str">
            <v>Cà Chua Bi Đỏ 02/12/2024</v>
          </cell>
          <cell r="B226">
            <v>15000</v>
          </cell>
        </row>
        <row r="227">
          <cell r="A227" t="str">
            <v>Củ Khoai Lang Nhật 02/12/2024</v>
          </cell>
          <cell r="B227">
            <v>17000</v>
          </cell>
        </row>
        <row r="228">
          <cell r="A228" t="str">
            <v>Cà Rốt 02/12/2024</v>
          </cell>
          <cell r="B228">
            <v>13000</v>
          </cell>
        </row>
        <row r="229">
          <cell r="A229" t="str">
            <v>Củ Cải Trắng 02/12/2024</v>
          </cell>
          <cell r="B229">
            <v>4500</v>
          </cell>
        </row>
        <row r="230">
          <cell r="A230" t="str">
            <v>Cà Chua Thường 02/12/2024</v>
          </cell>
          <cell r="B230">
            <v>21500</v>
          </cell>
        </row>
        <row r="231">
          <cell r="A231" t="str">
            <v>Đậu Cove Nhật 02/12/2024</v>
          </cell>
          <cell r="B231">
            <v>6000</v>
          </cell>
        </row>
        <row r="232">
          <cell r="A232" t="str">
            <v>Xà Lách Lolo Xanh T.C 02/12/2024</v>
          </cell>
          <cell r="B232">
            <v>26000</v>
          </cell>
        </row>
        <row r="233">
          <cell r="A233" t="str">
            <v>Xà Lách Mỡ T.C 02/12/2024</v>
          </cell>
          <cell r="B233">
            <v>26000</v>
          </cell>
        </row>
        <row r="234">
          <cell r="A234" t="str">
            <v>Xà Lách Thủy Tinh T.C 02/12/2024</v>
          </cell>
          <cell r="B234">
            <v>26000</v>
          </cell>
        </row>
        <row r="235">
          <cell r="A235" t="str">
            <v>Đậu Cove Trắng 02/12/2024</v>
          </cell>
          <cell r="B235">
            <v>9000</v>
          </cell>
        </row>
        <row r="236">
          <cell r="A236" t="str">
            <v>Trái Khổ Qua 02/12/2024</v>
          </cell>
          <cell r="B236">
            <v>9000</v>
          </cell>
        </row>
        <row r="237">
          <cell r="A237" t="str">
            <v>Dưa Leo Thường 02/12/2024</v>
          </cell>
          <cell r="B237">
            <v>4000</v>
          </cell>
        </row>
        <row r="238">
          <cell r="A238" t="str">
            <v>Dưa Leo Baby 02/12/2024</v>
          </cell>
          <cell r="B238">
            <v>6000</v>
          </cell>
        </row>
        <row r="239">
          <cell r="A239" t="str">
            <v>Cà Tím 02/12/2024</v>
          </cell>
          <cell r="B239">
            <v>6000</v>
          </cell>
        </row>
        <row r="240">
          <cell r="A240" t="str">
            <v>Cà Tím 02/12/2024</v>
          </cell>
          <cell r="B240">
            <v>3500</v>
          </cell>
        </row>
        <row r="241">
          <cell r="A241" t="str">
            <v>Trái Su Su 02/12/2024</v>
          </cell>
          <cell r="B241">
            <v>6500</v>
          </cell>
        </row>
        <row r="242">
          <cell r="A242" t="str">
            <v>Chuối Laba 02/12/2024</v>
          </cell>
          <cell r="B242">
            <v>14000</v>
          </cell>
        </row>
        <row r="243">
          <cell r="A243" t="str">
            <v>Bí Đỏ Hồ Lô 02/12/2024</v>
          </cell>
          <cell r="B243">
            <v>12000</v>
          </cell>
        </row>
        <row r="244">
          <cell r="A244" t="str">
            <v>Ớt Chuông Đỏ 02/12/2024</v>
          </cell>
          <cell r="B244">
            <v>30000</v>
          </cell>
        </row>
        <row r="245">
          <cell r="A245" t="str">
            <v>Ớt Chuông Baby 02/12/2024</v>
          </cell>
          <cell r="B245">
            <v>44000</v>
          </cell>
        </row>
        <row r="246">
          <cell r="A246" t="str">
            <v>Ớt Chuông Vàng 02/12/2024</v>
          </cell>
          <cell r="B246">
            <v>15000</v>
          </cell>
        </row>
        <row r="247">
          <cell r="A247" t="str">
            <v>Ớt Chuông Snack 02/12/2024</v>
          </cell>
          <cell r="B247">
            <v>49000</v>
          </cell>
        </row>
        <row r="248">
          <cell r="A248" t="str">
            <v>Bơ Booth 02/12/2024</v>
          </cell>
          <cell r="B248">
            <v>45000</v>
          </cell>
        </row>
        <row r="249">
          <cell r="A249" t="str">
            <v>Củ Khoai Mỡ 02/12/2024</v>
          </cell>
          <cell r="B249">
            <v>25000</v>
          </cell>
        </row>
        <row r="250">
          <cell r="A250" t="str">
            <v>Củ Hành Tây 02/12/2024</v>
          </cell>
          <cell r="B250">
            <v>22500</v>
          </cell>
        </row>
        <row r="251">
          <cell r="A251" t="str">
            <v>Bông Cải Xanh 7Cm 02/12/2024</v>
          </cell>
          <cell r="B251">
            <v>32000</v>
          </cell>
        </row>
        <row r="252">
          <cell r="A252" t="str">
            <v>Hạt Dẻ Ngố 02/12/2024</v>
          </cell>
          <cell r="B252">
            <v>24900</v>
          </cell>
        </row>
        <row r="253">
          <cell r="A253" t="str">
            <v>Cà Chua Beef Trung 02/12/2024</v>
          </cell>
          <cell r="B253">
            <v>19000</v>
          </cell>
        </row>
        <row r="254">
          <cell r="A254" t="str">
            <v>Cà Chua Bi Mix 02/12/2024</v>
          </cell>
          <cell r="B254">
            <v>53500</v>
          </cell>
        </row>
        <row r="255">
          <cell r="A255" t="str">
            <v>Cà Chua Socola 02/12/2024</v>
          </cell>
          <cell r="B255">
            <v>49500</v>
          </cell>
        </row>
        <row r="256">
          <cell r="A256" t="str">
            <v>Chanh Không Hạt 02/12/2024</v>
          </cell>
          <cell r="B256">
            <v>26000</v>
          </cell>
        </row>
        <row r="257">
          <cell r="A257" t="str">
            <v>Cà Chua Bi Đỏ 02/12/2024</v>
          </cell>
          <cell r="B257">
            <v>9000</v>
          </cell>
        </row>
        <row r="258">
          <cell r="A258" t="str">
            <v>Củ Cải Trắng 02/12/2024</v>
          </cell>
          <cell r="B258">
            <v>4500</v>
          </cell>
        </row>
        <row r="259">
          <cell r="A259" t="str">
            <v>Cà Chua Thường 02/12/2024</v>
          </cell>
          <cell r="B259">
            <v>21500</v>
          </cell>
        </row>
        <row r="260">
          <cell r="A260" t="str">
            <v>Củ Khoai Lang Nhật 02/12/2024</v>
          </cell>
          <cell r="B260">
            <v>17500</v>
          </cell>
        </row>
        <row r="261">
          <cell r="A261" t="str">
            <v>Cà Rốt 02/12/2024</v>
          </cell>
          <cell r="B261">
            <v>15000</v>
          </cell>
        </row>
        <row r="262">
          <cell r="A262" t="str">
            <v>Cà Rốt Trung 02/12/2024</v>
          </cell>
          <cell r="B262">
            <v>13000</v>
          </cell>
        </row>
        <row r="263">
          <cell r="A263" t="str">
            <v>Bí Non Nhật 02/12/2024</v>
          </cell>
          <cell r="B263">
            <v>10000</v>
          </cell>
        </row>
        <row r="264">
          <cell r="A264" t="str">
            <v>Dưa Leo Nhật 02/12/2024</v>
          </cell>
          <cell r="B264">
            <v>9000</v>
          </cell>
        </row>
        <row r="265">
          <cell r="A265" t="str">
            <v>Đậu Cove Trắng 02/12/2024</v>
          </cell>
          <cell r="B265">
            <v>6500</v>
          </cell>
        </row>
        <row r="266">
          <cell r="A266" t="str">
            <v>Bí Đao Xanh 02/12/2024</v>
          </cell>
          <cell r="B266">
            <v>5000</v>
          </cell>
        </row>
        <row r="267">
          <cell r="A267" t="str">
            <v>Dưa Leo Thường 02/12/2024</v>
          </cell>
          <cell r="B267">
            <v>4000</v>
          </cell>
        </row>
        <row r="268">
          <cell r="A268" t="str">
            <v>Bí Non Nhật 02/12/2024</v>
          </cell>
          <cell r="B268">
            <v>10000</v>
          </cell>
        </row>
        <row r="269">
          <cell r="A269" t="str">
            <v>Dưa Leo Baby 02/12/2024</v>
          </cell>
          <cell r="B269">
            <v>6000</v>
          </cell>
        </row>
        <row r="270">
          <cell r="A270" t="str">
            <v>Lá Mè 02/12/2024</v>
          </cell>
          <cell r="B270">
            <v>36000</v>
          </cell>
        </row>
        <row r="271">
          <cell r="A271" t="str">
            <v>Cải Kale 02/12/2024</v>
          </cell>
          <cell r="B271">
            <v>16000</v>
          </cell>
        </row>
        <row r="272">
          <cell r="A272" t="str">
            <v>Trái Mít Thái 02/12/2024</v>
          </cell>
          <cell r="B272">
            <v>19597</v>
          </cell>
        </row>
        <row r="273">
          <cell r="A273" t="str">
            <v>Măng Tây 02/12/2024</v>
          </cell>
          <cell r="B273">
            <v>62000</v>
          </cell>
        </row>
        <row r="274">
          <cell r="A274" t="str">
            <v>Măng Tây 02/12/2024</v>
          </cell>
          <cell r="B274">
            <v>52000</v>
          </cell>
        </row>
        <row r="275">
          <cell r="A275" t="str">
            <v>Bí Ngòi Xanh 02/12/2024</v>
          </cell>
          <cell r="B275">
            <v>9000</v>
          </cell>
        </row>
        <row r="276">
          <cell r="A276" t="str">
            <v>Cải Bó Xôi 02/12/2024</v>
          </cell>
          <cell r="B276">
            <v>14000</v>
          </cell>
        </row>
        <row r="277">
          <cell r="A277" t="str">
            <v>Cần Tây 02/12/2024</v>
          </cell>
          <cell r="B277">
            <v>20000</v>
          </cell>
        </row>
        <row r="278">
          <cell r="A278" t="str">
            <v>Bắp Cải Tím 02/12/2024</v>
          </cell>
          <cell r="B278">
            <v>30000</v>
          </cell>
        </row>
        <row r="279">
          <cell r="A279" t="str">
            <v>Cà Chua Beef 02/12/2024</v>
          </cell>
          <cell r="B279">
            <v>21000</v>
          </cell>
        </row>
        <row r="280">
          <cell r="A280" t="str">
            <v>Hành Paro 02/12/2024</v>
          </cell>
          <cell r="B280">
            <v>27000</v>
          </cell>
        </row>
        <row r="281">
          <cell r="A281" t="str">
            <v>Xà Lách Mỹ 02/12/2024</v>
          </cell>
          <cell r="B281">
            <v>30000</v>
          </cell>
        </row>
        <row r="282">
          <cell r="A282" t="str">
            <v>Xà Lách Lolo Xanh T.C Cây 02/12/2024</v>
          </cell>
          <cell r="B282">
            <v>6800</v>
          </cell>
        </row>
        <row r="283">
          <cell r="A283" t="str">
            <v>Xà Lách Mỡ T.C Cây 02/12/2024</v>
          </cell>
          <cell r="B283">
            <v>6800</v>
          </cell>
        </row>
        <row r="284">
          <cell r="A284" t="str">
            <v>Xà Lách Mỡ T.C 02/12/2024</v>
          </cell>
          <cell r="B284">
            <v>28000</v>
          </cell>
        </row>
        <row r="285">
          <cell r="A285" t="str">
            <v>Xà Lách Thủy Tinh T.C Cây 02/12/2024</v>
          </cell>
          <cell r="B285">
            <v>6800</v>
          </cell>
        </row>
        <row r="286">
          <cell r="A286" t="str">
            <v>Cải Kale 02/12/2024</v>
          </cell>
          <cell r="B286">
            <v>20500</v>
          </cell>
        </row>
        <row r="287">
          <cell r="A287" t="str">
            <v>Cà Chua Bi Mix 02/12/2024</v>
          </cell>
          <cell r="B287">
            <v>52000</v>
          </cell>
        </row>
        <row r="288">
          <cell r="A288" t="str">
            <v>Cà Chua Bi Mix 02/12/2024</v>
          </cell>
          <cell r="B288">
            <v>53500</v>
          </cell>
        </row>
        <row r="289">
          <cell r="A289" t="str">
            <v>Cải Bó Xôi 02/12/2024</v>
          </cell>
          <cell r="B289">
            <v>17000</v>
          </cell>
        </row>
        <row r="290">
          <cell r="A290" t="str">
            <v>Cà Chua Beef Chùm 02/12/2024</v>
          </cell>
          <cell r="B290">
            <v>24000</v>
          </cell>
        </row>
        <row r="291">
          <cell r="A291" t="str">
            <v>Cà Chua Beef 02/12/2024</v>
          </cell>
          <cell r="B291">
            <v>15600</v>
          </cell>
        </row>
        <row r="292">
          <cell r="A292" t="str">
            <v>Cà Chua Beef Trung 02/12/2024</v>
          </cell>
          <cell r="B292">
            <v>19000</v>
          </cell>
        </row>
        <row r="293">
          <cell r="A293" t="str">
            <v>Cà Chua Beef Trung 02/12/2024</v>
          </cell>
          <cell r="B293">
            <v>17000</v>
          </cell>
        </row>
        <row r="294">
          <cell r="A294" t="str">
            <v>Trái Cam Canh 02/12/2024</v>
          </cell>
          <cell r="B294">
            <v>38000</v>
          </cell>
        </row>
        <row r="295">
          <cell r="A295" t="str">
            <v>Trái Cam Canh 02/12/2024</v>
          </cell>
          <cell r="B295">
            <v>35000</v>
          </cell>
        </row>
        <row r="296">
          <cell r="A296" t="str">
            <v>Cước Vận Chuyển Hàng Hóa 02/12/2024</v>
          </cell>
          <cell r="B296">
            <v>1250000</v>
          </cell>
        </row>
        <row r="297">
          <cell r="A297" t="str">
            <v>Xà Lách Lolo Xanh 02/12/2024</v>
          </cell>
          <cell r="B297">
            <v>12000</v>
          </cell>
        </row>
        <row r="298">
          <cell r="A298" t="str">
            <v>Xà Lách Lolo Xanh 02/12/2024</v>
          </cell>
          <cell r="B298">
            <v>15000</v>
          </cell>
        </row>
        <row r="299">
          <cell r="A299" t="str">
            <v>Xà Lách Romaine 02/12/2024</v>
          </cell>
          <cell r="B299">
            <v>20000</v>
          </cell>
        </row>
        <row r="300">
          <cell r="A300" t="str">
            <v>Lá Mè 02/12/2024</v>
          </cell>
          <cell r="B300">
            <v>38000</v>
          </cell>
        </row>
        <row r="301">
          <cell r="A301" t="str">
            <v>Cà Rốt Baby 02/12/2024</v>
          </cell>
          <cell r="B301">
            <v>40000</v>
          </cell>
        </row>
        <row r="302">
          <cell r="A302" t="str">
            <v>Cải Cầu Vồng 02/12/2024</v>
          </cell>
          <cell r="B302">
            <v>18000</v>
          </cell>
        </row>
        <row r="303">
          <cell r="A303" t="str">
            <v>Củ Cải Đỏ 02/12/2024</v>
          </cell>
          <cell r="B303">
            <v>9500</v>
          </cell>
        </row>
        <row r="304">
          <cell r="A304" t="str">
            <v>Xà Lách Lolo Xanh 02/12/2024</v>
          </cell>
          <cell r="B304">
            <v>12000</v>
          </cell>
        </row>
        <row r="305">
          <cell r="A305" t="str">
            <v>Dưa Leo Baby 02/12/2024</v>
          </cell>
          <cell r="B305">
            <v>5000</v>
          </cell>
        </row>
        <row r="306">
          <cell r="A306" t="str">
            <v>Xà Lách Romaine 02/12/2024</v>
          </cell>
          <cell r="B306">
            <v>20000</v>
          </cell>
        </row>
        <row r="307">
          <cell r="A307" t="str">
            <v>Ớt Sweet Palemo 02/12/2024</v>
          </cell>
          <cell r="B307">
            <v>18000</v>
          </cell>
        </row>
        <row r="308">
          <cell r="A308" t="str">
            <v>Cà Chua Beef Trung 02/12/2024</v>
          </cell>
          <cell r="B308">
            <v>19000</v>
          </cell>
        </row>
        <row r="309">
          <cell r="A309" t="str">
            <v>Ớt Chuông Đỏ 02/12/2024</v>
          </cell>
          <cell r="B309">
            <v>33000</v>
          </cell>
        </row>
        <row r="310">
          <cell r="A310" t="str">
            <v>Ớt Chuông Vàng 02/12/2024</v>
          </cell>
          <cell r="B310">
            <v>25000</v>
          </cell>
        </row>
        <row r="311">
          <cell r="A311" t="str">
            <v>Ớt Chuông Xanh 02/12/2024</v>
          </cell>
          <cell r="B311">
            <v>28000</v>
          </cell>
        </row>
        <row r="312">
          <cell r="A312" t="str">
            <v>Cải Kale 02/12/2024</v>
          </cell>
          <cell r="B312">
            <v>18000</v>
          </cell>
        </row>
        <row r="313">
          <cell r="A313" t="str">
            <v>Cải Kale 02/12/2024</v>
          </cell>
          <cell r="B313">
            <v>21000</v>
          </cell>
        </row>
        <row r="314">
          <cell r="A314" t="str">
            <v>Cà Rốt Baby 02/12/2024</v>
          </cell>
          <cell r="B314">
            <v>40000</v>
          </cell>
        </row>
        <row r="315">
          <cell r="A315" t="str">
            <v>Hạt Dẻ Ngố 02/12/2024</v>
          </cell>
          <cell r="B315">
            <v>27600</v>
          </cell>
        </row>
        <row r="316">
          <cell r="A316" t="str">
            <v>Cải Thảo 02/12/2024</v>
          </cell>
          <cell r="B316">
            <v>6000</v>
          </cell>
        </row>
        <row r="317">
          <cell r="A317" t="str">
            <v>Cải Thảo 02/12/2024</v>
          </cell>
          <cell r="B317">
            <v>6000</v>
          </cell>
        </row>
        <row r="318">
          <cell r="A318" t="str">
            <v>Bông Cải Xanh Baby 02/12/2024</v>
          </cell>
          <cell r="B318">
            <v>35000</v>
          </cell>
        </row>
        <row r="319">
          <cell r="A319" t="str">
            <v>Cà Chua Beef 02/12/2024</v>
          </cell>
          <cell r="B319">
            <v>23000</v>
          </cell>
        </row>
        <row r="320">
          <cell r="A320" t="str">
            <v>Trái Su Su 02/12/2024</v>
          </cell>
          <cell r="B320">
            <v>6000</v>
          </cell>
        </row>
        <row r="321">
          <cell r="A321" t="str">
            <v>Xà Lách Lolo Xanh T.C Cây 02/12/2024</v>
          </cell>
          <cell r="B321">
            <v>6000</v>
          </cell>
        </row>
        <row r="322">
          <cell r="A322" t="str">
            <v>Cải Thảo Hỏa Tiễn 02/12/2024</v>
          </cell>
          <cell r="B322">
            <v>16000</v>
          </cell>
        </row>
        <row r="323">
          <cell r="A323" t="str">
            <v>Cần Tây 02/12/2024</v>
          </cell>
          <cell r="B323">
            <v>16000</v>
          </cell>
        </row>
        <row r="324">
          <cell r="A324" t="str">
            <v>Bông Cải Trắng 02/12/2024</v>
          </cell>
          <cell r="B324">
            <v>15000</v>
          </cell>
        </row>
        <row r="325">
          <cell r="A325" t="str">
            <v>Bí Ngòi Xanh 02/12/2024</v>
          </cell>
          <cell r="B325">
            <v>8000</v>
          </cell>
        </row>
        <row r="326">
          <cell r="A326" t="str">
            <v>Bắp Cải Tím 02/12/2024</v>
          </cell>
          <cell r="B326">
            <v>30000</v>
          </cell>
        </row>
        <row r="327">
          <cell r="A327" t="str">
            <v>Hành Paro 02/12/2024</v>
          </cell>
          <cell r="B327">
            <v>27000</v>
          </cell>
        </row>
        <row r="328">
          <cell r="A328" t="str">
            <v>Dưa Leo Baby 02/12/2024</v>
          </cell>
          <cell r="B328">
            <v>4000</v>
          </cell>
        </row>
        <row r="329">
          <cell r="A329" t="str">
            <v>Xà Lách Mỡ T.C Cây 02/12/2024</v>
          </cell>
          <cell r="B329">
            <v>6800</v>
          </cell>
        </row>
        <row r="330">
          <cell r="A330" t="str">
            <v>Cà Chua Beef 02/12/2024</v>
          </cell>
          <cell r="B330">
            <v>24500</v>
          </cell>
        </row>
        <row r="331">
          <cell r="A331" t="str">
            <v>Cà Tím 02/12/2024</v>
          </cell>
          <cell r="B331">
            <v>5500</v>
          </cell>
        </row>
        <row r="332">
          <cell r="A332" t="str">
            <v>Ớt Chuông Xanh 02/12/2024</v>
          </cell>
          <cell r="B332">
            <v>25000</v>
          </cell>
        </row>
        <row r="333">
          <cell r="A333" t="str">
            <v>Ớt Chuông Đỏ 02/12/2024</v>
          </cell>
          <cell r="B333">
            <v>25000</v>
          </cell>
        </row>
        <row r="334">
          <cell r="A334" t="str">
            <v>Ớt Chuông Vàng 02/12/2024</v>
          </cell>
          <cell r="B334">
            <v>13000</v>
          </cell>
        </row>
        <row r="335">
          <cell r="A335" t="str">
            <v>Củ Hành Tây 02/12/2024</v>
          </cell>
          <cell r="B335">
            <v>22500</v>
          </cell>
        </row>
        <row r="336">
          <cell r="A336" t="str">
            <v>Bơ Booth 02/12/2024</v>
          </cell>
          <cell r="B336">
            <v>35000</v>
          </cell>
        </row>
        <row r="337">
          <cell r="A337" t="str">
            <v>Cà Chua Thường 02/12/2024</v>
          </cell>
          <cell r="B337">
            <v>22000</v>
          </cell>
        </row>
        <row r="338">
          <cell r="A338" t="str">
            <v>Chanh Dây Tím 02/12/2024</v>
          </cell>
          <cell r="B338">
            <v>28000</v>
          </cell>
        </row>
        <row r="339">
          <cell r="A339" t="str">
            <v>Củ Khoai Tây Vàng 02/12/2024</v>
          </cell>
          <cell r="B339">
            <v>18000</v>
          </cell>
        </row>
        <row r="340">
          <cell r="A340" t="str">
            <v>Trái Su Su 02/12/2024</v>
          </cell>
          <cell r="B340">
            <v>7000</v>
          </cell>
        </row>
        <row r="341">
          <cell r="A341" t="str">
            <v>Củ Cải Trắng 02/12/2024</v>
          </cell>
          <cell r="B341">
            <v>5000</v>
          </cell>
        </row>
        <row r="342">
          <cell r="A342" t="str">
            <v>Củ Su Hào 02/12/2024</v>
          </cell>
          <cell r="B342">
            <v>11000</v>
          </cell>
        </row>
        <row r="343">
          <cell r="A343" t="str">
            <v>Củ Dền 02/12/2024</v>
          </cell>
          <cell r="B343">
            <v>16000</v>
          </cell>
        </row>
        <row r="344">
          <cell r="A344" t="str">
            <v>Cà Rốt 02/12/2024</v>
          </cell>
          <cell r="B344">
            <v>12000</v>
          </cell>
        </row>
        <row r="345">
          <cell r="A345" t="str">
            <v>Bắp Cải Trắng 02/12/2024</v>
          </cell>
          <cell r="B345">
            <v>10000</v>
          </cell>
        </row>
        <row r="346">
          <cell r="A346" t="str">
            <v>Chuối Laba 02/12/2024</v>
          </cell>
          <cell r="B346">
            <v>13000</v>
          </cell>
        </row>
        <row r="347">
          <cell r="A347" t="str">
            <v>Củ Cải Trắng 02/12/2024</v>
          </cell>
          <cell r="B347">
            <v>4500</v>
          </cell>
        </row>
        <row r="348">
          <cell r="A348" t="str">
            <v>Đậu Cove Nhật 02/12/2024</v>
          </cell>
          <cell r="B348">
            <v>6000</v>
          </cell>
        </row>
        <row r="349">
          <cell r="A349" t="str">
            <v>Cải Thảo 02/12/2024</v>
          </cell>
          <cell r="B349">
            <v>5000</v>
          </cell>
        </row>
        <row r="350">
          <cell r="A350" t="str">
            <v>Củ Khoai Lang Nhật 02/12/2024</v>
          </cell>
          <cell r="B350">
            <v>17500</v>
          </cell>
        </row>
        <row r="351">
          <cell r="A351" t="str">
            <v>Xà Lách Thủy Tinh T.C Cây 02/12/2024</v>
          </cell>
          <cell r="B351">
            <v>6500</v>
          </cell>
        </row>
        <row r="352">
          <cell r="A352" t="str">
            <v>Đậu Cove Trắng 02/12/2024</v>
          </cell>
          <cell r="B352">
            <v>9000</v>
          </cell>
        </row>
        <row r="353">
          <cell r="A353" t="str">
            <v>Bí Đao Xanh 02/12/2024</v>
          </cell>
          <cell r="B353">
            <v>5000</v>
          </cell>
        </row>
        <row r="354">
          <cell r="A354" t="str">
            <v>Trái Su Su 02/12/2024</v>
          </cell>
          <cell r="B354">
            <v>7000</v>
          </cell>
        </row>
        <row r="355">
          <cell r="A355" t="str">
            <v>Bí Đao Xanh 02/12/2024</v>
          </cell>
          <cell r="B355">
            <v>10000</v>
          </cell>
        </row>
        <row r="356">
          <cell r="A356" t="str">
            <v>Bông Cải Xanh Cọng 02/12/2024</v>
          </cell>
          <cell r="B356">
            <v>26000</v>
          </cell>
        </row>
        <row r="357">
          <cell r="A357" t="str">
            <v>Cải Thảo 02/12/2024</v>
          </cell>
          <cell r="B357">
            <v>6000</v>
          </cell>
        </row>
        <row r="358">
          <cell r="A358" t="str">
            <v>Cải Thảo Kim Chi 02/12/2024</v>
          </cell>
          <cell r="B358">
            <v>4000</v>
          </cell>
        </row>
        <row r="359">
          <cell r="A359" t="str">
            <v>Bắp Cải Trắng 02/12/2024</v>
          </cell>
          <cell r="B359">
            <v>11000</v>
          </cell>
        </row>
        <row r="360">
          <cell r="A360" t="str">
            <v>Măng Tây 03/12/2024</v>
          </cell>
          <cell r="B360">
            <v>63000</v>
          </cell>
        </row>
        <row r="361">
          <cell r="A361" t="str">
            <v>Bông Cải Xanh Baby 03/12/2024</v>
          </cell>
          <cell r="B361">
            <v>35000</v>
          </cell>
        </row>
        <row r="362">
          <cell r="A362" t="str">
            <v>Cà Rốt 03/12/2024</v>
          </cell>
          <cell r="B362">
            <v>15000</v>
          </cell>
        </row>
        <row r="363">
          <cell r="A363" t="str">
            <v>Lá Mè 03/12/2024</v>
          </cell>
          <cell r="B363">
            <v>36000</v>
          </cell>
        </row>
        <row r="364">
          <cell r="A364" t="str">
            <v>Cải Kale 03/12/2024</v>
          </cell>
          <cell r="B364">
            <v>16000</v>
          </cell>
        </row>
        <row r="365">
          <cell r="A365" t="str">
            <v>Bí Ngòi Xanh 03/12/2024</v>
          </cell>
          <cell r="B365">
            <v>9000</v>
          </cell>
        </row>
        <row r="366">
          <cell r="A366" t="str">
            <v>Xà Lách Lolo Xanh T.C Cây 03/12/2024</v>
          </cell>
          <cell r="B366">
            <v>6800</v>
          </cell>
        </row>
        <row r="367">
          <cell r="A367" t="str">
            <v>Xà Lách Mỡ T.C 03/12/2024</v>
          </cell>
          <cell r="B367">
            <v>28000</v>
          </cell>
        </row>
        <row r="368">
          <cell r="A368" t="str">
            <v>Hành Paro 03/12/2024</v>
          </cell>
          <cell r="B368">
            <v>27000</v>
          </cell>
        </row>
        <row r="369">
          <cell r="A369" t="str">
            <v>Cà Chua Beef 03/12/2024</v>
          </cell>
          <cell r="B369">
            <v>23000</v>
          </cell>
        </row>
        <row r="370">
          <cell r="A370" t="str">
            <v>Cần Tây 03/12/2024</v>
          </cell>
          <cell r="B370">
            <v>16000</v>
          </cell>
        </row>
        <row r="371">
          <cell r="A371" t="str">
            <v>Xà Lách Mỹ 03/12/2024</v>
          </cell>
          <cell r="B371">
            <v>30000</v>
          </cell>
        </row>
        <row r="372">
          <cell r="A372" t="str">
            <v>Cải Bó Xôi 03/12/2024</v>
          </cell>
          <cell r="B372">
            <v>14000</v>
          </cell>
        </row>
        <row r="373">
          <cell r="A373" t="str">
            <v>Hồng Treo Gió 03/12/2024</v>
          </cell>
          <cell r="B373">
            <v>200000</v>
          </cell>
        </row>
        <row r="374">
          <cell r="A374" t="str">
            <v>Bông Cải Xanh 7Cm 03/12/2024</v>
          </cell>
          <cell r="B374">
            <v>30000</v>
          </cell>
        </row>
        <row r="375">
          <cell r="A375" t="str">
            <v>Cần Tây 03/12/2024</v>
          </cell>
          <cell r="B375">
            <v>20000</v>
          </cell>
        </row>
        <row r="376">
          <cell r="A376" t="str">
            <v>Trái Mít Thái 03/12/2024</v>
          </cell>
          <cell r="B376">
            <v>19650</v>
          </cell>
        </row>
        <row r="377">
          <cell r="A377" t="str">
            <v>CT-XÀ LÁCH LOLO XANH 03/12/2024</v>
          </cell>
          <cell r="B377">
            <v>12000</v>
          </cell>
        </row>
        <row r="378">
          <cell r="A378" t="str">
            <v>CT-DUA LEO BB 03/12/2024</v>
          </cell>
          <cell r="B378">
            <v>13000</v>
          </cell>
        </row>
        <row r="379">
          <cell r="A379" t="str">
            <v>CT-XÀ LÁCH LOLO XANH 03/12/2024</v>
          </cell>
          <cell r="B379">
            <v>13666</v>
          </cell>
        </row>
        <row r="380">
          <cell r="A380" t="str">
            <v>Bơ Booth 03/12/2024</v>
          </cell>
          <cell r="B380">
            <v>50000</v>
          </cell>
        </row>
        <row r="381">
          <cell r="A381" t="str">
            <v>Củ Dền 03/12/2024</v>
          </cell>
          <cell r="B381">
            <v>17000</v>
          </cell>
        </row>
        <row r="382">
          <cell r="A382" t="str">
            <v>Cải Kale 03/12/2024</v>
          </cell>
          <cell r="B382">
            <v>16000</v>
          </cell>
        </row>
        <row r="383">
          <cell r="A383" t="str">
            <v>Ớt Chuông Baby 03/12/2024</v>
          </cell>
          <cell r="B383">
            <v>50000</v>
          </cell>
        </row>
        <row r="384">
          <cell r="A384" t="str">
            <v>Ớt Sweet Palemo 03/12/2024</v>
          </cell>
          <cell r="B384">
            <v>18000</v>
          </cell>
        </row>
        <row r="385">
          <cell r="A385" t="str">
            <v>Xà Lách Mỡ T.C Cây 03/12/2024</v>
          </cell>
          <cell r="B385">
            <v>6800</v>
          </cell>
        </row>
        <row r="386">
          <cell r="A386" t="str">
            <v>Xà Lách Thủy Tinh T.C Cây 03/12/2024</v>
          </cell>
          <cell r="B386">
            <v>6800</v>
          </cell>
        </row>
        <row r="387">
          <cell r="A387" t="str">
            <v>Xà Lách Thủy Tinh T.C 03/12/2024</v>
          </cell>
          <cell r="B387">
            <v>30000</v>
          </cell>
        </row>
        <row r="388">
          <cell r="A388" t="str">
            <v>Hành Paro 03/12/2024</v>
          </cell>
          <cell r="B388">
            <v>27000</v>
          </cell>
        </row>
        <row r="389">
          <cell r="A389" t="str">
            <v>Cải Bó Xôi 03/12/2024</v>
          </cell>
          <cell r="B389">
            <v>14000</v>
          </cell>
        </row>
        <row r="390">
          <cell r="A390" t="str">
            <v>Bí Ngòi Xanh 03/12/2024</v>
          </cell>
          <cell r="B390">
            <v>9000</v>
          </cell>
        </row>
        <row r="391">
          <cell r="A391" t="str">
            <v>Cà Tím 03/12/2024</v>
          </cell>
          <cell r="B391">
            <v>6000</v>
          </cell>
        </row>
        <row r="392">
          <cell r="A392" t="str">
            <v>Cà Tím 03/12/2024</v>
          </cell>
          <cell r="B392">
            <v>3500</v>
          </cell>
        </row>
        <row r="393">
          <cell r="A393" t="str">
            <v>Đậu Cove Nhật 03/12/2024</v>
          </cell>
          <cell r="B393">
            <v>6000</v>
          </cell>
        </row>
        <row r="394">
          <cell r="A394" t="str">
            <v>Bông Cải Xanh 7Cm 03/12/2024</v>
          </cell>
          <cell r="B394">
            <v>30000</v>
          </cell>
        </row>
        <row r="395">
          <cell r="A395" t="str">
            <v>Trái Su Su 03/12/2024</v>
          </cell>
          <cell r="B395">
            <v>7000</v>
          </cell>
        </row>
        <row r="396">
          <cell r="A396" t="str">
            <v>Cà Chua Socola 03/12/2024</v>
          </cell>
          <cell r="B396">
            <v>34000</v>
          </cell>
        </row>
        <row r="397">
          <cell r="A397" t="str">
            <v>Cà Chua Socola 03/12/2024</v>
          </cell>
          <cell r="B397">
            <v>34000</v>
          </cell>
        </row>
        <row r="398">
          <cell r="A398" t="str">
            <v>Bông Cải Xanh 10Cm 03/12/2024</v>
          </cell>
          <cell r="B398">
            <v>24000</v>
          </cell>
        </row>
        <row r="399">
          <cell r="A399" t="str">
            <v>Bông Cải Xanh 7Cm 03/12/2024</v>
          </cell>
          <cell r="B399">
            <v>26000</v>
          </cell>
        </row>
        <row r="400">
          <cell r="A400" t="str">
            <v>Bông Cải Xanh 7Cm 03/12/2024</v>
          </cell>
          <cell r="B400">
            <v>30000</v>
          </cell>
        </row>
        <row r="401">
          <cell r="A401" t="str">
            <v>Cà Chua Beef 03/12/2024</v>
          </cell>
          <cell r="B401">
            <v>21000</v>
          </cell>
        </row>
        <row r="402">
          <cell r="A402" t="str">
            <v>Bông Cải Trắng 03/12/2024</v>
          </cell>
          <cell r="B402">
            <v>15000</v>
          </cell>
        </row>
        <row r="403">
          <cell r="A403" t="str">
            <v>Củ Khoai Lang Mật Size 46 03/12/2024</v>
          </cell>
          <cell r="B403">
            <v>27000</v>
          </cell>
        </row>
        <row r="404">
          <cell r="A404" t="str">
            <v>Cà Chua Beef Chùm 03/12/2024</v>
          </cell>
          <cell r="B404">
            <v>23000</v>
          </cell>
        </row>
        <row r="405">
          <cell r="A405" t="str">
            <v>Dưa Leo Baby 03/12/2024</v>
          </cell>
          <cell r="B405">
            <v>5000</v>
          </cell>
        </row>
        <row r="406">
          <cell r="A406" t="str">
            <v>Bí Ngòi Xanh 03/12/2024</v>
          </cell>
          <cell r="B406">
            <v>8000</v>
          </cell>
        </row>
        <row r="407">
          <cell r="A407" t="str">
            <v>Cà Chua Thường 03/12/2024</v>
          </cell>
          <cell r="B407">
            <v>21500</v>
          </cell>
        </row>
        <row r="408">
          <cell r="A408" t="str">
            <v>Rau Bầu Đất 03/12/2024</v>
          </cell>
          <cell r="B408">
            <v>30000</v>
          </cell>
        </row>
        <row r="409">
          <cell r="A409" t="str">
            <v>Củ Dền 03/12/2024</v>
          </cell>
          <cell r="B409">
            <v>17000</v>
          </cell>
        </row>
        <row r="410">
          <cell r="A410" t="str">
            <v>Gia Công Rau Củ Quả 03/12/2024</v>
          </cell>
          <cell r="B410">
            <v>1700</v>
          </cell>
        </row>
        <row r="411">
          <cell r="A411" t="str">
            <v>Gia Công Rau Củ Quả 03/12/2024</v>
          </cell>
          <cell r="B411">
            <v>1700</v>
          </cell>
        </row>
        <row r="412">
          <cell r="A412" t="str">
            <v>Gia Công Rau Củ Quả 03/12/2024</v>
          </cell>
          <cell r="B412">
            <v>700</v>
          </cell>
        </row>
        <row r="413">
          <cell r="A413" t="str">
            <v>Bông Cải Xanh Cây 03/12/2024</v>
          </cell>
          <cell r="B413">
            <v>5500</v>
          </cell>
        </row>
        <row r="414">
          <cell r="A414" t="str">
            <v>Củ Khoai Lang Nhật 03/12/2024</v>
          </cell>
          <cell r="B414">
            <v>17000</v>
          </cell>
        </row>
        <row r="415">
          <cell r="A415" t="str">
            <v>Củ Su Hào 03/12/2024</v>
          </cell>
          <cell r="B415">
            <v>11000</v>
          </cell>
        </row>
        <row r="416">
          <cell r="A416" t="str">
            <v>Trái Bưởi Diễn 03/12/2024</v>
          </cell>
          <cell r="B416">
            <v>8000</v>
          </cell>
        </row>
        <row r="417">
          <cell r="A417" t="str">
            <v>Ớt Chuông Đỏ 03/12/2024</v>
          </cell>
          <cell r="B417">
            <v>25000</v>
          </cell>
        </row>
        <row r="418">
          <cell r="A418" t="str">
            <v>Ớt Chuông Vàng 03/12/2024</v>
          </cell>
          <cell r="B418">
            <v>13000</v>
          </cell>
        </row>
        <row r="419">
          <cell r="A419" t="str">
            <v>Ớt Chuông Xanh 03/12/2024</v>
          </cell>
          <cell r="B419">
            <v>25000</v>
          </cell>
        </row>
        <row r="420">
          <cell r="A420" t="str">
            <v>Ớt Chuông Đỏ Trung 03/12/2024</v>
          </cell>
          <cell r="B420">
            <v>20000</v>
          </cell>
        </row>
        <row r="421">
          <cell r="A421" t="str">
            <v>Ớt Chuông Vàng Trung 03/12/2024</v>
          </cell>
          <cell r="B421">
            <v>8000</v>
          </cell>
        </row>
        <row r="422">
          <cell r="A422" t="str">
            <v>Cà Chua Beef Chùm 03/12/2024</v>
          </cell>
          <cell r="B422">
            <v>25000</v>
          </cell>
        </row>
        <row r="423">
          <cell r="A423" t="str">
            <v>Bông Cải Xanh Baby 03/12/2024</v>
          </cell>
          <cell r="B423">
            <v>35000</v>
          </cell>
        </row>
        <row r="424">
          <cell r="A424" t="str">
            <v>Bơ Booth 03/12/2024</v>
          </cell>
          <cell r="B424">
            <v>50000</v>
          </cell>
        </row>
        <row r="425">
          <cell r="A425" t="str">
            <v>Củ Gừng 03/12/2024</v>
          </cell>
          <cell r="B425">
            <v>30000</v>
          </cell>
        </row>
        <row r="426">
          <cell r="A426" t="str">
            <v>Củ Khoai Mỡ 03/12/2024</v>
          </cell>
          <cell r="B426">
            <v>25000</v>
          </cell>
        </row>
        <row r="427">
          <cell r="A427" t="str">
            <v>Lá Mè 03/12/2024</v>
          </cell>
          <cell r="B427">
            <v>38000</v>
          </cell>
        </row>
        <row r="428">
          <cell r="A428" t="str">
            <v>Dưa Leo Baby 03/12/2024</v>
          </cell>
          <cell r="B428">
            <v>4500</v>
          </cell>
        </row>
        <row r="429">
          <cell r="A429" t="str">
            <v>Dưa Leo Nhật 03/12/2024</v>
          </cell>
          <cell r="B429">
            <v>9000</v>
          </cell>
        </row>
        <row r="430">
          <cell r="A430" t="str">
            <v>Đậu Cove Trắng 03/12/2024</v>
          </cell>
          <cell r="B430">
            <v>6500</v>
          </cell>
        </row>
        <row r="431">
          <cell r="A431" t="str">
            <v>Củ Cải Trắng 03/12/2024</v>
          </cell>
          <cell r="B431">
            <v>4500</v>
          </cell>
        </row>
        <row r="432">
          <cell r="A432" t="str">
            <v>Cà Chua Bi Đỏ 03/12/2024</v>
          </cell>
          <cell r="B432">
            <v>9000</v>
          </cell>
        </row>
        <row r="433">
          <cell r="A433" t="str">
            <v>Ớt Chuông Đỏ 03/12/2024</v>
          </cell>
          <cell r="B433">
            <v>30000</v>
          </cell>
        </row>
        <row r="434">
          <cell r="A434" t="str">
            <v>Ớt Chuông Vàng 03/12/2024</v>
          </cell>
          <cell r="B434">
            <v>15000</v>
          </cell>
        </row>
        <row r="435">
          <cell r="A435" t="str">
            <v>Ớt Chuông Xanh 03/12/2024</v>
          </cell>
          <cell r="B435">
            <v>28000</v>
          </cell>
        </row>
        <row r="436">
          <cell r="A436" t="str">
            <v>Cà Chua Beef Chùm 03/12/2024</v>
          </cell>
          <cell r="B436">
            <v>24000</v>
          </cell>
        </row>
        <row r="437">
          <cell r="A437" t="str">
            <v>Cà Chua Beef Trung 03/12/2024</v>
          </cell>
          <cell r="B437">
            <v>15000</v>
          </cell>
        </row>
        <row r="438">
          <cell r="A438" t="str">
            <v>Cà Chua Bi Mix 03/12/2024</v>
          </cell>
          <cell r="B438">
            <v>53500</v>
          </cell>
        </row>
        <row r="439">
          <cell r="A439" t="str">
            <v>Cà Chua Beef Trung 03/12/2024</v>
          </cell>
          <cell r="B439">
            <v>20000</v>
          </cell>
        </row>
        <row r="440">
          <cell r="A440" t="str">
            <v>Ớt Sweet Palemo 03/12/2024</v>
          </cell>
          <cell r="B440">
            <v>18000</v>
          </cell>
        </row>
        <row r="441">
          <cell r="A441" t="str">
            <v>Trái Chanh Vàng 03/12/2024</v>
          </cell>
          <cell r="B441">
            <v>58000</v>
          </cell>
        </row>
        <row r="442">
          <cell r="A442" t="str">
            <v>Xà Lách Lolo Tím 03/12/2024</v>
          </cell>
          <cell r="B442">
            <v>35000</v>
          </cell>
        </row>
        <row r="443">
          <cell r="A443" t="str">
            <v>Xà Lách Lolo Tím 03/12/2024</v>
          </cell>
          <cell r="B443">
            <v>20000</v>
          </cell>
        </row>
        <row r="444">
          <cell r="A444" t="str">
            <v>Cà Chua Beef Trung 03/12/2024</v>
          </cell>
          <cell r="B444">
            <v>19000</v>
          </cell>
        </row>
        <row r="445">
          <cell r="A445" t="str">
            <v>Cà Rốt Baby 03/12/2024</v>
          </cell>
          <cell r="B445">
            <v>40000</v>
          </cell>
        </row>
        <row r="446">
          <cell r="A446" t="str">
            <v>Cải Kale 03/12/2024</v>
          </cell>
          <cell r="B446">
            <v>19000</v>
          </cell>
        </row>
        <row r="447">
          <cell r="A447" t="str">
            <v>Bí Non Nhật 03/12/2024</v>
          </cell>
          <cell r="B447">
            <v>10000</v>
          </cell>
        </row>
        <row r="448">
          <cell r="A448" t="str">
            <v>Bí Đao Xanh 03/12/2024</v>
          </cell>
          <cell r="B448">
            <v>10000</v>
          </cell>
        </row>
        <row r="449">
          <cell r="A449" t="str">
            <v>Dưa Leo Thường 03/12/2024</v>
          </cell>
          <cell r="B449">
            <v>4000</v>
          </cell>
        </row>
        <row r="450">
          <cell r="A450" t="str">
            <v>Xà Lách Mỡ T.C 03/12/2024</v>
          </cell>
          <cell r="B450">
            <v>26000</v>
          </cell>
        </row>
        <row r="451">
          <cell r="A451" t="str">
            <v>Bí Đỏ Tròn 03/12/2024</v>
          </cell>
          <cell r="B451">
            <v>5500</v>
          </cell>
        </row>
        <row r="452">
          <cell r="A452" t="str">
            <v>Dưa Leo Thường 03/12/2024</v>
          </cell>
          <cell r="B452">
            <v>4000</v>
          </cell>
        </row>
        <row r="453">
          <cell r="A453" t="str">
            <v>Trái Khổ Qua 03/12/2024</v>
          </cell>
          <cell r="B453">
            <v>9000</v>
          </cell>
        </row>
        <row r="454">
          <cell r="A454" t="str">
            <v>Dưa Leo Baby 03/12/2024</v>
          </cell>
          <cell r="B454">
            <v>6000</v>
          </cell>
        </row>
        <row r="455">
          <cell r="A455" t="str">
            <v>Dưa Leo Baby 03/12/2024</v>
          </cell>
          <cell r="B455">
            <v>4000</v>
          </cell>
        </row>
        <row r="456">
          <cell r="A456" t="str">
            <v>Xà Lách Lolo Xanh T.C 03/12/2024</v>
          </cell>
          <cell r="B456">
            <v>26000</v>
          </cell>
        </row>
        <row r="457">
          <cell r="A457" t="str">
            <v>Xà Lách Thủy Tinh T.C Cây 03/12/2024</v>
          </cell>
          <cell r="B457">
            <v>7500</v>
          </cell>
        </row>
        <row r="458">
          <cell r="A458" t="str">
            <v>Cải Thảo 03/12/2024</v>
          </cell>
          <cell r="B458">
            <v>5000</v>
          </cell>
        </row>
        <row r="459">
          <cell r="A459" t="str">
            <v>Trái Su Su 03/12/2024</v>
          </cell>
          <cell r="B459">
            <v>7500</v>
          </cell>
        </row>
        <row r="460">
          <cell r="A460" t="str">
            <v>Lá Nha Đam 03/12/2024</v>
          </cell>
          <cell r="B460">
            <v>14000</v>
          </cell>
        </row>
        <row r="461">
          <cell r="A461" t="str">
            <v>Bí Đỏ Hồ Lô 03/12/2024</v>
          </cell>
          <cell r="B461">
            <v>12000</v>
          </cell>
        </row>
        <row r="462">
          <cell r="A462" t="str">
            <v>Củ Gừng 03/12/2024</v>
          </cell>
          <cell r="B462">
            <v>28000</v>
          </cell>
        </row>
        <row r="463">
          <cell r="A463" t="str">
            <v>Bí Đỏ Tròn 03/12/2024</v>
          </cell>
          <cell r="B463">
            <v>5500</v>
          </cell>
        </row>
        <row r="464">
          <cell r="A464" t="str">
            <v>Xà Lách Lolo Xanh 03/12/2024</v>
          </cell>
          <cell r="B464">
            <v>12000</v>
          </cell>
        </row>
        <row r="465">
          <cell r="A465" t="str">
            <v>Cải Bó Xôi 03/12/2024</v>
          </cell>
          <cell r="B465">
            <v>17000</v>
          </cell>
        </row>
        <row r="466">
          <cell r="A466" t="str">
            <v>Củ Khoai Tây Vàng 03/12/2024</v>
          </cell>
          <cell r="B466">
            <v>18000</v>
          </cell>
        </row>
        <row r="467">
          <cell r="A467" t="str">
            <v>Xà Lách Mỡ T.C 03/12/2024</v>
          </cell>
          <cell r="B467">
            <v>27000</v>
          </cell>
        </row>
        <row r="468">
          <cell r="A468" t="str">
            <v>Xà Lách Lolo Xanh T.C 03/12/2024</v>
          </cell>
          <cell r="B468">
            <v>28000</v>
          </cell>
        </row>
        <row r="469">
          <cell r="A469" t="str">
            <v>Đậu Cove Trắng 03/12/2024</v>
          </cell>
          <cell r="B469">
            <v>9000</v>
          </cell>
        </row>
        <row r="470">
          <cell r="A470" t="str">
            <v>Cà Chua Thường Trung 03/12/2024</v>
          </cell>
          <cell r="B470">
            <v>16000</v>
          </cell>
        </row>
        <row r="471">
          <cell r="A471" t="str">
            <v>Bắp Cải Trái Tim 03/12/2024</v>
          </cell>
          <cell r="B471">
            <v>5000</v>
          </cell>
        </row>
        <row r="472">
          <cell r="A472" t="str">
            <v>Củ Cải Trắng 03/12/2024</v>
          </cell>
          <cell r="B472">
            <v>4500</v>
          </cell>
        </row>
        <row r="473">
          <cell r="A473" t="str">
            <v>Cà Rốt 03/12/2024</v>
          </cell>
          <cell r="B473">
            <v>13000</v>
          </cell>
        </row>
        <row r="474">
          <cell r="A474" t="str">
            <v>Cà Chua Bi Đỏ 03/12/2024</v>
          </cell>
          <cell r="B474">
            <v>9000</v>
          </cell>
        </row>
        <row r="475">
          <cell r="A475" t="str">
            <v>Cà Chua Bi Đỏ 03/12/2024</v>
          </cell>
          <cell r="B475">
            <v>15000</v>
          </cell>
        </row>
        <row r="476">
          <cell r="A476" t="str">
            <v>Dưa Leo Baby 03/12/2024</v>
          </cell>
          <cell r="B476">
            <v>4000</v>
          </cell>
        </row>
        <row r="477">
          <cell r="A477" t="str">
            <v>Bắp Cải Trái Tim 03/12/2024</v>
          </cell>
          <cell r="B477">
            <v>17000</v>
          </cell>
        </row>
        <row r="478">
          <cell r="A478" t="str">
            <v>Cà Rốt Baby 03/12/2024</v>
          </cell>
          <cell r="B478">
            <v>40000</v>
          </cell>
        </row>
        <row r="479">
          <cell r="A479" t="str">
            <v>Lá Mè 03/12/2024</v>
          </cell>
          <cell r="B479">
            <v>38000</v>
          </cell>
        </row>
        <row r="480">
          <cell r="A480" t="str">
            <v>Cà Chua Beef 03/12/2024</v>
          </cell>
          <cell r="B480">
            <v>20000</v>
          </cell>
        </row>
        <row r="481">
          <cell r="A481" t="str">
            <v>Cà Chua Beef 03/12/2024</v>
          </cell>
          <cell r="B481">
            <v>15600</v>
          </cell>
        </row>
        <row r="482">
          <cell r="A482" t="str">
            <v>Cà Chua Beef Trung 03/12/2024</v>
          </cell>
          <cell r="B482">
            <v>17000</v>
          </cell>
        </row>
        <row r="483">
          <cell r="A483" t="str">
            <v>Cải Bó Xôi 03/12/2024</v>
          </cell>
          <cell r="B483">
            <v>20000</v>
          </cell>
        </row>
        <row r="484">
          <cell r="A484" t="str">
            <v>Cà Chua Bi Mix 03/12/2024</v>
          </cell>
          <cell r="B484">
            <v>53500</v>
          </cell>
        </row>
        <row r="485">
          <cell r="A485" t="str">
            <v>Cải Kale 03/12/2024</v>
          </cell>
          <cell r="B485">
            <v>20500</v>
          </cell>
        </row>
        <row r="486">
          <cell r="A486" t="str">
            <v>Cà Chua Socola 03/12/2024</v>
          </cell>
          <cell r="B486">
            <v>14000</v>
          </cell>
        </row>
        <row r="487">
          <cell r="A487" t="str">
            <v>Cà Chua Beef 03/12/2024</v>
          </cell>
          <cell r="B487">
            <v>22000</v>
          </cell>
        </row>
        <row r="488">
          <cell r="A488" t="str">
            <v>Dưa Leo Baby 03/12/2024</v>
          </cell>
          <cell r="B488">
            <v>5000</v>
          </cell>
        </row>
        <row r="489">
          <cell r="A489" t="str">
            <v>Cải Thảo Hỏa Tiễn 03/12/2024</v>
          </cell>
          <cell r="B489">
            <v>16000</v>
          </cell>
        </row>
        <row r="490">
          <cell r="A490" t="str">
            <v>Xà Lách Lolo Xanh T.C Cây 03/12/2024</v>
          </cell>
          <cell r="B490">
            <v>6000</v>
          </cell>
        </row>
        <row r="491">
          <cell r="A491" t="str">
            <v>Bông Cải Trắng 03/12/2024</v>
          </cell>
          <cell r="B491">
            <v>15000</v>
          </cell>
        </row>
        <row r="492">
          <cell r="A492" t="str">
            <v>Cần Tây 03/12/2024</v>
          </cell>
          <cell r="B492">
            <v>16000</v>
          </cell>
        </row>
        <row r="493">
          <cell r="A493" t="str">
            <v>Bắp Cải Tím 03/12/2024</v>
          </cell>
          <cell r="B493">
            <v>30000</v>
          </cell>
        </row>
        <row r="494">
          <cell r="A494" t="str">
            <v>Cần Tây 03/12/2024</v>
          </cell>
          <cell r="B494">
            <v>16000</v>
          </cell>
        </row>
        <row r="495">
          <cell r="A495" t="str">
            <v>Bông Cải Xanh Cọng 03/12/2024</v>
          </cell>
          <cell r="B495">
            <v>24000</v>
          </cell>
        </row>
        <row r="496">
          <cell r="A496" t="str">
            <v>Bông Cải Xanh Cọng 03/12/2024</v>
          </cell>
          <cell r="B496">
            <v>21000</v>
          </cell>
        </row>
        <row r="497">
          <cell r="A497" t="str">
            <v>Đậu Cove Nhật 03/12/2024</v>
          </cell>
          <cell r="B497">
            <v>6000</v>
          </cell>
        </row>
        <row r="498">
          <cell r="A498" t="str">
            <v>Củ Khoai Lang Nhật 03/12/2024</v>
          </cell>
          <cell r="B498">
            <v>17500</v>
          </cell>
        </row>
        <row r="499">
          <cell r="A499" t="str">
            <v>Xà Lách Thủy Tinh T.C Cây 03/12/2024</v>
          </cell>
          <cell r="B499">
            <v>6500</v>
          </cell>
        </row>
        <row r="500">
          <cell r="A500" t="str">
            <v>Dưa Leo Baby 03/12/2024</v>
          </cell>
          <cell r="B500">
            <v>4000</v>
          </cell>
        </row>
        <row r="501">
          <cell r="A501" t="str">
            <v>Cà Chua Beef 03/12/2024</v>
          </cell>
          <cell r="B501">
            <v>24500</v>
          </cell>
        </row>
        <row r="502">
          <cell r="A502" t="str">
            <v>Củ Khoai Tây Hồng 03/12/2024</v>
          </cell>
          <cell r="B502">
            <v>23000</v>
          </cell>
        </row>
        <row r="503">
          <cell r="A503" t="str">
            <v>Xà Lách Mỡ T.C Cây 03/12/2024</v>
          </cell>
          <cell r="B503">
            <v>6800</v>
          </cell>
        </row>
        <row r="504">
          <cell r="A504" t="str">
            <v>Xà Lách Thủy Tinh T.C Cây 03/12/2024</v>
          </cell>
          <cell r="B504">
            <v>6800</v>
          </cell>
        </row>
        <row r="505">
          <cell r="A505" t="str">
            <v>Bí Ngòi Vàng 03/12/2024</v>
          </cell>
          <cell r="B505">
            <v>30000</v>
          </cell>
        </row>
        <row r="506">
          <cell r="A506" t="str">
            <v>Hành Paro 03/12/2024</v>
          </cell>
          <cell r="B506">
            <v>28000</v>
          </cell>
        </row>
        <row r="507">
          <cell r="A507" t="str">
            <v>Cà Chua Thường 03/12/2024</v>
          </cell>
          <cell r="B507">
            <v>22000</v>
          </cell>
        </row>
        <row r="508">
          <cell r="A508" t="str">
            <v>Củ Cải Trắng 03/12/2024</v>
          </cell>
          <cell r="B508">
            <v>5000</v>
          </cell>
        </row>
        <row r="509">
          <cell r="A509" t="str">
            <v>Củ Cải Muối 03/12/2024</v>
          </cell>
          <cell r="B509">
            <v>16000</v>
          </cell>
        </row>
        <row r="510">
          <cell r="A510" t="str">
            <v>Chanh Dây Tím 03/12/2024</v>
          </cell>
          <cell r="B510">
            <v>28000</v>
          </cell>
        </row>
        <row r="511">
          <cell r="A511" t="str">
            <v>Củ Su Hào 03/12/2024</v>
          </cell>
          <cell r="B511">
            <v>11000</v>
          </cell>
        </row>
        <row r="512">
          <cell r="A512" t="str">
            <v>Ớt Chuông Đỏ 03/12/2024</v>
          </cell>
          <cell r="B512">
            <v>25000</v>
          </cell>
        </row>
        <row r="513">
          <cell r="A513" t="str">
            <v>Ớt Chuông Xanh 03/12/2024</v>
          </cell>
          <cell r="B513">
            <v>25000</v>
          </cell>
        </row>
        <row r="514">
          <cell r="A514" t="str">
            <v>Bắp Cải Trắng 03/12/2024</v>
          </cell>
          <cell r="B514">
            <v>10000</v>
          </cell>
        </row>
        <row r="515">
          <cell r="A515" t="str">
            <v>Cà Chua Bi Đỏ 03/12/2024</v>
          </cell>
          <cell r="B515">
            <v>9000</v>
          </cell>
        </row>
        <row r="516">
          <cell r="A516" t="str">
            <v>Cải Thảo Kim Chi 03/12/2024</v>
          </cell>
          <cell r="B516">
            <v>3000</v>
          </cell>
        </row>
        <row r="517">
          <cell r="A517" t="str">
            <v>Cà Chua Thường 03/12/2024</v>
          </cell>
          <cell r="B517">
            <v>19000</v>
          </cell>
        </row>
        <row r="518">
          <cell r="A518" t="str">
            <v>Cà Rốt 03/12/2024</v>
          </cell>
          <cell r="B518">
            <v>12000</v>
          </cell>
        </row>
        <row r="519">
          <cell r="A519" t="str">
            <v>Đậu Cove Trắng 03/12/2024</v>
          </cell>
          <cell r="B519">
            <v>9000</v>
          </cell>
        </row>
        <row r="520">
          <cell r="A520" t="str">
            <v>Dưa Leo Baby 03/12/2024</v>
          </cell>
          <cell r="B520">
            <v>4000</v>
          </cell>
        </row>
        <row r="521">
          <cell r="A521" t="str">
            <v>Củ Khoai Tây Vàng 03/12/2024</v>
          </cell>
          <cell r="B521">
            <v>18000</v>
          </cell>
        </row>
        <row r="522">
          <cell r="A522" t="str">
            <v>Bí Đỏ Tròn 03/12/2024</v>
          </cell>
          <cell r="B522">
            <v>5500</v>
          </cell>
        </row>
        <row r="523">
          <cell r="A523" t="str">
            <v>Cà Tím 03/12/2024</v>
          </cell>
          <cell r="B523">
            <v>5500</v>
          </cell>
        </row>
        <row r="524">
          <cell r="A524" t="str">
            <v>Củ Dền 03/12/2024</v>
          </cell>
          <cell r="B524">
            <v>16000</v>
          </cell>
        </row>
        <row r="525">
          <cell r="A525" t="str">
            <v>Cải Thảo Kim Chi 03/12/2024</v>
          </cell>
          <cell r="B525">
            <v>3000</v>
          </cell>
        </row>
        <row r="526">
          <cell r="A526" t="str">
            <v>Cải Thảo Kim Chi 03/12/2024</v>
          </cell>
          <cell r="B526">
            <v>6000</v>
          </cell>
        </row>
        <row r="527">
          <cell r="A527" t="str">
            <v>Cải Thảo Kim Chi 03/12/2024</v>
          </cell>
          <cell r="B527">
            <v>4000</v>
          </cell>
        </row>
        <row r="528">
          <cell r="A528" t="str">
            <v>Dưa Leo Baby 03/12/2024</v>
          </cell>
          <cell r="B528">
            <v>6000</v>
          </cell>
        </row>
        <row r="529">
          <cell r="A529" t="str">
            <v>Bắp Cải Trái Tim 03/12/2024</v>
          </cell>
          <cell r="B529">
            <v>10000</v>
          </cell>
        </row>
        <row r="530">
          <cell r="A530" t="str">
            <v>Bí Đao Xanh 03/12/2024</v>
          </cell>
          <cell r="B530">
            <v>5000</v>
          </cell>
        </row>
        <row r="531">
          <cell r="A531" t="str">
            <v>Cước Vận Chuyển Hàng Hóa 04/12/2024</v>
          </cell>
          <cell r="B531">
            <v>2250000</v>
          </cell>
        </row>
        <row r="532">
          <cell r="A532" t="str">
            <v>Cà Rốt 04/12/2024</v>
          </cell>
          <cell r="B532">
            <v>14000</v>
          </cell>
        </row>
        <row r="533">
          <cell r="A533" t="str">
            <v>Bơ Booth 04/12/2024</v>
          </cell>
          <cell r="B533">
            <v>50000</v>
          </cell>
        </row>
        <row r="534">
          <cell r="A534" t="str">
            <v>Củ Khoai Mỡ 04/12/2024</v>
          </cell>
          <cell r="B534">
            <v>25000</v>
          </cell>
        </row>
        <row r="535">
          <cell r="A535" t="str">
            <v>Cà Chua Beef 04/12/2024</v>
          </cell>
          <cell r="B535">
            <v>23000</v>
          </cell>
        </row>
        <row r="536">
          <cell r="A536" t="str">
            <v>Lá Mè 04/12/2024</v>
          </cell>
          <cell r="B536">
            <v>36000</v>
          </cell>
        </row>
        <row r="537">
          <cell r="A537" t="str">
            <v>Cải Kale 04/12/2024</v>
          </cell>
          <cell r="B537">
            <v>16000</v>
          </cell>
        </row>
        <row r="538">
          <cell r="A538" t="str">
            <v>Bí Đao Xanh 04/12/2024</v>
          </cell>
          <cell r="B538">
            <v>7000</v>
          </cell>
        </row>
        <row r="539">
          <cell r="A539" t="str">
            <v>Củ Khoai Lang Nhật 04/12/2024</v>
          </cell>
          <cell r="B539">
            <v>17000</v>
          </cell>
        </row>
        <row r="540">
          <cell r="A540" t="str">
            <v>Bí Ngòi Xanh 04/12/2024</v>
          </cell>
          <cell r="B540">
            <v>10000</v>
          </cell>
        </row>
        <row r="541">
          <cell r="A541" t="str">
            <v>Cải Bó Xôi 04/12/2024</v>
          </cell>
          <cell r="B541">
            <v>14000</v>
          </cell>
        </row>
        <row r="542">
          <cell r="A542" t="str">
            <v>Xà Lách Mỹ 04/12/2024</v>
          </cell>
          <cell r="B542">
            <v>30000</v>
          </cell>
        </row>
        <row r="543">
          <cell r="A543" t="str">
            <v>Củ Hành Tây Tím 04/12/2024</v>
          </cell>
          <cell r="B543">
            <v>20000</v>
          </cell>
        </row>
        <row r="544">
          <cell r="A544" t="str">
            <v>CT-MÍT 04/12/2024</v>
          </cell>
          <cell r="B544">
            <v>15024</v>
          </cell>
        </row>
        <row r="545">
          <cell r="A545" t="str">
            <v>Ớt Sweet Palemo 04/12/2024</v>
          </cell>
          <cell r="B545">
            <v>18000</v>
          </cell>
        </row>
        <row r="546">
          <cell r="A546" t="str">
            <v>Xà Lách Lolo Tím 04/12/2024</v>
          </cell>
          <cell r="B546">
            <v>35000</v>
          </cell>
        </row>
        <row r="547">
          <cell r="A547" t="str">
            <v>Xà Lách Lolo Xanh T.C Cây 04/12/2024</v>
          </cell>
          <cell r="B547">
            <v>6800</v>
          </cell>
        </row>
        <row r="548">
          <cell r="A548" t="str">
            <v>Xà Lách Mỡ T.C 04/12/2024</v>
          </cell>
          <cell r="B548">
            <v>28000</v>
          </cell>
        </row>
        <row r="549">
          <cell r="A549" t="str">
            <v>Xà Lách Thủy Tinh T.C Cây 04/12/2024</v>
          </cell>
          <cell r="B549">
            <v>6800</v>
          </cell>
        </row>
        <row r="550">
          <cell r="A550" t="str">
            <v>Cà Chua Bi Đỏ 04/12/2024</v>
          </cell>
          <cell r="B550">
            <v>9000</v>
          </cell>
        </row>
        <row r="551">
          <cell r="A551" t="str">
            <v>Đậu Đỏ 04/12/2024</v>
          </cell>
          <cell r="B551">
            <v>80000</v>
          </cell>
        </row>
        <row r="552">
          <cell r="A552" t="str">
            <v>Cải Kale 04/12/2024</v>
          </cell>
          <cell r="B552">
            <v>20500</v>
          </cell>
        </row>
        <row r="553">
          <cell r="A553" t="str">
            <v>Xà Lách Rocket 04/12/2024</v>
          </cell>
          <cell r="B553">
            <v>120000</v>
          </cell>
        </row>
        <row r="554">
          <cell r="A554" t="str">
            <v>Cà Chua Thường 04/12/2024</v>
          </cell>
          <cell r="B554">
            <v>22000</v>
          </cell>
        </row>
        <row r="555">
          <cell r="A555" t="str">
            <v>Ớt Chuông Đỏ 04/12/2024</v>
          </cell>
          <cell r="B555">
            <v>27000</v>
          </cell>
        </row>
        <row r="556">
          <cell r="A556" t="str">
            <v>Ớt Chuông Vàng 04/12/2024</v>
          </cell>
          <cell r="B556">
            <v>15000</v>
          </cell>
        </row>
        <row r="557">
          <cell r="A557" t="str">
            <v>Ớt Chuông Xanh 04/12/2024</v>
          </cell>
          <cell r="B557">
            <v>25000</v>
          </cell>
        </row>
        <row r="558">
          <cell r="A558" t="str">
            <v>Ớt Chuông Baby 04/12/2024</v>
          </cell>
          <cell r="B558">
            <v>44000</v>
          </cell>
        </row>
        <row r="559">
          <cell r="A559" t="str">
            <v>Ớt Chuông Snack 04/12/2024</v>
          </cell>
          <cell r="B559">
            <v>49000</v>
          </cell>
        </row>
        <row r="560">
          <cell r="A560" t="str">
            <v>Lá Mè 04/12/2024</v>
          </cell>
          <cell r="B560">
            <v>38000</v>
          </cell>
        </row>
        <row r="561">
          <cell r="A561" t="str">
            <v>Dưa Leo Baby 04/12/2024</v>
          </cell>
          <cell r="B561">
            <v>5000</v>
          </cell>
        </row>
        <row r="562">
          <cell r="A562" t="str">
            <v>Trái Cam Canh 04/12/2024</v>
          </cell>
          <cell r="B562">
            <v>36000</v>
          </cell>
        </row>
        <row r="563">
          <cell r="A563" t="str">
            <v>Rau Ngò Rí 04/12/2024</v>
          </cell>
          <cell r="B563">
            <v>35000</v>
          </cell>
        </row>
        <row r="564">
          <cell r="A564" t="str">
            <v>Cà Rốt Baby 04/12/2024</v>
          </cell>
          <cell r="B564">
            <v>40000</v>
          </cell>
        </row>
        <row r="565">
          <cell r="A565" t="str">
            <v>Cải Kale 04/12/2024</v>
          </cell>
          <cell r="B565">
            <v>19000</v>
          </cell>
        </row>
        <row r="566">
          <cell r="A566" t="str">
            <v>Ớt Sweet Palemo 04/12/2024</v>
          </cell>
          <cell r="B566">
            <v>18000</v>
          </cell>
        </row>
        <row r="567">
          <cell r="A567" t="str">
            <v>Rau Mầm 04/12/2024</v>
          </cell>
          <cell r="B567">
            <v>50000</v>
          </cell>
        </row>
        <row r="568">
          <cell r="A568" t="str">
            <v>Ớt Chuông Xanh 04/12/2024</v>
          </cell>
          <cell r="B568">
            <v>25000</v>
          </cell>
        </row>
        <row r="569">
          <cell r="A569" t="str">
            <v>Ớt Chuông Đỏ Trung 04/12/2024</v>
          </cell>
          <cell r="B569">
            <v>20000</v>
          </cell>
        </row>
        <row r="570">
          <cell r="A570" t="str">
            <v>Ớt Chuông Vàng Trung 04/12/2024</v>
          </cell>
          <cell r="B570">
            <v>8000</v>
          </cell>
        </row>
        <row r="571">
          <cell r="A571" t="str">
            <v>Đậu Cove Nhật 04/12/2024</v>
          </cell>
          <cell r="B571">
            <v>6000</v>
          </cell>
        </row>
        <row r="572">
          <cell r="A572" t="str">
            <v>Củ Cải Trắng 04/12/2024</v>
          </cell>
          <cell r="B572">
            <v>4500</v>
          </cell>
        </row>
        <row r="573">
          <cell r="A573" t="str">
            <v>Cà Rốt 04/12/2024</v>
          </cell>
          <cell r="B573">
            <v>13000</v>
          </cell>
        </row>
        <row r="574">
          <cell r="A574" t="str">
            <v>Xà Lách Mỡ T.C 04/12/2024</v>
          </cell>
          <cell r="B574">
            <v>27000</v>
          </cell>
        </row>
        <row r="575">
          <cell r="A575" t="str">
            <v>Xà Lách Lolo Xanh T.C 04/12/2024</v>
          </cell>
          <cell r="B575">
            <v>28000</v>
          </cell>
        </row>
        <row r="576">
          <cell r="A576" t="str">
            <v>Củ Khoai Tây Vàng 04/12/2024</v>
          </cell>
          <cell r="B576">
            <v>18000</v>
          </cell>
        </row>
        <row r="577">
          <cell r="A577" t="str">
            <v>Cà Chua Bi Đỏ 04/12/2024</v>
          </cell>
          <cell r="B577">
            <v>9000</v>
          </cell>
        </row>
        <row r="578">
          <cell r="A578" t="str">
            <v>Cà Chua Bi Đỏ 04/12/2024</v>
          </cell>
          <cell r="B578">
            <v>15000</v>
          </cell>
        </row>
        <row r="579">
          <cell r="A579" t="str">
            <v>Đậu Cove Trắng 04/12/2024</v>
          </cell>
          <cell r="B579">
            <v>9000</v>
          </cell>
        </row>
        <row r="580">
          <cell r="A580" t="str">
            <v>Dưa Leo Thường 04/12/2024</v>
          </cell>
          <cell r="B580">
            <v>8000</v>
          </cell>
        </row>
        <row r="581">
          <cell r="A581" t="str">
            <v>Dưa Leo Baby 04/12/2024</v>
          </cell>
          <cell r="B581">
            <v>4000</v>
          </cell>
        </row>
        <row r="582">
          <cell r="A582" t="str">
            <v>Bắp Cải Trái Tim 04/12/2024</v>
          </cell>
          <cell r="B582">
            <v>5000</v>
          </cell>
        </row>
        <row r="583">
          <cell r="A583" t="str">
            <v>Cà Chua Thường Trung 04/12/2024</v>
          </cell>
          <cell r="B583">
            <v>16000</v>
          </cell>
        </row>
        <row r="584">
          <cell r="A584" t="str">
            <v>Củ Su Hào 04/12/2024</v>
          </cell>
          <cell r="B584">
            <v>11000</v>
          </cell>
        </row>
        <row r="585">
          <cell r="A585" t="str">
            <v>Đậu Đỏ 04/12/2024</v>
          </cell>
          <cell r="B585">
            <v>80000</v>
          </cell>
        </row>
        <row r="586">
          <cell r="A586" t="str">
            <v>Đậu Ngự 04/12/2024</v>
          </cell>
          <cell r="B586">
            <v>70000</v>
          </cell>
        </row>
        <row r="587">
          <cell r="A587" t="str">
            <v>Lá Mè 04/12/2024</v>
          </cell>
          <cell r="B587">
            <v>38000</v>
          </cell>
        </row>
        <row r="588">
          <cell r="A588" t="str">
            <v>Cải Thảo 04/12/2024</v>
          </cell>
          <cell r="B588">
            <v>6000</v>
          </cell>
        </row>
        <row r="589">
          <cell r="A589" t="str">
            <v>Cà Tím 04/12/2024</v>
          </cell>
          <cell r="B589">
            <v>6000</v>
          </cell>
        </row>
        <row r="590">
          <cell r="A590" t="str">
            <v>Cà Tím 04/12/2024</v>
          </cell>
          <cell r="B590">
            <v>3500</v>
          </cell>
        </row>
        <row r="591">
          <cell r="A591" t="str">
            <v>Dưa Leo Baby 04/12/2024</v>
          </cell>
          <cell r="B591">
            <v>4000</v>
          </cell>
        </row>
        <row r="592">
          <cell r="A592" t="str">
            <v>Cà Rốt 04/12/2024</v>
          </cell>
          <cell r="B592">
            <v>14000</v>
          </cell>
        </row>
        <row r="593">
          <cell r="A593" t="str">
            <v>Bơ Booth 04/12/2024</v>
          </cell>
          <cell r="B593">
            <v>50000</v>
          </cell>
        </row>
        <row r="594">
          <cell r="A594" t="str">
            <v>Củ Khoai Mỡ 04/12/2024</v>
          </cell>
          <cell r="B594">
            <v>25000</v>
          </cell>
        </row>
        <row r="595">
          <cell r="A595" t="str">
            <v>Bí Non Nhật 04/12/2024</v>
          </cell>
          <cell r="B595">
            <v>10000</v>
          </cell>
        </row>
        <row r="596">
          <cell r="A596" t="str">
            <v>Dưa Leo Thường 04/12/2024</v>
          </cell>
          <cell r="B596">
            <v>4000</v>
          </cell>
        </row>
        <row r="597">
          <cell r="A597" t="str">
            <v>Trái Khổ Qua 04/12/2024</v>
          </cell>
          <cell r="B597">
            <v>9000</v>
          </cell>
        </row>
        <row r="598">
          <cell r="A598" t="str">
            <v>Bí Ngòi Xanh 04/12/2024</v>
          </cell>
          <cell r="B598">
            <v>8000</v>
          </cell>
        </row>
        <row r="599">
          <cell r="A599" t="str">
            <v>Xà Lách Lolo Xanh T.C 04/12/2024</v>
          </cell>
          <cell r="B599">
            <v>26000</v>
          </cell>
        </row>
        <row r="600">
          <cell r="A600" t="str">
            <v>Xà Lách Mỡ T.C 04/12/2024</v>
          </cell>
          <cell r="B600">
            <v>26000</v>
          </cell>
        </row>
        <row r="601">
          <cell r="A601" t="str">
            <v>Xà Lách Thủy Tinh T.C Cây 04/12/2024</v>
          </cell>
          <cell r="B601">
            <v>7500</v>
          </cell>
        </row>
        <row r="602">
          <cell r="A602" t="str">
            <v>Măng Tây 04/12/2024</v>
          </cell>
          <cell r="B602">
            <v>62000</v>
          </cell>
        </row>
        <row r="603">
          <cell r="A603" t="str">
            <v>Măng Tây 04/12/2024</v>
          </cell>
          <cell r="B603">
            <v>52000</v>
          </cell>
        </row>
        <row r="604">
          <cell r="A604" t="str">
            <v>Lá É 04/12/2024</v>
          </cell>
          <cell r="B604">
            <v>25000</v>
          </cell>
        </row>
        <row r="605">
          <cell r="A605" t="str">
            <v>Ớt Sweet Palemo 04/12/2024</v>
          </cell>
          <cell r="B605">
            <v>17500</v>
          </cell>
        </row>
        <row r="606">
          <cell r="A606" t="str">
            <v>Bắp Cải Tím 04/12/2024</v>
          </cell>
          <cell r="B606">
            <v>36000</v>
          </cell>
        </row>
        <row r="607">
          <cell r="A607" t="str">
            <v>Hành Paro 04/12/2024</v>
          </cell>
          <cell r="B607">
            <v>27000</v>
          </cell>
        </row>
        <row r="608">
          <cell r="A608" t="str">
            <v>Bí Ngòi Vàng 04/12/2024</v>
          </cell>
          <cell r="B608">
            <v>35000</v>
          </cell>
        </row>
        <row r="609">
          <cell r="A609" t="str">
            <v>Xà Lách Rocket 04/12/2024</v>
          </cell>
          <cell r="B609">
            <v>120000</v>
          </cell>
        </row>
        <row r="610">
          <cell r="A610" t="str">
            <v>Ớt Chuông Xanh 04/12/2024</v>
          </cell>
          <cell r="B610">
            <v>25000</v>
          </cell>
        </row>
        <row r="611">
          <cell r="A611" t="str">
            <v>Bí Đỏ Hồ Lô 04/12/2024</v>
          </cell>
          <cell r="B611">
            <v>12000</v>
          </cell>
        </row>
        <row r="612">
          <cell r="A612" t="str">
            <v>Chuối Laba 04/12/2024</v>
          </cell>
          <cell r="B612">
            <v>12000</v>
          </cell>
        </row>
        <row r="613">
          <cell r="A613" t="str">
            <v>Trái Su Su 04/12/2024</v>
          </cell>
          <cell r="B613">
            <v>7500</v>
          </cell>
        </row>
        <row r="614">
          <cell r="A614" t="str">
            <v>Trái Su Su 04/12/2024</v>
          </cell>
          <cell r="B614">
            <v>7000</v>
          </cell>
        </row>
        <row r="615">
          <cell r="A615" t="str">
            <v>Củ Khoai Lang Nhật 04/12/2024</v>
          </cell>
          <cell r="B615">
            <v>17000</v>
          </cell>
        </row>
        <row r="616">
          <cell r="A616" t="str">
            <v>Trái Cam Canh 04/12/2024</v>
          </cell>
          <cell r="B616">
            <v>27000</v>
          </cell>
        </row>
        <row r="617">
          <cell r="A617" t="str">
            <v>Cước Vận Chuyển Hàng Hóa 04/12/2024</v>
          </cell>
          <cell r="B617">
            <v>600000</v>
          </cell>
        </row>
        <row r="618">
          <cell r="A618" t="str">
            <v>Cần Tây 04/12/2024</v>
          </cell>
          <cell r="B618">
            <v>16000</v>
          </cell>
        </row>
        <row r="619">
          <cell r="A619" t="str">
            <v>Cải Bó Xôi 04/12/2024</v>
          </cell>
          <cell r="B619">
            <v>14000</v>
          </cell>
        </row>
        <row r="620">
          <cell r="A620" t="str">
            <v>Trái Cam Canh 04/12/2024</v>
          </cell>
          <cell r="B620">
            <v>36000</v>
          </cell>
        </row>
        <row r="621">
          <cell r="A621" t="str">
            <v>Bông Cải Xanh 7Cm 04/12/2024</v>
          </cell>
          <cell r="B621">
            <v>28000</v>
          </cell>
        </row>
        <row r="622">
          <cell r="A622" t="str">
            <v>Trái Bưởi Diễn 04/12/2024</v>
          </cell>
          <cell r="B622">
            <v>10000</v>
          </cell>
        </row>
        <row r="623">
          <cell r="A623" t="str">
            <v>Củ Hành Tây 04/12/2024</v>
          </cell>
          <cell r="B623">
            <v>20500</v>
          </cell>
        </row>
        <row r="624">
          <cell r="A624" t="str">
            <v>Cần Tây 04/12/2024</v>
          </cell>
          <cell r="B624">
            <v>20000</v>
          </cell>
        </row>
        <row r="625">
          <cell r="A625" t="str">
            <v>Dưa Leo Baby 04/12/2024</v>
          </cell>
          <cell r="B625">
            <v>5000</v>
          </cell>
        </row>
        <row r="626">
          <cell r="A626" t="str">
            <v>Bông Cải Xanh 7Cm 04/12/2024</v>
          </cell>
          <cell r="B626">
            <v>26000</v>
          </cell>
        </row>
        <row r="627">
          <cell r="A627" t="str">
            <v>Củ Dền 04/12/2024</v>
          </cell>
          <cell r="B627">
            <v>17000</v>
          </cell>
        </row>
        <row r="628">
          <cell r="A628" t="str">
            <v>Bông Cải Xanh 7Cm 04/12/2024</v>
          </cell>
          <cell r="B628">
            <v>30000</v>
          </cell>
        </row>
        <row r="629">
          <cell r="A629" t="str">
            <v>Bông Cải Xanh 7Cm 04/12/2024</v>
          </cell>
          <cell r="B629">
            <v>28000</v>
          </cell>
        </row>
        <row r="630">
          <cell r="A630" t="str">
            <v>Bông Cải Xanh Gốc Dài 04/12/2024</v>
          </cell>
          <cell r="B630">
            <v>20000</v>
          </cell>
        </row>
        <row r="631">
          <cell r="A631" t="str">
            <v>Bông Cải Xanh 7Cm 04/12/2024</v>
          </cell>
          <cell r="B631">
            <v>28000</v>
          </cell>
        </row>
        <row r="632">
          <cell r="A632" t="str">
            <v>Bông Cải Trắng 04/12/2024</v>
          </cell>
          <cell r="B632">
            <v>15000</v>
          </cell>
        </row>
        <row r="633">
          <cell r="A633" t="str">
            <v>Cà Rốt Baby 04/12/2024</v>
          </cell>
          <cell r="B633">
            <v>40000</v>
          </cell>
        </row>
        <row r="634">
          <cell r="A634" t="str">
            <v>Cải Kale 04/12/2024</v>
          </cell>
          <cell r="B634">
            <v>16000</v>
          </cell>
        </row>
        <row r="635">
          <cell r="A635" t="str">
            <v>Cải Cầu Vồng 04/12/2024</v>
          </cell>
          <cell r="B635">
            <v>13000</v>
          </cell>
        </row>
        <row r="636">
          <cell r="A636" t="str">
            <v>Củ Cải Đỏ 04/12/2024</v>
          </cell>
          <cell r="B636">
            <v>8500</v>
          </cell>
        </row>
        <row r="637">
          <cell r="A637" t="str">
            <v>Xà Lách Lolo Xanh 04/12/2024</v>
          </cell>
          <cell r="B637">
            <v>10000</v>
          </cell>
        </row>
        <row r="638">
          <cell r="A638" t="str">
            <v>Xà Lách Lolo Xanh 04/12/2024</v>
          </cell>
          <cell r="B638">
            <v>13000</v>
          </cell>
        </row>
        <row r="639">
          <cell r="A639" t="str">
            <v>Xà Lách Lolo Xanh 04/12/2024</v>
          </cell>
          <cell r="B639">
            <v>10000</v>
          </cell>
        </row>
        <row r="640">
          <cell r="A640" t="str">
            <v>Lá Quế Tây 04/12/2024</v>
          </cell>
          <cell r="B640">
            <v>100000</v>
          </cell>
        </row>
        <row r="641">
          <cell r="A641" t="str">
            <v>Cà Chua Beef Trung 04/12/2024</v>
          </cell>
          <cell r="B641">
            <v>21000</v>
          </cell>
        </row>
        <row r="642">
          <cell r="A642" t="str">
            <v>Củ Cải Đỏ 04/12/2024</v>
          </cell>
          <cell r="B642">
            <v>8000</v>
          </cell>
        </row>
        <row r="643">
          <cell r="A643" t="str">
            <v>Cà Chua Bi Mix 04/12/2024</v>
          </cell>
          <cell r="B643">
            <v>55500</v>
          </cell>
        </row>
        <row r="644">
          <cell r="A644" t="str">
            <v>Cà Chua Socola 04/12/2024</v>
          </cell>
          <cell r="B644">
            <v>46500</v>
          </cell>
        </row>
        <row r="645">
          <cell r="A645" t="str">
            <v>Cà Chua Socola 04/12/2024</v>
          </cell>
          <cell r="B645">
            <v>45000</v>
          </cell>
        </row>
        <row r="646">
          <cell r="A646" t="str">
            <v>Cà Chua Beef Chùm 04/12/2024</v>
          </cell>
          <cell r="B646">
            <v>25000</v>
          </cell>
        </row>
        <row r="647">
          <cell r="A647" t="str">
            <v>Cà Chua Beef 04/12/2024</v>
          </cell>
          <cell r="B647">
            <v>23000</v>
          </cell>
        </row>
        <row r="648">
          <cell r="A648" t="str">
            <v>Cà Chua Beef 04/12/2024</v>
          </cell>
          <cell r="B648">
            <v>15600</v>
          </cell>
        </row>
        <row r="649">
          <cell r="A649" t="str">
            <v>Cà Chua Beef Trung 04/12/2024</v>
          </cell>
          <cell r="B649">
            <v>19000</v>
          </cell>
        </row>
        <row r="650">
          <cell r="A650" t="str">
            <v>Cà Chua Beef Trung 04/12/2024</v>
          </cell>
          <cell r="B650">
            <v>17000</v>
          </cell>
        </row>
        <row r="651">
          <cell r="A651" t="str">
            <v>Cà Chua Thường 04/12/2024</v>
          </cell>
          <cell r="B651">
            <v>20000</v>
          </cell>
        </row>
        <row r="652">
          <cell r="A652" t="str">
            <v>Cà Chua Thường Trung 04/12/2024</v>
          </cell>
          <cell r="B652">
            <v>16000</v>
          </cell>
        </row>
        <row r="653">
          <cell r="A653" t="str">
            <v>Cải Bó Xôi 04/12/2024</v>
          </cell>
          <cell r="B653">
            <v>20500</v>
          </cell>
        </row>
        <row r="654">
          <cell r="A654" t="str">
            <v>Xà Lách Thủy Tinh T.C Cây 04/12/2024</v>
          </cell>
          <cell r="B654">
            <v>6800</v>
          </cell>
        </row>
        <row r="655">
          <cell r="A655" t="str">
            <v>Xà Lách Thủy Tinh T.C 04/12/2024</v>
          </cell>
          <cell r="B655">
            <v>30000</v>
          </cell>
        </row>
        <row r="656">
          <cell r="A656" t="str">
            <v>Trái Bưởi Diễn 04/12/2024</v>
          </cell>
          <cell r="B656">
            <v>8000</v>
          </cell>
        </row>
        <row r="657">
          <cell r="A657" t="str">
            <v>Xà Lách Mỡ T.C Cây 04/12/2024</v>
          </cell>
          <cell r="B657">
            <v>6800</v>
          </cell>
        </row>
        <row r="658">
          <cell r="A658" t="str">
            <v>Xà Lách Thủy Tinh T.C Cây 04/12/2024</v>
          </cell>
          <cell r="B658">
            <v>6800</v>
          </cell>
        </row>
        <row r="659">
          <cell r="A659" t="str">
            <v>Bông Cải Trắng 04/12/2024</v>
          </cell>
          <cell r="B659">
            <v>15000</v>
          </cell>
        </row>
        <row r="660">
          <cell r="A660" t="str">
            <v>Cải Thảo Hỏa Tiễn 04/12/2024</v>
          </cell>
          <cell r="B660">
            <v>16000</v>
          </cell>
        </row>
        <row r="661">
          <cell r="A661" t="str">
            <v>Xà Lách Lolo Xanh T.C Cây 04/12/2024</v>
          </cell>
          <cell r="B661">
            <v>6000</v>
          </cell>
        </row>
        <row r="662">
          <cell r="A662" t="str">
            <v>Cần Tây 04/12/2024</v>
          </cell>
          <cell r="B662">
            <v>16000</v>
          </cell>
        </row>
        <row r="663">
          <cell r="A663" t="str">
            <v>Cà Chua Beef 04/12/2024</v>
          </cell>
          <cell r="B663">
            <v>22000</v>
          </cell>
        </row>
        <row r="664">
          <cell r="A664" t="str">
            <v>Bông Cải Xanh Cọng 04/12/2024</v>
          </cell>
          <cell r="B664">
            <v>19000</v>
          </cell>
        </row>
        <row r="665">
          <cell r="A665" t="str">
            <v>Bông Cải Xanh Cọng 04/12/2024</v>
          </cell>
          <cell r="B665">
            <v>19000</v>
          </cell>
        </row>
        <row r="666">
          <cell r="A666" t="str">
            <v>Bông Cải Xanh Cọng 04/12/2024</v>
          </cell>
          <cell r="B666">
            <v>22000</v>
          </cell>
        </row>
        <row r="667">
          <cell r="A667" t="str">
            <v>Dưa Leo Baby 04/12/2024</v>
          </cell>
          <cell r="B667">
            <v>5000</v>
          </cell>
        </row>
        <row r="668">
          <cell r="A668" t="str">
            <v>Ớt Chuông Xanh 04/12/2024</v>
          </cell>
          <cell r="B668">
            <v>25000</v>
          </cell>
        </row>
        <row r="669">
          <cell r="A669" t="str">
            <v>Hành Paro 04/12/2024</v>
          </cell>
          <cell r="B669">
            <v>27000</v>
          </cell>
        </row>
        <row r="670">
          <cell r="A670" t="str">
            <v>Cà Chua Beef 04/12/2024</v>
          </cell>
          <cell r="B670">
            <v>22000</v>
          </cell>
        </row>
        <row r="671">
          <cell r="A671" t="str">
            <v>Xà Lách Thủy Tinh T.C Cây 04/12/2024</v>
          </cell>
          <cell r="B671">
            <v>6500</v>
          </cell>
        </row>
        <row r="672">
          <cell r="A672" t="str">
            <v>Cà Tím 04/12/2024</v>
          </cell>
          <cell r="B672">
            <v>6500</v>
          </cell>
        </row>
        <row r="673">
          <cell r="A673" t="str">
            <v>Cà Chua Beef 04/12/2024</v>
          </cell>
          <cell r="B673">
            <v>24500</v>
          </cell>
        </row>
        <row r="674">
          <cell r="A674" t="str">
            <v>Bí Ngòi Vàng 04/12/2024</v>
          </cell>
          <cell r="B674">
            <v>35000</v>
          </cell>
        </row>
        <row r="675">
          <cell r="A675" t="str">
            <v>Bắp Cải Tím 04/12/2024</v>
          </cell>
          <cell r="B675">
            <v>36000</v>
          </cell>
        </row>
        <row r="676">
          <cell r="A676" t="str">
            <v>Bí Đao Xanh 04/12/2024</v>
          </cell>
          <cell r="B676">
            <v>5000</v>
          </cell>
        </row>
        <row r="677">
          <cell r="A677" t="str">
            <v>Bí Đao Xanh 04/12/2024</v>
          </cell>
          <cell r="B677">
            <v>10000</v>
          </cell>
        </row>
        <row r="678">
          <cell r="A678" t="str">
            <v>Trái Su Su 04/12/2024</v>
          </cell>
          <cell r="B678">
            <v>7000</v>
          </cell>
        </row>
        <row r="679">
          <cell r="A679" t="str">
            <v>Chanh Dây Tím 04/12/2024</v>
          </cell>
          <cell r="B679">
            <v>28000</v>
          </cell>
        </row>
        <row r="680">
          <cell r="A680" t="str">
            <v>Bắp Cải Trái Tim 04/12/2024</v>
          </cell>
          <cell r="B680">
            <v>10000</v>
          </cell>
        </row>
        <row r="681">
          <cell r="A681" t="str">
            <v>Dưa Leo Baby 04/12/2024</v>
          </cell>
          <cell r="B681">
            <v>6000</v>
          </cell>
        </row>
        <row r="682">
          <cell r="A682" t="str">
            <v>Cải Thảo 04/12/2024</v>
          </cell>
          <cell r="B682">
            <v>6000</v>
          </cell>
        </row>
        <row r="683">
          <cell r="A683" t="str">
            <v>Củ Khoai Tây Vàng 04/12/2024</v>
          </cell>
          <cell r="B683">
            <v>18000</v>
          </cell>
        </row>
        <row r="684">
          <cell r="A684" t="str">
            <v>Củ Cải Trắng 04/12/2024</v>
          </cell>
          <cell r="B684">
            <v>5000</v>
          </cell>
        </row>
        <row r="685">
          <cell r="A685" t="str">
            <v>Củ Su Hào 04/12/2024</v>
          </cell>
          <cell r="B685">
            <v>11000</v>
          </cell>
        </row>
        <row r="686">
          <cell r="A686" t="str">
            <v>Củ Dền 04/12/2024</v>
          </cell>
          <cell r="B686">
            <v>16000</v>
          </cell>
        </row>
        <row r="687">
          <cell r="A687" t="str">
            <v>Cà Chua Thường 04/12/2024</v>
          </cell>
          <cell r="B687">
            <v>19000</v>
          </cell>
        </row>
        <row r="688">
          <cell r="A688" t="str">
            <v>Cà Rốt 04/12/2024</v>
          </cell>
          <cell r="B688">
            <v>12000</v>
          </cell>
        </row>
        <row r="689">
          <cell r="A689" t="str">
            <v>Bắp Cải Trắng 04/12/2024</v>
          </cell>
          <cell r="B689">
            <v>8000</v>
          </cell>
        </row>
        <row r="690">
          <cell r="A690" t="str">
            <v>Đậu Cove Trắng 04/12/2024</v>
          </cell>
          <cell r="B690">
            <v>9000</v>
          </cell>
        </row>
        <row r="691">
          <cell r="A691" t="str">
            <v>Chuối Laba 04/12/2024</v>
          </cell>
          <cell r="B691">
            <v>13000</v>
          </cell>
        </row>
        <row r="692">
          <cell r="A692" t="str">
            <v>Cà Chua Bi Đỏ 04/12/2024</v>
          </cell>
          <cell r="B692">
            <v>9000</v>
          </cell>
        </row>
        <row r="693">
          <cell r="A693" t="str">
            <v>Cà Chua Thường 04/12/2024</v>
          </cell>
          <cell r="B693">
            <v>23000</v>
          </cell>
        </row>
        <row r="694">
          <cell r="A694" t="str">
            <v>Xà Lách Thủy Tinh T.C Cây 04/12/2024</v>
          </cell>
          <cell r="B694">
            <v>6700</v>
          </cell>
        </row>
        <row r="695">
          <cell r="A695" t="str">
            <v>Củ Khoai Lang Nhật 04/12/2024</v>
          </cell>
          <cell r="B695">
            <v>16000</v>
          </cell>
        </row>
        <row r="696">
          <cell r="A696" t="str">
            <v>Đậu Cove Nhật 04/12/2024</v>
          </cell>
          <cell r="B696">
            <v>6000</v>
          </cell>
        </row>
        <row r="697">
          <cell r="A697" t="str">
            <v>Cải Thảo Kim Chi 04/12/2024</v>
          </cell>
          <cell r="B697">
            <v>3000</v>
          </cell>
        </row>
        <row r="698">
          <cell r="A698" t="str">
            <v>Xà Lách Lolo Xanh T.C Cây 05/12/2024</v>
          </cell>
          <cell r="B698">
            <v>6800</v>
          </cell>
        </row>
        <row r="699">
          <cell r="A699" t="str">
            <v>Xà Lách Mỡ T.C Cây 05/12/2024</v>
          </cell>
          <cell r="B699">
            <v>6800</v>
          </cell>
        </row>
        <row r="700">
          <cell r="A700" t="str">
            <v>Xà Lách Mỡ T.C 05/12/2024</v>
          </cell>
          <cell r="B700">
            <v>28000</v>
          </cell>
        </row>
        <row r="701">
          <cell r="A701" t="str">
            <v>Xà Lách Thủy Tinh T.C Cây 05/12/2024</v>
          </cell>
          <cell r="B701">
            <v>6800</v>
          </cell>
        </row>
        <row r="702">
          <cell r="A702" t="str">
            <v>Hồng Treo Gió 05/12/2024</v>
          </cell>
          <cell r="B702">
            <v>200000</v>
          </cell>
        </row>
        <row r="703">
          <cell r="A703" t="str">
            <v>Dưa Leo Thường 05/12/2024</v>
          </cell>
          <cell r="B703">
            <v>4000</v>
          </cell>
        </row>
        <row r="704">
          <cell r="A704" t="str">
            <v>Ớt Chuông Baby 05/12/2024</v>
          </cell>
          <cell r="B704">
            <v>44000</v>
          </cell>
        </row>
        <row r="705">
          <cell r="A705" t="str">
            <v>Ớt Chuông Đỏ 05/12/2024</v>
          </cell>
          <cell r="B705">
            <v>27000</v>
          </cell>
        </row>
        <row r="706">
          <cell r="A706" t="str">
            <v>Ớt Chuông Vàng 05/12/2024</v>
          </cell>
          <cell r="B706">
            <v>15000</v>
          </cell>
        </row>
        <row r="707">
          <cell r="A707" t="str">
            <v>Ớt Chuông Xanh 05/12/2024</v>
          </cell>
          <cell r="B707">
            <v>25000</v>
          </cell>
        </row>
        <row r="708">
          <cell r="A708" t="str">
            <v>Ớt Chuông Snack 05/12/2024</v>
          </cell>
          <cell r="B708">
            <v>49000</v>
          </cell>
        </row>
        <row r="709">
          <cell r="A709" t="str">
            <v>Ớt Sweet Palemo 05/12/2024</v>
          </cell>
          <cell r="B709">
            <v>55000</v>
          </cell>
        </row>
        <row r="710">
          <cell r="A710" t="str">
            <v>Ớt Sweet Palemo 05/12/2024</v>
          </cell>
          <cell r="B710">
            <v>60000</v>
          </cell>
        </row>
        <row r="711">
          <cell r="A711" t="str">
            <v>Củ Khoai Tây Vàng 05/12/2024</v>
          </cell>
          <cell r="B711">
            <v>18000</v>
          </cell>
        </row>
        <row r="712">
          <cell r="A712" t="str">
            <v>Đậu Cove Trắng 05/12/2024</v>
          </cell>
          <cell r="B712">
            <v>7000</v>
          </cell>
        </row>
        <row r="713">
          <cell r="A713" t="str">
            <v>Bơ Booth 05/12/2024</v>
          </cell>
          <cell r="B713">
            <v>50000</v>
          </cell>
        </row>
        <row r="714">
          <cell r="A714" t="str">
            <v>Bí Ngòi Xanh 05/12/2024</v>
          </cell>
          <cell r="B714">
            <v>10000</v>
          </cell>
        </row>
        <row r="715">
          <cell r="A715" t="str">
            <v>Củ Khoai Lang Nhật 05/12/2024</v>
          </cell>
          <cell r="B715">
            <v>17000</v>
          </cell>
        </row>
        <row r="716">
          <cell r="A716" t="str">
            <v>Đậu Cove Nhật 05/12/2024</v>
          </cell>
          <cell r="B716">
            <v>6000</v>
          </cell>
        </row>
        <row r="717">
          <cell r="A717" t="str">
            <v>Măng Tây 05/12/2024</v>
          </cell>
          <cell r="B717">
            <v>60000</v>
          </cell>
        </row>
        <row r="718">
          <cell r="A718" t="str">
            <v>Măng Tây 05/12/2024</v>
          </cell>
          <cell r="B718">
            <v>56000</v>
          </cell>
        </row>
        <row r="719">
          <cell r="A719" t="str">
            <v>Lá É 05/12/2024</v>
          </cell>
          <cell r="B719">
            <v>25000</v>
          </cell>
        </row>
        <row r="720">
          <cell r="A720" t="str">
            <v>Rau Ngò Rí 05/12/2024</v>
          </cell>
          <cell r="B720">
            <v>35000</v>
          </cell>
        </row>
        <row r="721">
          <cell r="A721" t="str">
            <v>Củ Dền 05/12/2024</v>
          </cell>
          <cell r="B721">
            <v>17000</v>
          </cell>
        </row>
        <row r="722">
          <cell r="A722" t="str">
            <v>Lá Mè 05/12/2024</v>
          </cell>
          <cell r="B722">
            <v>36000</v>
          </cell>
        </row>
        <row r="723">
          <cell r="A723" t="str">
            <v>Cải Kale 05/12/2024</v>
          </cell>
          <cell r="B723">
            <v>16000</v>
          </cell>
        </row>
        <row r="724">
          <cell r="A724" t="str">
            <v>Cà Chua Bi Mix 05/12/2024</v>
          </cell>
          <cell r="B724">
            <v>55500</v>
          </cell>
        </row>
        <row r="725">
          <cell r="A725" t="str">
            <v>Cải Kale 05/12/2024</v>
          </cell>
          <cell r="B725">
            <v>19500</v>
          </cell>
        </row>
        <row r="726">
          <cell r="A726" t="str">
            <v>Cà Chua Beef 05/12/2024</v>
          </cell>
          <cell r="B726">
            <v>24000</v>
          </cell>
        </row>
        <row r="727">
          <cell r="A727" t="str">
            <v>Củ Hành Tây 05/12/2024</v>
          </cell>
          <cell r="B727">
            <v>20500</v>
          </cell>
        </row>
        <row r="728">
          <cell r="A728" t="str">
            <v>Cần Tây 05/12/2024</v>
          </cell>
          <cell r="B728">
            <v>20000</v>
          </cell>
        </row>
        <row r="729">
          <cell r="A729" t="str">
            <v>Bông Cải Xanh 7Cm 05/12/2024</v>
          </cell>
          <cell r="B729">
            <v>28000</v>
          </cell>
        </row>
        <row r="730">
          <cell r="A730" t="str">
            <v>Xà Lách Mỹ 05/12/2024</v>
          </cell>
          <cell r="B730">
            <v>22000</v>
          </cell>
        </row>
        <row r="731">
          <cell r="A731" t="str">
            <v>Trái Cam Canh 05/12/2024</v>
          </cell>
          <cell r="B731">
            <v>27000</v>
          </cell>
        </row>
        <row r="732">
          <cell r="A732" t="str">
            <v>Cước Vận Chuyển Hàng Hóa 05/12/2024</v>
          </cell>
          <cell r="B732">
            <v>650</v>
          </cell>
        </row>
        <row r="733">
          <cell r="A733" t="str">
            <v>Ớt Sweet Palemo 05/12/2024</v>
          </cell>
          <cell r="B733">
            <v>17500</v>
          </cell>
        </row>
        <row r="734">
          <cell r="A734" t="str">
            <v>Bắp Cải Tím 05/12/2024</v>
          </cell>
          <cell r="B734">
            <v>36000</v>
          </cell>
        </row>
        <row r="735">
          <cell r="A735" t="str">
            <v>Củ Hành Tây 05/12/2024</v>
          </cell>
          <cell r="B735">
            <v>20500</v>
          </cell>
        </row>
        <row r="736">
          <cell r="A736" t="str">
            <v>Củ Hành Tây Trung 05/12/2024</v>
          </cell>
          <cell r="B736">
            <v>16000</v>
          </cell>
        </row>
        <row r="737">
          <cell r="A737" t="str">
            <v>Củ Khoai Lang Mật Size 46 05/12/2024</v>
          </cell>
          <cell r="B737">
            <v>27000</v>
          </cell>
        </row>
        <row r="738">
          <cell r="A738" t="str">
            <v>Cà Chua Bi Đỏ 05/12/2024</v>
          </cell>
          <cell r="B738">
            <v>9000</v>
          </cell>
        </row>
        <row r="739">
          <cell r="A739" t="str">
            <v>Cà Chua Bi Đỏ 05/12/2024</v>
          </cell>
          <cell r="B739">
            <v>15000</v>
          </cell>
        </row>
        <row r="740">
          <cell r="A740" t="str">
            <v>Bí Non Nhật 05/12/2024</v>
          </cell>
          <cell r="B740">
            <v>10000</v>
          </cell>
        </row>
        <row r="741">
          <cell r="A741" t="str">
            <v>Cải Kale 05/12/2024</v>
          </cell>
          <cell r="B741">
            <v>16000</v>
          </cell>
        </row>
        <row r="742">
          <cell r="A742" t="str">
            <v>Cà Tím 05/12/2024</v>
          </cell>
          <cell r="B742">
            <v>6000</v>
          </cell>
        </row>
        <row r="743">
          <cell r="A743" t="str">
            <v>Cà Tím 05/12/2024</v>
          </cell>
          <cell r="B743">
            <v>3500</v>
          </cell>
        </row>
        <row r="744">
          <cell r="A744" t="str">
            <v>Cà Rốt 05/12/2024</v>
          </cell>
          <cell r="B744">
            <v>14000</v>
          </cell>
        </row>
        <row r="745">
          <cell r="A745" t="str">
            <v>Củ Khoai Lang Nhật 05/12/2024</v>
          </cell>
          <cell r="B745">
            <v>17000</v>
          </cell>
        </row>
        <row r="746">
          <cell r="A746" t="str">
            <v>Đậu Cove Nhật 05/12/2024</v>
          </cell>
          <cell r="B746">
            <v>6000</v>
          </cell>
        </row>
        <row r="747">
          <cell r="A747" t="str">
            <v>Cà Rốt 05/12/2024</v>
          </cell>
          <cell r="B747">
            <v>13000</v>
          </cell>
        </row>
        <row r="748">
          <cell r="A748" t="str">
            <v>Bí Đỏ Hồ Lô 05/12/2024</v>
          </cell>
          <cell r="B748">
            <v>12000</v>
          </cell>
        </row>
        <row r="749">
          <cell r="A749" t="str">
            <v>Lá Nha Đam 05/12/2024</v>
          </cell>
          <cell r="B749">
            <v>14000</v>
          </cell>
        </row>
        <row r="750">
          <cell r="A750" t="str">
            <v>Bí Ngòi Xanh 05/12/2024</v>
          </cell>
          <cell r="B750">
            <v>9000</v>
          </cell>
        </row>
        <row r="751">
          <cell r="A751" t="str">
            <v>Cà Chua Socola 05/12/2024</v>
          </cell>
          <cell r="B751">
            <v>12000</v>
          </cell>
        </row>
        <row r="752">
          <cell r="A752" t="str">
            <v>Ớt Chuông Baby 05/12/2024</v>
          </cell>
          <cell r="B752">
            <v>50000</v>
          </cell>
        </row>
        <row r="753">
          <cell r="A753" t="str">
            <v>Ớt Sweet Palemo 05/12/2024</v>
          </cell>
          <cell r="B753">
            <v>18000</v>
          </cell>
        </row>
        <row r="754">
          <cell r="A754" t="str">
            <v>Rau Mầm 05/12/2024</v>
          </cell>
          <cell r="B754">
            <v>50000</v>
          </cell>
        </row>
        <row r="755">
          <cell r="A755" t="str">
            <v>Bí Ngòi Xanh 05/12/2024</v>
          </cell>
          <cell r="B755">
            <v>9000</v>
          </cell>
        </row>
        <row r="756">
          <cell r="A756" t="str">
            <v>Củ Dền 05/12/2024</v>
          </cell>
          <cell r="B756">
            <v>17000</v>
          </cell>
        </row>
        <row r="757">
          <cell r="A757" t="str">
            <v>Cải Thảo 05/12/2024</v>
          </cell>
          <cell r="B757">
            <v>6000</v>
          </cell>
        </row>
        <row r="758">
          <cell r="A758" t="str">
            <v>Bí Ngòi Xanh 05/12/2024</v>
          </cell>
          <cell r="B758">
            <v>9000</v>
          </cell>
        </row>
        <row r="759">
          <cell r="A759" t="str">
            <v>Bông Cải Xanh 7Cm 05/12/2024</v>
          </cell>
          <cell r="B759">
            <v>28000</v>
          </cell>
        </row>
        <row r="760">
          <cell r="A760" t="str">
            <v>Bông Cải Xanh 7Cm 05/12/2024</v>
          </cell>
          <cell r="B760">
            <v>28000</v>
          </cell>
        </row>
        <row r="761">
          <cell r="A761" t="str">
            <v>Bông Cải Xanh 10Cm 05/12/2024</v>
          </cell>
          <cell r="B761">
            <v>22000</v>
          </cell>
        </row>
        <row r="762">
          <cell r="A762" t="str">
            <v>Bông Cải Xanh 7Cm 05/12/2024</v>
          </cell>
          <cell r="B762">
            <v>28000</v>
          </cell>
        </row>
        <row r="763">
          <cell r="A763" t="str">
            <v>Bông Cải Xanh 10Cm 05/12/2024</v>
          </cell>
          <cell r="B763">
            <v>22000</v>
          </cell>
        </row>
        <row r="764">
          <cell r="A764" t="str">
            <v>Bông Cải Xanh 7Cm 05/12/2024</v>
          </cell>
          <cell r="B764">
            <v>28000</v>
          </cell>
        </row>
        <row r="765">
          <cell r="A765" t="str">
            <v>Trái Mâm Xôi 05/12/2024</v>
          </cell>
          <cell r="B765">
            <v>35000</v>
          </cell>
        </row>
        <row r="766">
          <cell r="A766" t="str">
            <v>Bông Cải Xanh 7Cm 05/12/2024</v>
          </cell>
          <cell r="B766">
            <v>26000</v>
          </cell>
        </row>
        <row r="767">
          <cell r="A767" t="str">
            <v>Bông Cải Trắng 05/12/2024</v>
          </cell>
          <cell r="B767">
            <v>15000</v>
          </cell>
        </row>
        <row r="768">
          <cell r="A768" t="str">
            <v>Cà Chua Beef 05/12/2024</v>
          </cell>
          <cell r="B768">
            <v>23000</v>
          </cell>
        </row>
        <row r="769">
          <cell r="A769" t="str">
            <v>Cà Chua Beef Trung 05/12/2024</v>
          </cell>
          <cell r="B769">
            <v>18000</v>
          </cell>
        </row>
        <row r="770">
          <cell r="A770" t="str">
            <v>Bí Ngòi Xanh 05/12/2024</v>
          </cell>
          <cell r="B770">
            <v>8000</v>
          </cell>
        </row>
        <row r="771">
          <cell r="A771" t="str">
            <v>Trái Cam Canh 05/12/2024</v>
          </cell>
          <cell r="B771">
            <v>23000</v>
          </cell>
        </row>
        <row r="772">
          <cell r="A772" t="str">
            <v>Trái Cam Canh 05/12/2024</v>
          </cell>
          <cell r="B772">
            <v>30000</v>
          </cell>
        </row>
        <row r="773">
          <cell r="A773" t="str">
            <v>Cước Vận Chuyển Hàng Hóa 05/12/2024</v>
          </cell>
          <cell r="B773">
            <v>2250000</v>
          </cell>
        </row>
        <row r="774">
          <cell r="A774" t="str">
            <v>Cần Tây 05/12/2024</v>
          </cell>
          <cell r="B774">
            <v>16000</v>
          </cell>
        </row>
        <row r="775">
          <cell r="A775" t="str">
            <v>Cần Tây 05/12/2024</v>
          </cell>
          <cell r="B775">
            <v>20000</v>
          </cell>
        </row>
        <row r="776">
          <cell r="A776" t="str">
            <v>Cải Bó Xôi 05/12/2024</v>
          </cell>
          <cell r="B776">
            <v>14000</v>
          </cell>
        </row>
        <row r="777">
          <cell r="A777" t="str">
            <v>Củ Khoai Lang Mật Size 23 05/12/2024</v>
          </cell>
          <cell r="B777">
            <v>28000</v>
          </cell>
        </row>
        <row r="778">
          <cell r="A778" t="str">
            <v>Củ Khoai Lang Mật Size 46 05/12/2024</v>
          </cell>
          <cell r="B778">
            <v>28000</v>
          </cell>
        </row>
        <row r="779">
          <cell r="A779" t="str">
            <v>Cà Chua Beef Chùm 05/12/2024</v>
          </cell>
          <cell r="B779">
            <v>23000</v>
          </cell>
        </row>
        <row r="780">
          <cell r="A780" t="str">
            <v>Hạt Dẻ Ngố 05/12/2024</v>
          </cell>
          <cell r="B780">
            <v>27600</v>
          </cell>
        </row>
        <row r="781">
          <cell r="A781" t="str">
            <v>Hạt Dẻ Ngố 05/12/2024</v>
          </cell>
          <cell r="B781">
            <v>24900</v>
          </cell>
        </row>
        <row r="782">
          <cell r="A782" t="str">
            <v>Hành Paro 05/12/2024</v>
          </cell>
          <cell r="B782">
            <v>27000</v>
          </cell>
        </row>
        <row r="783">
          <cell r="A783" t="str">
            <v>Trái Su Su 05/12/2024</v>
          </cell>
          <cell r="B783">
            <v>7000</v>
          </cell>
        </row>
        <row r="784">
          <cell r="A784" t="str">
            <v>Gia Công Rau Củ Quả 05/12/2024</v>
          </cell>
          <cell r="B784">
            <v>1700</v>
          </cell>
        </row>
        <row r="785">
          <cell r="A785" t="str">
            <v>Đậu Đỏ 05/12/2024</v>
          </cell>
          <cell r="B785">
            <v>80000</v>
          </cell>
        </row>
        <row r="786">
          <cell r="A786" t="str">
            <v>Đậu Trắng 05/12/2024</v>
          </cell>
          <cell r="B786">
            <v>70000</v>
          </cell>
        </row>
        <row r="787">
          <cell r="A787" t="str">
            <v>Ớt Chuông Đỏ 05/12/2024</v>
          </cell>
          <cell r="B787">
            <v>25000</v>
          </cell>
        </row>
        <row r="788">
          <cell r="A788" t="str">
            <v>Ớt Chuông Vàng 05/12/2024</v>
          </cell>
          <cell r="B788">
            <v>13000</v>
          </cell>
        </row>
        <row r="789">
          <cell r="A789" t="str">
            <v>Bơ Booth 05/12/2024</v>
          </cell>
          <cell r="B789">
            <v>50000</v>
          </cell>
        </row>
        <row r="790">
          <cell r="A790" t="str">
            <v>Củ Gừng 05/12/2024</v>
          </cell>
          <cell r="B790">
            <v>30000</v>
          </cell>
        </row>
        <row r="791">
          <cell r="A791" t="str">
            <v>Đậu Cove Trắng 05/12/2024</v>
          </cell>
          <cell r="B791">
            <v>10000</v>
          </cell>
        </row>
        <row r="792">
          <cell r="A792" t="str">
            <v>Dưa Leo Thường 05/12/2024</v>
          </cell>
          <cell r="B792">
            <v>8000</v>
          </cell>
        </row>
        <row r="793">
          <cell r="A793" t="str">
            <v>Cà Chua Thường Trung 05/12/2024</v>
          </cell>
          <cell r="B793">
            <v>16000</v>
          </cell>
        </row>
        <row r="794">
          <cell r="A794" t="str">
            <v>Dưa Leo Thường 05/12/2024</v>
          </cell>
          <cell r="B794">
            <v>4000</v>
          </cell>
        </row>
        <row r="795">
          <cell r="A795" t="str">
            <v>Xà Lách Lolo Xanh T.C 05/12/2024</v>
          </cell>
          <cell r="B795">
            <v>26000</v>
          </cell>
        </row>
        <row r="796">
          <cell r="A796" t="str">
            <v>Xà Lách Mỡ T.C 05/12/2024</v>
          </cell>
          <cell r="B796">
            <v>26000</v>
          </cell>
        </row>
        <row r="797">
          <cell r="A797" t="str">
            <v>Xà Lách Thủy Tinh T.C Cây 05/12/2024</v>
          </cell>
          <cell r="B797">
            <v>7500</v>
          </cell>
        </row>
        <row r="798">
          <cell r="A798" t="str">
            <v>Cà Chua Thường 05/12/2024</v>
          </cell>
          <cell r="B798">
            <v>22000</v>
          </cell>
        </row>
        <row r="799">
          <cell r="A799" t="str">
            <v>Củ Cải Trắng 05/12/2024</v>
          </cell>
          <cell r="B799">
            <v>4500</v>
          </cell>
        </row>
        <row r="800">
          <cell r="A800" t="str">
            <v>Ớt Chuông Đỏ 05/12/2024</v>
          </cell>
          <cell r="B800">
            <v>27000</v>
          </cell>
        </row>
        <row r="801">
          <cell r="A801" t="str">
            <v>Củ Su Hào 05/12/2024</v>
          </cell>
          <cell r="B801">
            <v>11000</v>
          </cell>
        </row>
        <row r="802">
          <cell r="A802" t="str">
            <v>Xà Lách Mỡ T.C 05/12/2024</v>
          </cell>
          <cell r="B802">
            <v>27000</v>
          </cell>
        </row>
        <row r="803">
          <cell r="A803" t="str">
            <v>Xà Lách Lolo Xanh T.C 05/12/2024</v>
          </cell>
          <cell r="B803">
            <v>28000</v>
          </cell>
        </row>
        <row r="804">
          <cell r="A804" t="str">
            <v>Củ Khoai Tây Vàng 05/12/2024</v>
          </cell>
          <cell r="B804">
            <v>18000</v>
          </cell>
        </row>
        <row r="805">
          <cell r="A805" t="str">
            <v>Xà Lách Thủy Tinh T.C Cây 05/12/2024</v>
          </cell>
          <cell r="B805">
            <v>6800</v>
          </cell>
        </row>
        <row r="806">
          <cell r="A806" t="str">
            <v>Xà Lách Thủy Tinh T.C 05/12/2024</v>
          </cell>
          <cell r="B806">
            <v>30000</v>
          </cell>
        </row>
        <row r="807">
          <cell r="A807" t="str">
            <v>Cà Chua Socola 05/12/2024</v>
          </cell>
          <cell r="B807">
            <v>56000</v>
          </cell>
        </row>
        <row r="808">
          <cell r="A808" t="str">
            <v>Cải Bó Xôi 05/12/2024</v>
          </cell>
          <cell r="B808">
            <v>17000</v>
          </cell>
        </row>
        <row r="809">
          <cell r="A809" t="str">
            <v>Cà Chua Beef 05/12/2024</v>
          </cell>
          <cell r="B809">
            <v>22000</v>
          </cell>
        </row>
        <row r="810">
          <cell r="A810" t="str">
            <v>Cà Chua Beef 05/12/2024</v>
          </cell>
          <cell r="B810">
            <v>16300</v>
          </cell>
        </row>
        <row r="811">
          <cell r="A811" t="str">
            <v>Cà Chua Beef Trung 05/12/2024</v>
          </cell>
          <cell r="B811">
            <v>19000</v>
          </cell>
        </row>
        <row r="812">
          <cell r="A812" t="str">
            <v>Cà Chua Beef Trung 05/12/2024</v>
          </cell>
          <cell r="B812">
            <v>17000</v>
          </cell>
        </row>
        <row r="813">
          <cell r="A813" t="str">
            <v>Cà Chua Beef Trung 05/12/2024</v>
          </cell>
          <cell r="B813">
            <v>21000</v>
          </cell>
        </row>
        <row r="814">
          <cell r="A814" t="str">
            <v>Lá Hương Thảo 05/12/2024</v>
          </cell>
          <cell r="B814">
            <v>100000</v>
          </cell>
        </row>
        <row r="815">
          <cell r="A815" t="str">
            <v>Xà Lách Lolo Tím 05/12/2024</v>
          </cell>
          <cell r="B815">
            <v>35000</v>
          </cell>
        </row>
        <row r="816">
          <cell r="A816" t="str">
            <v>Xà Lách Lolo Xanh 05/12/2024</v>
          </cell>
          <cell r="B816">
            <v>10000</v>
          </cell>
        </row>
        <row r="817">
          <cell r="A817" t="str">
            <v>Xà Lách Romaine 05/12/2024</v>
          </cell>
          <cell r="B817">
            <v>20000</v>
          </cell>
        </row>
        <row r="818">
          <cell r="A818" t="str">
            <v>Ớt Sweet Palemo 05/12/2024</v>
          </cell>
          <cell r="B818">
            <v>18000</v>
          </cell>
        </row>
        <row r="819">
          <cell r="A819" t="str">
            <v>Cà Rốt Baby 05/12/2024</v>
          </cell>
          <cell r="B819">
            <v>40000</v>
          </cell>
        </row>
        <row r="820">
          <cell r="A820" t="str">
            <v>Cải Kale 05/12/2024</v>
          </cell>
          <cell r="B820">
            <v>15000</v>
          </cell>
        </row>
        <row r="821">
          <cell r="A821" t="str">
            <v>Cải Kale 05/12/2024</v>
          </cell>
          <cell r="B821">
            <v>18000</v>
          </cell>
        </row>
        <row r="822">
          <cell r="A822" t="str">
            <v>Lá Mè 05/12/2024</v>
          </cell>
          <cell r="B822">
            <v>38000</v>
          </cell>
        </row>
        <row r="823">
          <cell r="A823" t="str">
            <v>Dưa Leo Baby 05/12/2024</v>
          </cell>
          <cell r="B823">
            <v>5000</v>
          </cell>
        </row>
        <row r="824">
          <cell r="A824" t="str">
            <v>Lá Mè 05/12/2024</v>
          </cell>
          <cell r="B824">
            <v>38000</v>
          </cell>
        </row>
        <row r="825">
          <cell r="A825" t="str">
            <v>Cà Rốt Baby 05/12/2024</v>
          </cell>
          <cell r="B825">
            <v>40000</v>
          </cell>
        </row>
        <row r="826">
          <cell r="A826" t="str">
            <v>Xà Lách Lolo Xanh 05/12/2024</v>
          </cell>
          <cell r="B826">
            <v>13000</v>
          </cell>
        </row>
        <row r="827">
          <cell r="A827" t="str">
            <v>Xà Lách Lolo Xanh 05/12/2024</v>
          </cell>
          <cell r="B827">
            <v>10000</v>
          </cell>
        </row>
        <row r="828">
          <cell r="A828" t="str">
            <v>Xà Lách Mỡ T.C Cây 05/12/2024</v>
          </cell>
          <cell r="B828">
            <v>6800</v>
          </cell>
        </row>
        <row r="829">
          <cell r="A829" t="str">
            <v>Xà Lách Thủy Tinh T.C Cây 05/12/2024</v>
          </cell>
          <cell r="B829">
            <v>6800</v>
          </cell>
        </row>
        <row r="830">
          <cell r="A830" t="str">
            <v>Bông Cải Trắng 05/12/2024</v>
          </cell>
          <cell r="B830">
            <v>15000</v>
          </cell>
        </row>
        <row r="831">
          <cell r="A831" t="str">
            <v>Trái Su Su 05/12/2024</v>
          </cell>
          <cell r="B831">
            <v>7000</v>
          </cell>
        </row>
        <row r="832">
          <cell r="A832" t="str">
            <v>Củ Khoai Tây Vàng 05/12/2024</v>
          </cell>
          <cell r="B832">
            <v>18000</v>
          </cell>
        </row>
        <row r="833">
          <cell r="A833" t="str">
            <v>Củ Su Hào 05/12/2024</v>
          </cell>
          <cell r="B833">
            <v>11000</v>
          </cell>
        </row>
        <row r="834">
          <cell r="A834" t="str">
            <v>Cà Rốt 05/12/2024</v>
          </cell>
          <cell r="B834">
            <v>12000</v>
          </cell>
        </row>
        <row r="835">
          <cell r="A835" t="str">
            <v>Cà Chua Thường 05/12/2024</v>
          </cell>
          <cell r="B835">
            <v>23000</v>
          </cell>
        </row>
        <row r="836">
          <cell r="A836" t="str">
            <v>Xà Lách Thủy Tinh T.C Cây 05/12/2024</v>
          </cell>
          <cell r="B836">
            <v>6700</v>
          </cell>
        </row>
        <row r="837">
          <cell r="A837" t="str">
            <v>Bắp Cải Trắng 05/12/2024</v>
          </cell>
          <cell r="B837">
            <v>8000</v>
          </cell>
        </row>
        <row r="838">
          <cell r="A838" t="str">
            <v>Đậu Cove Trắng 05/12/2024</v>
          </cell>
          <cell r="B838">
            <v>10000</v>
          </cell>
        </row>
        <row r="839">
          <cell r="A839" t="str">
            <v>Dưa Leo Baby 05/12/2024</v>
          </cell>
          <cell r="B839">
            <v>4000</v>
          </cell>
        </row>
        <row r="840">
          <cell r="A840" t="str">
            <v>Chanh Dây Tím 05/12/2024</v>
          </cell>
          <cell r="B840">
            <v>28000</v>
          </cell>
        </row>
        <row r="841">
          <cell r="A841" t="str">
            <v>Bắp Cải Trái Tim 05/12/2024</v>
          </cell>
          <cell r="B841">
            <v>10000</v>
          </cell>
        </row>
        <row r="842">
          <cell r="A842" t="str">
            <v>Cà Chua Beef 05/12/2024</v>
          </cell>
          <cell r="B842">
            <v>24500</v>
          </cell>
        </row>
        <row r="843">
          <cell r="A843" t="str">
            <v>Cà Tím 05/12/2024</v>
          </cell>
          <cell r="B843">
            <v>6500</v>
          </cell>
        </row>
        <row r="844">
          <cell r="A844" t="str">
            <v>Củ Khoai Lang Nhật 05/12/2024</v>
          </cell>
          <cell r="B844">
            <v>16000</v>
          </cell>
        </row>
        <row r="845">
          <cell r="A845" t="str">
            <v>Đậu Cove Nhật 05/12/2024</v>
          </cell>
          <cell r="B845">
            <v>6000</v>
          </cell>
        </row>
        <row r="846">
          <cell r="A846" t="str">
            <v>Xà Lách Thủy Tinh T.C Cây 05/12/2024</v>
          </cell>
          <cell r="B846">
            <v>6500</v>
          </cell>
        </row>
        <row r="847">
          <cell r="A847" t="str">
            <v>Dưa Leo Baby 05/12/2024</v>
          </cell>
          <cell r="B847">
            <v>5000</v>
          </cell>
        </row>
        <row r="848">
          <cell r="A848" t="str">
            <v>Bông Cải Xanh Cọng 05/12/2024</v>
          </cell>
          <cell r="B848">
            <v>22000</v>
          </cell>
        </row>
        <row r="849">
          <cell r="A849" t="str">
            <v>Bông Cải Xanh Cọng 05/12/2024</v>
          </cell>
          <cell r="B849">
            <v>19000</v>
          </cell>
        </row>
        <row r="850">
          <cell r="A850" t="str">
            <v>Hành Paro 05/12/2024</v>
          </cell>
          <cell r="B850">
            <v>27000</v>
          </cell>
        </row>
        <row r="851">
          <cell r="A851" t="str">
            <v>Cải Thảo 05/12/2024</v>
          </cell>
          <cell r="B851">
            <v>6000</v>
          </cell>
        </row>
        <row r="852">
          <cell r="A852" t="str">
            <v>Bắp Cải Tím 05/12/2024</v>
          </cell>
          <cell r="B852">
            <v>36000</v>
          </cell>
        </row>
        <row r="853">
          <cell r="A853" t="str">
            <v>Cà Chua Beef 05/12/2024</v>
          </cell>
          <cell r="B853">
            <v>22000</v>
          </cell>
        </row>
        <row r="854">
          <cell r="A854" t="str">
            <v>Dưa Leo Baby 05/12/2024</v>
          </cell>
          <cell r="B854">
            <v>5500</v>
          </cell>
        </row>
        <row r="855">
          <cell r="A855" t="str">
            <v>Cà Chua Beef 05/12/2024</v>
          </cell>
          <cell r="B855">
            <v>22000</v>
          </cell>
        </row>
        <row r="856">
          <cell r="A856" t="str">
            <v>Trái Bưởi Diễn 05/12/2024</v>
          </cell>
          <cell r="B856">
            <v>11700</v>
          </cell>
        </row>
        <row r="857">
          <cell r="A857" t="str">
            <v>Xà Lách Lolo Xanh T.C Cây 05/12/2024</v>
          </cell>
          <cell r="B857">
            <v>6000</v>
          </cell>
        </row>
        <row r="858">
          <cell r="A858" t="str">
            <v>Xà Lách Thủy Tinh T.C Cây 05/12/2024</v>
          </cell>
          <cell r="B858">
            <v>6000</v>
          </cell>
        </row>
        <row r="859">
          <cell r="A859" t="str">
            <v>Cần Tây 05/12/2024</v>
          </cell>
          <cell r="B859">
            <v>16000</v>
          </cell>
        </row>
        <row r="860">
          <cell r="A860" t="str">
            <v>Cải Thảo Hỏa Tiễn 05/12/2024</v>
          </cell>
          <cell r="B860">
            <v>16000</v>
          </cell>
        </row>
        <row r="861">
          <cell r="A861" t="str">
            <v>Bông Cải Xanh Cọng 05/12/2024</v>
          </cell>
          <cell r="B861">
            <v>19000</v>
          </cell>
        </row>
        <row r="862">
          <cell r="A862" t="str">
            <v>Cà Chua Beef 05/12/2024</v>
          </cell>
          <cell r="B862">
            <v>24000</v>
          </cell>
        </row>
        <row r="863">
          <cell r="A863" t="str">
            <v>Trái Su Su 05/12/2024</v>
          </cell>
          <cell r="B863">
            <v>7000</v>
          </cell>
        </row>
        <row r="864">
          <cell r="A864" t="str">
            <v>Cà Tím 05/12/2024</v>
          </cell>
          <cell r="B864">
            <v>8000</v>
          </cell>
        </row>
        <row r="865">
          <cell r="A865" t="str">
            <v>Bí Đao Xanh 05/12/2024</v>
          </cell>
          <cell r="B865">
            <v>10000</v>
          </cell>
        </row>
        <row r="866">
          <cell r="A866" t="str">
            <v>Cà Chua Bi Đỏ 05/12/2024</v>
          </cell>
          <cell r="B866">
            <v>9000</v>
          </cell>
        </row>
        <row r="867">
          <cell r="A867" t="str">
            <v>Củ Dền 05/12/2024</v>
          </cell>
          <cell r="B867">
            <v>16000</v>
          </cell>
        </row>
        <row r="868">
          <cell r="A868" t="str">
            <v>Bí Ngòi Vàng 05/12/2024</v>
          </cell>
          <cell r="B868">
            <v>35000</v>
          </cell>
        </row>
        <row r="869">
          <cell r="A869" t="str">
            <v>Củ Cải Trắng 05/12/2024</v>
          </cell>
          <cell r="B869">
            <v>5000</v>
          </cell>
        </row>
        <row r="870">
          <cell r="A870" t="str">
            <v>Củ Hành Tây 05/12/2024</v>
          </cell>
          <cell r="B870">
            <v>20500</v>
          </cell>
        </row>
        <row r="871">
          <cell r="A871" t="str">
            <v>Hạt Dẻ Ngố 05/12/2024</v>
          </cell>
          <cell r="B871">
            <v>27600</v>
          </cell>
        </row>
      </sheetData>
      <sheetData sheetId="6"/>
      <sheetData sheetId="7">
        <row r="1">
          <cell r="A1" t="str">
            <v>Ngày chứng từ</v>
          </cell>
          <cell r="B1" t="str">
            <v>Tên hàng</v>
          </cell>
          <cell r="C1" t="str">
            <v>ĐVT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C2" t="str">
            <v>Lít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C3" t="str">
            <v>Lít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C4" t="str">
            <v>Lít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C5" t="str">
            <v>Lít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C6" t="str">
            <v>Lít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C7" t="str">
            <v>Lít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C8" t="str">
            <v>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C9" t="str">
            <v>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C10" t="str">
            <v>Kg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C11" t="str">
            <v>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C12" t="str">
            <v>Kg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C13" t="str">
            <v>Kg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C14" t="str">
            <v>Kg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C15" t="str">
            <v>Kg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C16" t="str">
            <v>Kg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C17" t="str">
            <v>Kg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C18" t="str">
            <v>Kg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C19" t="str">
            <v>Kg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C20" t="str">
            <v>Kg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C21" t="str">
            <v>Kg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C22" t="str">
            <v>Kg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C23" t="str">
            <v>Kg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C24" t="str">
            <v>Kg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C25" t="str">
            <v>Kg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C26" t="str">
            <v>Kg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C27" t="str">
            <v>Túi 300gr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C28" t="str">
            <v>Kg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C29" t="str">
            <v>Kg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C30" t="str">
            <v>Kg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C31" t="str">
            <v>Kg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C32" t="str">
            <v>Kg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C33" t="str">
            <v>Kg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C34" t="str">
            <v>Kg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C35" t="str">
            <v>Kg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C36" t="str">
            <v>Kg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C37" t="str">
            <v>Kg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C38" t="str">
            <v>Kg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C39" t="str">
            <v>Kg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C40" t="str">
            <v>Túi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C41" t="str">
            <v>Kg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C42" t="str">
            <v>Hộp 300gr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C43" t="str">
            <v>Kg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C44" t="str">
            <v>Kg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C45" t="str">
            <v>Túi 500gr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C46" t="str">
            <v>Kg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C47" t="str">
            <v>Kg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C48" t="str">
            <v>Cặp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C49" t="str">
            <v>Kg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C50" t="str">
            <v>Kg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C51" t="str">
            <v>Kg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C52" t="str">
            <v>Kg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C53" t="str">
            <v>Kg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C54" t="str">
            <v>Kg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C55" t="str">
            <v>Kg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C56" t="str">
            <v>Kg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C57" t="str">
            <v>Kg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C58" t="str">
            <v>Hộp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C59" t="str">
            <v>Kg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C60" t="str">
            <v>Kg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C61" t="str">
            <v>Kg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C62" t="str">
            <v>Vỉ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C63" t="str">
            <v>Kg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C64" t="str">
            <v>Kg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C65" t="str">
            <v>Kg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C66" t="str">
            <v>Vỉ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C67" t="str">
            <v>Kg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C68" t="str">
            <v>Kg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C69" t="str">
            <v>Kg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C70" t="str">
            <v>Kg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C71" t="str">
            <v>Hộp 250GR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C72" t="str">
            <v>Kg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C73" t="str">
            <v>Kg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C74" t="str">
            <v>Hộp 300gr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C75" t="str">
            <v>Hộp 500gr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C76" t="str">
            <v>Kg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C77" t="str">
            <v>Kg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C78" t="str">
            <v>Kg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C79" t="str">
            <v>Túi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C80" t="str">
            <v>Kg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C81" t="str">
            <v>Kg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C82" t="str">
            <v>Kg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C83" t="str">
            <v>Túi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C84" t="str">
            <v>Kg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C85" t="str">
            <v>Kg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C86" t="str">
            <v>Kg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C87" t="str">
            <v>Kg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C88" t="str">
            <v>Kg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C89" t="str">
            <v>Kg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C90" t="str">
            <v>Kg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C91" t="str">
            <v>Kg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C92" t="str">
            <v>Kg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C93" t="str">
            <v>Kg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C94" t="str">
            <v>Kg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C95" t="str">
            <v>Kg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C96" t="str">
            <v>Vỉ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C97" t="str">
            <v>Vỉ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C98" t="str">
            <v>Kg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C99" t="str">
            <v>Kg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C100" t="str">
            <v>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C101" t="str">
            <v>Vỉ 650gr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C102" t="str">
            <v>Kg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C103" t="str">
            <v>Kg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C104" t="str">
            <v>Kg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C105" t="str">
            <v>Kg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C106" t="str">
            <v>Kg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C107" t="str">
            <v>Kg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C108" t="str">
            <v>Kg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C109" t="str">
            <v>Kg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C110" t="str">
            <v>Kg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C111" t="str">
            <v>Kg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C112" t="str">
            <v>Kg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C113" t="str">
            <v>Kg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C114" t="str">
            <v>Kg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C115" t="str">
            <v>Kg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C116" t="str">
            <v>Kg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C117" t="str">
            <v>Kg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C118" t="str">
            <v>Hộp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C119" t="str">
            <v>Túi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C120" t="str">
            <v>Kg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C121" t="str">
            <v>Kg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C122" t="str">
            <v>Kg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C123" t="str">
            <v>Kg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C124" t="str">
            <v>Vỉ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C125" t="str">
            <v>Kg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C126" t="str">
            <v>Kg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C127" t="str">
            <v>Kg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C128" t="str">
            <v>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C129" t="str">
            <v>Kg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C130" t="str">
            <v>Kg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C131" t="str">
            <v>Kg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C132" t="str">
            <v>Kg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C133" t="str">
            <v>Kg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C134" t="str">
            <v>Kg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C135" t="str">
            <v>Kg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C136" t="str">
            <v>Kg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C137" t="str">
            <v>Kg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C138" t="str">
            <v>Kg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C139" t="str">
            <v>Kg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C140" t="str">
            <v>Kg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C141" t="str">
            <v>Kg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C142" t="str">
            <v>Kg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C143" t="str">
            <v>Túi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C144" t="str">
            <v>Kg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C145" t="str">
            <v>Kg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C146" t="str">
            <v>Kg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C147" t="str">
            <v>Kg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C148" t="str">
            <v>Kg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C149" t="str">
            <v>Kg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C150" t="str">
            <v>Vỉ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C151" t="str">
            <v>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C152" t="str">
            <v>Kg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C153" t="str">
            <v>Kg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C154" t="str">
            <v>Kg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C155" t="str">
            <v>Kg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C156" t="str">
            <v>Kg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C157" t="str">
            <v>Kg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C158" t="str">
            <v>Kg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C159" t="str">
            <v>Kg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C160" t="str">
            <v>Kg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C161" t="str">
            <v>Kg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C162" t="str">
            <v>Kg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C163" t="str">
            <v>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C164" t="str">
            <v>Kg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C165" t="str">
            <v>Túi 500gr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C166" t="str">
            <v>Kg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C167" t="str">
            <v>Kg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C168" t="str">
            <v>Kg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C169" t="str">
            <v>Kg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C170" t="str">
            <v>Kg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C171" t="str">
            <v>Lít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C172" t="str">
            <v>Lít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C173" t="str">
            <v>Lít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C174" t="str">
            <v>Lít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C175" t="str">
            <v>Lít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C176" t="str">
            <v>Lít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C177" t="str">
            <v>Lít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C178" t="str">
            <v>Lít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C179" t="str">
            <v>Lít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C180" t="str">
            <v>Tháng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C181" t="str">
            <v>Kg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C182" t="str">
            <v>Túi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C183" t="str">
            <v>Kg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C184" t="str">
            <v>Kg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C185" t="str">
            <v>Kg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C186" t="str">
            <v>Kg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C187" t="str">
            <v>Kg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C188" t="str">
            <v>Kg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C189" t="str">
            <v>Kg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C190" t="str">
            <v>Kg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C191" t="str">
            <v>Kg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C192" t="str">
            <v>Kg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C193" t="str">
            <v>Kg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C194" t="str">
            <v>Kg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C195" t="str">
            <v>Kg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C196" t="str">
            <v>Kg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C197" t="str">
            <v>Kg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C198" t="str">
            <v>Kg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C199" t="str">
            <v>Kg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C200" t="str">
            <v>Kg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C201" t="str">
            <v>Kg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C202" t="str">
            <v>Kg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C203" t="str">
            <v>Kg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C204" t="str">
            <v>Kg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C205" t="str">
            <v>Vỉ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C206" t="str">
            <v>Túi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C207" t="str">
            <v>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C208" t="str">
            <v>Kg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C209" t="str">
            <v>Kg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C210" t="str">
            <v>Kg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C211" t="str">
            <v>Kg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C212" t="str">
            <v>Kg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C213" t="str">
            <v>Kg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C214" t="str">
            <v>Kg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C215" t="str">
            <v>Kg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C216" t="str">
            <v>Kg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C217" t="str">
            <v>Hộp 300gr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C218" t="str">
            <v>Kg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C219" t="str">
            <v>Kg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C220" t="str">
            <v>Kg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C221" t="str">
            <v>Kg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C222" t="str">
            <v>Kg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C223" t="str">
            <v>Kg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C224" t="str">
            <v>Kg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C225" t="str">
            <v>Kg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C226" t="str">
            <v>Kg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C227" t="str">
            <v>Kg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C228" t="str">
            <v>Kg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C229" t="str">
            <v>Hộp 300gr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C230" t="str">
            <v>Hộp 500gr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C231" t="str">
            <v>Kg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C232" t="str">
            <v>Kg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C233" t="str">
            <v>Kg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C234" t="str">
            <v>Kg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C235" t="str">
            <v>Túi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C236" t="str">
            <v>Kg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C237" t="str">
            <v>Kg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C238" t="str">
            <v>Kg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C239" t="str">
            <v>Túi 500gr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C240" t="str">
            <v>Kg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C241" t="str">
            <v>Kg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C242" t="str">
            <v>Vỉ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C243" t="str">
            <v>Kg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C244" t="str">
            <v>Cặp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C245" t="str">
            <v>Kg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C246" t="str">
            <v>Kg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C247" t="str">
            <v>Kg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C248" t="str">
            <v>Kg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C249" t="str">
            <v>Kg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C250" t="str">
            <v>Kg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C251" t="str">
            <v>Kg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C252" t="str">
            <v>Kg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C253" t="str">
            <v>Kg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C254" t="str">
            <v>Kg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C255" t="str">
            <v>Kg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C256" t="str">
            <v>Kg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C257" t="str">
            <v>Kg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C258" t="str">
            <v>Kg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C259" t="str">
            <v>Kg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C260" t="str">
            <v>Kg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C261" t="str">
            <v>Hộp 300gr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C262" t="str">
            <v>Kg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C263" t="str">
            <v>Kg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C264" t="str">
            <v>Kg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C265" t="str">
            <v>Kg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C266" t="str">
            <v>Kg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C267" t="str">
            <v>Kg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C268" t="str">
            <v>Kg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C269" t="str">
            <v>Túi 300gr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C270" t="str">
            <v>Kg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C271" t="str">
            <v>Kg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C272" t="str">
            <v>Kg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C273" t="str">
            <v>Vỉ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C274" t="str">
            <v>Kg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C275" t="str">
            <v>Kg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C276" t="str">
            <v>Kg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C277" t="str">
            <v>Kg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C278" t="str">
            <v>Kg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C279" t="str">
            <v>Kg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C280" t="str">
            <v>Kg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C281" t="str">
            <v>Kg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C282" t="str">
            <v>Kg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C283" t="str">
            <v>Kg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C284" t="str">
            <v>Kg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C285" t="str">
            <v>Kg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C286" t="str">
            <v>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C287" t="str">
            <v>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C288" t="str">
            <v>Kg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C289" t="str">
            <v>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C290" t="str">
            <v>Kg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C291" t="str">
            <v>Kg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C292" t="str">
            <v>Kg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C293" t="str">
            <v>Kg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C294" t="str">
            <v>Kg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C295" t="str">
            <v>Vỉ 650gr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C296" t="str">
            <v>Kg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C297" t="str">
            <v>Kg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C298" t="str">
            <v>Kg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C299" t="str">
            <v>Kg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C300" t="str">
            <v>Kg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C301" t="str">
            <v>Kg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C302" t="str">
            <v>Kg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C303" t="str">
            <v>Kg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C304" t="str">
            <v>Kg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C305" t="str">
            <v>Kg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C306" t="str">
            <v>Kg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C307" t="str">
            <v>Kg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C308" t="str">
            <v>Hộp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C309" t="str">
            <v>Kg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C310" t="str">
            <v>Vỉ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C311" t="str">
            <v>Kg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C312" t="str">
            <v>Túi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C313" t="str">
            <v>Kg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C314" t="str">
            <v>Kg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C315" t="str">
            <v>Kg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C316" t="str">
            <v>Kg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C317" t="str">
            <v>Kg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C318" t="str">
            <v>Kg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C319" t="str">
            <v>Kg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C320" t="str">
            <v>Kg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C321" t="str">
            <v>Kg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C322" t="str">
            <v>Kg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C323" t="str">
            <v>Kg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C324" t="str">
            <v>Kg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C325" t="str">
            <v>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C326" t="str">
            <v>Kg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C327" t="str">
            <v>Kg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C328" t="str">
            <v>Kg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C329" t="str">
            <v>Kg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C330" t="str">
            <v>Kg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C331" t="str">
            <v>Kg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C332" t="str">
            <v>Vỉ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C333" t="str">
            <v>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C334" t="str">
            <v>Kg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C335" t="str">
            <v>Kg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C336" t="str">
            <v>Kg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C337" t="str">
            <v>Kg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C338" t="str">
            <v>Kg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C339" t="str">
            <v>Kg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C340" t="str">
            <v>Kg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C341" t="str">
            <v>Kg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C342" t="str">
            <v>Kg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C343" t="str">
            <v>Kg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C344" t="str">
            <v>Kg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C345" t="str">
            <v>Kg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C346" t="str">
            <v>Kg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C347" t="str">
            <v>Kg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C348" t="str">
            <v>Kg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C349" t="str">
            <v>Kg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C350" t="str">
            <v>Kg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C351" t="str">
            <v>Kg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C352" t="str">
            <v>Túi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C353" t="str">
            <v>Kg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C354" t="str">
            <v>Kg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C355" t="str">
            <v>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C356" t="str">
            <v>Túi 500gr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C357" t="str">
            <v>Kg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C358" t="str">
            <v>Kg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C359" t="str">
            <v>Kg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C360" t="str">
            <v>Kg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C361" t="str">
            <v>Kg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C362" t="str">
            <v>Kg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C363" t="str">
            <v>Kg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C364" t="str">
            <v>Lần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C365" t="str">
            <v>Lần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C366" t="str">
            <v>Lần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C367" t="str">
            <v>Lần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C368" t="str">
            <v>Lít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C369" t="str">
            <v>Lít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C370" t="str">
            <v>Lần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C371" t="str">
            <v>Lần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C372" t="str">
            <v>Lần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C373" t="str">
            <v>Lần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C374" t="str">
            <v>Kg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C375" t="str">
            <v>Kg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C376" t="str">
            <v>Kg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C377" t="str">
            <v>Kg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C378" t="str">
            <v>Kg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C379" t="str">
            <v>Kg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C380" t="str">
            <v>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C381" t="str">
            <v>Kg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C382" t="str">
            <v>Kg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C383" t="str">
            <v>Kg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C384" t="str">
            <v>Kg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C385" t="str">
            <v>Kg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C386" t="str">
            <v>Kg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C387" t="str">
            <v>Kg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C388" t="str">
            <v>Kg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C389" t="str">
            <v>Kg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C390" t="str">
            <v>Kg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C391" t="str">
            <v>Kg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C392" t="str">
            <v>Kg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C393" t="str">
            <v>Kg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C394" t="str">
            <v>Kg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C395" t="str">
            <v>Kg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C396" t="str">
            <v>Kg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C397" t="str">
            <v>Kg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C398" t="str">
            <v>Túi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C399" t="str">
            <v>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C400" t="str">
            <v>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C401" t="str">
            <v>Kg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C402" t="str">
            <v>Kg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C403" t="str">
            <v>Kg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C404" t="str">
            <v>Kg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C405" t="str">
            <v>Kg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C406" t="str">
            <v>Cặp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C407" t="str">
            <v>Túi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C408" t="str">
            <v>Kg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C409" t="str">
            <v>Kg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C410" t="str">
            <v>Kg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C411" t="str">
            <v>Kg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C412" t="str">
            <v>Kg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C413" t="str">
            <v>Kg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C414" t="str">
            <v>Kg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C415" t="str">
            <v>Kg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C416" t="str">
            <v>Kg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C417" t="str">
            <v>Kg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C418" t="str">
            <v>Kg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C419" t="str">
            <v>Vỉ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C420" t="str">
            <v>Kg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C421" t="str">
            <v>Kg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C422" t="str">
            <v>Kg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C423" t="str">
            <v>Kg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C424" t="str">
            <v>Kg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C425" t="str">
            <v>Kg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C426" t="str">
            <v>Kg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C427" t="str">
            <v>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C428" t="str">
            <v>Kg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C429" t="str">
            <v>Kg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C430" t="str">
            <v>Trái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C431" t="str">
            <v>Kg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C432" t="str">
            <v>Kg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C433" t="str">
            <v>Kg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C434" t="str">
            <v>Kg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C435" t="str">
            <v>Kg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C436" t="str">
            <v>Kg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C437" t="str">
            <v>Kg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C438" t="str">
            <v>Kg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C439" t="str">
            <v>Kg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C440" t="str">
            <v>Kg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C441" t="str">
            <v>Kg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C442" t="str">
            <v>Vỉ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C443" t="str">
            <v>Kg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C444" t="str">
            <v>Túi 300gr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C445" t="str">
            <v>Kg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C446" t="str">
            <v>Hộp 300gr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C447" t="str">
            <v>Kg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C448" t="str">
            <v>Kg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C449" t="str">
            <v>Kg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C450" t="str">
            <v>Kg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C451" t="str">
            <v>Kg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C452" t="str">
            <v>Kg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C453" t="str">
            <v>Kg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C454" t="str">
            <v>Túi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C455" t="str">
            <v>Kg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C456" t="str">
            <v>Kg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C457" t="str">
            <v>Kg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C458" t="str">
            <v>Kg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C459" t="str">
            <v>Kg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C460" t="str">
            <v>Kg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C461" t="str">
            <v>Kg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C462" t="str">
            <v>Kg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C463" t="str">
            <v>Kg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C464" t="str">
            <v>Kg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C465" t="str">
            <v>Kg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C466" t="str">
            <v>Kg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C467" t="str">
            <v>Kg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C468" t="str">
            <v>Vỉ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C469" t="str">
            <v>Vỉ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C470" t="str">
            <v>Kg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C471" t="str">
            <v>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C472" t="str">
            <v>Kg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C473" t="str">
            <v>Kg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C474" t="str">
            <v>Kg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C475" t="str">
            <v>Kg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C476" t="str">
            <v>Kg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C477" t="str">
            <v>Kg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C478" t="str">
            <v>Kg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C479" t="str">
            <v>Kg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C480" t="str">
            <v>Kg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C481" t="str">
            <v>Kg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C482" t="str">
            <v>Kg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C483" t="str">
            <v>Túi 500gr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C484" t="str">
            <v>Kg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C485" t="str">
            <v>Kg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C486" t="str">
            <v>Kg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C487" t="str">
            <v>Kg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C488" t="str">
            <v>Hộp 300gr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C489" t="str">
            <v>Hộp 500gr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C490" t="str">
            <v>Vỉ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C491" t="str">
            <v>Kg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C492" t="str">
            <v>Kg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C493" t="str">
            <v>Kg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C494" t="str">
            <v>Kg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C495" t="str">
            <v>Vỉ 650gr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C496" t="str">
            <v>Kg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C497" t="str">
            <v>Kg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C498" t="str">
            <v>Kg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C499" t="str">
            <v>Kg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C500" t="str">
            <v>Hộp 300gr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C501" t="str">
            <v>Kg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C502" t="str">
            <v>Kg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C503" t="str">
            <v>Vỉ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C504" t="str">
            <v>Kg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C505" t="str">
            <v>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C506" t="str">
            <v>Kg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C507" t="str">
            <v>Kg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C508" t="str">
            <v>Kg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C509" t="str">
            <v>Kg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C510" t="str">
            <v>Kg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C511" t="str">
            <v>Kg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C512" t="str">
            <v>Túi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C513" t="str">
            <v>Kg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C514" t="str">
            <v>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C515" t="str">
            <v>Vỉ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C516" t="str">
            <v>Kg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C517" t="str">
            <v>Kg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C518" t="str">
            <v>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C519" t="str">
            <v>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C520" t="str">
            <v>Kg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C521" t="str">
            <v>Kg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C522" t="str">
            <v>Kg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C523" t="str">
            <v>Kg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C524" t="str">
            <v>Kg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C525" t="str">
            <v>Kg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C526" t="str">
            <v>Kg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C527" t="str">
            <v>Kg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C528" t="str">
            <v>Kg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C529" t="str">
            <v>Kg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C530" t="str">
            <v>Hộp 300gr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C531" t="str">
            <v>Kg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C532" t="str">
            <v>Kg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C533" t="str">
            <v>Kg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C534" t="str">
            <v>Túi 500gr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C535" t="str">
            <v>Vỉ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C536" t="str">
            <v>Kg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C537" t="str">
            <v>Kg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C538" t="str">
            <v>Kg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C539" t="str">
            <v>Kg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C540" t="str">
            <v>Kg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C541" t="str">
            <v>Kg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C542" t="str">
            <v>Kg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C543" t="str">
            <v>Vỉ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C544" t="str">
            <v>Kg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C545" t="str">
            <v>Kg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C546" t="str">
            <v>Lít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C547" t="str">
            <v>Lít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C548" t="str">
            <v>Lần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C549" t="str">
            <v/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C550" t="str">
            <v/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C551" t="str">
            <v/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C552" t="str">
            <v/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C553" t="str">
            <v>Lít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C554" t="str">
            <v>Lần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C555" t="str">
            <v>Lần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C556" t="str">
            <v>Lần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C557" t="str">
            <v>Lần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C558" t="str">
            <v>Kg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C559" t="str">
            <v>Kg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C560" t="str">
            <v>Kg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C561" t="str">
            <v>Kg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C562" t="str">
            <v>Kg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C563" t="str">
            <v>Kg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C564" t="str">
            <v>Kg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C565" t="str">
            <v>Kg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C566" t="str">
            <v>Kg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C567" t="str">
            <v>Kg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C568" t="str">
            <v>Kg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C569" t="str">
            <v>Kg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C570" t="str">
            <v>Kg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C571" t="str">
            <v>Túi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C572" t="str">
            <v>Kg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C573" t="str">
            <v>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C574" t="str">
            <v>Kg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C575" t="str">
            <v>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C576" t="str">
            <v>Hộp 300gr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C577" t="str">
            <v>Kg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C578" t="str">
            <v>Kg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C579" t="str">
            <v>Kg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C580" t="str">
            <v>Kg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C581" t="str">
            <v>Kg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C582" t="str">
            <v>Kg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C583" t="str">
            <v>Kg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C584" t="str">
            <v>Kg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C585" t="str">
            <v>Kg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C586" t="str">
            <v>Kg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C587" t="str">
            <v>Vỉ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C588" t="str">
            <v>Kg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C589" t="str">
            <v>Kg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C590" t="str">
            <v>Kg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C591" t="str">
            <v>Kg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C592" t="str">
            <v>Túi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C593" t="str">
            <v>Kg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C594" t="str">
            <v>Kg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C595" t="str">
            <v>Kg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C596" t="str">
            <v>Kg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C597" t="str">
            <v>Túi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C598" t="str">
            <v>Kg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C599" t="str">
            <v>Kg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C600" t="str">
            <v>Kg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C601" t="str">
            <v>Kg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C602" t="str">
            <v>Kg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C603" t="str">
            <v>Hộp 300gr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C604" t="str">
            <v>Hộp 500gr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C605" t="str">
            <v>Túi 500gr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C606" t="str">
            <v>Kg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C607" t="str">
            <v>Vỉ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C608" t="str">
            <v>Kg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C609" t="str">
            <v>Kg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C610" t="str">
            <v>Kg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C611" t="str">
            <v>Kg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C612" t="str">
            <v>Kg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C613" t="str">
            <v>Kg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C614" t="str">
            <v>Kg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C615" t="str">
            <v>Kg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C616" t="str">
            <v>Cặp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C617" t="str">
            <v>Vỉ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C618" t="str">
            <v>Kg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C619" t="str">
            <v>Kg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C620" t="str">
            <v>Kg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C621" t="str">
            <v>Kg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C622" t="str">
            <v>Kg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C623" t="str">
            <v>Kg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C624" t="str">
            <v>Kg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C625" t="str">
            <v>Kg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C626" t="str">
            <v>Kg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C627" t="str">
            <v>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C628" t="str">
            <v>Kg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C629" t="str">
            <v>Kg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C630" t="str">
            <v>Kg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C631" t="str">
            <v>Túi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C632" t="str">
            <v>Kg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C633" t="str">
            <v>Kg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C634" t="str">
            <v>Kg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C635" t="str">
            <v>Kg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C636" t="str">
            <v>Kg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C637" t="str">
            <v>Kg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C638" t="str">
            <v>Kg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C639" t="str">
            <v>Kg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C640" t="str">
            <v>Kg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C641" t="str">
            <v>Kg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C642" t="str">
            <v>Kg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C643" t="str">
            <v>Kg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C644" t="str">
            <v>Kg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C645" t="str">
            <v>Kg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C646" t="str">
            <v>Kg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C647" t="str">
            <v>Kg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C648" t="str">
            <v>Trái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C649" t="str">
            <v>Kg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C650" t="str">
            <v>Kg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C651" t="str">
            <v>Vỉ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C652" t="str">
            <v>Kg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C653" t="str">
            <v>Kg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C654" t="str">
            <v>Kg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C655" t="str">
            <v>Kg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C656" t="str">
            <v>Kg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C657" t="str">
            <v>Kg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C658" t="str">
            <v>Kg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C659" t="str">
            <v>Kg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C660" t="str">
            <v>Kg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C661" t="str">
            <v>Kg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C662" t="str">
            <v>Hộp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C663" t="str">
            <v>Kg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C664" t="str">
            <v>Kg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C665" t="str">
            <v>Kg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C666" t="str">
            <v>Kg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C667" t="str">
            <v>Kg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C668" t="str">
            <v>Hộp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C669" t="str">
            <v>Kg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C670" t="str">
            <v>Kg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C671" t="str">
            <v>Kg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C672" t="str">
            <v>Kg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C673" t="str">
            <v>Kg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C674" t="str">
            <v>Vỉ 650gr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C675" t="str">
            <v>Kg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C676" t="str">
            <v>Kg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C677" t="str">
            <v>Kg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C678" t="str">
            <v>Kg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C679" t="str">
            <v>Kg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C680" t="str">
            <v>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C681" t="str">
            <v>Kg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C682" t="str">
            <v>Trái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C683" t="str">
            <v>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C684" t="str">
            <v>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C685" t="str">
            <v>Kg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C686" t="str">
            <v>Kg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C687" t="str">
            <v>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C688" t="str">
            <v>Kg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C689" t="str">
            <v>Kg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C690" t="str">
            <v>Kg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C691" t="str">
            <v>Kg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C692" t="str">
            <v>Kg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C693" t="str">
            <v>Vỉ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C694" t="str">
            <v>Kg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C695" t="str">
            <v>Kg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C696" t="str">
            <v>Kg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C697" t="str">
            <v>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C698" t="str">
            <v>Kg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C699" t="str">
            <v>Kg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C700" t="str">
            <v>Kg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C701" t="str">
            <v>Kg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C702" t="str">
            <v>Kg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C703" t="str">
            <v>Kg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C704" t="str">
            <v>Kg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C705" t="str">
            <v>Kg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C706" t="str">
            <v>Kg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C707" t="str">
            <v>Vỉ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C708" t="str">
            <v>Kg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C709" t="str">
            <v>Kg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C710" t="str">
            <v>Kg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C711" t="str">
            <v>Kg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C712" t="str">
            <v>Kg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C713" t="str">
            <v>Kg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C714" t="str">
            <v>Kg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C715" t="str">
            <v>Kg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C716" t="str">
            <v>Túi 500gr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C717" t="str">
            <v>Kg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C718" t="str">
            <v>Hộp 300gr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C719" t="str">
            <v>Kg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C720" t="str">
            <v>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C721" t="str">
            <v>Kg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C722" t="str">
            <v>Túi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C723" t="str">
            <v>Kg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C724" t="str">
            <v>Lít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C725" t="str">
            <v>Lần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C726" t="str">
            <v>Lít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C727" t="str">
            <v>Lần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C728" t="str">
            <v>Lần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C729" t="str">
            <v>Lít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C730" t="str">
            <v>Lần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C731" t="str">
            <v>Lần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C732" t="str">
            <v>Lần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C733" t="str">
            <v>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C734" t="str">
            <v>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C735" t="str">
            <v>Kg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C736" t="str">
            <v>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C737" t="str">
            <v>Kg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C738" t="str">
            <v>Kg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C739" t="str">
            <v>Kg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C740" t="str">
            <v>Kg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C741" t="str">
            <v>Kg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C742" t="str">
            <v>Kg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C743" t="str">
            <v>Kg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C744" t="str">
            <v>Kg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C745" t="str">
            <v>Kg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C746" t="str">
            <v>Kg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C747" t="str">
            <v>Túi 300gr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C748" t="str">
            <v>Kg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C749" t="str">
            <v>Kg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C750" t="str">
            <v>Kg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C751" t="str">
            <v>Túi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C752" t="str">
            <v>Kg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C753" t="str">
            <v>Kg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C754" t="str">
            <v>Kg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C755" t="str">
            <v>Kg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C756" t="str">
            <v>Kg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C757" t="str">
            <v>Kg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C758" t="str">
            <v>Kg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C759" t="str">
            <v>Kg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C760" t="str">
            <v>Kg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C761" t="str">
            <v>Kg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C762" t="str">
            <v>Kg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C763" t="str">
            <v>Kg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C764" t="str">
            <v>Kg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C765" t="str">
            <v>Kg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C766" t="str">
            <v>Kg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C767" t="str">
            <v>Kg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C768" t="str">
            <v>Túi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C769" t="str">
            <v>Kg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C770" t="str">
            <v>Kg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C771" t="str">
            <v>Kg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C772" t="str">
            <v>Kg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C773" t="str">
            <v>Hộp 300gr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C774" t="str">
            <v>Hộp 500gr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C775" t="str">
            <v>Kg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C776" t="str">
            <v>Kg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C777" t="str">
            <v>Kg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C778" t="str">
            <v>Cặp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C779" t="str">
            <v>Kg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C780" t="str">
            <v>Kg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C781" t="str">
            <v>Túi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C782" t="str">
            <v>Kg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C783" t="str">
            <v>Kg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C784" t="str">
            <v>Kg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C785" t="str">
            <v>Kg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C786" t="str">
            <v>Hộp 250GR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C787" t="str">
            <v>Kg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C788" t="str">
            <v>Túi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C789" t="str">
            <v>Kg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C790" t="str">
            <v>Kg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C791" t="str">
            <v>Kg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C792" t="str">
            <v>Kg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C793" t="str">
            <v>Kg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C794" t="str">
            <v>Kg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C795" t="str">
            <v>Kg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C796" t="str">
            <v>Kg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C797" t="str">
            <v>Kg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C798" t="str">
            <v>Kg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C799" t="str">
            <v>Kg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C800" t="str">
            <v>Hộp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C801" t="str">
            <v>Kg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C802" t="str">
            <v>Kg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C803" t="str">
            <v>Kg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C804" t="str">
            <v>Kg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C805" t="str">
            <v>Kg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C806" t="str">
            <v>Kg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C807" t="str">
            <v>Kg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C808" t="str">
            <v>Kg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C809" t="str">
            <v>Kg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C810" t="str">
            <v>Kg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C811" t="str">
            <v>Kg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C812" t="str">
            <v>Kg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C813" t="str">
            <v>Kg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C814" t="str">
            <v>Kg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C815" t="str">
            <v>Kg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C816" t="str">
            <v>Kg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C817" t="str">
            <v>Kg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C818" t="str">
            <v>Kg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C819" t="str">
            <v>Kg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C820" t="str">
            <v>Kg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C821" t="str">
            <v>Kg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C822" t="str">
            <v>Kg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C823" t="str">
            <v>Kg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C824" t="str">
            <v>Kg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C825" t="str">
            <v>Kg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C826" t="str">
            <v>Túi 500gr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C827" t="str">
            <v>Kg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C828" t="str">
            <v>Kg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C829" t="str">
            <v>Kg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C830" t="str">
            <v>Kg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C831" t="str">
            <v>Kg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C832" t="str">
            <v>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C833" t="str">
            <v>Kg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C834" t="str">
            <v>Kg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C835" t="str">
            <v>Kg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C836" t="str">
            <v>Kg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C837" t="str">
            <v>Kg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C838" t="str">
            <v>Kg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C839" t="str">
            <v>Kg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C840" t="str">
            <v>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C841" t="str">
            <v>Kg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C842" t="str">
            <v>Kg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C843" t="str">
            <v>Kg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C844" t="str">
            <v>Kg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C845" t="str">
            <v>Vỉ 650gr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C846" t="str">
            <v>Kg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C847" t="str">
            <v>Kg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C848" t="str">
            <v>Kg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C849" t="str">
            <v>Kg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C850" t="str">
            <v>Kg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C851" t="str">
            <v>Kg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C852" t="str">
            <v>Kg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C853" t="str">
            <v>Túi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C854" t="str">
            <v>Kg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C855" t="str">
            <v>Kg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C856" t="str">
            <v>Kg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C857" t="str">
            <v>Kg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C858" t="str">
            <v>Vỉ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C859" t="str">
            <v>Kg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C860" t="str">
            <v>Kg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C861" t="str">
            <v>Kg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C862" t="str">
            <v>Kg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C863" t="str">
            <v>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C864" t="str">
            <v>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C865" t="str">
            <v>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C866" t="str">
            <v>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C867" t="str">
            <v>Kg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C868" t="str">
            <v>Kg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C869" t="str">
            <v>Kg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C870" t="str">
            <v>Kg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C871" t="str">
            <v>Kg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C872" t="str">
            <v>Kg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C873" t="str">
            <v>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C874" t="str">
            <v>Kg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C875" t="str">
            <v>Túi 500gr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C876" t="str">
            <v>Vỉ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C877" t="str">
            <v>Kg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C878" t="str">
            <v>Kg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C879" t="str">
            <v>Kg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C880" t="str">
            <v>Kg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C881" t="str">
            <v>Kg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C882" t="str">
            <v>Túi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C883" t="str">
            <v>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C884" t="str">
            <v>Vỉ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C885" t="str">
            <v>Kg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C886" t="str">
            <v>Kg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C887" t="str">
            <v>Kg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C888" t="str">
            <v>Kg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C889" t="str">
            <v>Kg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C890" t="str">
            <v>Kg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C891" t="str">
            <v>Vỉ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C892" t="str">
            <v>Kg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C893" t="str">
            <v>Trái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C894" t="str">
            <v>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C895" t="str">
            <v>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C896" t="str">
            <v>Kg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C897" t="str">
            <v>Kg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C898" t="str">
            <v>Kg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C899" t="str">
            <v>Kg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C900" t="str">
            <v>Kg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C901" t="str">
            <v>Kg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C902" t="str">
            <v>Kg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C903" t="str">
            <v>Hộp 300gr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C904" t="str">
            <v>Kg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C905" t="str">
            <v>Kg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C906" t="str">
            <v>Kg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C907" t="str">
            <v>Kg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C908" t="str">
            <v>Kg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C909" t="str">
            <v>Lít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C910" t="str">
            <v>Lít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C911" t="str">
            <v/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C912" t="str">
            <v>Lần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C913" t="str">
            <v>Lần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C914" t="str">
            <v>Lít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C915" t="str">
            <v>Lít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C916" t="str">
            <v>Lít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C917" t="str">
            <v>Lít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C918" t="str">
            <v>Lần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C919" t="str">
            <v>Lần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C920" t="str">
            <v>Lần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C921" t="str">
            <v/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C922" t="str">
            <v>Kg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C923" t="str">
            <v>Kg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C924" t="str">
            <v>Kg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C925" t="str">
            <v>Kg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C926" t="str">
            <v>Vỉ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C927" t="str">
            <v>Kg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C928" t="str">
            <v>Kg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C929" t="str">
            <v>Kg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C930" t="str">
            <v>Kg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C931" t="str">
            <v>Kg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C932" t="str">
            <v>Kg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C933" t="str">
            <v>Kg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C934" t="str">
            <v>Kg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C935" t="str">
            <v>Kg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C936" t="str">
            <v>Kg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C937" t="str">
            <v>Kg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C938" t="str">
            <v>Kg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C939" t="str">
            <v>Kg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C940" t="str">
            <v>Kg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C941" t="str">
            <v>Kg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C942" t="str">
            <v>Kg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C943" t="str">
            <v>Kg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C944" t="str">
            <v>Kg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C945" t="str">
            <v>Kg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C946" t="str">
            <v>Kg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C947" t="str">
            <v>Kg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C948" t="str">
            <v>Kg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C949" t="str">
            <v>Kg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C950" t="str">
            <v>Kg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C951" t="str">
            <v>Kg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C952" t="str">
            <v>Túi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C953" t="str">
            <v>Kg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C954" t="str">
            <v>Kg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C955" t="str">
            <v>Kg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C956" t="str">
            <v>Kg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C957" t="str">
            <v>Kg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C958" t="str">
            <v>Kg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C959" t="str">
            <v>Kg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C960" t="str">
            <v>Kg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C961" t="str">
            <v>Kg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C962" t="str">
            <v>Cặp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C963" t="str">
            <v>Kg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C964" t="str">
            <v>Kg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C965" t="str">
            <v>Kg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C966" t="str">
            <v>Kg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C967" t="str">
            <v>Kg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C968" t="str">
            <v>Kg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C969" t="str">
            <v>Túi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C970" t="str">
            <v>Kg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C971" t="str">
            <v>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C972" t="str">
            <v>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C973" t="str">
            <v>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C974" t="str">
            <v>Kg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C975" t="str">
            <v>Kg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C976" t="str">
            <v>Kg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C977" t="str">
            <v>Kg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C978" t="str">
            <v>Túi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C979" t="str">
            <v>Túi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C980" t="str">
            <v>Hộp 300gr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C981" t="str">
            <v>Hộp 300gr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C982" t="str">
            <v>Hộp 500gr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C983" t="str">
            <v>Kg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C984" t="str">
            <v>Kg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C985" t="str">
            <v>Kg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C986" t="str">
            <v>Túi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C987" t="str">
            <v>Kg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C988" t="str">
            <v>Kg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C989" t="str">
            <v>Kg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C990" t="str">
            <v>Kg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C991" t="str">
            <v>Kg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C992" t="str">
            <v>Kg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C993" t="str">
            <v>Kg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C994" t="str">
            <v>Kg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C995" t="str">
            <v>Kg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C996" t="str">
            <v>Kg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C997" t="str">
            <v>Kg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C998" t="str">
            <v>Kg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C999" t="str">
            <v>Vỉ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C1000" t="str">
            <v>Kg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C1001" t="str">
            <v>Kg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C1002" t="str">
            <v>Kg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C1003" t="str">
            <v>Kg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C1004" t="str">
            <v>Kg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C1005" t="str">
            <v>Kg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C1006" t="str">
            <v>Túi 500gr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C1007" t="str">
            <v>Kg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C1008" t="str">
            <v>Kg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C1009" t="str">
            <v>Kg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C1010" t="str">
            <v>Kg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C1011" t="str">
            <v>Vỉ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C1012" t="str">
            <v>Kg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C1013" t="str">
            <v>Kg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C1014" t="str">
            <v>Kg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C1015" t="str">
            <v>Kg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C1016" t="str">
            <v>Kg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C1017" t="str">
            <v>Vỉ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C1018" t="str">
            <v>Kg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C1019" t="str">
            <v>Kg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C1020" t="str">
            <v>Kg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C1021" t="str">
            <v>Kg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C1022" t="str">
            <v>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C1023" t="str">
            <v>Kg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C1024" t="str">
            <v>Kg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C1025" t="str">
            <v>Kg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C1026" t="str">
            <v>Kg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C1027" t="str">
            <v>Hộp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C1028" t="str">
            <v>Kg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C1029" t="str">
            <v>Vỉ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C1030" t="str">
            <v>Kg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C1031" t="str">
            <v>Túi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C1032" t="str">
            <v>Hộp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C1033" t="str">
            <v>Vỉ 500gr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C1034" t="str">
            <v>Vỉ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C1035" t="str">
            <v>Vỉ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C1036" t="str">
            <v>Túi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C1037" t="str">
            <v>Túi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C1038" t="str">
            <v>Túi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C1039" t="str">
            <v>Túi 150gr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C1040" t="str">
            <v>Vỉ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C1041" t="str">
            <v>Vỉ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C1042" t="str">
            <v>Túi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C1043" t="str">
            <v>Kg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C1044" t="str">
            <v>Kg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C1045" t="str">
            <v>Kg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C1046" t="str">
            <v>Kg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C1047" t="str">
            <v>Kg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C1048" t="str">
            <v>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C1049" t="str">
            <v>Kg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C1050" t="str">
            <v>Kg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C1051" t="str">
            <v>Kg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C1052" t="str">
            <v>Kg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C1053" t="str">
            <v>Kg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C1054" t="str">
            <v>Kg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C1055" t="str">
            <v>Kg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C1056" t="str">
            <v>Kg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C1057" t="str">
            <v>Kg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C1058" t="str">
            <v>Kg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C1059" t="str">
            <v>Kg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C1060" t="str">
            <v>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C1061" t="str">
            <v>Kg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C1062" t="str">
            <v>Kg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C1063" t="str">
            <v>Kg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C1064" t="str">
            <v>Kg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C1065" t="str">
            <v>Kg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C1066" t="str">
            <v>Kg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C1067" t="str">
            <v>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C1068" t="str">
            <v>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C1069" t="str">
            <v>Kg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C1070" t="str">
            <v>Kg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C1071" t="str">
            <v>Kg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C1072" t="str">
            <v>Kg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C1073" t="str">
            <v>Kg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C1074" t="str">
            <v>Kg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C1075" t="str">
            <v>Kg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C1076" t="str">
            <v>Kg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C1077" t="str">
            <v>Kg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C1078" t="str">
            <v>Kg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C1079" t="str">
            <v>Kg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C1080" t="str">
            <v>Kg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C1081" t="str">
            <v>Kg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C1082" t="str">
            <v>Kg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C1083" t="str">
            <v>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C1084" t="str">
            <v>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C1085" t="str">
            <v>Vỉ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C1086" t="str">
            <v>Kg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C1087" t="str">
            <v>Kg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C1088" t="str">
            <v>Vỉ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C1089" t="str">
            <v>Kg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C1090" t="str">
            <v>Kg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C1091" t="str">
            <v>Kg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C1092" t="str">
            <v>Kg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C1093" t="str">
            <v>Túi 500gr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C1094" t="str">
            <v>Túi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C1095" t="str">
            <v>Vỉ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C1096" t="str">
            <v>Kg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C1097" t="str">
            <v>Kg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C1098" t="str">
            <v>Kg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C1099" t="str">
            <v>Kg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C1100" t="str">
            <v>Lít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C1101" t="str">
            <v>Lần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C1102" t="str">
            <v>Kg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C1103" t="str">
            <v>Kg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C1104" t="str">
            <v>Kg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C1105" t="str">
            <v>Kg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C1106" t="str">
            <v>Kg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C1107" t="str">
            <v>Túi 300gr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C1108" t="str">
            <v>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C1109" t="str">
            <v>Kg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C1110" t="str">
            <v>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C1111" t="str">
            <v>Kg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C1112" t="str">
            <v>Kg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C1113" t="str">
            <v>Túi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C1114" t="str">
            <v>Kg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C1115" t="str">
            <v>Kg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C1116" t="str">
            <v>Kg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C1117" t="str">
            <v>Kg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C1118" t="str">
            <v>Kg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C1119" t="str">
            <v>Kg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C1120" t="str">
            <v>Túi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C1121" t="str">
            <v>Kg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C1122" t="str">
            <v>Kg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C1123" t="str">
            <v>Kg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C1124" t="str">
            <v>Kg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C1125" t="str">
            <v>Kg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C1126" t="str">
            <v>Kg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C1127" t="str">
            <v>Vỉ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C1128" t="str">
            <v>Kg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C1129" t="str">
            <v>Kg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C1130" t="str">
            <v>Kg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C1131" t="str">
            <v>Kg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C1132" t="str">
            <v>Hộp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C1133" t="str">
            <v>Kg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C1134" t="str">
            <v>Kg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C1135" t="str">
            <v>Kg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C1136" t="str">
            <v>Kg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C1137" t="str">
            <v>Kg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C1138" t="str">
            <v>Kg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C1139" t="str">
            <v>Kg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C1140" t="str">
            <v>Kg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C1141" t="str">
            <v>Kg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C1142" t="str">
            <v>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C1143" t="str">
            <v>Kg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C1144" t="str">
            <v>Túi 500gr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C1145" t="str">
            <v>Kg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C1146" t="str">
            <v>Túi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C1147" t="str">
            <v>Kg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C1148" t="str">
            <v>Hộp 250GR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C1149" t="str">
            <v>Túi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C1150" t="str">
            <v>Túi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C1151" t="str">
            <v>Kg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C1152" t="str">
            <v>Kg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C1153" t="str">
            <v>Kg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C1154" t="str">
            <v>Kg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C1155" t="str">
            <v>Kg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C1156" t="str">
            <v>Kg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C1157" t="str">
            <v>Kg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C1158" t="str">
            <v>Kg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C1159" t="str">
            <v>Kg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C1160" t="str">
            <v>Kg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C1161" t="str">
            <v>Kg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C1162" t="str">
            <v>Vỉ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C1163" t="str">
            <v>Vỉ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C1164" t="str">
            <v>Kg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C1165" t="str">
            <v>Hộp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C1166" t="str">
            <v>Hộp 300gr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C1167" t="str">
            <v>Túi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C1168" t="str">
            <v>Vỉ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C1169" t="str">
            <v>Túi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C1170" t="str">
            <v>Hộp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C1171" t="str">
            <v>Túi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C1172" t="str">
            <v>Kg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C1173" t="str">
            <v>Kg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C1174" t="str">
            <v>Vỉ 650gr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C1175" t="str">
            <v>Vỉ 500gr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C1176" t="str">
            <v>Kg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C1177" t="str">
            <v>Túi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C1178" t="str">
            <v>Vỉ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C1179" t="str">
            <v>Túi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C1180" t="str">
            <v>Túi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C1181" t="str">
            <v>Túi 150gr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C1182" t="str">
            <v>Vỉ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C1183" t="str">
            <v>Vỉ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C1184" t="str">
            <v>Vỉ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C1185" t="str">
            <v>Kg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C1186" t="str">
            <v>Túi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C1187" t="str">
            <v>Kg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C1188" t="str">
            <v>Kg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C1189" t="str">
            <v>Vỉ 500gr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C1190" t="str">
            <v>Hộp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C1191" t="str">
            <v>Kg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C1192" t="str">
            <v>Vỉ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C1193" t="str">
            <v>Kg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C1194" t="str">
            <v>Kg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C1195" t="str">
            <v>Kg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C1196" t="str">
            <v>Kg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C1197" t="str">
            <v>Kg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C1198" t="str">
            <v>Hộp 300gr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C1199" t="str">
            <v>Hộp 500gr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C1200" t="str">
            <v>Hộp 300gr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C1201" t="str">
            <v>Kg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C1202" t="str">
            <v>Kg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C1203" t="str">
            <v>Kg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C1204" t="str">
            <v>Kg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C1205" t="str">
            <v>Kg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C1206" t="str">
            <v>Kg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C1207" t="str">
            <v>Kg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C1208" t="str">
            <v>Kg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C1209" t="str">
            <v>Túi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C1210" t="str">
            <v>Kg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C1211" t="str">
            <v>Kg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C1212" t="str">
            <v>Cặp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C1213" t="str">
            <v>Kg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C1214" t="str">
            <v>Kg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C1215" t="str">
            <v>Kg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C1216" t="str">
            <v>Kg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C1217" t="str">
            <v>Kg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C1218" t="str">
            <v>Kg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C1219" t="str">
            <v>Kg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C1220" t="str">
            <v>Kg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C1221" t="str">
            <v>Kg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C1222" t="str">
            <v>Kg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C1223" t="str">
            <v>Kg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C1224" t="str">
            <v>Kg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C1225" t="str">
            <v>Kg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C1226" t="str">
            <v>Kg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C1227" t="str">
            <v>Kg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C1228" t="str">
            <v>Kg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C1229" t="str">
            <v>Kg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C1230" t="str">
            <v>Trái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C1231" t="str">
            <v>Kg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C1232" t="str">
            <v>Kg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C1233" t="str">
            <v>Kg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C1234" t="str">
            <v>Kg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C1235" t="str">
            <v>Kg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C1236" t="str">
            <v>Vỉ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C1237" t="str">
            <v>Vỉ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C1238" t="str">
            <v>Kg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C1239" t="str">
            <v>Kg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C1240" t="str">
            <v>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C1241" t="str">
            <v>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C1242" t="str">
            <v>Kg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C1243" t="str">
            <v>Kg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C1244" t="str">
            <v>Kg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C1245" t="str">
            <v>Kg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C1246" t="str">
            <v>Kg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C1247" t="str">
            <v>Kg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C1248" t="str">
            <v>Kg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C1249" t="str">
            <v>Kg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C1250" t="str">
            <v>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C1251" t="str">
            <v>Vỉ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C1252" t="str">
            <v>Vỉ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C1253" t="str">
            <v>Túi 500gr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C1254" t="str">
            <v>Kg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C1255" t="str">
            <v>Kg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C1256" t="str">
            <v>Kg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C1257" t="str">
            <v>Kg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C1258" t="str">
            <v>Vỉ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C1259" t="str">
            <v>Kg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C1260" t="str">
            <v>Kg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C1261" t="str">
            <v>Kg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C1262" t="str">
            <v>Kg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C1263" t="str">
            <v>Kg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C1264" t="str">
            <v>Túi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C1265" t="str">
            <v>Kg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C1266" t="str">
            <v>Kg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C1267" t="str">
            <v>Kg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C1268" t="str">
            <v>Kg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C1269" t="str">
            <v>Kg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C1270" t="str">
            <v>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C1271" t="str">
            <v>Kg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C1272" t="str">
            <v>Kg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C1273" t="str">
            <v>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C1274" t="str">
            <v>Lít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C1275" t="str">
            <v>Lít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C1276" t="str">
            <v>Vỉ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C1277" t="str">
            <v>Kg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C1278" t="str">
            <v>Kg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C1279" t="str">
            <v>Kg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C1280" t="str">
            <v>Kg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C1281" t="str">
            <v>Kg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C1282" t="str">
            <v>Kg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C1283" t="str">
            <v>Kg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C1284" t="str">
            <v>Kg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C1285" t="str">
            <v>Kg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C1286" t="str">
            <v>Kg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C1287" t="str">
            <v>Kg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C1288" t="str">
            <v>Kg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C1289" t="str">
            <v>Kg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C1290" t="str">
            <v>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C1291" t="str">
            <v>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C1292" t="str">
            <v>Kg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C1293" t="str">
            <v>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C1294" t="str">
            <v>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C1295" t="str">
            <v>Kg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C1296" t="str">
            <v>Kg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C1297" t="str">
            <v>Kg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C1298" t="str">
            <v>Kg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C1299" t="str">
            <v>Kg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C1300" t="str">
            <v>Kg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C1301" t="str">
            <v>Kg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C1302" t="str">
            <v>Kg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C1303" t="str">
            <v>Kg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C1304" t="str">
            <v>Kg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C1305" t="str">
            <v>Kg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C1306" t="str">
            <v>Kg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C1307" t="str">
            <v>Kg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C1308" t="str">
            <v>Kg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C1309" t="str">
            <v>Kg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C1310" t="str">
            <v>Kg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C1311" t="str">
            <v>Kg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C1312" t="str">
            <v>Kg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C1313" t="str">
            <v>Kg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C1314" t="str">
            <v>Kg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C1315" t="str">
            <v>Kg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C1316" t="str">
            <v>Hộp 300gr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C1317" t="str">
            <v>Kg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C1318" t="str">
            <v>Kg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C1319" t="str">
            <v>Kg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C1320" t="str">
            <v>Kg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C1321" t="str">
            <v>Kg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C1322" t="str">
            <v>Kg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C1323" t="str">
            <v>Túi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C1324" t="str">
            <v>Kg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C1325" t="str">
            <v>Kg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C1326" t="str">
            <v>Kg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C1327" t="str">
            <v>Kg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C1328" t="str">
            <v>Kg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C1329" t="str">
            <v>Kg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C1330" t="str">
            <v>Kg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C1331" t="str">
            <v>Kg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C1332" t="str">
            <v>Cặp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C1333" t="str">
            <v>Kg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C1334" t="str">
            <v>Kg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C1335" t="str">
            <v>Kg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C1336" t="str">
            <v>Kg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C1337" t="str">
            <v>Kg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C1338" t="str">
            <v>Kg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C1339" t="str">
            <v>Kg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C1340" t="str">
            <v>Hộp 300gr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C1341" t="str">
            <v>Hộp 500gr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C1342" t="str">
            <v>Kg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C1343" t="str">
            <v>Kg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C1344" t="str">
            <v>Kg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C1345" t="str">
            <v>Kg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C1346" t="str">
            <v>Kg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C1347" t="str">
            <v>Kg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C1348" t="str">
            <v>Kg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C1349" t="str">
            <v>Kg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C1350" t="str">
            <v>Kg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C1351" t="str">
            <v>Kg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C1352" t="str">
            <v>Kg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C1353" t="str">
            <v>Kg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C1354" t="str">
            <v>Kg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C1355" t="str">
            <v>Kg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C1356" t="str">
            <v>Kg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C1357" t="str">
            <v>Túi 500gr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C1358" t="str">
            <v>Kg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C1359" t="str">
            <v>Vỉ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C1360" t="str">
            <v>Vỉ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C1361" t="str">
            <v>Kg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C1362" t="str">
            <v>Kg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C1363" t="str">
            <v>Kg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C1364" t="str">
            <v>Kg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C1365" t="str">
            <v>Kg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C1366" t="str">
            <v>Kg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C1367" t="str">
            <v>Kg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C1368" t="str">
            <v>Vỉ 650gr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C1369" t="str">
            <v>Vỉ 500gr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C1370" t="str">
            <v>Túi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C1371" t="str">
            <v>Kg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C1372" t="str">
            <v>Túi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C1373" t="str">
            <v>Vỉ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C1374" t="str">
            <v>Hộp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C1375" t="str">
            <v>Hộp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C1376" t="str">
            <v>Hộp 300gr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C1377" t="str">
            <v>Kg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C1378" t="str">
            <v>Kg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C1379" t="str">
            <v>Kg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C1380" t="str">
            <v>Kg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C1381" t="str">
            <v>Kg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C1382" t="str">
            <v>Kg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C1383" t="str">
            <v>Túi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C1384" t="str">
            <v>Kg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C1385" t="str">
            <v>Kg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C1386" t="str">
            <v>Hộp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C1387" t="str">
            <v>Vỉ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C1388" t="str">
            <v>Vỉ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C1389" t="str">
            <v>Vỉ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C1390" t="str">
            <v>Kg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C1391" t="str">
            <v>Vỉ 500gr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C1392" t="str">
            <v>Kg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C1393" t="str">
            <v>Kg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C1394" t="str">
            <v>Túi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C1395" t="str">
            <v>Túi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C1396" t="str">
            <v>Kg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C1397" t="str">
            <v>Vỉ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C1398" t="str">
            <v>Túi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C1399" t="str">
            <v>Kg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C1400" t="str">
            <v>Kg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C1401" t="str">
            <v>Kg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C1402" t="str">
            <v>Kg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C1403" t="str">
            <v>Kg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C1404" t="str">
            <v>Kg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C1405" t="str">
            <v>Kg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C1406" t="str">
            <v>Trái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C1407" t="str">
            <v>Kg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C1408" t="str">
            <v>Kg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C1409" t="str">
            <v>Kg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C1410" t="str">
            <v>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C1411" t="str">
            <v>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C1412" t="str">
            <v>Kg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C1413" t="str">
            <v>Kg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C1414" t="str">
            <v>Kg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C1415" t="str">
            <v>Kg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C1416" t="str">
            <v>Kg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C1417" t="str">
            <v>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C1418" t="str">
            <v>Kg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C1419" t="str">
            <v>Vỉ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C1420" t="str">
            <v>Kg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C1421" t="str">
            <v>Kg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C1422" t="str">
            <v>Kg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C1423" t="str">
            <v>Kg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C1424" t="str">
            <v>Kg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C1425" t="str">
            <v>Vỉ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C1426" t="str">
            <v>Túi 500gr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C1427" t="str">
            <v>Kg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C1428" t="str">
            <v>Kg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C1429" t="str">
            <v>Kg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C1430" t="str">
            <v>Kg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C1431" t="str">
            <v>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C1432" t="str">
            <v>Kg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C1433" t="str">
            <v>Túi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C1434" t="str">
            <v>Kg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C1435" t="str">
            <v>Kg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C1436" t="str">
            <v>Kg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C1437" t="str">
            <v>Kg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C1438" t="str">
            <v>Kg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C1439" t="str">
            <v>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C1440" t="str">
            <v>Kg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C1441" t="str">
            <v>Vỉ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C1442" t="str">
            <v>Kg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C1443" t="str">
            <v>Kg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C1444" t="str">
            <v>Kg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C1445" t="str">
            <v>Kg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C1446" t="str">
            <v>Kg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C1447" t="str">
            <v>Kg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C1448" t="str">
            <v>Kg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C1449" t="str">
            <v>Kg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C1450" t="str">
            <v>Kg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C1451" t="str">
            <v>Kg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C1452" t="str">
            <v>Lít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C1453" t="str">
            <v>Lít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C1454" t="str">
            <v>Lít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C1455" t="str">
            <v>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C1456" t="str">
            <v>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C1457" t="str">
            <v>Kg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C1458" t="str">
            <v>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C1459" t="str">
            <v>Kg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C1460" t="str">
            <v>Kg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C1461" t="str">
            <v>Kg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C1462" t="str">
            <v>Kg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C1463" t="str">
            <v>Kg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C1464" t="str">
            <v>Kg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C1465" t="str">
            <v>Kg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C1466" t="str">
            <v>Kg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C1467" t="str">
            <v>Kg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C1468" t="str">
            <v>Kg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C1469" t="str">
            <v>Kg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C1470" t="str">
            <v>Kg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C1471" t="str">
            <v>Kg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C1472" t="str">
            <v>Kg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C1473" t="str">
            <v>Kg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C1474" t="str">
            <v>Túi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C1475" t="str">
            <v>Vỉ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C1476" t="str">
            <v>Hộp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C1477" t="str">
            <v>Hộp 300gr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C1478" t="str">
            <v>Kg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C1479" t="str">
            <v>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C1480" t="str">
            <v>Kg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C1481" t="str">
            <v>Kg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C1482" t="str">
            <v>Kg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C1483" t="str">
            <v>Kg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C1484" t="str">
            <v/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C1485" t="str">
            <v>Kg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C1486" t="str">
            <v>Kg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C1487" t="str">
            <v>Kg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C1488" t="str">
            <v>Vỉ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C1489" t="str">
            <v>Kg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C1490" t="str">
            <v>Kg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C1491" t="str">
            <v>Kg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C1492" t="str">
            <v>Kg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C1493" t="str">
            <v>Kg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C1494" t="str">
            <v>Kg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C1495" t="str">
            <v>Kg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C1496" t="str">
            <v>Kg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C1497" t="str">
            <v>Kg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C1498" t="str">
            <v>Kg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C1499" t="str">
            <v>Kg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C1500" t="str">
            <v>Kg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C1501" t="str">
            <v>Kg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C1502" t="str">
            <v>Kg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C1503" t="str">
            <v>Kg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C1504" t="str">
            <v>Túi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C1505" t="str">
            <v>Túi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C1506" t="str">
            <v>Vỉ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C1507" t="str">
            <v>Vỉ 500gr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C1508" t="str">
            <v>Kg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C1509" t="str">
            <v>Kg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C1510" t="str">
            <v>Hộp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C1511" t="str">
            <v>Túi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C1512" t="str">
            <v>Kg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C1513" t="str">
            <v>Kg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C1514" t="str">
            <v>Kg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C1515" t="str">
            <v>Kg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C1516" t="str">
            <v>Kg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C1517" t="str">
            <v>Kg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C1518" t="str">
            <v>Túi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C1519" t="str">
            <v>Kg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C1520" t="str">
            <v>Cặp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C1521" t="str">
            <v>Kg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C1522" t="str">
            <v>Kg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C1523" t="str">
            <v>Kg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C1524" t="str">
            <v>Kg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C1525" t="str">
            <v>Kg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C1526" t="str">
            <v>Kg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C1527" t="str">
            <v>Kg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C1528" t="str">
            <v>Kg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C1529" t="str">
            <v>Kg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C1530" t="str">
            <v>Hộp 300gr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C1531" t="str">
            <v>Hộp 500gr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C1532" t="str">
            <v>Kg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C1533" t="str">
            <v>Kg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C1534" t="str">
            <v>Kg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C1535" t="str">
            <v>Kg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C1536" t="str">
            <v>Kg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C1537" t="str">
            <v>Kg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C1538" t="str">
            <v>Kg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C1539" t="str">
            <v>Kg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C1540" t="str">
            <v>Kg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C1541" t="str">
            <v>Kg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C1542" t="str">
            <v>Kg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C1543" t="str">
            <v>Kg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C1544" t="str">
            <v>Kg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C1545" t="str">
            <v>Kg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C1546" t="str">
            <v>Vỉ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C1547" t="str">
            <v>Kg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C1548" t="str">
            <v>Kg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C1549" t="str">
            <v>Túi 500gr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C1550" t="str">
            <v>Kg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C1551" t="str">
            <v>Kg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C1552" t="str">
            <v>Kg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C1553" t="str">
            <v>Kg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C1554" t="str">
            <v>Kg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C1555" t="str">
            <v>Hộp 300gr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C1556" t="str">
            <v>Kg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C1557" t="str">
            <v>Kg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C1558" t="str">
            <v>Kg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C1559" t="str">
            <v>Kg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C1560" t="str">
            <v>Kg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C1561" t="str">
            <v>Kg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C1562" t="str">
            <v>Kg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C1563" t="str">
            <v>Kg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C1564" t="str">
            <v>Túi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C1565" t="str">
            <v>Kg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C1566" t="str">
            <v>Túi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C1567" t="str">
            <v>Túi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C1568" t="str">
            <v>Kg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C1569" t="str">
            <v>Kg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C1570" t="str">
            <v>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C1571" t="str">
            <v>Kg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C1572" t="str">
            <v>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C1573" t="str">
            <v>Kg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C1574" t="str">
            <v>Túi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C1575" t="str">
            <v>Túi 150gr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C1576" t="str">
            <v>Túi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C1577" t="str">
            <v>Vỉ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C1578" t="str">
            <v>Vỉ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C1579" t="str">
            <v>Kg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C1580" t="str">
            <v>Vỉ 500gr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C1581" t="str">
            <v>Kg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C1582" t="str">
            <v>Vỉ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C1583" t="str">
            <v>Kg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C1584" t="str">
            <v>Kg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C1585" t="str">
            <v>Vỉ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C1586" t="str">
            <v>Hộp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C1587" t="str">
            <v>Túi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C1588" t="str">
            <v>Kg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C1589" t="str">
            <v>Kg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C1590" t="str">
            <v>Kg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C1591" t="str">
            <v>Kg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C1592" t="str">
            <v>Túi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C1593" t="str">
            <v>Kg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C1594" t="str">
            <v>Kg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C1595" t="str">
            <v>Kg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C1596" t="str">
            <v>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C1597" t="str">
            <v>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C1598" t="str">
            <v>Kg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C1599" t="str">
            <v>Vỉ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C1600" t="str">
            <v>Kg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C1601" t="str">
            <v>Kg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C1602" t="str">
            <v>Kg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C1603" t="str">
            <v>Kg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C1604" t="str">
            <v>Kg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C1605" t="str">
            <v>Kg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C1606" t="str">
            <v>Kg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C1607" t="str">
            <v>Kg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C1608" t="str">
            <v>Kg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C1609" t="str">
            <v>Kg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C1610" t="str">
            <v>Túi 500gr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C1611" t="str">
            <v>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C1612" t="str">
            <v>Kg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C1613" t="str">
            <v>Kg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C1614" t="str">
            <v>Kg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C1615" t="str">
            <v>Kg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C1616" t="str">
            <v>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C1617" t="str">
            <v>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C1618" t="str">
            <v>Vỉ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C1619" t="str">
            <v>Kg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C1620" t="str">
            <v>Kg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C1621" t="str">
            <v>Kg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C1622" t="str">
            <v>Kg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C1623" t="str">
            <v>Kg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C1624" t="str">
            <v>Kg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C1625" t="str">
            <v>Kg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C1626" t="str">
            <v>Kg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C1627" t="str">
            <v>Kg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C1628" t="str">
            <v>Kg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C1629" t="str">
            <v>Kg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C1630" t="str">
            <v>Lít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C1631" t="str">
            <v>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C1632" t="str">
            <v>Kg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C1633" t="str">
            <v>Kg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C1634" t="str">
            <v>Kg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C1635" t="str">
            <v>Kg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C1636" t="str">
            <v>Kg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C1637" t="str">
            <v>Kg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C1638" t="str">
            <v>Kg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C1639" t="str">
            <v>Kg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C1640" t="str">
            <v>Kg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C1641" t="str">
            <v>Kg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C1642" t="str">
            <v>Kg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C1643" t="str">
            <v>Kg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C1644" t="str">
            <v>Kg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C1645" t="str">
            <v>Kg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C1646" t="str">
            <v>Kg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C1647" t="str">
            <v>Túi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C1648" t="str">
            <v>Kg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C1649" t="str">
            <v>Kg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C1650" t="str">
            <v>Kg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C1651" t="str">
            <v>Kg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C1652" t="str">
            <v>Kg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C1653" t="str">
            <v>Kg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C1654" t="str">
            <v>Kg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C1655" t="str">
            <v>Kg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C1656" t="str">
            <v>Kg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C1657" t="str">
            <v>Kg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C1658" t="str">
            <v>Kg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C1659" t="str">
            <v>Kg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C1660" t="str">
            <v>Kg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C1661" t="str">
            <v>Kg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C1662" t="str">
            <v>Hộp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C1663" t="str">
            <v>Kg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C1664" t="str">
            <v>Kg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C1665" t="str">
            <v>Kg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C1666" t="str">
            <v>Kg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C1667" t="str">
            <v>Kg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C1668" t="str">
            <v>Kg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C1669" t="str">
            <v>Kg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C1670" t="str">
            <v>Túi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C1671" t="str">
            <v>Kg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C1672" t="str">
            <v>Kg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C1673" t="str">
            <v>Kg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C1674" t="str">
            <v>Kg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C1675" t="str">
            <v>Kg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C1676" t="str">
            <v>Cặp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C1677" t="str">
            <v>Kg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C1678" t="str">
            <v>Túi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C1679" t="str">
            <v>Kg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C1680" t="str">
            <v>Kg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C1681" t="str">
            <v>Kg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C1682" t="str">
            <v>Kg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C1683" t="str">
            <v>Kg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C1684" t="str">
            <v>Kg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C1685" t="str">
            <v>Kg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C1686" t="str">
            <v>Kg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C1687" t="str">
            <v>Kg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C1688" t="str">
            <v>Kg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C1689" t="str">
            <v>Kg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C1690" t="str">
            <v>Kg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C1691" t="str">
            <v>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C1692" t="str">
            <v>Kg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C1693" t="str">
            <v>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C1694" t="str">
            <v>Kg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C1695" t="str">
            <v>Kg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C1696" t="str">
            <v>Kg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C1697" t="str">
            <v>Kg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C1698" t="str">
            <v>Kg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C1699" t="str">
            <v>Kg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C1700" t="str">
            <v>Kg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C1701" t="str">
            <v>Vỉ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C1702" t="str">
            <v>Túi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C1703" t="str">
            <v>Vỉ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C1704" t="str">
            <v>Hộp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C1705" t="str">
            <v>Kg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C1706" t="str">
            <v>Túi 300gr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C1707" t="str">
            <v>Kg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C1708" t="str">
            <v>Kg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C1709" t="str">
            <v>Kg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C1710" t="str">
            <v>Kg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C1711" t="str">
            <v>Kg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C1712" t="str">
            <v>Vỉ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C1713" t="str">
            <v>Vỉ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C1714" t="str">
            <v>Kg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C1715" t="str">
            <v>Hộp 500gr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C1716" t="str">
            <v>Hộp 300gr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C1717" t="str">
            <v>Túi 500gr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C1718" t="str">
            <v>Kg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C1719" t="str">
            <v>Kg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C1720" t="str">
            <v>Kg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C1721" t="str">
            <v>Túi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C1722" t="str">
            <v>Vỉ 650gr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C1723" t="str">
            <v>Vỉ 500gr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C1724" t="str">
            <v>Kg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C1725" t="str">
            <v>Kg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C1726" t="str">
            <v>Kg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C1727" t="str">
            <v>Kg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C1728" t="str">
            <v>Vỉ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C1729" t="str">
            <v>Vỉ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C1730" t="str">
            <v>Kg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C1731" t="str">
            <v>Vỉ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C1732" t="str">
            <v>Kg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C1733" t="str">
            <v>Vỉ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C1734" t="str">
            <v>Túi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C1735" t="str">
            <v>Vỉ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C1736" t="str">
            <v>Vỉ 500gr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C1737" t="str">
            <v>Kg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C1738" t="str">
            <v>Kg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C1739" t="str">
            <v>Túi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C1740" t="str">
            <v>Hộp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C1741" t="str">
            <v>Kg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C1742" t="str">
            <v>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C1743" t="str">
            <v>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C1744" t="str">
            <v>Kg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C1745" t="str">
            <v>Vỉ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C1746" t="str">
            <v>Vỉ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C1747" t="str">
            <v>Vỉ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C1748" t="str">
            <v>Kg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C1749" t="str">
            <v>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C1750" t="str">
            <v>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C1751" t="str">
            <v>Kg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C1752" t="str">
            <v>Kg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C1753" t="str">
            <v>Kg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C1754" t="str">
            <v>Kg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C1755" t="str">
            <v>Kg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C1756" t="str">
            <v>Kg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C1757" t="str">
            <v>Kg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C1758" t="str">
            <v>Kg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C1759" t="str">
            <v>Túi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C1760" t="str">
            <v>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C1761" t="str">
            <v>Kg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C1762" t="str">
            <v>Kg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C1763" t="str">
            <v>Kg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C1764" t="str">
            <v>Kg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C1765" t="str">
            <v>Kg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C1766" t="str">
            <v>Kg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C1767" t="str">
            <v>Kg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C1768" t="str">
            <v>Kg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C1769" t="str">
            <v>Kg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C1770" t="str">
            <v>Kg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C1771" t="str">
            <v>Kg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C1772" t="str">
            <v>Kg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C1773" t="str">
            <v>Kg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C1774" t="str">
            <v>Kg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C1775" t="str">
            <v>Túi 500gr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C1776" t="str">
            <v>Kg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C1777" t="str">
            <v>Kg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C1778" t="str">
            <v>Vỉ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C1779" t="str">
            <v>Kg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C1780" t="str">
            <v>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C1781" t="str">
            <v>Kg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C1782" t="str">
            <v>Kg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C1783" t="str">
            <v>Kg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C1784" t="str">
            <v>Lít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C1785" t="str">
            <v>Lít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C1786" t="str">
            <v>Kg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C1787" t="str">
            <v>Kg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C1788" t="str">
            <v>Kg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C1789" t="str">
            <v>Kg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C1790" t="str">
            <v>Kg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C1791" t="str">
            <v>Kg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C1792" t="str">
            <v>Kg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C1793" t="str">
            <v>Kg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C1794" t="str">
            <v>Kg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C1795" t="str">
            <v>Kg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C1796" t="str">
            <v>Kg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C1797" t="str">
            <v>Cặp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C1798" t="str">
            <v>Kg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C1799" t="str">
            <v>Kg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C1800" t="str">
            <v>Kg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C1801" t="str">
            <v>Kg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C1802" t="str">
            <v>Kg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C1803" t="str">
            <v>Kg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C1804" t="str">
            <v>Kg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C1805" t="str">
            <v>Kg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C1806" t="str">
            <v>Vỉ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C1807" t="str">
            <v>Kg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C1808" t="str">
            <v>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C1809" t="str">
            <v>Kg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C1810" t="str">
            <v>Kg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C1811" t="str">
            <v>Kg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C1812" t="str">
            <v>Kg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C1813" t="str">
            <v>Kg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C1814" t="str">
            <v>Kg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C1815" t="str">
            <v>Kg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C1816" t="str">
            <v>Kg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C1817" t="str">
            <v>Kg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C1818" t="str">
            <v>Kg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C1819" t="str">
            <v>Kg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C1820" t="str">
            <v>Kg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C1821" t="str">
            <v>Kg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C1822" t="str">
            <v/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C1823" t="str">
            <v>Kg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C1824" t="str">
            <v>Kg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C1825" t="str">
            <v>Kg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C1826" t="str">
            <v>Kg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C1827" t="str">
            <v>Kg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C1828" t="str">
            <v>Hộp 300gr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C1829" t="str">
            <v>Kg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C1830" t="str">
            <v>Kg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C1831" t="str">
            <v>Kg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C1832" t="str">
            <v>Kg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C1833" t="str">
            <v>Kg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C1834" t="str">
            <v>Kg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C1835" t="str">
            <v>Kg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C1836" t="str">
            <v>Kg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C1837" t="str">
            <v>Kg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C1838" t="str">
            <v>Kg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C1839" t="str">
            <v>Kg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C1840" t="str">
            <v>Kg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C1841" t="str">
            <v>Kg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C1842" t="str">
            <v>Kg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C1843" t="str">
            <v>Kg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C1844" t="str">
            <v>Kg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C1845" t="str">
            <v>Vỉ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C1846" t="str">
            <v>Vỉ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C1847" t="str">
            <v>Túi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C1848" t="str">
            <v>Kg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C1849" t="str">
            <v>Vỉ 650gr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C1850" t="str">
            <v>Vỉ 500gr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C1851" t="str">
            <v>Túi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C1852" t="str">
            <v>Kg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C1853" t="str">
            <v>Kg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C1854" t="str">
            <v>Kg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C1855" t="str">
            <v>Kg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C1856" t="str">
            <v>Kg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C1857" t="str">
            <v>Kg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C1858" t="str">
            <v>Hộp 300gr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C1859" t="str">
            <v>Kg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C1860" t="str">
            <v>Kg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C1861" t="str">
            <v>Kg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C1862" t="str">
            <v>Kg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C1863" t="str">
            <v>Vỉ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C1864" t="str">
            <v>Kg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C1865" t="str">
            <v>Túi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C1866" t="str">
            <v>Kg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C1867" t="str">
            <v>Kg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C1868" t="str">
            <v>Kg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C1869" t="str">
            <v>Kg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C1870" t="str">
            <v>Kg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C1871" t="str">
            <v>Kg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C1872" t="str">
            <v>Kg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C1873" t="str">
            <v>Kg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C1874" t="str">
            <v>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C1875" t="str">
            <v>Kg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C1876" t="str">
            <v>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C1877" t="str">
            <v>Kg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C1878" t="str">
            <v>Kg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C1879" t="str">
            <v>Kg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C1880" t="str">
            <v>Túi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C1881" t="str">
            <v>Vỉ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C1882" t="str">
            <v>Vỉ 500gr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C1883" t="str">
            <v>Túi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C1884" t="str">
            <v>Túi 150gr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C1885" t="str">
            <v>Kg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C1886" t="str">
            <v>Túi 500gr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C1887" t="str">
            <v>Túi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C1888" t="str">
            <v>Túi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C1889" t="str">
            <v>Kg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C1890" t="str">
            <v>Hộp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C1891" t="str">
            <v>Kg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C1892" t="str">
            <v>Túi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C1893" t="str">
            <v>Vỉ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C1894" t="str">
            <v>Túi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C1895" t="str">
            <v>Trái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C1896" t="str">
            <v>Kg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C1897" t="str">
            <v>Kg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C1898" t="str">
            <v>Kg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C1899" t="str">
            <v>Kg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C1900" t="str">
            <v>Kg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C1901" t="str">
            <v>Kg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C1902" t="str">
            <v>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C1903" t="str">
            <v>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C1904" t="str">
            <v>Kg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C1905" t="str">
            <v>Kg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C1906" t="str">
            <v>Kg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C1907" t="str">
            <v>Kg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C1908" t="str">
            <v>Kg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C1909" t="str">
            <v>Kg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C1910" t="str">
            <v>Vỉ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C1911" t="str">
            <v>Túi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C1912" t="str">
            <v>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C1913" t="str">
            <v>Kg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C1914" t="str">
            <v>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C1915" t="str">
            <v>Kg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C1916" t="str">
            <v>Kg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C1917" t="str">
            <v>Vỉ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C1918" t="str">
            <v>Kg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C1919" t="str">
            <v>Kg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C1920" t="str">
            <v>Kg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C1921" t="str">
            <v>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C1922" t="str">
            <v>Kg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C1923" t="str">
            <v>Kg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C1924" t="str">
            <v>Kg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C1925" t="str">
            <v>Kg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C1926" t="str">
            <v>Kg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C1927" t="str">
            <v>Kg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C1928" t="str">
            <v>Vỉ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C1929" t="str">
            <v>Kg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C1930" t="str">
            <v>Kg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C1931" t="str">
            <v>Kg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C1932" t="str">
            <v>Kg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C1933" t="str">
            <v>Kg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C1934" t="str">
            <v>Kg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C1935" t="str">
            <v>Kg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C1936" t="str">
            <v>Túi 500gr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C1937" t="str">
            <v>Lít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C1938" t="str">
            <v>Kg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C1939" t="str">
            <v>Kg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C1940" t="str">
            <v>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C1941" t="str">
            <v>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C1942" t="str">
            <v>Kg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C1943" t="str">
            <v>Kg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C1944" t="str">
            <v>Kg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C1945" t="str">
            <v>Kg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C1946" t="str">
            <v>Kg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C1947" t="str">
            <v>Kg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C1948" t="str">
            <v>Kg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C1949" t="str">
            <v>Kg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C1950" t="str">
            <v>Kg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C1951" t="str">
            <v>Kg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C1952" t="str">
            <v>Kg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C1953" t="str">
            <v>Kg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C1954" t="str">
            <v>Hộp 300gr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C1955" t="str">
            <v>Hộp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C1956" t="str">
            <v>Vỉ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C1957" t="str">
            <v>Kg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C1958" t="str">
            <v>Kg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C1959" t="str">
            <v>Kg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C1960" t="str">
            <v>Kg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C1961" t="str">
            <v>Kg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C1962" t="str">
            <v>Kg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C1963" t="str">
            <v>Túi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C1964" t="str">
            <v>Túi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C1965" t="str">
            <v>Kg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C1966" t="str">
            <v>Kg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C1967" t="str">
            <v>Kg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C1968" t="str">
            <v>Kg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C1969" t="str">
            <v>Kg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C1970" t="str">
            <v>Kg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C1971" t="str">
            <v>Kg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C1972" t="str">
            <v>Kg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C1973" t="str">
            <v>Kg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C1974" t="str">
            <v>Kg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C1975" t="str">
            <v>Kg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C1976" t="str">
            <v>Túi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C1977" t="str">
            <v>Túi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C1978" t="str">
            <v>Kg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C1979" t="str">
            <v>Kg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C1980" t="str">
            <v>Kg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C1981" t="str">
            <v>Kg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C1982" t="str">
            <v>Kg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C1983" t="str">
            <v>Kg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C1984" t="str">
            <v>Kg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C1985" t="str">
            <v>Kg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C1986" t="str">
            <v>Vỉ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C1987" t="str">
            <v>Kg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C1988" t="str">
            <v>Kg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C1989" t="str">
            <v>Hộp 250GR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C1990" t="str">
            <v>Kg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C1991" t="str">
            <v>Kg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C1992" t="str">
            <v>Kg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C1993" t="str">
            <v>Kg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C1994" t="str">
            <v>Kg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C1995" t="str">
            <v>Kg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C1996" t="str">
            <v>Kg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C1997" t="str">
            <v>Kg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C1998" t="str">
            <v>Kg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C1999" t="str">
            <v>Cặp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C2000" t="str">
            <v>Kg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C2001" t="str">
            <v>Kg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C2002" t="str">
            <v>Kg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C2003" t="str">
            <v>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C2004" t="str">
            <v>Kg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C2005" t="str">
            <v>Vỉ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C2006" t="str">
            <v>Kg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C2007" t="str">
            <v>Kg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C2008" t="str">
            <v>Kg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C2009" t="str">
            <v>Kg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C2010" t="str">
            <v>Kg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C2011" t="str">
            <v>Kg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C2012" t="str">
            <v>Kg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C2013" t="str">
            <v>Kg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C2014" t="str">
            <v>Kg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C2015" t="str">
            <v>Túi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C2016" t="str">
            <v>Vỉ 650gr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C2017" t="str">
            <v>Vỉ 500gr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C2018" t="str">
            <v>Kg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C2019" t="str">
            <v>Hộp 300gr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C2020" t="str">
            <v>Túi 300gr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C2021" t="str">
            <v>Kg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C2022" t="str">
            <v>Kg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C2023" t="str">
            <v>Túi 500gr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C2024" t="str">
            <v>Túi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C2025" t="str">
            <v>Kg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C2026" t="str">
            <v>Kg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C2027" t="str">
            <v>Kg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C2028" t="str">
            <v>Kg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C2029" t="str">
            <v>Kg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C2030" t="str">
            <v>Kg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C2031" t="str">
            <v>Hộp 300gr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C2032" t="str">
            <v>Hộp 500gr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C2033" t="str">
            <v>Kg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C2034" t="str">
            <v>Kg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C2035" t="str">
            <v>Kg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C2036" t="str">
            <v>Vỉ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C2037" t="str">
            <v>Túi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C2038" t="str">
            <v>Kg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C2039" t="str">
            <v>Vỉ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C2040" t="str">
            <v>Túi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C2041" t="str">
            <v>Vỉ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C2042" t="str">
            <v>Túi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C2043" t="str">
            <v>Túi 150gr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C2044" t="str">
            <v>Vỉ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C2045" t="str">
            <v>Vỉ 500gr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C2046" t="str">
            <v>Kg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C2047" t="str">
            <v>Kg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C2048" t="str">
            <v>Túi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C2049" t="str">
            <v>Hộp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C2050" t="str">
            <v>Kg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C2051" t="str">
            <v>Kg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C2052" t="str">
            <v>Kg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C2053" t="str">
            <v>Kg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C2054" t="str">
            <v>Kg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C2055" t="str">
            <v>Kg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C2056" t="str">
            <v>Kg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C2057" t="str">
            <v>Kg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C2058" t="str">
            <v>Vỉ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C2059" t="str">
            <v>Kg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C2060" t="str">
            <v>Kg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C2061" t="str">
            <v>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C2062" t="str">
            <v>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C2063" t="str">
            <v>Kg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C2064" t="str">
            <v>Túi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C2065" t="str">
            <v>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C2066" t="str">
            <v>Kg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C2067" t="str">
            <v>Kg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C2068" t="str">
            <v>Kg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C2069" t="str">
            <v>Kg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C2070" t="str">
            <v>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C2071" t="str">
            <v>Kg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C2072" t="str">
            <v>Kg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C2073" t="str">
            <v>Kg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C2074" t="str">
            <v>Kg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C2075" t="str">
            <v>Kg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C2076" t="str">
            <v>Kg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C2077" t="str">
            <v>Kg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C2078" t="str">
            <v>Kg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C2079" t="str">
            <v>Vỉ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C2080" t="str">
            <v>Kg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C2081" t="str">
            <v>Kg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C2082" t="str">
            <v>Kg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C2083" t="str">
            <v>Kg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C2084" t="str">
            <v>Vỉ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C2085" t="str">
            <v>Kg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C2086" t="str">
            <v>Kg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C2087" t="str">
            <v>Kg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C2088" t="str">
            <v>Vỉ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C2089" t="str">
            <v>Vỉ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C2090" t="str">
            <v>Vỉ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C2091" t="str">
            <v>Túi 500gr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C2092" t="str">
            <v>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C2093" t="str">
            <v>Kg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C2094" t="str">
            <v>Kg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C2095" t="str">
            <v>Kg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C2096" t="str">
            <v>Kg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C2097" t="str">
            <v>Kg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C2098" t="str">
            <v>Kg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C2099" t="str">
            <v>Cái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C2100" t="str">
            <v/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C2101" t="str">
            <v>Lít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C2102" t="str">
            <v>Kg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C2103" t="str">
            <v>Kg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C2104" t="str">
            <v>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C2105" t="str">
            <v>Hộp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C2106" t="str">
            <v>Túi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C2107" t="str">
            <v>Vỉ 500gr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C2108" t="str">
            <v>Kg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C2109" t="str">
            <v>Vỉ 650gr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C2110" t="str">
            <v>Túi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C2111" t="str">
            <v>Kg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C2112" t="str">
            <v>Kg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C2113" t="str">
            <v>Kg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C2114" t="str">
            <v>Kg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C2115" t="str">
            <v>Kg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C2116" t="str">
            <v>Kg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C2117" t="str">
            <v>Kg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C2118" t="str">
            <v>Kg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C2119" t="str">
            <v>Kg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C2120" t="str">
            <v>Kg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C2121" t="str">
            <v>Kg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C2122" t="str">
            <v>Kg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C2123" t="str">
            <v>Kg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C2124" t="str">
            <v>Kg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C2125" t="str">
            <v>Kg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C2126" t="str">
            <v>Vỉ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C2127" t="str">
            <v>Kg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C2128" t="str">
            <v>Kg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C2129" t="str">
            <v>Kg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C2130" t="str">
            <v>Kg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C2131" t="str">
            <v>Kg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C2132" t="str">
            <v>Kg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C2133" t="str">
            <v>Hộp 250GR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C2134" t="str">
            <v>Kg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C2135" t="str">
            <v>Kg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C2136" t="str">
            <v>Kg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C2137" t="str">
            <v>Kg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C2138" t="str">
            <v>Kg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C2139" t="str">
            <v>Kg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C2140" t="str">
            <v>Kg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C2141" t="str">
            <v>Kg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C2142" t="str">
            <v>Kg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C2143" t="str">
            <v>Kg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C2144" t="str">
            <v>Kg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C2145" t="str">
            <v>Kg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C2146" t="str">
            <v>Kg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C2147" t="str">
            <v>Kg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C2148" t="str">
            <v>Kg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C2149" t="str">
            <v>Kg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C2150" t="str">
            <v>Kg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C2151" t="str">
            <v>Túi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C2152" t="str">
            <v>Kg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C2153" t="str">
            <v>Kg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C2154" t="str">
            <v>Kg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C2155" t="str">
            <v>Kg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C2156" t="str">
            <v>Vỉ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C2157" t="str">
            <v>Kg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C2158" t="str">
            <v>Cặp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C2159" t="str">
            <v>Kg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C2160" t="str">
            <v>Kg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C2161" t="str">
            <v>Kg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C2162" t="str">
            <v>Kg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C2163" t="str">
            <v>Túi 500gr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C2164" t="str">
            <v>Túi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C2165" t="str">
            <v>Kg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C2166" t="str">
            <v>Kg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C2167" t="str">
            <v>Kg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C2168" t="str">
            <v>Kg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C2169" t="str">
            <v>Kg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C2170" t="str">
            <v>Kg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C2171" t="str">
            <v>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C2172" t="str">
            <v>Kg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C2173" t="str">
            <v>Kg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C2174" t="str">
            <v>Kg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C2175" t="str">
            <v>Kg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C2176" t="str">
            <v>Kg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C2177" t="str">
            <v>Kg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C2178" t="str">
            <v>Kg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C2179" t="str">
            <v>Hộp 300gr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C2180" t="str">
            <v>Hộp 500gr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C2181" t="str">
            <v>Kg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C2182" t="str">
            <v>Kg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C2183" t="str">
            <v>Kg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C2184" t="str">
            <v>Kg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C2185" t="str">
            <v>Kg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C2186" t="str">
            <v>Kg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C2187" t="str">
            <v>Kg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C2188" t="str">
            <v>Kg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C2189" t="str">
            <v>Kg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C2190" t="str">
            <v>Kg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C2191" t="str">
            <v>Kg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C2192" t="str">
            <v>Kg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C2193" t="str">
            <v>Kg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C2194" t="str">
            <v>Kg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C2195" t="str">
            <v>Kg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C2196" t="str">
            <v>Kg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C2197" t="str">
            <v>Kg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C2198" t="str">
            <v>Túi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C2199" t="str">
            <v>Túi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C2200" t="str">
            <v>Kg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C2201" t="str">
            <v>Kg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C2202" t="str">
            <v>Kg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C2203" t="str">
            <v>Kg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C2204" t="str">
            <v>Hộp 300gr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C2205" t="str">
            <v>Kg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C2206" t="str">
            <v>Kg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C2207" t="str">
            <v>Kg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C2208" t="str">
            <v>Kg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C2209" t="str">
            <v>Kg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C2210" t="str">
            <v>Túi 300gr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C2211" t="str">
            <v>Túi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C2212" t="str">
            <v>Kg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C2213" t="str">
            <v>Kg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C2214" t="str">
            <v>Kg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C2215" t="str">
            <v>Hộp 300gr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C2216" t="str">
            <v>Kg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C2217" t="str">
            <v>Kg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C2218" t="str">
            <v>Kg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C2219" t="str">
            <v>Kg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C2220" t="str">
            <v>Kg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C2221" t="str">
            <v>Kg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C2222" t="str">
            <v>Kg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C2223" t="str">
            <v>Kg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C2224" t="str">
            <v>Kg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C2225" t="str">
            <v>Kg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C2226" t="str">
            <v>Kg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C2227" t="str">
            <v>Kg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C2228" t="str">
            <v>Kg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C2229" t="str">
            <v>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C2230" t="str">
            <v>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C2231" t="str">
            <v>Kg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C2232" t="str">
            <v>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C2233" t="str">
            <v>Hộp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C2234" t="str">
            <v>Kg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C2235" t="str">
            <v>Kg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C2236" t="str">
            <v>Vỉ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C2237" t="str">
            <v>Túi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C2238" t="str">
            <v>Túi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C2239" t="str">
            <v>Vỉ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C2240" t="str">
            <v>Vỉ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C2241" t="str">
            <v>Túi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C2242" t="str">
            <v>Túi 150gr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C2243" t="str">
            <v>Vỉ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C2244" t="str">
            <v>Kg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C2245" t="str">
            <v>Vỉ 500gr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C2246" t="str">
            <v>Kg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C2247" t="str">
            <v>Kg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C2248" t="str">
            <v>Túi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C2249" t="str">
            <v>Kg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C2250" t="str">
            <v>Kg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C2251" t="str">
            <v>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C2252" t="str">
            <v>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C2253" t="str">
            <v>Kg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C2254" t="str">
            <v>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C2255" t="str">
            <v>Kg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C2256" t="str">
            <v>Kg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C2257" t="str">
            <v>Kg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C2258" t="str">
            <v>Kg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C2259" t="str">
            <v>Kg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C2260" t="str">
            <v>Vỉ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C2261" t="str">
            <v>Kg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C2262" t="str">
            <v>Kg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C2263" t="str">
            <v>Kg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C2264" t="str">
            <v>Kg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C2265" t="str">
            <v>Kg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C2266" t="str">
            <v>Kg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C2267" t="str">
            <v>Kg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C2268" t="str">
            <v>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C2269" t="str">
            <v>Kg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C2270" t="str">
            <v>Kg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C2271" t="str">
            <v>Kg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C2272" t="str">
            <v>Kg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C2273" t="str">
            <v>Kg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C2274" t="str">
            <v>Kg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C2275" t="str">
            <v>Kg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C2276" t="str">
            <v>Kg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C2277" t="str">
            <v>Kg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C2278" t="str">
            <v>Kg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C2279" t="str">
            <v>Túi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C2280" t="str">
            <v>Kg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C2281" t="str">
            <v>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C2282" t="str">
            <v>Vỉ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C2283" t="str">
            <v>Túi 500gr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C2284" t="str">
            <v>Kg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C2285" t="str">
            <v>Kg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C2286" t="str">
            <v>Kg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C2287" t="str">
            <v>Kg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C2288" t="str">
            <v>Kg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C2289" t="str">
            <v>Kg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C2290" t="str">
            <v>Kg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C2291" t="str">
            <v>Kg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C2292" t="str">
            <v>Kg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C2293" t="str">
            <v>Lít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C2294" t="str">
            <v>lãng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C2295" t="str">
            <v>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C2296" t="str">
            <v>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C2297" t="str">
            <v>Kg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C2298" t="str">
            <v>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C2299" t="str">
            <v>Kg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C2300" t="str">
            <v>Kg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C2301" t="str">
            <v>Kg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C2302" t="str">
            <v>Túi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C2303" t="str">
            <v>Túi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C2304" t="str">
            <v>Kg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C2305" t="str">
            <v>Kg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C2306" t="str">
            <v>Kg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C2307" t="str">
            <v>Kg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C2308" t="str">
            <v>Kg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C2309" t="str">
            <v>Kg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C2310" t="str">
            <v>Kg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C2311" t="str">
            <v>Kg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C2312" t="str">
            <v>Kg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C2313" t="str">
            <v>Kg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C2314" t="str">
            <v>Kg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C2315" t="str">
            <v>Kg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C2316" t="str">
            <v>Kg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C2317" t="str">
            <v>Kg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C2318" t="str">
            <v>Kg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C2319" t="str">
            <v>Kg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C2320" t="str">
            <v>Kg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C2321" t="str">
            <v>Kg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C2322" t="str">
            <v>Kg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C2323" t="str">
            <v>Kg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C2324" t="str">
            <v>Kg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C2325" t="str">
            <v>Kg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C2326" t="str">
            <v>Kg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C2327" t="str">
            <v>Kg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C2328" t="str">
            <v>Kg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C2329" t="str">
            <v>Kg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C2330" t="str">
            <v>Kg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C2331" t="str">
            <v>Kg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C2332" t="str">
            <v>Kg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C2333" t="str">
            <v>Kg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C2334" t="str">
            <v>Kg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C2335" t="str">
            <v>Kg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C2336" t="str">
            <v>Cặp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C2337" t="str">
            <v>Kg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C2338" t="str">
            <v>Kg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C2339" t="str">
            <v>Kg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C2340" t="str">
            <v>Kg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C2341" t="str">
            <v>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C2342" t="str">
            <v>Kg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C2343" t="str">
            <v>Kg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C2344" t="str">
            <v>Kg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C2345" t="str">
            <v>Kg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C2346" t="str">
            <v>Kg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C2347" t="str">
            <v>Kg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C2348" t="str">
            <v>Kg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C2349" t="str">
            <v>Kg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C2350" t="str">
            <v>Kg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C2351" t="str">
            <v>Kg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C2352" t="str">
            <v>Túi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C2353" t="str">
            <v>Kg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C2354" t="str">
            <v>Kg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C2355" t="str">
            <v>Kg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C2356" t="str">
            <v>Kg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C2357" t="str">
            <v>Kg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C2358" t="str">
            <v>Kg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C2359" t="str">
            <v>Kg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C2360" t="str">
            <v>Kg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C2361" t="str">
            <v>Kg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C2362" t="str">
            <v>Kg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C2363" t="str">
            <v>Kg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C2364" t="str">
            <v>Kg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C2365" t="str">
            <v>Kg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C2366" t="str">
            <v>Kg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C2367" t="str">
            <v>Vỉ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C2368" t="str">
            <v>Kg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C2369" t="str">
            <v>Kg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C2370" t="str">
            <v>Kg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C2371" t="str">
            <v>Kg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C2372" t="str">
            <v>Kg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C2373" t="str">
            <v>Kg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C2374" t="str">
            <v>Kg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C2375" t="str">
            <v>Kg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C2376" t="str">
            <v>Kg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C2377" t="str">
            <v>Kg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C2378" t="str">
            <v>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C2379" t="str">
            <v>Kg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C2380" t="str">
            <v>Kg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C2381" t="str">
            <v>Hộp 250GR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C2382" t="str">
            <v>Kg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C2383" t="str">
            <v>Kg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C2384" t="str">
            <v>Kg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C2385" t="str">
            <v>Kg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C2386" t="str">
            <v>Kg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C2387" t="str">
            <v>Hộp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C2388" t="str">
            <v>Túi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C2389" t="str">
            <v>Vỉ 650gr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C2390" t="str">
            <v>Kg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C2391" t="str">
            <v>Vỉ 500gr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C2392" t="str">
            <v>Kg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C2393" t="str">
            <v>Kg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C2394" t="str">
            <v>Túi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C2395" t="str">
            <v>Hộp 300gr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C2396" t="str">
            <v>Vỉ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C2397" t="str">
            <v>Hộp 300gr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C2398" t="str">
            <v>Kg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C2399" t="str">
            <v>Kg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C2400" t="str">
            <v>Kg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C2401" t="str">
            <v>Túi 300gr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C2402" t="str">
            <v>Kg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C2403" t="str">
            <v>Kg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C2404" t="str">
            <v>Kg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C2405" t="str">
            <v>Kg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C2406" t="str">
            <v>Hộp 300gr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C2407" t="str">
            <v>Hộp 500gr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C2408" t="str">
            <v>Kg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C2409" t="str">
            <v>Kg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C2410" t="str">
            <v>Kg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C2411" t="str">
            <v>Kg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C2412" t="str">
            <v>Kg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C2413" t="str">
            <v>Kg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C2414" t="str">
            <v>Kg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C2415" t="str">
            <v>Vỉ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C2416" t="str">
            <v>Vỉ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C2417" t="str">
            <v>Kg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C2418" t="str">
            <v>Kg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C2419" t="str">
            <v>Kg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C2420" t="str">
            <v>Túi 500gr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C2421" t="str">
            <v>Kg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C2422" t="str">
            <v>Túi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C2423" t="str">
            <v>Kg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C2424" t="str">
            <v>Túi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C2425" t="str">
            <v>Vỉ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C2426" t="str">
            <v>Kg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C2427" t="str">
            <v>Kg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C2428" t="str">
            <v>Vỉ 500gr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C2429" t="str">
            <v>Hộp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C2430" t="str">
            <v>Kg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C2431" t="str">
            <v>Vỉ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C2432" t="str">
            <v>Túi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C2433" t="str">
            <v>Vỉ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C2434" t="str">
            <v>Túi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C2435" t="str">
            <v>Túi 150gr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C2436" t="str">
            <v>Túi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C2437" t="str">
            <v>Vỉ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C2438" t="str">
            <v>Kg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C2439" t="str">
            <v>Mét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C2440" t="str">
            <v>Hộp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C2441" t="str">
            <v>Kg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C2442" t="str">
            <v>Kg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C2443" t="str">
            <v>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C2444" t="str">
            <v>Kg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C2445" t="str">
            <v>Kg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C2446" t="str">
            <v>Túi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C2447" t="str">
            <v>Kg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C2448" t="str">
            <v>Kg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C2449" t="str">
            <v>Kg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C2450" t="str">
            <v>Kg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C2451" t="str">
            <v>Vỉ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C2452" t="str">
            <v>Kg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C2453" t="str">
            <v>Kg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C2454" t="str">
            <v>Kg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C2455" t="str">
            <v>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C2456" t="str">
            <v>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C2457" t="str">
            <v>Kg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C2458" t="str">
            <v>Kg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C2459" t="str">
            <v>Kg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C2460" t="str">
            <v>Kg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C2461" t="str">
            <v>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C2462" t="str">
            <v>Kg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C2463" t="str">
            <v>Kg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C2464" t="str">
            <v>Kg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C2465" t="str">
            <v>Kg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C2466" t="str">
            <v>Kg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C2467" t="str">
            <v>Kg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C2468" t="str">
            <v>Kg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C2469" t="str">
            <v>Kg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C2470" t="str">
            <v>Kg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C2471" t="str">
            <v>Kg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C2472" t="str">
            <v>Kg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C2473" t="str">
            <v>Kg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C2474" t="str">
            <v>Kg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C2475" t="str">
            <v>Vỉ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C2476" t="str">
            <v>Kg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C2477" t="str">
            <v>Kg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C2478" t="str">
            <v>Kg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C2479" t="str">
            <v>Kg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C2480" t="str">
            <v>Kg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C2481" t="str">
            <v>Kg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C2482" t="str">
            <v>Kg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C2483" t="str">
            <v>Vỉ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C2484" t="str">
            <v>Túi 500gr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C2485" t="str">
            <v>Vỉ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C2486" t="str">
            <v>Kg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C2487" t="str">
            <v>Kg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C2488" t="str">
            <v>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C2489" t="str">
            <v>Lít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C2490" t="str">
            <v>Lít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C2491" t="str">
            <v>Kg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C2492" t="str">
            <v>Kg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C2493" t="str">
            <v>Kg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C2494" t="str">
            <v>Kg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C2495" t="str">
            <v>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C2496" t="str">
            <v>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C2497" t="str">
            <v>Kg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C2498" t="str">
            <v>Kg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C2499" t="str">
            <v>Kg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C2500" t="str">
            <v>Kg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C2501" t="str">
            <v>Túi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C2502" t="str">
            <v>Kg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C2503" t="str">
            <v>Kg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C2504" t="str">
            <v>Túi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C2505" t="str">
            <v>Túi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C2506" t="str">
            <v>Kg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C2507" t="str">
            <v>Kg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C2508" t="str">
            <v>Kg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C2509" t="str">
            <v>Kg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C2510" t="str">
            <v>Kg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C2511" t="str">
            <v>Kg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C2512" t="str">
            <v>Kg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C2513" t="str">
            <v>Kg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C2514" t="str">
            <v>Kg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C2515" t="str">
            <v>Kg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C2516" t="str">
            <v>Kg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C2517" t="str">
            <v>Vỉ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C2518" t="str">
            <v>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C2519" t="str">
            <v>Kg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C2520" t="str">
            <v>Kg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C2521" t="str">
            <v>Kg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C2522" t="str">
            <v>Kg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C2523" t="str">
            <v>Kg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C2524" t="str">
            <v>Kg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C2525" t="str">
            <v>Kg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C2526" t="str">
            <v>Kg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C2527" t="str">
            <v>Kg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C2528" t="str">
            <v>Trái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C2529" t="str">
            <v>Trái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C2530" t="str">
            <v>Kg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C2531" t="str">
            <v>Kg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C2532" t="str">
            <v>Kg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C2533" t="str">
            <v>Túi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C2534" t="str">
            <v>Kg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C2535" t="str">
            <v>Kg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C2536" t="str">
            <v>Kg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C2537" t="str">
            <v>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C2538" t="str">
            <v>Kg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C2539" t="str">
            <v>Kg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C2540" t="str">
            <v>Kg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C2541" t="str">
            <v>Vỉ 650gr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C2542" t="str">
            <v>Vỉ 500gr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C2543" t="str">
            <v>Kg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C2544" t="str">
            <v>Hộp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C2545" t="str">
            <v>Kg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C2546" t="str">
            <v>Kg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C2547" t="str">
            <v>Kg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C2548" t="str">
            <v>Kg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C2549" t="str">
            <v>Kg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C2550" t="str">
            <v>Kg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C2551" t="str">
            <v>Kg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C2552" t="str">
            <v>Kg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C2553" t="str">
            <v>Kg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C2554" t="str">
            <v>Kg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C2555" t="str">
            <v>Kg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C2556" t="str">
            <v>Hộp 300gr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C2557" t="str">
            <v>Hộp 500gr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C2558" t="str">
            <v>Kg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C2559" t="str">
            <v>Kg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C2560" t="str">
            <v>Túi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C2561" t="str">
            <v>Kg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C2562" t="str">
            <v>Kg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C2563" t="str">
            <v>Kg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C2564" t="str">
            <v>Kg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C2565" t="str">
            <v>Cặp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C2566" t="str">
            <v>Kg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C2567" t="str">
            <v>Kg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C2568" t="str">
            <v>Kg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C2569" t="str">
            <v>Kg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C2570" t="str">
            <v>Kg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C2571" t="str">
            <v>Túi 300gr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C2572" t="str">
            <v>Kg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C2573" t="str">
            <v>Kg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C2574" t="str">
            <v>Kg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C2575" t="str">
            <v>Kg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C2576" t="str">
            <v>Kg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C2577" t="str">
            <v>Kg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C2578" t="str">
            <v>Hộp 300gr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C2579" t="str">
            <v>Túi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C2580" t="str">
            <v>Kg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C2581" t="str">
            <v>Kg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C2582" t="str">
            <v>Hộp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C2583" t="str">
            <v>Kg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C2584" t="str">
            <v>Kg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C2585" t="str">
            <v>Túi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C2586" t="str">
            <v>Vỉ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C2587" t="str">
            <v>Túi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C2588" t="str">
            <v>Hộp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C2589" t="str">
            <v>Vỉ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C2590" t="str">
            <v>Kg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C2591" t="str">
            <v>Kg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C2592" t="str">
            <v>Kg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C2593" t="str">
            <v>Kg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C2594" t="str">
            <v>Vỉ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C2595" t="str">
            <v>Túi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C2596" t="str">
            <v>Túi 150gr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C2597" t="str">
            <v>Túi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C2598" t="str">
            <v>Vỉ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C2599" t="str">
            <v>Vỉ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C2600" t="str">
            <v>Vỉ 500gr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C2601" t="str">
            <v>Hộp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C2602" t="str">
            <v>Túi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C2603" t="str">
            <v>Kg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C2604" t="str">
            <v>Kg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C2605" t="str">
            <v>Kg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C2606" t="str">
            <v>Kg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C2607" t="str">
            <v>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C2608" t="str">
            <v>Kg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C2609" t="str">
            <v>Kg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C2610" t="str">
            <v>Kg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C2611" t="str">
            <v>Kg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C2612" t="str">
            <v>Kg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C2613" t="str">
            <v>Kg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C2614" t="str">
            <v>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C2615" t="str">
            <v>Kg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C2616" t="str">
            <v>Kg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C2617" t="str">
            <v>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C2618" t="str">
            <v>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C2619" t="str">
            <v>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C2620" t="str">
            <v>Kg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C2621" t="str">
            <v>Kg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C2622" t="str">
            <v>Kg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C2623" t="str">
            <v>Kg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C2624" t="str">
            <v>Kg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C2625" t="str">
            <v>Kg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C2626" t="str">
            <v>Kg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C2627" t="str">
            <v>Kg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C2628" t="str">
            <v>Kg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C2629" t="str">
            <v>Kg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C2630" t="str">
            <v>Kg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C2631" t="str">
            <v>Kg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C2632" t="str">
            <v>Kg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C2633" t="str">
            <v>Kg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C2634" t="str">
            <v>Kg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C2635" t="str">
            <v>Kg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C2636" t="str">
            <v>Kg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C2637" t="str">
            <v>Vỉ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C2638" t="str">
            <v>Vỉ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C2639" t="str">
            <v>Kg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C2640" t="str">
            <v>Vỉ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C2641" t="str">
            <v>Túi 500gr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C2642" t="str">
            <v>Vỉ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C2643" t="str">
            <v>Túi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C2644" t="str">
            <v>Kg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C2645" t="str">
            <v>Kg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C2646" t="str">
            <v>Kg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C2647" t="str">
            <v>Kg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C2648" t="str">
            <v>Kg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C2649" t="str">
            <v>Kg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C2650" t="str">
            <v>Kg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C2651" t="str">
            <v>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C2652" t="str">
            <v>Lít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C2653" t="str">
            <v>Kg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C2654" t="str">
            <v>Kg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C2655" t="str">
            <v>Kg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C2656" t="str">
            <v>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C2657" t="str">
            <v>Kg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C2658" t="str">
            <v>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C2659" t="str">
            <v>Kg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C2660" t="str">
            <v>Kg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C2661" t="str">
            <v>Kg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C2662" t="str">
            <v>Kg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C2663" t="str">
            <v>Kg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C2664" t="str">
            <v>Kg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C2665" t="str">
            <v>Kg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C2666" t="str">
            <v>Kg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C2667" t="str">
            <v>Kg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C2668" t="str">
            <v>Kg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C2669" t="str">
            <v>Kg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C2670" t="str">
            <v>Kg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C2671" t="str">
            <v>Kg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C2672" t="str">
            <v>Túi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C2673" t="str">
            <v>Túi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C2674" t="str">
            <v>Kg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C2675" t="str">
            <v>Kg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C2676" t="str">
            <v>Kg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C2677" t="str">
            <v>Kg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C2678" t="str">
            <v>Kg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C2679" t="str">
            <v>Kg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C2680" t="str">
            <v>Túi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C2681" t="str">
            <v>Kg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C2682" t="str">
            <v>Kg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C2683" t="str">
            <v>Kg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C2684" t="str">
            <v>Kg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C2685" t="str">
            <v>Kg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C2686" t="str">
            <v>Kg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C2687" t="str">
            <v>Hộp 300gr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C2688" t="str">
            <v>Hộp 300gr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C2689" t="str">
            <v>Hộp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C2690" t="str">
            <v>Túi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C2691" t="str">
            <v>Vỉ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C2692" t="str">
            <v>Kg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C2693" t="str">
            <v>Kg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C2694" t="str">
            <v>Kg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C2695" t="str">
            <v>Kg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C2696" t="str">
            <v>Vỉ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C2697" t="str">
            <v>Kg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C2698" t="str">
            <v>Kg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C2699" t="str">
            <v>Kg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C2700" t="str">
            <v>Kg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C2701" t="str">
            <v>Kg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C2702" t="str">
            <v>Kg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C2703" t="str">
            <v>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C2704" t="str">
            <v>Kg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C2705" t="str">
            <v>Kg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C2706" t="str">
            <v>Kg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C2707" t="str">
            <v>Kg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C2708" t="str">
            <v>Kg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C2709" t="str">
            <v>Kg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C2710" t="str">
            <v>Kg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C2711" t="str">
            <v>Kg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C2712" t="str">
            <v>Kg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C2713" t="str">
            <v>Kg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C2714" t="str">
            <v>Kg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C2715" t="str">
            <v>Kg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C2716" t="str">
            <v>Kg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C2717" t="str">
            <v>Kg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C2718" t="str">
            <v>Kg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C2719" t="str">
            <v>Kg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C2720" t="str">
            <v>Kg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C2721" t="str">
            <v>Kg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C2722" t="str">
            <v>Túi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C2723" t="str">
            <v>Kg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C2724" t="str">
            <v>Kg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C2725" t="str">
            <v>Kg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C2726" t="str">
            <v>Kg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C2727" t="str">
            <v>Kg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C2728" t="str">
            <v>Kg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C2729" t="str">
            <v>Kg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C2730" t="str">
            <v>Kg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C2731" t="str">
            <v>Cặp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C2732" t="str">
            <v>Kg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C2733" t="str">
            <v>Kg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C2734" t="str">
            <v>Kg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C2735" t="str">
            <v>Kg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C2736" t="str">
            <v>Kg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C2737" t="str">
            <v>Kg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C2738" t="str">
            <v>Kg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C2739" t="str">
            <v>Kg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C2740" t="str">
            <v>Kg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C2741" t="str">
            <v>Kg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C2742" t="str">
            <v>Túi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C2743" t="str">
            <v>Kg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C2744" t="str">
            <v>Kg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C2745" t="str">
            <v>Vỉ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C2746" t="str">
            <v>Túi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C2747" t="str">
            <v>Kg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C2748" t="str">
            <v>Hộp 300gr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C2749" t="str">
            <v>Hộp 500gr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C2750" t="str">
            <v>Kg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C2751" t="str">
            <v>Kg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C2752" t="str">
            <v>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C2753" t="str">
            <v>Kg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C2754" t="str">
            <v>Kg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C2755" t="str">
            <v>Kg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C2756" t="str">
            <v>Túi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C2757" t="str">
            <v>Vỉ 650gr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C2758" t="str">
            <v>Vỉ 500gr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C2759" t="str">
            <v>Kg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C2760" t="str">
            <v>Kg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C2761" t="str">
            <v>Kg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C2762" t="str">
            <v>Kg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C2763" t="str">
            <v>Kg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C2764" t="str">
            <v>Kg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C2765" t="str">
            <v>Vỉ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C2766" t="str">
            <v>Túi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C2767" t="str">
            <v>Túi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C2768" t="str">
            <v>Vỉ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C2769" t="str">
            <v>Kg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C2770" t="str">
            <v>Vỉ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C2771" t="str">
            <v>Túi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C2772" t="str">
            <v>Vỉ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C2773" t="str">
            <v>Kg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C2774" t="str">
            <v>Vỉ 500gr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C2775" t="str">
            <v>Túi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C2776" t="str">
            <v>Vỉ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C2777" t="str">
            <v>Kg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C2778" t="str">
            <v>Kg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C2779" t="str">
            <v/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C2780" t="str">
            <v>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C2781" t="str">
            <v>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C2782" t="str">
            <v>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C2783" t="str">
            <v>Kg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C2784" t="str">
            <v>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C2785" t="str">
            <v>Kg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C2786" t="str">
            <v>Kg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C2787" t="str">
            <v>Kg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C2788" t="str">
            <v>Kg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C2789" t="str">
            <v>Kg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C2790" t="str">
            <v>Kg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C2791" t="str">
            <v>Kg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C2792" t="str">
            <v>Kg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C2793" t="str">
            <v>Kg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C2794" t="str">
            <v>Kg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C2795" t="str">
            <v>Vỉ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C2796" t="str">
            <v>Kg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C2797" t="str">
            <v>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C2798" t="str">
            <v>Kg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C2799" t="str">
            <v>Kg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C2800" t="str">
            <v>Kg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C2801" t="str">
            <v>Kg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C2802" t="str">
            <v>Kg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C2803" t="str">
            <v>Kg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C2804" t="str">
            <v>Kg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C2805" t="str">
            <v>Kg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C2806" t="str">
            <v>Kg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C2807" t="str">
            <v>Kg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C2808" t="str">
            <v>Kg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C2809" t="str">
            <v>Kg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C2810" t="str">
            <v>Kg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C2811" t="str">
            <v>Kg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C2812" t="str">
            <v>Kg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C2813" t="str">
            <v>Kg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C2814" t="str">
            <v>Vỉ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C2815" t="str">
            <v>Vỉ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C2816" t="str">
            <v>Kg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C2817" t="str">
            <v>Túi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C2818" t="str">
            <v>Túi 500gr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C2819" t="str">
            <v>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C2820" t="str">
            <v>Kg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C2821" t="str">
            <v>Kg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C2822" t="str">
            <v>Kg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C2823" t="str">
            <v>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C2824" t="str">
            <v>Kg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C2825" t="str">
            <v>Kg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C2826" t="str">
            <v>Lít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C2827" t="str">
            <v>Lít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C2828" t="str">
            <v>Tháng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C2829" t="str">
            <v/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C2830" t="str">
            <v>Gói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C2831" t="str">
            <v>Kg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C2832" t="str">
            <v>Kg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C2833" t="str">
            <v>Kg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C2834" t="str">
            <v>Kg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C2835" t="str">
            <v>Kg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C2836" t="str">
            <v>Kg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C2837" t="str">
            <v>Kg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C2838" t="str">
            <v>Kg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C2839" t="str">
            <v>Túi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C2840" t="str">
            <v>Kg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C2841" t="str">
            <v>Kg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C2842" t="str">
            <v>Kg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C2843" t="str">
            <v>Kg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C2844" t="str">
            <v>Kg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C2845" t="str">
            <v>Kg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C2846" t="str">
            <v>Kg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C2847" t="str">
            <v>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C2848" t="str">
            <v>Kg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C2849" t="str">
            <v>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C2850" t="str">
            <v>Kg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C2851" t="str">
            <v>Kg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C2852" t="str">
            <v>Kg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C2853" t="str">
            <v>Kg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C2854" t="str">
            <v>Kg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C2855" t="str">
            <v>Kg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C2856" t="str">
            <v>Kg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C2857" t="str">
            <v>Hộp 300gr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C2858" t="str">
            <v>Kg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C2859" t="str">
            <v>Kg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C2860" t="str">
            <v>Kg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C2861" t="str">
            <v>Kg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C2862" t="str">
            <v>Kg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C2863" t="str">
            <v>Kg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C2864" t="str">
            <v>Kg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C2865" t="str">
            <v>Kg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C2866" t="str">
            <v>Kg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C2867" t="str">
            <v>Kg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C2868" t="str">
            <v>Kg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C2869" t="str">
            <v>Kg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C2870" t="str">
            <v>Kg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C2871" t="str">
            <v>Kg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C2872" t="str">
            <v>Kg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C2873" t="str">
            <v>Kg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C2874" t="str">
            <v>Kg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C2875" t="str">
            <v>Kg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C2876" t="str">
            <v>Kg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C2877" t="str">
            <v>Kg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C2878" t="str">
            <v>Kg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C2879" t="str">
            <v>Trái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C2880" t="str">
            <v>Trái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C2881" t="str">
            <v>Vỉ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C2882" t="str">
            <v>Kg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C2883" t="str">
            <v>Kg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C2884" t="str">
            <v>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C2885" t="str">
            <v>Kg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C2886" t="str">
            <v>Kg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C2887" t="str">
            <v>Kg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C2888" t="str">
            <v>Kg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C2889" t="str">
            <v>Kg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C2890" t="str">
            <v>Kg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C2891" t="str">
            <v>Kg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C2892" t="str">
            <v>Kg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C2893" t="str">
            <v>Cặp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C2894" t="str">
            <v>Kg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C2895" t="str">
            <v>Kg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C2896" t="str">
            <v>Kg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C2897" t="str">
            <v>Kg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C2898" t="str">
            <v>Kg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C2899" t="str">
            <v>Hộp 300gr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C2900" t="str">
            <v>Hộp 500gr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C2901" t="str">
            <v>Kg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C2902" t="str">
            <v>Kg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C2903" t="str">
            <v>Kg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C2904" t="str">
            <v>Kg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C2905" t="str">
            <v>Túi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C2906" t="str">
            <v>Kg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C2907" t="str">
            <v>Kg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C2908" t="str">
            <v>Kg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C2909" t="str">
            <v>Kg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C2910" t="str">
            <v>Kg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C2911" t="str">
            <v>Kg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C2912" t="str">
            <v>Kg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C2913" t="str">
            <v>Kg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C2914" t="str">
            <v>Kg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C2915" t="str">
            <v>Kg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C2916" t="str">
            <v>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C2917" t="str">
            <v>Kg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C2918" t="str">
            <v>Vỉ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C2919" t="str">
            <v>Kg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C2920" t="str">
            <v>Túi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C2921" t="str">
            <v>Túi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C2922" t="str">
            <v>Kg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C2923" t="str">
            <v>Kg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C2924" t="str">
            <v>Kg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C2925" t="str">
            <v>Kg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C2926" t="str">
            <v>Túi 300gr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C2927" t="str">
            <v>Kg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C2928" t="str">
            <v>Kg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C2929" t="str">
            <v>Kg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C2930" t="str">
            <v>Kg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C2931" t="str">
            <v>Kg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C2932" t="str">
            <v>Kg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C2933" t="str">
            <v>Hộp 300gr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C2934" t="str">
            <v>Hộp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C2935" t="str">
            <v>Túi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C2936" t="str">
            <v>Kg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C2937" t="str">
            <v>Vỉ 650gr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C2938" t="str">
            <v>Vỉ 500gr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C2939" t="str">
            <v>Túi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C2940" t="str">
            <v>Túi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C2941" t="str">
            <v>Kg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C2942" t="str">
            <v>Kg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C2943" t="str">
            <v>Kg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C2944" t="str">
            <v>Kg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C2945" t="str">
            <v>Vỉ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C2946" t="str">
            <v>Vỉ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C2947" t="str">
            <v>Kg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C2948" t="str">
            <v>Túi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C2949" t="str">
            <v>Vỉ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C2950" t="str">
            <v>Túi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C2951" t="str">
            <v>Kg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C2952" t="str">
            <v>Vỉ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C2953" t="str">
            <v>Kg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C2954" t="str">
            <v>Vỉ 500gr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C2955" t="str">
            <v>Hộp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C2956" t="str">
            <v>Kg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C2957" t="str">
            <v>Kg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C2958" t="str">
            <v>Túi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C2959" t="str">
            <v>Kg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C2960" t="str">
            <v>Kg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C2961" t="str">
            <v>Kg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C2962" t="str">
            <v>Túi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C2963" t="str">
            <v>Kg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C2964" t="str">
            <v>Kg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C2965" t="str">
            <v>Kg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C2966" t="str">
            <v>Kg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C2967" t="str">
            <v>Kg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C2968" t="str">
            <v>Kg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C2969" t="str">
            <v>Kg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C2970" t="str">
            <v>Kg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C2971" t="str">
            <v>Kg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C2972" t="str">
            <v>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C2973" t="str">
            <v>Kg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C2974" t="str">
            <v>Kg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C2975" t="str">
            <v>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C2976" t="str">
            <v>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C2977" t="str">
            <v>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C2978" t="str">
            <v>Kg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C2979" t="str">
            <v>Vỉ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C2980" t="str">
            <v>Vỉ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C2981" t="str">
            <v>Kg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C2982" t="str">
            <v>Kg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C2983" t="str">
            <v>Kg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C2984" t="str">
            <v>Kg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C2985" t="str">
            <v>Kg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C2986" t="str">
            <v>Kg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C2987" t="str">
            <v>Kg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C2988" t="str">
            <v>Kg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C2989" t="str">
            <v>Kg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C2990" t="str">
            <v>Kg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C2991" t="str">
            <v>Kg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C2992" t="str">
            <v>Kg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C2993" t="str">
            <v>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C2994" t="str">
            <v>Vỉ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C2995" t="str">
            <v>Vỉ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C2996" t="str">
            <v>Kg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C2997" t="str">
            <v>Kg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C2998" t="str">
            <v>Kg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C2999" t="str">
            <v>Kg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C3000" t="str">
            <v>Kg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C3001" t="str">
            <v>Kg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C3002" t="str">
            <v>Vỉ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C3003" t="str">
            <v>Túi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C3004" t="str">
            <v>Vỉ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C3005" t="str">
            <v>Vỉ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C3006" t="str">
            <v>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C3007" t="str">
            <v>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C3008" t="str">
            <v>Kg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C3009" t="str">
            <v>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C3010" t="str">
            <v>Kg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C3011" t="str">
            <v>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C3012" t="str">
            <v>Túi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C3013" t="str">
            <v>Kg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C3014" t="str">
            <v>Kg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C3015" t="str">
            <v>Kg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C3016" t="str">
            <v>Kg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C3017" t="str">
            <v>Kg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C3018" t="str">
            <v>Hộp 300gr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C3019" t="str">
            <v>Kg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C3020" t="str">
            <v>Kg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C3021" t="str">
            <v>Kg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C3022" t="str">
            <v>Kg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C3023" t="str">
            <v>Kg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C3024" t="str">
            <v>Kg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C3025" t="str">
            <v>Kg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C3026" t="str">
            <v>Hộp 300gr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C3027" t="str">
            <v>Kg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C3028" t="str">
            <v>Kg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C3029" t="str">
            <v>Vỉ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C3030" t="str">
            <v>Kg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C3031" t="str">
            <v>Kg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C3032" t="str">
            <v>Kg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C3033" t="str">
            <v>Hộp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C3034" t="str">
            <v>Kg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C3035" t="str">
            <v>Kg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C3036" t="str">
            <v>Kg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C3037" t="str">
            <v>Kg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C3038" t="str">
            <v>Cặp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C3039" t="str">
            <v>Kg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C3040" t="str">
            <v>Kg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C3041" t="str">
            <v>Kg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C3042" t="str">
            <v>Kg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C3043" t="str">
            <v>Kg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C3044" t="str">
            <v>Kg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C3045" t="str">
            <v>Kg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C3046" t="str">
            <v>Kg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C3047" t="str">
            <v>Kg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C3048" t="str">
            <v>Kg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C3049" t="str">
            <v>Kg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C3050" t="str">
            <v>Kg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C3051" t="str">
            <v>Kg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C3052" t="str">
            <v>Kg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C3053" t="str">
            <v>Kg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C3054" t="str">
            <v>Kg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C3055" t="str">
            <v>Kg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C3056" t="str">
            <v>Kg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C3057" t="str">
            <v>Kg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C3058" t="str">
            <v>Kg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C3059" t="str">
            <v>Kg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C3060" t="str">
            <v>Kg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C3061" t="str">
            <v>Kg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C3062" t="str">
            <v>Kg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C3063" t="str">
            <v>Kg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C3064" t="str">
            <v>Kg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C3065" t="str">
            <v>Hộp 300gr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C3066" t="str">
            <v>Hộp 500gr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C3067" t="str">
            <v>Kg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C3068" t="str">
            <v>Kg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C3069" t="str">
            <v>Kg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C3070" t="str">
            <v>Kg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C3071" t="str">
            <v>Kg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C3072" t="str">
            <v>Túi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C3073" t="str">
            <v>Kg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C3074" t="str">
            <v>Kg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C3075" t="str">
            <v>Túi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C3076" t="str">
            <v>Kg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C3077" t="str">
            <v>Kg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C3078" t="str">
            <v>Kg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C3079" t="str">
            <v>Kg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C3080" t="str">
            <v>Kg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C3081" t="str">
            <v>Vỉ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C3082" t="str">
            <v>Kg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C3083" t="str">
            <v>Kg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C3084" t="str">
            <v>Kg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C3085" t="str">
            <v>Kg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C3086" t="str">
            <v>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C3087" t="str">
            <v>Kg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C3088" t="str">
            <v>Kg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C3089" t="str">
            <v>Kg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C3090" t="str">
            <v>Kg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C3091" t="str">
            <v>Kg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C3092" t="str">
            <v>Kg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C3093" t="str">
            <v>Kg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C3094" t="str">
            <v>Vỉ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C3095" t="str">
            <v>Kg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C3096" t="str">
            <v>Kg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C3097" t="str">
            <v>Kg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C3098" t="str">
            <v>Kg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C3099" t="str">
            <v>Kg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C3100" t="str">
            <v>Kg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C3101" t="str">
            <v>Kg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C3102" t="str">
            <v>Kg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C3103" t="str">
            <v>Kg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C3104" t="str">
            <v>Kg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C3105" t="str">
            <v>Hộp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C3106" t="str">
            <v>Túi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C3107" t="str">
            <v>Hộp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C3108" t="str">
            <v>Túi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C3109" t="str">
            <v>Vỉ 650gr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C3110" t="str">
            <v>Vỉ 500gr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C3111" t="str">
            <v>Kg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C3112" t="str">
            <v>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C3113" t="str">
            <v>Kg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C3114" t="str">
            <v>Túi 500gr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C3115" t="str">
            <v>Túi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C3116" t="str">
            <v>Kg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C3117" t="str">
            <v>Kg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C3118" t="str">
            <v>Túi 300gr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C3119" t="str">
            <v>Kg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C3120" t="str">
            <v>Túi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C3121" t="str">
            <v>Vỉ 500gr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C3122" t="str">
            <v>Túi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C3123" t="str">
            <v>Kg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C3124" t="str">
            <v>Kg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C3125" t="str">
            <v>Vỉ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C3126" t="str">
            <v>Túi 150gr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C3127" t="str">
            <v>Túi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C3128" t="str">
            <v>Hộp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C3129" t="str">
            <v>Kg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C3130" t="str">
            <v>Kg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C3131" t="str">
            <v>Vỉ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C3132" t="str">
            <v>Kg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C3133" t="str">
            <v>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C3134" t="str">
            <v>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C3135" t="str">
            <v>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C3136" t="str">
            <v>Kg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C3137" t="str">
            <v>Kg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C3138" t="str">
            <v>Kg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C3139" t="str">
            <v>Kg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C3140" t="str">
            <v>Kg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C3141" t="str">
            <v>Kg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C3142" t="str">
            <v>Kg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C3143" t="str">
            <v>Kg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C3144" t="str">
            <v>Kg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C3145" t="str">
            <v>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C3146" t="str">
            <v>Kg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C3147" t="str">
            <v>Kg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C3148" t="str">
            <v>Kg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C3149" t="str">
            <v>Kg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C3150" t="str">
            <v>Vỉ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C3151" t="str">
            <v>Kg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C3152" t="str">
            <v>Kg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C3153" t="str">
            <v>Túi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C3154" t="str">
            <v>Kg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C3155" t="str">
            <v>Kg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C3156" t="str">
            <v>Kg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C3157" t="str">
            <v>Kg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C3158" t="str">
            <v>Kg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C3159" t="str">
            <v>Kg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C3160" t="str">
            <v>Kg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C3161" t="str">
            <v>Kg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C3162" t="str">
            <v>Kg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C3163" t="str">
            <v>Kg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C3164" t="str">
            <v>Kg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C3165" t="str">
            <v>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C3166" t="str">
            <v>Kg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C3167" t="str">
            <v>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C3168" t="str">
            <v>Vỉ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C3169" t="str">
            <v>Túi 500gr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C3170" t="str">
            <v>Kg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C3171" t="str">
            <v>Kg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C3172" t="str">
            <v>Kg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C3173" t="str">
            <v>Kg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C3174" t="str">
            <v>Kg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C3175" t="str">
            <v>Vỉ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C3176" t="str">
            <v>Kg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C3177" t="str">
            <v>Kg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C3178" t="str">
            <v>Lít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C3179" t="str">
            <v>Kg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C3180" t="str">
            <v>Vỉ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C3181" t="str">
            <v>Kg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C3182" t="str">
            <v>Kg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C3183" t="str">
            <v>Kg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C3184" t="str">
            <v>Kg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C3185" t="str">
            <v>Kg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C3186" t="str">
            <v>Kg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C3187" t="str">
            <v>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C3188" t="str">
            <v>Kg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C3189" t="str">
            <v>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C3190" t="str">
            <v>Kg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C3191" t="str">
            <v>Kg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C3192" t="str">
            <v>Kg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C3193" t="str">
            <v>Kg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C3194" t="str">
            <v>Kg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C3195" t="str">
            <v>Kg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C3196" t="str">
            <v>Kg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C3197" t="str">
            <v>Kg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C3198" t="str">
            <v>Kg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C3199" t="str">
            <v>Kg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C3200" t="str">
            <v>Kg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C3201" t="str">
            <v>Kg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C3202" t="str">
            <v>Kg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C3203" t="str">
            <v>Kg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C3204" t="str">
            <v>Kg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C3205" t="str">
            <v>Kg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C3206" t="str">
            <v>Kg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C3207" t="str">
            <v>Kg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C3208" t="str">
            <v>Kg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C3209" t="str">
            <v>Kg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C3210" t="str">
            <v>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C3211" t="str">
            <v>Kg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C3212" t="str">
            <v>Kg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C3213" t="str">
            <v>Kg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C3214" t="str">
            <v>Kg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C3215" t="str">
            <v>Hộp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C3216" t="str">
            <v>Kg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C3217" t="str">
            <v>Kg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C3218" t="str">
            <v>Túi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C3219" t="str">
            <v>Kg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C3220" t="str">
            <v>Kg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C3221" t="str">
            <v>Kg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C3222" t="str">
            <v>Kg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C3223" t="str">
            <v>Kg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C3224" t="str">
            <v>Kg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C3225" t="str">
            <v>Kg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C3226" t="str">
            <v>Kg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C3227" t="str">
            <v>Kg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C3228" t="str">
            <v>Kg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C3229" t="str">
            <v>Cặp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C3230" t="str">
            <v>Kg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C3231" t="str">
            <v>Kg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C3232" t="str">
            <v>Kg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C3233" t="str">
            <v>Kg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C3234" t="str">
            <v>Kg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C3235" t="str">
            <v>Kg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C3236" t="str">
            <v>Kg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C3237" t="str">
            <v>Kg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C3238" t="str">
            <v>Kg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C3239" t="str">
            <v>Kg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C3240" t="str">
            <v>Kg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C3241" t="str">
            <v>Kg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C3242" t="str">
            <v>Kg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C3243" t="str">
            <v>Kg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C3244" t="str">
            <v>Kg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C3245" t="str">
            <v>Kg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C3246" t="str">
            <v>Kg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C3247" t="str">
            <v>Kg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C3248" t="str">
            <v>Kg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C3249" t="str">
            <v>Kg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C3250" t="str">
            <v>Túi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C3251" t="str">
            <v>Kg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C3252" t="str">
            <v>Kg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C3253" t="str">
            <v>Kg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C3254" t="str">
            <v>Kg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C3255" t="str">
            <v>Kg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C3256" t="str">
            <v>Kg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C3257" t="str">
            <v>Kg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C3258" t="str">
            <v>Kg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C3259" t="str">
            <v>Kg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C3260" t="str">
            <v>Kg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C3261" t="str">
            <v>Kg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C3262" t="str">
            <v>Kg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C3263" t="str">
            <v>Kg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C3264" t="str">
            <v>Kg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C3265" t="str">
            <v>Túi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C3266" t="str">
            <v>Hộp 300gr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C3267" t="str">
            <v>Hộp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C3268" t="str">
            <v>Vỉ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C3269" t="str">
            <v>Hộp 300gr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C3270" t="str">
            <v>Kg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C3271" t="str">
            <v>Kg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C3272" t="str">
            <v>Túi 300gr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C3273" t="str">
            <v>Kg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C3274" t="str">
            <v>Kg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C3275" t="str">
            <v>Kg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C3276" t="str">
            <v>Kg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C3277" t="str">
            <v>Túi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C3278" t="str">
            <v>Kg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C3279" t="str">
            <v>Vỉ 650gr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C3280" t="str">
            <v>Vỉ 500gr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C3281" t="str">
            <v>Kg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C3282" t="str">
            <v>Kg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C3283" t="str">
            <v>Kg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C3284" t="str">
            <v>Túi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C3285" t="str">
            <v>Hộp 300gr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C3286" t="str">
            <v>Hộp 500gr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C3287" t="str">
            <v>Kg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C3288" t="str">
            <v>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C3289" t="str">
            <v>Kg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C3290" t="str">
            <v>Kg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C3291" t="str">
            <v>Kg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C3292" t="str">
            <v>Vỉ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C3293" t="str">
            <v>Vỉ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C3294" t="str">
            <v>Kg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C3295" t="str">
            <v>Kg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C3296" t="str">
            <v>Kg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C3297" t="str">
            <v>Kg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C3298" t="str">
            <v>Kg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C3299" t="str">
            <v>Vỉ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C3300" t="str">
            <v>Túi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C3301" t="str">
            <v>Vỉ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C3302" t="str">
            <v>Túi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C3303" t="str">
            <v>Vỉ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C3304" t="str">
            <v>Hộp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C3305" t="str">
            <v>Kg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C3306" t="str">
            <v>Túi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C3307" t="str">
            <v>Kg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C3308" t="str">
            <v>Vỉ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C3309" t="str">
            <v/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C3310" t="str">
            <v/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C3311" t="str">
            <v>Kg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C3312" t="str">
            <v>Kg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C3313" t="str">
            <v>Kg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C3314" t="str">
            <v>Kg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C3315" t="str">
            <v>Kg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C3316" t="str">
            <v>Kg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C3317" t="str">
            <v>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C3318" t="str">
            <v>Kg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C3319" t="str">
            <v>Kg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C3320" t="str">
            <v>Kg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C3321" t="str">
            <v>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C3322" t="str">
            <v>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C3323" t="str">
            <v>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C3324" t="str">
            <v>Kg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C3325" t="str">
            <v>Kg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C3326" t="str">
            <v>Kg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C3327" t="str">
            <v>Kg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C3328" t="str">
            <v>Túi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C3329" t="str">
            <v>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C3330" t="str">
            <v>Kg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C3331" t="str">
            <v>Kg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C3332" t="str">
            <v>Kg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C3333" t="str">
            <v>Kg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C3334" t="str">
            <v>Kg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C3335" t="str">
            <v>Kg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C3336" t="str">
            <v>Kg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C3337" t="str">
            <v>Kg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C3338" t="str">
            <v>Vỉ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C3339" t="str">
            <v>Kg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C3340" t="str">
            <v>Kg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C3341" t="str">
            <v>Kg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C3342" t="str">
            <v>Kg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C3343" t="str">
            <v>Kg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C3344" t="str">
            <v>Kg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C3345" t="str">
            <v>Kg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C3346" t="str">
            <v>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C3347" t="str">
            <v>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C3348" t="str">
            <v>Kg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C3349" t="str">
            <v>Kg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C3350" t="str">
            <v>Kg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C3351" t="str">
            <v>Kg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C3352" t="str">
            <v>Kg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C3353" t="str">
            <v>Kg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C3354" t="str">
            <v>Kg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C3355" t="str">
            <v>Kg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C3356" t="str">
            <v>Kg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C3357" t="str">
            <v>Túi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C3358" t="str">
            <v>Kg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C3359" t="str">
            <v>Kg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C3360" t="str">
            <v>Kg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C3361" t="str">
            <v>Lít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C3362" t="str">
            <v>Gói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C3363" t="str">
            <v>Lít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C3364" t="str">
            <v>Lít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C3365" t="str">
            <v>Lít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C3366" t="str">
            <v>Lít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C3367" t="str">
            <v>Lít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C3368" t="str">
            <v>Lít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C3369" t="str">
            <v>Lít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C3370" t="str">
            <v>Lít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C3371" t="str">
            <v>Lít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C3372" t="str">
            <v>Hộp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C3373" t="str">
            <v>Hộp 300gr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C3374" t="str">
            <v>Vỉ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C3375" t="str">
            <v>Hộp 300gr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C3376" t="str">
            <v>Kg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C3377" t="str">
            <v>Kg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C3378" t="str">
            <v>Kg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C3379" t="str">
            <v>Kg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C3380" t="str">
            <v>Kg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C3381" t="str">
            <v>Kg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C3382" t="str">
            <v>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C3383" t="str">
            <v>Kg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C3384" t="str">
            <v>Vỉ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C3385" t="str">
            <v>Kg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C3386" t="str">
            <v>Kg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C3387" t="str">
            <v>Kg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C3388" t="str">
            <v>Kg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C3389" t="str">
            <v>Kg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C3390" t="str">
            <v>Kg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C3391" t="str">
            <v>Kg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C3392" t="str">
            <v>Kg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C3393" t="str">
            <v>Túi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C3394" t="str">
            <v>Túi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C3395" t="str">
            <v>Kg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C3396" t="str">
            <v>Kg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C3397" t="str">
            <v>Kg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C3398" t="str">
            <v>Kg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C3399" t="str">
            <v>Kg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C3400" t="str">
            <v>Kg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C3401" t="str">
            <v>Kg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C3402" t="str">
            <v>Kg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C3403" t="str">
            <v>Kg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C3404" t="str">
            <v>Túi 300gr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C3405" t="str">
            <v>Kg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C3406" t="str">
            <v>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C3407" t="str">
            <v>Kg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C3408" t="str">
            <v>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C3409" t="str">
            <v>Kg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C3410" t="str">
            <v>Kg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C3411" t="str">
            <v>Hộp 300gr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C3412" t="str">
            <v>Hộp 500gr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C3413" t="str">
            <v>Kg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C3414" t="str">
            <v>Kg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C3415" t="str">
            <v>Kg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C3416" t="str">
            <v>Kg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C3417" t="str">
            <v>Kg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C3418" t="str">
            <v>Vỉ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C3419" t="str">
            <v>Kg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C3420" t="str">
            <v>Kg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C3421" t="str">
            <v>Kg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C3422" t="str">
            <v>Kg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C3423" t="str">
            <v>Kg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C3424" t="str">
            <v>Kg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C3425" t="str">
            <v>Kg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C3426" t="str">
            <v>Kg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C3427" t="str">
            <v>Kg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C3428" t="str">
            <v>Kg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C3429" t="str">
            <v>Kg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C3430" t="str">
            <v>Kg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C3431" t="str">
            <v>Kg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C3432" t="str">
            <v>Kg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C3433" t="str">
            <v>Kg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C3434" t="str">
            <v>Kg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C3435" t="str">
            <v>Kg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C3436" t="str">
            <v>Kg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C3437" t="str">
            <v>Kg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C3438" t="str">
            <v>Kg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C3439" t="str">
            <v>Kg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C3440" t="str">
            <v>Kg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C3441" t="str">
            <v>Kg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C3442" t="str">
            <v>Kg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C3443" t="str">
            <v>Kg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C3444" t="str">
            <v>Kg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C3445" t="str">
            <v>Kg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C3446" t="str">
            <v>Kg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C3447" t="str">
            <v>Kg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C3448" t="str">
            <v>Kg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C3449" t="str">
            <v>Hộp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C3450" t="str">
            <v>Kg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C3451" t="str">
            <v>Túi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C3452" t="str">
            <v>Kg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C3453" t="str">
            <v>Kg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C3454" t="str">
            <v>Kg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C3455" t="str">
            <v>Kg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C3456" t="str">
            <v>Kg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C3457" t="str">
            <v>Kg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C3458" t="str">
            <v>Hộp 300gr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C3459" t="str">
            <v>Kg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C3460" t="str">
            <v>Kg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C3461" t="str">
            <v>Kg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C3462" t="str">
            <v>Kg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C3463" t="str">
            <v>Kg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C3464" t="str">
            <v>Kg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C3465" t="str">
            <v>Kg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C3466" t="str">
            <v>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C3467" t="str">
            <v>Kg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C3468" t="str">
            <v>Kg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C3469" t="str">
            <v>Kg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C3470" t="str">
            <v>Cặp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C3471" t="str">
            <v>Kg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C3472" t="str">
            <v>Kg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C3473" t="str">
            <v>Kg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C3474" t="str">
            <v>Kg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C3475" t="str">
            <v>Kg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C3476" t="str">
            <v>Kg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C3477" t="str">
            <v>Túi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C3478" t="str">
            <v>Kg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C3479" t="str">
            <v>Kg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C3480" t="str">
            <v>Túi 500gr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C3481" t="str">
            <v>Vỉ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C3482" t="str">
            <v>Kg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C3483" t="str">
            <v>Kg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C3484" t="str">
            <v>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C3485" t="str">
            <v>Kg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C3486" t="str">
            <v>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C3487" t="str">
            <v>Kg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C3488" t="str">
            <v>Vỉ 650gr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C3489" t="str">
            <v>Vỉ 500gr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C3490" t="str">
            <v>Kg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C3491" t="str">
            <v>Kg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C3492" t="str">
            <v>Túi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C3493" t="str">
            <v>Túi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C3494" t="str">
            <v>Hộp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C3495" t="str">
            <v>Túi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C3496" t="str">
            <v>Túi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C3497" t="str">
            <v>Hộp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C3498" t="str">
            <v>Kg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C3499" t="str">
            <v>Vỉ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C3500" t="str">
            <v>Kg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C3501" t="str">
            <v>Vỉ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C3502" t="str">
            <v>Kg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C3503" t="str">
            <v>Vỉ 500gr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C3504" t="str">
            <v>Kg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C3505" t="str">
            <v>Kg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C3506" t="str">
            <v>Túi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C3507" t="str">
            <v>Kg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C3508" t="str">
            <v>Vỉ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C3509" t="str">
            <v>Túi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C3510" t="str">
            <v>Túi 150gr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C3511" t="str">
            <v>Vỉ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C3512" t="str">
            <v>Túi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C3513" t="str">
            <v>Kg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C3514" t="str">
            <v>Kg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C3515" t="str">
            <v>Cái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C3516" t="str">
            <v>Kg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C3517" t="str">
            <v>Vỉ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C3518" t="str">
            <v>Vỉ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C3519" t="str">
            <v>Vỉ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C3520" t="str">
            <v>Kg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C3521" t="str">
            <v>Kg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C3522" t="str">
            <v>Kg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C3523" t="str">
            <v>Kg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C3524" t="str">
            <v>Kg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C3525" t="str">
            <v>Kg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C3526" t="str">
            <v>Túi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C3527" t="str">
            <v>Kg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C3528" t="str">
            <v>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C3529" t="str">
            <v>Kg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C3530" t="str">
            <v>Kg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C3531" t="str">
            <v>Kg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C3532" t="str">
            <v>Kg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C3533" t="str">
            <v>Kg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C3534" t="str">
            <v>Kg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C3535" t="str">
            <v>Kg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C3536" t="str">
            <v>Kg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C3537" t="str">
            <v>Kg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C3538" t="str">
            <v>Kg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C3539" t="str">
            <v>Kg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C3540" t="str">
            <v>Kg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C3541" t="str">
            <v>Kg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C3542" t="str">
            <v>Kg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C3543" t="str">
            <v>Kg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C3544" t="str">
            <v>Kg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C3545" t="str">
            <v>Kg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C3546" t="str">
            <v>Kg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C3547" t="str">
            <v>Kg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C3548" t="str">
            <v>Túi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C3549" t="str">
            <v>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C3550" t="str">
            <v>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C3551" t="str">
            <v>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C3552" t="str">
            <v>Kg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C3553" t="str">
            <v>Trái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C3554" t="str">
            <v>Trái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C3555" t="str">
            <v>Lít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C3556" t="str">
            <v>Lít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C3557" t="str">
            <v>Lít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C3558" t="str">
            <v>Lít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C3559" t="str">
            <v>Lít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C3560" t="str">
            <v>Lít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C3561" t="str">
            <v>Lít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C3562" t="str">
            <v>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C3563" t="str">
            <v>Kg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C3564" t="str">
            <v>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C3565" t="str">
            <v>Túi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C3566" t="str">
            <v>Túi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C3567" t="str">
            <v>Vỉ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C3568" t="str">
            <v>Kg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C3569" t="str">
            <v>Kg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C3570" t="str">
            <v>Kg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C3571" t="str">
            <v>Túi 300gr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C3572" t="str">
            <v>Kg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C3573" t="str">
            <v>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C3574" t="str">
            <v>Kg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C3575" t="str">
            <v>Kg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C3576" t="str">
            <v>Kg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C3577" t="str">
            <v>Kg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C3578" t="str">
            <v>Kg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C3579" t="str">
            <v>Kg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C3580" t="str">
            <v>Kg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C3581" t="str">
            <v>Kg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C3582" t="str">
            <v>Kg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C3583" t="str">
            <v>Kg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C3584" t="str">
            <v>Kg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C3585" t="str">
            <v>Kg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C3586" t="str">
            <v>Kg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C3587" t="str">
            <v>Kg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C3588" t="str">
            <v>Hộp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C3589" t="str">
            <v>Hộp 300gr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C3590" t="str">
            <v>Vỉ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C3591" t="str">
            <v>Túi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C3592" t="str">
            <v>Kg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C3593" t="str">
            <v>Kg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C3594" t="str">
            <v>Kg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C3595" t="str">
            <v>Kg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C3596" t="str">
            <v>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C3597" t="str">
            <v>Kg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C3598" t="str">
            <v>Kg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C3599" t="str">
            <v>Kg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C3600" t="str">
            <v>Kg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C3601" t="str">
            <v>Túi 500gr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C3602" t="str">
            <v>Kg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C3603" t="str">
            <v>Túi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C3604" t="str">
            <v>Kg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C3605" t="str">
            <v>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C3606" t="str">
            <v>Kg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C3607" t="str">
            <v>Kg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C3608" t="str">
            <v>Vỉ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C3609" t="str">
            <v>Kg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C3610" t="str">
            <v>Kg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C3611" t="str">
            <v>Kg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C3612" t="str">
            <v>Kg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C3613" t="str">
            <v>Kg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C3614" t="str">
            <v>Kg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C3615" t="str">
            <v>Kg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C3616" t="str">
            <v>Kg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C3617" t="str">
            <v>Kg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C3618" t="str">
            <v>Kg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C3619" t="str">
            <v>Kg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C3620" t="str">
            <v>Kg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C3621" t="str">
            <v>Kg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C3622" t="str">
            <v>Kg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C3623" t="str">
            <v>Kg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C3624" t="str">
            <v>Kg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C3625" t="str">
            <v>Hộp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C3626" t="str">
            <v>Kg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C3627" t="str">
            <v>Kg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C3628" t="str">
            <v>Kg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C3629" t="str">
            <v>Vỉ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C3630" t="str">
            <v>Kg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C3631" t="str">
            <v>Kg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C3632" t="str">
            <v>Kg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C3633" t="str">
            <v>Kg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C3634" t="str">
            <v>Kg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C3635" t="str">
            <v>Túi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C3636" t="str">
            <v>Cặp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C3637" t="str">
            <v>Kg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C3638" t="str">
            <v>Kg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C3639" t="str">
            <v>Kg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C3640" t="str">
            <v>Kg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C3641" t="str">
            <v>Hộp 300gr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C3642" t="str">
            <v>Kg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C3643" t="str">
            <v>Kg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C3644" t="str">
            <v>Kg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C3645" t="str">
            <v>Kg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C3646" t="str">
            <v>Kg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C3647" t="str">
            <v>Kg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C3648" t="str">
            <v>Kg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C3649" t="str">
            <v>Kg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C3650" t="str">
            <v>Kg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C3651" t="str">
            <v>Kg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C3652" t="str">
            <v>Kg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C3653" t="str">
            <v>Kg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C3654" t="str">
            <v>Kg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C3655" t="str">
            <v>Kg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C3656" t="str">
            <v>Kg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C3657" t="str">
            <v>Vỉ 650gr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C3658" t="str">
            <v>Vỉ 500gr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C3659" t="str">
            <v>Túi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C3660" t="str">
            <v>Hộp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C3661" t="str">
            <v>Kg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C3662" t="str">
            <v>Hộp 300gr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C3663" t="str">
            <v>Hộp 500gr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C3664" t="str">
            <v>Kg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C3665" t="str">
            <v>Kg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C3666" t="str">
            <v>Vỉ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C3667" t="str">
            <v>Túi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C3668" t="str">
            <v>Vỉ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C3669" t="str">
            <v>Kg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C3670" t="str">
            <v>Vỉ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C3671" t="str">
            <v>Túi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C3672" t="str">
            <v>Vỉ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C3673" t="str">
            <v>Túi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C3674" t="str">
            <v>Vỉ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C3675" t="str">
            <v>Kg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C3676" t="str">
            <v>Vỉ 500gr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C3677" t="str">
            <v>Túi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C3678" t="str">
            <v>Kg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C3679" t="str">
            <v>Hộp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C3680" t="str">
            <v>Cuộn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C3681" t="str">
            <v>Cuộn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C3682" t="str">
            <v>Kg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C3683" t="str">
            <v>Kg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C3684" t="str">
            <v>Kg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C3685" t="str">
            <v>Kg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C3686" t="str">
            <v>Kg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C3687" t="str">
            <v>Kg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C3688" t="str">
            <v>Kg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C3689" t="str">
            <v>Kg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C3690" t="str">
            <v>Kg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C3691" t="str">
            <v>Kg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C3692" t="str">
            <v>Kg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C3693" t="str">
            <v>Kg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C3694" t="str">
            <v>Kg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C3695" t="str">
            <v>Kg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C3696" t="str">
            <v>Kg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C3697" t="str">
            <v>Kg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C3698" t="str">
            <v>Kg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C3699" t="str">
            <v>Kg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C3700" t="str">
            <v>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C3701" t="str">
            <v>Kg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C3702" t="str">
            <v>Túi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C3703" t="str">
            <v>Kg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C3704" t="str">
            <v>Kg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C3705" t="str">
            <v>Kg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C3706" t="str">
            <v>Kg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C3707" t="str">
            <v>Kg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C3708" t="str">
            <v>Kg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C3709" t="str">
            <v>Kg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C3710" t="str">
            <v>Kg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C3711" t="str">
            <v>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C3712" t="str">
            <v>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C3713" t="str">
            <v>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C3714" t="str">
            <v>Kg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C3715" t="str">
            <v>Kg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C3716" t="str">
            <v>Túi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C3717" t="str">
            <v>Kg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C3718" t="str">
            <v>Kg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C3719" t="str">
            <v>Kg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C3720" t="str">
            <v>Cuộn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C3721" t="str">
            <v>Kg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C3722" t="str">
            <v>Lít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C3723" t="str">
            <v>Lít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C3724" t="str">
            <v>Lít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C3725" t="str">
            <v>Lít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C3726" t="str">
            <v>Lít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C3727" t="str">
            <v>Lít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C3728" t="str">
            <v>Lít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C3729" t="str">
            <v>Lít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C3730" t="str">
            <v>Lít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C3731" t="str">
            <v>Lít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C3732" t="str">
            <v>Lít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C3733" t="str">
            <v>Kg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C3734" t="str">
            <v>Kg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C3735" t="str">
            <v>Kg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C3736" t="str">
            <v>Kg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C3737" t="str">
            <v>Kg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C3738" t="str">
            <v>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C3739" t="str">
            <v>Kg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C3740" t="str">
            <v>Kg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C3741" t="str">
            <v>Hộp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C3742" t="str">
            <v>Kg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C3743" t="str">
            <v>Kg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C3744" t="str">
            <v>Kg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C3745" t="str">
            <v>Kg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C3746" t="str">
            <v>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C3747" t="str">
            <v>Kg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C3748" t="str">
            <v>Kg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C3749" t="str">
            <v>Kg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C3750" t="str">
            <v>Túi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C3751" t="str">
            <v>Hộp 300gr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C3752" t="str">
            <v>Kg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C3753" t="str">
            <v>Kg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C3754" t="str">
            <v>Kg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C3755" t="str">
            <v>Kg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C3756" t="str">
            <v>Kg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C3757" t="str">
            <v>Kg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C3758" t="str">
            <v>Kg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C3759" t="str">
            <v>Kg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C3760" t="str">
            <v>Kg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C3761" t="str">
            <v>Kg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C3762" t="str">
            <v>Kg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C3763" t="str">
            <v>Kg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C3764" t="str">
            <v>Kg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C3765" t="str">
            <v>Kg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C3766" t="str">
            <v>Kg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C3767" t="str">
            <v>Kg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C3768" t="str">
            <v>Kg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C3769" t="str">
            <v>Vỉ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C3770" t="str">
            <v>Kg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C3771" t="str">
            <v>Kg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C3772" t="str">
            <v>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C3773" t="str">
            <v>Kg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C3774" t="str">
            <v>Kg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C3775" t="str">
            <v>Kg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C3776" t="str">
            <v>Hộp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C3777" t="str">
            <v>Kg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C3778" t="str">
            <v>Kg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C3779" t="str">
            <v>Kg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C3780" t="str">
            <v>Kg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C3781" t="str">
            <v>Kg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C3782" t="str">
            <v>Hộp 300gr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C3783" t="str">
            <v>Hộp 500gr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C3784" t="str">
            <v>Kg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C3785" t="str">
            <v>Túi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C3786" t="str">
            <v>Kg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C3787" t="str">
            <v>Kg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C3788" t="str">
            <v>Kg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C3789" t="str">
            <v>Kg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C3790" t="str">
            <v>Kg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C3791" t="str">
            <v>Kg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C3792" t="str">
            <v>Kg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C3793" t="str">
            <v>Kg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C3794" t="str">
            <v>Kg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C3795" t="str">
            <v>Kg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C3796" t="str">
            <v>Kg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C3797" t="str">
            <v>Kg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C3798" t="str">
            <v>Kg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C3799" t="str">
            <v>Hộp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C3800" t="str">
            <v>Vỉ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C3801" t="str">
            <v>Kg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C3802" t="str">
            <v>Vỉ 650gr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C3803" t="str">
            <v>Vỉ 500gr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C3804" t="str">
            <v>Kg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C3805" t="str">
            <v>Túi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C3806" t="str">
            <v>Kg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C3807" t="str">
            <v>Kg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C3808" t="str">
            <v>Kg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C3809" t="str">
            <v>Kg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C3810" t="str">
            <v>Kg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C3811" t="str">
            <v>Kg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C3812" t="str">
            <v>Kg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C3813" t="str">
            <v>Kg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C3814" t="str">
            <v>Túi 300gr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C3815" t="str">
            <v>Kg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C3816" t="str">
            <v>Kg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C3817" t="str">
            <v>Kg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C3818" t="str">
            <v>Kg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C3819" t="str">
            <v>Vỉ 500gr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C3820" t="str">
            <v>Túi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C3821" t="str">
            <v>Kg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C3822" t="str">
            <v>Vỉ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C3823" t="str">
            <v>Túi 150gr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C3824" t="str">
            <v>Vỉ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C3825" t="str">
            <v>Túi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C3826" t="str">
            <v>Vỉ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C3827" t="str">
            <v>Kg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C3828" t="str">
            <v>Cặp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C3829" t="str">
            <v>Kg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C3830" t="str">
            <v>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C3831" t="str">
            <v>Kg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C3832" t="str">
            <v>Kg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C3833" t="str">
            <v>Túi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C3834" t="str">
            <v>Kg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C3835" t="str">
            <v>Kg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C3836" t="str">
            <v>Kg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C3837" t="str">
            <v>Kg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C3838" t="str">
            <v>Túi 500gr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C3839" t="str">
            <v>Kg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C3840" t="str">
            <v>Kg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C3841" t="str">
            <v>Kg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C3842" t="str">
            <v>Kg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C3843" t="str">
            <v>Kg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C3844" t="str">
            <v>Cái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C3845" t="str">
            <v>Cái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C3846" t="str">
            <v>Kg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C3847" t="str">
            <v>Kg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C3848" t="str">
            <v>Kg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C3849" t="str">
            <v>Kg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C3850" t="str">
            <v>Kg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C3851" t="str">
            <v>Kg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C3852" t="str">
            <v>Kg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C3853" t="str">
            <v>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C3854" t="str">
            <v>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C3855" t="str">
            <v>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C3856" t="str">
            <v>Kg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C3857" t="str">
            <v>Kg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C3858" t="str">
            <v>Kg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C3859" t="str">
            <v>Kg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C3860" t="str">
            <v>Kg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C3861" t="str">
            <v>Kg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C3862" t="str">
            <v>Túi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C3863" t="str">
            <v>Kg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C3864" t="str">
            <v>Kg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C3865" t="str">
            <v>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C3866" t="str">
            <v>Kg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C3867" t="str">
            <v>Kg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C3868" t="str">
            <v>Kg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C3869" t="str">
            <v>Kg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C3870" t="str">
            <v>Kg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C3871" t="str">
            <v>Kg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C3872" t="str">
            <v>Kg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C3873" t="str">
            <v>Kg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C3874" t="str">
            <v>Kg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C3875" t="str">
            <v>Kg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C3876" t="str">
            <v>Kg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C3877" t="str">
            <v>Kg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C3878" t="str">
            <v>Vỉ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C3879" t="str">
            <v>Kg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C3880" t="str">
            <v>Kg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C3881" t="str">
            <v>Kg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C3882" t="str">
            <v>Kg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C3883" t="str">
            <v>Kg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C3884" t="str">
            <v>Kg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C3885" t="str">
            <v>Kg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C3886" t="str">
            <v>Vỉ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C3887" t="str">
            <v>Túi 500gr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C3888" t="str">
            <v>Kg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C3889" t="str">
            <v>Kg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C3890" t="str">
            <v>Kg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C3891" t="str">
            <v>Kg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C3892" t="str">
            <v>Kg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C3893" t="str">
            <v>Lít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C3894" t="str">
            <v>Lít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C3895" t="str">
            <v>Lít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C3896" t="str">
            <v>Lít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C3897" t="str">
            <v>Lít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C3898" t="str">
            <v>Lít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C3899" t="str">
            <v>Lít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C3900" t="str">
            <v>Lít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C3901" t="str">
            <v>Kg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C3902" t="str">
            <v>Kg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C3903" t="str">
            <v>Kg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C3904" t="str">
            <v>Kg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C3905" t="str">
            <v>Kg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C3906" t="str">
            <v>Kg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C3907" t="str">
            <v>Kg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C3908" t="str">
            <v>Kg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C3909" t="str">
            <v>Kg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C3910" t="str">
            <v>Kg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C3911" t="str">
            <v>Kg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C3912" t="str">
            <v>Kg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C3913" t="str">
            <v>Kg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C3914" t="str">
            <v>Kg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C3915" t="str">
            <v>Vỉ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C3916" t="str">
            <v>Túi 300gr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C3917" t="str">
            <v>Kg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C3918" t="str">
            <v>Túi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C3919" t="str">
            <v>Kg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C3920" t="str">
            <v>Kg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C3921" t="str">
            <v>Kg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C3922" t="str">
            <v>Kg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C3923" t="str">
            <v>Kg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C3924" t="str">
            <v>Hộp 300gr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C3925" t="str">
            <v>Kg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C3926" t="str">
            <v>Kg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C3927" t="str">
            <v>Túi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C3928" t="str">
            <v>Túi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C3929" t="str">
            <v>Vỉ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C3930" t="str">
            <v>Kg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C3931" t="str">
            <v>Kg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C3932" t="str">
            <v>Kg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C3933" t="str">
            <v>Kg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C3934" t="str">
            <v>Kg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C3935" t="str">
            <v>Kg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C3936" t="str">
            <v>Kg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C3937" t="str">
            <v>Kg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C3938" t="str">
            <v>Kg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C3939" t="str">
            <v>Kg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C3940" t="str">
            <v>Kg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C3941" t="str">
            <v>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C3942" t="str">
            <v>Kg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C3943" t="str">
            <v>Kg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C3944" t="str">
            <v>Kg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C3945" t="str">
            <v>Vỉ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C3946" t="str">
            <v>Kg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C3947" t="str">
            <v>Kg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C3948" t="str">
            <v>Kg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C3949" t="str">
            <v>Kg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C3950" t="str">
            <v>Kg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C3951" t="str">
            <v>Kg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C3952" t="str">
            <v>Kg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C3953" t="str">
            <v>Kg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C3954" t="str">
            <v>Kg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C3955" t="str">
            <v>Kg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C3956" t="str">
            <v>Kg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C3957" t="str">
            <v>Kg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C3958" t="str">
            <v>Kg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C3959" t="str">
            <v>Cặp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C3960" t="str">
            <v>Hộp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C3961" t="str">
            <v>Kg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C3962" t="str">
            <v>Kg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C3963" t="str">
            <v>Kg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C3964" t="str">
            <v>Kg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C3965" t="str">
            <v>Kg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C3966" t="str">
            <v>Kg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C3967" t="str">
            <v>Kg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C3968" t="str">
            <v>Kg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C3969" t="str">
            <v>Kg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C3970" t="str">
            <v>Hộp 300gr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C3971" t="str">
            <v>Hộp 500gr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C3972" t="str">
            <v>Kg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C3973" t="str">
            <v>Kg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C3974" t="str">
            <v>Kg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C3975" t="str">
            <v>Kg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C3976" t="str">
            <v>Kg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C3977" t="str">
            <v>Kg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C3978" t="str">
            <v>Kg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C3979" t="str">
            <v>Kg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C3980" t="str">
            <v>Kg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C3981" t="str">
            <v>Vỉ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C3982" t="str">
            <v>Kg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C3983" t="str">
            <v>Kg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C3984" t="str">
            <v>Kg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C3985" t="str">
            <v>Kg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C3986" t="str">
            <v>Kg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C3987" t="str">
            <v>Kg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C3988" t="str">
            <v>Túi 500gr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C3989" t="str">
            <v>Kg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C3990" t="str">
            <v>Hộp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C3991" t="str">
            <v>Túi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C3992" t="str">
            <v>Kg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C3993" t="str">
            <v>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C3994" t="str">
            <v>Túi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C3995" t="str">
            <v>Túi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C3996" t="str">
            <v>Vỉ 650gr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C3997" t="str">
            <v>Vỉ 500gr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C3998" t="str">
            <v>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C3999" t="str">
            <v>Kg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C4000" t="str">
            <v>Kg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C4001" t="str">
            <v>Túi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C4002" t="str">
            <v>Vỉ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C4003" t="str">
            <v>Túi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C4004" t="str">
            <v>Vỉ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C4005" t="str">
            <v>Kg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C4006" t="str">
            <v>Kg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C4007" t="str">
            <v>Vỉ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C4008" t="str">
            <v>Túi 150gr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C4009" t="str">
            <v>Túi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C4010" t="str">
            <v>Hộp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C4011" t="str">
            <v>Kg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C4012" t="str">
            <v>Vỉ 500gr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C4013" t="str">
            <v>Kg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C4014" t="str">
            <v>Túi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C4015" t="str">
            <v>Túi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C4016" t="str">
            <v>Vỉ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C4017" t="str">
            <v>Kg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C4018" t="str">
            <v>Kg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C4019" t="str">
            <v>Kg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C4020" t="str">
            <v>Kg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C4021" t="str">
            <v>Kg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C4022" t="str">
            <v>Kg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C4023" t="str">
            <v>Kg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C4024" t="str">
            <v>Kg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C4025" t="str">
            <v>Kg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C4026" t="str">
            <v>Kg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C4027" t="str">
            <v>Kg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C4028" t="str">
            <v>Kg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C4029" t="str">
            <v>Kg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C4030" t="str">
            <v>Kg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C4031" t="str">
            <v>Kg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C4032" t="str">
            <v>Kg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C4033" t="str">
            <v>Kg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C4034" t="str">
            <v>Kg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C4035" t="str">
            <v>Kg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C4036" t="str">
            <v>Kg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C4037" t="str">
            <v>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C4038" t="str">
            <v>Kg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C4039" t="str">
            <v>Kg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C4040" t="str">
            <v>Kg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C4041" t="str">
            <v>Kg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C4042" t="str">
            <v>Vỉ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C4043" t="str">
            <v>Túi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C4044" t="str">
            <v>Kg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C4045" t="str">
            <v>Kg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C4046" t="str">
            <v>Kg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C4047" t="str">
            <v>Kg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C4048" t="str">
            <v>Kg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C4049" t="str">
            <v>Kg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C4050" t="str">
            <v>Kg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C4051" t="str">
            <v>Kg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C4052" t="str">
            <v>Vỉ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C4053" t="str">
            <v>Túi 500gr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C4054" t="str">
            <v>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C4055" t="str">
            <v>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C4056" t="str">
            <v>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C4057" t="str">
            <v>Kg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C4058" t="str">
            <v>Kg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C4059" t="str">
            <v>Cái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C4060" t="str">
            <v>Lít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C4061" t="str">
            <v>Lít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C4062" t="str">
            <v>Lít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C4063" t="str">
            <v>Lít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C4064" t="str">
            <v>Lít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C4065" t="str">
            <v>Lít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C4066" t="str">
            <v>Lít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C4067" t="str">
            <v>Lít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C4068" t="str">
            <v>Kg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C4069" t="str">
            <v>Kg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C4070" t="str">
            <v>Kg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C4071" t="str">
            <v>Kg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C4072" t="str">
            <v>Kg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C4073" t="str">
            <v>Kg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C4074" t="str">
            <v>Kg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C4075" t="str">
            <v>Kg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C4076" t="str">
            <v>Kg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C4077" t="str">
            <v>Kg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C4078" t="str">
            <v>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C4079" t="str">
            <v>Kg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C4080" t="str">
            <v>Kg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C4081" t="str">
            <v>Kg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C4082" t="str">
            <v>Kg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C4083" t="str">
            <v>Kg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C4084" t="str">
            <v>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C4085" t="str">
            <v>Hộp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C4086" t="str">
            <v>Kg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C4087" t="str">
            <v>Kg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C4088" t="str">
            <v>Kg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C4089" t="str">
            <v>Túi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C4090" t="str">
            <v>Kg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C4091" t="str">
            <v>Kg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C4092" t="str">
            <v>Vỉ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C4093" t="str">
            <v>Kg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C4094" t="str">
            <v>Túi 300gr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C4095" t="str">
            <v>Kg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C4096" t="str">
            <v>Vỉ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C4097" t="str">
            <v>Kg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C4098" t="str">
            <v>Kg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C4099" t="str">
            <v>Kg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C4100" t="str">
            <v>Kg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C4101" t="str">
            <v>Kg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C4102" t="str">
            <v>Kg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C4103" t="str">
            <v>Kg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C4104" t="str">
            <v>Kg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C4105" t="str">
            <v>Kg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C4106" t="str">
            <v>Kg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C4107" t="str">
            <v>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C4108" t="str">
            <v>Kg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C4109" t="str">
            <v>Kg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C4110" t="str">
            <v>Kg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C4111" t="str">
            <v>Kg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C4112" t="str">
            <v>Kg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C4113" t="str">
            <v>Kg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C4114" t="str">
            <v>Kg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C4115" t="str">
            <v>Kg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C4116" t="str">
            <v>Kg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C4117" t="str">
            <v>Kg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C4118" t="str">
            <v>Túi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C4119" t="str">
            <v>Kg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C4120" t="str">
            <v>Cặp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C4121" t="str">
            <v>Kg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C4122" t="str">
            <v>Kg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C4123" t="str">
            <v>Kg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C4124" t="str">
            <v>Kg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C4125" t="str">
            <v>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C4126" t="str">
            <v>Kg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C4127" t="str">
            <v>Kg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C4128" t="str">
            <v>Kg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C4129" t="str">
            <v>Hộp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C4130" t="str">
            <v>Kg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C4131" t="str">
            <v>Kg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C4132" t="str">
            <v>Kg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C4133" t="str">
            <v>Kg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C4134" t="str">
            <v>Kg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C4135" t="str">
            <v>Kg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C4136" t="str">
            <v>Kg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C4137" t="str">
            <v>Kg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C4138" t="str">
            <v>Kg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C4139" t="str">
            <v>Kg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C4140" t="str">
            <v>Vỉ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C4141" t="str">
            <v>Kg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C4142" t="str">
            <v>Kg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C4143" t="str">
            <v>Kg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C4144" t="str">
            <v>Kg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C4145" t="str">
            <v>Kg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C4146" t="str">
            <v>Kg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C4147" t="str">
            <v>Kg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C4148" t="str">
            <v>Túi 500gr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C4149" t="str">
            <v>Kg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C4150" t="str">
            <v>Hộp 300gr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C4151" t="str">
            <v>Hộp 500gr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C4152" t="str">
            <v>Kg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C4153" t="str">
            <v>Kg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C4154" t="str">
            <v>Kg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C4155" t="str">
            <v>Kg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C4156" t="str">
            <v>Vỉ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C4157" t="str">
            <v>Kg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C4158" t="str">
            <v>Túi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C4159" t="str">
            <v>Kg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C4160" t="str">
            <v>Vỉ 650gr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C4161" t="str">
            <v>Vỉ 500gr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C4162" t="str">
            <v>Kg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C4163" t="str">
            <v>Hộp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C4164" t="str">
            <v>Hộp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C4165" t="str">
            <v>Túi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C4166" t="str">
            <v>Vỉ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C4167" t="str">
            <v>Túi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C4168" t="str">
            <v>Vỉ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C4169" t="str">
            <v>Vỉ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C4170" t="str">
            <v>Túi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C4171" t="str">
            <v>Vỉ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C4172" t="str">
            <v>Vỉ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C4173" t="str">
            <v>Kg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C4174" t="str">
            <v>Hộp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C4175" t="str">
            <v>Túi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C4176" t="str">
            <v>Vỉ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C4177" t="str">
            <v>Túi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C4178" t="str">
            <v>Kg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C4179" t="str">
            <v>Kg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C4180" t="str">
            <v>Kg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C4181" t="str">
            <v>Kg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C4182" t="str">
            <v>Kg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C4183" t="str">
            <v>Kg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C4184" t="str">
            <v>Cái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C4185" t="str">
            <v>Kg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C4186" t="str">
            <v>Kg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C4187" t="str">
            <v>Kg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C4188" t="str">
            <v>Kg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C4189" t="str">
            <v>Kg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C4190" t="str">
            <v>Kg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C4191" t="str">
            <v>Kg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C4192" t="str">
            <v>Kg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C4193" t="str">
            <v>Kg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C4194" t="str">
            <v>Kg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C4195" t="str">
            <v>Kg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C4196" t="str">
            <v>Kg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C4197" t="str">
            <v>Túi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C4198" t="str">
            <v>Kg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C4199" t="str">
            <v>Kg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C4200" t="str">
            <v>Kg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C4201" t="str">
            <v>Kg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C4202" t="str">
            <v>Kg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C4203" t="str">
            <v>Kg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C4204" t="str">
            <v>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C4205" t="str">
            <v>Kg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C4206" t="str">
            <v>Kg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C4207" t="str">
            <v>Kg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C4208" t="str">
            <v>Kg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C4209" t="str">
            <v>Kg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C4210" t="str">
            <v>Kg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C4211" t="str">
            <v>Kg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C4212" t="str">
            <v>Kg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C4213" t="str">
            <v>Kg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C4214" t="str">
            <v>Kg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C4215" t="str">
            <v>Kg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C4216" t="str">
            <v>Vỉ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C4217" t="str">
            <v>Túi 500gr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C4218" t="str">
            <v>Vỉ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C4219" t="str">
            <v>Kg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C4220" t="str">
            <v>Kg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C4221" t="str">
            <v>Kg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C4222" t="str">
            <v>Kg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C4223" t="str">
            <v>Lít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C4224" t="str">
            <v>Lít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C4225" t="str">
            <v>Lít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C4226" t="str">
            <v>Lít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C4227" t="str">
            <v>Kg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C4228" t="str">
            <v>Kg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C4229" t="str">
            <v>Hộp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C4230" t="str">
            <v>Túi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C4231" t="str">
            <v>Vỉ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C4232" t="str">
            <v>Kg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C4233" t="str">
            <v>Vỉ 500gr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C4234" t="str">
            <v>Kg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C4235" t="str">
            <v>Túi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C4236" t="str">
            <v>Vỉ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C4237" t="str">
            <v>Kg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C4238" t="str">
            <v>Hộp 300gr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C4239" t="str">
            <v>Kg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C4240" t="str">
            <v>Kg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C4241" t="str">
            <v>Kg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C4242" t="str">
            <v>Kg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C4243" t="str">
            <v>Túi 300gr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C4244" t="str">
            <v>Túi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C4245" t="str">
            <v>Kg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C4246" t="str">
            <v>Kg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C4247" t="str">
            <v>Kg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C4248" t="str">
            <v>Hộp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C4249" t="str">
            <v>Kg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C4250" t="str">
            <v>Kg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C4251" t="str">
            <v>Túi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C4252" t="str">
            <v>Kg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C4253" t="str">
            <v>Kg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C4254" t="str">
            <v>Kg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C4255" t="str">
            <v>Túi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C4256" t="str">
            <v>Kg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C4257" t="str">
            <v>Kg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C4258" t="str">
            <v>Kg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C4259" t="str">
            <v>Vỉ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C4260" t="str">
            <v>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C4261" t="str">
            <v>Kg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C4262" t="str">
            <v>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C4263" t="str">
            <v>Túi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C4264" t="str">
            <v>Kg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C4265" t="str">
            <v>Túi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C4266" t="str">
            <v>Vỉ 500gr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C4267" t="str">
            <v>Kg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C4268" t="str">
            <v>Vỉ 650gr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C4269" t="str">
            <v>Kg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C4270" t="str">
            <v>Kg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C4271" t="str">
            <v>Kg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C4272" t="str">
            <v>Kg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C4273" t="str">
            <v>Kg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C4274" t="str">
            <v>Kg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C4275" t="str">
            <v>Kg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C4276" t="str">
            <v>Kg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C4277" t="str">
            <v>Kg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C4278" t="str">
            <v>Kg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C4279" t="str">
            <v>Túi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C4280" t="str">
            <v>Kg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C4281" t="str">
            <v>Cặp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C4282" t="str">
            <v>Kg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C4283" t="str">
            <v>Kg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C4284" t="str">
            <v>Kg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C4285" t="str">
            <v>Kg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C4286" t="str">
            <v>Kg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C4287" t="str">
            <v>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C4288" t="str">
            <v>Kg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C4289" t="str">
            <v>Kg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C4290" t="str">
            <v>Kg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C4291" t="str">
            <v>Kg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C4292" t="str">
            <v>Túi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C4293" t="str">
            <v>Kg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C4294" t="str">
            <v>Hộp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C4295" t="str">
            <v>Kg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C4296" t="str">
            <v>Kg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C4297" t="str">
            <v>Kg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C4298" t="str">
            <v>Vỉ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C4299" t="str">
            <v>Kg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C4300" t="str">
            <v>Kg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C4301" t="str">
            <v>Kg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C4302" t="str">
            <v>Kg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C4303" t="str">
            <v>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C4304" t="str">
            <v>Kg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C4305" t="str">
            <v>Kg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C4306" t="str">
            <v>Kg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C4307" t="str">
            <v>Kg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C4308" t="str">
            <v>Kg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C4309" t="str">
            <v>Kg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C4310" t="str">
            <v>Hộp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C4311" t="str">
            <v>Kg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C4312" t="str">
            <v>Kg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C4313" t="str">
            <v>Kg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C4314" t="str">
            <v>Vỉ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C4315" t="str">
            <v>Kg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C4316" t="str">
            <v>Túi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C4317" t="str">
            <v>Kg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C4318" t="str">
            <v>Kg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C4319" t="str">
            <v>Hộp 300gr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C4320" t="str">
            <v>Hộp 500gr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C4321" t="str">
            <v>Túi 500gr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C4322" t="str">
            <v>Kg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C4323" t="str">
            <v>Kg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C4324" t="str">
            <v>Kg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C4325" t="str">
            <v>Kg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C4326" t="str">
            <v>Kg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C4327" t="str">
            <v>Kg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C4328" t="str">
            <v>Kg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C4329" t="str">
            <v>Kg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C4330" t="str">
            <v>Kg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C4331" t="str">
            <v>Kg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C4332" t="str">
            <v>Kg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C4333" t="str">
            <v>Kg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C4334" t="str">
            <v>Kg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C4335" t="str">
            <v>Kg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C4336" t="str">
            <v>Kg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C4337" t="str">
            <v>Kg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C4338" t="str">
            <v>Kg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C4339" t="str">
            <v>Cuộn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C4340" t="str">
            <v>Cái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C4341" t="str">
            <v>Cái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C4342" t="str">
            <v>Kg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C4343" t="str">
            <v>Kg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C4344" t="str">
            <v>Kg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C4345" t="str">
            <v>Kg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C4346" t="str">
            <v>Kg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C4347" t="str">
            <v>Kg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C4348" t="str">
            <v>Kg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C4349" t="str">
            <v>Kg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C4350" t="str">
            <v>Kg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C4351" t="str">
            <v>Kg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C4352" t="str">
            <v>Kg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C4353" t="str">
            <v>Kg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C4354" t="str">
            <v>Kg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C4355" t="str">
            <v>Kg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C4356" t="str">
            <v>Kg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C4357" t="str">
            <v>Kg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C4358" t="str">
            <v>Vỉ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C4359" t="str">
            <v>Kg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C4360" t="str">
            <v>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C4361" t="str">
            <v>Kg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C4362" t="str">
            <v>Kg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C4363" t="str">
            <v>Kg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C4364" t="str">
            <v>Kg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C4365" t="str">
            <v>Kg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C4366" t="str">
            <v>Kg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C4367" t="str">
            <v>Vỉ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C4368" t="str">
            <v>Kg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C4369" t="str">
            <v>Kg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C4370" t="str">
            <v>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C4371" t="str">
            <v>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C4372" t="str">
            <v>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C4373" t="str">
            <v>Túi 500gr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C4374" t="str">
            <v>Túi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C4375" t="str">
            <v>Kg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C4376" t="str">
            <v>Kg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C4377" t="str">
            <v>Kg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C4378" t="str">
            <v>Kg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C4379" t="str">
            <v>Vỉ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C4380" t="str">
            <v>Kg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C4381" t="str">
            <v>Kg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C4382" t="str">
            <v>Kg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C4383" t="str">
            <v>Kg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C4384" t="str">
            <v>Kg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C4385" t="str">
            <v>Túi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C4386" t="str">
            <v>Kg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C4387" t="str">
            <v>Kg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C4388" t="str">
            <v>Kg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C4389" t="str">
            <v>Kg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C4390" t="str">
            <v>Kg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C4391" t="str">
            <v>Kg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C4392" t="str">
            <v>Kg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C4393" t="str">
            <v>Lít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C4394" t="str">
            <v>Lít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C4395" t="str">
            <v>Kg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C4396" t="str">
            <v>Kg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C4397" t="str">
            <v>Vỉ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C4398" t="str">
            <v>Kg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C4399" t="str">
            <v>Kg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C4400" t="str">
            <v>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C4401" t="str">
            <v>Kg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C4402" t="str">
            <v>Kg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C4403" t="str">
            <v>Kg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C4404" t="str">
            <v>Cặp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C4405" t="str">
            <v>Kg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C4406" t="str">
            <v>Túi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C4407" t="str">
            <v>Kg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C4408" t="str">
            <v>Kg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C4409" t="str">
            <v>Túi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C4410" t="str">
            <v>Kg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C4411" t="str">
            <v>Kg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C4412" t="str">
            <v>Kg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C4413" t="str">
            <v>Kg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C4414" t="str">
            <v>Kg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C4415" t="str">
            <v>Kg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C4416" t="str">
            <v>Kg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C4417" t="str">
            <v>Kg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C4418" t="str">
            <v>Kg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C4419" t="str">
            <v>Kg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C4420" t="str">
            <v>Kg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C4421" t="str">
            <v>Kg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C4422" t="str">
            <v>Kg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C4423" t="str">
            <v>Kg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C4424" t="str">
            <v>Kg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C4425" t="str">
            <v>Kg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C4426" t="str">
            <v>Kg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C4427" t="str">
            <v>Kg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C4428" t="str">
            <v>Kg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C4429" t="str">
            <v>Kg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C4430" t="str">
            <v>Kg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C4431" t="str">
            <v>Kg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C4432" t="str">
            <v>Kg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C4433" t="str">
            <v>Kg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C4434" t="str">
            <v>Kg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C4435" t="str">
            <v>Kg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C4436" t="str">
            <v>Hộp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C4437" t="str">
            <v>Kg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C4438" t="str">
            <v>Kg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C4439" t="str">
            <v>Kg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C4440" t="str">
            <v>Kg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C4441" t="str">
            <v>Kg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C4442" t="str">
            <v>Kg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C4443" t="str">
            <v>Túi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C4444" t="str">
            <v>Kg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C4445" t="str">
            <v>Kg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C4446" t="str">
            <v>Kg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C4447" t="str">
            <v>Kg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C4448" t="str">
            <v>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C4449" t="str">
            <v>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C4450" t="str">
            <v>Kg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C4451" t="str">
            <v>Kg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C4452" t="str">
            <v>Kg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C4453" t="str">
            <v>Kg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C4454" t="str">
            <v>Túi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C4455" t="str">
            <v>Túi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C4456" t="str">
            <v>Kg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C4457" t="str">
            <v>Kg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C4458" t="str">
            <v>Túi 300gr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C4459" t="str">
            <v>Kg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C4460" t="str">
            <v>Túi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C4461" t="str">
            <v>Hộp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C4462" t="str">
            <v>Túi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C4463" t="str">
            <v>Vỉ 650gr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C4464" t="str">
            <v>Vỉ 500gr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C4465" t="str">
            <v>Kg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C4466" t="str">
            <v>Kg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C4467" t="str">
            <v>Kg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C4468" t="str">
            <v>Kg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C4469" t="str">
            <v>Hộp 300gr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C4470" t="str">
            <v>Kg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C4471" t="str">
            <v>Kg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C4472" t="str">
            <v>Kg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C4473" t="str">
            <v>Kg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C4474" t="str">
            <v>Kg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C4475" t="str">
            <v>Vỉ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C4476" t="str">
            <v>Kg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C4477" t="str">
            <v>Kg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C4478" t="str">
            <v>Kg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C4479" t="str">
            <v>Túi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C4480" t="str">
            <v>Túi 150gr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C4481" t="str">
            <v>Túi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C4482" t="str">
            <v>Vỉ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C4483" t="str">
            <v>Hộp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C4484" t="str">
            <v>Kg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C4485" t="str">
            <v>Vỉ 500gr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C4486" t="str">
            <v>Kg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C4487" t="str">
            <v>Túi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C4488" t="str">
            <v>Kg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C4489" t="str">
            <v>Kg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C4490" t="str">
            <v>Kg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C4491" t="str">
            <v>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C4492" t="str">
            <v>Kg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C4493" t="str">
            <v>Kg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C4494" t="str">
            <v>Túi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C4495" t="str">
            <v>Kg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C4496" t="str">
            <v>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C4497" t="str">
            <v>Kg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C4498" t="str">
            <v>Kg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C4499" t="str">
            <v>Kg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C4500" t="str">
            <v>Kg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C4501" t="str">
            <v>Kg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C4502" t="str">
            <v>Kg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C4503" t="str">
            <v>Kg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C4504" t="str">
            <v>Kg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C4505" t="str">
            <v>Kg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C4506" t="str">
            <v>Túi 500gr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C4507" t="str">
            <v>Túi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C4508" t="str">
            <v>Kg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C4509" t="str">
            <v>Kg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C4510" t="str">
            <v>Kg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C4511" t="str">
            <v>Kg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C4512" t="str">
            <v>Kg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C4513" t="str">
            <v>Kg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C4514" t="str">
            <v>Kg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C4515" t="str">
            <v>Kg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C4516" t="str">
            <v>Kg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C4517" t="str">
            <v>Kg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C4518" t="str">
            <v>Kg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C4519" t="str">
            <v>Kg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C4520" t="str">
            <v>Kg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C4521" t="str">
            <v>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C4522" t="str">
            <v>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C4523" t="str">
            <v>Kg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C4524" t="str">
            <v>Kg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C4525" t="str">
            <v>Kg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C4526" t="str">
            <v>Trái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C4527" t="str">
            <v>Kg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C4528" t="str">
            <v>Kg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C4529" t="str">
            <v>Kg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C4530" t="str">
            <v>Kg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C4531" t="str">
            <v>Vỉ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C4532" t="str">
            <v>Kg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C4533" t="str">
            <v>Kg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C4534" t="str">
            <v>Kg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C4535" t="str">
            <v/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C4536" t="str">
            <v>Lít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C4537" t="str">
            <v>Gói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C4538" t="str">
            <v>Lít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C4539" t="str">
            <v>Kg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C4540" t="str">
            <v>Kg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C4541" t="str">
            <v>Kg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C4542" t="str">
            <v>Vỉ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C4543" t="str">
            <v>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C4544" t="str">
            <v>Kg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C4545" t="str">
            <v>Kg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C4546" t="str">
            <v>Kg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C4547" t="str">
            <v>Kg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C4548" t="str">
            <v>Kg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C4549" t="str">
            <v>Kg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C4550" t="str">
            <v>Kg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C4551" t="str">
            <v>Kg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C4552" t="str">
            <v>Kg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C4553" t="str">
            <v>Vỉ 650gr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C4554" t="str">
            <v>Vỉ 500gr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C4555" t="str">
            <v>Kg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C4556" t="str">
            <v>Kg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C4557" t="str">
            <v>Kg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C4558" t="str">
            <v>Kg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C4559" t="str">
            <v>Kg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C4560" t="str">
            <v>Kg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C4561" t="str">
            <v>Kg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C4562" t="str">
            <v>Kg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C4563" t="str">
            <v>Kg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C4564" t="str">
            <v>Kg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C4565" t="str">
            <v>Kg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C4566" t="str">
            <v>Kg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C4567" t="str">
            <v>Kg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C4568" t="str">
            <v>Kg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C4569" t="str">
            <v>Kg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C4570" t="str">
            <v>Kg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C4571" t="str">
            <v>Kg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C4572" t="str">
            <v>Kg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C4573" t="str">
            <v>Kg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C4574" t="str">
            <v>Kg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C4575" t="str">
            <v>Kg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C4576" t="str">
            <v>Kg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C4577" t="str">
            <v>Kg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C4578" t="str">
            <v>Kg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C4579" t="str">
            <v>Kg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C4580" t="str">
            <v>Kg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C4581" t="str">
            <v>Kg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C4582" t="str">
            <v>Kg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C4583" t="str">
            <v>Cặp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C4584" t="str">
            <v>Kg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C4585" t="str">
            <v>Kg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C4586" t="str">
            <v>Hộp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C4587" t="str">
            <v>Túi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C4588" t="str">
            <v>Túi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C4589" t="str">
            <v>Kg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C4590" t="str">
            <v>Kg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C4591" t="str">
            <v>Kg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C4592" t="str">
            <v>Kg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C4593" t="str">
            <v>Túi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C4594" t="str">
            <v>Kg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C4595" t="str">
            <v>Kg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C4596" t="str">
            <v>Kg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C4597" t="str">
            <v>Kg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C4598" t="str">
            <v>Kg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C4599" t="str">
            <v>Kg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C4600" t="str">
            <v>Kg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C4601" t="str">
            <v>Kg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C4602" t="str">
            <v>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C4603" t="str">
            <v>Hộp 300gr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C4604" t="str">
            <v>Kg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C4605" t="str">
            <v>Kg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C4606" t="str">
            <v>Kg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C4607" t="str">
            <v>Túi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C4608" t="str">
            <v>Kg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C4609" t="str">
            <v>Kg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C4610" t="str">
            <v>Túi 300gr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C4611" t="str">
            <v>Kg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C4612" t="str">
            <v>Kg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C4613" t="str">
            <v>Kg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C4614" t="str">
            <v>Kg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C4615" t="str">
            <v>Kg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C4616" t="str">
            <v>Kg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C4617" t="str">
            <v>Kg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C4618" t="str">
            <v>Kg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C4619" t="str">
            <v>Kg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C4620" t="str">
            <v>Kg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C4621" t="str">
            <v>Kg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C4622" t="str">
            <v>Kg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C4623" t="str">
            <v>Kg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C4624" t="str">
            <v>Túi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C4625" t="str">
            <v>Vỉ 650gr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C4626" t="str">
            <v>Vỉ 500gr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C4627" t="str">
            <v>Kg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C4628" t="str">
            <v>Hộp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C4629" t="str">
            <v>Túi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C4630" t="str">
            <v>Kg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C4631" t="str">
            <v>Vỉ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C4632" t="str">
            <v>Kg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C4633" t="str">
            <v>Kg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C4634" t="str">
            <v>Kg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C4635" t="str">
            <v>Kg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C4636" t="str">
            <v>Kg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C4637" t="str">
            <v>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C4638" t="str">
            <v>Kg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C4639" t="str">
            <v>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C4640" t="str">
            <v>Kg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C4641" t="str">
            <v>Kg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C4642" t="str">
            <v>Túi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C4643" t="str">
            <v>Túi 150gr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C4644" t="str">
            <v>Túi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C4645" t="str">
            <v>Túi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C4646" t="str">
            <v>Vỉ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C4647" t="str">
            <v>Vỉ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C4648" t="str">
            <v>Hộp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C4649" t="str">
            <v>Kg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C4650" t="str">
            <v>Vỉ 500gr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C4651" t="str">
            <v>Kg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C4652" t="str">
            <v>Túi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C4653" t="str">
            <v>Kg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C4654" t="str">
            <v>Kg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C4655" t="str">
            <v>Cuộn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C4656" t="str">
            <v>Cuộn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C4657" t="str">
            <v>Kg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C4658" t="str">
            <v>Kg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C4659" t="str">
            <v>Kg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C4660" t="str">
            <v>Kg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C4661" t="str">
            <v>Kg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C4662" t="str">
            <v>Kg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C4663" t="str">
            <v>Kg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C4664" t="str">
            <v>Kg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C4665" t="str">
            <v>Kg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C4666" t="str">
            <v>Kg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C4667" t="str">
            <v>Kg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C4668" t="str">
            <v>Kg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C4669" t="str">
            <v>Kg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C4670" t="str">
            <v>Kg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C4671" t="str">
            <v>Kg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C4672" t="str">
            <v>Kg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C4673" t="str">
            <v>Kg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C4674" t="str">
            <v>Kg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C4675" t="str">
            <v>Kg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C4676" t="str">
            <v>Kg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C4677" t="str">
            <v>Kg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C4678" t="str">
            <v>Kg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C4679" t="str">
            <v>Vỉ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C4680" t="str">
            <v>Kg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C4681" t="str">
            <v>Túi 500gr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C4682" t="str">
            <v>Vỉ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C4683" t="str">
            <v>Kg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C4684" t="str">
            <v>Kg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C4685" t="str">
            <v>Kg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C4686" t="str">
            <v>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C4687" t="str">
            <v>Kg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C4688" t="str">
            <v>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C4689" t="str">
            <v>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C4690" t="str">
            <v>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C4691" t="str">
            <v>Lít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C4692" t="str">
            <v>Lần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C4693" t="str">
            <v>Lần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C4694" t="str">
            <v>Lít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C4695" t="str">
            <v>Túi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C4696" t="str">
            <v>Kg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C4697" t="str">
            <v>Kg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C4698" t="str">
            <v>Kg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C4699" t="str">
            <v>Kg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C4700" t="str">
            <v>Hộp 300gr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C4701" t="str">
            <v>Hộp 500gr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C4702" t="str">
            <v>Túi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C4703" t="str">
            <v>Kg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C4704" t="str">
            <v>Kg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C4705" t="str">
            <v>Kg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C4706" t="str">
            <v>Kg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C4707" t="str">
            <v>Kg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C4708" t="str">
            <v>Kg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C4709" t="str">
            <v>Kg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C4710" t="str">
            <v>Kg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C4711" t="str">
            <v>Kg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C4712" t="str">
            <v>Kg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C4713" t="str">
            <v>Túi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C4714" t="str">
            <v>Kg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C4715" t="str">
            <v>Kg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C4716" t="str">
            <v>Kg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C4717" t="str">
            <v>Kg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C4718" t="str">
            <v>Kg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C4719" t="str">
            <v>Vỉ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C4720" t="str">
            <v>Kg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C4721" t="str">
            <v>Kg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C4722" t="str">
            <v>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C4723" t="str">
            <v>Kg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C4724" t="str">
            <v>Kg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C4725" t="str">
            <v>Kg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C4726" t="str">
            <v>Kg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C4727" t="str">
            <v>Kg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C4728" t="str">
            <v>Kg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C4729" t="str">
            <v>Kg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C4730" t="str">
            <v>Kg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C4731" t="str">
            <v>Kg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C4732" t="str">
            <v>Kg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C4733" t="str">
            <v>Cặp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C4734" t="str">
            <v>Kg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C4735" t="str">
            <v>Kg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C4736" t="str">
            <v>Kg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C4737" t="str">
            <v>Vỉ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C4738" t="str">
            <v>Túi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C4739" t="str">
            <v>Hộp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C4740" t="str">
            <v>Kg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C4741" t="str">
            <v>Kg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C4742" t="str">
            <v>Kg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C4743" t="str">
            <v>Kg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C4744" t="str">
            <v>Kg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C4745" t="str">
            <v>Kg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C4746" t="str">
            <v>Kg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C4747" t="str">
            <v>Kg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C4748" t="str">
            <v>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C4749" t="str">
            <v>Kg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C4750" t="str">
            <v>Kg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C4751" t="str">
            <v>Kg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C4752" t="str">
            <v>Kg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C4753" t="str">
            <v>Kg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C4754" t="str">
            <v>Kg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C4755" t="str">
            <v>Kg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C4756" t="str">
            <v>Kg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C4757" t="str">
            <v>Kg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C4758" t="str">
            <v>Kg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C4759" t="str">
            <v>Kg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C4760" t="str">
            <v>Kg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C4761" t="str">
            <v>Kg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C4762" t="str">
            <v>Kg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C4763" t="str">
            <v>Kg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C4764" t="str">
            <v>Kg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C4765" t="str">
            <v>Kg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C4766" t="str">
            <v>Hộp 250GR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C4767" t="str">
            <v>Kg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C4768" t="str">
            <v>Kg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C4769" t="str">
            <v>Kg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C4770" t="str">
            <v>Kg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C4771" t="str">
            <v>Kg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C4772" t="str">
            <v>Kg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C4773" t="str">
            <v>Kg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C4774" t="str">
            <v>Kg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C4775" t="str">
            <v>Kg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C4776" t="str">
            <v>Túi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C4777" t="str">
            <v>Túi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C4778" t="str">
            <v>Hộp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C4779" t="str">
            <v>Túi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C4780" t="str">
            <v>Kg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C4781" t="str">
            <v>Túi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C4782" t="str">
            <v>Vỉ 650gr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C4783" t="str">
            <v>Vỉ 500gr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C4784" t="str">
            <v>Kg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C4785" t="str">
            <v>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C4786" t="str">
            <v>Kg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C4787" t="str">
            <v>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C4788" t="str">
            <v>Kg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C4789" t="str">
            <v>Vỉ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C4790" t="str">
            <v>Hộp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C4791" t="str">
            <v>Kg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C4792" t="str">
            <v>Vỉ 500gr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C4793" t="str">
            <v>Túi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C4794" t="str">
            <v>Kg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C4795" t="str">
            <v>Túi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C4796" t="str">
            <v>Vỉ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C4797" t="str">
            <v>Túi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C4798" t="str">
            <v>Túi 150gr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C4799" t="str">
            <v>Vỉ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C4800" t="str">
            <v>Kg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C4801" t="str">
            <v>Túi 500gr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C4802" t="str">
            <v>Kg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C4803" t="str">
            <v>Kg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C4804" t="str">
            <v>Kg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C4805" t="str">
            <v>Kg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C4806" t="str">
            <v>Kg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C4807" t="str">
            <v>Kg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C4808" t="str">
            <v>Kg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C4809" t="str">
            <v>Kg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C4810" t="str">
            <v>Kg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C4811" t="str">
            <v>Kg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C4812" t="str">
            <v>Vỉ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C4813" t="str">
            <v>Kg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C4814" t="str">
            <v>Kg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C4815" t="str">
            <v>Kg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C4816" t="str">
            <v>Kg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C4817" t="str">
            <v>Kg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C4818" t="str">
            <v>Kg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C4819" t="str">
            <v>Kg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C4820" t="str">
            <v>Kg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C4821" t="str">
            <v>Kg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C4822" t="str">
            <v>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C4823" t="str">
            <v>Kg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C4824" t="str">
            <v>Kg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C4825" t="str">
            <v>Kg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C4826" t="str">
            <v>Kg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C4827" t="str">
            <v>Kg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C4828" t="str">
            <v>Kg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C4829" t="str">
            <v>Kg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C4830" t="str">
            <v>Kg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C4831" t="str">
            <v>Kg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C4832" t="str">
            <v>Kg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C4833" t="str">
            <v>Kg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C4834" t="str">
            <v>Kg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C4835" t="str">
            <v>Kg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C4836" t="str">
            <v>Vỉ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C4837" t="str">
            <v>Kg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C4838" t="str">
            <v>Kg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C4839" t="str">
            <v>Kg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C4840" t="str">
            <v>Kg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C4841" t="str">
            <v>Kg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C4842" t="str">
            <v>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C4843" t="str">
            <v>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C4844" t="str">
            <v>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C4845" t="str">
            <v>Lít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C4846" t="str">
            <v>Kg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C4847" t="str">
            <v>Kg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C4848" t="str">
            <v>Kg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C4849" t="str">
            <v>Kg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C4850" t="str">
            <v>Kg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C4851" t="str">
            <v>Kg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C4852" t="str">
            <v>Kg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C4853" t="str">
            <v>Kg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C4854" t="str">
            <v>Kg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C4855" t="str">
            <v>Kg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C4856" t="str">
            <v>Túi 500gr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C4857" t="str">
            <v>Túi 300gr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C4858" t="str">
            <v>Kg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C4859" t="str">
            <v>Hộp 300gr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C4860" t="str">
            <v>Hộp 500gr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C4861" t="str">
            <v>Kg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C4862" t="str">
            <v>Kg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C4863" t="str">
            <v>Kg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C4864" t="str">
            <v>Kg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C4865" t="str">
            <v>Kg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C4866" t="str">
            <v>Túi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C4867" t="str">
            <v>Kg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C4868" t="str">
            <v>Kg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C4869" t="str">
            <v>Kg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C4870" t="str">
            <v>Kg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C4871" t="str">
            <v>Kg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C4872" t="str">
            <v>Kg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C4873" t="str">
            <v>Kg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C4874" t="str">
            <v>Kg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C4875" t="str">
            <v>Kg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C4876" t="str">
            <v>Kg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C4877" t="str">
            <v>Kg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C4878" t="str">
            <v>Kg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C4879" t="str">
            <v>Kg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C4880" t="str">
            <v>Kg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C4881" t="str">
            <v>Kg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C4882" t="str">
            <v>Kg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C4883" t="str">
            <v>Kg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C4884" t="str">
            <v>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C4885" t="str">
            <v>Kg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C4886" t="str">
            <v>Kg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C4887" t="str">
            <v>Kg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C4888" t="str">
            <v>Kg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C4889" t="str">
            <v>Kg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C4890" t="str">
            <v>Kg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C4891" t="str">
            <v>Hộp 250GR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C4892" t="str">
            <v>Kg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C4893" t="str">
            <v>Kg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C4894" t="str">
            <v>Túi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C4895" t="str">
            <v>Kg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C4896" t="str">
            <v>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C4897" t="str">
            <v>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C4898" t="str">
            <v>Kg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C4899" t="str">
            <v>Kg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C4900" t="str">
            <v>Kg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C4901" t="str">
            <v>Kg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C4902" t="str">
            <v>Kg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C4903" t="str">
            <v>Kg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C4904" t="str">
            <v>Kg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C4905" t="str">
            <v>Kg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C4906" t="str">
            <v>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C4907" t="str">
            <v>Kg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C4908" t="str">
            <v>Túi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C4909" t="str">
            <v>Kg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C4910" t="str">
            <v>Kg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C4911" t="str">
            <v>Kg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C4912" t="str">
            <v>Kg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C4913" t="str">
            <v>Kg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C4914" t="str">
            <v>Kg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C4915" t="str">
            <v>Vỉ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C4916" t="str">
            <v>Kg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C4917" t="str">
            <v>Kg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C4918" t="str">
            <v>Kg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C4919" t="str">
            <v>Kg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C4920" t="str">
            <v>Kg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C4921" t="str">
            <v>Túi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C4922" t="str">
            <v>Túi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C4923" t="str">
            <v>Kg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C4924" t="str">
            <v>Kg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C4925" t="str">
            <v>Kg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C4926" t="str">
            <v>Kg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C4927" t="str">
            <v>Kg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C4928" t="str">
            <v>Kg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C4929" t="str">
            <v>Kg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C4930" t="str">
            <v>Kg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C4931" t="str">
            <v>Kg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C4932" t="str">
            <v>Kg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C4933" t="str">
            <v>Kg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C4934" t="str">
            <v>Túi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C4935" t="str">
            <v>Kg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C4936" t="str">
            <v>Kg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C4937" t="str">
            <v>Kg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C4938" t="str">
            <v>Kg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C4939" t="str">
            <v>Kg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C4940" t="str">
            <v>Cặp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C4941" t="str">
            <v>Kg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C4942" t="str">
            <v>Vỉ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C4943" t="str">
            <v>Túi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C4944" t="str">
            <v>Túi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C4945" t="str">
            <v>Vỉ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C4946" t="str">
            <v>Vỉ 500gr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C4947" t="str">
            <v>Vỉ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C4948" t="str">
            <v>Kg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C4949" t="str">
            <v>Túi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C4950" t="str">
            <v>Hộp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C4951" t="str">
            <v>Kg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C4952" t="str">
            <v>Kg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C4953" t="str">
            <v>Kg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C4954" t="str">
            <v>Kg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C4955" t="str">
            <v>Vỉ 650gr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C4956" t="str">
            <v>Vỉ 500gr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C4957" t="str">
            <v>Túi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C4958" t="str">
            <v>Hộp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C4959" t="str">
            <v>Hộp 300gr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C4960" t="str">
            <v>Vỉ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C4961" t="str">
            <v>Kg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C4962" t="str">
            <v>Túi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C4963" t="str">
            <v>Kg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C4964" t="str">
            <v>Kg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C4965" t="str">
            <v>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C4966" t="str">
            <v>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C4967" t="str">
            <v>Kg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C4968" t="str">
            <v>Kg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C4969" t="str">
            <v>Kg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C4970" t="str">
            <v>Kg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C4971" t="str">
            <v>Kg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C4972" t="str">
            <v>Kg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C4973" t="str">
            <v>Kg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C4974" t="str">
            <v>Kg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C4975" t="str">
            <v>Kg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C4976" t="str">
            <v>Túi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C4977" t="str">
            <v>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C4978" t="str">
            <v>Kg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C4979" t="str">
            <v>Kg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C4980" t="str">
            <v>Kg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C4981" t="str">
            <v>Kg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C4982" t="str">
            <v>Túi 500gr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C4983" t="str">
            <v>Vỉ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C4984" t="str">
            <v>Kg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C4985" t="str">
            <v>Kg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C4986" t="str">
            <v>Kg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C4987" t="str">
            <v>Kg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C4988" t="str">
            <v>Kg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C4989" t="str">
            <v>Kg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C4990" t="str">
            <v>Kg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C4991" t="str">
            <v>Kg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C4992" t="str">
            <v>Kg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C4993" t="str">
            <v>Kg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C4994" t="str">
            <v>Kg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C4995" t="str">
            <v>Kg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C4996" t="str">
            <v>Kg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C4997" t="str">
            <v>Kg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C4998" t="str">
            <v>Kg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C4999" t="str">
            <v>Kg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C5000" t="str">
            <v>Kg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C5001" t="str">
            <v>Kg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C5002" t="str">
            <v>Kg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C5003" t="str">
            <v>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C5004" t="str">
            <v>Kg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C5005" t="str">
            <v>Kg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C5006" t="str">
            <v>Kg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C5007" t="str">
            <v>Kg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C5008" t="str">
            <v>Kg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C5009" t="str">
            <v>Kg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C5010" t="str">
            <v>Kg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C5011" t="str">
            <v>Vỉ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C5012" t="str">
            <v>Kg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C5013" t="str">
            <v>Kg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C5014" t="str">
            <v>Cây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C5015" t="str">
            <v>Kg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C5016" t="str">
            <v>Kg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C5017" t="str">
            <v>Kg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C5018" t="str">
            <v>Túi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C5019" t="str">
            <v>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C5020" t="str">
            <v>Kg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C5021" t="str">
            <v>Kg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C5022" t="str">
            <v>Kg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C5023" t="str">
            <v>Kg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C5024" t="str">
            <v>Kg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C5025" t="str">
            <v>Túi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C5026" t="str">
            <v>Kg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C5027" t="str">
            <v>Kg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C5028" t="str">
            <v>Kg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C5029" t="str">
            <v>Kg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C5030" t="str">
            <v>Kg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C5031" t="str">
            <v>Vỉ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C5032" t="str">
            <v>Kg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C5033" t="str">
            <v>Kg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C5034" t="str">
            <v>Hộp 300gr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C5035" t="str">
            <v>Hộp 500gr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C5036" t="str">
            <v>Kg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C5037" t="str">
            <v>Vỉ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C5038" t="str">
            <v>Kg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C5039" t="str">
            <v>Kg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C5040" t="str">
            <v>Túi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C5041" t="str">
            <v>Kg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C5042" t="str">
            <v>Kg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C5043" t="str">
            <v>Kg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C5044" t="str">
            <v>Kg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C5045" t="str">
            <v>Kg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C5046" t="str">
            <v>Kg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C5047" t="str">
            <v>Kg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C5048" t="str">
            <v>Kg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C5049" t="str">
            <v>Kg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C5050" t="str">
            <v>Kg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C5051" t="str">
            <v>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C5052" t="str">
            <v>Kg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C5053" t="str">
            <v>Kg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C5054" t="str">
            <v>Kg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C5055" t="str">
            <v>Kg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C5056" t="str">
            <v>Kg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C5057" t="str">
            <v>Cặp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C5058" t="str">
            <v>Kg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C5059" t="str">
            <v>Kg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C5060" t="str">
            <v>Vỉ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C5061" t="str">
            <v>Kg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C5062" t="str">
            <v>Kg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C5063" t="str">
            <v>Kg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C5064" t="str">
            <v>Kg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C5065" t="str">
            <v>Kg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C5066" t="str">
            <v>Kg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C5067" t="str">
            <v>Kg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C5068" t="str">
            <v>Kg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C5069" t="str">
            <v>Kg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C5070" t="str">
            <v>Kg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C5071" t="str">
            <v>Túi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C5072" t="str">
            <v>Kg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C5073" t="str">
            <v>Kg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C5074" t="str">
            <v>Vỉ 500gr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C5075" t="str">
            <v>Túi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C5076" t="str">
            <v>Kg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C5077" t="str">
            <v>Túi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C5078" t="str">
            <v>Túi 500gr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C5079" t="str">
            <v>Túi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C5080" t="str">
            <v>Kg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C5081" t="str">
            <v>Kg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C5082" t="str">
            <v>Kg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C5083" t="str">
            <v>Kg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C5084" t="str">
            <v>Kg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C5085" t="str">
            <v>Kg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C5086" t="str">
            <v>Kg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C5087" t="str">
            <v>Kg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C5088" t="str">
            <v>Kg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C5089" t="str">
            <v>Túi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C5090" t="str">
            <v>Túi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C5091" t="str">
            <v>Kg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C5092" t="str">
            <v>Kg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C5093" t="str">
            <v>Vỉ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C5094" t="str">
            <v>Túi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C5095" t="str">
            <v>Vỉ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C5096" t="str">
            <v>Kg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C5097" t="str">
            <v>Vỉ 500gr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C5098" t="str">
            <v>Vỉ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C5099" t="str">
            <v>Túi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C5100" t="str">
            <v>Túi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C5101" t="str">
            <v>Túi 150gr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C5102" t="str">
            <v>Kg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C5103" t="str">
            <v>Kg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C5104" t="str">
            <v>Kg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C5105" t="str">
            <v>Kg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C5106" t="str">
            <v>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C5107" t="str">
            <v>Kg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C5108" t="str">
            <v>Kg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C5109" t="str">
            <v>Kg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C5110" t="str">
            <v>Kg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C5111" t="str">
            <v>Kg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C5112" t="str">
            <v>Kg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C5113" t="str">
            <v>Kg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C5114" t="str">
            <v>Kg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C5115" t="str">
            <v>Kg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C5116" t="str">
            <v>Kg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C5117" t="str">
            <v>Kg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C5118" t="str">
            <v>Kg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C5119" t="str">
            <v>Kg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C5120" t="str">
            <v>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C5121" t="str">
            <v>Kg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C5122" t="str">
            <v>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C5123" t="str">
            <v>Kg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C5124" t="str">
            <v>Kg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C5125" t="str">
            <v>Kg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C5126" t="str">
            <v>Kg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C5127" t="str">
            <v>Kg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C5128" t="str">
            <v>Vỉ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C5129" t="str">
            <v>Kg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C5130" t="str">
            <v>Kg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C5131" t="str">
            <v>Kg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C5132" t="str">
            <v>Kg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C5133" t="str">
            <v>Kg</v>
          </cell>
          <cell r="D5133">
            <v>32000</v>
          </cell>
        </row>
        <row r="5134">
          <cell r="A5134">
            <v>45657</v>
          </cell>
          <cell r="B5134" t="str">
            <v>Cước đường bộ phương tiện 49H00466, Loại 3, đi qua trạm Xa Lộ - Hà Nội. Thời gian giao dịch: 01/12/2024 02:51:28, mã GD 1521260722</v>
          </cell>
          <cell r="C5134" t="str">
            <v>Lần</v>
          </cell>
          <cell r="D5134">
            <v>50000</v>
          </cell>
        </row>
        <row r="5135">
          <cell r="A5135">
            <v>45657</v>
          </cell>
          <cell r="B5135" t="str">
            <v>Cước đường bộ phương tiện 49H00466, Loại 3, đi qua trạm Cầu Phú Mỹ. Thời gian giao dịch: 01/12/2024 07:00:28, mã GD 1521382451</v>
          </cell>
          <cell r="C5135" t="str">
            <v>Lần</v>
          </cell>
          <cell r="D5135">
            <v>22222.22</v>
          </cell>
        </row>
        <row r="5136">
          <cell r="A5136">
            <v>45657</v>
          </cell>
          <cell r="B5136" t="str">
            <v>Cước đường bộ phương tiện 49H00466, Loại 3, đi qua trạm Long Phước-NH51. Thời gian giao dịch: 01/12/2024 07:44:25, mã GD 1521414234</v>
          </cell>
          <cell r="C5136" t="str">
            <v>Lần</v>
          </cell>
          <cell r="D5136">
            <v>76805.56</v>
          </cell>
        </row>
        <row r="5137">
          <cell r="A5137">
            <v>45657</v>
          </cell>
          <cell r="B5137" t="str">
            <v>Cước đường bộ phương tiện 49H00466, Loại 3, đi qua trạm Liên Đầm. Thời gian giao dịch: 01/12/2024 12:49:44, mã GD 2233785415737213946</v>
          </cell>
          <cell r="C5137" t="str">
            <v>Lần</v>
          </cell>
          <cell r="D5137">
            <v>78703.7</v>
          </cell>
        </row>
        <row r="5138">
          <cell r="A5138">
            <v>45657</v>
          </cell>
          <cell r="B5138" t="str">
            <v>Cước đường bộ phương tiện 49H00466, Loại 3, đi qua trạm Định An. Thời gian giao dịch: 01/12/2024 15:31:47, mã GD 1522049909</v>
          </cell>
          <cell r="C5138" t="str">
            <v>Lần</v>
          </cell>
          <cell r="D5138">
            <v>45370.37</v>
          </cell>
        </row>
        <row r="5139">
          <cell r="A5139">
            <v>45657</v>
          </cell>
          <cell r="B5139" t="str">
            <v>Cước đường bộ phương tiện 49H00466, Loại 3, đi qua trạm Định An. Thời gian giao dịch: 02/12/2024 10:27:07, mã GD 1523091878</v>
          </cell>
          <cell r="C5139" t="str">
            <v>Lần</v>
          </cell>
          <cell r="D5139">
            <v>45370.37</v>
          </cell>
        </row>
        <row r="5140">
          <cell r="A5140">
            <v>45657</v>
          </cell>
          <cell r="B5140" t="str">
            <v>Cước đường bộ phương tiện 49H00466, Loại 3, đi qua trạm Định An. Thời gian giao dịch: 02/12/2024 14:45:55, mã GD 1523451112</v>
          </cell>
          <cell r="C5140" t="str">
            <v>Lần</v>
          </cell>
          <cell r="D5140">
            <v>45370.37</v>
          </cell>
        </row>
        <row r="5141">
          <cell r="A5141">
            <v>45657</v>
          </cell>
          <cell r="B5141" t="str">
            <v>Cước đường bộ phương tiện 49H00466, Loại 3, đi qua trạm Định An. Thời gian giao dịch: 04/12/2024 12:17:59, mã GD 1526103745</v>
          </cell>
          <cell r="C5141" t="str">
            <v>Lần</v>
          </cell>
          <cell r="D5141">
            <v>45370.37</v>
          </cell>
        </row>
        <row r="5142">
          <cell r="A5142">
            <v>45657</v>
          </cell>
          <cell r="B5142" t="str">
            <v>Cước đường bộ phương tiện 49H00466, Loại 3, đi qua trạm Định An. Thời gian giao dịch: 04/12/2024 16:43:53, mã GD 1526492113</v>
          </cell>
          <cell r="C5142" t="str">
            <v>Lần</v>
          </cell>
          <cell r="D5142">
            <v>45370.37</v>
          </cell>
        </row>
        <row r="5143">
          <cell r="A5143">
            <v>45657</v>
          </cell>
          <cell r="B5143" t="str">
            <v>Cước đường bộ phương tiện 49H00466, Loại 3, đi qua trạm Liên Đầm. Thời gian giao dịch: 07/12/2024 22:14:30, mã GD 2233785415740654312</v>
          </cell>
          <cell r="C5143" t="str">
            <v>Lần</v>
          </cell>
          <cell r="D5143">
            <v>78703.7</v>
          </cell>
        </row>
        <row r="5144">
          <cell r="A5144">
            <v>45657</v>
          </cell>
          <cell r="B5144" t="str">
            <v>Cước đường bộ phương tiện 49H00466, Loại 3, đi qua trạm Xa Lộ - Hà Nội. Thời gian giao dịch: 08/12/2024 02:31:58, mã GD 1531597494</v>
          </cell>
          <cell r="C5144" t="str">
            <v>Lần</v>
          </cell>
          <cell r="D5144">
            <v>50000</v>
          </cell>
        </row>
        <row r="5145">
          <cell r="A5145">
            <v>45657</v>
          </cell>
          <cell r="B5145" t="str">
            <v>Cước đường bộ phương tiện 49H00466, Loại 3, đi qua trạm Cầu Phú Mỹ. Thời gian giao dịch: 08/12/2024 06:42:36, mã GD 1531725881</v>
          </cell>
          <cell r="C5145" t="str">
            <v>Lần</v>
          </cell>
          <cell r="D5145">
            <v>22222.22</v>
          </cell>
        </row>
        <row r="5146">
          <cell r="A5146">
            <v>45657</v>
          </cell>
          <cell r="B5146" t="str">
            <v>Cước đường bộ phương tiện 49H00466, Loại 3, đi qua trạm Long Phước-NH51. Thời gian giao dịch: 08/12/2024 07:13:57, mã GD 1531743291</v>
          </cell>
          <cell r="C5146" t="str">
            <v>Lần</v>
          </cell>
          <cell r="D5146">
            <v>76805.56</v>
          </cell>
        </row>
        <row r="5147">
          <cell r="A5147">
            <v>45657</v>
          </cell>
          <cell r="B5147" t="str">
            <v>Cước đường bộ phương tiện 49H00466, Loại 3, đi qua trạm Liên Đầm. Thời gian giao dịch: 08/12/2024 13:21:46, mã GD 2233785415740949508</v>
          </cell>
          <cell r="C5147" t="str">
            <v>Lần</v>
          </cell>
          <cell r="D5147">
            <v>78703.7</v>
          </cell>
        </row>
        <row r="5148">
          <cell r="A5148">
            <v>45657</v>
          </cell>
          <cell r="B5148" t="str">
            <v>Cước đường bộ phương tiện 49H00466, Loại 3, đi qua trạm Liên Đầm. Thời gian giao dịch: 14/12/2024 22:14:05, mã GD 2233785415744431810</v>
          </cell>
          <cell r="C5148" t="str">
            <v>Lần</v>
          </cell>
          <cell r="D5148">
            <v>78703.7</v>
          </cell>
        </row>
        <row r="5149">
          <cell r="A5149">
            <v>45657</v>
          </cell>
          <cell r="B5149" t="str">
            <v>Cước đường bộ phương tiện 49H00466, Loại 3, đi qua trạm Xa Lộ - Hà Nội. Thời gian giao dịch: 15/12/2024 02:30:46, mã GD 1543310689</v>
          </cell>
          <cell r="C5149" t="str">
            <v>Lần</v>
          </cell>
          <cell r="D5149">
            <v>50000</v>
          </cell>
        </row>
        <row r="5150">
          <cell r="A5150">
            <v>45657</v>
          </cell>
          <cell r="B5150" t="str">
            <v>Cước đường bộ phương tiện 49H00466, Loại 3, đi qua trạm Cầu Phú Mỹ. Thời gian giao dịch: 15/12/2024 07:44:20, mã GD 1543489389</v>
          </cell>
          <cell r="C5150" t="str">
            <v>Lần</v>
          </cell>
          <cell r="D5150">
            <v>22222.22</v>
          </cell>
        </row>
        <row r="5151">
          <cell r="A5151">
            <v>45657</v>
          </cell>
          <cell r="B5151" t="str">
            <v>Cước đường bộ phương tiện 49H00466, Loại 3, đi qua trạm Long Phước-NH51. Thời gian giao dịch: 15/12/2024 08:10:07, mã GD 1543506874</v>
          </cell>
          <cell r="C5151" t="str">
            <v>Lần</v>
          </cell>
          <cell r="D5151">
            <v>76805.56</v>
          </cell>
        </row>
        <row r="5152">
          <cell r="A5152">
            <v>45657</v>
          </cell>
          <cell r="B5152" t="str">
            <v>Cước đường bộ phương tiện 49H00466, Loại 3, đi qua trạm Liên Đầm. Thời gian giao dịch: 15/12/2024 12:55:10, mã GD 2233785415744697686</v>
          </cell>
          <cell r="C5152" t="str">
            <v>Lần</v>
          </cell>
          <cell r="D5152">
            <v>78703.7</v>
          </cell>
        </row>
        <row r="5153">
          <cell r="A5153">
            <v>45657</v>
          </cell>
          <cell r="B5153" t="str">
            <v>Cước vận chuyển Bình Tân - Quận 6 - An Lạc - Tân Phú - Phạm Văn Đồng - Long Bình - SOME - CTMAX - ANAM - Âu Cơ (01/12/2024)</v>
          </cell>
          <cell r="C5153" t="str">
            <v/>
          </cell>
          <cell r="D5153">
            <v>2350000</v>
          </cell>
        </row>
        <row r="5154">
          <cell r="A5154">
            <v>45657</v>
          </cell>
          <cell r="B5154" t="str">
            <v>Cước vận chuyển Bình Tân - Tân Phú - Âu Cơ - An Lạc - Phạm Văn Đồng - Long Bình - ANAM - CTMAX - KCHM (02/12/2024)</v>
          </cell>
          <cell r="C5154" t="str">
            <v/>
          </cell>
          <cell r="D5154">
            <v>2600000</v>
          </cell>
        </row>
        <row r="5155">
          <cell r="A5155">
            <v>45657</v>
          </cell>
          <cell r="B5155" t="str">
            <v>Cước vận chuyển Bình Tân - Phạm Văn Đồng - Tân Phú - An Lạc - Long Bình - SOME - CTMAX - ANAM - Quận 2 - MCT - 303 - Âu Cơ - KC HM (03/12/
Cước vận chuyển Bình Tân - Phạm Văn Đồng - Tân Phú - An Lạc - Long Bình - SOME - CTMAX - ANAM - Quận 2 - MCT - 303 - Âu Cơ - KC HM (03/12/2024)</v>
          </cell>
          <cell r="C5155" t="str">
            <v/>
          </cell>
          <cell r="D5155">
            <v>2900000</v>
          </cell>
        </row>
        <row r="5156">
          <cell r="A5156">
            <v>45657</v>
          </cell>
          <cell r="B5156" t="str">
            <v>Cước vận chuyển Bình Tân - Tân Phú - Âu Cơ - An Lạc - Phạm Văn Đồng - Long Bình - ANAM - CTMAX - SOME - KCHM (04/12/2024)</v>
          </cell>
          <cell r="C5156" t="str">
            <v/>
          </cell>
          <cell r="D5156">
            <v>2750000</v>
          </cell>
        </row>
        <row r="5157">
          <cell r="A5157">
            <v>45657</v>
          </cell>
          <cell r="B5157" t="str">
            <v>Cước vận chuyển Bình Tân - Phạm Văn Đồng - Tân Phú - An Lạc - Long Bình - Quận 2 - MCT - 303 - ANAM - KCHM - CTMAX (05/12/2024)</v>
          </cell>
          <cell r="C5157" t="str">
            <v/>
          </cell>
          <cell r="D5157">
            <v>2500000</v>
          </cell>
        </row>
        <row r="5158">
          <cell r="A5158">
            <v>45657</v>
          </cell>
          <cell r="B5158" t="str">
            <v>Cước vận chuyển Bình Tân - Tân Phú - Phạm Văn Đồng - Long Bình - An Lạc - SOME - CTMAX - ANAM (06/12/2024</v>
          </cell>
          <cell r="C5158" t="str">
            <v/>
          </cell>
          <cell r="D5158">
            <v>2250000</v>
          </cell>
        </row>
        <row r="5159">
          <cell r="A5159">
            <v>45657</v>
          </cell>
          <cell r="B5159" t="str">
            <v>Cước vận chuyển Bình Tân - Phạm Văn Đồng - Âu Cơ - An Lạc - Quận 2 - MCT - 303 - ANAM - SOME - CTMAX - Long Bình (07/12/2024)</v>
          </cell>
          <cell r="C5159" t="str">
            <v/>
          </cell>
          <cell r="D5159">
            <v>2500000</v>
          </cell>
        </row>
        <row r="5160">
          <cell r="A5160">
            <v>45657</v>
          </cell>
          <cell r="B5160" t="str">
            <v>Cước vận chuyển Bình Tân - Tân Phú - Quận 6 - An Lạc - Âu Cơ - Long Bình - Phạm Văn Đồng - ANAM - CTMAX (08/12/2024)</v>
          </cell>
          <cell r="C5160" t="str">
            <v/>
          </cell>
          <cell r="D5160">
            <v>2800000</v>
          </cell>
        </row>
        <row r="5161">
          <cell r="A5161">
            <v>45657</v>
          </cell>
          <cell r="B5161" t="str">
            <v>Cước vận chuyển Bình Tân - Phạm Văn Đồng - Tân Phú - Âu Cơ - An Lạc - Long Bình - SOME - CTMAX - ANAM (09/12/2024)</v>
          </cell>
          <cell r="C5161" t="str">
            <v/>
          </cell>
          <cell r="D5161">
            <v>2250000</v>
          </cell>
        </row>
        <row r="5162">
          <cell r="A5162">
            <v>45657</v>
          </cell>
          <cell r="B5162" t="str">
            <v>Cước vận chuyển Bình Tân - Tân Phú - An Lạc - Âu Cơ - Long Bình - Phạm Văn Đồng - SOME - CTMAX - Quận 2 - MCT - 303 - ANAM - KC Sỹ (10/12/2024)</v>
          </cell>
          <cell r="C5162" t="str">
            <v/>
          </cell>
          <cell r="D5162">
            <v>2850000</v>
          </cell>
        </row>
        <row r="5163">
          <cell r="A5163">
            <v>45657</v>
          </cell>
          <cell r="B5163" t="str">
            <v>Cước vận chuyển Bình Tân - Tân Phú - An Lạc - Âu Cơ - Long Bình - Phạm Văn Đồng - CTMAX - ANAM - KC HM (11/12/2024)</v>
          </cell>
          <cell r="C5163" t="str">
            <v/>
          </cell>
          <cell r="D5163">
            <v>2500000</v>
          </cell>
        </row>
        <row r="5164">
          <cell r="A5164">
            <v>45657</v>
          </cell>
          <cell r="B5164" t="str">
            <v>Cước vận chuyển Bình Tân - Tân Phú - An Lạc - Âu Cơ - Phạm Văn Đồng - Long Bình - CTMAX - Quận 2 - 303 - MCT - ANAM - KCHM - SOME (12/12/2024)</v>
          </cell>
          <cell r="C5164" t="str">
            <v/>
          </cell>
          <cell r="D5164">
            <v>2850000</v>
          </cell>
        </row>
        <row r="5165">
          <cell r="A5165">
            <v>45657</v>
          </cell>
          <cell r="B5165" t="str">
            <v>Cước vận chuyển Bình Tân - Tân Phú - Âu Cơ - An Lạc - Phạm Văn Đồng - Long Bình - ANAM - SOME - CTMAX - KCHM (13/12/2024)</v>
          </cell>
          <cell r="C5165" t="str">
            <v/>
          </cell>
          <cell r="D5165">
            <v>2700000</v>
          </cell>
        </row>
        <row r="5166">
          <cell r="A5166">
            <v>45657</v>
          </cell>
          <cell r="B5166" t="str">
            <v>Cước vận chuyển Bình Tân - Tân Phú - Âu Cơ - An Lạc - Phạm Văn Đồng - Long Bình - CTMAX - ANAM - Quận 2 - 303 - MCT - Quận 6 - Trường Chinh (14/12/2024)</v>
          </cell>
          <cell r="C5166" t="str">
            <v/>
          </cell>
          <cell r="D5166">
            <v>3950000</v>
          </cell>
        </row>
        <row r="5167">
          <cell r="A5167">
            <v>45657</v>
          </cell>
          <cell r="B5167" t="str">
            <v>Cước vận chuyển Bình Tân - Tân Phú - An Lạc - Âu Cơ - Phạm Văn Đồng - CTMAX - ANAM - Long Bình (15/12/2024)</v>
          </cell>
          <cell r="C5167" t="str">
            <v/>
          </cell>
          <cell r="D5167">
            <v>2150000</v>
          </cell>
        </row>
        <row r="5168">
          <cell r="A5168">
            <v>45657</v>
          </cell>
          <cell r="B5168" t="str">
            <v>Cước vận chuyển Bình Tân - Trường Chinh - Tân Phú - Âu Cơ - An Lạc - Phạm Văn Đồng - Long Bình - Jamila - ANAM - SOME - CTMAX - KC Sỹ (16/12/2024)</v>
          </cell>
          <cell r="C5168" t="str">
            <v/>
          </cell>
          <cell r="D5168">
            <v>3000000</v>
          </cell>
        </row>
        <row r="5169">
          <cell r="A5169">
            <v>45657</v>
          </cell>
          <cell r="B5169" t="str">
            <v>Cước vận chuyển Bình Tân - Tân Phú - Âu Cơ - An Lạc - Phạm Văn Đồng - Long Bình - CTMAX - Quận 2 - 303 - MCT - ANAM (17/12/2024)</v>
          </cell>
          <cell r="C5169" t="str">
            <v/>
          </cell>
          <cell r="D5169">
            <v>2350000</v>
          </cell>
        </row>
        <row r="5170">
          <cell r="A5170">
            <v>45657</v>
          </cell>
          <cell r="B5170" t="str">
            <v>Cước vận chuyển Bình Tân - Tân Phú - Âu Cơ - An Lạc - Phạm Văn Đồng - Long Bình - SOME - CTMAX - KC Sỹ - KCHM - Jamila - ANAM (18/12/2024)</v>
          </cell>
          <cell r="C5170" t="str">
            <v/>
          </cell>
          <cell r="D5170">
            <v>3200000</v>
          </cell>
        </row>
        <row r="5171">
          <cell r="A5171">
            <v>45657</v>
          </cell>
          <cell r="B5171" t="str">
            <v>Cước vận chuyển Bình Tân - Phạm Văn Đồng - Tân Phú - Âu Cơ - Bình Tân - An Lạc - Long Bình - MCT - Quận 2 - 303 - ANAM - SOME - CTMAX - KCHM (19/12/2024)</v>
          </cell>
          <cell r="C5171" t="str">
            <v/>
          </cell>
          <cell r="D5171">
            <v>2750000</v>
          </cell>
        </row>
        <row r="5172">
          <cell r="A5172">
            <v>45657</v>
          </cell>
          <cell r="B5172" t="str">
            <v>Cước vận chuyển Bình Tân - Trường Chinh - Âu Cơ - An Lạc - Tân Phú - Long Bình - Phạm Văn Đồng - ANAM - CTMAX - SOME (20/12/2024)</v>
          </cell>
          <cell r="C5172" t="str">
            <v/>
          </cell>
          <cell r="D5172">
            <v>2600000</v>
          </cell>
        </row>
        <row r="5173">
          <cell r="A5173">
            <v>45657</v>
          </cell>
          <cell r="B5173" t="str">
            <v>Cước vận chuyển Bình Tân - Trường Chinh - Phạm Văn Đồng - Long Bình - Tân Phú - Âu Cơ - An Lạc - MCT - 303 - Quận 2 - ANAM - CTMAX (21/12/2024)</v>
          </cell>
          <cell r="C5173" t="str">
            <v/>
          </cell>
          <cell r="D5173">
            <v>2550000</v>
          </cell>
        </row>
        <row r="5174">
          <cell r="A5174">
            <v>45657</v>
          </cell>
          <cell r="B5174" t="str">
            <v>Cước vận chuyển Bình Tân - Tân Phú - Âu Cơ - An Lạc - Phạm Văn Đồng - Long Bình - Jamila - CTMAX - SOME (22/12/2024)</v>
          </cell>
          <cell r="C5174" t="str">
            <v/>
          </cell>
          <cell r="D5174">
            <v>2350000</v>
          </cell>
        </row>
        <row r="5175">
          <cell r="A5175">
            <v>45657</v>
          </cell>
          <cell r="B5175" t="str">
            <v>Cước vận chuyển Bình Tân - Tân Phú - Âu Cơ - An Lạc - Phạm Văn Đồng - Long Bình - CTMAX - Jamila - ANAM - KCHM - H.T.Hương (23/12/2024)</v>
          </cell>
          <cell r="C5175" t="str">
            <v/>
          </cell>
          <cell r="D5175">
            <v>3050000</v>
          </cell>
        </row>
        <row r="5176">
          <cell r="A5176">
            <v>45657</v>
          </cell>
          <cell r="B5176" t="str">
            <v>Cước vận chuyển Bình Tân - Tân Phú - Âu Cơ - An Lạc - Phạm Văn Đồng - Long Bình - SOME - CTMAX - Quận 2 - 303 - MCT - ANAM - KCHM (24/12/2024)</v>
          </cell>
          <cell r="C5176" t="str">
            <v/>
          </cell>
          <cell r="D5176">
            <v>2850000</v>
          </cell>
        </row>
        <row r="5177">
          <cell r="A5177">
            <v>45657</v>
          </cell>
          <cell r="B5177" t="str">
            <v>Cước vận chuyển Bình Tân - Phạm Văn Đồng - Long Bình - Âu Cơ - An Lạc - KCHM - CTMAX - ANAM - Tân Phú (25/12/2024)</v>
          </cell>
          <cell r="C5177" t="str">
            <v/>
          </cell>
          <cell r="D5177">
            <v>2750000</v>
          </cell>
        </row>
        <row r="5178">
          <cell r="A5178">
            <v>45657</v>
          </cell>
          <cell r="B5178" t="str">
            <v>Cước vận chuyển Bình Tân - Tân Phú - Âu Cơ - An Lạc - Phạm Văn Đồng - Long Bình - KC Sỹ - MCT - Quận 2 - 303 - ANAM - SOME - CTMAX - KCHM (26/12/2024)</v>
          </cell>
          <cell r="C5178" t="str">
            <v/>
          </cell>
          <cell r="D5178">
            <v>3250000</v>
          </cell>
        </row>
        <row r="5179">
          <cell r="A5179">
            <v>45657</v>
          </cell>
          <cell r="B5179" t="str">
            <v>Cước vận chuyển Bình Tân - Tân Phú - Phạm Văn Đồng - Long Bình - CTMAX - Jamila - Quận 6 - ANAM - KCHM (27/12/2024)</v>
          </cell>
          <cell r="C5179" t="str">
            <v/>
          </cell>
          <cell r="D5179">
            <v>2400000</v>
          </cell>
        </row>
        <row r="5180">
          <cell r="A5180">
            <v>45657</v>
          </cell>
          <cell r="B5180" t="str">
            <v>Cước vận chuyển Bình Tân - Tân Phú - Phạm Văn Đồng - Long Bình - SOME - CTMAX - MCT - 303 - Q2 - ANAM (28/12/2024)</v>
          </cell>
          <cell r="C5180" t="str">
            <v/>
          </cell>
          <cell r="D5180">
            <v>2250000</v>
          </cell>
        </row>
        <row r="5181">
          <cell r="A5181">
            <v>45657</v>
          </cell>
          <cell r="B5181" t="str">
            <v>Cước vận chuyển Bình Tân - Long Bình - Phạm Văn Đồng - KCHM - ANAM - Tân Phú (29/12/2024)</v>
          </cell>
          <cell r="C5181" t="str">
            <v/>
          </cell>
          <cell r="D5181">
            <v>2150000</v>
          </cell>
        </row>
        <row r="5182">
          <cell r="A5182">
            <v>45657</v>
          </cell>
          <cell r="B5182" t="str">
            <v>Cước vận chuyển Bình Tân - Tân Phú - Phạm Văn Đồng - Long Bình - CTMAX - SOME - ANAM - Gò Vấp - KCHM (30/12/2024)</v>
          </cell>
          <cell r="C5182" t="str">
            <v/>
          </cell>
          <cell r="D5182">
            <v>2300000</v>
          </cell>
        </row>
        <row r="5183">
          <cell r="A5183">
            <v>45657</v>
          </cell>
          <cell r="B5183" t="str">
            <v>Cước vận chuyển Bình Tân - Tân Phú - Phạm Văn Đồng - Long Bình - CTMAX - 303 - Quận 2 - MCT - ANAM - Quận 6 (31/12/2024)</v>
          </cell>
          <cell r="C5183" t="str">
            <v/>
          </cell>
          <cell r="D5183">
            <v>2050000</v>
          </cell>
        </row>
        <row r="5184">
          <cell r="A5184">
            <v>45657</v>
          </cell>
          <cell r="B5184" t="str">
            <v>Dầu Do 0.001 S-V</v>
          </cell>
          <cell r="C5184" t="str">
            <v>Lít</v>
          </cell>
          <cell r="D5184">
            <v>17418.18</v>
          </cell>
        </row>
        <row r="5185">
          <cell r="A5185">
            <v>45657</v>
          </cell>
          <cell r="B5185" t="str">
            <v>DO 0.05S-II</v>
          </cell>
          <cell r="C5185" t="str">
            <v>Lít</v>
          </cell>
          <cell r="D5185">
            <v>17272.73</v>
          </cell>
        </row>
        <row r="5186">
          <cell r="A5186">
            <v>45657</v>
          </cell>
          <cell r="B5186" t="str">
            <v>Dầu Do 0.001 S-V</v>
          </cell>
          <cell r="C5186" t="str">
            <v>Lít</v>
          </cell>
          <cell r="D5186">
            <v>17418.18</v>
          </cell>
        </row>
        <row r="5187">
          <cell r="A5187">
            <v>45657</v>
          </cell>
          <cell r="B5187" t="str">
            <v>Phí dịch vụ cung ứng lao động tháng 12/2024</v>
          </cell>
          <cell r="C5187" t="str">
            <v/>
          </cell>
          <cell r="D5187">
            <v>0</v>
          </cell>
        </row>
        <row r="5188">
          <cell r="A5188">
            <v>45657</v>
          </cell>
          <cell r="B5188" t="str">
            <v>CƯỚC VẬN CHUYỂN TUYẾN LONG BIÊN THÁNG 12</v>
          </cell>
          <cell r="C5188" t="str">
            <v>Tháng</v>
          </cell>
          <cell r="D5188">
            <v>1800000</v>
          </cell>
        </row>
        <row r="5189">
          <cell r="A5189">
            <v>45657</v>
          </cell>
          <cell r="B5189" t="str">
            <v>Cước vận chuyển ngày 02/12/2024</v>
          </cell>
          <cell r="C5189" t="str">
            <v/>
          </cell>
          <cell r="D5189">
            <v>0</v>
          </cell>
        </row>
        <row r="5190">
          <cell r="A5190">
            <v>45657</v>
          </cell>
          <cell r="B5190" t="str">
            <v>Cước vận chuyển ngày 26/12/2024</v>
          </cell>
          <cell r="C5190" t="str">
            <v/>
          </cell>
          <cell r="D5190">
            <v>0</v>
          </cell>
        </row>
        <row r="5191">
          <cell r="A5191">
            <v>45657</v>
          </cell>
          <cell r="B5191" t="str">
            <v>Cước vận chuyển ngày 28/12/2024</v>
          </cell>
          <cell r="C5191" t="str">
            <v/>
          </cell>
          <cell r="D5191">
            <v>0</v>
          </cell>
        </row>
        <row r="5192">
          <cell r="A5192">
            <v>45657</v>
          </cell>
          <cell r="B5192" t="str">
            <v>Cước vận chuyển (Lộ trình Hà Nội-Hải Phòng) Ngày 02/12/2024</v>
          </cell>
          <cell r="C5192" t="str">
            <v>Tháng</v>
          </cell>
          <cell r="D5192">
            <v>0</v>
          </cell>
        </row>
        <row r="5193">
          <cell r="A5193">
            <v>45657</v>
          </cell>
          <cell r="B5193" t="str">
            <v>Cước vận chuyển (Lộ trình Hà Nội-Hải Phòng) Ngày 04/12/2024</v>
          </cell>
          <cell r="C5193" t="str">
            <v>Tháng</v>
          </cell>
          <cell r="D5193">
            <v>0</v>
          </cell>
        </row>
        <row r="5194">
          <cell r="A5194">
            <v>45657</v>
          </cell>
          <cell r="B5194" t="str">
            <v>Cước vận chuyển (Lộ trình Hà Nội-Hải Phòng) Ngày 07/12/2024</v>
          </cell>
          <cell r="C5194" t="str">
            <v>Tháng</v>
          </cell>
          <cell r="D5194">
            <v>0</v>
          </cell>
        </row>
        <row r="5195">
          <cell r="A5195">
            <v>45657</v>
          </cell>
          <cell r="B5195" t="str">
            <v>Cước vận chuyển (Lộ trình Hà Nội-Hải Phòng) Ngày 09/12/2024</v>
          </cell>
          <cell r="C5195" t="str">
            <v>Tháng</v>
          </cell>
          <cell r="D5195">
            <v>0</v>
          </cell>
        </row>
        <row r="5196">
          <cell r="A5196">
            <v>45657</v>
          </cell>
          <cell r="B5196" t="str">
            <v>Cước vận chuyển (Lộ trình Hà Nội-Hải Phòng) Ngày 11/12/2024</v>
          </cell>
          <cell r="C5196" t="str">
            <v>Tháng</v>
          </cell>
          <cell r="D5196">
            <v>0</v>
          </cell>
        </row>
        <row r="5197">
          <cell r="A5197">
            <v>45657</v>
          </cell>
          <cell r="B5197" t="str">
            <v>Cước vận chuyển (Lộ trình Hà Nội-Hải Phòng) Ngày 14/12/2024</v>
          </cell>
          <cell r="C5197" t="str">
            <v>Tháng</v>
          </cell>
          <cell r="D5197">
            <v>0</v>
          </cell>
        </row>
        <row r="5198">
          <cell r="A5198">
            <v>45657</v>
          </cell>
          <cell r="B5198" t="str">
            <v>Cước vận chuyển (Lộ trình Hà Nội-Hải Phòng) Ngày 16/12/2024</v>
          </cell>
          <cell r="C5198" t="str">
            <v>Tháng</v>
          </cell>
          <cell r="D5198">
            <v>0</v>
          </cell>
        </row>
        <row r="5199">
          <cell r="A5199">
            <v>45657</v>
          </cell>
          <cell r="B5199" t="str">
            <v>Cước vận chuyển (Lộ trình Hà Nội-Hải Phòng) Ngày 18/12/2024</v>
          </cell>
          <cell r="C5199" t="str">
            <v>Tháng</v>
          </cell>
          <cell r="D5199">
            <v>0</v>
          </cell>
        </row>
        <row r="5200">
          <cell r="A5200">
            <v>45657</v>
          </cell>
          <cell r="B5200" t="str">
            <v>Cước vận chuyển (Lộ trình Hà Nội-Hải Phòng) Ngày 21/12/2024</v>
          </cell>
          <cell r="C5200" t="str">
            <v>Tháng</v>
          </cell>
          <cell r="D5200">
            <v>0</v>
          </cell>
        </row>
        <row r="5201">
          <cell r="A5201">
            <v>45657</v>
          </cell>
          <cell r="B5201" t="str">
            <v>Cước vận chuyển (Lộ trình Hà Nội-Hải Phòng) Ngày 23/12/2024</v>
          </cell>
          <cell r="C5201" t="str">
            <v>Tháng</v>
          </cell>
          <cell r="D5201">
            <v>0</v>
          </cell>
        </row>
        <row r="5202">
          <cell r="A5202">
            <v>45657</v>
          </cell>
          <cell r="B5202" t="str">
            <v>Cước vận chuyển (Lộ trình Hà Nội-Hải Phòng) Ngày 25/12/2024</v>
          </cell>
          <cell r="C5202" t="str">
            <v>Tháng</v>
          </cell>
          <cell r="D5202">
            <v>0</v>
          </cell>
        </row>
        <row r="5203">
          <cell r="A5203">
            <v>45657</v>
          </cell>
          <cell r="B5203" t="str">
            <v>Cước vận chuyển (Lộ trình Hà Nội-Hải Phòng) Ngày 28/12/2024</v>
          </cell>
          <cell r="C5203" t="str">
            <v>Tháng</v>
          </cell>
          <cell r="D5203">
            <v>0</v>
          </cell>
        </row>
        <row r="5204">
          <cell r="A5204">
            <v>45657</v>
          </cell>
          <cell r="B5204" t="str">
            <v>Cước vận chuyển (Lộ trình Hà Nội-Hải Phòng) Ngày 30/12/2024</v>
          </cell>
          <cell r="C5204" t="str">
            <v>Tháng</v>
          </cell>
          <cell r="D5204">
            <v>0</v>
          </cell>
        </row>
        <row r="5205">
          <cell r="A5205">
            <v>45657</v>
          </cell>
          <cell r="B5205" t="str">
            <v>Cước vận chuyển từ Aeon Bình Dương đến Aeon Sora  từ ngày 01/12/2024 đến ngày 31/12/2024</v>
          </cell>
          <cell r="C5205" t="str">
            <v/>
          </cell>
          <cell r="D5205">
            <v>500000</v>
          </cell>
        </row>
        <row r="5206">
          <cell r="A5206">
            <v>45657</v>
          </cell>
          <cell r="B5206" t="str">
            <v>Cước vận chuyển hàng hóa Đà Lạt - Hà Nội</v>
          </cell>
          <cell r="C5206" t="str">
            <v/>
          </cell>
          <cell r="D5206">
            <v>233875000</v>
          </cell>
        </row>
        <row r="5207">
          <cell r="A5207">
            <v>45657</v>
          </cell>
          <cell r="B5207" t="str">
            <v>Cước vận chuyển từ Ngọc Thuỵ Long Biên=&gt;9 Fuji=&gt; lotus=&gt; kosmo=&gt;Horion=&gt;Nam Trung Yên=&gt;Florence=&gt; the five=&gt;  ngày An Nam XD=&gt; Siba greenbay=&gt; Aeon The nine=&gt;Tmart=&gt; Bếp KS=&gt; Ngày 01/12/2024</v>
          </cell>
          <cell r="C5207" t="str">
            <v>Tháng</v>
          </cell>
          <cell r="D5207">
            <v>1680000</v>
          </cell>
        </row>
        <row r="5208">
          <cell r="A5208">
            <v>45657</v>
          </cell>
          <cell r="B5208" t="str">
            <v>Cước vận chuyển từ Ngọc Thuỵ Long Biên=&gt;9 Fuji=&gt; lotus=&gt; kosmo=&gt;Horion=&gt;Nam Trung Yên=&gt;Florence=&gt; the five=&gt; An Nam XD=&gt;  ngày 02/12/2024</v>
          </cell>
          <cell r="C5208" t="str">
            <v>Tháng</v>
          </cell>
          <cell r="D5208">
            <v>1380000</v>
          </cell>
        </row>
        <row r="5209">
          <cell r="A5209">
            <v>45657</v>
          </cell>
          <cell r="B5209" t="str">
            <v>Cước vận chuyển từ Ngọc Thuỵ Long Biên=&gt;9 Fuji=&gt; lotus=&gt; kosmo=&gt;Horion=&gt;Nam Trung Yên=&gt;Florence=&gt; the five=&gt; An Nam XD=&gt;  ngày 03/12/2024</v>
          </cell>
          <cell r="C5209" t="str">
            <v>Tháng</v>
          </cell>
          <cell r="D5209">
            <v>1530000</v>
          </cell>
        </row>
        <row r="5210">
          <cell r="A5210">
            <v>45657</v>
          </cell>
          <cell r="B5210" t="str">
            <v>Cước vận chuyển từ Ngọc Thuỵ Long Biên=&gt;10 Fuji=&gt; lotus=&gt; kosmo=&gt;Horion=&gt;Nam Trung Yên=&gt;Florence=&gt; the five=&gt; Happimart  ngày 04/12/2024</v>
          </cell>
          <cell r="C5210" t="str">
            <v>Tháng</v>
          </cell>
          <cell r="D5210">
            <v>1580000</v>
          </cell>
        </row>
        <row r="5211">
          <cell r="A5211">
            <v>45657</v>
          </cell>
          <cell r="B5211" t="str">
            <v>Cước vận chuyển từ Ngọc Thuỵ Long Biên=&gt;9 Fuji=&gt; lotus=&gt; kosmo=&gt;Horion=&gt;Nam Trung Yên=&gt;florence=&gt; the five=&gt; Bếp GP=&gt; Bếp KS ngày 05/12/2024</v>
          </cell>
          <cell r="C5211" t="str">
            <v>Tháng</v>
          </cell>
          <cell r="D5211">
            <v>1380000</v>
          </cell>
        </row>
        <row r="5212">
          <cell r="A5212">
            <v>45657</v>
          </cell>
          <cell r="B5212" t="str">
            <v>Cước vận chuyển từ Ngọc Thuỵ Long Biên=&gt;9 Fuji=&gt; lotus=&gt; kosmo=&gt;Horion=&gt;Nam Trung Yên=&gt;Florence=&gt; the five=&gt;An Nam LB=&gt; Siba Ngọc Hà ngày 06/12/2024</v>
          </cell>
          <cell r="C5212" t="str">
            <v>Tháng</v>
          </cell>
          <cell r="D5212">
            <v>1630000</v>
          </cell>
        </row>
        <row r="5213">
          <cell r="A5213">
            <v>45657</v>
          </cell>
          <cell r="B5213" t="str">
            <v>Cước vận chuyển từ Ngọc Thuỵ Long Biên=&gt;9 Fuji=&gt; lotus=&gt; kosmo=&gt;Horion=&gt;Nam Trung Yên=&gt;florence=&gt; the five=&gt; ngày 07/12/2024</v>
          </cell>
          <cell r="C5213" t="str">
            <v>Tháng</v>
          </cell>
          <cell r="D5213">
            <v>1630000</v>
          </cell>
        </row>
        <row r="5214">
          <cell r="A5214">
            <v>45657</v>
          </cell>
          <cell r="B5214" t="str">
            <v>Cước vận chuyển từ Ngọc Thuỵ Long Biên=&gt;10 Fuji=&gt; lotus=&gt; kosmo=&gt;Horion=&gt;Nam Trung Yên=&gt; the five=&gt;florence=&gt;Bếp KS=&gt; Bếp GP ngày 08/12/2024</v>
          </cell>
          <cell r="C5214" t="str">
            <v>Tháng</v>
          </cell>
          <cell r="D5214">
            <v>1380000</v>
          </cell>
        </row>
        <row r="5215">
          <cell r="A5215">
            <v>45657</v>
          </cell>
          <cell r="B5215" t="str">
            <v>Cước vận chuyển từ Ngọc Thuỵ Long Biên=&gt;9 Fuji=&gt; lotus=&gt; kosmo=&gt;Horion=&gt;Nam Trung Yên=&gt; the five=&gt;florence=&gt;An Nam XD=&gt; Bếp GP  ngày 09/12/2024</v>
          </cell>
          <cell r="C5215" t="str">
            <v>Tháng</v>
          </cell>
          <cell r="D5215">
            <v>1880000</v>
          </cell>
        </row>
        <row r="5216">
          <cell r="A5216">
            <v>45657</v>
          </cell>
          <cell r="B5216" t="str">
            <v>Cước vận chuyển từ Ngọc Thuỵ Long Biên=&gt;10 Fuji=&gt; lotus=&gt; kosmo=&gt;Horion=&gt;Nam Trung Yên=&gt; the five=&gt;An Nam XD ngày 10/12/2024</v>
          </cell>
          <cell r="C5216" t="str">
            <v>Tháng</v>
          </cell>
          <cell r="D5216">
            <v>1480000</v>
          </cell>
        </row>
        <row r="5217">
          <cell r="A5217">
            <v>45657</v>
          </cell>
          <cell r="B5217" t="str">
            <v>Cước vận chuyển từ Ngọc Thuỵ Long Biên=&gt;10 Fuji=&gt; lotus=&gt; kosmo=&gt;Horion=&gt;Nam Trung Yên=&gt;florence=&gt; the five =&gt; An Nam Xuân Diệu=&gt; siba greenbay ngày 11/12/2024</v>
          </cell>
          <cell r="C5217" t="str">
            <v>Tháng</v>
          </cell>
          <cell r="D5217">
            <v>1620000</v>
          </cell>
        </row>
        <row r="5218">
          <cell r="A5218">
            <v>45657</v>
          </cell>
          <cell r="B5218" t="str">
            <v>Cước vận chuyển từ Ngọc Thuỵ Long Biên=&gt;10 Fuji=&gt; lotus=&gt; kosmo=&gt;Horion=&gt;Nam Trung Yên=&gt;florence=&gt; the five =&gt; An Nam Xuân Diệu=&gt; Bếp KS=&gt; Bếp GP=&gt;ngày 12/12/2024</v>
          </cell>
          <cell r="C5218" t="str">
            <v>Tháng</v>
          </cell>
          <cell r="D5218">
            <v>1380000</v>
          </cell>
        </row>
        <row r="5219">
          <cell r="A5219">
            <v>45657</v>
          </cell>
          <cell r="B5219" t="str">
            <v>Cước vận chuyển từ Ngọc Thuỵ Long Biên=&gt;10 Fuji=&gt; lotus=&gt; kosmo=&gt;Horion=&gt;Nam Trung Yên=&gt;florence=&gt; the five =&gt; An Nam Xuân Diệu=&gt; Bếp KS=&gt; ngày 13/12/2024</v>
          </cell>
          <cell r="C5219" t="str">
            <v>Tháng</v>
          </cell>
          <cell r="D5219">
            <v>1480000</v>
          </cell>
        </row>
        <row r="5220">
          <cell r="A5220">
            <v>45657</v>
          </cell>
          <cell r="B5220" t="str">
            <v>Cước vận chuyển từ Ngọc Thuỵ Long Biên=&gt;10 Fuji=&gt; lotus=&gt; kosmo=&gt;Horion=&gt;Nam Trung Yên=&gt;florence=&gt; the five=&gt;An Nam XD=? Bếp GP ngày 14/12/2024</v>
          </cell>
          <cell r="C5220" t="str">
            <v>Tháng</v>
          </cell>
          <cell r="D5220">
            <v>1380000</v>
          </cell>
        </row>
        <row r="5221">
          <cell r="A5221">
            <v>45657</v>
          </cell>
          <cell r="B5221" t="str">
            <v>Cước vận chuyển từ Ngọc Thuỵ Long Biên=&gt;10 Fuji=&gt; lotus=&gt; kosmo=&gt;Horion=&gt;Nam Trung Yên=&gt;florence=&gt; the five=&gt;Siba Greenbay  ngày 15/09/2024</v>
          </cell>
          <cell r="C5221" t="str">
            <v>Tháng</v>
          </cell>
          <cell r="D5221">
            <v>1430000</v>
          </cell>
        </row>
        <row r="5222">
          <cell r="A5222">
            <v>45657</v>
          </cell>
          <cell r="B5222" t="str">
            <v>Cước vận chuyển từ Ngọc Thuỵ Long Biên=&gt;10 Fuji=&gt; lotus=&gt; kosmo=&gt;Horion=&gt;Nam Trung Yên=&gt;florence=&gt; the five=&gt;An Nam XD=&gt; Bếp KS=&gt;  ngày 16/12/2024</v>
          </cell>
          <cell r="C5222" t="str">
            <v>Tháng</v>
          </cell>
          <cell r="D5222">
            <v>1380000</v>
          </cell>
        </row>
        <row r="5223">
          <cell r="A5223">
            <v>45657</v>
          </cell>
          <cell r="B5223" t="str">
            <v>Cước vận chuyển từ Ngọc Thuỵ Long Biên=&gt;8 Fuji=&gt; lotus=&gt; kosmo=&gt;Horion=&gt;Nam Trung Yên=&gt;florence=&gt; the five=&gt; Bếp Giải Phóng =&gt; Hapimart ngày 17/12/2024</v>
          </cell>
          <cell r="C5223" t="str">
            <v>Tháng</v>
          </cell>
          <cell r="D5223">
            <v>1380000</v>
          </cell>
        </row>
        <row r="5224">
          <cell r="A5224">
            <v>45657</v>
          </cell>
          <cell r="B5224" t="str">
            <v>Cước vận chuyển từ Ngọc Thuỵ Long Biên=&gt;8 Fuji=&gt; lotus=&gt; kosmo=&gt;Horion=&gt;Nam Trung Yên=&gt;florence=&gt; the five=&gt; Bếp Giải Phóng =&gt; Hapimart ngày 18/12/2024</v>
          </cell>
          <cell r="C5224" t="str">
            <v>Tháng</v>
          </cell>
          <cell r="D5224">
            <v>1330000</v>
          </cell>
        </row>
        <row r="5225">
          <cell r="A5225">
            <v>45657</v>
          </cell>
          <cell r="B5225" t="str">
            <v>Cước vận chuyển từ Ngọc Thuỵ Long Biên=&gt;8 Fuji=&gt; lotus=&gt; kosmo=&gt;Horion=&gt;Nam Trung Yên=&gt;florence=&gt; the five=&gt; ngày 19/12/2024</v>
          </cell>
          <cell r="C5225" t="str">
            <v>Tháng</v>
          </cell>
          <cell r="D5225">
            <v>1330000</v>
          </cell>
        </row>
        <row r="5226">
          <cell r="A5226">
            <v>45657</v>
          </cell>
          <cell r="B5226" t="str">
            <v>Cước vận chuyển từ Ngọc Thuỵ Long Biên=&gt;8 Fuji=&gt; lotus=&gt; kosmo=&gt;Horion=&gt;Nam Trung Yên=&gt;florence=&gt; the five=&gt; ngày 20/12/2024</v>
          </cell>
          <cell r="C5226" t="str">
            <v>Tháng</v>
          </cell>
          <cell r="D5226">
            <v>1480000</v>
          </cell>
        </row>
        <row r="5227">
          <cell r="A5227">
            <v>45657</v>
          </cell>
          <cell r="B5227" t="str">
            <v>Cước vận chuyển từ Ngọc Thuỵ Long Biên=&gt;10 Fuji=&gt; lotus=&gt; kosmo=&gt;Horion=&gt;Nam Trung Yên=&gt;florence=&gt; the five=&gt; Bếp GP=&gt; An Nam XD ngày 21/12/2024</v>
          </cell>
          <cell r="C5227" t="str">
            <v>Tháng</v>
          </cell>
          <cell r="D5227">
            <v>1380000</v>
          </cell>
        </row>
        <row r="5228">
          <cell r="A5228">
            <v>45657</v>
          </cell>
          <cell r="B5228" t="str">
            <v>Cước vận chuyển từ Ngọc Thuỵ Long Biên=&gt;7 Fuji=&gt; lotus=&gt; kosmo=&gt;Horion=&gt;Nam Trung Yên=&gt;florence=&gt; the five=&gt; Siba greenbay=&gt;KS hoel ngày 22/12/2024</v>
          </cell>
          <cell r="C5228" t="str">
            <v>Tháng</v>
          </cell>
          <cell r="D5228">
            <v>1630000</v>
          </cell>
        </row>
        <row r="5229">
          <cell r="A5229">
            <v>45657</v>
          </cell>
          <cell r="B5229" t="str">
            <v>Cước vận chuyển từ Ngọc Thuỵ Long Biên=&gt;8 Fuji=&gt; lotus=&gt; kosmo=&gt;Horion=&gt;Nam Trung Yên=&gt;florence=&gt; the five=&gt; ngày 23/12/2024</v>
          </cell>
          <cell r="C5229" t="str">
            <v>Tháng</v>
          </cell>
          <cell r="D5229">
            <v>1580000</v>
          </cell>
        </row>
        <row r="5230">
          <cell r="A5230">
            <v>45657</v>
          </cell>
          <cell r="B5230" t="str">
            <v>Cước vận chuyển từ Ngọc Thuỵ Long Biên=&gt;8 Fuji=&gt; lotus=&gt; kosmo=&gt;Horion=&gt;Nam Trung Yên=&gt;florence=&gt; the five=&gt; ngày 24/12/2024</v>
          </cell>
          <cell r="C5230" t="str">
            <v>Tháng</v>
          </cell>
          <cell r="D5230">
            <v>1530000</v>
          </cell>
        </row>
        <row r="5231">
          <cell r="A5231">
            <v>45657</v>
          </cell>
          <cell r="B5231" t="str">
            <v>Cước vận chuyển từ Ngọc Thuỵ Long Biên=&gt;9 Fuji=&gt; lotus=&gt; kosmo=&gt;Horion=&gt;Nam Trung Yên=&gt;florence=&gt; the five=&gt; Bếp KS ngày 25/12/2024</v>
          </cell>
          <cell r="C5231" t="str">
            <v>Tháng</v>
          </cell>
          <cell r="D5231">
            <v>1380000</v>
          </cell>
        </row>
        <row r="5232">
          <cell r="A5232">
            <v>45657</v>
          </cell>
          <cell r="B5232" t="str">
            <v>Cước vận chuyển từ Ngọc Thuỵ Long Biên=&gt;11 Fuji=&gt; lotus=&gt; kosmo=&gt;Horion=&gt;Nam Trung Yên=&gt;florence=&gt; the five=&gt; Bếp KS ngày 26/12/2024</v>
          </cell>
          <cell r="C5232" t="str">
            <v>Tháng</v>
          </cell>
          <cell r="D5232">
            <v>1630000</v>
          </cell>
        </row>
        <row r="5233">
          <cell r="A5233">
            <v>45657</v>
          </cell>
          <cell r="B5233" t="str">
            <v>Cước vận chuyển từ Ngọc Thuỵ Long Biên=&gt;9 Fuji=&gt; lotus=&gt; kosmo=&gt;Horion=&gt;Nam Trung Yên=&gt;florence=&gt; the five=&gt; Bếp KS ngày 27/12/2024</v>
          </cell>
          <cell r="C5233" t="str">
            <v>Tháng</v>
          </cell>
          <cell r="D5233">
            <v>1380000</v>
          </cell>
        </row>
        <row r="5234">
          <cell r="A5234">
            <v>45657</v>
          </cell>
          <cell r="B5234" t="str">
            <v>Cước vận chuyển từ Ngọc Thuỵ Long Biên=&gt;9 Fuji=&gt; lotus=&gt; kosmo=&gt;Horion=&gt;Nam Trung Yên=&gt;florence=&gt; the five=&gt; Bếp KS ngày 28/12/2024</v>
          </cell>
          <cell r="C5234" t="str">
            <v>Tháng</v>
          </cell>
          <cell r="D5234">
            <v>1480000</v>
          </cell>
        </row>
        <row r="5235">
          <cell r="A5235">
            <v>45657</v>
          </cell>
          <cell r="B5235" t="str">
            <v>Cước vận chuyển từ Ngọc Thuỵ Long Biên=&gt;8 Fuji=&gt; lotus=&gt; kosmo=&gt;Horion=&gt;Nam Trung Yên=&gt;florence=&gt; the five=&gt; ngày 29/12/2024</v>
          </cell>
          <cell r="C5235" t="str">
            <v>Tháng</v>
          </cell>
          <cell r="D5235">
            <v>1480000</v>
          </cell>
        </row>
        <row r="5236">
          <cell r="A5236">
            <v>45657</v>
          </cell>
          <cell r="B5236" t="str">
            <v>Cước vận chuyển từ Ngọc Thuỵ Long Biên=&gt;9 Fuji=&gt; lotus=&gt; kosmo=&gt;Horion=&gt;Nam Trung Yên=&gt;florence=&gt; the five=&gt; Bếp KS ngày 30/12/2024</v>
          </cell>
          <cell r="C5236" t="str">
            <v>Tháng</v>
          </cell>
          <cell r="D5236">
            <v>1380000</v>
          </cell>
        </row>
        <row r="5237">
          <cell r="A5237">
            <v>45657</v>
          </cell>
          <cell r="B5237" t="str">
            <v>Cước vận chuyển từ Ngọc Thuỵ Long Biên=&gt;9 Fuji=&gt; lotus=&gt; kosmo=&gt;Horion=&gt;Nam Trung Yên=&gt;florence=&gt; the five=&gt; Bếp KS ngày 31/12/2024</v>
          </cell>
          <cell r="C5237" t="str">
            <v>Tháng</v>
          </cell>
          <cell r="D5237">
            <v>1730000</v>
          </cell>
        </row>
        <row r="5238">
          <cell r="A5238">
            <v>45657</v>
          </cell>
          <cell r="B5238" t="str">
            <v>Cà Chua Beef</v>
          </cell>
          <cell r="C5238" t="str">
            <v>Kg</v>
          </cell>
          <cell r="D5238">
            <v>15000</v>
          </cell>
        </row>
        <row r="5239">
          <cell r="A5239">
            <v>45657</v>
          </cell>
          <cell r="B5239" t="str">
            <v>Cà Chua Beef</v>
          </cell>
          <cell r="C5239" t="str">
            <v>Kg</v>
          </cell>
          <cell r="D5239">
            <v>15000</v>
          </cell>
        </row>
        <row r="5240">
          <cell r="A5240">
            <v>45657</v>
          </cell>
          <cell r="B5240" t="str">
            <v>Cần Tây</v>
          </cell>
          <cell r="C5240" t="str">
            <v>Kg</v>
          </cell>
          <cell r="D5240">
            <v>12000</v>
          </cell>
        </row>
        <row r="5241">
          <cell r="A5241">
            <v>45657</v>
          </cell>
          <cell r="B5241" t="str">
            <v>Xà Lách Lolo Xanh T.C Cây</v>
          </cell>
          <cell r="C5241" t="str">
            <v>Cây</v>
          </cell>
          <cell r="D5241">
            <v>6000</v>
          </cell>
        </row>
        <row r="5242">
          <cell r="A5242">
            <v>45657</v>
          </cell>
          <cell r="B5242" t="str">
            <v>Bí Ngòi Xanh</v>
          </cell>
          <cell r="C5242" t="str">
            <v>Kg</v>
          </cell>
          <cell r="D5242">
            <v>10000</v>
          </cell>
        </row>
        <row r="5243">
          <cell r="A5243">
            <v>45657</v>
          </cell>
          <cell r="B5243" t="str">
            <v>Lá Mè</v>
          </cell>
          <cell r="C5243" t="str">
            <v>Túi</v>
          </cell>
          <cell r="D5243">
            <v>3000</v>
          </cell>
        </row>
        <row r="5244">
          <cell r="A5244">
            <v>45657</v>
          </cell>
          <cell r="B5244" t="str">
            <v>Bí Non Nhật</v>
          </cell>
          <cell r="C5244" t="str">
            <v>Kg</v>
          </cell>
          <cell r="D5244">
            <v>19000</v>
          </cell>
        </row>
        <row r="5245">
          <cell r="A5245">
            <v>45657</v>
          </cell>
          <cell r="B5245" t="str">
            <v>Ớt Sweet Palemo</v>
          </cell>
          <cell r="C5245" t="str">
            <v>Túi</v>
          </cell>
          <cell r="D5245">
            <v>22000</v>
          </cell>
        </row>
        <row r="5246">
          <cell r="A5246">
            <v>45657</v>
          </cell>
          <cell r="B5246" t="str">
            <v>Ớt Chuông Baby</v>
          </cell>
          <cell r="C5246" t="str">
            <v>Kg</v>
          </cell>
          <cell r="D5246">
            <v>48000</v>
          </cell>
        </row>
        <row r="5247">
          <cell r="A5247">
            <v>45657</v>
          </cell>
          <cell r="B5247" t="str">
            <v>Rau Ngò Rí</v>
          </cell>
          <cell r="C5247" t="str">
            <v>Kg</v>
          </cell>
          <cell r="D5247">
            <v>45000</v>
          </cell>
        </row>
        <row r="5248">
          <cell r="A5248">
            <v>45657</v>
          </cell>
          <cell r="B5248" t="str">
            <v>Cà Chua Socola</v>
          </cell>
          <cell r="C5248" t="str">
            <v>Kg</v>
          </cell>
          <cell r="D5248">
            <v>28000</v>
          </cell>
        </row>
        <row r="5249">
          <cell r="A5249">
            <v>45657</v>
          </cell>
          <cell r="B5249" t="str">
            <v>Bí Ngòi Xanh</v>
          </cell>
          <cell r="C5249" t="str">
            <v>Kg</v>
          </cell>
          <cell r="D5249">
            <v>10000</v>
          </cell>
        </row>
        <row r="5250">
          <cell r="A5250">
            <v>45657</v>
          </cell>
          <cell r="B5250" t="str">
            <v>Cần Tây</v>
          </cell>
          <cell r="C5250" t="str">
            <v>Kg</v>
          </cell>
          <cell r="D5250">
            <v>9000</v>
          </cell>
        </row>
        <row r="5251">
          <cell r="A5251">
            <v>45657</v>
          </cell>
          <cell r="B5251" t="str">
            <v>Cần Tây</v>
          </cell>
          <cell r="C5251" t="str">
            <v>Cây</v>
          </cell>
          <cell r="D5251">
            <v>12000</v>
          </cell>
        </row>
        <row r="5252">
          <cell r="A5252">
            <v>45657</v>
          </cell>
          <cell r="B5252" t="str">
            <v>Ớt Chuông Xanh</v>
          </cell>
          <cell r="C5252" t="str">
            <v>Kg</v>
          </cell>
          <cell r="D5252">
            <v>31000</v>
          </cell>
        </row>
        <row r="5253">
          <cell r="A5253">
            <v>45657</v>
          </cell>
          <cell r="B5253" t="str">
            <v>Ớt Chuông Xanh Trung</v>
          </cell>
          <cell r="C5253" t="str">
            <v>Kg</v>
          </cell>
          <cell r="D5253">
            <v>26000</v>
          </cell>
        </row>
        <row r="5254">
          <cell r="A5254">
            <v>45657</v>
          </cell>
          <cell r="B5254" t="str">
            <v>Trái Mít Thái</v>
          </cell>
          <cell r="C5254" t="str">
            <v>Kg</v>
          </cell>
          <cell r="D5254">
            <v>19872</v>
          </cell>
        </row>
        <row r="5255">
          <cell r="A5255">
            <v>45657</v>
          </cell>
          <cell r="B5255" t="str">
            <v>Bông Cải Trắng</v>
          </cell>
          <cell r="C5255" t="str">
            <v>Kg</v>
          </cell>
          <cell r="D5255">
            <v>16000</v>
          </cell>
        </row>
        <row r="5256">
          <cell r="A5256">
            <v>45657</v>
          </cell>
          <cell r="B5256" t="str">
            <v>Bông Cải Xanh 7Cm</v>
          </cell>
          <cell r="C5256" t="str">
            <v>Kg</v>
          </cell>
          <cell r="D5256">
            <v>33000</v>
          </cell>
        </row>
        <row r="5257">
          <cell r="A5257">
            <v>45657</v>
          </cell>
          <cell r="B5257" t="str">
            <v>Cà Chua Beef</v>
          </cell>
          <cell r="C5257" t="str">
            <v>Kg</v>
          </cell>
          <cell r="D5257">
            <v>15000</v>
          </cell>
        </row>
        <row r="5258">
          <cell r="A5258">
            <v>45657</v>
          </cell>
          <cell r="B5258" t="str">
            <v>Cà Chua Beef</v>
          </cell>
          <cell r="C5258" t="str">
            <v>Kg</v>
          </cell>
          <cell r="D5258">
            <v>17500</v>
          </cell>
        </row>
        <row r="5259">
          <cell r="A5259">
            <v>45657</v>
          </cell>
          <cell r="B5259" t="str">
            <v>Bông Cải Xanh 7Cm</v>
          </cell>
          <cell r="C5259" t="str">
            <v>Kg</v>
          </cell>
          <cell r="D5259">
            <v>33000</v>
          </cell>
        </row>
        <row r="5260">
          <cell r="A5260">
            <v>45657</v>
          </cell>
          <cell r="B5260" t="str">
            <v>Củ Hành Tây Tím</v>
          </cell>
          <cell r="C5260" t="str">
            <v>Kg</v>
          </cell>
          <cell r="D5260">
            <v>20000</v>
          </cell>
        </row>
        <row r="5261">
          <cell r="A5261">
            <v>45657</v>
          </cell>
          <cell r="B5261" t="str">
            <v>Củ Hành Tây</v>
          </cell>
          <cell r="C5261" t="str">
            <v>Kg</v>
          </cell>
          <cell r="D5261">
            <v>14000</v>
          </cell>
        </row>
        <row r="5262">
          <cell r="A5262">
            <v>45657</v>
          </cell>
          <cell r="B5262" t="str">
            <v>Củ Hành Tây Trung</v>
          </cell>
          <cell r="C5262" t="str">
            <v>Kg</v>
          </cell>
          <cell r="D5262">
            <v>12000</v>
          </cell>
        </row>
        <row r="5263">
          <cell r="A5263">
            <v>45657</v>
          </cell>
          <cell r="B5263" t="str">
            <v>Gia Công Rau Củ Quả</v>
          </cell>
          <cell r="C5263" t="str">
            <v>Kg</v>
          </cell>
          <cell r="D5263">
            <v>1700</v>
          </cell>
        </row>
        <row r="5264">
          <cell r="A5264">
            <v>45657</v>
          </cell>
          <cell r="B5264" t="str">
            <v>Gia Công Rau Củ Quả</v>
          </cell>
          <cell r="C5264" t="str">
            <v>Kg</v>
          </cell>
          <cell r="D5264">
            <v>1700</v>
          </cell>
        </row>
        <row r="5265">
          <cell r="A5265">
            <v>45657</v>
          </cell>
          <cell r="B5265" t="str">
            <v>Gia Công Rau Củ Quả</v>
          </cell>
          <cell r="C5265" t="str">
            <v>Kg</v>
          </cell>
          <cell r="D5265">
            <v>1000</v>
          </cell>
        </row>
        <row r="5266">
          <cell r="A5266">
            <v>45657</v>
          </cell>
          <cell r="B5266" t="str">
            <v>Rau Bầu Đất</v>
          </cell>
          <cell r="C5266" t="str">
            <v>Kg</v>
          </cell>
          <cell r="D5266">
            <v>26700</v>
          </cell>
        </row>
        <row r="5267">
          <cell r="A5267">
            <v>45657</v>
          </cell>
          <cell r="B5267" t="str">
            <v>Dưa Leo Baby</v>
          </cell>
          <cell r="C5267" t="str">
            <v>Kg</v>
          </cell>
          <cell r="D5267">
            <v>9500</v>
          </cell>
        </row>
        <row r="5268">
          <cell r="A5268">
            <v>45657</v>
          </cell>
          <cell r="B5268" t="str">
            <v>Hồng Treo Gió</v>
          </cell>
          <cell r="C5268" t="str">
            <v>Kg</v>
          </cell>
          <cell r="D5268">
            <v>200000</v>
          </cell>
        </row>
        <row r="5269">
          <cell r="A5269">
            <v>45657</v>
          </cell>
          <cell r="B5269" t="str">
            <v>Hành Paro</v>
          </cell>
          <cell r="C5269" t="str">
            <v>Kg</v>
          </cell>
          <cell r="D5269">
            <v>17000</v>
          </cell>
        </row>
        <row r="5270">
          <cell r="A5270">
            <v>45657</v>
          </cell>
          <cell r="B5270" t="str">
            <v>Bí Ngòi Xanh</v>
          </cell>
          <cell r="C5270" t="str">
            <v>Kg</v>
          </cell>
          <cell r="D5270">
            <v>12000</v>
          </cell>
        </row>
        <row r="5271">
          <cell r="A5271">
            <v>45657</v>
          </cell>
          <cell r="B5271" t="str">
            <v>Cải Bó Xôi</v>
          </cell>
          <cell r="C5271" t="str">
            <v>Kg</v>
          </cell>
          <cell r="D5271">
            <v>28000</v>
          </cell>
        </row>
        <row r="5272">
          <cell r="A5272">
            <v>45657</v>
          </cell>
          <cell r="B5272" t="str">
            <v>Trái Mâm Xôi</v>
          </cell>
          <cell r="C5272" t="str">
            <v>Hộp</v>
          </cell>
          <cell r="D5272">
            <v>35000</v>
          </cell>
        </row>
        <row r="5273">
          <cell r="A5273">
            <v>45657</v>
          </cell>
          <cell r="B5273" t="str">
            <v>Dưa Leo Baby</v>
          </cell>
          <cell r="C5273" t="str">
            <v>Vỉ</v>
          </cell>
          <cell r="D5273">
            <v>5000</v>
          </cell>
        </row>
        <row r="5274">
          <cell r="A5274">
            <v>45657</v>
          </cell>
          <cell r="B5274" t="str">
            <v>Lá Mè</v>
          </cell>
          <cell r="C5274" t="str">
            <v>Túi</v>
          </cell>
          <cell r="D5274">
            <v>2900</v>
          </cell>
        </row>
        <row r="5275">
          <cell r="A5275">
            <v>45657</v>
          </cell>
          <cell r="B5275" t="str">
            <v>Xà Lách Mỡ T.C</v>
          </cell>
          <cell r="C5275" t="str">
            <v>Kg</v>
          </cell>
          <cell r="D5275">
            <v>28000</v>
          </cell>
        </row>
        <row r="5276">
          <cell r="A5276">
            <v>45657</v>
          </cell>
          <cell r="B5276" t="str">
            <v>Xà Lách Thủy Tinh T.C Cây</v>
          </cell>
          <cell r="C5276" t="str">
            <v>Cây</v>
          </cell>
          <cell r="D5276">
            <v>6800</v>
          </cell>
        </row>
        <row r="5277">
          <cell r="A5277">
            <v>45657</v>
          </cell>
          <cell r="B5277" t="str">
            <v>Xà Lách Lolo Xanh T.C Cây</v>
          </cell>
          <cell r="C5277" t="str">
            <v>Cây</v>
          </cell>
          <cell r="D5277">
            <v>6800</v>
          </cell>
        </row>
        <row r="5278">
          <cell r="A5278">
            <v>45657</v>
          </cell>
          <cell r="B5278" t="str">
            <v>Trái Su Su</v>
          </cell>
          <cell r="C5278" t="str">
            <v>Kg</v>
          </cell>
          <cell r="D5278">
            <v>16000</v>
          </cell>
        </row>
        <row r="5279">
          <cell r="A5279">
            <v>45657</v>
          </cell>
          <cell r="B5279" t="str">
            <v>Bí Đỏ Hồ Lô</v>
          </cell>
          <cell r="C5279" t="str">
            <v>Kg</v>
          </cell>
          <cell r="D5279">
            <v>11500</v>
          </cell>
        </row>
        <row r="5280">
          <cell r="A5280">
            <v>45657</v>
          </cell>
          <cell r="B5280" t="str">
            <v>Chuối Laba</v>
          </cell>
          <cell r="C5280" t="str">
            <v>Kg</v>
          </cell>
          <cell r="D5280">
            <v>14000</v>
          </cell>
        </row>
        <row r="5281">
          <cell r="A5281">
            <v>45657</v>
          </cell>
          <cell r="B5281" t="str">
            <v>Bí Đỏ Tròn</v>
          </cell>
          <cell r="C5281" t="str">
            <v>Kg</v>
          </cell>
          <cell r="D5281">
            <v>11000</v>
          </cell>
        </row>
        <row r="5282">
          <cell r="A5282">
            <v>45657</v>
          </cell>
          <cell r="B5282" t="str">
            <v>Lá Nha Đam</v>
          </cell>
          <cell r="C5282" t="str">
            <v>Kg</v>
          </cell>
          <cell r="D5282">
            <v>14000</v>
          </cell>
        </row>
        <row r="5283">
          <cell r="A5283">
            <v>45657</v>
          </cell>
          <cell r="B5283" t="str">
            <v>Xà Lách Mỡ T.C</v>
          </cell>
          <cell r="C5283" t="str">
            <v>Kg</v>
          </cell>
          <cell r="D5283">
            <v>27000</v>
          </cell>
        </row>
        <row r="5284">
          <cell r="A5284">
            <v>45657</v>
          </cell>
          <cell r="B5284" t="str">
            <v>Xà Lách Lolo Xanh T.C</v>
          </cell>
          <cell r="C5284" t="str">
            <v>Kg</v>
          </cell>
          <cell r="D5284">
            <v>28000</v>
          </cell>
        </row>
        <row r="5285">
          <cell r="A5285">
            <v>45657</v>
          </cell>
          <cell r="B5285" t="str">
            <v>Củ Khoai Tây Vàng</v>
          </cell>
          <cell r="C5285" t="str">
            <v>Kg</v>
          </cell>
          <cell r="D5285">
            <v>17000</v>
          </cell>
        </row>
        <row r="5286">
          <cell r="A5286">
            <v>45657</v>
          </cell>
          <cell r="B5286" t="str">
            <v>Củ Khoai Lang Nhật</v>
          </cell>
          <cell r="C5286" t="str">
            <v>Kg</v>
          </cell>
          <cell r="D5286">
            <v>20000</v>
          </cell>
        </row>
        <row r="5287">
          <cell r="A5287">
            <v>45657</v>
          </cell>
          <cell r="B5287" t="str">
            <v>Trái Bưởi Diễn</v>
          </cell>
          <cell r="C5287" t="str">
            <v>Trái</v>
          </cell>
          <cell r="D5287">
            <v>10777</v>
          </cell>
        </row>
        <row r="5288">
          <cell r="A5288">
            <v>45657</v>
          </cell>
          <cell r="B5288" t="str">
            <v>Cà Chua Beef</v>
          </cell>
          <cell r="C5288" t="str">
            <v>Kg</v>
          </cell>
          <cell r="D5288">
            <v>18000</v>
          </cell>
        </row>
        <row r="5289">
          <cell r="A5289">
            <v>45657</v>
          </cell>
          <cell r="B5289" t="str">
            <v>Cà Chua Socola</v>
          </cell>
          <cell r="C5289" t="str">
            <v>Hộp 250GR</v>
          </cell>
          <cell r="D5289">
            <v>9000</v>
          </cell>
        </row>
        <row r="5290">
          <cell r="A5290">
            <v>45657</v>
          </cell>
          <cell r="B5290" t="str">
            <v>Xà Lách Lolo Xanh</v>
          </cell>
          <cell r="C5290" t="str">
            <v>Kg</v>
          </cell>
          <cell r="D5290">
            <v>29000</v>
          </cell>
        </row>
        <row r="5291">
          <cell r="A5291">
            <v>45657</v>
          </cell>
          <cell r="B5291" t="str">
            <v>Dưa Leo Baby</v>
          </cell>
          <cell r="C5291" t="str">
            <v>Vỉ</v>
          </cell>
          <cell r="D5291">
            <v>5000</v>
          </cell>
        </row>
        <row r="5292">
          <cell r="A5292">
            <v>45657</v>
          </cell>
          <cell r="B5292" t="str">
            <v>Cà Chua Bi Đỏ</v>
          </cell>
          <cell r="C5292" t="str">
            <v>Kg</v>
          </cell>
          <cell r="D5292">
            <v>20000</v>
          </cell>
        </row>
        <row r="5293">
          <cell r="A5293">
            <v>45657</v>
          </cell>
          <cell r="B5293" t="str">
            <v>Bí Ngòi Xanh</v>
          </cell>
          <cell r="C5293" t="str">
            <v>Kg</v>
          </cell>
          <cell r="D5293">
            <v>10000</v>
          </cell>
        </row>
        <row r="5294">
          <cell r="A5294">
            <v>45657</v>
          </cell>
          <cell r="B5294" t="str">
            <v>Măng Tây</v>
          </cell>
          <cell r="C5294" t="str">
            <v>Kg</v>
          </cell>
          <cell r="D5294">
            <v>55000</v>
          </cell>
        </row>
        <row r="5295">
          <cell r="A5295">
            <v>45657</v>
          </cell>
          <cell r="B5295" t="str">
            <v>Măng Tây</v>
          </cell>
          <cell r="C5295" t="str">
            <v>Kg</v>
          </cell>
          <cell r="D5295">
            <v>48000</v>
          </cell>
        </row>
        <row r="5296">
          <cell r="A5296">
            <v>45657</v>
          </cell>
          <cell r="B5296" t="str">
            <v>Củ Dền</v>
          </cell>
          <cell r="C5296" t="str">
            <v>Kg</v>
          </cell>
          <cell r="D5296">
            <v>10000</v>
          </cell>
        </row>
        <row r="5297">
          <cell r="A5297">
            <v>45657</v>
          </cell>
          <cell r="B5297" t="str">
            <v>Xà Lách Mỹ</v>
          </cell>
          <cell r="C5297" t="str">
            <v>Kg</v>
          </cell>
          <cell r="D5297">
            <v>23000</v>
          </cell>
        </row>
        <row r="5298">
          <cell r="A5298">
            <v>45657</v>
          </cell>
          <cell r="B5298" t="str">
            <v>Bí Đao Xanh</v>
          </cell>
          <cell r="C5298" t="str">
            <v>Kg</v>
          </cell>
          <cell r="D5298">
            <v>10000</v>
          </cell>
        </row>
        <row r="5299">
          <cell r="A5299">
            <v>45657</v>
          </cell>
          <cell r="B5299" t="str">
            <v>Bí Non Nhật</v>
          </cell>
          <cell r="C5299" t="str">
            <v>Kg</v>
          </cell>
          <cell r="D5299">
            <v>10000</v>
          </cell>
        </row>
        <row r="5300">
          <cell r="A5300">
            <v>45657</v>
          </cell>
          <cell r="B5300" t="str">
            <v>Bắp Cải Trái Tim</v>
          </cell>
          <cell r="C5300" t="str">
            <v>Kg</v>
          </cell>
          <cell r="D5300">
            <v>7000</v>
          </cell>
        </row>
        <row r="5301">
          <cell r="A5301">
            <v>45657</v>
          </cell>
          <cell r="B5301" t="str">
            <v>Củ Su Hào</v>
          </cell>
          <cell r="C5301" t="str">
            <v>Kg</v>
          </cell>
          <cell r="D5301">
            <v>10000</v>
          </cell>
        </row>
        <row r="5302">
          <cell r="A5302">
            <v>45657</v>
          </cell>
          <cell r="B5302" t="str">
            <v>Cà Chua Bi Đỏ</v>
          </cell>
          <cell r="C5302" t="str">
            <v>Hộp 300gr</v>
          </cell>
          <cell r="D5302">
            <v>7200</v>
          </cell>
        </row>
        <row r="5303">
          <cell r="A5303">
            <v>45657</v>
          </cell>
          <cell r="B5303" t="str">
            <v>Cà Chua Bi Đỏ</v>
          </cell>
          <cell r="C5303" t="str">
            <v>Hộp 500gr</v>
          </cell>
          <cell r="D5303">
            <v>12000</v>
          </cell>
        </row>
        <row r="5304">
          <cell r="A5304">
            <v>45657</v>
          </cell>
          <cell r="B5304" t="str">
            <v>Cà Rốt</v>
          </cell>
          <cell r="C5304" t="str">
            <v>Kg</v>
          </cell>
          <cell r="D5304">
            <v>11000</v>
          </cell>
        </row>
        <row r="5305">
          <cell r="A5305">
            <v>45657</v>
          </cell>
          <cell r="B5305" t="str">
            <v>Ớt Chuông Đỏ</v>
          </cell>
          <cell r="C5305" t="str">
            <v>Kg</v>
          </cell>
          <cell r="D5305">
            <v>34000</v>
          </cell>
        </row>
        <row r="5306">
          <cell r="A5306">
            <v>45657</v>
          </cell>
          <cell r="B5306" t="str">
            <v>Ớt Chuông Vàng</v>
          </cell>
          <cell r="C5306" t="str">
            <v>Kg</v>
          </cell>
          <cell r="D5306">
            <v>36000</v>
          </cell>
        </row>
        <row r="5307">
          <cell r="A5307">
            <v>45657</v>
          </cell>
          <cell r="B5307" t="str">
            <v>Ớt Sweet Palemo</v>
          </cell>
          <cell r="C5307" t="str">
            <v>Kg</v>
          </cell>
          <cell r="D5307">
            <v>50000</v>
          </cell>
        </row>
        <row r="5308">
          <cell r="A5308">
            <v>45657</v>
          </cell>
          <cell r="B5308" t="str">
            <v>Ớt Chuông Snack</v>
          </cell>
          <cell r="C5308" t="str">
            <v>Kg</v>
          </cell>
          <cell r="D5308">
            <v>55000</v>
          </cell>
        </row>
        <row r="5309">
          <cell r="A5309">
            <v>45657</v>
          </cell>
          <cell r="B5309" t="str">
            <v>Ớt Chuông Baby</v>
          </cell>
          <cell r="C5309" t="str">
            <v>Kg</v>
          </cell>
          <cell r="D5309">
            <v>45000</v>
          </cell>
        </row>
        <row r="5310">
          <cell r="A5310">
            <v>45657</v>
          </cell>
          <cell r="B5310" t="str">
            <v>Cà Rốt</v>
          </cell>
          <cell r="C5310" t="str">
            <v>Kg</v>
          </cell>
          <cell r="D5310">
            <v>11000</v>
          </cell>
        </row>
        <row r="5311">
          <cell r="A5311">
            <v>45657</v>
          </cell>
          <cell r="B5311" t="str">
            <v>Cải Thảo</v>
          </cell>
          <cell r="C5311" t="str">
            <v>Kg</v>
          </cell>
          <cell r="D5311">
            <v>7000</v>
          </cell>
        </row>
        <row r="5312">
          <cell r="A5312">
            <v>45657</v>
          </cell>
          <cell r="B5312" t="str">
            <v>Trái Cam Canh</v>
          </cell>
          <cell r="C5312" t="str">
            <v>Kg</v>
          </cell>
          <cell r="D5312">
            <v>26000</v>
          </cell>
        </row>
        <row r="5313">
          <cell r="A5313">
            <v>45657</v>
          </cell>
          <cell r="B5313" t="str">
            <v>Cước Vận Chuyển Hàng Hóa</v>
          </cell>
          <cell r="C5313" t="str">
            <v>Kg</v>
          </cell>
          <cell r="D5313">
            <v>1650000</v>
          </cell>
        </row>
        <row r="5314">
          <cell r="A5314">
            <v>45657</v>
          </cell>
          <cell r="B5314" t="str">
            <v>Trái Cam Canh</v>
          </cell>
          <cell r="C5314" t="str">
            <v>Kg</v>
          </cell>
          <cell r="D5314">
            <v>28000</v>
          </cell>
        </row>
        <row r="5315">
          <cell r="A5315">
            <v>45657</v>
          </cell>
          <cell r="B5315" t="str">
            <v>Củ Cải Trắng</v>
          </cell>
          <cell r="C5315" t="str">
            <v>Kg</v>
          </cell>
          <cell r="D5315">
            <v>6500</v>
          </cell>
        </row>
        <row r="5316">
          <cell r="A5316">
            <v>45657</v>
          </cell>
          <cell r="B5316" t="str">
            <v>Cà Chua Thường Trung</v>
          </cell>
          <cell r="C5316" t="str">
            <v>Kg</v>
          </cell>
          <cell r="D5316">
            <v>14000</v>
          </cell>
        </row>
        <row r="5317">
          <cell r="A5317">
            <v>45657</v>
          </cell>
          <cell r="B5317" t="str">
            <v>Cà Chua Thường</v>
          </cell>
          <cell r="C5317" t="str">
            <v>Kg</v>
          </cell>
          <cell r="D5317">
            <v>16000</v>
          </cell>
        </row>
        <row r="5318">
          <cell r="A5318">
            <v>45657</v>
          </cell>
          <cell r="B5318" t="str">
            <v>Cà Rốt</v>
          </cell>
          <cell r="C5318" t="str">
            <v>Kg</v>
          </cell>
          <cell r="D5318">
            <v>11000</v>
          </cell>
        </row>
        <row r="5319">
          <cell r="A5319">
            <v>45657</v>
          </cell>
          <cell r="B5319" t="str">
            <v>Dưa Leo Thường</v>
          </cell>
          <cell r="C5319" t="str">
            <v>Kg</v>
          </cell>
          <cell r="D5319">
            <v>8000</v>
          </cell>
        </row>
        <row r="5320">
          <cell r="A5320">
            <v>45657</v>
          </cell>
          <cell r="B5320" t="str">
            <v>Trái Khổ Qua</v>
          </cell>
          <cell r="C5320" t="str">
            <v>Kg</v>
          </cell>
          <cell r="D5320">
            <v>27000</v>
          </cell>
        </row>
        <row r="5321">
          <cell r="A5321">
            <v>45657</v>
          </cell>
          <cell r="B5321" t="str">
            <v>Củ Gừng</v>
          </cell>
          <cell r="C5321" t="str">
            <v>Kg</v>
          </cell>
          <cell r="D5321">
            <v>17000</v>
          </cell>
        </row>
        <row r="5322">
          <cell r="A5322">
            <v>45657</v>
          </cell>
          <cell r="B5322" t="str">
            <v>Củ Khoai Mỡ</v>
          </cell>
          <cell r="C5322" t="str">
            <v>Kg</v>
          </cell>
          <cell r="D5322">
            <v>25000</v>
          </cell>
        </row>
        <row r="5323">
          <cell r="A5323">
            <v>45657</v>
          </cell>
          <cell r="B5323" t="str">
            <v>Cà Tím</v>
          </cell>
          <cell r="C5323" t="str">
            <v>Cặp</v>
          </cell>
          <cell r="D5323">
            <v>9000</v>
          </cell>
        </row>
        <row r="5324">
          <cell r="A5324">
            <v>45657</v>
          </cell>
          <cell r="B5324" t="str">
            <v>Xà Lách Thủy Tinh T.C Cây</v>
          </cell>
          <cell r="C5324" t="str">
            <v>Cây</v>
          </cell>
          <cell r="D5324">
            <v>7500</v>
          </cell>
        </row>
        <row r="5325">
          <cell r="A5325">
            <v>45657</v>
          </cell>
          <cell r="B5325" t="str">
            <v>Xà Lách Mỡ T.C</v>
          </cell>
          <cell r="C5325" t="str">
            <v>Kg</v>
          </cell>
          <cell r="D5325">
            <v>26000</v>
          </cell>
        </row>
        <row r="5326">
          <cell r="A5326">
            <v>45657</v>
          </cell>
          <cell r="B5326" t="str">
            <v>Đậu Cove Trắng</v>
          </cell>
          <cell r="C5326" t="str">
            <v>Túi 300gr</v>
          </cell>
          <cell r="D5326">
            <v>6500</v>
          </cell>
        </row>
        <row r="5327">
          <cell r="A5327">
            <v>45657</v>
          </cell>
          <cell r="B5327" t="str">
            <v>Dưa Leo Nhật</v>
          </cell>
          <cell r="C5327" t="str">
            <v>Kg</v>
          </cell>
          <cell r="D5327">
            <v>10000</v>
          </cell>
        </row>
        <row r="5328">
          <cell r="A5328">
            <v>45657</v>
          </cell>
          <cell r="B5328" t="str">
            <v>Dưa Leo Baby</v>
          </cell>
          <cell r="C5328" t="str">
            <v>Vỉ</v>
          </cell>
          <cell r="D5328">
            <v>5000</v>
          </cell>
        </row>
        <row r="5329">
          <cell r="A5329">
            <v>45657</v>
          </cell>
          <cell r="B5329" t="str">
            <v>Bí Non Nhật</v>
          </cell>
          <cell r="C5329" t="str">
            <v>Kg</v>
          </cell>
          <cell r="D5329">
            <v>18000</v>
          </cell>
        </row>
        <row r="5330">
          <cell r="A5330">
            <v>45657</v>
          </cell>
          <cell r="B5330" t="str">
            <v>Bông Cải Xanh 7Cm</v>
          </cell>
          <cell r="C5330" t="str">
            <v>Kg</v>
          </cell>
          <cell r="D5330">
            <v>22000</v>
          </cell>
        </row>
        <row r="5331">
          <cell r="A5331">
            <v>45657</v>
          </cell>
          <cell r="B5331" t="str">
            <v>Bắp Cải Trái Tim</v>
          </cell>
          <cell r="C5331" t="str">
            <v>Kg</v>
          </cell>
          <cell r="D5331">
            <v>7500</v>
          </cell>
        </row>
        <row r="5332">
          <cell r="A5332">
            <v>45657</v>
          </cell>
          <cell r="B5332" t="str">
            <v>Ớt Sweet Palemo</v>
          </cell>
          <cell r="C5332" t="str">
            <v>Túi</v>
          </cell>
          <cell r="D5332">
            <v>22000</v>
          </cell>
        </row>
        <row r="5333">
          <cell r="A5333">
            <v>45657</v>
          </cell>
          <cell r="B5333" t="str">
            <v>Củ Cải Đỏ</v>
          </cell>
          <cell r="C5333" t="str">
            <v>Hộp</v>
          </cell>
          <cell r="D5333">
            <v>10500</v>
          </cell>
        </row>
        <row r="5334">
          <cell r="A5334">
            <v>45657</v>
          </cell>
          <cell r="B5334" t="str">
            <v>Bông Cải Xanh Baby</v>
          </cell>
          <cell r="C5334" t="str">
            <v>Vỉ</v>
          </cell>
          <cell r="D5334">
            <v>8000</v>
          </cell>
        </row>
        <row r="5335">
          <cell r="A5335">
            <v>45657</v>
          </cell>
          <cell r="B5335" t="str">
            <v>Cà Chua Beef Trung</v>
          </cell>
          <cell r="C5335" t="str">
            <v>Vỉ 500gr</v>
          </cell>
          <cell r="D5335">
            <v>7500</v>
          </cell>
        </row>
        <row r="5336">
          <cell r="A5336">
            <v>45657</v>
          </cell>
          <cell r="B5336" t="str">
            <v>Xà Lách Romaine</v>
          </cell>
          <cell r="C5336" t="str">
            <v>Kg</v>
          </cell>
          <cell r="D5336">
            <v>28000</v>
          </cell>
        </row>
        <row r="5337">
          <cell r="A5337">
            <v>45657</v>
          </cell>
          <cell r="B5337" t="str">
            <v>Lá Quế Tây</v>
          </cell>
          <cell r="C5337" t="str">
            <v>Kg</v>
          </cell>
          <cell r="D5337">
            <v>110000</v>
          </cell>
        </row>
        <row r="5338">
          <cell r="A5338">
            <v>45657</v>
          </cell>
          <cell r="B5338" t="str">
            <v>Lá Hương Thảo</v>
          </cell>
          <cell r="C5338" t="str">
            <v>Kg</v>
          </cell>
          <cell r="D5338">
            <v>110000</v>
          </cell>
        </row>
        <row r="5339">
          <cell r="A5339">
            <v>45657</v>
          </cell>
          <cell r="B5339" t="str">
            <v>Xà Lách Rocket</v>
          </cell>
          <cell r="C5339" t="str">
            <v>Kg</v>
          </cell>
          <cell r="D5339">
            <v>120000</v>
          </cell>
        </row>
        <row r="5340">
          <cell r="A5340">
            <v>45657</v>
          </cell>
          <cell r="B5340" t="str">
            <v>Xà Lách Lolo Xanh</v>
          </cell>
          <cell r="C5340" t="str">
            <v>Kg</v>
          </cell>
          <cell r="D5340">
            <v>31000</v>
          </cell>
        </row>
        <row r="5341">
          <cell r="A5341">
            <v>45657</v>
          </cell>
          <cell r="B5341" t="str">
            <v>Lá Mè</v>
          </cell>
          <cell r="C5341" t="str">
            <v>Túi</v>
          </cell>
          <cell r="D5341">
            <v>3300</v>
          </cell>
        </row>
        <row r="5342">
          <cell r="A5342">
            <v>45657</v>
          </cell>
          <cell r="B5342" t="str">
            <v>Dưa Leo Baby</v>
          </cell>
          <cell r="C5342" t="str">
            <v>Vỉ</v>
          </cell>
          <cell r="D5342">
            <v>5500</v>
          </cell>
        </row>
        <row r="5343">
          <cell r="A5343">
            <v>45657</v>
          </cell>
          <cell r="B5343" t="str">
            <v>Cải Kale</v>
          </cell>
          <cell r="C5343" t="str">
            <v>Túi 150gr</v>
          </cell>
          <cell r="D5343">
            <v>2150</v>
          </cell>
        </row>
        <row r="5344">
          <cell r="A5344">
            <v>45657</v>
          </cell>
          <cell r="B5344" t="str">
            <v>Cà Rốt Baby</v>
          </cell>
          <cell r="C5344" t="str">
            <v>Vỉ</v>
          </cell>
          <cell r="D5344">
            <v>9500</v>
          </cell>
        </row>
        <row r="5345">
          <cell r="A5345">
            <v>45657</v>
          </cell>
          <cell r="B5345" t="str">
            <v>Trái Mâm Xôi</v>
          </cell>
          <cell r="C5345" t="str">
            <v>Hộp</v>
          </cell>
          <cell r="D5345">
            <v>35000</v>
          </cell>
        </row>
        <row r="5346">
          <cell r="A5346">
            <v>45657</v>
          </cell>
          <cell r="B5346" t="str">
            <v>Củ Hành Tây</v>
          </cell>
          <cell r="C5346" t="str">
            <v>Kg</v>
          </cell>
          <cell r="D5346">
            <v>15000</v>
          </cell>
        </row>
        <row r="5347">
          <cell r="A5347">
            <v>45657</v>
          </cell>
          <cell r="B5347" t="str">
            <v>Cải Bó Xôi</v>
          </cell>
          <cell r="C5347" t="str">
            <v>Kg</v>
          </cell>
          <cell r="D5347">
            <v>31000</v>
          </cell>
        </row>
        <row r="5348">
          <cell r="A5348">
            <v>45657</v>
          </cell>
          <cell r="B5348" t="str">
            <v>Cải Bó Xôi</v>
          </cell>
          <cell r="C5348" t="str">
            <v>Túi</v>
          </cell>
          <cell r="D5348">
            <v>10200</v>
          </cell>
        </row>
        <row r="5349">
          <cell r="A5349">
            <v>45657</v>
          </cell>
          <cell r="B5349" t="str">
            <v>Cà Chua Socola</v>
          </cell>
          <cell r="C5349" t="str">
            <v>Hộp 300gr</v>
          </cell>
          <cell r="D5349">
            <v>11400</v>
          </cell>
        </row>
        <row r="5350">
          <cell r="A5350">
            <v>45657</v>
          </cell>
          <cell r="B5350" t="str">
            <v>Cà Chua Bi Mix</v>
          </cell>
          <cell r="C5350" t="str">
            <v>Hộp</v>
          </cell>
          <cell r="D5350">
            <v>12000</v>
          </cell>
        </row>
        <row r="5351">
          <cell r="A5351">
            <v>45657</v>
          </cell>
          <cell r="B5351" t="str">
            <v>Cải Kale</v>
          </cell>
          <cell r="C5351" t="str">
            <v>Túi</v>
          </cell>
          <cell r="D5351">
            <v>4500</v>
          </cell>
        </row>
        <row r="5352">
          <cell r="A5352">
            <v>45657</v>
          </cell>
          <cell r="B5352" t="str">
            <v>Chanh Không Hạt</v>
          </cell>
          <cell r="C5352" t="str">
            <v>Vỉ</v>
          </cell>
          <cell r="D5352">
            <v>6750</v>
          </cell>
        </row>
        <row r="5353">
          <cell r="A5353">
            <v>45657</v>
          </cell>
          <cell r="B5353" t="str">
            <v>Cải Thảo</v>
          </cell>
          <cell r="C5353" t="str">
            <v>Kg</v>
          </cell>
          <cell r="D5353">
            <v>7500</v>
          </cell>
        </row>
        <row r="5354">
          <cell r="A5354">
            <v>45657</v>
          </cell>
          <cell r="B5354" t="str">
            <v>Cà Chua Beef Chùm</v>
          </cell>
          <cell r="C5354" t="str">
            <v>Kg</v>
          </cell>
          <cell r="D5354">
            <v>18000</v>
          </cell>
        </row>
        <row r="5355">
          <cell r="A5355">
            <v>45657</v>
          </cell>
          <cell r="B5355" t="str">
            <v>Cà Chua Beef</v>
          </cell>
          <cell r="C5355" t="str">
            <v>Kg</v>
          </cell>
          <cell r="D5355">
            <v>15000</v>
          </cell>
        </row>
        <row r="5356">
          <cell r="A5356">
            <v>45657</v>
          </cell>
          <cell r="B5356" t="str">
            <v>Cà Chua Beef</v>
          </cell>
          <cell r="C5356" t="str">
            <v>Vỉ 650gr</v>
          </cell>
          <cell r="D5356">
            <v>13000</v>
          </cell>
        </row>
        <row r="5357">
          <cell r="A5357">
            <v>45657</v>
          </cell>
          <cell r="B5357" t="str">
            <v>Cà Chua Beef Trung</v>
          </cell>
          <cell r="C5357" t="str">
            <v>Vỉ 500gr</v>
          </cell>
          <cell r="D5357">
            <v>8000</v>
          </cell>
        </row>
        <row r="5358">
          <cell r="A5358">
            <v>45657</v>
          </cell>
          <cell r="B5358" t="str">
            <v>Hạt Dẻ Ngố</v>
          </cell>
          <cell r="C5358" t="str">
            <v>Kg</v>
          </cell>
          <cell r="D5358">
            <v>24900</v>
          </cell>
        </row>
        <row r="5359">
          <cell r="A5359">
            <v>45657</v>
          </cell>
          <cell r="B5359" t="str">
            <v>Đậu Cove Trắng</v>
          </cell>
          <cell r="C5359" t="str">
            <v>Túi 500gr</v>
          </cell>
          <cell r="D5359">
            <v>9000</v>
          </cell>
        </row>
        <row r="5360">
          <cell r="A5360">
            <v>45657</v>
          </cell>
          <cell r="B5360" t="str">
            <v>CA CHUA BEEF</v>
          </cell>
          <cell r="C5360" t="str">
            <v>Kg</v>
          </cell>
          <cell r="D5360">
            <v>15000</v>
          </cell>
        </row>
        <row r="5361">
          <cell r="A5361">
            <v>45657</v>
          </cell>
          <cell r="B5361" t="str">
            <v>Cải Thảo Hỏa Tiễn</v>
          </cell>
          <cell r="C5361" t="str">
            <v>Kg</v>
          </cell>
          <cell r="D5361">
            <v>16000</v>
          </cell>
        </row>
        <row r="5362">
          <cell r="A5362">
            <v>45657</v>
          </cell>
          <cell r="B5362" t="str">
            <v>Cần Tây</v>
          </cell>
          <cell r="C5362" t="str">
            <v>Kg</v>
          </cell>
          <cell r="D5362">
            <v>12000</v>
          </cell>
        </row>
        <row r="5363">
          <cell r="A5363">
            <v>45657</v>
          </cell>
          <cell r="B5363" t="str">
            <v>Ớt Chuông Đỏ</v>
          </cell>
          <cell r="C5363" t="str">
            <v>Kg</v>
          </cell>
          <cell r="D5363">
            <v>30000</v>
          </cell>
        </row>
        <row r="5364">
          <cell r="A5364">
            <v>45657</v>
          </cell>
          <cell r="B5364" t="str">
            <v>Ớt Chuông Vàng</v>
          </cell>
          <cell r="C5364" t="str">
            <v>Kg</v>
          </cell>
          <cell r="D5364">
            <v>30000</v>
          </cell>
        </row>
        <row r="5365">
          <cell r="A5365">
            <v>45657</v>
          </cell>
          <cell r="B5365" t="str">
            <v>Bông Cải Xanh Cọng</v>
          </cell>
          <cell r="C5365" t="str">
            <v>Kg</v>
          </cell>
          <cell r="D5365">
            <v>26000</v>
          </cell>
        </row>
        <row r="5366">
          <cell r="A5366">
            <v>45657</v>
          </cell>
          <cell r="B5366" t="str">
            <v>Củ Hành Tây</v>
          </cell>
          <cell r="C5366" t="str">
            <v>Kg</v>
          </cell>
          <cell r="D5366">
            <v>14000</v>
          </cell>
        </row>
        <row r="5367">
          <cell r="A5367">
            <v>45657</v>
          </cell>
          <cell r="B5367" t="str">
            <v>Hành Paro</v>
          </cell>
          <cell r="C5367" t="str">
            <v>Kg</v>
          </cell>
          <cell r="D5367">
            <v>17000</v>
          </cell>
        </row>
        <row r="5368">
          <cell r="A5368">
            <v>45657</v>
          </cell>
          <cell r="B5368" t="str">
            <v>Bông Cải Xanh Cọng</v>
          </cell>
          <cell r="C5368" t="str">
            <v>Kg</v>
          </cell>
          <cell r="D5368">
            <v>26000</v>
          </cell>
        </row>
        <row r="5369">
          <cell r="A5369">
            <v>45657</v>
          </cell>
          <cell r="B5369" t="str">
            <v>Dưa Leo Baby</v>
          </cell>
          <cell r="C5369" t="str">
            <v>Vỉ</v>
          </cell>
          <cell r="D5369">
            <v>5500</v>
          </cell>
        </row>
        <row r="5370">
          <cell r="A5370">
            <v>45657</v>
          </cell>
          <cell r="B5370" t="str">
            <v>Xà Lách Lolo Xanh T.C Cây</v>
          </cell>
          <cell r="C5370" t="str">
            <v>Cây</v>
          </cell>
          <cell r="D5370">
            <v>6800</v>
          </cell>
        </row>
        <row r="5371">
          <cell r="A5371">
            <v>45657</v>
          </cell>
          <cell r="B5371" t="str">
            <v>Xà Lách Thủy Tinh T.C Cây</v>
          </cell>
          <cell r="C5371" t="str">
            <v>Cây</v>
          </cell>
          <cell r="D5371">
            <v>6800</v>
          </cell>
        </row>
        <row r="5372">
          <cell r="A5372">
            <v>45657</v>
          </cell>
          <cell r="B5372" t="str">
            <v>Chuối Laba</v>
          </cell>
          <cell r="C5372" t="str">
            <v>Kg</v>
          </cell>
          <cell r="D5372">
            <v>14000</v>
          </cell>
        </row>
        <row r="5373">
          <cell r="A5373">
            <v>45657</v>
          </cell>
          <cell r="B5373" t="str">
            <v>Củ Dền</v>
          </cell>
          <cell r="C5373" t="str">
            <v>Kg</v>
          </cell>
          <cell r="D5373">
            <v>11000</v>
          </cell>
        </row>
        <row r="5374">
          <cell r="A5374">
            <v>45657</v>
          </cell>
          <cell r="B5374" t="str">
            <v>Củ Su Hào</v>
          </cell>
          <cell r="C5374" t="str">
            <v>Kg</v>
          </cell>
          <cell r="D5374">
            <v>13000</v>
          </cell>
        </row>
        <row r="5375">
          <cell r="A5375">
            <v>45657</v>
          </cell>
          <cell r="B5375" t="str">
            <v>Củ Cải Trắng</v>
          </cell>
          <cell r="C5375" t="str">
            <v>Kg</v>
          </cell>
          <cell r="D5375">
            <v>7000</v>
          </cell>
        </row>
        <row r="5376">
          <cell r="A5376">
            <v>45657</v>
          </cell>
          <cell r="B5376" t="str">
            <v>Trái Su Su</v>
          </cell>
          <cell r="C5376" t="str">
            <v>Kg</v>
          </cell>
          <cell r="D5376">
            <v>16000</v>
          </cell>
        </row>
        <row r="5377">
          <cell r="A5377">
            <v>45657</v>
          </cell>
          <cell r="B5377" t="str">
            <v>Củ Khoai Tây Vàng</v>
          </cell>
          <cell r="C5377" t="str">
            <v>Kg</v>
          </cell>
          <cell r="D5377">
            <v>17000</v>
          </cell>
        </row>
        <row r="5378">
          <cell r="A5378">
            <v>45657</v>
          </cell>
          <cell r="B5378" t="str">
            <v>Cải Thảo</v>
          </cell>
          <cell r="C5378" t="str">
            <v>Kg</v>
          </cell>
          <cell r="D5378">
            <v>6500</v>
          </cell>
        </row>
        <row r="5379">
          <cell r="A5379">
            <v>45657</v>
          </cell>
          <cell r="B5379" t="str">
            <v>Cà Tím</v>
          </cell>
          <cell r="C5379" t="str">
            <v>Kg</v>
          </cell>
          <cell r="D5379">
            <v>8000</v>
          </cell>
        </row>
        <row r="5380">
          <cell r="A5380">
            <v>45657</v>
          </cell>
          <cell r="B5380" t="str">
            <v>Trái Su Su</v>
          </cell>
          <cell r="C5380" t="str">
            <v>Kg</v>
          </cell>
          <cell r="D5380">
            <v>7000</v>
          </cell>
        </row>
        <row r="5381">
          <cell r="A5381">
            <v>45657</v>
          </cell>
          <cell r="B5381" t="str">
            <v>Bắp Cải Tím</v>
          </cell>
          <cell r="C5381" t="str">
            <v>Kg</v>
          </cell>
          <cell r="D5381">
            <v>17000</v>
          </cell>
        </row>
        <row r="5382">
          <cell r="A5382">
            <v>45657</v>
          </cell>
          <cell r="B5382" t="str">
            <v>Bắp Cải Trắng</v>
          </cell>
          <cell r="C5382" t="str">
            <v>Kg</v>
          </cell>
          <cell r="D5382">
            <v>6500</v>
          </cell>
        </row>
        <row r="5383">
          <cell r="A5383">
            <v>45657</v>
          </cell>
          <cell r="B5383" t="str">
            <v>Bông Cải Trắng</v>
          </cell>
          <cell r="C5383" t="str">
            <v>Kg</v>
          </cell>
          <cell r="D5383">
            <v>32000</v>
          </cell>
        </row>
        <row r="5384">
          <cell r="A5384">
            <v>45657</v>
          </cell>
          <cell r="B5384" t="str">
            <v>Củ Khoai Lang Nhật</v>
          </cell>
          <cell r="C5384" t="str">
            <v>Kg</v>
          </cell>
          <cell r="D5384">
            <v>17000</v>
          </cell>
        </row>
        <row r="5385">
          <cell r="A5385">
            <v>45657</v>
          </cell>
          <cell r="B5385" t="str">
            <v>Cải Thảo</v>
          </cell>
          <cell r="C5385" t="str">
            <v>Kg</v>
          </cell>
          <cell r="D5385">
            <v>8000</v>
          </cell>
        </row>
        <row r="5386">
          <cell r="A5386">
            <v>45657</v>
          </cell>
          <cell r="B5386" t="str">
            <v>Chanh Dây Tím</v>
          </cell>
          <cell r="C5386" t="str">
            <v>Kg</v>
          </cell>
          <cell r="D5386">
            <v>27000</v>
          </cell>
        </row>
        <row r="5387">
          <cell r="A5387">
            <v>45657</v>
          </cell>
          <cell r="B5387" t="str">
            <v>Xà Lách Thủy Tinh T.C Cây</v>
          </cell>
          <cell r="C5387" t="str">
            <v>Cây</v>
          </cell>
          <cell r="D5387">
            <v>6700</v>
          </cell>
        </row>
        <row r="5388">
          <cell r="A5388">
            <v>45657</v>
          </cell>
          <cell r="B5388" t="str">
            <v>Cà Chua Thường</v>
          </cell>
          <cell r="C5388" t="str">
            <v>Kg</v>
          </cell>
          <cell r="D5388">
            <v>19000</v>
          </cell>
        </row>
        <row r="5389">
          <cell r="A5389">
            <v>45657</v>
          </cell>
          <cell r="B5389" t="str">
            <v>Dưa Leo Baby</v>
          </cell>
          <cell r="C5389" t="str">
            <v>Vỉ</v>
          </cell>
          <cell r="D5389">
            <v>6000</v>
          </cell>
        </row>
        <row r="5390">
          <cell r="A5390">
            <v>45657</v>
          </cell>
          <cell r="B5390" t="str">
            <v>Dưa Leo Baby</v>
          </cell>
          <cell r="C5390" t="str">
            <v>Vỉ</v>
          </cell>
          <cell r="D5390">
            <v>5500</v>
          </cell>
        </row>
        <row r="5391">
          <cell r="A5391">
            <v>45657</v>
          </cell>
          <cell r="B5391" t="str">
            <v>Cải Thảo</v>
          </cell>
          <cell r="C5391" t="str">
            <v>Kg</v>
          </cell>
          <cell r="D5391">
            <v>8000</v>
          </cell>
        </row>
        <row r="5392">
          <cell r="A5392">
            <v>45657</v>
          </cell>
          <cell r="B5392" t="str">
            <v>Bắp Cải Trái Tim</v>
          </cell>
          <cell r="C5392" t="str">
            <v>Kg</v>
          </cell>
          <cell r="D5392">
            <v>7500</v>
          </cell>
        </row>
        <row r="5393">
          <cell r="A5393">
            <v>45657</v>
          </cell>
          <cell r="B5393" t="str">
            <v>Xà Lách Thủy Tinh T.C Cây</v>
          </cell>
          <cell r="C5393" t="str">
            <v>Cây</v>
          </cell>
          <cell r="D5393">
            <v>7000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9" totalsRowShown="0" headerRowDxfId="8" headerRowBorderDxfId="7" tableBorderDxfId="6" totalsRowBorderDxfId="5">
  <autoFilter ref="A1:E29" xr:uid="{00000000-0009-0000-0100-000001000000}"/>
  <sortState xmlns:xlrd2="http://schemas.microsoft.com/office/spreadsheetml/2017/richdata2" ref="A2:E29">
    <sortCondition ref="A1:A29"/>
  </sortState>
  <tableColumns count="5">
    <tableColumn id="1" xr3:uid="{00000000-0010-0000-0000-000001000000}" name="Sản phẩm" dataDxfId="4"/>
    <tableColumn id="2" xr3:uid="{00000000-0010-0000-0000-000002000000}" name="Đơn vị" dataDxfId="3"/>
    <tableColumn id="3" xr3:uid="{00000000-0010-0000-0000-000003000000}" name="Đơn vị chính" dataDxfId="2"/>
    <tableColumn id="4" xr3:uid="{00000000-0010-0000-0000-000004000000}" name="Tỉ lệ" dataDxfId="1"/>
    <tableColumn id="5" xr3:uid="{00000000-0010-0000-0000-000005000000}" name="Ghi chú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5" max="6" width="8.77734375" bestFit="1" customWidth="1"/>
    <col min="7" max="7" width="10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45657</v>
      </c>
      <c r="H1" s="91">
        <f>SUM(H3:H50)</f>
        <v>49998500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f>$D$1</f>
        <v>45657</v>
      </c>
      <c r="B3" t="s">
        <v>72</v>
      </c>
      <c r="C3" t="s">
        <v>1</v>
      </c>
      <c r="D3">
        <v>20</v>
      </c>
      <c r="E3" s="92">
        <f>LOOKUP(1,1/('[1]PURCHASE PRICE'!$B:$B=B3)/('[1]PURCHASE PRICE'!$A:$A=A3)/('[1]PURCHASE PRICE'!$C:$C=C3),'[1]PURCHASE PRICE'!$D:$D)</f>
        <v>7000</v>
      </c>
      <c r="F3" s="92">
        <f>LOOKUP(1,1/('[1]PURCHASE PRICE'!$B:$B=B3)/('[1]PURCHASE PRICE'!$A:$A=A3),'[1]PURCHASE PRICE'!$D:$D)</f>
        <v>7000</v>
      </c>
      <c r="G3" s="92">
        <f>F3</f>
        <v>7000</v>
      </c>
      <c r="H3" s="13">
        <f>G3*D3</f>
        <v>140000</v>
      </c>
    </row>
    <row r="4" spans="1:8" x14ac:dyDescent="0.3">
      <c r="A4" s="90">
        <f t="shared" ref="A4:A50" si="0">$D$1</f>
        <v>45657</v>
      </c>
      <c r="B4" t="s">
        <v>65</v>
      </c>
      <c r="C4" t="s">
        <v>224</v>
      </c>
      <c r="D4">
        <v>0</v>
      </c>
      <c r="E4" s="92" t="e">
        <f>LOOKUP(1,1/('[1]PURCHASE PRICE'!$B:$B=B4)/('[1]PURCHASE PRICE'!$A:$A=A4)/('[1]PURCHASE PRICE'!$C:$C=C4),'[1]PURCHASE PRICE'!$D:$D)</f>
        <v>#N/A</v>
      </c>
      <c r="F4" s="92">
        <f>LOOKUP(1,1/('[1]PURCHASE PRICE'!$B:$B=B4)/('[1]PURCHASE PRICE'!$A:$A=A4),'[1]PURCHASE PRICE'!$D:$D)</f>
        <v>10000</v>
      </c>
      <c r="G4" s="92">
        <v>0</v>
      </c>
      <c r="H4" s="13">
        <f t="shared" ref="H4:H50" si="1">G4*D4</f>
        <v>0</v>
      </c>
    </row>
    <row r="5" spans="1:8" x14ac:dyDescent="0.3">
      <c r="A5" s="90">
        <f t="shared" si="0"/>
        <v>45657</v>
      </c>
      <c r="B5" t="s">
        <v>2</v>
      </c>
      <c r="C5" t="s">
        <v>1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H5" s="13">
        <f t="shared" si="1"/>
        <v>0</v>
      </c>
    </row>
    <row r="6" spans="1:8" x14ac:dyDescent="0.3">
      <c r="A6" s="90">
        <f t="shared" si="0"/>
        <v>45657</v>
      </c>
      <c r="B6" t="s">
        <v>3</v>
      </c>
      <c r="C6" t="s">
        <v>224</v>
      </c>
      <c r="D6">
        <v>150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10000</v>
      </c>
      <c r="G6" s="92">
        <f>F6*0.3</f>
        <v>3000</v>
      </c>
      <c r="H6" s="13">
        <f t="shared" si="1"/>
        <v>450000</v>
      </c>
    </row>
    <row r="7" spans="1:8" x14ac:dyDescent="0.3">
      <c r="A7" s="90">
        <f t="shared" si="0"/>
        <v>45657</v>
      </c>
      <c r="B7" t="s">
        <v>5</v>
      </c>
      <c r="C7" t="s">
        <v>224</v>
      </c>
      <c r="D7">
        <v>200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19000</v>
      </c>
      <c r="G7" s="92">
        <f>F7*0.3</f>
        <v>5700</v>
      </c>
      <c r="H7" s="13">
        <f t="shared" si="1"/>
        <v>1140000</v>
      </c>
    </row>
    <row r="8" spans="1:8" x14ac:dyDescent="0.3">
      <c r="A8" s="90">
        <f t="shared" si="0"/>
        <v>45657</v>
      </c>
      <c r="B8" t="s">
        <v>68</v>
      </c>
      <c r="C8" t="s">
        <v>1</v>
      </c>
      <c r="D8">
        <v>28</v>
      </c>
      <c r="E8" s="92">
        <f>LOOKUP(1,1/('[1]PURCHASE PRICE'!$B:$B=B8)/('[1]PURCHASE PRICE'!$A:$A=A8)/('[1]PURCHASE PRICE'!$C:$C=C8),'[1]PURCHASE PRICE'!$D:$D)</f>
        <v>33000</v>
      </c>
      <c r="F8" s="92">
        <f>LOOKUP(1,1/('[1]PURCHASE PRICE'!$B:$B=B8)/('[1]PURCHASE PRICE'!$A:$A=A8),'[1]PURCHASE PRICE'!$D:$D)</f>
        <v>33000</v>
      </c>
      <c r="G8" s="92">
        <f>F8</f>
        <v>33000</v>
      </c>
      <c r="H8" s="13">
        <f t="shared" si="1"/>
        <v>924000</v>
      </c>
    </row>
    <row r="9" spans="1:8" x14ac:dyDescent="0.3">
      <c r="A9" s="90">
        <f t="shared" si="0"/>
        <v>45657</v>
      </c>
      <c r="B9" t="s">
        <v>8</v>
      </c>
      <c r="C9" t="s">
        <v>11</v>
      </c>
      <c r="D9">
        <v>39</v>
      </c>
      <c r="E9" s="92">
        <f>LOOKUP(1,1/('[1]PURCHASE PRICE'!$B:$B=B9)/('[1]PURCHASE PRICE'!$A:$A=A9)/('[1]PURCHASE PRICE'!$C:$C=C9),'[1]PURCHASE PRICE'!$D:$D)</f>
        <v>8000</v>
      </c>
      <c r="F9" s="92">
        <f>LOOKUP(1,1/('[1]PURCHASE PRICE'!$B:$B=B9)/('[1]PURCHASE PRICE'!$A:$A=A9),'[1]PURCHASE PRICE'!$D:$D)</f>
        <v>8000</v>
      </c>
      <c r="G9" s="92">
        <f t="shared" ref="G9:G13" si="2">F9</f>
        <v>8000</v>
      </c>
      <c r="H9" s="13">
        <f t="shared" si="1"/>
        <v>312000</v>
      </c>
    </row>
    <row r="10" spans="1:8" x14ac:dyDescent="0.3">
      <c r="A10" s="90">
        <f t="shared" si="0"/>
        <v>45657</v>
      </c>
      <c r="B10" t="s">
        <v>9</v>
      </c>
      <c r="C10" t="s">
        <v>1</v>
      </c>
      <c r="D10">
        <v>120</v>
      </c>
      <c r="E10" s="92">
        <f>LOOKUP(1,1/('[1]PURCHASE PRICE'!$B:$B=B10)/('[1]PURCHASE PRICE'!$A:$A=A10)/('[1]PURCHASE PRICE'!$C:$C=C10),'[1]PURCHASE PRICE'!$D:$D)</f>
        <v>15000</v>
      </c>
      <c r="F10" s="92">
        <f>LOOKUP(1,1/('[1]PURCHASE PRICE'!$B:$B=B10)/('[1]PURCHASE PRICE'!$A:$A=A10),'[1]PURCHASE PRICE'!$D:$D)</f>
        <v>15000</v>
      </c>
      <c r="G10" s="92">
        <f t="shared" si="2"/>
        <v>15000</v>
      </c>
      <c r="H10" s="13">
        <f t="shared" si="1"/>
        <v>1800000</v>
      </c>
    </row>
    <row r="11" spans="1:8" x14ac:dyDescent="0.3">
      <c r="A11" s="90">
        <f t="shared" si="0"/>
        <v>45657</v>
      </c>
      <c r="B11" t="s">
        <v>10</v>
      </c>
      <c r="C11" t="s">
        <v>12</v>
      </c>
      <c r="D11">
        <v>185</v>
      </c>
      <c r="E11" s="92">
        <f>LOOKUP(1,1/('[1]PURCHASE PRICE'!$B:$B=B11)/('[1]PURCHASE PRICE'!$A:$A=A11)/('[1]PURCHASE PRICE'!$C:$C=C11),'[1]PURCHASE PRICE'!$D:$D)</f>
        <v>7500</v>
      </c>
      <c r="F11" s="92">
        <f>LOOKUP(1,1/('[1]PURCHASE PRICE'!$B:$B=B11)/('[1]PURCHASE PRICE'!$A:$A=A11),'[1]PURCHASE PRICE'!$D:$D)</f>
        <v>7500</v>
      </c>
      <c r="G11" s="92">
        <f t="shared" si="2"/>
        <v>7500</v>
      </c>
      <c r="H11" s="13">
        <f t="shared" si="1"/>
        <v>1387500</v>
      </c>
    </row>
    <row r="12" spans="1:8" x14ac:dyDescent="0.3">
      <c r="A12" s="90">
        <f t="shared" si="0"/>
        <v>45657</v>
      </c>
      <c r="B12" t="s">
        <v>13</v>
      </c>
      <c r="C12" t="s">
        <v>14</v>
      </c>
      <c r="D12">
        <v>45</v>
      </c>
      <c r="E12" s="92">
        <f>LOOKUP(1,1/('[1]PURCHASE PRICE'!$B:$B=B12)/('[1]PURCHASE PRICE'!$A:$A=A12)/('[1]PURCHASE PRICE'!$C:$C=C12),'[1]PURCHASE PRICE'!$D:$D)</f>
        <v>7200</v>
      </c>
      <c r="F12" s="92">
        <f>LOOKUP(1,1/('[1]PURCHASE PRICE'!$B:$B=B12)/('[1]PURCHASE PRICE'!$A:$A=A12),'[1]PURCHASE PRICE'!$D:$D)</f>
        <v>20000</v>
      </c>
      <c r="G12" s="92">
        <f>E12</f>
        <v>7200</v>
      </c>
      <c r="H12" s="13">
        <f t="shared" si="1"/>
        <v>324000</v>
      </c>
    </row>
    <row r="13" spans="1:8" x14ac:dyDescent="0.3">
      <c r="A13" s="90">
        <f t="shared" si="0"/>
        <v>45657</v>
      </c>
      <c r="B13" t="s">
        <v>15</v>
      </c>
      <c r="C13" t="s">
        <v>16</v>
      </c>
      <c r="D13">
        <v>50</v>
      </c>
      <c r="E13" s="92">
        <f>LOOKUP(1,1/('[1]PURCHASE PRICE'!$B:$B=B13)/('[1]PURCHASE PRICE'!$A:$A=A13)/('[1]PURCHASE PRICE'!$C:$C=C13),'[1]PURCHASE PRICE'!$D:$D)</f>
        <v>12000</v>
      </c>
      <c r="F13" s="92">
        <f>LOOKUP(1,1/('[1]PURCHASE PRICE'!$B:$B=B13)/('[1]PURCHASE PRICE'!$A:$A=A13),'[1]PURCHASE PRICE'!$D:$D)</f>
        <v>12000</v>
      </c>
      <c r="G13" s="92">
        <f t="shared" si="2"/>
        <v>12000</v>
      </c>
      <c r="H13" s="13">
        <f t="shared" si="1"/>
        <v>600000</v>
      </c>
    </row>
    <row r="14" spans="1:8" x14ac:dyDescent="0.3">
      <c r="A14" s="90">
        <f t="shared" si="0"/>
        <v>45657</v>
      </c>
      <c r="B14" t="s">
        <v>17</v>
      </c>
      <c r="C14" t="s">
        <v>14</v>
      </c>
      <c r="D14">
        <v>150</v>
      </c>
      <c r="E14" s="92">
        <f>LOOKUP(1,1/('[1]PURCHASE PRICE'!$B:$B=B14)/('[1]PURCHASE PRICE'!$A:$A=A14)/('[1]PURCHASE PRICE'!$C:$C=C14),'[1]PURCHASE PRICE'!$D:$D)</f>
        <v>11400</v>
      </c>
      <c r="F14" s="92">
        <f>LOOKUP(1,1/('[1]PURCHASE PRICE'!$B:$B=B14)/('[1]PURCHASE PRICE'!$A:$A=A14),'[1]PURCHASE PRICE'!$D:$D)</f>
        <v>28000</v>
      </c>
      <c r="G14" s="92">
        <f>E14</f>
        <v>11400</v>
      </c>
      <c r="H14" s="13">
        <f t="shared" si="1"/>
        <v>1710000</v>
      </c>
    </row>
    <row r="15" spans="1:8" x14ac:dyDescent="0.3">
      <c r="A15" s="90">
        <f t="shared" si="0"/>
        <v>45657</v>
      </c>
      <c r="B15" t="s">
        <v>20</v>
      </c>
      <c r="C15" t="s">
        <v>11</v>
      </c>
      <c r="D15">
        <v>50</v>
      </c>
      <c r="E15" s="92">
        <f>LOOKUP(1,1/('[1]PURCHASE PRICE'!$B:$B=B15)/('[1]PURCHASE PRICE'!$A:$A=A15)/('[1]PURCHASE PRICE'!$C:$C=C15),'[1]PURCHASE PRICE'!$D:$D)</f>
        <v>9500</v>
      </c>
      <c r="F15" s="92">
        <f>LOOKUP(1,1/('[1]PURCHASE PRICE'!$B:$B=B15)/('[1]PURCHASE PRICE'!$A:$A=A15),'[1]PURCHASE PRICE'!$D:$D)</f>
        <v>9500</v>
      </c>
      <c r="G15" s="92">
        <f>F15</f>
        <v>9500</v>
      </c>
      <c r="H15" s="13">
        <f t="shared" si="1"/>
        <v>475000</v>
      </c>
    </row>
    <row r="16" spans="1:8" x14ac:dyDescent="0.3">
      <c r="A16" s="90">
        <f t="shared" si="0"/>
        <v>45657</v>
      </c>
      <c r="B16" t="s">
        <v>63</v>
      </c>
      <c r="C16" t="s">
        <v>1</v>
      </c>
      <c r="D16">
        <v>40</v>
      </c>
      <c r="E16" s="92">
        <f>LOOKUP(1,1/('[1]PURCHASE PRICE'!$B:$B=B16)/('[1]PURCHASE PRICE'!$A:$A=A16)/('[1]PURCHASE PRICE'!$C:$C=C16),'[1]PURCHASE PRICE'!$D:$D)</f>
        <v>28000</v>
      </c>
      <c r="F16" s="92">
        <f>LOOKUP(1,1/('[1]PURCHASE PRICE'!$B:$B=B16)/('[1]PURCHASE PRICE'!$A:$A=A16),'[1]PURCHASE PRICE'!$D:$D)</f>
        <v>28000</v>
      </c>
      <c r="G16" s="92">
        <f t="shared" ref="G16:G23" si="3">F16</f>
        <v>28000</v>
      </c>
      <c r="H16" s="13">
        <f t="shared" si="1"/>
        <v>1120000</v>
      </c>
    </row>
    <row r="17" spans="1:8" x14ac:dyDescent="0.3">
      <c r="A17" s="90">
        <f t="shared" si="0"/>
        <v>45657</v>
      </c>
      <c r="B17" t="s">
        <v>21</v>
      </c>
      <c r="C17" t="s">
        <v>23</v>
      </c>
      <c r="D17">
        <v>20</v>
      </c>
      <c r="E17" s="92">
        <f>LOOKUP(1,1/('[1]PURCHASE PRICE'!$B:$B=B17)/('[1]PURCHASE PRICE'!$A:$A=A17)/('[1]PURCHASE PRICE'!$C:$C=C17),'[1]PURCHASE PRICE'!$D:$D)</f>
        <v>2150</v>
      </c>
      <c r="F17" s="92">
        <f>LOOKUP(1,1/('[1]PURCHASE PRICE'!$B:$B=B17)/('[1]PURCHASE PRICE'!$A:$A=A17),'[1]PURCHASE PRICE'!$D:$D)</f>
        <v>2150</v>
      </c>
      <c r="G17" s="92">
        <f t="shared" si="3"/>
        <v>2150</v>
      </c>
      <c r="H17" s="13">
        <f t="shared" si="1"/>
        <v>43000</v>
      </c>
    </row>
    <row r="18" spans="1:8" x14ac:dyDescent="0.3">
      <c r="A18" s="90">
        <f t="shared" si="0"/>
        <v>45657</v>
      </c>
      <c r="B18" t="s">
        <v>24</v>
      </c>
      <c r="C18" t="s">
        <v>1</v>
      </c>
      <c r="D18">
        <v>80</v>
      </c>
      <c r="E18" s="92">
        <f>LOOKUP(1,1/('[1]PURCHASE PRICE'!$B:$B=B18)/('[1]PURCHASE PRICE'!$A:$A=A18)/('[1]PURCHASE PRICE'!$C:$C=C18),'[1]PURCHASE PRICE'!$D:$D)</f>
        <v>12000</v>
      </c>
      <c r="F18" s="92">
        <f>LOOKUP(1,1/('[1]PURCHASE PRICE'!$B:$B=B18)/('[1]PURCHASE PRICE'!$A:$A=A18),'[1]PURCHASE PRICE'!$D:$D)</f>
        <v>12000</v>
      </c>
      <c r="G18" s="92">
        <f t="shared" si="3"/>
        <v>12000</v>
      </c>
      <c r="H18" s="13">
        <f t="shared" si="1"/>
        <v>960000</v>
      </c>
    </row>
    <row r="19" spans="1:8" x14ac:dyDescent="0.3">
      <c r="A19" s="90">
        <f t="shared" si="0"/>
        <v>45657</v>
      </c>
      <c r="B19" t="s">
        <v>24</v>
      </c>
      <c r="C19" t="s">
        <v>25</v>
      </c>
      <c r="D19">
        <v>120</v>
      </c>
      <c r="E19" s="92">
        <f>LOOKUP(1,1/('[1]PURCHASE PRICE'!$B:$B=B19)/('[1]PURCHASE PRICE'!$A:$A=A19)/('[1]PURCHASE PRICE'!$C:$C=C19),'[1]PURCHASE PRICE'!$D:$D)</f>
        <v>12000</v>
      </c>
      <c r="F19" s="92">
        <f>LOOKUP(1,1/('[1]PURCHASE PRICE'!$B:$B=B19)/('[1]PURCHASE PRICE'!$A:$A=A19),'[1]PURCHASE PRICE'!$D:$D)</f>
        <v>12000</v>
      </c>
      <c r="G19" s="92">
        <f t="shared" si="3"/>
        <v>12000</v>
      </c>
      <c r="H19" s="13">
        <f t="shared" si="1"/>
        <v>1440000</v>
      </c>
    </row>
    <row r="20" spans="1:8" x14ac:dyDescent="0.3">
      <c r="A20" s="90">
        <f t="shared" si="0"/>
        <v>45657</v>
      </c>
      <c r="B20" t="s">
        <v>26</v>
      </c>
      <c r="C20" t="s">
        <v>11</v>
      </c>
      <c r="D20">
        <v>26</v>
      </c>
      <c r="E20" s="92">
        <f>LOOKUP(1,1/('[1]PURCHASE PRICE'!$B:$B=B20)/('[1]PURCHASE PRICE'!$A:$A=A20)/('[1]PURCHASE PRICE'!$C:$C=C20),'[1]PURCHASE PRICE'!$D:$D)</f>
        <v>6750</v>
      </c>
      <c r="F20" s="92">
        <f>LOOKUP(1,1/('[1]PURCHASE PRICE'!$B:$B=B20)/('[1]PURCHASE PRICE'!$A:$A=A20),'[1]PURCHASE PRICE'!$D:$D)</f>
        <v>6750</v>
      </c>
      <c r="G20" s="92">
        <f t="shared" si="3"/>
        <v>6750</v>
      </c>
      <c r="H20" s="13">
        <f t="shared" si="1"/>
        <v>175500</v>
      </c>
    </row>
    <row r="21" spans="1:8" x14ac:dyDescent="0.3">
      <c r="A21" s="90">
        <f t="shared" si="0"/>
        <v>45657</v>
      </c>
      <c r="B21" t="s">
        <v>27</v>
      </c>
      <c r="C21" t="s">
        <v>16</v>
      </c>
      <c r="D21">
        <v>33</v>
      </c>
      <c r="E21" s="92">
        <f>LOOKUP(1,1/('[1]PURCHASE PRICE'!$B:$B=B21)/('[1]PURCHASE PRICE'!$A:$A=A21)/('[1]PURCHASE PRICE'!$C:$C=C21),'[1]PURCHASE PRICE'!$D:$D)</f>
        <v>10500</v>
      </c>
      <c r="F21" s="92">
        <f>LOOKUP(1,1/('[1]PURCHASE PRICE'!$B:$B=B21)/('[1]PURCHASE PRICE'!$A:$A=A21),'[1]PURCHASE PRICE'!$D:$D)</f>
        <v>10500</v>
      </c>
      <c r="G21" s="92">
        <f t="shared" si="3"/>
        <v>10500</v>
      </c>
      <c r="H21" s="13">
        <f t="shared" si="1"/>
        <v>346500</v>
      </c>
    </row>
    <row r="22" spans="1:8" x14ac:dyDescent="0.3">
      <c r="A22" s="90">
        <f t="shared" si="0"/>
        <v>45657</v>
      </c>
      <c r="B22" t="s">
        <v>29</v>
      </c>
      <c r="C22" t="s">
        <v>1</v>
      </c>
      <c r="D22">
        <v>55</v>
      </c>
      <c r="E22" s="92">
        <f>LOOKUP(1,1/('[1]PURCHASE PRICE'!$B:$B=B22)/('[1]PURCHASE PRICE'!$A:$A=A22)/('[1]PURCHASE PRICE'!$C:$C=C22),'[1]PURCHASE PRICE'!$D:$D)</f>
        <v>14000</v>
      </c>
      <c r="F22" s="92">
        <f>LOOKUP(1,1/('[1]PURCHASE PRICE'!$B:$B=B22)/('[1]PURCHASE PRICE'!$A:$A=A22),'[1]PURCHASE PRICE'!$D:$D)</f>
        <v>14000</v>
      </c>
      <c r="G22" s="92">
        <f t="shared" si="3"/>
        <v>14000</v>
      </c>
      <c r="H22" s="13">
        <f t="shared" si="1"/>
        <v>770000</v>
      </c>
    </row>
    <row r="23" spans="1:8" x14ac:dyDescent="0.3">
      <c r="A23" s="90">
        <f t="shared" si="0"/>
        <v>45657</v>
      </c>
      <c r="B23" t="s">
        <v>77</v>
      </c>
      <c r="C23" t="s">
        <v>1</v>
      </c>
      <c r="D23">
        <v>20</v>
      </c>
      <c r="E23" s="92">
        <f>LOOKUP(1,1/('[1]PURCHASE PRICE'!$B:$B=B23)/('[1]PURCHASE PRICE'!$A:$A=A23)/('[1]PURCHASE PRICE'!$C:$C=C23),'[1]PURCHASE PRICE'!$D:$D)</f>
        <v>20000</v>
      </c>
      <c r="F23" s="92">
        <f>LOOKUP(1,1/('[1]PURCHASE PRICE'!$B:$B=B23)/('[1]PURCHASE PRICE'!$A:$A=A23),'[1]PURCHASE PRICE'!$D:$D)</f>
        <v>20000</v>
      </c>
      <c r="G23" s="92">
        <f t="shared" si="3"/>
        <v>20000</v>
      </c>
      <c r="H23" s="13">
        <f t="shared" si="1"/>
        <v>400000</v>
      </c>
    </row>
    <row r="24" spans="1:8" x14ac:dyDescent="0.3">
      <c r="A24" s="90">
        <f t="shared" si="0"/>
        <v>45657</v>
      </c>
      <c r="B24" t="s">
        <v>30</v>
      </c>
      <c r="C24" t="s">
        <v>1</v>
      </c>
      <c r="D24">
        <v>200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G24" s="92">
        <v>30000</v>
      </c>
      <c r="H24" s="13">
        <f t="shared" si="1"/>
        <v>6000000</v>
      </c>
    </row>
    <row r="25" spans="1:8" x14ac:dyDescent="0.3">
      <c r="A25" s="90">
        <f t="shared" si="0"/>
        <v>45657</v>
      </c>
      <c r="B25" t="s">
        <v>34</v>
      </c>
      <c r="C25" t="s">
        <v>36</v>
      </c>
      <c r="D25">
        <v>20</v>
      </c>
      <c r="E25" s="92">
        <f>LOOKUP(1,1/('[1]PURCHASE PRICE'!$B:$B=B25)/('[1]PURCHASE PRICE'!$A:$A=A25)/('[1]PURCHASE PRICE'!$C:$C=C25),'[1]PURCHASE PRICE'!$D:$D)</f>
        <v>6500</v>
      </c>
      <c r="F25" s="92">
        <f>LOOKUP(1,1/('[1]PURCHASE PRICE'!$B:$B=B25)/('[1]PURCHASE PRICE'!$A:$A=A25),'[1]PURCHASE PRICE'!$D:$D)</f>
        <v>6500</v>
      </c>
      <c r="G25" s="92">
        <f>F25</f>
        <v>6500</v>
      </c>
      <c r="H25" s="13">
        <f t="shared" si="1"/>
        <v>130000</v>
      </c>
    </row>
    <row r="26" spans="1:8" x14ac:dyDescent="0.3">
      <c r="A26" s="90">
        <f t="shared" si="0"/>
        <v>45657</v>
      </c>
      <c r="B26" t="s">
        <v>37</v>
      </c>
      <c r="C26" t="s">
        <v>11</v>
      </c>
      <c r="D26">
        <v>1010</v>
      </c>
      <c r="E26" s="92">
        <f>LOOKUP(1,1/('[1]PURCHASE PRICE'!$B:$B=B26)/('[1]PURCHASE PRICE'!$A:$A=A26)/('[1]PURCHASE PRICE'!$C:$C=C26),'[1]PURCHASE PRICE'!$D:$D)</f>
        <v>5000</v>
      </c>
      <c r="F26" s="92">
        <f>LOOKUP(1,1/('[1]PURCHASE PRICE'!$B:$B=B26)/('[1]PURCHASE PRICE'!$A:$A=A26),'[1]PURCHASE PRICE'!$D:$D)</f>
        <v>9500</v>
      </c>
      <c r="G26" s="92">
        <f>E26</f>
        <v>5000</v>
      </c>
      <c r="H26" s="13">
        <f t="shared" si="1"/>
        <v>5050000</v>
      </c>
    </row>
    <row r="27" spans="1:8" x14ac:dyDescent="0.3">
      <c r="A27" s="90">
        <f t="shared" si="0"/>
        <v>45657</v>
      </c>
      <c r="B27" t="s">
        <v>38</v>
      </c>
      <c r="C27" t="s">
        <v>234</v>
      </c>
      <c r="D27">
        <v>60</v>
      </c>
      <c r="E27" s="92" t="e">
        <f>LOOKUP(1,1/('[1]PURCHASE PRICE'!$B:$B=B27)/('[1]PURCHASE PRICE'!$A:$A=A27)/('[1]PURCHASE PRICE'!$C:$C=C27),'[1]PURCHASE PRICE'!$D:$D)</f>
        <v>#N/A</v>
      </c>
      <c r="F27" s="92">
        <f>LOOKUP(1,1/('[1]PURCHASE PRICE'!$B:$B=B27)/('[1]PURCHASE PRICE'!$A:$A=A27),'[1]PURCHASE PRICE'!$D:$D)</f>
        <v>10000</v>
      </c>
      <c r="G27" s="92">
        <f>F27*0.6</f>
        <v>6000</v>
      </c>
      <c r="H27" s="13">
        <f t="shared" si="1"/>
        <v>360000</v>
      </c>
    </row>
    <row r="28" spans="1:8" x14ac:dyDescent="0.3">
      <c r="A28" s="90">
        <f t="shared" si="0"/>
        <v>45657</v>
      </c>
      <c r="B28" t="s">
        <v>39</v>
      </c>
      <c r="C28" t="s">
        <v>1</v>
      </c>
      <c r="D28">
        <v>85</v>
      </c>
      <c r="E28" s="92">
        <f>LOOKUP(1,1/('[1]PURCHASE PRICE'!$B:$B=B28)/('[1]PURCHASE PRICE'!$A:$A=A28)/('[1]PURCHASE PRICE'!$C:$C=C28),'[1]PURCHASE PRICE'!$D:$D)</f>
        <v>8000</v>
      </c>
      <c r="F28" s="92">
        <f>LOOKUP(1,1/('[1]PURCHASE PRICE'!$B:$B=B28)/('[1]PURCHASE PRICE'!$A:$A=A28),'[1]PURCHASE PRICE'!$D:$D)</f>
        <v>8000</v>
      </c>
      <c r="G28" s="92">
        <f>F28</f>
        <v>8000</v>
      </c>
      <c r="H28" s="13">
        <f t="shared" si="1"/>
        <v>680000</v>
      </c>
    </row>
    <row r="29" spans="1:8" x14ac:dyDescent="0.3">
      <c r="A29" s="90">
        <f t="shared" si="0"/>
        <v>45657</v>
      </c>
      <c r="B29" t="s">
        <v>40</v>
      </c>
      <c r="C29" t="s">
        <v>25</v>
      </c>
      <c r="D29">
        <v>40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17000</v>
      </c>
      <c r="G29" s="92">
        <f>F29*0.15</f>
        <v>2550</v>
      </c>
      <c r="H29" s="13">
        <f t="shared" si="1"/>
        <v>102000</v>
      </c>
    </row>
    <row r="30" spans="1:8" x14ac:dyDescent="0.3">
      <c r="A30" s="90">
        <f t="shared" si="0"/>
        <v>45657</v>
      </c>
      <c r="B30" t="s">
        <v>41</v>
      </c>
      <c r="C30" t="s">
        <v>16</v>
      </c>
      <c r="D30">
        <v>40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200000</v>
      </c>
      <c r="G30" s="92">
        <v>100000</v>
      </c>
      <c r="H30" s="13">
        <f t="shared" si="1"/>
        <v>4000000</v>
      </c>
    </row>
    <row r="31" spans="1:8" x14ac:dyDescent="0.3">
      <c r="A31" s="90">
        <f t="shared" si="0"/>
        <v>45657</v>
      </c>
      <c r="B31" t="s">
        <v>43</v>
      </c>
      <c r="C31" t="s">
        <v>1</v>
      </c>
      <c r="D31">
        <v>0.2</v>
      </c>
      <c r="E31" s="92">
        <f>LOOKUP(1,1/('[1]PURCHASE PRICE'!$B:$B=B31)/('[1]PURCHASE PRICE'!$A:$A=A31)/('[1]PURCHASE PRICE'!$C:$C=C31),'[1]PURCHASE PRICE'!$D:$D)</f>
        <v>110000</v>
      </c>
      <c r="F31" s="92">
        <f>LOOKUP(1,1/('[1]PURCHASE PRICE'!$B:$B=B31)/('[1]PURCHASE PRICE'!$A:$A=A31),'[1]PURCHASE PRICE'!$D:$D)</f>
        <v>110000</v>
      </c>
      <c r="G31" s="92">
        <f>F31</f>
        <v>110000</v>
      </c>
      <c r="H31" s="13">
        <f t="shared" si="1"/>
        <v>22000</v>
      </c>
    </row>
    <row r="32" spans="1:8" x14ac:dyDescent="0.3">
      <c r="A32" s="90">
        <f t="shared" si="0"/>
        <v>45657</v>
      </c>
      <c r="B32" t="s">
        <v>45</v>
      </c>
      <c r="C32" t="s">
        <v>22</v>
      </c>
      <c r="D32">
        <v>1030</v>
      </c>
      <c r="E32" s="92">
        <f>LOOKUP(1,1/('[1]PURCHASE PRICE'!$B:$B=B32)/('[1]PURCHASE PRICE'!$A:$A=A32)/('[1]PURCHASE PRICE'!$C:$C=C32),'[1]PURCHASE PRICE'!$D:$D)</f>
        <v>3000</v>
      </c>
      <c r="F32" s="92">
        <f>LOOKUP(1,1/('[1]PURCHASE PRICE'!$B:$B=B32)/('[1]PURCHASE PRICE'!$A:$A=A32),'[1]PURCHASE PRICE'!$D:$D)</f>
        <v>3000</v>
      </c>
      <c r="G32" s="92">
        <f t="shared" ref="G32:G36" si="4">F32</f>
        <v>3000</v>
      </c>
      <c r="H32" s="13">
        <f t="shared" si="1"/>
        <v>3090000</v>
      </c>
    </row>
    <row r="33" spans="1:8" x14ac:dyDescent="0.3">
      <c r="A33" s="90">
        <f t="shared" si="0"/>
        <v>45657</v>
      </c>
      <c r="B33" t="s">
        <v>141</v>
      </c>
      <c r="C33" t="s">
        <v>1</v>
      </c>
      <c r="D33">
        <v>10</v>
      </c>
      <c r="E33" s="92">
        <f>LOOKUP(1,1/('[1]PURCHASE PRICE'!$B:$B=B33)/('[1]PURCHASE PRICE'!$A:$A=A33)/('[1]PURCHASE PRICE'!$C:$C=C33),'[1]PURCHASE PRICE'!$D:$D)</f>
        <v>14000</v>
      </c>
      <c r="F33" s="92">
        <f>LOOKUP(1,1/('[1]PURCHASE PRICE'!$B:$B=B33)/('[1]PURCHASE PRICE'!$A:$A=A33),'[1]PURCHASE PRICE'!$D:$D)</f>
        <v>14000</v>
      </c>
      <c r="G33" s="92">
        <f t="shared" si="4"/>
        <v>14000</v>
      </c>
      <c r="H33" s="13">
        <f t="shared" si="1"/>
        <v>140000</v>
      </c>
    </row>
    <row r="34" spans="1:8" x14ac:dyDescent="0.3">
      <c r="A34" s="90">
        <f t="shared" si="0"/>
        <v>45657</v>
      </c>
      <c r="B34" t="s">
        <v>78</v>
      </c>
      <c r="C34" t="s">
        <v>1</v>
      </c>
      <c r="D34">
        <v>0.2</v>
      </c>
      <c r="E34" s="92">
        <f>LOOKUP(1,1/('[1]PURCHASE PRICE'!$B:$B=B34)/('[1]PURCHASE PRICE'!$A:$A=A34)/('[1]PURCHASE PRICE'!$C:$C=C34),'[1]PURCHASE PRICE'!$D:$D)</f>
        <v>110000</v>
      </c>
      <c r="F34" s="92">
        <f>LOOKUP(1,1/('[1]PURCHASE PRICE'!$B:$B=B34)/('[1]PURCHASE PRICE'!$A:$A=A34),'[1]PURCHASE PRICE'!$D:$D)</f>
        <v>110000</v>
      </c>
      <c r="G34" s="92">
        <f t="shared" si="4"/>
        <v>110000</v>
      </c>
      <c r="H34" s="13">
        <f t="shared" si="1"/>
        <v>22000</v>
      </c>
    </row>
    <row r="35" spans="1:8" x14ac:dyDescent="0.3">
      <c r="A35" s="90">
        <f t="shared" si="0"/>
        <v>45657</v>
      </c>
      <c r="B35" t="s">
        <v>46</v>
      </c>
      <c r="C35" t="s">
        <v>1</v>
      </c>
      <c r="D35">
        <v>20</v>
      </c>
      <c r="E35" s="92">
        <f>LOOKUP(1,1/('[1]PURCHASE PRICE'!$B:$B=B35)/('[1]PURCHASE PRICE'!$A:$A=A35)/('[1]PURCHASE PRICE'!$C:$C=C35),'[1]PURCHASE PRICE'!$D:$D)</f>
        <v>48000</v>
      </c>
      <c r="F35" s="92">
        <f>LOOKUP(1,1/('[1]PURCHASE PRICE'!$B:$B=B35)/('[1]PURCHASE PRICE'!$A:$A=A35),'[1]PURCHASE PRICE'!$D:$D)</f>
        <v>48000</v>
      </c>
      <c r="G35" s="92">
        <f t="shared" si="4"/>
        <v>48000</v>
      </c>
      <c r="H35" s="13">
        <f t="shared" si="1"/>
        <v>960000</v>
      </c>
    </row>
    <row r="36" spans="1:8" x14ac:dyDescent="0.3">
      <c r="A36" s="90">
        <f t="shared" si="0"/>
        <v>45657</v>
      </c>
      <c r="B36" t="s">
        <v>64</v>
      </c>
      <c r="C36" t="s">
        <v>1</v>
      </c>
      <c r="D36">
        <v>40</v>
      </c>
      <c r="E36" s="92">
        <f>LOOKUP(1,1/('[1]PURCHASE PRICE'!$B:$B=B36)/('[1]PURCHASE PRICE'!$A:$A=A36)/('[1]PURCHASE PRICE'!$C:$C=C36),'[1]PURCHASE PRICE'!$D:$D)</f>
        <v>48000</v>
      </c>
      <c r="F36" s="92">
        <f>LOOKUP(1,1/('[1]PURCHASE PRICE'!$B:$B=B36)/('[1]PURCHASE PRICE'!$A:$A=A36),'[1]PURCHASE PRICE'!$D:$D)</f>
        <v>48000</v>
      </c>
      <c r="G36" s="92">
        <f t="shared" si="4"/>
        <v>48000</v>
      </c>
      <c r="H36" s="13">
        <f t="shared" si="1"/>
        <v>1920000</v>
      </c>
    </row>
    <row r="37" spans="1:8" x14ac:dyDescent="0.3">
      <c r="A37" s="90">
        <f t="shared" si="0"/>
        <v>45657</v>
      </c>
      <c r="B37" t="s">
        <v>47</v>
      </c>
      <c r="C37" t="s">
        <v>224</v>
      </c>
      <c r="D37">
        <v>200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34000</v>
      </c>
      <c r="G37" s="92">
        <f>F37*0.25</f>
        <v>8500</v>
      </c>
      <c r="H37" s="13">
        <f t="shared" si="1"/>
        <v>1700000</v>
      </c>
    </row>
    <row r="38" spans="1:8" x14ac:dyDescent="0.3">
      <c r="A38" s="90">
        <f t="shared" si="0"/>
        <v>45657</v>
      </c>
      <c r="B38" t="s">
        <v>48</v>
      </c>
      <c r="C38" t="s">
        <v>1</v>
      </c>
      <c r="D38">
        <v>15</v>
      </c>
      <c r="E38" s="92">
        <f>LOOKUP(1,1/('[1]PURCHASE PRICE'!$B:$B=B38)/('[1]PURCHASE PRICE'!$A:$A=A38)/('[1]PURCHASE PRICE'!$C:$C=C38),'[1]PURCHASE PRICE'!$D:$D)</f>
        <v>55000</v>
      </c>
      <c r="F38" s="92">
        <f>LOOKUP(1,1/('[1]PURCHASE PRICE'!$B:$B=B38)/('[1]PURCHASE PRICE'!$A:$A=A38),'[1]PURCHASE PRICE'!$D:$D)</f>
        <v>55000</v>
      </c>
      <c r="G38" s="92">
        <f>F38</f>
        <v>55000</v>
      </c>
      <c r="H38" s="13">
        <f t="shared" si="1"/>
        <v>825000</v>
      </c>
    </row>
    <row r="39" spans="1:8" x14ac:dyDescent="0.3">
      <c r="A39" s="90">
        <f t="shared" si="0"/>
        <v>45657</v>
      </c>
      <c r="B39" t="s">
        <v>50</v>
      </c>
      <c r="C39" t="s">
        <v>224</v>
      </c>
      <c r="D39">
        <v>150</v>
      </c>
      <c r="E39" s="92" t="e">
        <f>LOOKUP(1,1/('[1]PURCHASE PRICE'!$B:$B=B39)/('[1]PURCHASE PRICE'!$A:$A=A39)/('[1]PURCHASE PRICE'!$C:$C=C39),'[1]PURCHASE PRICE'!$D:$D)</f>
        <v>#N/A</v>
      </c>
      <c r="F39" s="92">
        <f>LOOKUP(1,1/('[1]PURCHASE PRICE'!$B:$B=B39)/('[1]PURCHASE PRICE'!$A:$A=A39),'[1]PURCHASE PRICE'!$D:$D)</f>
        <v>36000</v>
      </c>
      <c r="G39" s="92">
        <f>F39*0.25</f>
        <v>9000</v>
      </c>
      <c r="H39" s="13">
        <f t="shared" si="1"/>
        <v>1350000</v>
      </c>
    </row>
    <row r="40" spans="1:8" x14ac:dyDescent="0.3">
      <c r="A40" s="90">
        <f t="shared" si="0"/>
        <v>45657</v>
      </c>
      <c r="B40" t="s">
        <v>52</v>
      </c>
      <c r="C40" t="s">
        <v>22</v>
      </c>
      <c r="D40">
        <v>100</v>
      </c>
      <c r="E40" s="92">
        <f>LOOKUP(1,1/('[1]PURCHASE PRICE'!$B:$B=B40)/('[1]PURCHASE PRICE'!$A:$A=A40)/('[1]PURCHASE PRICE'!$C:$C=C40),'[1]PURCHASE PRICE'!$D:$D)</f>
        <v>22000</v>
      </c>
      <c r="F40" s="92">
        <f>LOOKUP(1,1/('[1]PURCHASE PRICE'!$B:$B=B40)/('[1]PURCHASE PRICE'!$A:$A=A40),'[1]PURCHASE PRICE'!$D:$D)</f>
        <v>22000</v>
      </c>
      <c r="G40" s="92">
        <f>F40</f>
        <v>22000</v>
      </c>
      <c r="H40" s="13">
        <f t="shared" si="1"/>
        <v>2200000</v>
      </c>
    </row>
    <row r="41" spans="1:8" x14ac:dyDescent="0.3">
      <c r="A41" s="90">
        <f t="shared" si="0"/>
        <v>45657</v>
      </c>
      <c r="B41" t="s">
        <v>53</v>
      </c>
      <c r="C41" t="s">
        <v>1</v>
      </c>
      <c r="D41">
        <v>8</v>
      </c>
      <c r="E41" s="92">
        <f>LOOKUP(1,1/('[1]PURCHASE PRICE'!$B:$B=B41)/('[1]PURCHASE PRICE'!$A:$A=A41)/('[1]PURCHASE PRICE'!$C:$C=C41),'[1]PURCHASE PRICE'!$D:$D)</f>
        <v>45000</v>
      </c>
      <c r="F41" s="92">
        <f>LOOKUP(1,1/('[1]PURCHASE PRICE'!$B:$B=B41)/('[1]PURCHASE PRICE'!$A:$A=A41),'[1]PURCHASE PRICE'!$D:$D)</f>
        <v>45000</v>
      </c>
      <c r="G41" s="92">
        <f>F41</f>
        <v>45000</v>
      </c>
      <c r="H41" s="13">
        <f t="shared" si="1"/>
        <v>360000</v>
      </c>
    </row>
    <row r="42" spans="1:8" x14ac:dyDescent="0.3">
      <c r="A42" s="90">
        <f t="shared" si="0"/>
        <v>45657</v>
      </c>
      <c r="B42" t="s">
        <v>54</v>
      </c>
      <c r="C42" t="s">
        <v>1</v>
      </c>
      <c r="D42">
        <v>126</v>
      </c>
      <c r="E42" s="92">
        <f>LOOKUP(1,1/('[1]PURCHASE PRICE'!$B:$B=B42)/('[1]PURCHASE PRICE'!$A:$A=A42)/('[1]PURCHASE PRICE'!$C:$C=C42),'[1]PURCHASE PRICE'!$D:$D)</f>
        <v>29000</v>
      </c>
      <c r="F42" s="92">
        <f>LOOKUP(1,1/('[1]PURCHASE PRICE'!$B:$B=B42)/('[1]PURCHASE PRICE'!$A:$A=A42),'[1]PURCHASE PRICE'!$D:$D)</f>
        <v>29000</v>
      </c>
      <c r="G42" s="92">
        <f t="shared" ref="G42:G50" si="5">F42</f>
        <v>29000</v>
      </c>
      <c r="H42" s="13">
        <f t="shared" si="1"/>
        <v>3654000</v>
      </c>
    </row>
    <row r="43" spans="1:8" x14ac:dyDescent="0.3">
      <c r="A43" s="90">
        <f t="shared" si="0"/>
        <v>45657</v>
      </c>
      <c r="B43" t="s">
        <v>55</v>
      </c>
      <c r="C43" t="s">
        <v>25</v>
      </c>
      <c r="D43">
        <v>25</v>
      </c>
      <c r="E43" s="92">
        <f>LOOKUP(1,1/('[1]PURCHASE PRICE'!$B:$B=B43)/('[1]PURCHASE PRICE'!$A:$A=A43)/('[1]PURCHASE PRICE'!$C:$C=C43),'[1]PURCHASE PRICE'!$D:$D)</f>
        <v>6000</v>
      </c>
      <c r="F43" s="92">
        <f>LOOKUP(1,1/('[1]PURCHASE PRICE'!$B:$B=B43)/('[1]PURCHASE PRICE'!$A:$A=A43),'[1]PURCHASE PRICE'!$D:$D)</f>
        <v>6000</v>
      </c>
      <c r="G43" s="92">
        <f t="shared" si="5"/>
        <v>6000</v>
      </c>
      <c r="H43" s="13">
        <f t="shared" si="1"/>
        <v>150000</v>
      </c>
    </row>
    <row r="44" spans="1:8" x14ac:dyDescent="0.3">
      <c r="A44" s="90">
        <f t="shared" si="0"/>
        <v>45657</v>
      </c>
      <c r="B44" t="s">
        <v>229</v>
      </c>
      <c r="C44" t="s">
        <v>1</v>
      </c>
      <c r="D44">
        <v>40</v>
      </c>
      <c r="E44" s="92">
        <f>LOOKUP(1,1/('[1]PURCHASE PRICE'!$B:$B=B44)/('[1]PURCHASE PRICE'!$A:$A=A44)/('[1]PURCHASE PRICE'!$C:$C=C44),'[1]PURCHASE PRICE'!$D:$D)</f>
        <v>28000</v>
      </c>
      <c r="F44" s="92">
        <f>LOOKUP(1,1/('[1]PURCHASE PRICE'!$B:$B=B44)/('[1]PURCHASE PRICE'!$A:$A=A44),'[1]PURCHASE PRICE'!$D:$D)</f>
        <v>28000</v>
      </c>
      <c r="G44" s="92">
        <f t="shared" si="5"/>
        <v>28000</v>
      </c>
      <c r="H44" s="13">
        <f t="shared" si="1"/>
        <v>1120000</v>
      </c>
    </row>
    <row r="45" spans="1:8" x14ac:dyDescent="0.3">
      <c r="A45" s="90">
        <f t="shared" si="0"/>
        <v>45657</v>
      </c>
      <c r="B45" t="s">
        <v>58</v>
      </c>
      <c r="C45" t="s">
        <v>1</v>
      </c>
      <c r="D45">
        <v>40</v>
      </c>
      <c r="E45" s="92">
        <f>LOOKUP(1,1/('[1]PURCHASE PRICE'!$B:$B=B45)/('[1]PURCHASE PRICE'!$A:$A=A45)/('[1]PURCHASE PRICE'!$C:$C=C45),'[1]PURCHASE PRICE'!$D:$D)</f>
        <v>23000</v>
      </c>
      <c r="F45" s="92">
        <f>LOOKUP(1,1/('[1]PURCHASE PRICE'!$B:$B=B45)/('[1]PURCHASE PRICE'!$A:$A=A45),'[1]PURCHASE PRICE'!$D:$D)</f>
        <v>23000</v>
      </c>
      <c r="G45" s="92">
        <f t="shared" si="5"/>
        <v>23000</v>
      </c>
      <c r="H45" s="13">
        <f t="shared" si="1"/>
        <v>920000</v>
      </c>
    </row>
    <row r="46" spans="1:8" x14ac:dyDescent="0.3">
      <c r="A46" s="90">
        <f t="shared" si="0"/>
        <v>45657</v>
      </c>
      <c r="B46" t="s">
        <v>59</v>
      </c>
      <c r="C46" t="s">
        <v>1</v>
      </c>
      <c r="D46">
        <v>1</v>
      </c>
      <c r="E46" s="92">
        <f>LOOKUP(1,1/('[1]PURCHASE PRICE'!$B:$B=B46)/('[1]PURCHASE PRICE'!$A:$A=A46)/('[1]PURCHASE PRICE'!$C:$C=C46),'[1]PURCHASE PRICE'!$D:$D)</f>
        <v>120000</v>
      </c>
      <c r="F46" s="92">
        <f>LOOKUP(1,1/('[1]PURCHASE PRICE'!$B:$B=B46)/('[1]PURCHASE PRICE'!$A:$A=A46),'[1]PURCHASE PRICE'!$D:$D)</f>
        <v>120000</v>
      </c>
      <c r="G46" s="92">
        <f t="shared" si="5"/>
        <v>120000</v>
      </c>
      <c r="H46" s="13">
        <f t="shared" si="1"/>
        <v>120000</v>
      </c>
    </row>
    <row r="47" spans="1:8" x14ac:dyDescent="0.3">
      <c r="A47" s="90">
        <f t="shared" si="0"/>
        <v>45657</v>
      </c>
      <c r="B47" t="s">
        <v>60</v>
      </c>
      <c r="C47" t="s">
        <v>1</v>
      </c>
      <c r="D47">
        <v>7</v>
      </c>
      <c r="E47" s="92">
        <f>LOOKUP(1,1/('[1]PURCHASE PRICE'!$B:$B=B47)/('[1]PURCHASE PRICE'!$A:$A=A47)/('[1]PURCHASE PRICE'!$C:$C=C47),'[1]PURCHASE PRICE'!$D:$D)</f>
        <v>28000</v>
      </c>
      <c r="F47" s="92">
        <f>LOOKUP(1,1/('[1]PURCHASE PRICE'!$B:$B=B47)/('[1]PURCHASE PRICE'!$A:$A=A47),'[1]PURCHASE PRICE'!$D:$D)</f>
        <v>28000</v>
      </c>
      <c r="G47" s="92">
        <f t="shared" si="5"/>
        <v>28000</v>
      </c>
      <c r="H47" s="13">
        <f t="shared" si="1"/>
        <v>196000</v>
      </c>
    </row>
    <row r="48" spans="1:8" x14ac:dyDescent="0.3">
      <c r="A48" s="90">
        <f t="shared" si="0"/>
        <v>45657</v>
      </c>
      <c r="B48" t="s">
        <v>79</v>
      </c>
      <c r="C48" t="s">
        <v>1</v>
      </c>
      <c r="D48">
        <v>20</v>
      </c>
      <c r="E48" s="92">
        <f>LOOKUP(1,1/('[1]PURCHASE PRICE'!$B:$B=B48)/('[1]PURCHASE PRICE'!$A:$A=A48)/('[1]PURCHASE PRICE'!$C:$C=C48),'[1]PURCHASE PRICE'!$D:$D)</f>
        <v>6500</v>
      </c>
      <c r="F48" s="92">
        <f>LOOKUP(1,1/('[1]PURCHASE PRICE'!$B:$B=B48)/('[1]PURCHASE PRICE'!$A:$A=A48),'[1]PURCHASE PRICE'!$D:$D)</f>
        <v>6500</v>
      </c>
      <c r="G48" s="92">
        <f t="shared" si="5"/>
        <v>6500</v>
      </c>
      <c r="H48" s="13">
        <f t="shared" si="1"/>
        <v>130000</v>
      </c>
    </row>
    <row r="49" spans="1:8" x14ac:dyDescent="0.3">
      <c r="A49" s="90">
        <f t="shared" si="0"/>
        <v>45657</v>
      </c>
      <c r="B49" t="s">
        <v>232</v>
      </c>
      <c r="C49" t="s">
        <v>1</v>
      </c>
      <c r="D49">
        <v>10</v>
      </c>
      <c r="E49" s="92">
        <f>LOOKUP(1,1/('[1]PURCHASE PRICE'!$B:$B=B49)/('[1]PURCHASE PRICE'!$A:$A=A49)/('[1]PURCHASE PRICE'!$C:$C=C49),'[1]PURCHASE PRICE'!$D:$D)</f>
        <v>11000</v>
      </c>
      <c r="F49" s="92">
        <f>LOOKUP(1,1/('[1]PURCHASE PRICE'!$B:$B=B49)/('[1]PURCHASE PRICE'!$A:$A=A49),'[1]PURCHASE PRICE'!$D:$D)</f>
        <v>11000</v>
      </c>
      <c r="G49" s="92">
        <f t="shared" si="5"/>
        <v>11000</v>
      </c>
      <c r="H49" s="13">
        <f t="shared" si="1"/>
        <v>110000</v>
      </c>
    </row>
    <row r="50" spans="1:8" x14ac:dyDescent="0.3">
      <c r="A50" s="90">
        <f t="shared" si="0"/>
        <v>45657</v>
      </c>
      <c r="B50" t="s">
        <v>233</v>
      </c>
      <c r="C50" t="s">
        <v>1</v>
      </c>
      <c r="D50">
        <v>10</v>
      </c>
      <c r="E50" s="92">
        <f>LOOKUP(1,1/('[1]PURCHASE PRICE'!$B:$B=B50)/('[1]PURCHASE PRICE'!$A:$A=A50)/('[1]PURCHASE PRICE'!$C:$C=C50),'[1]PURCHASE PRICE'!$D:$D)</f>
        <v>17000</v>
      </c>
      <c r="F50" s="92">
        <f>LOOKUP(1,1/('[1]PURCHASE PRICE'!$B:$B=B50)/('[1]PURCHASE PRICE'!$A:$A=A50),'[1]PURCHASE PRICE'!$D:$D)</f>
        <v>17000</v>
      </c>
      <c r="G50" s="92">
        <f t="shared" si="5"/>
        <v>17000</v>
      </c>
      <c r="H50" s="13">
        <f t="shared" si="1"/>
        <v>170000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>
      <selection activeCell="Q18" sqref="Q18"/>
    </sheetView>
  </sheetViews>
  <sheetFormatPr defaultRowHeight="14.4" x14ac:dyDescent="0.3"/>
  <cols>
    <col min="1" max="1" width="10.5546875" bestFit="1" customWidth="1"/>
    <col min="2" max="2" width="17.5546875" customWidth="1"/>
    <col min="3" max="3" width="9.33203125" bestFit="1" customWidth="1"/>
    <col min="4" max="4" width="10.5546875" bestFit="1" customWidth="1"/>
    <col min="7" max="7" width="10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45656</v>
      </c>
      <c r="H1" s="91">
        <f>SUM(H3:H57)</f>
        <v>48655990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f>$D$1</f>
        <v>45656</v>
      </c>
      <c r="B3" t="s">
        <v>67</v>
      </c>
      <c r="C3" t="s">
        <v>168</v>
      </c>
      <c r="D3">
        <v>20</v>
      </c>
      <c r="E3" s="92">
        <f>LOOKUP(1,1/('[1]PURCHASE PRICE'!$B:$B=B3)/('[1]PURCHASE PRICE'!$A:$A=A3)/('[1]PURCHASE PRICE'!$C:$C=C3),'[1]PURCHASE PRICE'!$D:$D)</f>
        <v>6500</v>
      </c>
      <c r="F3" s="92">
        <f>LOOKUP(1,1/('[1]PURCHASE PRICE'!$B:$B=B3)/('[1]PURCHASE PRICE'!$A:$A=A3),'[1]PURCHASE PRICE'!$D:$D)</f>
        <v>6500</v>
      </c>
      <c r="G3" s="92">
        <f>F3</f>
        <v>6500</v>
      </c>
      <c r="H3" s="13">
        <f>G3*D3</f>
        <v>130000</v>
      </c>
    </row>
    <row r="4" spans="1:8" x14ac:dyDescent="0.3">
      <c r="A4" s="90">
        <f t="shared" ref="A4:A34" si="0">$D$1</f>
        <v>45656</v>
      </c>
      <c r="B4" t="s">
        <v>65</v>
      </c>
      <c r="C4" t="s">
        <v>224</v>
      </c>
      <c r="D4">
        <v>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 s="92">
        <v>0</v>
      </c>
      <c r="H4" s="13">
        <f t="shared" ref="H4:H34" si="1">G4*D4</f>
        <v>0</v>
      </c>
    </row>
    <row r="5" spans="1:8" x14ac:dyDescent="0.3">
      <c r="A5" s="90">
        <f t="shared" si="0"/>
        <v>45656</v>
      </c>
      <c r="B5" t="s">
        <v>3</v>
      </c>
      <c r="C5" t="s">
        <v>224</v>
      </c>
      <c r="D5">
        <v>200</v>
      </c>
      <c r="E5" s="92" t="e">
        <f>LOOKUP(1,1/('[1]PURCHASE PRICE'!$B:$B=B5)/('[1]PURCHASE PRICE'!$A:$A=A5)/('[1]PURCHASE PRICE'!$C:$C=C5),'[1]PURCHASE PRICE'!$D:$D)</f>
        <v>#N/A</v>
      </c>
      <c r="F5" s="92">
        <f>LOOKUP(1,1/('[1]PURCHASE PRICE'!$B:$B=B5)/('[1]PURCHASE PRICE'!$A:$A=A5),'[1]PURCHASE PRICE'!$D:$D)</f>
        <v>14000</v>
      </c>
      <c r="G5" s="92">
        <f>F5*0.3</f>
        <v>4200</v>
      </c>
      <c r="H5" s="13">
        <f t="shared" si="1"/>
        <v>840000</v>
      </c>
    </row>
    <row r="6" spans="1:8" x14ac:dyDescent="0.3">
      <c r="A6" s="90">
        <f t="shared" si="0"/>
        <v>45656</v>
      </c>
      <c r="B6" t="s">
        <v>5</v>
      </c>
      <c r="C6" t="s">
        <v>224</v>
      </c>
      <c r="D6">
        <v>150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10000</v>
      </c>
      <c r="G6" s="92">
        <f>20000*0.3</f>
        <v>6000</v>
      </c>
      <c r="H6" s="13">
        <f t="shared" si="1"/>
        <v>900000</v>
      </c>
    </row>
    <row r="7" spans="1:8" x14ac:dyDescent="0.3">
      <c r="A7" s="90">
        <f t="shared" si="0"/>
        <v>45656</v>
      </c>
      <c r="B7" t="s">
        <v>5</v>
      </c>
      <c r="C7" t="s">
        <v>168</v>
      </c>
      <c r="D7">
        <v>20</v>
      </c>
      <c r="E7" s="92">
        <f>LOOKUP(1,1/('[1]PURCHASE PRICE'!$B:$B=B7)/('[1]PURCHASE PRICE'!$A:$A=A7)/('[1]PURCHASE PRICE'!$C:$C=C7),'[1]PURCHASE PRICE'!$D:$D)</f>
        <v>10000</v>
      </c>
      <c r="F7" s="92">
        <f>LOOKUP(1,1/('[1]PURCHASE PRICE'!$B:$B=B7)/('[1]PURCHASE PRICE'!$A:$A=A7),'[1]PURCHASE PRICE'!$D:$D)</f>
        <v>10000</v>
      </c>
      <c r="G7" s="92">
        <v>20000</v>
      </c>
      <c r="H7" s="13">
        <f t="shared" si="1"/>
        <v>400000</v>
      </c>
    </row>
    <row r="8" spans="1:8" x14ac:dyDescent="0.3">
      <c r="A8" s="90">
        <f t="shared" si="0"/>
        <v>45656</v>
      </c>
      <c r="B8" t="s">
        <v>9</v>
      </c>
      <c r="C8" t="s">
        <v>168</v>
      </c>
      <c r="D8">
        <v>100</v>
      </c>
      <c r="E8" s="92">
        <f>LOOKUP(1,1/('[1]PURCHASE PRICE'!$B:$B=B8)/('[1]PURCHASE PRICE'!$A:$A=A8)/('[1]PURCHASE PRICE'!$C:$C=C8),'[1]PURCHASE PRICE'!$D:$D)</f>
        <v>15000</v>
      </c>
      <c r="F8" s="92">
        <f>LOOKUP(1,1/('[1]PURCHASE PRICE'!$B:$B=B8)/('[1]PURCHASE PRICE'!$A:$A=A8),'[1]PURCHASE PRICE'!$D:$D)</f>
        <v>15000</v>
      </c>
      <c r="G8" s="92">
        <f>F8</f>
        <v>15000</v>
      </c>
      <c r="H8" s="13">
        <f t="shared" si="1"/>
        <v>1500000</v>
      </c>
    </row>
    <row r="9" spans="1:8" x14ac:dyDescent="0.3">
      <c r="A9" s="90">
        <f t="shared" si="0"/>
        <v>45656</v>
      </c>
      <c r="B9" t="s">
        <v>10</v>
      </c>
      <c r="C9" t="s">
        <v>12</v>
      </c>
      <c r="D9">
        <v>200</v>
      </c>
      <c r="E9" s="92">
        <f>LOOKUP(1,1/('[1]PURCHASE PRICE'!$B:$B=B9)/('[1]PURCHASE PRICE'!$A:$A=A9)/('[1]PURCHASE PRICE'!$C:$C=C9),'[1]PURCHASE PRICE'!$D:$D)</f>
        <v>8000</v>
      </c>
      <c r="F9" s="92">
        <f>LOOKUP(1,1/('[1]PURCHASE PRICE'!$B:$B=B9)/('[1]PURCHASE PRICE'!$A:$A=A9),'[1]PURCHASE PRICE'!$D:$D)</f>
        <v>8000</v>
      </c>
      <c r="G9" s="92">
        <f>F9</f>
        <v>8000</v>
      </c>
      <c r="H9" s="13">
        <f t="shared" si="1"/>
        <v>1600000</v>
      </c>
    </row>
    <row r="10" spans="1:8" x14ac:dyDescent="0.3">
      <c r="A10" s="90">
        <f t="shared" si="0"/>
        <v>45656</v>
      </c>
      <c r="B10" t="s">
        <v>13</v>
      </c>
      <c r="C10" t="s">
        <v>14</v>
      </c>
      <c r="D10">
        <v>40</v>
      </c>
      <c r="E10" s="92">
        <f>LOOKUP(1,1/('[1]PURCHASE PRICE'!$B:$B=B10)/('[1]PURCHASE PRICE'!$A:$A=A10)/('[1]PURCHASE PRICE'!$C:$C=C10),'[1]PURCHASE PRICE'!$D:$D)</f>
        <v>7200</v>
      </c>
      <c r="F10" s="92">
        <f>LOOKUP(1,1/('[1]PURCHASE PRICE'!$B:$B=B10)/('[1]PURCHASE PRICE'!$A:$A=A10),'[1]PURCHASE PRICE'!$D:$D)</f>
        <v>12000</v>
      </c>
      <c r="G10" s="92">
        <f>E10</f>
        <v>7200</v>
      </c>
      <c r="H10" s="13">
        <f t="shared" si="1"/>
        <v>288000</v>
      </c>
    </row>
    <row r="11" spans="1:8" x14ac:dyDescent="0.3">
      <c r="A11" s="90">
        <f t="shared" si="0"/>
        <v>45656</v>
      </c>
      <c r="B11" t="s">
        <v>17</v>
      </c>
      <c r="C11" t="s">
        <v>14</v>
      </c>
      <c r="D11">
        <v>20</v>
      </c>
      <c r="E11" s="92" t="e">
        <f>LOOKUP(1,1/('[1]PURCHASE PRICE'!$B:$B=B11)/('[1]PURCHASE PRICE'!$A:$A=A11)/('[1]PURCHASE PRICE'!$C:$C=C11),'[1]PURCHASE PRICE'!$D:$D)</f>
        <v>#N/A</v>
      </c>
      <c r="F11" s="92">
        <f>LOOKUP(1,1/('[1]PURCHASE PRICE'!$B:$B=B11)/('[1]PURCHASE PRICE'!$A:$A=A11),'[1]PURCHASE PRICE'!$D:$D)</f>
        <v>28000</v>
      </c>
      <c r="G11" s="92">
        <f>F11*0.3</f>
        <v>8400</v>
      </c>
      <c r="H11" s="13">
        <f t="shared" si="1"/>
        <v>168000</v>
      </c>
    </row>
    <row r="12" spans="1:8" x14ac:dyDescent="0.3">
      <c r="A12" s="90">
        <f t="shared" si="0"/>
        <v>45656</v>
      </c>
      <c r="B12" t="s">
        <v>71</v>
      </c>
      <c r="C12" t="s">
        <v>168</v>
      </c>
      <c r="D12">
        <v>30</v>
      </c>
      <c r="E12" s="92">
        <f>LOOKUP(1,1/('[1]PURCHASE PRICE'!$B:$B=B12)/('[1]PURCHASE PRICE'!$A:$A=A12)/('[1]PURCHASE PRICE'!$C:$C=C12),'[1]PURCHASE PRICE'!$D:$D)</f>
        <v>9000</v>
      </c>
      <c r="F12" s="92">
        <f>LOOKUP(1,1/('[1]PURCHASE PRICE'!$B:$B=B12)/('[1]PURCHASE PRICE'!$A:$A=A12),'[1]PURCHASE PRICE'!$D:$D)</f>
        <v>9000</v>
      </c>
      <c r="G12" s="92">
        <f>F12</f>
        <v>9000</v>
      </c>
      <c r="H12" s="13">
        <f t="shared" si="1"/>
        <v>270000</v>
      </c>
    </row>
    <row r="13" spans="1:8" x14ac:dyDescent="0.3">
      <c r="A13" s="90">
        <f t="shared" si="0"/>
        <v>45656</v>
      </c>
      <c r="B13" t="s">
        <v>63</v>
      </c>
      <c r="C13" t="s">
        <v>168</v>
      </c>
      <c r="D13">
        <v>40</v>
      </c>
      <c r="E13" s="92">
        <f>LOOKUP(1,1/('[1]PURCHASE PRICE'!$B:$B=B13)/('[1]PURCHASE PRICE'!$A:$A=A13)/('[1]PURCHASE PRICE'!$C:$C=C13),'[1]PURCHASE PRICE'!$D:$D)</f>
        <v>30000</v>
      </c>
      <c r="F13" s="92">
        <f>LOOKUP(1,1/('[1]PURCHASE PRICE'!$B:$B=B13)/('[1]PURCHASE PRICE'!$A:$A=A13),'[1]PURCHASE PRICE'!$D:$D)</f>
        <v>30000</v>
      </c>
      <c r="G13" s="92">
        <f t="shared" ref="G13:G20" si="2">F13</f>
        <v>30000</v>
      </c>
      <c r="H13" s="13">
        <f t="shared" si="1"/>
        <v>1200000</v>
      </c>
    </row>
    <row r="14" spans="1:8" x14ac:dyDescent="0.3">
      <c r="A14" s="90">
        <f t="shared" si="0"/>
        <v>45656</v>
      </c>
      <c r="B14" t="s">
        <v>21</v>
      </c>
      <c r="C14" t="s">
        <v>22</v>
      </c>
      <c r="D14">
        <v>100</v>
      </c>
      <c r="E14" s="92">
        <f>LOOKUP(1,1/('[1]PURCHASE PRICE'!$B:$B=B14)/('[1]PURCHASE PRICE'!$A:$A=A14)/('[1]PURCHASE PRICE'!$C:$C=C14),'[1]PURCHASE PRICE'!$D:$D)</f>
        <v>4500</v>
      </c>
      <c r="F14" s="92">
        <f>LOOKUP(1,1/('[1]PURCHASE PRICE'!$B:$B=B14)/('[1]PURCHASE PRICE'!$A:$A=A14),'[1]PURCHASE PRICE'!$D:$D)</f>
        <v>4500</v>
      </c>
      <c r="G14" s="92">
        <f t="shared" si="2"/>
        <v>4500</v>
      </c>
      <c r="H14" s="13">
        <f t="shared" si="1"/>
        <v>450000</v>
      </c>
    </row>
    <row r="15" spans="1:8" x14ac:dyDescent="0.3">
      <c r="A15" s="90">
        <f t="shared" si="0"/>
        <v>45656</v>
      </c>
      <c r="B15" t="s">
        <v>21</v>
      </c>
      <c r="C15" t="s">
        <v>23</v>
      </c>
      <c r="D15">
        <v>20</v>
      </c>
      <c r="E15" s="92">
        <f>LOOKUP(1,1/('[1]PURCHASE PRICE'!$B:$B=B15)/('[1]PURCHASE PRICE'!$A:$A=A15)/('[1]PURCHASE PRICE'!$C:$C=C15),'[1]PURCHASE PRICE'!$D:$D)</f>
        <v>2150</v>
      </c>
      <c r="F15" s="92">
        <f>LOOKUP(1,1/('[1]PURCHASE PRICE'!$B:$B=B15)/('[1]PURCHASE PRICE'!$A:$A=A15),'[1]PURCHASE PRICE'!$D:$D)</f>
        <v>4500</v>
      </c>
      <c r="G15" s="92">
        <f t="shared" si="2"/>
        <v>4500</v>
      </c>
      <c r="H15" s="13">
        <f t="shared" si="1"/>
        <v>90000</v>
      </c>
    </row>
    <row r="16" spans="1:8" x14ac:dyDescent="0.3">
      <c r="A16" s="90">
        <f t="shared" si="0"/>
        <v>45656</v>
      </c>
      <c r="B16" t="s">
        <v>24</v>
      </c>
      <c r="C16" t="s">
        <v>25</v>
      </c>
      <c r="D16">
        <v>100</v>
      </c>
      <c r="E16" s="92">
        <f>LOOKUP(1,1/('[1]PURCHASE PRICE'!$B:$B=B16)/('[1]PURCHASE PRICE'!$A:$A=A16)/('[1]PURCHASE PRICE'!$C:$C=C16),'[1]PURCHASE PRICE'!$D:$D)</f>
        <v>12000</v>
      </c>
      <c r="F16" s="92">
        <f>LOOKUP(1,1/('[1]PURCHASE PRICE'!$B:$B=B16)/('[1]PURCHASE PRICE'!$A:$A=A16),'[1]PURCHASE PRICE'!$D:$D)</f>
        <v>12000</v>
      </c>
      <c r="G16" s="92">
        <f t="shared" si="2"/>
        <v>12000</v>
      </c>
      <c r="H16" s="13">
        <f t="shared" si="1"/>
        <v>1200000</v>
      </c>
    </row>
    <row r="17" spans="1:8" x14ac:dyDescent="0.3">
      <c r="A17" s="90">
        <f t="shared" si="0"/>
        <v>45656</v>
      </c>
      <c r="B17" t="s">
        <v>31</v>
      </c>
      <c r="C17" t="s">
        <v>168</v>
      </c>
      <c r="D17">
        <v>60</v>
      </c>
      <c r="E17" s="92">
        <f>LOOKUP(1,1/('[1]PURCHASE PRICE'!$B:$B=B17)/('[1]PURCHASE PRICE'!$A:$A=A17)/('[1]PURCHASE PRICE'!$C:$C=C17),'[1]PURCHASE PRICE'!$D:$D)</f>
        <v>17000</v>
      </c>
      <c r="F17" s="92">
        <f>LOOKUP(1,1/('[1]PURCHASE PRICE'!$B:$B=B17)/('[1]PURCHASE PRICE'!$A:$A=A17),'[1]PURCHASE PRICE'!$D:$D)</f>
        <v>17000</v>
      </c>
      <c r="G17" s="92">
        <f t="shared" si="2"/>
        <v>17000</v>
      </c>
      <c r="H17" s="13">
        <f t="shared" si="1"/>
        <v>1020000</v>
      </c>
    </row>
    <row r="18" spans="1:8" x14ac:dyDescent="0.3">
      <c r="A18" s="90">
        <f t="shared" si="0"/>
        <v>45656</v>
      </c>
      <c r="B18" t="s">
        <v>32</v>
      </c>
      <c r="C18" t="s">
        <v>168</v>
      </c>
      <c r="D18">
        <v>0</v>
      </c>
      <c r="E18" s="92">
        <f>LOOKUP(1,1/('[1]PURCHASE PRICE'!$B:$B=B18)/('[1]PURCHASE PRICE'!$A:$A=A18)/('[1]PURCHASE PRICE'!$C:$C=C18),'[1]PURCHASE PRICE'!$D:$D)</f>
        <v>25000</v>
      </c>
      <c r="F18" s="92">
        <f>LOOKUP(1,1/('[1]PURCHASE PRICE'!$B:$B=B18)/('[1]PURCHASE PRICE'!$A:$A=A18),'[1]PURCHASE PRICE'!$D:$D)</f>
        <v>25000</v>
      </c>
      <c r="G18" s="92">
        <f t="shared" si="2"/>
        <v>25000</v>
      </c>
      <c r="H18" s="13">
        <f t="shared" si="1"/>
        <v>0</v>
      </c>
    </row>
    <row r="19" spans="1:8" x14ac:dyDescent="0.3">
      <c r="A19" s="90">
        <f t="shared" si="0"/>
        <v>45656</v>
      </c>
      <c r="B19" t="s">
        <v>33</v>
      </c>
      <c r="C19" t="s">
        <v>22</v>
      </c>
      <c r="D19">
        <v>50</v>
      </c>
      <c r="E19" s="92">
        <f>LOOKUP(1,1/('[1]PURCHASE PRICE'!$B:$B=B19)/('[1]PURCHASE PRICE'!$A:$A=A19)/('[1]PURCHASE PRICE'!$C:$C=C19),'[1]PURCHASE PRICE'!$D:$D)</f>
        <v>6000</v>
      </c>
      <c r="F19" s="92">
        <f>LOOKUP(1,1/('[1]PURCHASE PRICE'!$B:$B=B19)/('[1]PURCHASE PRICE'!$A:$A=A19),'[1]PURCHASE PRICE'!$D:$D)</f>
        <v>6000</v>
      </c>
      <c r="G19" s="92">
        <f t="shared" si="2"/>
        <v>6000</v>
      </c>
      <c r="H19" s="13">
        <f t="shared" si="1"/>
        <v>300000</v>
      </c>
    </row>
    <row r="20" spans="1:8" x14ac:dyDescent="0.3">
      <c r="A20" s="90">
        <f t="shared" si="0"/>
        <v>45656</v>
      </c>
      <c r="B20" t="s">
        <v>37</v>
      </c>
      <c r="C20" t="s">
        <v>11</v>
      </c>
      <c r="D20">
        <v>1020</v>
      </c>
      <c r="E20" s="92">
        <f>LOOKUP(1,1/('[1]PURCHASE PRICE'!$B:$B=B20)/('[1]PURCHASE PRICE'!$A:$A=A20)/('[1]PURCHASE PRICE'!$C:$C=C20),'[1]PURCHASE PRICE'!$D:$D)</f>
        <v>5000</v>
      </c>
      <c r="F20" s="92">
        <f>LOOKUP(1,1/('[1]PURCHASE PRICE'!$B:$B=B20)/('[1]PURCHASE PRICE'!$A:$A=A20),'[1]PURCHASE PRICE'!$D:$D)</f>
        <v>5000</v>
      </c>
      <c r="G20" s="92">
        <f t="shared" si="2"/>
        <v>5000</v>
      </c>
      <c r="H20" s="13">
        <f t="shared" si="1"/>
        <v>5100000</v>
      </c>
    </row>
    <row r="21" spans="1:8" x14ac:dyDescent="0.3">
      <c r="A21" s="90">
        <f t="shared" si="0"/>
        <v>45656</v>
      </c>
      <c r="B21" t="s">
        <v>40</v>
      </c>
      <c r="C21" t="s">
        <v>25</v>
      </c>
      <c r="D21">
        <v>100</v>
      </c>
      <c r="E21" s="92" t="e">
        <f>LOOKUP(1,1/('[1]PURCHASE PRICE'!$B:$B=B21)/('[1]PURCHASE PRICE'!$A:$A=A21)/('[1]PURCHASE PRICE'!$C:$C=C21),'[1]PURCHASE PRICE'!$D:$D)</f>
        <v>#N/A</v>
      </c>
      <c r="F21" s="92">
        <f>LOOKUP(1,1/('[1]PURCHASE PRICE'!$B:$B=B21)/('[1]PURCHASE PRICE'!$A:$A=A21),'[1]PURCHASE PRICE'!$D:$D)</f>
        <v>17000</v>
      </c>
      <c r="G21" s="92">
        <f>F21*0.15</f>
        <v>2550</v>
      </c>
      <c r="H21" s="13">
        <f t="shared" si="1"/>
        <v>255000</v>
      </c>
    </row>
    <row r="22" spans="1:8" x14ac:dyDescent="0.3">
      <c r="A22" s="90">
        <f t="shared" si="0"/>
        <v>45656</v>
      </c>
      <c r="B22" t="s">
        <v>41</v>
      </c>
      <c r="C22" t="s">
        <v>16</v>
      </c>
      <c r="D22">
        <v>40</v>
      </c>
      <c r="E22" s="92" t="e">
        <f>LOOKUP(1,1/('[1]PURCHASE PRICE'!$B:$B=B22)/('[1]PURCHASE PRICE'!$A:$A=A22)/('[1]PURCHASE PRICE'!$C:$C=C22),'[1]PURCHASE PRICE'!$D:$D)</f>
        <v>#N/A</v>
      </c>
      <c r="F22" s="92">
        <f>LOOKUP(1,1/('[1]PURCHASE PRICE'!$B:$B=B22)/('[1]PURCHASE PRICE'!$A:$A=A22),'[1]PURCHASE PRICE'!$D:$D)</f>
        <v>200000</v>
      </c>
      <c r="G22" s="92">
        <v>100000</v>
      </c>
      <c r="H22" s="13">
        <f t="shared" si="1"/>
        <v>4000000</v>
      </c>
    </row>
    <row r="23" spans="1:8" x14ac:dyDescent="0.3">
      <c r="A23" s="90">
        <f t="shared" si="0"/>
        <v>45656</v>
      </c>
      <c r="B23" t="s">
        <v>42</v>
      </c>
      <c r="C23" t="s">
        <v>168</v>
      </c>
      <c r="D23">
        <v>0</v>
      </c>
      <c r="E23" s="92" t="e">
        <f>LOOKUP(1,1/('[1]PURCHASE PRICE'!$B:$B=B23)/('[1]PURCHASE PRICE'!$A:$A=A23)/('[1]PURCHASE PRICE'!$C:$C=C23),'[1]PURCHASE PRICE'!$D:$D)</f>
        <v>#N/A</v>
      </c>
      <c r="F23" s="92" t="e">
        <f>LOOKUP(1,1/('[1]PURCHASE PRICE'!$B:$B=B23)/('[1]PURCHASE PRICE'!$A:$A=A23),'[1]PURCHASE PRICE'!$D:$D)</f>
        <v>#N/A</v>
      </c>
      <c r="H23" s="13">
        <f t="shared" si="1"/>
        <v>0</v>
      </c>
    </row>
    <row r="24" spans="1:8" x14ac:dyDescent="0.3">
      <c r="A24" s="90">
        <f t="shared" si="0"/>
        <v>45656</v>
      </c>
      <c r="B24" t="s">
        <v>45</v>
      </c>
      <c r="C24" t="s">
        <v>22</v>
      </c>
      <c r="D24">
        <v>200</v>
      </c>
      <c r="E24" s="92">
        <f>LOOKUP(1,1/('[1]PURCHASE PRICE'!$B:$B=B24)/('[1]PURCHASE PRICE'!$A:$A=A24)/('[1]PURCHASE PRICE'!$C:$C=C24),'[1]PURCHASE PRICE'!$D:$D)</f>
        <v>3000</v>
      </c>
      <c r="F24" s="92">
        <f>LOOKUP(1,1/('[1]PURCHASE PRICE'!$B:$B=B24)/('[1]PURCHASE PRICE'!$A:$A=A24),'[1]PURCHASE PRICE'!$D:$D)</f>
        <v>3000</v>
      </c>
      <c r="G24" s="92">
        <f>F24*20</f>
        <v>60000</v>
      </c>
      <c r="H24" s="13">
        <f t="shared" si="1"/>
        <v>12000000</v>
      </c>
    </row>
    <row r="25" spans="1:8" x14ac:dyDescent="0.3">
      <c r="A25" s="90">
        <f t="shared" si="0"/>
        <v>45656</v>
      </c>
      <c r="B25" t="s">
        <v>70</v>
      </c>
      <c r="C25" t="s">
        <v>168</v>
      </c>
      <c r="D25">
        <v>30</v>
      </c>
      <c r="E25" s="92" t="e">
        <f>LOOKUP(1,1/('[1]PURCHASE PRICE'!$B:$B=B25)/('[1]PURCHASE PRICE'!$A:$A=A25)/('[1]PURCHASE PRICE'!$C:$C=C25),'[1]PURCHASE PRICE'!$D:$D)</f>
        <v>#N/A</v>
      </c>
      <c r="F25" s="92" t="e">
        <f>LOOKUP(1,1/('[1]PURCHASE PRICE'!$B:$B=B25)/('[1]PURCHASE PRICE'!$A:$A=A25),'[1]PURCHASE PRICE'!$D:$D)</f>
        <v>#N/A</v>
      </c>
      <c r="G25" s="92">
        <v>37333</v>
      </c>
      <c r="H25" s="13">
        <f t="shared" si="1"/>
        <v>1119990</v>
      </c>
    </row>
    <row r="26" spans="1:8" x14ac:dyDescent="0.3">
      <c r="A26" s="90">
        <f t="shared" si="0"/>
        <v>45656</v>
      </c>
      <c r="B26" t="s">
        <v>47</v>
      </c>
      <c r="C26" t="s">
        <v>224</v>
      </c>
      <c r="D26">
        <v>150</v>
      </c>
      <c r="E26" s="92" t="e">
        <f>LOOKUP(1,1/('[1]PURCHASE PRICE'!$B:$B=B26)/('[1]PURCHASE PRICE'!$A:$A=A26)/('[1]PURCHASE PRICE'!$C:$C=C26),'[1]PURCHASE PRICE'!$D:$D)</f>
        <v>#N/A</v>
      </c>
      <c r="F26" s="92">
        <f>LOOKUP(1,1/('[1]PURCHASE PRICE'!$B:$B=B26)/('[1]PURCHASE PRICE'!$A:$A=A26),'[1]PURCHASE PRICE'!$D:$D)</f>
        <v>38000</v>
      </c>
      <c r="G26" s="92">
        <f>F26*0.25</f>
        <v>9500</v>
      </c>
      <c r="H26" s="13">
        <f t="shared" si="1"/>
        <v>1425000</v>
      </c>
    </row>
    <row r="27" spans="1:8" x14ac:dyDescent="0.3">
      <c r="A27" s="90">
        <f t="shared" si="0"/>
        <v>45656</v>
      </c>
      <c r="B27" t="s">
        <v>50</v>
      </c>
      <c r="C27" t="s">
        <v>224</v>
      </c>
      <c r="D27">
        <v>100</v>
      </c>
      <c r="E27" s="92" t="e">
        <f>LOOKUP(1,1/('[1]PURCHASE PRICE'!$B:$B=B27)/('[1]PURCHASE PRICE'!$A:$A=A27)/('[1]PURCHASE PRICE'!$C:$C=C27),'[1]PURCHASE PRICE'!$D:$D)</f>
        <v>#N/A</v>
      </c>
      <c r="F27" s="92">
        <f>LOOKUP(1,1/('[1]PURCHASE PRICE'!$B:$B=B27)/('[1]PURCHASE PRICE'!$A:$A=A27),'[1]PURCHASE PRICE'!$D:$D)</f>
        <v>42000</v>
      </c>
      <c r="G27" s="92">
        <f t="shared" ref="G27:G28" si="3">F27*0.25</f>
        <v>10500</v>
      </c>
      <c r="H27" s="13">
        <f t="shared" si="1"/>
        <v>1050000</v>
      </c>
    </row>
    <row r="28" spans="1:8" x14ac:dyDescent="0.3">
      <c r="A28" s="90">
        <f t="shared" si="0"/>
        <v>45656</v>
      </c>
      <c r="B28" t="s">
        <v>51</v>
      </c>
      <c r="C28" t="s">
        <v>224</v>
      </c>
      <c r="D28">
        <v>100</v>
      </c>
      <c r="E28" s="92" t="e">
        <f>LOOKUP(1,1/('[1]PURCHASE PRICE'!$B:$B=B28)/('[1]PURCHASE PRICE'!$A:$A=A28)/('[1]PURCHASE PRICE'!$C:$C=C28),'[1]PURCHASE PRICE'!$D:$D)</f>
        <v>#N/A</v>
      </c>
      <c r="F28" s="92">
        <f>LOOKUP(1,1/('[1]PURCHASE PRICE'!$B:$B=B28)/('[1]PURCHASE PRICE'!$A:$A=A28),'[1]PURCHASE PRICE'!$D:$D)</f>
        <v>32000</v>
      </c>
      <c r="G28" s="92">
        <f t="shared" si="3"/>
        <v>8000</v>
      </c>
      <c r="H28" s="13">
        <f t="shared" si="1"/>
        <v>800000</v>
      </c>
    </row>
    <row r="29" spans="1:8" x14ac:dyDescent="0.3">
      <c r="A29" s="90">
        <f t="shared" si="0"/>
        <v>45656</v>
      </c>
      <c r="B29" t="s">
        <v>51</v>
      </c>
      <c r="C29" t="s">
        <v>168</v>
      </c>
      <c r="D29">
        <v>40</v>
      </c>
      <c r="E29" s="92">
        <f>LOOKUP(1,1/('[1]PURCHASE PRICE'!$B:$B=B29)/('[1]PURCHASE PRICE'!$A:$A=A29)/('[1]PURCHASE PRICE'!$C:$C=C29),'[1]PURCHASE PRICE'!$D:$D)</f>
        <v>32000</v>
      </c>
      <c r="F29" s="92">
        <f>LOOKUP(1,1/('[1]PURCHASE PRICE'!$B:$B=B29)/('[1]PURCHASE PRICE'!$A:$A=A29),'[1]PURCHASE PRICE'!$D:$D)</f>
        <v>32000</v>
      </c>
      <c r="G29" s="92">
        <f t="shared" ref="G29:G34" si="4">F29</f>
        <v>32000</v>
      </c>
      <c r="H29" s="13">
        <f t="shared" si="1"/>
        <v>1280000</v>
      </c>
    </row>
    <row r="30" spans="1:8" x14ac:dyDescent="0.3">
      <c r="A30" s="90">
        <f t="shared" si="0"/>
        <v>45656</v>
      </c>
      <c r="B30" t="s">
        <v>52</v>
      </c>
      <c r="C30" t="s">
        <v>22</v>
      </c>
      <c r="D30">
        <v>80</v>
      </c>
      <c r="E30" s="92">
        <f>LOOKUP(1,1/('[1]PURCHASE PRICE'!$B:$B=B30)/('[1]PURCHASE PRICE'!$A:$A=A30)/('[1]PURCHASE PRICE'!$C:$C=C30),'[1]PURCHASE PRICE'!$D:$D)</f>
        <v>23000</v>
      </c>
      <c r="F30" s="92">
        <f>LOOKUP(1,1/('[1]PURCHASE PRICE'!$B:$B=B30)/('[1]PURCHASE PRICE'!$A:$A=A30),'[1]PURCHASE PRICE'!$D:$D)</f>
        <v>23000</v>
      </c>
      <c r="G30" s="92">
        <f t="shared" si="4"/>
        <v>23000</v>
      </c>
      <c r="H30" s="13">
        <f t="shared" si="1"/>
        <v>1840000</v>
      </c>
    </row>
    <row r="31" spans="1:8" x14ac:dyDescent="0.3">
      <c r="A31" s="90">
        <f t="shared" si="0"/>
        <v>45656</v>
      </c>
      <c r="B31" t="s">
        <v>54</v>
      </c>
      <c r="C31" t="s">
        <v>168</v>
      </c>
      <c r="D31">
        <v>180</v>
      </c>
      <c r="E31" s="92">
        <f>LOOKUP(1,1/('[1]PURCHASE PRICE'!$B:$B=B31)/('[1]PURCHASE PRICE'!$A:$A=A31)/('[1]PURCHASE PRICE'!$C:$C=C31),'[1]PURCHASE PRICE'!$D:$D)</f>
        <v>30000</v>
      </c>
      <c r="F31" s="92">
        <f>LOOKUP(1,1/('[1]PURCHASE PRICE'!$B:$B=B31)/('[1]PURCHASE PRICE'!$A:$A=A31),'[1]PURCHASE PRICE'!$D:$D)</f>
        <v>30000</v>
      </c>
      <c r="G31" s="92">
        <f t="shared" si="4"/>
        <v>30000</v>
      </c>
      <c r="H31" s="13">
        <f t="shared" si="1"/>
        <v>5400000</v>
      </c>
    </row>
    <row r="32" spans="1:8" x14ac:dyDescent="0.3">
      <c r="A32" s="90">
        <f t="shared" si="0"/>
        <v>45656</v>
      </c>
      <c r="B32" t="s">
        <v>55</v>
      </c>
      <c r="C32" t="s">
        <v>25</v>
      </c>
      <c r="D32">
        <v>200</v>
      </c>
      <c r="E32" s="92">
        <f>LOOKUP(1,1/('[1]PURCHASE PRICE'!$B:$B=B32)/('[1]PURCHASE PRICE'!$A:$A=A32)/('[1]PURCHASE PRICE'!$C:$C=C32),'[1]PURCHASE PRICE'!$D:$D)</f>
        <v>6000</v>
      </c>
      <c r="F32" s="92">
        <f>LOOKUP(1,1/('[1]PURCHASE PRICE'!$B:$B=B32)/('[1]PURCHASE PRICE'!$A:$A=A32),'[1]PURCHASE PRICE'!$D:$D)</f>
        <v>6000</v>
      </c>
      <c r="G32" s="92">
        <f t="shared" si="4"/>
        <v>6000</v>
      </c>
      <c r="H32" s="13">
        <f t="shared" si="1"/>
        <v>1200000</v>
      </c>
    </row>
    <row r="33" spans="1:8" x14ac:dyDescent="0.3">
      <c r="A33" s="90">
        <f t="shared" si="0"/>
        <v>45656</v>
      </c>
      <c r="B33" t="s">
        <v>229</v>
      </c>
      <c r="C33" t="s">
        <v>168</v>
      </c>
      <c r="D33">
        <v>60</v>
      </c>
      <c r="E33" s="92">
        <f>LOOKUP(1,1/('[1]PURCHASE PRICE'!$B:$B=B33)/('[1]PURCHASE PRICE'!$A:$A=A33)/('[1]PURCHASE PRICE'!$C:$C=C33),'[1]PURCHASE PRICE'!$D:$D)</f>
        <v>28000</v>
      </c>
      <c r="F33" s="92">
        <f>LOOKUP(1,1/('[1]PURCHASE PRICE'!$B:$B=B33)/('[1]PURCHASE PRICE'!$A:$A=A33),'[1]PURCHASE PRICE'!$D:$D)</f>
        <v>28000</v>
      </c>
      <c r="G33" s="92">
        <f t="shared" si="4"/>
        <v>28000</v>
      </c>
      <c r="H33" s="13">
        <f t="shared" si="1"/>
        <v>1680000</v>
      </c>
    </row>
    <row r="34" spans="1:8" x14ac:dyDescent="0.3">
      <c r="A34" s="90">
        <f t="shared" si="0"/>
        <v>45656</v>
      </c>
      <c r="B34" t="s">
        <v>58</v>
      </c>
      <c r="C34" t="s">
        <v>168</v>
      </c>
      <c r="D34">
        <v>50</v>
      </c>
      <c r="E34" s="92">
        <f>LOOKUP(1,1/('[1]PURCHASE PRICE'!$B:$B=B34)/('[1]PURCHASE PRICE'!$A:$A=A34)/('[1]PURCHASE PRICE'!$C:$C=C34),'[1]PURCHASE PRICE'!$D:$D)</f>
        <v>23000</v>
      </c>
      <c r="F34" s="92">
        <f>LOOKUP(1,1/('[1]PURCHASE PRICE'!$B:$B=B34)/('[1]PURCHASE PRICE'!$A:$A=A34),'[1]PURCHASE PRICE'!$D:$D)</f>
        <v>23000</v>
      </c>
      <c r="G34" s="92">
        <f t="shared" si="4"/>
        <v>23000</v>
      </c>
      <c r="H34" s="13">
        <f t="shared" si="1"/>
        <v>1150000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tabSelected="1" workbookViewId="0">
      <selection activeCell="D8" sqref="D8"/>
    </sheetView>
  </sheetViews>
  <sheetFormatPr defaultRowHeight="14.4" x14ac:dyDescent="0.3"/>
  <cols>
    <col min="1" max="1" width="10.5546875" bestFit="1" customWidth="1"/>
    <col min="2" max="2" width="26.33203125" bestFit="1" customWidth="1"/>
    <col min="4" max="4" width="10.5546875" bestFit="1" customWidth="1"/>
    <col min="7" max="7" width="10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45655</v>
      </c>
      <c r="H1" s="91">
        <f>SUM(H3:H57)</f>
        <v>99565500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f>$D$1</f>
        <v>45655</v>
      </c>
      <c r="B3" t="s">
        <v>0</v>
      </c>
      <c r="C3" t="s">
        <v>168</v>
      </c>
      <c r="D3">
        <v>30</v>
      </c>
      <c r="E3" s="92">
        <f>LOOKUP(1,1/('[1]PURCHASE PRICE'!$B:$B=B3)/('[1]PURCHASE PRICE'!$A:$A=A3)/('[1]PURCHASE PRICE'!$C:$C=C3),'[1]PURCHASE PRICE'!$D:$D)</f>
        <v>20000</v>
      </c>
      <c r="F3" s="92">
        <f>LOOKUP(1,1/('[1]PURCHASE PRICE'!$B:$B=B3)/('[1]PURCHASE PRICE'!$A:$A=A3),'[1]PURCHASE PRICE'!$D:$D)</f>
        <v>20000</v>
      </c>
      <c r="G3" s="92">
        <f>F3</f>
        <v>20000</v>
      </c>
      <c r="H3" s="13">
        <f>G3*D3</f>
        <v>600000</v>
      </c>
    </row>
    <row r="4" spans="1:8" x14ac:dyDescent="0.3">
      <c r="A4" s="90">
        <f t="shared" ref="A4:A57" si="0">$D$1</f>
        <v>45655</v>
      </c>
      <c r="B4" t="s">
        <v>72</v>
      </c>
      <c r="C4" t="s">
        <v>168</v>
      </c>
      <c r="D4">
        <v>20</v>
      </c>
      <c r="E4" s="92">
        <f>LOOKUP(1,1/('[1]PURCHASE PRICE'!$B:$B=B4)/('[1]PURCHASE PRICE'!$A:$A=A4)/('[1]PURCHASE PRICE'!$C:$C=C4),'[1]PURCHASE PRICE'!$D:$D)</f>
        <v>8000</v>
      </c>
      <c r="F4" s="92">
        <f>LOOKUP(1,1/('[1]PURCHASE PRICE'!$B:$B=B4)/('[1]PURCHASE PRICE'!$A:$A=A4),'[1]PURCHASE PRICE'!$D:$D)</f>
        <v>8000</v>
      </c>
      <c r="G4" s="92">
        <f>F4</f>
        <v>8000</v>
      </c>
      <c r="H4" s="13">
        <f t="shared" ref="H4:H57" si="1">G4*D4</f>
        <v>160000</v>
      </c>
    </row>
    <row r="5" spans="1:8" x14ac:dyDescent="0.3">
      <c r="A5" s="90">
        <f t="shared" si="0"/>
        <v>45655</v>
      </c>
      <c r="B5" t="s">
        <v>65</v>
      </c>
      <c r="C5" t="s">
        <v>224</v>
      </c>
      <c r="D5">
        <v>40</v>
      </c>
      <c r="E5" s="92" t="e">
        <f>LOOKUP(1,1/('[1]PURCHASE PRICE'!$B:$B=B5)/('[1]PURCHASE PRICE'!$A:$A=A5)/('[1]PURCHASE PRICE'!$C:$C=C5),'[1]PURCHASE PRICE'!$D:$D)</f>
        <v>#N/A</v>
      </c>
      <c r="F5" s="92">
        <f>LOOKUP(1,1/('[1]PURCHASE PRICE'!$B:$B=B5)/('[1]PURCHASE PRICE'!$A:$A=A5),'[1]PURCHASE PRICE'!$D:$D)</f>
        <v>10000</v>
      </c>
      <c r="G5" s="92">
        <f>25000*0.4</f>
        <v>10000</v>
      </c>
      <c r="H5" s="13">
        <f t="shared" si="1"/>
        <v>400000</v>
      </c>
    </row>
    <row r="6" spans="1:8" x14ac:dyDescent="0.3">
      <c r="A6" s="90">
        <f t="shared" si="0"/>
        <v>45655</v>
      </c>
      <c r="B6" t="s">
        <v>73</v>
      </c>
      <c r="C6" t="s">
        <v>168</v>
      </c>
      <c r="D6">
        <v>40</v>
      </c>
      <c r="E6" s="92">
        <f>LOOKUP(1,1/('[1]PURCHASE PRICE'!$B:$B=B6)/('[1]PURCHASE PRICE'!$A:$A=A6)/('[1]PURCHASE PRICE'!$C:$C=C6),'[1]PURCHASE PRICE'!$D:$D)</f>
        <v>10000</v>
      </c>
      <c r="F6" s="92">
        <f>LOOKUP(1,1/('[1]PURCHASE PRICE'!$B:$B=B6)/('[1]PURCHASE PRICE'!$A:$A=A6),'[1]PURCHASE PRICE'!$D:$D)</f>
        <v>10000</v>
      </c>
      <c r="G6" s="92">
        <f>F6</f>
        <v>10000</v>
      </c>
      <c r="H6" s="13">
        <f t="shared" si="1"/>
        <v>400000</v>
      </c>
    </row>
    <row r="7" spans="1:8" x14ac:dyDescent="0.3">
      <c r="A7" s="90">
        <f t="shared" si="0"/>
        <v>45655</v>
      </c>
      <c r="B7" t="s">
        <v>3</v>
      </c>
      <c r="C7" t="s">
        <v>224</v>
      </c>
      <c r="D7">
        <v>400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17000</v>
      </c>
      <c r="G7" s="92">
        <f>F7*0.3</f>
        <v>5100</v>
      </c>
      <c r="H7" s="13">
        <f t="shared" si="1"/>
        <v>2040000</v>
      </c>
    </row>
    <row r="8" spans="1:8" x14ac:dyDescent="0.3">
      <c r="A8" s="90">
        <f t="shared" si="0"/>
        <v>45655</v>
      </c>
      <c r="B8" t="s">
        <v>5</v>
      </c>
      <c r="C8" t="s">
        <v>224</v>
      </c>
      <c r="D8">
        <v>500</v>
      </c>
      <c r="E8" s="92" t="e">
        <f>LOOKUP(1,1/('[1]PURCHASE PRICE'!$B:$B=B8)/('[1]PURCHASE PRICE'!$A:$A=A8)/('[1]PURCHASE PRICE'!$C:$C=C8),'[1]PURCHASE PRICE'!$D:$D)</f>
        <v>#N/A</v>
      </c>
      <c r="F8" s="92">
        <f>LOOKUP(1,1/('[1]PURCHASE PRICE'!$B:$B=B8)/('[1]PURCHASE PRICE'!$A:$A=A8),'[1]PURCHASE PRICE'!$D:$D)</f>
        <v>21000</v>
      </c>
      <c r="G8" s="92">
        <f>F8*0.3</f>
        <v>6300</v>
      </c>
      <c r="H8" s="13">
        <f t="shared" si="1"/>
        <v>3150000</v>
      </c>
    </row>
    <row r="9" spans="1:8" x14ac:dyDescent="0.3">
      <c r="A9" s="90">
        <f t="shared" si="0"/>
        <v>45655</v>
      </c>
      <c r="B9" t="s">
        <v>68</v>
      </c>
      <c r="C9" t="s">
        <v>168</v>
      </c>
      <c r="D9">
        <v>5</v>
      </c>
      <c r="E9" s="92">
        <f>LOOKUP(1,1/('[1]PURCHASE PRICE'!$B:$B=B9)/('[1]PURCHASE PRICE'!$A:$A=A9)/('[1]PURCHASE PRICE'!$C:$C=C9),'[1]PURCHASE PRICE'!$D:$D)</f>
        <v>33000</v>
      </c>
      <c r="F9" s="92">
        <f>LOOKUP(1,1/('[1]PURCHASE PRICE'!$B:$B=B9)/('[1]PURCHASE PRICE'!$A:$A=A9),'[1]PURCHASE PRICE'!$D:$D)</f>
        <v>33000</v>
      </c>
      <c r="G9" s="92">
        <f>F9</f>
        <v>33000</v>
      </c>
      <c r="H9" s="13">
        <f t="shared" si="1"/>
        <v>165000</v>
      </c>
    </row>
    <row r="10" spans="1:8" x14ac:dyDescent="0.3">
      <c r="A10" s="90">
        <f t="shared" si="0"/>
        <v>45655</v>
      </c>
      <c r="B10" t="s">
        <v>8</v>
      </c>
      <c r="C10" t="s">
        <v>11</v>
      </c>
      <c r="D10">
        <v>85</v>
      </c>
      <c r="E10" s="92">
        <f>LOOKUP(1,1/('[1]PURCHASE PRICE'!$B:$B=B10)/('[1]PURCHASE PRICE'!$A:$A=A10)/('[1]PURCHASE PRICE'!$C:$C=C10),'[1]PURCHASE PRICE'!$D:$D)</f>
        <v>8000</v>
      </c>
      <c r="F10" s="92">
        <f>LOOKUP(1,1/('[1]PURCHASE PRICE'!$B:$B=B10)/('[1]PURCHASE PRICE'!$A:$A=A10),'[1]PURCHASE PRICE'!$D:$D)</f>
        <v>8000</v>
      </c>
      <c r="G10" s="92">
        <f t="shared" ref="G10:G21" si="2">F10</f>
        <v>8000</v>
      </c>
      <c r="H10" s="13">
        <f t="shared" si="1"/>
        <v>680000</v>
      </c>
    </row>
    <row r="11" spans="1:8" x14ac:dyDescent="0.3">
      <c r="A11" s="90">
        <f t="shared" si="0"/>
        <v>45655</v>
      </c>
      <c r="B11" t="s">
        <v>9</v>
      </c>
      <c r="C11" t="s">
        <v>168</v>
      </c>
      <c r="D11">
        <v>200</v>
      </c>
      <c r="E11" s="92">
        <f>LOOKUP(1,1/('[1]PURCHASE PRICE'!$B:$B=B11)/('[1]PURCHASE PRICE'!$A:$A=A11)/('[1]PURCHASE PRICE'!$C:$C=C11),'[1]PURCHASE PRICE'!$D:$D)</f>
        <v>15000</v>
      </c>
      <c r="F11" s="92">
        <f>LOOKUP(1,1/('[1]PURCHASE PRICE'!$B:$B=B11)/('[1]PURCHASE PRICE'!$A:$A=A11),'[1]PURCHASE PRICE'!$D:$D)</f>
        <v>15000</v>
      </c>
      <c r="G11" s="92">
        <f t="shared" si="2"/>
        <v>15000</v>
      </c>
      <c r="H11" s="13">
        <f t="shared" si="1"/>
        <v>3000000</v>
      </c>
    </row>
    <row r="12" spans="1:8" x14ac:dyDescent="0.3">
      <c r="A12" s="90">
        <f t="shared" si="0"/>
        <v>45655</v>
      </c>
      <c r="B12" t="s">
        <v>10</v>
      </c>
      <c r="C12" t="s">
        <v>12</v>
      </c>
      <c r="D12">
        <v>300</v>
      </c>
      <c r="E12" s="92">
        <f>LOOKUP(1,1/('[1]PURCHASE PRICE'!$B:$B=B12)/('[1]PURCHASE PRICE'!$A:$A=A12)/('[1]PURCHASE PRICE'!$C:$C=C12),'[1]PURCHASE PRICE'!$D:$D)</f>
        <v>7500</v>
      </c>
      <c r="F12" s="92">
        <f>LOOKUP(1,1/('[1]PURCHASE PRICE'!$B:$B=B12)/('[1]PURCHASE PRICE'!$A:$A=A12),'[1]PURCHASE PRICE'!$D:$D)</f>
        <v>7500</v>
      </c>
      <c r="G12" s="92">
        <f t="shared" si="2"/>
        <v>7500</v>
      </c>
      <c r="H12" s="13">
        <f t="shared" si="1"/>
        <v>2250000</v>
      </c>
    </row>
    <row r="13" spans="1:8" x14ac:dyDescent="0.3">
      <c r="A13" s="90">
        <f t="shared" si="0"/>
        <v>45655</v>
      </c>
      <c r="B13" t="s">
        <v>13</v>
      </c>
      <c r="C13" t="s">
        <v>14</v>
      </c>
      <c r="D13">
        <v>300</v>
      </c>
      <c r="E13" s="92">
        <f>LOOKUP(1,1/('[1]PURCHASE PRICE'!$B:$B=B13)/('[1]PURCHASE PRICE'!$A:$A=A13)/('[1]PURCHASE PRICE'!$C:$C=C13),'[1]PURCHASE PRICE'!$D:$D)</f>
        <v>8400</v>
      </c>
      <c r="F13" s="92">
        <f>LOOKUP(1,1/('[1]PURCHASE PRICE'!$B:$B=B13)/('[1]PURCHASE PRICE'!$A:$A=A13),'[1]PURCHASE PRICE'!$D:$D)</f>
        <v>14000</v>
      </c>
      <c r="G13" s="92">
        <f t="shared" si="2"/>
        <v>14000</v>
      </c>
      <c r="H13" s="13">
        <f t="shared" si="1"/>
        <v>4200000</v>
      </c>
    </row>
    <row r="14" spans="1:8" x14ac:dyDescent="0.3">
      <c r="A14" s="90">
        <f t="shared" si="0"/>
        <v>45655</v>
      </c>
      <c r="B14" t="s">
        <v>15</v>
      </c>
      <c r="C14" t="s">
        <v>16</v>
      </c>
      <c r="D14">
        <v>120</v>
      </c>
      <c r="E14" s="92">
        <f>LOOKUP(1,1/('[1]PURCHASE PRICE'!$B:$B=B14)/('[1]PURCHASE PRICE'!$A:$A=A14)/('[1]PURCHASE PRICE'!$C:$C=C14),'[1]PURCHASE PRICE'!$D:$D)</f>
        <v>12000</v>
      </c>
      <c r="F14" s="92">
        <f>LOOKUP(1,1/('[1]PURCHASE PRICE'!$B:$B=B14)/('[1]PURCHASE PRICE'!$A:$A=A14),'[1]PURCHASE PRICE'!$D:$D)</f>
        <v>12000</v>
      </c>
      <c r="G14" s="92">
        <f t="shared" si="2"/>
        <v>12000</v>
      </c>
      <c r="H14" s="13">
        <f t="shared" si="1"/>
        <v>1440000</v>
      </c>
    </row>
    <row r="15" spans="1:8" x14ac:dyDescent="0.3">
      <c r="A15" s="90">
        <f t="shared" si="0"/>
        <v>45655</v>
      </c>
      <c r="B15" t="s">
        <v>17</v>
      </c>
      <c r="C15" t="s">
        <v>14</v>
      </c>
      <c r="D15">
        <v>200</v>
      </c>
      <c r="E15" s="92">
        <f>LOOKUP(1,1/('[1]PURCHASE PRICE'!$B:$B=B15)/('[1]PURCHASE PRICE'!$A:$A=A15)/('[1]PURCHASE PRICE'!$C:$C=C15),'[1]PURCHASE PRICE'!$D:$D)</f>
        <v>11700</v>
      </c>
      <c r="F15" s="92">
        <f>LOOKUP(1,1/('[1]PURCHASE PRICE'!$B:$B=B15)/('[1]PURCHASE PRICE'!$A:$A=A15),'[1]PURCHASE PRICE'!$D:$D)</f>
        <v>9000</v>
      </c>
      <c r="G15" s="92">
        <f t="shared" si="2"/>
        <v>9000</v>
      </c>
      <c r="H15" s="13">
        <f t="shared" si="1"/>
        <v>1800000</v>
      </c>
    </row>
    <row r="16" spans="1:8" x14ac:dyDescent="0.3">
      <c r="A16" s="90">
        <f t="shared" si="0"/>
        <v>45655</v>
      </c>
      <c r="B16" t="s">
        <v>18</v>
      </c>
      <c r="C16" t="s">
        <v>168</v>
      </c>
      <c r="D16">
        <v>160</v>
      </c>
      <c r="E16" s="92">
        <f>LOOKUP(1,1/('[1]PURCHASE PRICE'!$B:$B=B16)/('[1]PURCHASE PRICE'!$A:$A=A16)/('[1]PURCHASE PRICE'!$C:$C=C16),'[1]PURCHASE PRICE'!$D:$D)</f>
        <v>17000</v>
      </c>
      <c r="F16" s="92">
        <f>LOOKUP(1,1/('[1]PURCHASE PRICE'!$B:$B=B16)/('[1]PURCHASE PRICE'!$A:$A=A16),'[1]PURCHASE PRICE'!$D:$D)</f>
        <v>17000</v>
      </c>
      <c r="G16" s="92">
        <f t="shared" si="2"/>
        <v>17000</v>
      </c>
      <c r="H16" s="13">
        <f t="shared" si="1"/>
        <v>2720000</v>
      </c>
    </row>
    <row r="17" spans="1:8" x14ac:dyDescent="0.3">
      <c r="A17" s="90">
        <f t="shared" si="0"/>
        <v>45655</v>
      </c>
      <c r="B17" t="s">
        <v>19</v>
      </c>
      <c r="C17" t="s">
        <v>168</v>
      </c>
      <c r="D17">
        <v>50</v>
      </c>
      <c r="E17" s="92">
        <f>LOOKUP(1,1/('[1]PURCHASE PRICE'!$B:$B=B17)/('[1]PURCHASE PRICE'!$A:$A=A17)/('[1]PURCHASE PRICE'!$C:$C=C17),'[1]PURCHASE PRICE'!$D:$D)</f>
        <v>11000</v>
      </c>
      <c r="F17" s="92">
        <f>LOOKUP(1,1/('[1]PURCHASE PRICE'!$B:$B=B17)/('[1]PURCHASE PRICE'!$A:$A=A17),'[1]PURCHASE PRICE'!$D:$D)</f>
        <v>11000</v>
      </c>
      <c r="G17" s="92">
        <f t="shared" si="2"/>
        <v>11000</v>
      </c>
      <c r="H17" s="13">
        <f t="shared" si="1"/>
        <v>550000</v>
      </c>
    </row>
    <row r="18" spans="1:8" x14ac:dyDescent="0.3">
      <c r="A18" s="90">
        <f t="shared" si="0"/>
        <v>45655</v>
      </c>
      <c r="B18" t="s">
        <v>20</v>
      </c>
      <c r="C18" t="s">
        <v>11</v>
      </c>
      <c r="D18">
        <v>190</v>
      </c>
      <c r="E18" s="92">
        <f>LOOKUP(1,1/('[1]PURCHASE PRICE'!$B:$B=B18)/('[1]PURCHASE PRICE'!$A:$A=A18)/('[1]PURCHASE PRICE'!$C:$C=C18),'[1]PURCHASE PRICE'!$D:$D)</f>
        <v>9500</v>
      </c>
      <c r="F18" s="92">
        <f>LOOKUP(1,1/('[1]PURCHASE PRICE'!$B:$B=B18)/('[1]PURCHASE PRICE'!$A:$A=A18),'[1]PURCHASE PRICE'!$D:$D)</f>
        <v>9500</v>
      </c>
      <c r="G18" s="92">
        <f t="shared" si="2"/>
        <v>9500</v>
      </c>
      <c r="H18" s="13">
        <f t="shared" si="1"/>
        <v>1805000</v>
      </c>
    </row>
    <row r="19" spans="1:8" x14ac:dyDescent="0.3">
      <c r="A19" s="90">
        <f t="shared" si="0"/>
        <v>45655</v>
      </c>
      <c r="B19" t="s">
        <v>63</v>
      </c>
      <c r="C19" t="s">
        <v>168</v>
      </c>
      <c r="D19">
        <v>100</v>
      </c>
      <c r="E19" s="92">
        <f>LOOKUP(1,1/('[1]PURCHASE PRICE'!$B:$B=B19)/('[1]PURCHASE PRICE'!$A:$A=A19)/('[1]PURCHASE PRICE'!$C:$C=C19),'[1]PURCHASE PRICE'!$D:$D)</f>
        <v>30000</v>
      </c>
      <c r="F19" s="92">
        <f>LOOKUP(1,1/('[1]PURCHASE PRICE'!$B:$B=B19)/('[1]PURCHASE PRICE'!$A:$A=A19),'[1]PURCHASE PRICE'!$D:$D)</f>
        <v>30000</v>
      </c>
      <c r="G19" s="92">
        <f t="shared" si="2"/>
        <v>30000</v>
      </c>
      <c r="H19" s="13">
        <f t="shared" si="1"/>
        <v>3000000</v>
      </c>
    </row>
    <row r="20" spans="1:8" x14ac:dyDescent="0.3">
      <c r="A20" s="90">
        <f t="shared" si="0"/>
        <v>45655</v>
      </c>
      <c r="B20" t="s">
        <v>21</v>
      </c>
      <c r="C20" t="s">
        <v>22</v>
      </c>
      <c r="D20">
        <v>200</v>
      </c>
      <c r="E20" s="92">
        <f>LOOKUP(1,1/('[1]PURCHASE PRICE'!$B:$B=B20)/('[1]PURCHASE PRICE'!$A:$A=A20)/('[1]PURCHASE PRICE'!$C:$C=C20),'[1]PURCHASE PRICE'!$D:$D)</f>
        <v>4300</v>
      </c>
      <c r="F20" s="92">
        <f>LOOKUP(1,1/('[1]PURCHASE PRICE'!$B:$B=B20)/('[1]PURCHASE PRICE'!$A:$A=A20),'[1]PURCHASE PRICE'!$D:$D)</f>
        <v>4300</v>
      </c>
      <c r="G20" s="92">
        <f t="shared" si="2"/>
        <v>4300</v>
      </c>
      <c r="H20" s="13">
        <f t="shared" si="1"/>
        <v>860000</v>
      </c>
    </row>
    <row r="21" spans="1:8" x14ac:dyDescent="0.3">
      <c r="A21" s="90">
        <f t="shared" si="0"/>
        <v>45655</v>
      </c>
      <c r="B21" t="s">
        <v>69</v>
      </c>
      <c r="C21" t="s">
        <v>168</v>
      </c>
      <c r="D21">
        <v>20</v>
      </c>
      <c r="E21" s="92">
        <f>LOOKUP(1,1/('[1]PURCHASE PRICE'!$B:$B=B21)/('[1]PURCHASE PRICE'!$A:$A=A21)/('[1]PURCHASE PRICE'!$C:$C=C21),'[1]PURCHASE PRICE'!$D:$D)</f>
        <v>8000</v>
      </c>
      <c r="F21" s="92">
        <f>LOOKUP(1,1/('[1]PURCHASE PRICE'!$B:$B=B21)/('[1]PURCHASE PRICE'!$A:$A=A21),'[1]PURCHASE PRICE'!$D:$D)</f>
        <v>8000</v>
      </c>
      <c r="G21" s="92">
        <f t="shared" si="2"/>
        <v>8000</v>
      </c>
      <c r="H21" s="13">
        <f t="shared" si="1"/>
        <v>160000</v>
      </c>
    </row>
    <row r="22" spans="1:8" x14ac:dyDescent="0.3">
      <c r="A22" s="90">
        <f t="shared" si="0"/>
        <v>45655</v>
      </c>
      <c r="B22" t="s">
        <v>24</v>
      </c>
      <c r="C22" t="s">
        <v>25</v>
      </c>
      <c r="D22">
        <v>150</v>
      </c>
      <c r="E22" s="92" t="e">
        <f>LOOKUP(1,1/('[1]PURCHASE PRICE'!$B:$B=B22)/('[1]PURCHASE PRICE'!$A:$A=A22)/('[1]PURCHASE PRICE'!$C:$C=C22),'[1]PURCHASE PRICE'!$D:$D)</f>
        <v>#N/A</v>
      </c>
      <c r="F22" s="92">
        <f>LOOKUP(1,1/('[1]PURCHASE PRICE'!$B:$B=B22)/('[1]PURCHASE PRICE'!$A:$A=A22),'[1]PURCHASE PRICE'!$D:$D)</f>
        <v>12000</v>
      </c>
      <c r="G22" s="92">
        <f>F22/2</f>
        <v>6000</v>
      </c>
      <c r="H22" s="13">
        <f t="shared" si="1"/>
        <v>900000</v>
      </c>
    </row>
    <row r="23" spans="1:8" x14ac:dyDescent="0.3">
      <c r="A23" s="90">
        <f t="shared" si="0"/>
        <v>45655</v>
      </c>
      <c r="B23" t="s">
        <v>26</v>
      </c>
      <c r="C23" t="s">
        <v>11</v>
      </c>
      <c r="D23">
        <v>70</v>
      </c>
      <c r="E23" s="92">
        <f>LOOKUP(1,1/('[1]PURCHASE PRICE'!$B:$B=B23)/('[1]PURCHASE PRICE'!$A:$A=A23)/('[1]PURCHASE PRICE'!$C:$C=C23),'[1]PURCHASE PRICE'!$D:$D)</f>
        <v>6750</v>
      </c>
      <c r="F23" s="92">
        <f>LOOKUP(1,1/('[1]PURCHASE PRICE'!$B:$B=B23)/('[1]PURCHASE PRICE'!$A:$A=A23),'[1]PURCHASE PRICE'!$D:$D)</f>
        <v>6750</v>
      </c>
      <c r="G23" s="92">
        <f>F23</f>
        <v>6750</v>
      </c>
      <c r="H23" s="13">
        <f t="shared" si="1"/>
        <v>472500</v>
      </c>
    </row>
    <row r="24" spans="1:8" x14ac:dyDescent="0.3">
      <c r="A24" s="90">
        <f t="shared" si="0"/>
        <v>45655</v>
      </c>
      <c r="B24" t="s">
        <v>27</v>
      </c>
      <c r="C24" t="s">
        <v>16</v>
      </c>
      <c r="D24">
        <v>30</v>
      </c>
      <c r="E24" s="92">
        <f>LOOKUP(1,1/('[1]PURCHASE PRICE'!$B:$B=B24)/('[1]PURCHASE PRICE'!$A:$A=A24)/('[1]PURCHASE PRICE'!$C:$C=C24),'[1]PURCHASE PRICE'!$D:$D)</f>
        <v>11000</v>
      </c>
      <c r="F24" s="92">
        <f>LOOKUP(1,1/('[1]PURCHASE PRICE'!$B:$B=B24)/('[1]PURCHASE PRICE'!$A:$A=A24),'[1]PURCHASE PRICE'!$D:$D)</f>
        <v>11000</v>
      </c>
      <c r="G24" s="92">
        <f t="shared" ref="G24:G30" si="3">F24</f>
        <v>11000</v>
      </c>
      <c r="H24" s="13">
        <f t="shared" si="1"/>
        <v>330000</v>
      </c>
    </row>
    <row r="25" spans="1:8" x14ac:dyDescent="0.3">
      <c r="A25" s="90">
        <f t="shared" si="0"/>
        <v>45655</v>
      </c>
      <c r="B25" t="s">
        <v>74</v>
      </c>
      <c r="C25" t="s">
        <v>168</v>
      </c>
      <c r="D25">
        <v>40</v>
      </c>
      <c r="E25" s="92">
        <f>LOOKUP(1,1/('[1]PURCHASE PRICE'!$B:$B=B25)/('[1]PURCHASE PRICE'!$A:$A=A25)/('[1]PURCHASE PRICE'!$C:$C=C25),'[1]PURCHASE PRICE'!$D:$D)</f>
        <v>10000</v>
      </c>
      <c r="F25" s="92">
        <f>LOOKUP(1,1/('[1]PURCHASE PRICE'!$B:$B=B25)/('[1]PURCHASE PRICE'!$A:$A=A25),'[1]PURCHASE PRICE'!$D:$D)</f>
        <v>10000</v>
      </c>
      <c r="G25" s="92">
        <f t="shared" si="3"/>
        <v>10000</v>
      </c>
      <c r="H25" s="13">
        <f t="shared" si="1"/>
        <v>400000</v>
      </c>
    </row>
    <row r="26" spans="1:8" x14ac:dyDescent="0.3">
      <c r="A26" s="90">
        <f t="shared" si="0"/>
        <v>45655</v>
      </c>
      <c r="B26" t="s">
        <v>29</v>
      </c>
      <c r="C26" t="s">
        <v>168</v>
      </c>
      <c r="D26">
        <v>30</v>
      </c>
      <c r="E26" s="92">
        <f>LOOKUP(1,1/('[1]PURCHASE PRICE'!$B:$B=B26)/('[1]PURCHASE PRICE'!$A:$A=A26)/('[1]PURCHASE PRICE'!$C:$C=C26),'[1]PURCHASE PRICE'!$D:$D)</f>
        <v>14500</v>
      </c>
      <c r="F26" s="92">
        <f>LOOKUP(1,1/('[1]PURCHASE PRICE'!$B:$B=B26)/('[1]PURCHASE PRICE'!$A:$A=A26),'[1]PURCHASE PRICE'!$D:$D)</f>
        <v>14500</v>
      </c>
      <c r="G26" s="92">
        <f t="shared" si="3"/>
        <v>14500</v>
      </c>
      <c r="H26" s="13">
        <f t="shared" si="1"/>
        <v>435000</v>
      </c>
    </row>
    <row r="27" spans="1:8" x14ac:dyDescent="0.3">
      <c r="A27" s="90">
        <f t="shared" si="0"/>
        <v>45655</v>
      </c>
      <c r="B27" t="s">
        <v>30</v>
      </c>
      <c r="C27" t="s">
        <v>168</v>
      </c>
      <c r="D27">
        <v>200</v>
      </c>
      <c r="E27" s="92">
        <f>LOOKUP(1,1/('[1]PURCHASE PRICE'!$B:$B=B27)/('[1]PURCHASE PRICE'!$A:$A=A27)/('[1]PURCHASE PRICE'!$C:$C=C27),'[1]PURCHASE PRICE'!$D:$D)</f>
        <v>28000</v>
      </c>
      <c r="F27" s="92">
        <f>LOOKUP(1,1/('[1]PURCHASE PRICE'!$B:$B=B27)/('[1]PURCHASE PRICE'!$A:$A=A27),'[1]PURCHASE PRICE'!$D:$D)</f>
        <v>28000</v>
      </c>
      <c r="G27" s="92">
        <f t="shared" si="3"/>
        <v>28000</v>
      </c>
      <c r="H27" s="13">
        <f t="shared" si="1"/>
        <v>5600000</v>
      </c>
    </row>
    <row r="28" spans="1:8" x14ac:dyDescent="0.3">
      <c r="A28" s="90">
        <f t="shared" si="0"/>
        <v>45655</v>
      </c>
      <c r="B28" t="s">
        <v>31</v>
      </c>
      <c r="C28" t="s">
        <v>168</v>
      </c>
      <c r="D28">
        <v>200</v>
      </c>
      <c r="E28" s="92">
        <f>LOOKUP(1,1/('[1]PURCHASE PRICE'!$B:$B=B28)/('[1]PURCHASE PRICE'!$A:$A=A28)/('[1]PURCHASE PRICE'!$C:$C=C28),'[1]PURCHASE PRICE'!$D:$D)</f>
        <v>16500</v>
      </c>
      <c r="F28" s="92">
        <f>LOOKUP(1,1/('[1]PURCHASE PRICE'!$B:$B=B28)/('[1]PURCHASE PRICE'!$A:$A=A28),'[1]PURCHASE PRICE'!$D:$D)</f>
        <v>16500</v>
      </c>
      <c r="G28" s="92">
        <f t="shared" si="3"/>
        <v>16500</v>
      </c>
      <c r="H28" s="13">
        <f t="shared" si="1"/>
        <v>3300000</v>
      </c>
    </row>
    <row r="29" spans="1:8" x14ac:dyDescent="0.3">
      <c r="A29" s="90">
        <f t="shared" si="0"/>
        <v>45655</v>
      </c>
      <c r="B29" t="s">
        <v>32</v>
      </c>
      <c r="C29" t="s">
        <v>168</v>
      </c>
      <c r="D29">
        <v>70</v>
      </c>
      <c r="E29" s="92">
        <f>LOOKUP(1,1/('[1]PURCHASE PRICE'!$B:$B=B29)/('[1]PURCHASE PRICE'!$A:$A=A29)/('[1]PURCHASE PRICE'!$C:$C=C29),'[1]PURCHASE PRICE'!$D:$D)</f>
        <v>25000</v>
      </c>
      <c r="F29" s="92">
        <f>LOOKUP(1,1/('[1]PURCHASE PRICE'!$B:$B=B29)/('[1]PURCHASE PRICE'!$A:$A=A29),'[1]PURCHASE PRICE'!$D:$D)</f>
        <v>25000</v>
      </c>
      <c r="G29" s="92">
        <f t="shared" si="3"/>
        <v>25000</v>
      </c>
      <c r="H29" s="13">
        <f t="shared" si="1"/>
        <v>1750000</v>
      </c>
    </row>
    <row r="30" spans="1:8" x14ac:dyDescent="0.3">
      <c r="A30" s="90">
        <f t="shared" si="0"/>
        <v>45655</v>
      </c>
      <c r="B30" t="s">
        <v>34</v>
      </c>
      <c r="C30" t="s">
        <v>36</v>
      </c>
      <c r="D30">
        <v>50</v>
      </c>
      <c r="E30" s="92">
        <f>LOOKUP(1,1/('[1]PURCHASE PRICE'!$B:$B=B30)/('[1]PURCHASE PRICE'!$A:$A=A30)/('[1]PURCHASE PRICE'!$C:$C=C30),'[1]PURCHASE PRICE'!$D:$D)</f>
        <v>7000</v>
      </c>
      <c r="F30" s="92">
        <f>LOOKUP(1,1/('[1]PURCHASE PRICE'!$B:$B=B30)/('[1]PURCHASE PRICE'!$A:$A=A30),'[1]PURCHASE PRICE'!$D:$D)</f>
        <v>7000</v>
      </c>
      <c r="G30" s="92">
        <f t="shared" si="3"/>
        <v>7000</v>
      </c>
      <c r="H30" s="13">
        <f t="shared" si="1"/>
        <v>350000</v>
      </c>
    </row>
    <row r="31" spans="1:8" x14ac:dyDescent="0.3">
      <c r="A31" s="90">
        <f t="shared" si="0"/>
        <v>45655</v>
      </c>
      <c r="B31" t="s">
        <v>37</v>
      </c>
      <c r="C31" t="s">
        <v>11</v>
      </c>
      <c r="D31">
        <v>1500</v>
      </c>
      <c r="E31" s="92">
        <f>LOOKUP(1,1/('[1]PURCHASE PRICE'!$B:$B=B31)/('[1]PURCHASE PRICE'!$A:$A=A31)/('[1]PURCHASE PRICE'!$C:$C=C31),'[1]PURCHASE PRICE'!$D:$D)</f>
        <v>6000</v>
      </c>
      <c r="F31" s="92">
        <f>LOOKUP(1,1/('[1]PURCHASE PRICE'!$B:$B=B31)/('[1]PURCHASE PRICE'!$A:$A=A31),'[1]PURCHASE PRICE'!$D:$D)</f>
        <v>9500</v>
      </c>
      <c r="G31" s="92">
        <f>E31</f>
        <v>6000</v>
      </c>
      <c r="H31" s="13">
        <f t="shared" si="1"/>
        <v>9000000</v>
      </c>
    </row>
    <row r="32" spans="1:8" x14ac:dyDescent="0.3">
      <c r="A32" s="90">
        <f t="shared" si="0"/>
        <v>45655</v>
      </c>
      <c r="B32" t="s">
        <v>38</v>
      </c>
      <c r="C32" t="s">
        <v>231</v>
      </c>
      <c r="D32">
        <v>50</v>
      </c>
      <c r="E32" s="92" t="e">
        <f>LOOKUP(1,1/('[1]PURCHASE PRICE'!$B:$B=B32)/('[1]PURCHASE PRICE'!$A:$A=A32)/('[1]PURCHASE PRICE'!$C:$C=C32),'[1]PURCHASE PRICE'!$D:$D)</f>
        <v>#N/A</v>
      </c>
      <c r="F32" s="92">
        <f>LOOKUP(1,1/('[1]PURCHASE PRICE'!$B:$B=B32)/('[1]PURCHASE PRICE'!$A:$A=A32),'[1]PURCHASE PRICE'!$D:$D)</f>
        <v>14000</v>
      </c>
      <c r="G32" s="92">
        <f>F32*0.6</f>
        <v>8400</v>
      </c>
      <c r="H32" s="13">
        <f t="shared" si="1"/>
        <v>420000</v>
      </c>
    </row>
    <row r="33" spans="1:8" x14ac:dyDescent="0.3">
      <c r="A33" s="90">
        <f t="shared" si="0"/>
        <v>45655</v>
      </c>
      <c r="B33" t="s">
        <v>39</v>
      </c>
      <c r="C33" t="s">
        <v>168</v>
      </c>
      <c r="D33">
        <v>30</v>
      </c>
      <c r="E33" s="92">
        <f>LOOKUP(1,1/('[1]PURCHASE PRICE'!$B:$B=B33)/('[1]PURCHASE PRICE'!$A:$A=A33)/('[1]PURCHASE PRICE'!$C:$C=C33),'[1]PURCHASE PRICE'!$D:$D)</f>
        <v>12000</v>
      </c>
      <c r="F33" s="92">
        <f>LOOKUP(1,1/('[1]PURCHASE PRICE'!$B:$B=B33)/('[1]PURCHASE PRICE'!$A:$A=A33),'[1]PURCHASE PRICE'!$D:$D)</f>
        <v>12000</v>
      </c>
      <c r="G33" s="92">
        <f>F33</f>
        <v>12000</v>
      </c>
      <c r="H33" s="13">
        <f t="shared" si="1"/>
        <v>360000</v>
      </c>
    </row>
    <row r="34" spans="1:8" x14ac:dyDescent="0.3">
      <c r="A34" s="90">
        <f t="shared" si="0"/>
        <v>45655</v>
      </c>
      <c r="B34" t="s">
        <v>40</v>
      </c>
      <c r="C34" t="s">
        <v>168</v>
      </c>
      <c r="D34">
        <v>30</v>
      </c>
      <c r="E34" s="92">
        <f>LOOKUP(1,1/('[1]PURCHASE PRICE'!$B:$B=B34)/('[1]PURCHASE PRICE'!$A:$A=A34)/('[1]PURCHASE PRICE'!$C:$C=C34),'[1]PURCHASE PRICE'!$D:$D)</f>
        <v>17000</v>
      </c>
      <c r="F34" s="92">
        <f>LOOKUP(1,1/('[1]PURCHASE PRICE'!$B:$B=B34)/('[1]PURCHASE PRICE'!$A:$A=A34),'[1]PURCHASE PRICE'!$D:$D)</f>
        <v>17000</v>
      </c>
      <c r="G34" s="92">
        <f>F34</f>
        <v>17000</v>
      </c>
      <c r="H34" s="13">
        <f t="shared" si="1"/>
        <v>510000</v>
      </c>
    </row>
    <row r="35" spans="1:8" x14ac:dyDescent="0.3">
      <c r="A35" s="90">
        <f t="shared" si="0"/>
        <v>45655</v>
      </c>
      <c r="B35" t="s">
        <v>40</v>
      </c>
      <c r="C35" t="s">
        <v>25</v>
      </c>
      <c r="D35">
        <v>160</v>
      </c>
      <c r="E35" s="92" t="e">
        <f>LOOKUP(1,1/('[1]PURCHASE PRICE'!$B:$B=B35)/('[1]PURCHASE PRICE'!$A:$A=A35)/('[1]PURCHASE PRICE'!$C:$C=C35),'[1]PURCHASE PRICE'!$D:$D)</f>
        <v>#N/A</v>
      </c>
      <c r="F35" s="92">
        <f>LOOKUP(1,1/('[1]PURCHASE PRICE'!$B:$B=B35)/('[1]PURCHASE PRICE'!$A:$A=A35),'[1]PURCHASE PRICE'!$D:$D)</f>
        <v>17000</v>
      </c>
      <c r="G35" s="92">
        <f>F35*0.15</f>
        <v>2550</v>
      </c>
      <c r="H35" s="13">
        <f t="shared" si="1"/>
        <v>408000</v>
      </c>
    </row>
    <row r="36" spans="1:8" x14ac:dyDescent="0.3">
      <c r="A36" s="90">
        <f t="shared" si="0"/>
        <v>45655</v>
      </c>
      <c r="B36" t="s">
        <v>41</v>
      </c>
      <c r="C36" t="s">
        <v>16</v>
      </c>
      <c r="D36">
        <v>30</v>
      </c>
      <c r="E36" s="92" t="e">
        <f>LOOKUP(1,1/('[1]PURCHASE PRICE'!$B:$B=B36)/('[1]PURCHASE PRICE'!$A:$A=A36)/('[1]PURCHASE PRICE'!$C:$C=C36),'[1]PURCHASE PRICE'!$D:$D)</f>
        <v>#N/A</v>
      </c>
      <c r="F36" s="92">
        <f>LOOKUP(1,1/('[1]PURCHASE PRICE'!$B:$B=B36)/('[1]PURCHASE PRICE'!$A:$A=A36),'[1]PURCHASE PRICE'!$D:$D)</f>
        <v>200000</v>
      </c>
      <c r="G36" s="92">
        <f>F36/2</f>
        <v>100000</v>
      </c>
      <c r="H36" s="13">
        <f t="shared" si="1"/>
        <v>3000000</v>
      </c>
    </row>
    <row r="37" spans="1:8" x14ac:dyDescent="0.3">
      <c r="A37" s="90">
        <f t="shared" si="0"/>
        <v>45655</v>
      </c>
      <c r="B37" t="s">
        <v>42</v>
      </c>
      <c r="C37" t="s">
        <v>168</v>
      </c>
      <c r="D37">
        <v>0</v>
      </c>
      <c r="E37" s="92" t="e">
        <f>LOOKUP(1,1/('[1]PURCHASE PRICE'!$B:$B=B37)/('[1]PURCHASE PRICE'!$A:$A=A37)/('[1]PURCHASE PRICE'!$C:$C=C37),'[1]PURCHASE PRICE'!$D:$D)</f>
        <v>#N/A</v>
      </c>
      <c r="F37" s="92" t="e">
        <f>LOOKUP(1,1/('[1]PURCHASE PRICE'!$B:$B=B37)/('[1]PURCHASE PRICE'!$A:$A=A37),'[1]PURCHASE PRICE'!$D:$D)</f>
        <v>#N/A</v>
      </c>
      <c r="H37" s="13">
        <f t="shared" si="1"/>
        <v>0</v>
      </c>
    </row>
    <row r="38" spans="1:8" x14ac:dyDescent="0.3">
      <c r="A38" s="90">
        <f t="shared" si="0"/>
        <v>45655</v>
      </c>
      <c r="B38" t="s">
        <v>45</v>
      </c>
      <c r="C38" t="s">
        <v>22</v>
      </c>
      <c r="D38">
        <v>550</v>
      </c>
      <c r="E38" s="92">
        <f>LOOKUP(1,1/('[1]PURCHASE PRICE'!$B:$B=B38)/('[1]PURCHASE PRICE'!$A:$A=A38)/('[1]PURCHASE PRICE'!$C:$C=C38),'[1]PURCHASE PRICE'!$D:$D)</f>
        <v>3000</v>
      </c>
      <c r="F38" s="92">
        <f>LOOKUP(1,1/('[1]PURCHASE PRICE'!$B:$B=B38)/('[1]PURCHASE PRICE'!$A:$A=A38),'[1]PURCHASE PRICE'!$D:$D)</f>
        <v>3000</v>
      </c>
      <c r="G38" s="92">
        <f>F38</f>
        <v>3000</v>
      </c>
      <c r="H38" s="13">
        <f t="shared" si="1"/>
        <v>1650000</v>
      </c>
    </row>
    <row r="39" spans="1:8" x14ac:dyDescent="0.3">
      <c r="A39" s="90">
        <f t="shared" si="0"/>
        <v>45655</v>
      </c>
      <c r="B39" t="s">
        <v>141</v>
      </c>
      <c r="C39" t="s">
        <v>168</v>
      </c>
      <c r="D39">
        <v>5</v>
      </c>
      <c r="E39" s="92">
        <f>LOOKUP(1,1/('[1]PURCHASE PRICE'!$B:$B=B39)/('[1]PURCHASE PRICE'!$A:$A=A39)/('[1]PURCHASE PRICE'!$C:$C=C39),'[1]PURCHASE PRICE'!$D:$D)</f>
        <v>14000</v>
      </c>
      <c r="F39" s="92">
        <f>LOOKUP(1,1/('[1]PURCHASE PRICE'!$B:$B=B39)/('[1]PURCHASE PRICE'!$A:$A=A39),'[1]PURCHASE PRICE'!$D:$D)</f>
        <v>14000</v>
      </c>
      <c r="G39" s="92">
        <f t="shared" ref="G39:G41" si="4">F39</f>
        <v>14000</v>
      </c>
      <c r="H39" s="13">
        <f t="shared" si="1"/>
        <v>70000</v>
      </c>
    </row>
    <row r="40" spans="1:8" x14ac:dyDescent="0.3">
      <c r="A40" s="90">
        <f t="shared" si="0"/>
        <v>45655</v>
      </c>
      <c r="B40" t="s">
        <v>46</v>
      </c>
      <c r="C40" t="s">
        <v>168</v>
      </c>
      <c r="D40">
        <v>30</v>
      </c>
      <c r="E40" s="92">
        <f>LOOKUP(1,1/('[1]PURCHASE PRICE'!$B:$B=B40)/('[1]PURCHASE PRICE'!$A:$A=A40)/('[1]PURCHASE PRICE'!$C:$C=C40),'[1]PURCHASE PRICE'!$D:$D)</f>
        <v>42000</v>
      </c>
      <c r="F40" s="92">
        <f>LOOKUP(1,1/('[1]PURCHASE PRICE'!$B:$B=B40)/('[1]PURCHASE PRICE'!$A:$A=A40),'[1]PURCHASE PRICE'!$D:$D)</f>
        <v>42000</v>
      </c>
      <c r="G40" s="92">
        <f t="shared" si="4"/>
        <v>42000</v>
      </c>
      <c r="H40" s="13">
        <f t="shared" si="1"/>
        <v>1260000</v>
      </c>
    </row>
    <row r="41" spans="1:8" x14ac:dyDescent="0.3">
      <c r="A41" s="90">
        <f t="shared" si="0"/>
        <v>45655</v>
      </c>
      <c r="B41" t="s">
        <v>64</v>
      </c>
      <c r="C41" t="s">
        <v>168</v>
      </c>
      <c r="D41">
        <v>45</v>
      </c>
      <c r="E41" s="92">
        <f>LOOKUP(1,1/('[1]PURCHASE PRICE'!$B:$B=B41)/('[1]PURCHASE PRICE'!$A:$A=A41)/('[1]PURCHASE PRICE'!$C:$C=C41),'[1]PURCHASE PRICE'!$D:$D)</f>
        <v>45000</v>
      </c>
      <c r="F41" s="92">
        <f>LOOKUP(1,1/('[1]PURCHASE PRICE'!$B:$B=B41)/('[1]PURCHASE PRICE'!$A:$A=A41),'[1]PURCHASE PRICE'!$D:$D)</f>
        <v>45000</v>
      </c>
      <c r="G41" s="92">
        <f t="shared" si="4"/>
        <v>45000</v>
      </c>
      <c r="H41" s="13">
        <f t="shared" si="1"/>
        <v>2025000</v>
      </c>
    </row>
    <row r="42" spans="1:8" x14ac:dyDescent="0.3">
      <c r="A42" s="90">
        <f t="shared" si="0"/>
        <v>45655</v>
      </c>
      <c r="B42" t="s">
        <v>47</v>
      </c>
      <c r="C42" t="s">
        <v>224</v>
      </c>
      <c r="D42">
        <v>800</v>
      </c>
      <c r="E42" s="92" t="e">
        <f>LOOKUP(1,1/('[1]PURCHASE PRICE'!$B:$B=B42)/('[1]PURCHASE PRICE'!$A:$A=A42)/('[1]PURCHASE PRICE'!$C:$C=C42),'[1]PURCHASE PRICE'!$D:$D)</f>
        <v>#N/A</v>
      </c>
      <c r="F42" s="92">
        <f>LOOKUP(1,1/('[1]PURCHASE PRICE'!$B:$B=B42)/('[1]PURCHASE PRICE'!$A:$A=A42),'[1]PURCHASE PRICE'!$D:$D)</f>
        <v>38000</v>
      </c>
      <c r="G42" s="92">
        <f>F42*0.25</f>
        <v>9500</v>
      </c>
      <c r="H42" s="13">
        <f t="shared" si="1"/>
        <v>7600000</v>
      </c>
    </row>
    <row r="43" spans="1:8" x14ac:dyDescent="0.3">
      <c r="A43" s="90">
        <f t="shared" si="0"/>
        <v>45655</v>
      </c>
      <c r="B43" t="s">
        <v>47</v>
      </c>
      <c r="C43" t="s">
        <v>168</v>
      </c>
      <c r="D43">
        <v>100</v>
      </c>
      <c r="E43" s="92">
        <f>LOOKUP(1,1/('[1]PURCHASE PRICE'!$B:$B=B43)/('[1]PURCHASE PRICE'!$A:$A=A43)/('[1]PURCHASE PRICE'!$C:$C=C43),'[1]PURCHASE PRICE'!$D:$D)</f>
        <v>38000</v>
      </c>
      <c r="F43" s="92">
        <f>LOOKUP(1,1/('[1]PURCHASE PRICE'!$B:$B=B43)/('[1]PURCHASE PRICE'!$A:$A=A43),'[1]PURCHASE PRICE'!$D:$D)</f>
        <v>38000</v>
      </c>
      <c r="G43" s="92">
        <f>F43</f>
        <v>38000</v>
      </c>
      <c r="H43" s="13">
        <f t="shared" si="1"/>
        <v>3800000</v>
      </c>
    </row>
    <row r="44" spans="1:8" x14ac:dyDescent="0.3">
      <c r="A44" s="90">
        <f t="shared" si="0"/>
        <v>45655</v>
      </c>
      <c r="B44" t="s">
        <v>48</v>
      </c>
      <c r="C44" t="s">
        <v>168</v>
      </c>
      <c r="D44">
        <v>18</v>
      </c>
      <c r="E44" s="92">
        <f>LOOKUP(1,1/('[1]PURCHASE PRICE'!$B:$B=B44)/('[1]PURCHASE PRICE'!$A:$A=A44)/('[1]PURCHASE PRICE'!$C:$C=C44),'[1]PURCHASE PRICE'!$D:$D)</f>
        <v>55000</v>
      </c>
      <c r="F44" s="92">
        <f>LOOKUP(1,1/('[1]PURCHASE PRICE'!$B:$B=B44)/('[1]PURCHASE PRICE'!$A:$A=A44),'[1]PURCHASE PRICE'!$D:$D)</f>
        <v>55000</v>
      </c>
      <c r="G44" s="92">
        <f>F44</f>
        <v>55000</v>
      </c>
      <c r="H44" s="13">
        <f t="shared" si="1"/>
        <v>990000</v>
      </c>
    </row>
    <row r="45" spans="1:8" x14ac:dyDescent="0.3">
      <c r="A45" s="90">
        <f t="shared" si="0"/>
        <v>45655</v>
      </c>
      <c r="B45" t="s">
        <v>50</v>
      </c>
      <c r="C45" t="s">
        <v>224</v>
      </c>
      <c r="D45">
        <v>400</v>
      </c>
      <c r="E45" s="92" t="e">
        <f>LOOKUP(1,1/('[1]PURCHASE PRICE'!$B:$B=B45)/('[1]PURCHASE PRICE'!$A:$A=A45)/('[1]PURCHASE PRICE'!$C:$C=C45),'[1]PURCHASE PRICE'!$D:$D)</f>
        <v>#N/A</v>
      </c>
      <c r="F45" s="92">
        <f>LOOKUP(1,1/('[1]PURCHASE PRICE'!$B:$B=B45)/('[1]PURCHASE PRICE'!$A:$A=A45),'[1]PURCHASE PRICE'!$D:$D)</f>
        <v>42000</v>
      </c>
      <c r="G45" s="92">
        <f>F45*0.25</f>
        <v>10500</v>
      </c>
      <c r="H45" s="13">
        <f t="shared" si="1"/>
        <v>4200000</v>
      </c>
    </row>
    <row r="46" spans="1:8" x14ac:dyDescent="0.3">
      <c r="A46" s="90">
        <f t="shared" si="0"/>
        <v>45655</v>
      </c>
      <c r="B46" t="s">
        <v>50</v>
      </c>
      <c r="C46" t="s">
        <v>168</v>
      </c>
      <c r="D46">
        <v>50</v>
      </c>
      <c r="E46" s="92">
        <f>LOOKUP(1,1/('[1]PURCHASE PRICE'!$B:$B=B46)/('[1]PURCHASE PRICE'!$A:$A=A46)/('[1]PURCHASE PRICE'!$C:$C=C46),'[1]PURCHASE PRICE'!$D:$D)</f>
        <v>42000</v>
      </c>
      <c r="F46" s="92">
        <f>LOOKUP(1,1/('[1]PURCHASE PRICE'!$B:$B=B46)/('[1]PURCHASE PRICE'!$A:$A=A46),'[1]PURCHASE PRICE'!$D:$D)</f>
        <v>42000</v>
      </c>
      <c r="G46" s="92">
        <f>+F46</f>
        <v>42000</v>
      </c>
      <c r="H46" s="13">
        <f t="shared" si="1"/>
        <v>2100000</v>
      </c>
    </row>
    <row r="47" spans="1:8" x14ac:dyDescent="0.3">
      <c r="A47" s="90">
        <f t="shared" si="0"/>
        <v>45655</v>
      </c>
      <c r="B47" t="s">
        <v>51</v>
      </c>
      <c r="C47" t="s">
        <v>189</v>
      </c>
      <c r="D47">
        <v>100</v>
      </c>
      <c r="E47" s="92">
        <f>LOOKUP(1,1/('[1]PURCHASE PRICE'!$B:$B=B47)/('[1]PURCHASE PRICE'!$A:$A=A47)/('[1]PURCHASE PRICE'!$C:$C=C47),'[1]PURCHASE PRICE'!$D:$D)</f>
        <v>32000</v>
      </c>
      <c r="F47" s="92">
        <f>LOOKUP(1,1/('[1]PURCHASE PRICE'!$B:$B=B47)/('[1]PURCHASE PRICE'!$A:$A=A47),'[1]PURCHASE PRICE'!$D:$D)</f>
        <v>32000</v>
      </c>
      <c r="G47" s="92">
        <f>F47</f>
        <v>32000</v>
      </c>
      <c r="H47" s="13">
        <f t="shared" si="1"/>
        <v>3200000</v>
      </c>
    </row>
    <row r="48" spans="1:8" x14ac:dyDescent="0.3">
      <c r="A48" s="90">
        <f t="shared" si="0"/>
        <v>45655</v>
      </c>
      <c r="B48" t="s">
        <v>52</v>
      </c>
      <c r="C48" t="s">
        <v>22</v>
      </c>
      <c r="D48">
        <v>250</v>
      </c>
      <c r="E48" s="92">
        <f>LOOKUP(1,1/('[1]PURCHASE PRICE'!$B:$B=B48)/('[1]PURCHASE PRICE'!$A:$A=A48)/('[1]PURCHASE PRICE'!$C:$C=C48),'[1]PURCHASE PRICE'!$D:$D)</f>
        <v>22000</v>
      </c>
      <c r="F48" s="92">
        <f>LOOKUP(1,1/('[1]PURCHASE PRICE'!$B:$B=B48)/('[1]PURCHASE PRICE'!$A:$A=A48),'[1]PURCHASE PRICE'!$D:$D)</f>
        <v>22000</v>
      </c>
      <c r="G48" s="92">
        <f>+F48</f>
        <v>22000</v>
      </c>
      <c r="H48" s="13">
        <f t="shared" si="1"/>
        <v>5500000</v>
      </c>
    </row>
    <row r="49" spans="1:8" x14ac:dyDescent="0.3">
      <c r="A49" s="90">
        <f t="shared" si="0"/>
        <v>45655</v>
      </c>
      <c r="B49" t="s">
        <v>53</v>
      </c>
      <c r="C49" t="s">
        <v>168</v>
      </c>
      <c r="D49">
        <v>15</v>
      </c>
      <c r="E49" s="92">
        <f>LOOKUP(1,1/('[1]PURCHASE PRICE'!$B:$B=B49)/('[1]PURCHASE PRICE'!$A:$A=A49)/('[1]PURCHASE PRICE'!$C:$C=C49),'[1]PURCHASE PRICE'!$D:$D)</f>
        <v>45000</v>
      </c>
      <c r="F49" s="92">
        <f>LOOKUP(1,1/('[1]PURCHASE PRICE'!$B:$B=B49)/('[1]PURCHASE PRICE'!$A:$A=A49),'[1]PURCHASE PRICE'!$D:$D)</f>
        <v>45000</v>
      </c>
      <c r="G49" s="92">
        <f t="shared" ref="G49:G53" si="5">+F49</f>
        <v>45000</v>
      </c>
      <c r="H49" s="13">
        <f t="shared" si="1"/>
        <v>675000</v>
      </c>
    </row>
    <row r="50" spans="1:8" x14ac:dyDescent="0.3">
      <c r="A50" s="90">
        <f t="shared" si="0"/>
        <v>45655</v>
      </c>
      <c r="B50" t="s">
        <v>75</v>
      </c>
      <c r="C50" t="s">
        <v>168</v>
      </c>
      <c r="D50">
        <v>20</v>
      </c>
      <c r="E50" s="92">
        <f>LOOKUP(1,1/('[1]PURCHASE PRICE'!$B:$B=B50)/('[1]PURCHASE PRICE'!$A:$A=A50)/('[1]PURCHASE PRICE'!$C:$C=C50),'[1]PURCHASE PRICE'!$D:$D)</f>
        <v>55000</v>
      </c>
      <c r="F50" s="92">
        <f>LOOKUP(1,1/('[1]PURCHASE PRICE'!$B:$B=B50)/('[1]PURCHASE PRICE'!$A:$A=A50),'[1]PURCHASE PRICE'!$D:$D)</f>
        <v>55000</v>
      </c>
      <c r="G50" s="92">
        <f t="shared" si="5"/>
        <v>55000</v>
      </c>
      <c r="H50" s="13">
        <f t="shared" si="1"/>
        <v>1100000</v>
      </c>
    </row>
    <row r="51" spans="1:8" x14ac:dyDescent="0.3">
      <c r="A51" s="90">
        <f t="shared" si="0"/>
        <v>45655</v>
      </c>
      <c r="B51" t="s">
        <v>76</v>
      </c>
      <c r="C51" t="s">
        <v>168</v>
      </c>
      <c r="D51">
        <v>10</v>
      </c>
      <c r="E51" s="92">
        <f>LOOKUP(1,1/('[1]PURCHASE PRICE'!$B:$B=B51)/('[1]PURCHASE PRICE'!$A:$A=A51)/('[1]PURCHASE PRICE'!$C:$C=C51),'[1]PURCHASE PRICE'!$D:$D)</f>
        <v>35000</v>
      </c>
      <c r="F51" s="92">
        <f>LOOKUP(1,1/('[1]PURCHASE PRICE'!$B:$B=B51)/('[1]PURCHASE PRICE'!$A:$A=A51),'[1]PURCHASE PRICE'!$D:$D)</f>
        <v>35000</v>
      </c>
      <c r="G51" s="92">
        <f t="shared" si="5"/>
        <v>35000</v>
      </c>
      <c r="H51" s="13">
        <f t="shared" si="1"/>
        <v>350000</v>
      </c>
    </row>
    <row r="52" spans="1:8" x14ac:dyDescent="0.3">
      <c r="A52" s="90">
        <f t="shared" si="0"/>
        <v>45655</v>
      </c>
      <c r="B52" t="s">
        <v>54</v>
      </c>
      <c r="C52" t="s">
        <v>168</v>
      </c>
      <c r="D52">
        <v>100</v>
      </c>
      <c r="E52" s="92">
        <f>LOOKUP(1,1/('[1]PURCHASE PRICE'!$B:$B=B52)/('[1]PURCHASE PRICE'!$A:$A=A52)/('[1]PURCHASE PRICE'!$C:$C=C52),'[1]PURCHASE PRICE'!$D:$D)</f>
        <v>30000</v>
      </c>
      <c r="F52" s="92">
        <f>LOOKUP(1,1/('[1]PURCHASE PRICE'!$B:$B=B52)/('[1]PURCHASE PRICE'!$A:$A=A52),'[1]PURCHASE PRICE'!$D:$D)</f>
        <v>30000</v>
      </c>
      <c r="G52" s="92">
        <f t="shared" si="5"/>
        <v>30000</v>
      </c>
      <c r="H52" s="13">
        <f t="shared" si="1"/>
        <v>3000000</v>
      </c>
    </row>
    <row r="53" spans="1:8" x14ac:dyDescent="0.3">
      <c r="A53" s="90">
        <f t="shared" si="0"/>
        <v>45655</v>
      </c>
      <c r="B53" t="s">
        <v>55</v>
      </c>
      <c r="C53" t="s">
        <v>25</v>
      </c>
      <c r="D53">
        <v>180</v>
      </c>
      <c r="E53" s="92">
        <f>LOOKUP(1,1/('[1]PURCHASE PRICE'!$B:$B=B53)/('[1]PURCHASE PRICE'!$A:$A=A53)/('[1]PURCHASE PRICE'!$C:$C=C53),'[1]PURCHASE PRICE'!$D:$D)</f>
        <v>6000</v>
      </c>
      <c r="F53" s="92">
        <f>LOOKUP(1,1/('[1]PURCHASE PRICE'!$B:$B=B53)/('[1]PURCHASE PRICE'!$A:$A=A53),'[1]PURCHASE PRICE'!$D:$D)</f>
        <v>6000</v>
      </c>
      <c r="G53" s="92">
        <f t="shared" si="5"/>
        <v>6000</v>
      </c>
      <c r="H53" s="13">
        <f t="shared" si="1"/>
        <v>1080000</v>
      </c>
    </row>
    <row r="54" spans="1:8" x14ac:dyDescent="0.3">
      <c r="A54" s="90">
        <f t="shared" si="0"/>
        <v>45655</v>
      </c>
      <c r="B54" t="s">
        <v>56</v>
      </c>
      <c r="C54" t="s">
        <v>168</v>
      </c>
      <c r="D54">
        <v>110</v>
      </c>
      <c r="E54" s="92">
        <f>LOOKUP(1,1/('[1]PURCHASE PRICE'!$B:$B=B54)/('[1]PURCHASE PRICE'!$A:$A=A54)/('[1]PURCHASE PRICE'!$C:$C=C54),'[1]PURCHASE PRICE'!$D:$D)</f>
        <v>27000</v>
      </c>
      <c r="F54" s="92">
        <f>LOOKUP(1,1/('[1]PURCHASE PRICE'!$B:$B=B54)/('[1]PURCHASE PRICE'!$A:$A=A54),'[1]PURCHASE PRICE'!$D:$D)</f>
        <v>27000</v>
      </c>
      <c r="G54" s="92">
        <f>F54</f>
        <v>27000</v>
      </c>
      <c r="H54" s="13">
        <f t="shared" si="1"/>
        <v>2970000</v>
      </c>
    </row>
    <row r="55" spans="1:8" x14ac:dyDescent="0.3">
      <c r="A55" s="90">
        <f t="shared" si="0"/>
        <v>45655</v>
      </c>
      <c r="B55" t="s">
        <v>57</v>
      </c>
      <c r="C55" t="s">
        <v>25</v>
      </c>
      <c r="D55">
        <v>0</v>
      </c>
      <c r="E55" s="92">
        <f>LOOKUP(1,1/('[1]PURCHASE PRICE'!$B:$B=B55)/('[1]PURCHASE PRICE'!$A:$A=A55)/('[1]PURCHASE PRICE'!$C:$C=C55),'[1]PURCHASE PRICE'!$D:$D)</f>
        <v>6800</v>
      </c>
      <c r="F55" s="92">
        <f>LOOKUP(1,1/('[1]PURCHASE PRICE'!$B:$B=B55)/('[1]PURCHASE PRICE'!$A:$A=A55),'[1]PURCHASE PRICE'!$D:$D)</f>
        <v>6800</v>
      </c>
      <c r="G55" s="92">
        <f t="shared" ref="G55:G57" si="6">F55</f>
        <v>6800</v>
      </c>
      <c r="H55" s="13">
        <f t="shared" si="1"/>
        <v>0</v>
      </c>
    </row>
    <row r="56" spans="1:8" x14ac:dyDescent="0.3">
      <c r="A56" s="90">
        <f t="shared" si="0"/>
        <v>45655</v>
      </c>
      <c r="B56" t="s">
        <v>58</v>
      </c>
      <c r="C56" t="s">
        <v>168</v>
      </c>
      <c r="D56">
        <v>60</v>
      </c>
      <c r="E56" s="92">
        <f>LOOKUP(1,1/('[1]PURCHASE PRICE'!$B:$B=B56)/('[1]PURCHASE PRICE'!$A:$A=A56)/('[1]PURCHASE PRICE'!$C:$C=C56),'[1]PURCHASE PRICE'!$D:$D)</f>
        <v>23000</v>
      </c>
      <c r="F56" s="92">
        <f>LOOKUP(1,1/('[1]PURCHASE PRICE'!$B:$B=B56)/('[1]PURCHASE PRICE'!$A:$A=A56),'[1]PURCHASE PRICE'!$D:$D)</f>
        <v>23000</v>
      </c>
      <c r="G56" s="92">
        <f t="shared" si="6"/>
        <v>23000</v>
      </c>
      <c r="H56" s="13">
        <f t="shared" si="1"/>
        <v>1380000</v>
      </c>
    </row>
    <row r="57" spans="1:8" x14ac:dyDescent="0.3">
      <c r="A57" s="90">
        <f t="shared" si="0"/>
        <v>45655</v>
      </c>
      <c r="B57" t="s">
        <v>61</v>
      </c>
      <c r="C57" t="s">
        <v>25</v>
      </c>
      <c r="D57">
        <v>0</v>
      </c>
      <c r="E57" s="92">
        <f>LOOKUP(1,1/('[1]PURCHASE PRICE'!$B:$B=B57)/('[1]PURCHASE PRICE'!$A:$A=A57)/('[1]PURCHASE PRICE'!$C:$C=C57),'[1]PURCHASE PRICE'!$D:$D)</f>
        <v>7500</v>
      </c>
      <c r="F57" s="92">
        <f>LOOKUP(1,1/('[1]PURCHASE PRICE'!$B:$B=B57)/('[1]PURCHASE PRICE'!$A:$A=A57),'[1]PURCHASE PRICE'!$D:$D)</f>
        <v>7500</v>
      </c>
      <c r="G57" s="92">
        <f t="shared" si="6"/>
        <v>7500</v>
      </c>
      <c r="H57" s="13">
        <f t="shared" si="1"/>
        <v>0</v>
      </c>
    </row>
  </sheetData>
  <autoFilter ref="A2:H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8.44140625" bestFit="1" customWidth="1"/>
    <col min="4" max="4" width="10.5546875" bestFit="1" customWidth="1"/>
    <col min="7" max="7" width="11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45654</v>
      </c>
      <c r="H1" s="91">
        <f>SUM(H3:H51)</f>
        <v>42612000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f>$D$1</f>
        <v>45654</v>
      </c>
      <c r="B3" t="s">
        <v>65</v>
      </c>
      <c r="C3" t="s">
        <v>224</v>
      </c>
      <c r="D3">
        <v>60</v>
      </c>
      <c r="E3" s="92" t="e">
        <f>LOOKUP(1,1/('[1]PURCHASE PRICE'!$B:$B=B3)/('[1]PURCHASE PRICE'!$A:$A=A3)/('[1]PURCHASE PRICE'!$C:$C=C3),'[1]PURCHASE PRICE'!$D:$D)</f>
        <v>#N/A</v>
      </c>
      <c r="F3" s="92">
        <f>LOOKUP(1,1/('[1]PURCHASE PRICE'!$B:$B=B3)/('[1]PURCHASE PRICE'!$A:$A=A3),'[1]PURCHASE PRICE'!$D:$D)</f>
        <v>25000</v>
      </c>
      <c r="G3" s="92">
        <f>+F3*0.4</f>
        <v>10000</v>
      </c>
      <c r="H3" s="13">
        <f>G3*D3</f>
        <v>600000</v>
      </c>
    </row>
    <row r="4" spans="1:8" x14ac:dyDescent="0.3">
      <c r="A4" s="90">
        <f t="shared" ref="A4:A46" si="0">$D$1</f>
        <v>45654</v>
      </c>
      <c r="B4" t="s">
        <v>73</v>
      </c>
      <c r="C4" t="s">
        <v>168</v>
      </c>
      <c r="D4">
        <v>40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 s="92">
        <v>11500</v>
      </c>
      <c r="H4" s="13">
        <f t="shared" ref="H4:H46" si="1">G4*D4</f>
        <v>460000</v>
      </c>
    </row>
    <row r="5" spans="1:8" x14ac:dyDescent="0.3">
      <c r="A5" s="90">
        <f t="shared" si="0"/>
        <v>45654</v>
      </c>
      <c r="B5" t="s">
        <v>2</v>
      </c>
      <c r="C5" t="s">
        <v>168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H5" s="13">
        <f t="shared" si="1"/>
        <v>0</v>
      </c>
    </row>
    <row r="6" spans="1:8" x14ac:dyDescent="0.3">
      <c r="A6" s="90">
        <f t="shared" si="0"/>
        <v>45654</v>
      </c>
      <c r="B6" t="s">
        <v>3</v>
      </c>
      <c r="C6" t="s">
        <v>224</v>
      </c>
      <c r="D6">
        <v>300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18000</v>
      </c>
      <c r="G6" s="92">
        <f>+F6*0.3</f>
        <v>5400</v>
      </c>
      <c r="H6" s="13">
        <f t="shared" si="1"/>
        <v>1620000</v>
      </c>
    </row>
    <row r="7" spans="1:8" x14ac:dyDescent="0.3">
      <c r="A7" s="90">
        <f t="shared" si="0"/>
        <v>45654</v>
      </c>
      <c r="B7" t="s">
        <v>5</v>
      </c>
      <c r="C7" t="s">
        <v>224</v>
      </c>
      <c r="D7">
        <v>400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10000</v>
      </c>
      <c r="G7" s="92">
        <f>22000*0.3</f>
        <v>6600</v>
      </c>
      <c r="H7" s="13">
        <f t="shared" si="1"/>
        <v>2640000</v>
      </c>
    </row>
    <row r="8" spans="1:8" x14ac:dyDescent="0.3">
      <c r="A8" s="90">
        <f t="shared" si="0"/>
        <v>45654</v>
      </c>
      <c r="B8" t="s">
        <v>68</v>
      </c>
      <c r="C8" t="s">
        <v>168</v>
      </c>
      <c r="D8">
        <v>5</v>
      </c>
      <c r="E8" s="92">
        <f>LOOKUP(1,1/('[1]PURCHASE PRICE'!$B:$B=B8)/('[1]PURCHASE PRICE'!$A:$A=A8)/('[1]PURCHASE PRICE'!$C:$C=C8),'[1]PURCHASE PRICE'!$D:$D)</f>
        <v>26000</v>
      </c>
      <c r="F8" s="92">
        <f>LOOKUP(1,1/('[1]PURCHASE PRICE'!$B:$B=B8)/('[1]PURCHASE PRICE'!$A:$A=A8),'[1]PURCHASE PRICE'!$D:$D)</f>
        <v>26000</v>
      </c>
      <c r="G8" s="92">
        <f>F8</f>
        <v>26000</v>
      </c>
      <c r="H8" s="13">
        <f t="shared" si="1"/>
        <v>130000</v>
      </c>
    </row>
    <row r="9" spans="1:8" x14ac:dyDescent="0.3">
      <c r="A9" s="90">
        <f t="shared" si="0"/>
        <v>45654</v>
      </c>
      <c r="B9" t="s">
        <v>8</v>
      </c>
      <c r="C9" t="s">
        <v>11</v>
      </c>
      <c r="D9">
        <v>60</v>
      </c>
      <c r="E9" s="92">
        <f>LOOKUP(1,1/('[1]PURCHASE PRICE'!$B:$B=B9)/('[1]PURCHASE PRICE'!$A:$A=A9)/('[1]PURCHASE PRICE'!$C:$C=C9),'[1]PURCHASE PRICE'!$D:$D)</f>
        <v>8000</v>
      </c>
      <c r="F9" s="92">
        <f>LOOKUP(1,1/('[1]PURCHASE PRICE'!$B:$B=B9)/('[1]PURCHASE PRICE'!$A:$A=A9),'[1]PURCHASE PRICE'!$D:$D)</f>
        <v>8000</v>
      </c>
      <c r="G9" s="92">
        <f t="shared" ref="G9:G19" si="2">F9</f>
        <v>8000</v>
      </c>
      <c r="H9" s="13">
        <f t="shared" si="1"/>
        <v>480000</v>
      </c>
    </row>
    <row r="10" spans="1:8" x14ac:dyDescent="0.3">
      <c r="A10" s="90">
        <f t="shared" si="0"/>
        <v>45654</v>
      </c>
      <c r="B10" t="s">
        <v>9</v>
      </c>
      <c r="C10" t="s">
        <v>168</v>
      </c>
      <c r="D10">
        <v>100</v>
      </c>
      <c r="E10" s="92">
        <f>LOOKUP(1,1/('[1]PURCHASE PRICE'!$B:$B=B10)/('[1]PURCHASE PRICE'!$A:$A=A10)/('[1]PURCHASE PRICE'!$C:$C=C10),'[1]PURCHASE PRICE'!$D:$D)</f>
        <v>19000</v>
      </c>
      <c r="F10" s="92">
        <f>LOOKUP(1,1/('[1]PURCHASE PRICE'!$B:$B=B10)/('[1]PURCHASE PRICE'!$A:$A=A10),'[1]PURCHASE PRICE'!$D:$D)</f>
        <v>19000</v>
      </c>
      <c r="G10" s="92">
        <f t="shared" si="2"/>
        <v>19000</v>
      </c>
      <c r="H10" s="13">
        <f t="shared" si="1"/>
        <v>1900000</v>
      </c>
    </row>
    <row r="11" spans="1:8" x14ac:dyDescent="0.3">
      <c r="A11" s="90">
        <f t="shared" si="0"/>
        <v>45654</v>
      </c>
      <c r="B11" t="s">
        <v>10</v>
      </c>
      <c r="C11" t="s">
        <v>12</v>
      </c>
      <c r="D11">
        <v>50</v>
      </c>
      <c r="E11" s="92">
        <f>LOOKUP(1,1/('[1]PURCHASE PRICE'!$B:$B=B11)/('[1]PURCHASE PRICE'!$A:$A=A11)/('[1]PURCHASE PRICE'!$C:$C=C11),'[1]PURCHASE PRICE'!$D:$D)</f>
        <v>8000</v>
      </c>
      <c r="F11" s="92">
        <f>LOOKUP(1,1/('[1]PURCHASE PRICE'!$B:$B=B11)/('[1]PURCHASE PRICE'!$A:$A=A11),'[1]PURCHASE PRICE'!$D:$D)</f>
        <v>14000</v>
      </c>
      <c r="G11" s="92">
        <f t="shared" si="2"/>
        <v>14000</v>
      </c>
      <c r="H11" s="13">
        <f t="shared" si="1"/>
        <v>700000</v>
      </c>
    </row>
    <row r="12" spans="1:8" x14ac:dyDescent="0.3">
      <c r="A12" s="90">
        <f t="shared" si="0"/>
        <v>45654</v>
      </c>
      <c r="B12" t="s">
        <v>15</v>
      </c>
      <c r="C12" t="s">
        <v>16</v>
      </c>
      <c r="D12">
        <v>96</v>
      </c>
      <c r="E12" s="92">
        <f>LOOKUP(1,1/('[1]PURCHASE PRICE'!$B:$B=B12)/('[1]PURCHASE PRICE'!$A:$A=A12)/('[1]PURCHASE PRICE'!$C:$C=C12),'[1]PURCHASE PRICE'!$D:$D)</f>
        <v>12000</v>
      </c>
      <c r="F12" s="92">
        <f>LOOKUP(1,1/('[1]PURCHASE PRICE'!$B:$B=B12)/('[1]PURCHASE PRICE'!$A:$A=A12),'[1]PURCHASE PRICE'!$D:$D)</f>
        <v>12000</v>
      </c>
      <c r="G12" s="92">
        <f t="shared" si="2"/>
        <v>12000</v>
      </c>
      <c r="H12" s="13">
        <f t="shared" si="1"/>
        <v>1152000</v>
      </c>
    </row>
    <row r="13" spans="1:8" x14ac:dyDescent="0.3">
      <c r="A13" s="90">
        <f t="shared" si="0"/>
        <v>45654</v>
      </c>
      <c r="B13" t="s">
        <v>18</v>
      </c>
      <c r="C13" t="s">
        <v>168</v>
      </c>
      <c r="D13">
        <v>60</v>
      </c>
      <c r="E13" s="92">
        <f>LOOKUP(1,1/('[1]PURCHASE PRICE'!$B:$B=B13)/('[1]PURCHASE PRICE'!$A:$A=A13)/('[1]PURCHASE PRICE'!$C:$C=C13),'[1]PURCHASE PRICE'!$D:$D)</f>
        <v>17000</v>
      </c>
      <c r="F13" s="92">
        <f>LOOKUP(1,1/('[1]PURCHASE PRICE'!$B:$B=B13)/('[1]PURCHASE PRICE'!$A:$A=A13),'[1]PURCHASE PRICE'!$D:$D)</f>
        <v>17000</v>
      </c>
      <c r="G13" s="92">
        <f t="shared" si="2"/>
        <v>17000</v>
      </c>
      <c r="H13" s="13">
        <f t="shared" si="1"/>
        <v>1020000</v>
      </c>
    </row>
    <row r="14" spans="1:8" x14ac:dyDescent="0.3">
      <c r="A14" s="90">
        <f t="shared" si="0"/>
        <v>45654</v>
      </c>
      <c r="B14" t="s">
        <v>19</v>
      </c>
      <c r="C14" t="s">
        <v>168</v>
      </c>
      <c r="D14">
        <v>20</v>
      </c>
      <c r="E14" s="92">
        <f>LOOKUP(1,1/('[1]PURCHASE PRICE'!$B:$B=B14)/('[1]PURCHASE PRICE'!$A:$A=A14)/('[1]PURCHASE PRICE'!$C:$C=C14),'[1]PURCHASE PRICE'!$D:$D)</f>
        <v>14000</v>
      </c>
      <c r="F14" s="92">
        <f>LOOKUP(1,1/('[1]PURCHASE PRICE'!$B:$B=B14)/('[1]PURCHASE PRICE'!$A:$A=A14),'[1]PURCHASE PRICE'!$D:$D)</f>
        <v>14000</v>
      </c>
      <c r="G14" s="92">
        <f t="shared" si="2"/>
        <v>14000</v>
      </c>
      <c r="H14" s="13">
        <f t="shared" si="1"/>
        <v>280000</v>
      </c>
    </row>
    <row r="15" spans="1:8" x14ac:dyDescent="0.3">
      <c r="A15" s="90">
        <f t="shared" si="0"/>
        <v>45654</v>
      </c>
      <c r="B15" t="s">
        <v>20</v>
      </c>
      <c r="C15" t="s">
        <v>11</v>
      </c>
      <c r="D15">
        <v>40</v>
      </c>
      <c r="E15" s="92">
        <f>LOOKUP(1,1/('[1]PURCHASE PRICE'!$B:$B=B15)/('[1]PURCHASE PRICE'!$A:$A=A15)/('[1]PURCHASE PRICE'!$C:$C=C15),'[1]PURCHASE PRICE'!$D:$D)</f>
        <v>10000</v>
      </c>
      <c r="F15" s="92">
        <f>LOOKUP(1,1/('[1]PURCHASE PRICE'!$B:$B=B15)/('[1]PURCHASE PRICE'!$A:$A=A15),'[1]PURCHASE PRICE'!$D:$D)</f>
        <v>10000</v>
      </c>
      <c r="G15" s="92">
        <f t="shared" si="2"/>
        <v>10000</v>
      </c>
      <c r="H15" s="13">
        <f t="shared" si="1"/>
        <v>400000</v>
      </c>
    </row>
    <row r="16" spans="1:8" x14ac:dyDescent="0.3">
      <c r="A16" s="90">
        <f t="shared" si="0"/>
        <v>45654</v>
      </c>
      <c r="B16" t="s">
        <v>63</v>
      </c>
      <c r="C16" t="s">
        <v>168</v>
      </c>
      <c r="D16">
        <v>40</v>
      </c>
      <c r="E16" s="92">
        <f>LOOKUP(1,1/('[1]PURCHASE PRICE'!$B:$B=B16)/('[1]PURCHASE PRICE'!$A:$A=A16)/('[1]PURCHASE PRICE'!$C:$C=C16),'[1]PURCHASE PRICE'!$D:$D)</f>
        <v>34000</v>
      </c>
      <c r="F16" s="92">
        <f>LOOKUP(1,1/('[1]PURCHASE PRICE'!$B:$B=B16)/('[1]PURCHASE PRICE'!$A:$A=A16),'[1]PURCHASE PRICE'!$D:$D)</f>
        <v>34000</v>
      </c>
      <c r="G16" s="92">
        <f t="shared" si="2"/>
        <v>34000</v>
      </c>
      <c r="H16" s="13">
        <f t="shared" si="1"/>
        <v>1360000</v>
      </c>
    </row>
    <row r="17" spans="1:8" x14ac:dyDescent="0.3">
      <c r="A17" s="90">
        <f t="shared" si="0"/>
        <v>45654</v>
      </c>
      <c r="B17" t="s">
        <v>21</v>
      </c>
      <c r="C17" t="s">
        <v>22</v>
      </c>
      <c r="D17">
        <v>70</v>
      </c>
      <c r="E17" s="92">
        <f>LOOKUP(1,1/('[1]PURCHASE PRICE'!$B:$B=B17)/('[1]PURCHASE PRICE'!$A:$A=A17)/('[1]PURCHASE PRICE'!$C:$C=C17),'[1]PURCHASE PRICE'!$D:$D)</f>
        <v>4300</v>
      </c>
      <c r="F17" s="92">
        <f>LOOKUP(1,1/('[1]PURCHASE PRICE'!$B:$B=B17)/('[1]PURCHASE PRICE'!$A:$A=A17),'[1]PURCHASE PRICE'!$D:$D)</f>
        <v>4300</v>
      </c>
      <c r="G17" s="92">
        <f t="shared" si="2"/>
        <v>4300</v>
      </c>
      <c r="H17" s="13">
        <f t="shared" si="1"/>
        <v>301000</v>
      </c>
    </row>
    <row r="18" spans="1:8" x14ac:dyDescent="0.3">
      <c r="A18" s="90">
        <f t="shared" si="0"/>
        <v>45654</v>
      </c>
      <c r="B18" t="s">
        <v>21</v>
      </c>
      <c r="C18" t="s">
        <v>23</v>
      </c>
      <c r="D18">
        <v>30</v>
      </c>
      <c r="E18" s="92">
        <f>LOOKUP(1,1/('[1]PURCHASE PRICE'!$B:$B=B18)/('[1]PURCHASE PRICE'!$A:$A=A18)/('[1]PURCHASE PRICE'!$C:$C=C18),'[1]PURCHASE PRICE'!$D:$D)</f>
        <v>2150</v>
      </c>
      <c r="F18" s="92">
        <f>LOOKUP(1,1/('[1]PURCHASE PRICE'!$B:$B=B18)/('[1]PURCHASE PRICE'!$A:$A=A18),'[1]PURCHASE PRICE'!$D:$D)</f>
        <v>4300</v>
      </c>
      <c r="G18" s="92">
        <f t="shared" si="2"/>
        <v>4300</v>
      </c>
      <c r="H18" s="13">
        <f t="shared" si="1"/>
        <v>129000</v>
      </c>
    </row>
    <row r="19" spans="1:8" x14ac:dyDescent="0.3">
      <c r="A19" s="90">
        <f t="shared" si="0"/>
        <v>45654</v>
      </c>
      <c r="B19" t="s">
        <v>69</v>
      </c>
      <c r="C19" t="s">
        <v>168</v>
      </c>
      <c r="D19">
        <v>25</v>
      </c>
      <c r="E19" s="92">
        <f>LOOKUP(1,1/('[1]PURCHASE PRICE'!$B:$B=B19)/('[1]PURCHASE PRICE'!$A:$A=A19)/('[1]PURCHASE PRICE'!$C:$C=C19),'[1]PURCHASE PRICE'!$D:$D)</f>
        <v>7500</v>
      </c>
      <c r="F19" s="92">
        <f>LOOKUP(1,1/('[1]PURCHASE PRICE'!$B:$B=B19)/('[1]PURCHASE PRICE'!$A:$A=A19),'[1]PURCHASE PRICE'!$D:$D)</f>
        <v>7500</v>
      </c>
      <c r="G19" s="92">
        <f t="shared" si="2"/>
        <v>7500</v>
      </c>
      <c r="H19" s="13">
        <f t="shared" si="1"/>
        <v>187500</v>
      </c>
    </row>
    <row r="20" spans="1:8" x14ac:dyDescent="0.3">
      <c r="A20" s="90">
        <f t="shared" si="0"/>
        <v>45654</v>
      </c>
      <c r="B20" t="s">
        <v>24</v>
      </c>
      <c r="C20" t="s">
        <v>25</v>
      </c>
      <c r="D20">
        <v>50</v>
      </c>
      <c r="E20" s="92" t="e">
        <f>LOOKUP(1,1/('[1]PURCHASE PRICE'!$B:$B=B20)/('[1]PURCHASE PRICE'!$A:$A=A20)/('[1]PURCHASE PRICE'!$C:$C=C20),'[1]PURCHASE PRICE'!$D:$D)</f>
        <v>#N/A</v>
      </c>
      <c r="F20" s="92">
        <f>LOOKUP(1,1/('[1]PURCHASE PRICE'!$B:$B=B20)/('[1]PURCHASE PRICE'!$A:$A=A20),'[1]PURCHASE PRICE'!$D:$D)</f>
        <v>12000</v>
      </c>
      <c r="G20" s="92">
        <f>F20/2</f>
        <v>6000</v>
      </c>
      <c r="H20" s="13">
        <f t="shared" si="1"/>
        <v>300000</v>
      </c>
    </row>
    <row r="21" spans="1:8" x14ac:dyDescent="0.3">
      <c r="A21" s="90">
        <f t="shared" si="0"/>
        <v>45654</v>
      </c>
      <c r="B21" t="s">
        <v>26</v>
      </c>
      <c r="C21" t="s">
        <v>168</v>
      </c>
      <c r="D21">
        <v>15</v>
      </c>
      <c r="E21" s="92">
        <f>LOOKUP(1,1/('[1]PURCHASE PRICE'!$B:$B=B21)/('[1]PURCHASE PRICE'!$A:$A=A21)/('[1]PURCHASE PRICE'!$C:$C=C21),'[1]PURCHASE PRICE'!$D:$D)</f>
        <v>23000</v>
      </c>
      <c r="F21" s="92">
        <f>LOOKUP(1,1/('[1]PURCHASE PRICE'!$B:$B=B21)/('[1]PURCHASE PRICE'!$A:$A=A21),'[1]PURCHASE PRICE'!$D:$D)</f>
        <v>23000</v>
      </c>
      <c r="G21" s="92">
        <f>F21</f>
        <v>23000</v>
      </c>
      <c r="H21" s="13">
        <f t="shared" si="1"/>
        <v>345000</v>
      </c>
    </row>
    <row r="22" spans="1:8" x14ac:dyDescent="0.3">
      <c r="A22" s="90">
        <f t="shared" si="0"/>
        <v>45654</v>
      </c>
      <c r="B22" t="s">
        <v>27</v>
      </c>
      <c r="C22" t="s">
        <v>16</v>
      </c>
      <c r="D22">
        <v>30</v>
      </c>
      <c r="E22" s="92">
        <f>LOOKUP(1,1/('[1]PURCHASE PRICE'!$B:$B=B22)/('[1]PURCHASE PRICE'!$A:$A=A22)/('[1]PURCHASE PRICE'!$C:$C=C22),'[1]PURCHASE PRICE'!$D:$D)</f>
        <v>11000</v>
      </c>
      <c r="F22" s="92">
        <f>LOOKUP(1,1/('[1]PURCHASE PRICE'!$B:$B=B22)/('[1]PURCHASE PRICE'!$A:$A=A22),'[1]PURCHASE PRICE'!$D:$D)</f>
        <v>11000</v>
      </c>
      <c r="G22" s="92">
        <f t="shared" ref="G22:G23" si="3">F22</f>
        <v>11000</v>
      </c>
      <c r="H22" s="13">
        <f t="shared" si="1"/>
        <v>330000</v>
      </c>
    </row>
    <row r="23" spans="1:8" x14ac:dyDescent="0.3">
      <c r="A23" s="90">
        <f t="shared" si="0"/>
        <v>45654</v>
      </c>
      <c r="B23" t="s">
        <v>28</v>
      </c>
      <c r="C23" t="s">
        <v>168</v>
      </c>
      <c r="D23">
        <v>10</v>
      </c>
      <c r="E23" s="92">
        <f>LOOKUP(1,1/('[1]PURCHASE PRICE'!$B:$B=B23)/('[1]PURCHASE PRICE'!$A:$A=A23)/('[1]PURCHASE PRICE'!$C:$C=C23),'[1]PURCHASE PRICE'!$D:$D)</f>
        <v>7000</v>
      </c>
      <c r="F23" s="92">
        <f>LOOKUP(1,1/('[1]PURCHASE PRICE'!$B:$B=B23)/('[1]PURCHASE PRICE'!$A:$A=A23),'[1]PURCHASE PRICE'!$D:$D)</f>
        <v>7000</v>
      </c>
      <c r="G23" s="92">
        <f t="shared" si="3"/>
        <v>7000</v>
      </c>
      <c r="H23" s="13">
        <f t="shared" si="1"/>
        <v>70000</v>
      </c>
    </row>
    <row r="24" spans="1:8" x14ac:dyDescent="0.3">
      <c r="A24" s="90">
        <f t="shared" si="0"/>
        <v>45654</v>
      </c>
      <c r="B24" t="s">
        <v>30</v>
      </c>
      <c r="C24" t="s">
        <v>168</v>
      </c>
      <c r="D24">
        <v>100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G24" s="92">
        <v>30000</v>
      </c>
      <c r="H24" s="13">
        <f t="shared" si="1"/>
        <v>3000000</v>
      </c>
    </row>
    <row r="25" spans="1:8" x14ac:dyDescent="0.3">
      <c r="A25" s="90">
        <f t="shared" si="0"/>
        <v>45654</v>
      </c>
      <c r="B25" t="s">
        <v>32</v>
      </c>
      <c r="C25" t="s">
        <v>168</v>
      </c>
      <c r="D25">
        <v>0</v>
      </c>
      <c r="E25" s="92" t="e">
        <f>LOOKUP(1,1/('[1]PURCHASE PRICE'!$B:$B=B25)/('[1]PURCHASE PRICE'!$A:$A=A25)/('[1]PURCHASE PRICE'!$C:$C=C25),'[1]PURCHASE PRICE'!$D:$D)</f>
        <v>#N/A</v>
      </c>
      <c r="F25" s="92" t="e">
        <f>LOOKUP(1,1/('[1]PURCHASE PRICE'!$B:$B=B25)/('[1]PURCHASE PRICE'!$A:$A=A25),'[1]PURCHASE PRICE'!$D:$D)</f>
        <v>#N/A</v>
      </c>
      <c r="H25" s="13">
        <f t="shared" si="1"/>
        <v>0</v>
      </c>
    </row>
    <row r="26" spans="1:8" x14ac:dyDescent="0.3">
      <c r="A26" s="90">
        <f t="shared" si="0"/>
        <v>45654</v>
      </c>
      <c r="B26" t="s">
        <v>194</v>
      </c>
      <c r="C26" t="s">
        <v>168</v>
      </c>
      <c r="D26">
        <v>10</v>
      </c>
      <c r="E26" s="92">
        <f>LOOKUP(1,1/('[1]PURCHASE PRICE'!$B:$B=B26)/('[1]PURCHASE PRICE'!$A:$A=A26)/('[1]PURCHASE PRICE'!$C:$C=C26),'[1]PURCHASE PRICE'!$D:$D)</f>
        <v>14000</v>
      </c>
      <c r="F26" s="92">
        <f>LOOKUP(1,1/('[1]PURCHASE PRICE'!$B:$B=B26)/('[1]PURCHASE PRICE'!$A:$A=A26),'[1]PURCHASE PRICE'!$D:$D)</f>
        <v>14000</v>
      </c>
      <c r="G26" s="92">
        <v>14000</v>
      </c>
      <c r="H26" s="13">
        <f t="shared" si="1"/>
        <v>140000</v>
      </c>
    </row>
    <row r="27" spans="1:8" x14ac:dyDescent="0.3">
      <c r="A27" s="90">
        <f t="shared" si="0"/>
        <v>45654</v>
      </c>
      <c r="B27" t="s">
        <v>37</v>
      </c>
      <c r="C27" t="s">
        <v>11</v>
      </c>
      <c r="D27">
        <v>1020</v>
      </c>
      <c r="E27" s="92">
        <f>LOOKUP(1,1/('[1]PURCHASE PRICE'!$B:$B=B27)/('[1]PURCHASE PRICE'!$A:$A=A27)/('[1]PURCHASE PRICE'!$C:$C=C27),'[1]PURCHASE PRICE'!$D:$D)</f>
        <v>5500</v>
      </c>
      <c r="F27" s="92">
        <f>LOOKUP(1,1/('[1]PURCHASE PRICE'!$B:$B=B27)/('[1]PURCHASE PRICE'!$A:$A=A27),'[1]PURCHASE PRICE'!$D:$D)</f>
        <v>5500</v>
      </c>
      <c r="G27" s="92">
        <f>F27</f>
        <v>5500</v>
      </c>
      <c r="H27" s="13">
        <f t="shared" si="1"/>
        <v>5610000</v>
      </c>
    </row>
    <row r="28" spans="1:8" x14ac:dyDescent="0.3">
      <c r="A28" s="90">
        <f t="shared" si="0"/>
        <v>45654</v>
      </c>
      <c r="B28" t="s">
        <v>39</v>
      </c>
      <c r="C28" t="s">
        <v>168</v>
      </c>
      <c r="D28">
        <v>20</v>
      </c>
      <c r="E28" s="92">
        <f>LOOKUP(1,1/('[1]PURCHASE PRICE'!$B:$B=B28)/('[1]PURCHASE PRICE'!$A:$A=A28)/('[1]PURCHASE PRICE'!$C:$C=C28),'[1]PURCHASE PRICE'!$D:$D)</f>
        <v>12000</v>
      </c>
      <c r="F28" s="92">
        <f>LOOKUP(1,1/('[1]PURCHASE PRICE'!$B:$B=B28)/('[1]PURCHASE PRICE'!$A:$A=A28),'[1]PURCHASE PRICE'!$D:$D)</f>
        <v>12000</v>
      </c>
      <c r="G28" s="92">
        <f>F28</f>
        <v>12000</v>
      </c>
      <c r="H28" s="13">
        <f t="shared" si="1"/>
        <v>240000</v>
      </c>
    </row>
    <row r="29" spans="1:8" x14ac:dyDescent="0.3">
      <c r="A29" s="90">
        <f t="shared" si="0"/>
        <v>45654</v>
      </c>
      <c r="B29" t="s">
        <v>40</v>
      </c>
      <c r="C29" t="s">
        <v>25</v>
      </c>
      <c r="D29">
        <v>150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17000</v>
      </c>
      <c r="G29" s="92">
        <f>+F29*0.15</f>
        <v>2550</v>
      </c>
      <c r="H29" s="13">
        <f t="shared" si="1"/>
        <v>382500</v>
      </c>
    </row>
    <row r="30" spans="1:8" x14ac:dyDescent="0.3">
      <c r="A30" s="90">
        <f t="shared" si="0"/>
        <v>45654</v>
      </c>
      <c r="B30" t="s">
        <v>42</v>
      </c>
      <c r="C30" t="s">
        <v>168</v>
      </c>
      <c r="D30">
        <v>0</v>
      </c>
      <c r="E30" s="92" t="e">
        <f>LOOKUP(1,1/('[1]PURCHASE PRICE'!$B:$B=B30)/('[1]PURCHASE PRICE'!$A:$A=A30)/('[1]PURCHASE PRICE'!$C:$C=C30),'[1]PURCHASE PRICE'!$D:$D)</f>
        <v>#N/A</v>
      </c>
      <c r="F30" s="92" t="e">
        <f>LOOKUP(1,1/('[1]PURCHASE PRICE'!$B:$B=B30)/('[1]PURCHASE PRICE'!$A:$A=A30),'[1]PURCHASE PRICE'!$D:$D)</f>
        <v>#N/A</v>
      </c>
      <c r="H30" s="13">
        <f t="shared" si="1"/>
        <v>0</v>
      </c>
    </row>
    <row r="31" spans="1:8" x14ac:dyDescent="0.3">
      <c r="A31" s="90">
        <f t="shared" si="0"/>
        <v>45654</v>
      </c>
      <c r="B31" t="s">
        <v>43</v>
      </c>
      <c r="C31" t="s">
        <v>168</v>
      </c>
      <c r="D31">
        <v>1</v>
      </c>
      <c r="E31" s="92">
        <f>LOOKUP(1,1/('[1]PURCHASE PRICE'!$B:$B=B31)/('[1]PURCHASE PRICE'!$A:$A=A31)/('[1]PURCHASE PRICE'!$C:$C=C31),'[1]PURCHASE PRICE'!$D:$D)</f>
        <v>110000</v>
      </c>
      <c r="F31" s="92">
        <f>LOOKUP(1,1/('[1]PURCHASE PRICE'!$B:$B=B31)/('[1]PURCHASE PRICE'!$A:$A=A31),'[1]PURCHASE PRICE'!$D:$D)</f>
        <v>110000</v>
      </c>
      <c r="G31" s="92">
        <f>F31</f>
        <v>110000</v>
      </c>
      <c r="H31" s="13">
        <f t="shared" si="1"/>
        <v>110000</v>
      </c>
    </row>
    <row r="32" spans="1:8" x14ac:dyDescent="0.3">
      <c r="A32" s="90">
        <f t="shared" si="0"/>
        <v>45654</v>
      </c>
      <c r="B32" t="s">
        <v>45</v>
      </c>
      <c r="C32" t="s">
        <v>22</v>
      </c>
      <c r="D32">
        <v>450</v>
      </c>
      <c r="E32" s="92">
        <f>LOOKUP(1,1/('[1]PURCHASE PRICE'!$B:$B=B32)/('[1]PURCHASE PRICE'!$A:$A=A32)/('[1]PURCHASE PRICE'!$C:$C=C32),'[1]PURCHASE PRICE'!$D:$D)</f>
        <v>3000</v>
      </c>
      <c r="F32" s="92">
        <f>LOOKUP(1,1/('[1]PURCHASE PRICE'!$B:$B=B32)/('[1]PURCHASE PRICE'!$A:$A=A32),'[1]PURCHASE PRICE'!$D:$D)</f>
        <v>3000</v>
      </c>
      <c r="G32" s="92">
        <f t="shared" ref="G32:G33" si="4">F32</f>
        <v>3000</v>
      </c>
      <c r="H32" s="13">
        <f t="shared" si="1"/>
        <v>1350000</v>
      </c>
    </row>
    <row r="33" spans="1:8" x14ac:dyDescent="0.3">
      <c r="A33" s="90">
        <f t="shared" si="0"/>
        <v>45654</v>
      </c>
      <c r="B33" t="s">
        <v>46</v>
      </c>
      <c r="C33" t="s">
        <v>168</v>
      </c>
      <c r="D33">
        <v>30</v>
      </c>
      <c r="E33" s="92">
        <f>LOOKUP(1,1/('[1]PURCHASE PRICE'!$B:$B=B33)/('[1]PURCHASE PRICE'!$A:$A=A33)/('[1]PURCHASE PRICE'!$C:$C=C33),'[1]PURCHASE PRICE'!$D:$D)</f>
        <v>42000</v>
      </c>
      <c r="F33" s="92">
        <f>LOOKUP(1,1/('[1]PURCHASE PRICE'!$B:$B=B33)/('[1]PURCHASE PRICE'!$A:$A=A33),'[1]PURCHASE PRICE'!$D:$D)</f>
        <v>42000</v>
      </c>
      <c r="G33" s="92">
        <f t="shared" si="4"/>
        <v>42000</v>
      </c>
      <c r="H33" s="13">
        <f t="shared" si="1"/>
        <v>1260000</v>
      </c>
    </row>
    <row r="34" spans="1:8" x14ac:dyDescent="0.3">
      <c r="A34" s="90">
        <f t="shared" si="0"/>
        <v>45654</v>
      </c>
      <c r="B34" t="s">
        <v>47</v>
      </c>
      <c r="C34" t="s">
        <v>224</v>
      </c>
      <c r="D34">
        <v>400</v>
      </c>
      <c r="E34" s="92" t="e">
        <f>LOOKUP(1,1/('[1]PURCHASE PRICE'!$B:$B=B34)/('[1]PURCHASE PRICE'!$A:$A=A34)/('[1]PURCHASE PRICE'!$C:$C=C34),'[1]PURCHASE PRICE'!$D:$D)</f>
        <v>#N/A</v>
      </c>
      <c r="F34" s="92">
        <f>LOOKUP(1,1/('[1]PURCHASE PRICE'!$B:$B=B34)/('[1]PURCHASE PRICE'!$A:$A=A34),'[1]PURCHASE PRICE'!$D:$D)</f>
        <v>38000</v>
      </c>
      <c r="G34" s="92">
        <f>F34*0.25</f>
        <v>9500</v>
      </c>
      <c r="H34" s="13">
        <f t="shared" si="1"/>
        <v>3800000</v>
      </c>
    </row>
    <row r="35" spans="1:8" x14ac:dyDescent="0.3">
      <c r="A35" s="90">
        <f t="shared" si="0"/>
        <v>45654</v>
      </c>
      <c r="B35" t="s">
        <v>48</v>
      </c>
      <c r="C35" t="s">
        <v>168</v>
      </c>
      <c r="D35">
        <v>10</v>
      </c>
      <c r="E35" s="92">
        <f>LOOKUP(1,1/('[1]PURCHASE PRICE'!$B:$B=B35)/('[1]PURCHASE PRICE'!$A:$A=A35)/('[1]PURCHASE PRICE'!$C:$C=C35),'[1]PURCHASE PRICE'!$D:$D)</f>
        <v>55000</v>
      </c>
      <c r="F35" s="92">
        <f>LOOKUP(1,1/('[1]PURCHASE PRICE'!$B:$B=B35)/('[1]PURCHASE PRICE'!$A:$A=A35),'[1]PURCHASE PRICE'!$D:$D)</f>
        <v>55000</v>
      </c>
      <c r="G35" s="92">
        <f>+F35</f>
        <v>55000</v>
      </c>
      <c r="H35" s="13">
        <f t="shared" si="1"/>
        <v>550000</v>
      </c>
    </row>
    <row r="36" spans="1:8" x14ac:dyDescent="0.3">
      <c r="A36" s="90">
        <f t="shared" si="0"/>
        <v>45654</v>
      </c>
      <c r="B36" t="s">
        <v>50</v>
      </c>
      <c r="C36" t="s">
        <v>224</v>
      </c>
      <c r="D36">
        <v>400</v>
      </c>
      <c r="E36" s="92" t="e">
        <f>LOOKUP(1,1/('[1]PURCHASE PRICE'!$B:$B=B36)/('[1]PURCHASE PRICE'!$A:$A=A36)/('[1]PURCHASE PRICE'!$C:$C=C36),'[1]PURCHASE PRICE'!$D:$D)</f>
        <v>#N/A</v>
      </c>
      <c r="F36" s="92">
        <f>LOOKUP(1,1/('[1]PURCHASE PRICE'!$B:$B=B36)/('[1]PURCHASE PRICE'!$A:$A=A36),'[1]PURCHASE PRICE'!$D:$D)</f>
        <v>42000</v>
      </c>
      <c r="G36" s="92">
        <f>+F36*0.25</f>
        <v>10500</v>
      </c>
      <c r="H36" s="13">
        <f t="shared" si="1"/>
        <v>4200000</v>
      </c>
    </row>
    <row r="37" spans="1:8" x14ac:dyDescent="0.3">
      <c r="A37" s="90">
        <f t="shared" si="0"/>
        <v>45654</v>
      </c>
      <c r="B37" t="s">
        <v>51</v>
      </c>
      <c r="C37" t="s">
        <v>224</v>
      </c>
      <c r="D37">
        <v>0</v>
      </c>
      <c r="E37" s="92" t="e">
        <f>LOOKUP(1,1/('[1]PURCHASE PRICE'!$B:$B=B37)/('[1]PURCHASE PRICE'!$A:$A=A37)/('[1]PURCHASE PRICE'!$C:$C=C37),'[1]PURCHASE PRICE'!$D:$D)</f>
        <v>#N/A</v>
      </c>
      <c r="F37" s="92" t="e">
        <f>LOOKUP(1,1/('[1]PURCHASE PRICE'!$B:$B=B37)/('[1]PURCHASE PRICE'!$A:$A=A37),'[1]PURCHASE PRICE'!$D:$D)</f>
        <v>#N/A</v>
      </c>
      <c r="H37" s="13">
        <f t="shared" si="1"/>
        <v>0</v>
      </c>
    </row>
    <row r="38" spans="1:8" x14ac:dyDescent="0.3">
      <c r="A38" s="90">
        <f t="shared" si="0"/>
        <v>45654</v>
      </c>
      <c r="B38" t="s">
        <v>52</v>
      </c>
      <c r="C38" t="s">
        <v>22</v>
      </c>
      <c r="D38">
        <v>120</v>
      </c>
      <c r="E38" s="92">
        <f>LOOKUP(1,1/('[1]PURCHASE PRICE'!$B:$B=B38)/('[1]PURCHASE PRICE'!$A:$A=A38)/('[1]PURCHASE PRICE'!$C:$C=C38),'[1]PURCHASE PRICE'!$D:$D)</f>
        <v>22000</v>
      </c>
      <c r="F38" s="92">
        <f>LOOKUP(1,1/('[1]PURCHASE PRICE'!$B:$B=B38)/('[1]PURCHASE PRICE'!$A:$A=A38),'[1]PURCHASE PRICE'!$D:$D)</f>
        <v>22000</v>
      </c>
      <c r="G38" s="92">
        <f>+F38</f>
        <v>22000</v>
      </c>
      <c r="H38" s="13">
        <f t="shared" si="1"/>
        <v>2640000</v>
      </c>
    </row>
    <row r="39" spans="1:8" x14ac:dyDescent="0.3">
      <c r="A39" s="90">
        <f t="shared" si="0"/>
        <v>45654</v>
      </c>
      <c r="B39" t="s">
        <v>53</v>
      </c>
      <c r="C39" t="s">
        <v>168</v>
      </c>
      <c r="D39">
        <v>10</v>
      </c>
      <c r="E39" s="92">
        <f>LOOKUP(1,1/('[1]PURCHASE PRICE'!$B:$B=B39)/('[1]PURCHASE PRICE'!$A:$A=A39)/('[1]PURCHASE PRICE'!$C:$C=C39),'[1]PURCHASE PRICE'!$D:$D)</f>
        <v>45000</v>
      </c>
      <c r="F39" s="92">
        <f>LOOKUP(1,1/('[1]PURCHASE PRICE'!$B:$B=B39)/('[1]PURCHASE PRICE'!$A:$A=A39),'[1]PURCHASE PRICE'!$D:$D)</f>
        <v>45000</v>
      </c>
      <c r="G39" s="92">
        <f t="shared" ref="G39:G46" si="5">+F39</f>
        <v>45000</v>
      </c>
      <c r="H39" s="13">
        <f t="shared" si="1"/>
        <v>450000</v>
      </c>
    </row>
    <row r="40" spans="1:8" x14ac:dyDescent="0.3">
      <c r="A40" s="90">
        <f t="shared" si="0"/>
        <v>45654</v>
      </c>
      <c r="B40" t="s">
        <v>54</v>
      </c>
      <c r="C40" t="s">
        <v>168</v>
      </c>
      <c r="D40">
        <v>40</v>
      </c>
      <c r="E40" s="92">
        <f>LOOKUP(1,1/('[1]PURCHASE PRICE'!$B:$B=B40)/('[1]PURCHASE PRICE'!$A:$A=A40)/('[1]PURCHASE PRICE'!$C:$C=C40),'[1]PURCHASE PRICE'!$D:$D)</f>
        <v>32000</v>
      </c>
      <c r="F40" s="92">
        <f>LOOKUP(1,1/('[1]PURCHASE PRICE'!$B:$B=B40)/('[1]PURCHASE PRICE'!$A:$A=A40),'[1]PURCHASE PRICE'!$D:$D)</f>
        <v>32000</v>
      </c>
      <c r="G40" s="92">
        <f t="shared" si="5"/>
        <v>32000</v>
      </c>
      <c r="H40" s="13">
        <f t="shared" si="1"/>
        <v>1280000</v>
      </c>
    </row>
    <row r="41" spans="1:8" x14ac:dyDescent="0.3">
      <c r="A41" s="90">
        <f t="shared" si="0"/>
        <v>45654</v>
      </c>
      <c r="B41" t="s">
        <v>55</v>
      </c>
      <c r="C41" t="s">
        <v>25</v>
      </c>
      <c r="D41">
        <v>100</v>
      </c>
      <c r="E41" s="92">
        <f>LOOKUP(1,1/('[1]PURCHASE PRICE'!$B:$B=B41)/('[1]PURCHASE PRICE'!$A:$A=A41)/('[1]PURCHASE PRICE'!$C:$C=C41),'[1]PURCHASE PRICE'!$D:$D)</f>
        <v>6000</v>
      </c>
      <c r="F41" s="92">
        <f>LOOKUP(1,1/('[1]PURCHASE PRICE'!$B:$B=B41)/('[1]PURCHASE PRICE'!$A:$A=A41),'[1]PURCHASE PRICE'!$D:$D)</f>
        <v>6000</v>
      </c>
      <c r="G41" s="92">
        <f t="shared" si="5"/>
        <v>6000</v>
      </c>
      <c r="H41" s="13">
        <f t="shared" si="1"/>
        <v>600000</v>
      </c>
    </row>
    <row r="42" spans="1:8" x14ac:dyDescent="0.3">
      <c r="A42" s="90">
        <f t="shared" si="0"/>
        <v>45654</v>
      </c>
      <c r="B42" t="s">
        <v>56</v>
      </c>
      <c r="C42" t="s">
        <v>168</v>
      </c>
      <c r="D42">
        <v>60</v>
      </c>
      <c r="E42" s="92">
        <f>LOOKUP(1,1/('[1]PURCHASE PRICE'!$B:$B=B42)/('[1]PURCHASE PRICE'!$A:$A=A42)/('[1]PURCHASE PRICE'!$C:$C=C42),'[1]PURCHASE PRICE'!$D:$D)</f>
        <v>27000</v>
      </c>
      <c r="F42" s="92">
        <f>LOOKUP(1,1/('[1]PURCHASE PRICE'!$B:$B=B42)/('[1]PURCHASE PRICE'!$A:$A=A42),'[1]PURCHASE PRICE'!$D:$D)</f>
        <v>27000</v>
      </c>
      <c r="G42" s="92">
        <f t="shared" si="5"/>
        <v>27000</v>
      </c>
      <c r="H42" s="13">
        <f t="shared" si="1"/>
        <v>1620000</v>
      </c>
    </row>
    <row r="43" spans="1:8" x14ac:dyDescent="0.3">
      <c r="A43" s="90">
        <f t="shared" si="0"/>
        <v>45654</v>
      </c>
      <c r="B43" t="s">
        <v>57</v>
      </c>
      <c r="C43" t="s">
        <v>25</v>
      </c>
      <c r="D43">
        <v>10</v>
      </c>
      <c r="E43" s="92">
        <f>LOOKUP(1,1/('[1]PURCHASE PRICE'!$B:$B=B43)/('[1]PURCHASE PRICE'!$A:$A=A43)/('[1]PURCHASE PRICE'!$C:$C=C43),'[1]PURCHASE PRICE'!$D:$D)</f>
        <v>6800</v>
      </c>
      <c r="F43" s="92">
        <f>LOOKUP(1,1/('[1]PURCHASE PRICE'!$B:$B=B43)/('[1]PURCHASE PRICE'!$A:$A=A43),'[1]PURCHASE PRICE'!$D:$D)</f>
        <v>6800</v>
      </c>
      <c r="G43" s="92">
        <f t="shared" si="5"/>
        <v>6800</v>
      </c>
      <c r="H43" s="13">
        <f t="shared" si="1"/>
        <v>68000</v>
      </c>
    </row>
    <row r="44" spans="1:8" x14ac:dyDescent="0.3">
      <c r="A44" s="90">
        <f t="shared" si="0"/>
        <v>45654</v>
      </c>
      <c r="B44" t="s">
        <v>58</v>
      </c>
      <c r="C44" t="s">
        <v>168</v>
      </c>
      <c r="D44">
        <v>24</v>
      </c>
      <c r="E44" s="92">
        <f>LOOKUP(1,1/('[1]PURCHASE PRICE'!$B:$B=B44)/('[1]PURCHASE PRICE'!$A:$A=A44)/('[1]PURCHASE PRICE'!$C:$C=C44),'[1]PURCHASE PRICE'!$D:$D)</f>
        <v>23000</v>
      </c>
      <c r="F44" s="92">
        <f>LOOKUP(1,1/('[1]PURCHASE PRICE'!$B:$B=B44)/('[1]PURCHASE PRICE'!$A:$A=A44),'[1]PURCHASE PRICE'!$D:$D)</f>
        <v>23000</v>
      </c>
      <c r="G44" s="92">
        <f t="shared" si="5"/>
        <v>23000</v>
      </c>
      <c r="H44" s="13">
        <f t="shared" si="1"/>
        <v>552000</v>
      </c>
    </row>
    <row r="45" spans="1:8" x14ac:dyDescent="0.3">
      <c r="A45" s="90">
        <f t="shared" si="0"/>
        <v>45654</v>
      </c>
      <c r="B45" t="s">
        <v>59</v>
      </c>
      <c r="C45" t="s">
        <v>168</v>
      </c>
      <c r="D45">
        <v>2</v>
      </c>
      <c r="E45" s="92">
        <f>LOOKUP(1,1/('[1]PURCHASE PRICE'!$B:$B=B45)/('[1]PURCHASE PRICE'!$A:$A=A45)/('[1]PURCHASE PRICE'!$C:$C=C45),'[1]PURCHASE PRICE'!$D:$D)</f>
        <v>140000</v>
      </c>
      <c r="F45" s="92">
        <f>LOOKUP(1,1/('[1]PURCHASE PRICE'!$B:$B=B45)/('[1]PURCHASE PRICE'!$A:$A=A45),'[1]PURCHASE PRICE'!$D:$D)</f>
        <v>140000</v>
      </c>
      <c r="G45" s="92">
        <f t="shared" si="5"/>
        <v>140000</v>
      </c>
      <c r="H45" s="13">
        <f t="shared" si="1"/>
        <v>280000</v>
      </c>
    </row>
    <row r="46" spans="1:8" x14ac:dyDescent="0.3">
      <c r="A46" s="90">
        <f t="shared" si="0"/>
        <v>45654</v>
      </c>
      <c r="B46" t="s">
        <v>61</v>
      </c>
      <c r="C46" t="s">
        <v>25</v>
      </c>
      <c r="D46">
        <v>10</v>
      </c>
      <c r="E46" s="92">
        <f>LOOKUP(1,1/('[1]PURCHASE PRICE'!$B:$B=B46)/('[1]PURCHASE PRICE'!$A:$A=A46)/('[1]PURCHASE PRICE'!$C:$C=C46),'[1]PURCHASE PRICE'!$D:$D)</f>
        <v>7500</v>
      </c>
      <c r="F46" s="92">
        <f>LOOKUP(1,1/('[1]PURCHASE PRICE'!$B:$B=B46)/('[1]PURCHASE PRICE'!$A:$A=A46),'[1]PURCHASE PRICE'!$D:$D)</f>
        <v>7500</v>
      </c>
      <c r="G46" s="92">
        <f t="shared" si="5"/>
        <v>7500</v>
      </c>
      <c r="H46" s="13">
        <f t="shared" si="1"/>
        <v>75000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4" max="4" width="10.5546875" bestFit="1" customWidth="1"/>
    <col min="7" max="7" width="10.33203125" bestFit="1" customWidth="1"/>
    <col min="8" max="8" width="14.88671875" bestFit="1" customWidth="1"/>
  </cols>
  <sheetData>
    <row r="1" spans="1:8" x14ac:dyDescent="0.3">
      <c r="B1" t="s">
        <v>221</v>
      </c>
      <c r="D1" s="90">
        <v>45653</v>
      </c>
      <c r="H1" s="91">
        <f>SUM(H3:H53)</f>
        <v>60172669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v>45653</v>
      </c>
      <c r="B3" t="s">
        <v>0</v>
      </c>
      <c r="C3" t="s">
        <v>168</v>
      </c>
      <c r="D3">
        <v>20</v>
      </c>
      <c r="E3" s="92">
        <f>LOOKUP(1,1/('[1]PURCHASE PRICE'!$B:$B=B3)/('[1]PURCHASE PRICE'!$A:$A=A3)/('[1]PURCHASE PRICE'!$C:$C=C3),'[1]PURCHASE PRICE'!$D:$D)</f>
        <v>24000</v>
      </c>
      <c r="F3" s="92">
        <f>LOOKUP(1,1/('[1]PURCHASE PRICE'!$B:$B=B3)/('[1]PURCHASE PRICE'!$A:$A=A3),'[1]PURCHASE PRICE'!$D:$D)</f>
        <v>24000</v>
      </c>
      <c r="G3" s="92">
        <f>F3</f>
        <v>24000</v>
      </c>
      <c r="H3" s="13">
        <f>G3*D3</f>
        <v>480000</v>
      </c>
    </row>
    <row r="4" spans="1:8" x14ac:dyDescent="0.3">
      <c r="A4" s="90">
        <v>45653</v>
      </c>
      <c r="B4" t="s">
        <v>72</v>
      </c>
      <c r="C4" t="s">
        <v>168</v>
      </c>
      <c r="D4">
        <v>30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>
        <v>75000</v>
      </c>
      <c r="H4" s="13">
        <f t="shared" ref="H4:H53" si="0">G4*D4</f>
        <v>2250000</v>
      </c>
    </row>
    <row r="5" spans="1:8" x14ac:dyDescent="0.3">
      <c r="A5" s="90">
        <v>45653</v>
      </c>
      <c r="B5" t="s">
        <v>65</v>
      </c>
      <c r="C5" t="s">
        <v>224</v>
      </c>
      <c r="D5">
        <v>20</v>
      </c>
      <c r="E5" s="92" t="e">
        <f>LOOKUP(1,1/('[1]PURCHASE PRICE'!$B:$B=B5)/('[1]PURCHASE PRICE'!$A:$A=A5)/('[1]PURCHASE PRICE'!$C:$C=C5),'[1]PURCHASE PRICE'!$D:$D)</f>
        <v>#N/A</v>
      </c>
      <c r="F5" s="92">
        <f>LOOKUP(1,1/('[1]PURCHASE PRICE'!$B:$B=B5)/('[1]PURCHASE PRICE'!$A:$A=A5),'[1]PURCHASE PRICE'!$D:$D)</f>
        <v>10000</v>
      </c>
      <c r="G5" s="93">
        <f>F5*0.4</f>
        <v>4000</v>
      </c>
      <c r="H5" s="13">
        <f t="shared" si="0"/>
        <v>80000</v>
      </c>
    </row>
    <row r="6" spans="1:8" x14ac:dyDescent="0.3">
      <c r="A6" s="90">
        <v>45653</v>
      </c>
      <c r="B6" t="s">
        <v>196</v>
      </c>
      <c r="C6" t="s">
        <v>168</v>
      </c>
      <c r="D6">
        <v>1</v>
      </c>
      <c r="E6" s="92">
        <f>LOOKUP(1,1/('[1]PURCHASE PRICE'!$B:$B=B6)/('[1]PURCHASE PRICE'!$A:$A=A6)/('[1]PURCHASE PRICE'!$C:$C=C6),'[1]PURCHASE PRICE'!$D:$D)</f>
        <v>60000</v>
      </c>
      <c r="F6" s="92">
        <f>LOOKUP(1,1/('[1]PURCHASE PRICE'!$B:$B=B6)/('[1]PURCHASE PRICE'!$A:$A=A6),'[1]PURCHASE PRICE'!$D:$D)</f>
        <v>60000</v>
      </c>
      <c r="G6" s="91">
        <f>F6</f>
        <v>60000</v>
      </c>
      <c r="H6" s="13">
        <f t="shared" si="0"/>
        <v>60000</v>
      </c>
    </row>
    <row r="7" spans="1:8" x14ac:dyDescent="0.3">
      <c r="A7" s="90">
        <v>45653</v>
      </c>
      <c r="B7" t="s">
        <v>3</v>
      </c>
      <c r="C7" t="s">
        <v>224</v>
      </c>
      <c r="D7">
        <v>500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21500</v>
      </c>
      <c r="G7" s="92">
        <f>+F7*0.3</f>
        <v>6450</v>
      </c>
      <c r="H7" s="13">
        <f t="shared" si="0"/>
        <v>3225000</v>
      </c>
    </row>
    <row r="8" spans="1:8" x14ac:dyDescent="0.3">
      <c r="A8" s="90">
        <v>45653</v>
      </c>
      <c r="B8" t="s">
        <v>3</v>
      </c>
      <c r="C8" t="s">
        <v>168</v>
      </c>
      <c r="D8">
        <v>60</v>
      </c>
      <c r="E8" s="92">
        <f>LOOKUP(1,1/('[1]PURCHASE PRICE'!$B:$B=B8)/('[1]PURCHASE PRICE'!$A:$A=A8)/('[1]PURCHASE PRICE'!$C:$C=C8),'[1]PURCHASE PRICE'!$D:$D)</f>
        <v>21500</v>
      </c>
      <c r="F8" s="92">
        <f>LOOKUP(1,1/('[1]PURCHASE PRICE'!$B:$B=B8)/('[1]PURCHASE PRICE'!$A:$A=A8),'[1]PURCHASE PRICE'!$D:$D)</f>
        <v>21500</v>
      </c>
      <c r="G8" s="91">
        <f>F8</f>
        <v>21500</v>
      </c>
      <c r="H8" s="13">
        <f t="shared" si="0"/>
        <v>1290000</v>
      </c>
    </row>
    <row r="9" spans="1:8" x14ac:dyDescent="0.3">
      <c r="A9" s="90">
        <v>45653</v>
      </c>
      <c r="B9" t="s">
        <v>5</v>
      </c>
      <c r="C9" t="s">
        <v>224</v>
      </c>
      <c r="D9">
        <v>150</v>
      </c>
      <c r="E9" s="92" t="e">
        <f>LOOKUP(1,1/('[1]PURCHASE PRICE'!$B:$B=B9)/('[1]PURCHASE PRICE'!$A:$A=A9)/('[1]PURCHASE PRICE'!$C:$C=C9),'[1]PURCHASE PRICE'!$D:$D)</f>
        <v>#N/A</v>
      </c>
      <c r="F9" s="92">
        <f>LOOKUP(1,1/('[1]PURCHASE PRICE'!$B:$B=B9)/('[1]PURCHASE PRICE'!$A:$A=A9),'[1]PURCHASE PRICE'!$D:$D)</f>
        <v>10000</v>
      </c>
      <c r="G9" s="92">
        <f>22000*0.3</f>
        <v>6600</v>
      </c>
      <c r="H9" s="13">
        <f t="shared" si="0"/>
        <v>990000</v>
      </c>
    </row>
    <row r="10" spans="1:8" x14ac:dyDescent="0.3">
      <c r="A10" s="90">
        <v>45653</v>
      </c>
      <c r="B10" t="s">
        <v>5</v>
      </c>
      <c r="C10" t="s">
        <v>168</v>
      </c>
      <c r="D10">
        <v>20</v>
      </c>
      <c r="E10" s="92">
        <f>LOOKUP(1,1/('[1]PURCHASE PRICE'!$B:$B=B10)/('[1]PURCHASE PRICE'!$A:$A=A10)/('[1]PURCHASE PRICE'!$C:$C=C10),'[1]PURCHASE PRICE'!$D:$D)</f>
        <v>10000</v>
      </c>
      <c r="F10" s="92">
        <f>LOOKUP(1,1/('[1]PURCHASE PRICE'!$B:$B=B10)/('[1]PURCHASE PRICE'!$A:$A=A10),'[1]PURCHASE PRICE'!$D:$D)</f>
        <v>10000</v>
      </c>
      <c r="G10" s="92">
        <v>22000</v>
      </c>
      <c r="H10" s="13">
        <f t="shared" si="0"/>
        <v>440000</v>
      </c>
    </row>
    <row r="11" spans="1:8" x14ac:dyDescent="0.3">
      <c r="A11" s="90">
        <v>45653</v>
      </c>
      <c r="B11" t="s">
        <v>8</v>
      </c>
      <c r="C11" t="s">
        <v>11</v>
      </c>
      <c r="D11">
        <v>55</v>
      </c>
      <c r="E11" s="92">
        <f>LOOKUP(1,1/('[1]PURCHASE PRICE'!$B:$B=B11)/('[1]PURCHASE PRICE'!$A:$A=A11)/('[1]PURCHASE PRICE'!$C:$C=C11),'[1]PURCHASE PRICE'!$D:$D)</f>
        <v>8000</v>
      </c>
      <c r="F11" s="92">
        <f>LOOKUP(1,1/('[1]PURCHASE PRICE'!$B:$B=B11)/('[1]PURCHASE PRICE'!$A:$A=A11),'[1]PURCHASE PRICE'!$D:$D)</f>
        <v>8000</v>
      </c>
      <c r="G11" s="91">
        <f>F11</f>
        <v>8000</v>
      </c>
      <c r="H11" s="13">
        <f t="shared" si="0"/>
        <v>440000</v>
      </c>
    </row>
    <row r="12" spans="1:8" x14ac:dyDescent="0.3">
      <c r="A12" s="90">
        <v>45653</v>
      </c>
      <c r="B12" t="s">
        <v>9</v>
      </c>
      <c r="C12" t="s">
        <v>168</v>
      </c>
      <c r="D12">
        <v>150</v>
      </c>
      <c r="E12" s="92">
        <f>LOOKUP(1,1/('[1]PURCHASE PRICE'!$B:$B=B12)/('[1]PURCHASE PRICE'!$A:$A=A12)/('[1]PURCHASE PRICE'!$C:$C=C12),'[1]PURCHASE PRICE'!$D:$D)</f>
        <v>15000</v>
      </c>
      <c r="F12" s="92">
        <f>LOOKUP(1,1/('[1]PURCHASE PRICE'!$B:$B=B12)/('[1]PURCHASE PRICE'!$A:$A=A12),'[1]PURCHASE PRICE'!$D:$D)</f>
        <v>15000</v>
      </c>
      <c r="G12" s="91">
        <f t="shared" ref="G12:G16" si="1">F12</f>
        <v>15000</v>
      </c>
      <c r="H12" s="13">
        <f t="shared" si="0"/>
        <v>2250000</v>
      </c>
    </row>
    <row r="13" spans="1:8" x14ac:dyDescent="0.3">
      <c r="A13" s="90">
        <v>45653</v>
      </c>
      <c r="B13" t="s">
        <v>10</v>
      </c>
      <c r="C13" t="s">
        <v>168</v>
      </c>
      <c r="D13">
        <v>65</v>
      </c>
      <c r="E13" s="92">
        <f>LOOKUP(1,1/('[1]PURCHASE PRICE'!$B:$B=B13)/('[1]PURCHASE PRICE'!$A:$A=A13)/('[1]PURCHASE PRICE'!$C:$C=C13),'[1]PURCHASE PRICE'!$D:$D)</f>
        <v>17000</v>
      </c>
      <c r="F13" s="92">
        <f>LOOKUP(1,1/('[1]PURCHASE PRICE'!$B:$B=B13)/('[1]PURCHASE PRICE'!$A:$A=A13),'[1]PURCHASE PRICE'!$D:$D)</f>
        <v>17000</v>
      </c>
      <c r="G13" s="91">
        <f t="shared" si="1"/>
        <v>17000</v>
      </c>
      <c r="H13" s="13">
        <f t="shared" si="0"/>
        <v>1105000</v>
      </c>
    </row>
    <row r="14" spans="1:8" x14ac:dyDescent="0.3">
      <c r="A14" s="90">
        <v>45653</v>
      </c>
      <c r="B14" t="s">
        <v>10</v>
      </c>
      <c r="C14" t="s">
        <v>12</v>
      </c>
      <c r="D14">
        <v>200</v>
      </c>
      <c r="E14" s="92">
        <f>LOOKUP(1,1/('[1]PURCHASE PRICE'!$B:$B=B14)/('[1]PURCHASE PRICE'!$A:$A=A14)/('[1]PURCHASE PRICE'!$C:$C=C14),'[1]PURCHASE PRICE'!$D:$D)</f>
        <v>9500</v>
      </c>
      <c r="F14" s="92">
        <f>LOOKUP(1,1/('[1]PURCHASE PRICE'!$B:$B=B14)/('[1]PURCHASE PRICE'!$A:$A=A14),'[1]PURCHASE PRICE'!$D:$D)</f>
        <v>17000</v>
      </c>
      <c r="G14" s="91">
        <f t="shared" si="1"/>
        <v>17000</v>
      </c>
      <c r="H14" s="13">
        <f t="shared" si="0"/>
        <v>3400000</v>
      </c>
    </row>
    <row r="15" spans="1:8" x14ac:dyDescent="0.3">
      <c r="A15" s="90">
        <v>45653</v>
      </c>
      <c r="B15" t="s">
        <v>13</v>
      </c>
      <c r="C15" t="s">
        <v>14</v>
      </c>
      <c r="D15">
        <v>200</v>
      </c>
      <c r="E15" s="92">
        <f>LOOKUP(1,1/('[1]PURCHASE PRICE'!$B:$B=B15)/('[1]PURCHASE PRICE'!$A:$A=A15)/('[1]PURCHASE PRICE'!$C:$C=C15),'[1]PURCHASE PRICE'!$D:$D)</f>
        <v>8400</v>
      </c>
      <c r="F15" s="92">
        <f>LOOKUP(1,1/('[1]PURCHASE PRICE'!$B:$B=B15)/('[1]PURCHASE PRICE'!$A:$A=A15),'[1]PURCHASE PRICE'!$D:$D)</f>
        <v>8400</v>
      </c>
      <c r="G15" s="91">
        <f t="shared" si="1"/>
        <v>8400</v>
      </c>
      <c r="H15" s="13">
        <f t="shared" si="0"/>
        <v>1680000</v>
      </c>
    </row>
    <row r="16" spans="1:8" x14ac:dyDescent="0.3">
      <c r="A16" s="90">
        <v>45653</v>
      </c>
      <c r="B16" t="s">
        <v>15</v>
      </c>
      <c r="C16" t="s">
        <v>16</v>
      </c>
      <c r="D16">
        <v>60</v>
      </c>
      <c r="E16" s="92">
        <f>LOOKUP(1,1/('[1]PURCHASE PRICE'!$B:$B=B16)/('[1]PURCHASE PRICE'!$A:$A=A16)/('[1]PURCHASE PRICE'!$C:$C=C16),'[1]PURCHASE PRICE'!$D:$D)</f>
        <v>12000</v>
      </c>
      <c r="F16" s="92">
        <f>LOOKUP(1,1/('[1]PURCHASE PRICE'!$B:$B=B16)/('[1]PURCHASE PRICE'!$A:$A=A16),'[1]PURCHASE PRICE'!$D:$D)</f>
        <v>12000</v>
      </c>
      <c r="G16" s="91">
        <f t="shared" si="1"/>
        <v>12000</v>
      </c>
      <c r="H16" s="13">
        <f t="shared" si="0"/>
        <v>720000</v>
      </c>
    </row>
    <row r="17" spans="1:8" x14ac:dyDescent="0.3">
      <c r="A17" s="90">
        <v>45653</v>
      </c>
      <c r="B17" t="s">
        <v>17</v>
      </c>
      <c r="C17" t="s">
        <v>14</v>
      </c>
      <c r="D17">
        <v>150</v>
      </c>
      <c r="E17" s="92" t="e">
        <f>LOOKUP(1,1/('[1]PURCHASE PRICE'!$B:$B=B17)/('[1]PURCHASE PRICE'!$A:$A=A17)/('[1]PURCHASE PRICE'!$C:$C=C17),'[1]PURCHASE PRICE'!$D:$D)</f>
        <v>#N/A</v>
      </c>
      <c r="F17" s="92" t="e">
        <f>LOOKUP(1,1/('[1]PURCHASE PRICE'!$B:$B=B17)/('[1]PURCHASE PRICE'!$A:$A=A17),'[1]PURCHASE PRICE'!$D:$D)</f>
        <v>#N/A</v>
      </c>
      <c r="G17" s="91">
        <f>31000*0.3</f>
        <v>9300</v>
      </c>
      <c r="H17" s="13">
        <f t="shared" si="0"/>
        <v>1395000</v>
      </c>
    </row>
    <row r="18" spans="1:8" x14ac:dyDescent="0.3">
      <c r="A18" s="90">
        <v>45653</v>
      </c>
      <c r="B18" t="s">
        <v>18</v>
      </c>
      <c r="C18" t="s">
        <v>168</v>
      </c>
      <c r="D18">
        <v>80</v>
      </c>
      <c r="E18" s="92">
        <f>LOOKUP(1,1/('[1]PURCHASE PRICE'!$B:$B=B18)/('[1]PURCHASE PRICE'!$A:$A=A18)/('[1]PURCHASE PRICE'!$C:$C=C18),'[1]PURCHASE PRICE'!$D:$D)</f>
        <v>17000</v>
      </c>
      <c r="F18" s="92">
        <f>LOOKUP(1,1/('[1]PURCHASE PRICE'!$B:$B=B18)/('[1]PURCHASE PRICE'!$A:$A=A18),'[1]PURCHASE PRICE'!$D:$D)</f>
        <v>17000</v>
      </c>
      <c r="G18" s="91">
        <f>F18</f>
        <v>17000</v>
      </c>
      <c r="H18" s="13">
        <f t="shared" si="0"/>
        <v>1360000</v>
      </c>
    </row>
    <row r="19" spans="1:8" x14ac:dyDescent="0.3">
      <c r="A19" s="90">
        <v>45653</v>
      </c>
      <c r="B19" t="s">
        <v>20</v>
      </c>
      <c r="C19" t="s">
        <v>11</v>
      </c>
      <c r="D19">
        <v>150</v>
      </c>
      <c r="E19" s="92">
        <f>LOOKUP(1,1/('[1]PURCHASE PRICE'!$B:$B=B19)/('[1]PURCHASE PRICE'!$A:$A=A19)/('[1]PURCHASE PRICE'!$C:$C=C19),'[1]PURCHASE PRICE'!$D:$D)</f>
        <v>10000</v>
      </c>
      <c r="F19" s="92">
        <f>LOOKUP(1,1/('[1]PURCHASE PRICE'!$B:$B=B19)/('[1]PURCHASE PRICE'!$A:$A=A19),'[1]PURCHASE PRICE'!$D:$D)</f>
        <v>10000</v>
      </c>
      <c r="G19" s="91">
        <f t="shared" ref="G19:G21" si="2">F19</f>
        <v>10000</v>
      </c>
      <c r="H19" s="13">
        <f t="shared" si="0"/>
        <v>1500000</v>
      </c>
    </row>
    <row r="20" spans="1:8" x14ac:dyDescent="0.3">
      <c r="A20" s="90">
        <v>45653</v>
      </c>
      <c r="B20" t="s">
        <v>63</v>
      </c>
      <c r="C20" t="s">
        <v>168</v>
      </c>
      <c r="D20">
        <v>80</v>
      </c>
      <c r="E20" s="92">
        <f>LOOKUP(1,1/('[1]PURCHASE PRICE'!$B:$B=B20)/('[1]PURCHASE PRICE'!$A:$A=A20)/('[1]PURCHASE PRICE'!$C:$C=C20),'[1]PURCHASE PRICE'!$D:$D)</f>
        <v>34000</v>
      </c>
      <c r="F20" s="92">
        <f>LOOKUP(1,1/('[1]PURCHASE PRICE'!$B:$B=B20)/('[1]PURCHASE PRICE'!$A:$A=A20),'[1]PURCHASE PRICE'!$D:$D)</f>
        <v>34000</v>
      </c>
      <c r="G20" s="91">
        <f t="shared" si="2"/>
        <v>34000</v>
      </c>
      <c r="H20" s="13">
        <f t="shared" si="0"/>
        <v>2720000</v>
      </c>
    </row>
    <row r="21" spans="1:8" x14ac:dyDescent="0.3">
      <c r="A21" s="90">
        <v>45653</v>
      </c>
      <c r="B21" t="s">
        <v>21</v>
      </c>
      <c r="C21" t="s">
        <v>22</v>
      </c>
      <c r="D21">
        <v>200</v>
      </c>
      <c r="E21" s="92">
        <f>LOOKUP(1,1/('[1]PURCHASE PRICE'!$B:$B=B21)/('[1]PURCHASE PRICE'!$A:$A=A21)/('[1]PURCHASE PRICE'!$C:$C=C21),'[1]PURCHASE PRICE'!$D:$D)</f>
        <v>4300</v>
      </c>
      <c r="F21" s="92">
        <f>LOOKUP(1,1/('[1]PURCHASE PRICE'!$B:$B=B21)/('[1]PURCHASE PRICE'!$A:$A=A21),'[1]PURCHASE PRICE'!$D:$D)</f>
        <v>4300</v>
      </c>
      <c r="G21" s="91">
        <f t="shared" si="2"/>
        <v>4300</v>
      </c>
      <c r="H21" s="13">
        <f t="shared" si="0"/>
        <v>860000</v>
      </c>
    </row>
    <row r="22" spans="1:8" x14ac:dyDescent="0.3">
      <c r="A22" s="90">
        <v>45653</v>
      </c>
      <c r="B22" t="s">
        <v>21</v>
      </c>
      <c r="C22" t="s">
        <v>23</v>
      </c>
      <c r="D22">
        <v>30</v>
      </c>
      <c r="E22" s="92">
        <f>LOOKUP(1,1/('[1]PURCHASE PRICE'!$B:$B=B22)/('[1]PURCHASE PRICE'!$A:$A=A22)/('[1]PURCHASE PRICE'!$C:$C=C22),'[1]PURCHASE PRICE'!$D:$D)</f>
        <v>2100</v>
      </c>
      <c r="F22" s="92">
        <f>LOOKUP(1,1/('[1]PURCHASE PRICE'!$B:$B=B22)/('[1]PURCHASE PRICE'!$A:$A=A22),'[1]PURCHASE PRICE'!$D:$D)</f>
        <v>4300</v>
      </c>
      <c r="G22" s="91">
        <f>E22</f>
        <v>2100</v>
      </c>
      <c r="H22" s="13">
        <f t="shared" si="0"/>
        <v>63000</v>
      </c>
    </row>
    <row r="23" spans="1:8" x14ac:dyDescent="0.3">
      <c r="A23" s="90">
        <v>45653</v>
      </c>
      <c r="B23" t="s">
        <v>24</v>
      </c>
      <c r="C23" t="s">
        <v>25</v>
      </c>
      <c r="D23">
        <v>100</v>
      </c>
      <c r="E23" s="92" t="e">
        <f>LOOKUP(1,1/('[1]PURCHASE PRICE'!$B:$B=B23)/('[1]PURCHASE PRICE'!$A:$A=A23)/('[1]PURCHASE PRICE'!$C:$C=C23),'[1]PURCHASE PRICE'!$D:$D)</f>
        <v>#N/A</v>
      </c>
      <c r="F23" s="92">
        <f>LOOKUP(1,1/('[1]PURCHASE PRICE'!$B:$B=B23)/('[1]PURCHASE PRICE'!$A:$A=A23),'[1]PURCHASE PRICE'!$D:$D)</f>
        <v>12000</v>
      </c>
      <c r="G23" s="91">
        <f>F23/2</f>
        <v>6000</v>
      </c>
      <c r="H23" s="13">
        <f t="shared" si="0"/>
        <v>600000</v>
      </c>
    </row>
    <row r="24" spans="1:8" x14ac:dyDescent="0.3">
      <c r="A24" s="90">
        <v>45653</v>
      </c>
      <c r="B24" t="s">
        <v>26</v>
      </c>
      <c r="C24" t="s">
        <v>11</v>
      </c>
      <c r="D24">
        <v>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H24" s="13">
        <f t="shared" si="0"/>
        <v>0</v>
      </c>
    </row>
    <row r="25" spans="1:8" x14ac:dyDescent="0.3">
      <c r="A25" s="90">
        <v>45653</v>
      </c>
      <c r="B25" t="s">
        <v>27</v>
      </c>
      <c r="C25" t="s">
        <v>16</v>
      </c>
      <c r="D25">
        <v>60</v>
      </c>
      <c r="E25" s="92">
        <f>LOOKUP(1,1/('[1]PURCHASE PRICE'!$B:$B=B25)/('[1]PURCHASE PRICE'!$A:$A=A25)/('[1]PURCHASE PRICE'!$C:$C=C25),'[1]PURCHASE PRICE'!$D:$D)</f>
        <v>11000</v>
      </c>
      <c r="F25" s="92">
        <f>LOOKUP(1,1/('[1]PURCHASE PRICE'!$B:$B=B25)/('[1]PURCHASE PRICE'!$A:$A=A25),'[1]PURCHASE PRICE'!$D:$D)</f>
        <v>11000</v>
      </c>
      <c r="G25" s="91">
        <f>F25</f>
        <v>11000</v>
      </c>
      <c r="H25" s="13">
        <f t="shared" si="0"/>
        <v>660000</v>
      </c>
    </row>
    <row r="26" spans="1:8" x14ac:dyDescent="0.3">
      <c r="A26" s="90">
        <v>45653</v>
      </c>
      <c r="B26" t="s">
        <v>29</v>
      </c>
      <c r="C26" t="s">
        <v>168</v>
      </c>
      <c r="D26">
        <v>50</v>
      </c>
      <c r="E26" s="92">
        <f>LOOKUP(1,1/('[1]PURCHASE PRICE'!$B:$B=B26)/('[1]PURCHASE PRICE'!$A:$A=A26)/('[1]PURCHASE PRICE'!$C:$C=C26),'[1]PURCHASE PRICE'!$D:$D)</f>
        <v>13500</v>
      </c>
      <c r="F26" s="92">
        <f>LOOKUP(1,1/('[1]PURCHASE PRICE'!$B:$B=B26)/('[1]PURCHASE PRICE'!$A:$A=A26),'[1]PURCHASE PRICE'!$D:$D)</f>
        <v>13500</v>
      </c>
      <c r="G26" s="91">
        <f>F26</f>
        <v>13500</v>
      </c>
      <c r="H26" s="13">
        <f t="shared" si="0"/>
        <v>675000</v>
      </c>
    </row>
    <row r="27" spans="1:8" x14ac:dyDescent="0.3">
      <c r="A27" s="90">
        <v>45653</v>
      </c>
      <c r="B27" t="s">
        <v>77</v>
      </c>
      <c r="C27" t="s">
        <v>168</v>
      </c>
      <c r="D27">
        <v>0</v>
      </c>
      <c r="E27" s="92" t="e">
        <f>LOOKUP(1,1/('[1]PURCHASE PRICE'!$B:$B=B27)/('[1]PURCHASE PRICE'!$A:$A=A27)/('[1]PURCHASE PRICE'!$C:$C=C27),'[1]PURCHASE PRICE'!$D:$D)</f>
        <v>#N/A</v>
      </c>
      <c r="F27" s="92" t="e">
        <f>LOOKUP(1,1/('[1]PURCHASE PRICE'!$B:$B=B27)/('[1]PURCHASE PRICE'!$A:$A=A27),'[1]PURCHASE PRICE'!$D:$D)</f>
        <v>#N/A</v>
      </c>
      <c r="H27" s="13">
        <f t="shared" si="0"/>
        <v>0</v>
      </c>
    </row>
    <row r="28" spans="1:8" x14ac:dyDescent="0.3">
      <c r="A28" s="90">
        <v>45653</v>
      </c>
      <c r="B28" t="s">
        <v>30</v>
      </c>
      <c r="C28" t="s">
        <v>168</v>
      </c>
      <c r="D28">
        <v>200</v>
      </c>
      <c r="E28" s="92">
        <f>LOOKUP(1,1/('[1]PURCHASE PRICE'!$B:$B=B28)/('[1]PURCHASE PRICE'!$A:$A=A28)/('[1]PURCHASE PRICE'!$C:$C=C28),'[1]PURCHASE PRICE'!$D:$D)</f>
        <v>30000</v>
      </c>
      <c r="F28" s="92">
        <f>LOOKUP(1,1/('[1]PURCHASE PRICE'!$B:$B=B28)/('[1]PURCHASE PRICE'!$A:$A=A28),'[1]PURCHASE PRICE'!$D:$D)</f>
        <v>30000</v>
      </c>
      <c r="G28" s="92">
        <v>30000</v>
      </c>
      <c r="H28" s="13">
        <f t="shared" si="0"/>
        <v>6000000</v>
      </c>
    </row>
    <row r="29" spans="1:8" x14ac:dyDescent="0.3">
      <c r="A29" s="90">
        <v>45653</v>
      </c>
      <c r="B29" t="s">
        <v>32</v>
      </c>
      <c r="C29" t="s">
        <v>168</v>
      </c>
      <c r="D29">
        <v>30</v>
      </c>
      <c r="E29" s="92" t="e">
        <f>LOOKUP(1,1/('[1]PURCHASE PRICE'!$B:$B=B29)/('[1]PURCHASE PRICE'!$A:$A=A29)/('[1]PURCHASE PRICE'!$C:$C=C29),'[1]PURCHASE PRICE'!$D:$D)</f>
        <v>#N/A</v>
      </c>
      <c r="F29" s="92" t="e">
        <f>LOOKUP(1,1/('[1]PURCHASE PRICE'!$B:$B=B29)/('[1]PURCHASE PRICE'!$A:$A=A29),'[1]PURCHASE PRICE'!$D:$D)</f>
        <v>#N/A</v>
      </c>
      <c r="G29" s="92">
        <v>25000</v>
      </c>
      <c r="H29" s="13">
        <f t="shared" si="0"/>
        <v>750000</v>
      </c>
    </row>
    <row r="30" spans="1:8" x14ac:dyDescent="0.3">
      <c r="A30" s="90">
        <v>45653</v>
      </c>
      <c r="B30" t="s">
        <v>139</v>
      </c>
      <c r="C30" t="s">
        <v>168</v>
      </c>
      <c r="D30">
        <v>80</v>
      </c>
      <c r="E30" s="92">
        <f>LOOKUP(1,1/('[1]PURCHASE PRICE'!$B:$B=B30)/('[1]PURCHASE PRICE'!$A:$A=A30)/('[1]PURCHASE PRICE'!$C:$C=C30),'[1]PURCHASE PRICE'!$D:$D)</f>
        <v>17000</v>
      </c>
      <c r="F30" s="92">
        <f>LOOKUP(1,1/('[1]PURCHASE PRICE'!$B:$B=B30)/('[1]PURCHASE PRICE'!$A:$A=A30),'[1]PURCHASE PRICE'!$D:$D)</f>
        <v>17000</v>
      </c>
      <c r="G30" s="91">
        <f>F30</f>
        <v>17000</v>
      </c>
      <c r="H30" s="13">
        <f t="shared" si="0"/>
        <v>1360000</v>
      </c>
    </row>
    <row r="31" spans="1:8" x14ac:dyDescent="0.3">
      <c r="A31" s="90">
        <v>45653</v>
      </c>
      <c r="B31" t="s">
        <v>194</v>
      </c>
      <c r="C31" t="s">
        <v>168</v>
      </c>
      <c r="D31">
        <v>10</v>
      </c>
      <c r="E31" s="92">
        <f>LOOKUP(1,1/('[1]PURCHASE PRICE'!$B:$B=B31)/('[1]PURCHASE PRICE'!$A:$A=A31)/('[1]PURCHASE PRICE'!$C:$C=C31),'[1]PURCHASE PRICE'!$D:$D)</f>
        <v>13000</v>
      </c>
      <c r="F31" s="92">
        <f>LOOKUP(1,1/('[1]PURCHASE PRICE'!$B:$B=B31)/('[1]PURCHASE PRICE'!$A:$A=A31),'[1]PURCHASE PRICE'!$D:$D)</f>
        <v>13000</v>
      </c>
      <c r="G31" s="91">
        <f>F31</f>
        <v>13000</v>
      </c>
      <c r="H31" s="13">
        <f t="shared" si="0"/>
        <v>130000</v>
      </c>
    </row>
    <row r="32" spans="1:8" x14ac:dyDescent="0.3">
      <c r="A32" s="90">
        <v>45653</v>
      </c>
      <c r="B32" t="s">
        <v>33</v>
      </c>
      <c r="C32" t="s">
        <v>22</v>
      </c>
      <c r="D32">
        <v>20</v>
      </c>
      <c r="E32" s="92" t="e">
        <f>LOOKUP(1,1/('[1]PURCHASE PRICE'!$B:$B=B32)/('[1]PURCHASE PRICE'!$A:$A=A32)/('[1]PURCHASE PRICE'!$C:$C=C32),'[1]PURCHASE PRICE'!$D:$D)</f>
        <v>#N/A</v>
      </c>
      <c r="F32" s="92" t="e">
        <f>LOOKUP(1,1/('[1]PURCHASE PRICE'!$B:$B=B32)/('[1]PURCHASE PRICE'!$A:$A=A32),'[1]PURCHASE PRICE'!$D:$D)</f>
        <v>#N/A</v>
      </c>
      <c r="G32" s="92">
        <v>6000</v>
      </c>
      <c r="H32" s="13">
        <f t="shared" si="0"/>
        <v>120000</v>
      </c>
    </row>
    <row r="33" spans="1:8" x14ac:dyDescent="0.3">
      <c r="A33" s="90">
        <v>45653</v>
      </c>
      <c r="B33" t="s">
        <v>34</v>
      </c>
      <c r="C33" t="s">
        <v>36</v>
      </c>
      <c r="D33">
        <v>60</v>
      </c>
      <c r="E33" s="92">
        <f>LOOKUP(1,1/('[1]PURCHASE PRICE'!$B:$B=B33)/('[1]PURCHASE PRICE'!$A:$A=A33)/('[1]PURCHASE PRICE'!$C:$C=C33),'[1]PURCHASE PRICE'!$D:$D)</f>
        <v>11500</v>
      </c>
      <c r="F33" s="92">
        <f>LOOKUP(1,1/('[1]PURCHASE PRICE'!$B:$B=B33)/('[1]PURCHASE PRICE'!$A:$A=A33),'[1]PURCHASE PRICE'!$D:$D)</f>
        <v>11500</v>
      </c>
      <c r="G33" s="91">
        <f>F33</f>
        <v>11500</v>
      </c>
      <c r="H33" s="13">
        <f t="shared" si="0"/>
        <v>690000</v>
      </c>
    </row>
    <row r="34" spans="1:8" x14ac:dyDescent="0.3">
      <c r="A34" s="90">
        <v>45653</v>
      </c>
      <c r="B34" t="s">
        <v>37</v>
      </c>
      <c r="C34" t="s">
        <v>11</v>
      </c>
      <c r="D34">
        <v>300</v>
      </c>
      <c r="E34" s="92">
        <f>LOOKUP(1,1/('[1]PURCHASE PRICE'!$B:$B=B34)/('[1]PURCHASE PRICE'!$A:$A=A34)/('[1]PURCHASE PRICE'!$C:$C=C34),'[1]PURCHASE PRICE'!$D:$D)</f>
        <v>6000</v>
      </c>
      <c r="F34" s="92">
        <f>LOOKUP(1,1/('[1]PURCHASE PRICE'!$B:$B=B34)/('[1]PURCHASE PRICE'!$A:$A=A34),'[1]PURCHASE PRICE'!$D:$D)</f>
        <v>6000</v>
      </c>
      <c r="G34" s="91">
        <f t="shared" ref="G34:G35" si="3">F34</f>
        <v>6000</v>
      </c>
      <c r="H34" s="13">
        <f t="shared" si="0"/>
        <v>1800000</v>
      </c>
    </row>
    <row r="35" spans="1:8" x14ac:dyDescent="0.3">
      <c r="A35" s="90">
        <v>45653</v>
      </c>
      <c r="B35" t="s">
        <v>39</v>
      </c>
      <c r="C35" t="s">
        <v>168</v>
      </c>
      <c r="D35">
        <v>30</v>
      </c>
      <c r="E35" s="92">
        <f>LOOKUP(1,1/('[1]PURCHASE PRICE'!$B:$B=B35)/('[1]PURCHASE PRICE'!$A:$A=A35)/('[1]PURCHASE PRICE'!$C:$C=C35),'[1]PURCHASE PRICE'!$D:$D)</f>
        <v>12000</v>
      </c>
      <c r="F35" s="92">
        <f>LOOKUP(1,1/('[1]PURCHASE PRICE'!$B:$B=B35)/('[1]PURCHASE PRICE'!$A:$A=A35),'[1]PURCHASE PRICE'!$D:$D)</f>
        <v>12000</v>
      </c>
      <c r="G35" s="91">
        <f t="shared" si="3"/>
        <v>12000</v>
      </c>
      <c r="H35" s="13">
        <f t="shared" si="0"/>
        <v>360000</v>
      </c>
    </row>
    <row r="36" spans="1:8" x14ac:dyDescent="0.3">
      <c r="A36" s="90">
        <v>45653</v>
      </c>
      <c r="B36" t="s">
        <v>42</v>
      </c>
      <c r="C36" t="s">
        <v>168</v>
      </c>
      <c r="D36">
        <v>0</v>
      </c>
      <c r="E36" s="92" t="e">
        <f>LOOKUP(1,1/('[1]PURCHASE PRICE'!$B:$B=B36)/('[1]PURCHASE PRICE'!$A:$A=A36)/('[1]PURCHASE PRICE'!$C:$C=C36),'[1]PURCHASE PRICE'!$D:$D)</f>
        <v>#N/A</v>
      </c>
      <c r="F36" s="92" t="e">
        <f>LOOKUP(1,1/('[1]PURCHASE PRICE'!$B:$B=B36)/('[1]PURCHASE PRICE'!$A:$A=A36),'[1]PURCHASE PRICE'!$D:$D)</f>
        <v>#N/A</v>
      </c>
      <c r="H36" s="13">
        <f t="shared" si="0"/>
        <v>0</v>
      </c>
    </row>
    <row r="37" spans="1:8" x14ac:dyDescent="0.3">
      <c r="A37" s="90">
        <v>45653</v>
      </c>
      <c r="B37" t="s">
        <v>43</v>
      </c>
      <c r="C37" t="s">
        <v>168</v>
      </c>
      <c r="D37">
        <v>0</v>
      </c>
      <c r="E37" s="92" t="e">
        <f>LOOKUP(1,1/('[1]PURCHASE PRICE'!$B:$B=B37)/('[1]PURCHASE PRICE'!$A:$A=A37)/('[1]PURCHASE PRICE'!$C:$C=C37),'[1]PURCHASE PRICE'!$D:$D)</f>
        <v>#N/A</v>
      </c>
      <c r="F37" s="92" t="e">
        <f>LOOKUP(1,1/('[1]PURCHASE PRICE'!$B:$B=B37)/('[1]PURCHASE PRICE'!$A:$A=A37),'[1]PURCHASE PRICE'!$D:$D)</f>
        <v>#N/A</v>
      </c>
      <c r="H37" s="13">
        <f t="shared" si="0"/>
        <v>0</v>
      </c>
    </row>
    <row r="38" spans="1:8" x14ac:dyDescent="0.3">
      <c r="A38" s="90">
        <v>45653</v>
      </c>
      <c r="B38" t="s">
        <v>45</v>
      </c>
      <c r="C38" t="s">
        <v>22</v>
      </c>
      <c r="D38">
        <v>520</v>
      </c>
      <c r="E38" s="92">
        <f>LOOKUP(1,1/('[1]PURCHASE PRICE'!$B:$B=B38)/('[1]PURCHASE PRICE'!$A:$A=A38)/('[1]PURCHASE PRICE'!$C:$C=C38),'[1]PURCHASE PRICE'!$D:$D)</f>
        <v>2900</v>
      </c>
      <c r="F38" s="92">
        <f>LOOKUP(1,1/('[1]PURCHASE PRICE'!$B:$B=B38)/('[1]PURCHASE PRICE'!$A:$A=A38),'[1]PURCHASE PRICE'!$D:$D)</f>
        <v>2900</v>
      </c>
      <c r="G38" s="91">
        <f>F38</f>
        <v>2900</v>
      </c>
      <c r="H38" s="13">
        <f t="shared" si="0"/>
        <v>1508000</v>
      </c>
    </row>
    <row r="39" spans="1:8" x14ac:dyDescent="0.3">
      <c r="A39" s="90">
        <v>45653</v>
      </c>
      <c r="B39" t="s">
        <v>46</v>
      </c>
      <c r="C39" t="s">
        <v>168</v>
      </c>
      <c r="D39">
        <v>20</v>
      </c>
      <c r="E39" s="92">
        <f>LOOKUP(1,1/('[1]PURCHASE PRICE'!$B:$B=B39)/('[1]PURCHASE PRICE'!$A:$A=A39)/('[1]PURCHASE PRICE'!$C:$C=C39),'[1]PURCHASE PRICE'!$D:$D)</f>
        <v>42000</v>
      </c>
      <c r="F39" s="92">
        <f>LOOKUP(1,1/('[1]PURCHASE PRICE'!$B:$B=B39)/('[1]PURCHASE PRICE'!$A:$A=A39),'[1]PURCHASE PRICE'!$D:$D)</f>
        <v>42000</v>
      </c>
      <c r="G39" s="91">
        <f>F39</f>
        <v>42000</v>
      </c>
      <c r="H39" s="13">
        <f t="shared" si="0"/>
        <v>840000</v>
      </c>
    </row>
    <row r="40" spans="1:8" x14ac:dyDescent="0.3">
      <c r="A40" s="90">
        <v>45653</v>
      </c>
      <c r="B40" t="s">
        <v>70</v>
      </c>
      <c r="C40" t="s">
        <v>11</v>
      </c>
      <c r="D40">
        <v>20</v>
      </c>
      <c r="E40" s="92" t="e">
        <f>LOOKUP(1,1/('[1]PURCHASE PRICE'!$B:$B=B40)/('[1]PURCHASE PRICE'!$A:$A=A40)/('[1]PURCHASE PRICE'!$C:$C=C40),'[1]PURCHASE PRICE'!$D:$D)</f>
        <v>#N/A</v>
      </c>
      <c r="F40" s="92" t="e">
        <f>LOOKUP(1,1/('[1]PURCHASE PRICE'!$B:$B=B40)/('[1]PURCHASE PRICE'!$A:$A=A40),'[1]PURCHASE PRICE'!$D:$D)</f>
        <v>#N/A</v>
      </c>
      <c r="G40" s="92">
        <f>35667*0.35</f>
        <v>12483.449999999999</v>
      </c>
      <c r="H40" s="13">
        <f t="shared" si="0"/>
        <v>249668.99999999997</v>
      </c>
    </row>
    <row r="41" spans="1:8" x14ac:dyDescent="0.3">
      <c r="A41" s="90">
        <v>45653</v>
      </c>
      <c r="B41" t="s">
        <v>64</v>
      </c>
      <c r="C41" t="s">
        <v>168</v>
      </c>
      <c r="D41">
        <v>20</v>
      </c>
      <c r="E41" s="92">
        <f>LOOKUP(1,1/('[1]PURCHASE PRICE'!$B:$B=B41)/('[1]PURCHASE PRICE'!$A:$A=A41)/('[1]PURCHASE PRICE'!$C:$C=C41),'[1]PURCHASE PRICE'!$D:$D)</f>
        <v>48000</v>
      </c>
      <c r="F41" s="92">
        <f>LOOKUP(1,1/('[1]PURCHASE PRICE'!$B:$B=B41)/('[1]PURCHASE PRICE'!$A:$A=A41),'[1]PURCHASE PRICE'!$D:$D)</f>
        <v>48000</v>
      </c>
      <c r="G41" s="91">
        <f>F41</f>
        <v>48000</v>
      </c>
      <c r="H41" s="13">
        <f t="shared" si="0"/>
        <v>960000</v>
      </c>
    </row>
    <row r="42" spans="1:8" x14ac:dyDescent="0.3">
      <c r="A42" s="90">
        <v>45653</v>
      </c>
      <c r="B42" t="s">
        <v>47</v>
      </c>
      <c r="C42" t="s">
        <v>224</v>
      </c>
      <c r="D42">
        <v>400</v>
      </c>
      <c r="E42" s="92" t="e">
        <f>LOOKUP(1,1/('[1]PURCHASE PRICE'!$B:$B=B42)/('[1]PURCHASE PRICE'!$A:$A=A42)/('[1]PURCHASE PRICE'!$C:$C=C42),'[1]PURCHASE PRICE'!$D:$D)</f>
        <v>#N/A</v>
      </c>
      <c r="F42" s="92">
        <f>LOOKUP(1,1/('[1]PURCHASE PRICE'!$B:$B=B42)/('[1]PURCHASE PRICE'!$A:$A=A42),'[1]PURCHASE PRICE'!$D:$D)</f>
        <v>38000</v>
      </c>
      <c r="G42" s="94">
        <f>F42*0.25</f>
        <v>9500</v>
      </c>
      <c r="H42" s="13">
        <f t="shared" si="0"/>
        <v>3800000</v>
      </c>
    </row>
    <row r="43" spans="1:8" x14ac:dyDescent="0.3">
      <c r="A43" s="90">
        <v>45653</v>
      </c>
      <c r="B43" t="s">
        <v>48</v>
      </c>
      <c r="C43" t="s">
        <v>168</v>
      </c>
      <c r="D43">
        <v>10</v>
      </c>
      <c r="E43" s="92">
        <f>LOOKUP(1,1/('[1]PURCHASE PRICE'!$B:$B=B43)/('[1]PURCHASE PRICE'!$A:$A=A43)/('[1]PURCHASE PRICE'!$C:$C=C43),'[1]PURCHASE PRICE'!$D:$D)</f>
        <v>55000</v>
      </c>
      <c r="F43" s="92">
        <f>LOOKUP(1,1/('[1]PURCHASE PRICE'!$B:$B=B43)/('[1]PURCHASE PRICE'!$A:$A=A43),'[1]PURCHASE PRICE'!$D:$D)</f>
        <v>55000</v>
      </c>
      <c r="G43" s="91">
        <f>+F43</f>
        <v>55000</v>
      </c>
      <c r="H43" s="13">
        <f t="shared" si="0"/>
        <v>550000</v>
      </c>
    </row>
    <row r="44" spans="1:8" x14ac:dyDescent="0.3">
      <c r="A44" s="90">
        <v>45653</v>
      </c>
      <c r="B44" t="s">
        <v>50</v>
      </c>
      <c r="C44" t="s">
        <v>224</v>
      </c>
      <c r="D44">
        <v>200</v>
      </c>
      <c r="E44" s="92" t="e">
        <f>LOOKUP(1,1/('[1]PURCHASE PRICE'!$B:$B=B44)/('[1]PURCHASE PRICE'!$A:$A=A44)/('[1]PURCHASE PRICE'!$C:$C=C44),'[1]PURCHASE PRICE'!$D:$D)</f>
        <v>#N/A</v>
      </c>
      <c r="F44" s="92">
        <f>LOOKUP(1,1/('[1]PURCHASE PRICE'!$B:$B=B44)/('[1]PURCHASE PRICE'!$A:$A=A44),'[1]PURCHASE PRICE'!$D:$D)</f>
        <v>42000</v>
      </c>
      <c r="G44">
        <f>+F44*0.25</f>
        <v>10500</v>
      </c>
      <c r="H44" s="13">
        <f t="shared" si="0"/>
        <v>2100000</v>
      </c>
    </row>
    <row r="45" spans="1:8" x14ac:dyDescent="0.3">
      <c r="A45" s="90">
        <v>45653</v>
      </c>
      <c r="B45" t="s">
        <v>51</v>
      </c>
      <c r="C45" t="s">
        <v>224</v>
      </c>
      <c r="D45">
        <v>80</v>
      </c>
      <c r="E45" s="92" t="e">
        <f>LOOKUP(1,1/('[1]PURCHASE PRICE'!$B:$B=B45)/('[1]PURCHASE PRICE'!$A:$A=A45)/('[1]PURCHASE PRICE'!$C:$C=C45),'[1]PURCHASE PRICE'!$D:$D)</f>
        <v>#N/A</v>
      </c>
      <c r="F45" s="92">
        <f>LOOKUP(1,1/('[1]PURCHASE PRICE'!$B:$B=B45)/('[1]PURCHASE PRICE'!$A:$A=A45),'[1]PURCHASE PRICE'!$D:$D)</f>
        <v>27000</v>
      </c>
      <c r="G45">
        <f>+F45*0.25</f>
        <v>6750</v>
      </c>
      <c r="H45" s="13">
        <f t="shared" si="0"/>
        <v>540000</v>
      </c>
    </row>
    <row r="46" spans="1:8" x14ac:dyDescent="0.3">
      <c r="A46" s="90">
        <v>45653</v>
      </c>
      <c r="B46" t="s">
        <v>52</v>
      </c>
      <c r="C46" t="s">
        <v>22</v>
      </c>
      <c r="D46">
        <v>100</v>
      </c>
      <c r="E46" s="92">
        <f>LOOKUP(1,1/('[1]PURCHASE PRICE'!$B:$B=B46)/('[1]PURCHASE PRICE'!$A:$A=A46)/('[1]PURCHASE PRICE'!$C:$C=C46),'[1]PURCHASE PRICE'!$D:$D)</f>
        <v>22000</v>
      </c>
      <c r="F46" s="92">
        <f>LOOKUP(1,1/('[1]PURCHASE PRICE'!$B:$B=B46)/('[1]PURCHASE PRICE'!$A:$A=A46),'[1]PURCHASE PRICE'!$D:$D)</f>
        <v>22000</v>
      </c>
      <c r="G46" s="91">
        <f>+F46</f>
        <v>22000</v>
      </c>
      <c r="H46" s="13">
        <f t="shared" si="0"/>
        <v>2200000</v>
      </c>
    </row>
    <row r="47" spans="1:8" x14ac:dyDescent="0.3">
      <c r="A47" s="90">
        <v>45653</v>
      </c>
      <c r="B47" t="s">
        <v>53</v>
      </c>
      <c r="C47" t="s">
        <v>168</v>
      </c>
      <c r="D47">
        <v>10</v>
      </c>
      <c r="E47" s="92">
        <f>LOOKUP(1,1/('[1]PURCHASE PRICE'!$B:$B=B47)/('[1]PURCHASE PRICE'!$A:$A=A47)/('[1]PURCHASE PRICE'!$C:$C=C47),'[1]PURCHASE PRICE'!$D:$D)</f>
        <v>45000</v>
      </c>
      <c r="F47" s="92">
        <f>LOOKUP(1,1/('[1]PURCHASE PRICE'!$B:$B=B47)/('[1]PURCHASE PRICE'!$A:$A=A47),'[1]PURCHASE PRICE'!$D:$D)</f>
        <v>45000</v>
      </c>
      <c r="G47" s="91">
        <f t="shared" ref="G47:G53" si="4">+F47</f>
        <v>45000</v>
      </c>
      <c r="H47" s="13">
        <f t="shared" si="0"/>
        <v>450000</v>
      </c>
    </row>
    <row r="48" spans="1:8" x14ac:dyDescent="0.3">
      <c r="A48" s="90">
        <v>45653</v>
      </c>
      <c r="B48" t="s">
        <v>54</v>
      </c>
      <c r="C48" t="s">
        <v>168</v>
      </c>
      <c r="D48">
        <v>120</v>
      </c>
      <c r="E48" s="92">
        <f>LOOKUP(1,1/('[1]PURCHASE PRICE'!$B:$B=B48)/('[1]PURCHASE PRICE'!$A:$A=A48)/('[1]PURCHASE PRICE'!$C:$C=C48),'[1]PURCHASE PRICE'!$D:$D)</f>
        <v>33000</v>
      </c>
      <c r="F48" s="92">
        <f>LOOKUP(1,1/('[1]PURCHASE PRICE'!$B:$B=B48)/('[1]PURCHASE PRICE'!$A:$A=A48),'[1]PURCHASE PRICE'!$D:$D)</f>
        <v>33000</v>
      </c>
      <c r="G48" s="91">
        <f t="shared" si="4"/>
        <v>33000</v>
      </c>
      <c r="H48" s="13">
        <f t="shared" si="0"/>
        <v>3960000</v>
      </c>
    </row>
    <row r="49" spans="1:8" x14ac:dyDescent="0.3">
      <c r="A49" s="90">
        <v>45653</v>
      </c>
      <c r="B49" t="s">
        <v>55</v>
      </c>
      <c r="C49" t="s">
        <v>25</v>
      </c>
      <c r="D49">
        <v>100</v>
      </c>
      <c r="E49" s="92">
        <f>LOOKUP(1,1/('[1]PURCHASE PRICE'!$B:$B=B49)/('[1]PURCHASE PRICE'!$A:$A=A49)/('[1]PURCHASE PRICE'!$C:$C=C49),'[1]PURCHASE PRICE'!$D:$D)</f>
        <v>6000</v>
      </c>
      <c r="F49" s="92">
        <f>LOOKUP(1,1/('[1]PURCHASE PRICE'!$B:$B=B49)/('[1]PURCHASE PRICE'!$A:$A=A49),'[1]PURCHASE PRICE'!$D:$D)</f>
        <v>6000</v>
      </c>
      <c r="G49" s="91">
        <f t="shared" si="4"/>
        <v>6000</v>
      </c>
      <c r="H49" s="13">
        <f t="shared" si="0"/>
        <v>600000</v>
      </c>
    </row>
    <row r="50" spans="1:8" x14ac:dyDescent="0.3">
      <c r="A50" s="90">
        <v>45653</v>
      </c>
      <c r="B50" t="s">
        <v>56</v>
      </c>
      <c r="C50" t="s">
        <v>168</v>
      </c>
      <c r="D50">
        <v>70</v>
      </c>
      <c r="E50" s="92">
        <f>LOOKUP(1,1/('[1]PURCHASE PRICE'!$B:$B=B50)/('[1]PURCHASE PRICE'!$A:$A=A50)/('[1]PURCHASE PRICE'!$C:$C=C50),'[1]PURCHASE PRICE'!$D:$D)</f>
        <v>27000</v>
      </c>
      <c r="F50" s="92">
        <f>LOOKUP(1,1/('[1]PURCHASE PRICE'!$B:$B=B50)/('[1]PURCHASE PRICE'!$A:$A=A50),'[1]PURCHASE PRICE'!$D:$D)</f>
        <v>27000</v>
      </c>
      <c r="G50" s="91">
        <f t="shared" si="4"/>
        <v>27000</v>
      </c>
      <c r="H50" s="13">
        <f t="shared" si="0"/>
        <v>1890000</v>
      </c>
    </row>
    <row r="51" spans="1:8" x14ac:dyDescent="0.3">
      <c r="A51" s="90">
        <v>45653</v>
      </c>
      <c r="B51" t="s">
        <v>57</v>
      </c>
      <c r="C51" t="s">
        <v>25</v>
      </c>
      <c r="D51">
        <v>15</v>
      </c>
      <c r="E51" s="92">
        <f>LOOKUP(1,1/('[1]PURCHASE PRICE'!$B:$B=B51)/('[1]PURCHASE PRICE'!$A:$A=A51)/('[1]PURCHASE PRICE'!$C:$C=C51),'[1]PURCHASE PRICE'!$D:$D)</f>
        <v>6800</v>
      </c>
      <c r="F51" s="92">
        <f>LOOKUP(1,1/('[1]PURCHASE PRICE'!$B:$B=B51)/('[1]PURCHASE PRICE'!$A:$A=A51),'[1]PURCHASE PRICE'!$D:$D)</f>
        <v>6800</v>
      </c>
      <c r="G51" s="91">
        <f t="shared" si="4"/>
        <v>6800</v>
      </c>
      <c r="H51" s="13">
        <f t="shared" si="0"/>
        <v>102000</v>
      </c>
    </row>
    <row r="52" spans="1:8" x14ac:dyDescent="0.3">
      <c r="A52" s="90">
        <v>45653</v>
      </c>
      <c r="B52" t="s">
        <v>58</v>
      </c>
      <c r="C52" t="s">
        <v>168</v>
      </c>
      <c r="D52">
        <v>30</v>
      </c>
      <c r="E52" s="92">
        <f>LOOKUP(1,1/('[1]PURCHASE PRICE'!$B:$B=B52)/('[1]PURCHASE PRICE'!$A:$A=A52)/('[1]PURCHASE PRICE'!$C:$C=C52),'[1]PURCHASE PRICE'!$D:$D)</f>
        <v>23000</v>
      </c>
      <c r="F52" s="92">
        <f>LOOKUP(1,1/('[1]PURCHASE PRICE'!$B:$B=B52)/('[1]PURCHASE PRICE'!$A:$A=A52),'[1]PURCHASE PRICE'!$D:$D)</f>
        <v>23000</v>
      </c>
      <c r="G52" s="91">
        <f t="shared" si="4"/>
        <v>23000</v>
      </c>
      <c r="H52" s="13">
        <f t="shared" si="0"/>
        <v>690000</v>
      </c>
    </row>
    <row r="53" spans="1:8" x14ac:dyDescent="0.3">
      <c r="A53" s="90">
        <v>45653</v>
      </c>
      <c r="B53" t="s">
        <v>59</v>
      </c>
      <c r="C53" t="s">
        <v>168</v>
      </c>
      <c r="D53">
        <v>2</v>
      </c>
      <c r="E53" s="92">
        <f>LOOKUP(1,1/('[1]PURCHASE PRICE'!$B:$B=B53)/('[1]PURCHASE PRICE'!$A:$A=A53)/('[1]PURCHASE PRICE'!$C:$C=C53),'[1]PURCHASE PRICE'!$D:$D)</f>
        <v>140000</v>
      </c>
      <c r="F53" s="92">
        <f>LOOKUP(1,1/('[1]PURCHASE PRICE'!$B:$B=B53)/('[1]PURCHASE PRICE'!$A:$A=A53),'[1]PURCHASE PRICE'!$D:$D)</f>
        <v>140000</v>
      </c>
      <c r="G53" s="91">
        <f t="shared" si="4"/>
        <v>140000</v>
      </c>
      <c r="H53" s="13">
        <f t="shared" si="0"/>
        <v>280000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topLeftCell="A19"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7" max="7" width="11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45652</v>
      </c>
      <c r="H1" s="91">
        <f>SUM(H3:H50)</f>
        <v>57278666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v>45652</v>
      </c>
      <c r="B3" t="s">
        <v>65</v>
      </c>
      <c r="C3" t="s">
        <v>224</v>
      </c>
      <c r="D3">
        <v>0</v>
      </c>
      <c r="E3" s="92" t="e">
        <f>LOOKUP(1,1/('[1]PURCHASE PRICE'!$B:$B=B3)/('[1]PURCHASE PRICE'!$A:$A=A3)/('[1]PURCHASE PRICE'!$C:$C=C3),'[1]PURCHASE PRICE'!$D:$D)</f>
        <v>#N/A</v>
      </c>
      <c r="F3" s="92" t="e">
        <f>LOOKUP(1,1/('[1]PURCHASE PRICE'!$B:$B=B3)/('[1]PURCHASE PRICE'!$A:$A=A3),'[1]PURCHASE PRICE'!$D:$D)</f>
        <v>#N/A</v>
      </c>
      <c r="H3" s="13">
        <f>G3*D3</f>
        <v>0</v>
      </c>
    </row>
    <row r="4" spans="1:8" x14ac:dyDescent="0.3">
      <c r="A4" s="90">
        <v>45652</v>
      </c>
      <c r="B4" t="s">
        <v>2</v>
      </c>
      <c r="C4" t="s">
        <v>168</v>
      </c>
      <c r="D4">
        <v>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H4" s="13">
        <f t="shared" ref="H4:H50" si="0">G4*D4</f>
        <v>0</v>
      </c>
    </row>
    <row r="5" spans="1:8" x14ac:dyDescent="0.3">
      <c r="A5" s="90">
        <v>45652</v>
      </c>
      <c r="B5" t="s">
        <v>3</v>
      </c>
      <c r="C5" t="s">
        <v>224</v>
      </c>
      <c r="D5">
        <v>500</v>
      </c>
      <c r="E5" s="92" t="e">
        <f>LOOKUP(1,1/('[1]PURCHASE PRICE'!$B:$B=B5)/('[1]PURCHASE PRICE'!$A:$A=A5)/('[1]PURCHASE PRICE'!$C:$C=C5),'[1]PURCHASE PRICE'!$D:$D)</f>
        <v>#N/A</v>
      </c>
      <c r="F5" s="92">
        <f>LOOKUP(1,1/('[1]PURCHASE PRICE'!$B:$B=B5)/('[1]PURCHASE PRICE'!$A:$A=A5),'[1]PURCHASE PRICE'!$D:$D)</f>
        <v>22000</v>
      </c>
      <c r="G5" s="92">
        <f>F5*0.3</f>
        <v>6600</v>
      </c>
      <c r="H5" s="13">
        <f t="shared" si="0"/>
        <v>3300000</v>
      </c>
    </row>
    <row r="6" spans="1:8" x14ac:dyDescent="0.3">
      <c r="A6" s="90">
        <v>45652</v>
      </c>
      <c r="B6" t="s">
        <v>5</v>
      </c>
      <c r="C6" t="s">
        <v>224</v>
      </c>
      <c r="D6">
        <v>150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10000</v>
      </c>
      <c r="G6" s="92">
        <f>22000*0.3</f>
        <v>6600</v>
      </c>
      <c r="H6" s="13">
        <f t="shared" si="0"/>
        <v>990000</v>
      </c>
    </row>
    <row r="7" spans="1:8" x14ac:dyDescent="0.3">
      <c r="A7" s="90">
        <v>45652</v>
      </c>
      <c r="B7" t="s">
        <v>5</v>
      </c>
      <c r="C7" t="s">
        <v>168</v>
      </c>
      <c r="D7">
        <v>20</v>
      </c>
      <c r="E7" s="92">
        <f>LOOKUP(1,1/('[1]PURCHASE PRICE'!$B:$B=B7)/('[1]PURCHASE PRICE'!$A:$A=A7)/('[1]PURCHASE PRICE'!$C:$C=C7),'[1]PURCHASE PRICE'!$D:$D)</f>
        <v>10000</v>
      </c>
      <c r="F7" s="92">
        <f>LOOKUP(1,1/('[1]PURCHASE PRICE'!$B:$B=B7)/('[1]PURCHASE PRICE'!$A:$A=A7),'[1]PURCHASE PRICE'!$D:$D)</f>
        <v>10000</v>
      </c>
      <c r="G7" s="92">
        <v>22000</v>
      </c>
      <c r="H7" s="13">
        <f t="shared" si="0"/>
        <v>440000</v>
      </c>
    </row>
    <row r="8" spans="1:8" x14ac:dyDescent="0.3">
      <c r="A8" s="90">
        <v>45652</v>
      </c>
      <c r="B8" t="s">
        <v>9</v>
      </c>
      <c r="C8" t="s">
        <v>168</v>
      </c>
      <c r="D8">
        <v>150</v>
      </c>
      <c r="E8" s="92" t="e">
        <f>LOOKUP(1,1/('[1]PURCHASE PRICE'!$B:$B=B8)/('[1]PURCHASE PRICE'!$A:$A=A8)/('[1]PURCHASE PRICE'!$C:$C=C8),'[1]PURCHASE PRICE'!$D:$D)</f>
        <v>#N/A</v>
      </c>
      <c r="F8" s="92">
        <f>LOOKUP(1,1/('[1]PURCHASE PRICE'!$B:$B=B8)/('[1]PURCHASE PRICE'!$A:$A=A8),'[1]PURCHASE PRICE'!$D:$D)</f>
        <v>13650</v>
      </c>
      <c r="G8" s="92">
        <v>17000</v>
      </c>
      <c r="H8" s="13">
        <f t="shared" si="0"/>
        <v>2550000</v>
      </c>
    </row>
    <row r="9" spans="1:8" x14ac:dyDescent="0.3">
      <c r="A9" s="90">
        <v>45652</v>
      </c>
      <c r="B9" t="s">
        <v>10</v>
      </c>
      <c r="C9" t="s">
        <v>12</v>
      </c>
      <c r="D9">
        <v>200</v>
      </c>
      <c r="E9" s="92">
        <f>LOOKUP(1,1/('[1]PURCHASE PRICE'!$B:$B=B9)/('[1]PURCHASE PRICE'!$A:$A=A9)/('[1]PURCHASE PRICE'!$C:$C=C9),'[1]PURCHASE PRICE'!$D:$D)</f>
        <v>9333.33</v>
      </c>
      <c r="F9" s="92">
        <f>LOOKUP(1,1/('[1]PURCHASE PRICE'!$B:$B=B9)/('[1]PURCHASE PRICE'!$A:$A=A9),'[1]PURCHASE PRICE'!$D:$D)</f>
        <v>14000</v>
      </c>
      <c r="G9" s="92">
        <f>E9</f>
        <v>9333.33</v>
      </c>
      <c r="H9" s="13">
        <f t="shared" si="0"/>
        <v>1866666</v>
      </c>
    </row>
    <row r="10" spans="1:8" x14ac:dyDescent="0.3">
      <c r="A10" s="90">
        <v>45652</v>
      </c>
      <c r="B10" t="s">
        <v>13</v>
      </c>
      <c r="C10" t="s">
        <v>14</v>
      </c>
      <c r="D10">
        <v>150</v>
      </c>
      <c r="E10" s="92">
        <f>LOOKUP(1,1/('[1]PURCHASE PRICE'!$B:$B=B10)/('[1]PURCHASE PRICE'!$A:$A=A10)/('[1]PURCHASE PRICE'!$C:$C=C10),'[1]PURCHASE PRICE'!$D:$D)</f>
        <v>8400</v>
      </c>
      <c r="F10" s="92">
        <f>LOOKUP(1,1/('[1]PURCHASE PRICE'!$B:$B=B10)/('[1]PURCHASE PRICE'!$A:$A=A10),'[1]PURCHASE PRICE'!$D:$D)</f>
        <v>8400</v>
      </c>
      <c r="G10" s="92">
        <f>F10</f>
        <v>8400</v>
      </c>
      <c r="H10" s="13">
        <f t="shared" si="0"/>
        <v>1260000</v>
      </c>
    </row>
    <row r="11" spans="1:8" x14ac:dyDescent="0.3">
      <c r="A11" s="90">
        <v>45652</v>
      </c>
      <c r="B11" t="s">
        <v>15</v>
      </c>
      <c r="C11" t="s">
        <v>16</v>
      </c>
      <c r="D11">
        <v>60</v>
      </c>
      <c r="E11" s="92">
        <f>LOOKUP(1,1/('[1]PURCHASE PRICE'!$B:$B=B11)/('[1]PURCHASE PRICE'!$A:$A=A11)/('[1]PURCHASE PRICE'!$C:$C=C11),'[1]PURCHASE PRICE'!$D:$D)</f>
        <v>12600</v>
      </c>
      <c r="F11" s="92">
        <f>LOOKUP(1,1/('[1]PURCHASE PRICE'!$B:$B=B11)/('[1]PURCHASE PRICE'!$A:$A=A11),'[1]PURCHASE PRICE'!$D:$D)</f>
        <v>12600</v>
      </c>
      <c r="G11" s="92">
        <f>F11</f>
        <v>12600</v>
      </c>
      <c r="H11" s="13">
        <f t="shared" si="0"/>
        <v>756000</v>
      </c>
    </row>
    <row r="12" spans="1:8" x14ac:dyDescent="0.3">
      <c r="A12" s="90">
        <v>45652</v>
      </c>
      <c r="B12" t="s">
        <v>19</v>
      </c>
      <c r="C12" t="s">
        <v>168</v>
      </c>
      <c r="D12">
        <v>40</v>
      </c>
      <c r="E12" s="92">
        <f>LOOKUP(1,1/('[1]PURCHASE PRICE'!$B:$B=B12)/('[1]PURCHASE PRICE'!$A:$A=A12)/('[1]PURCHASE PRICE'!$C:$C=C12),'[1]PURCHASE PRICE'!$D:$D)</f>
        <v>14000</v>
      </c>
      <c r="F12" s="92">
        <f>LOOKUP(1,1/('[1]PURCHASE PRICE'!$B:$B=B12)/('[1]PURCHASE PRICE'!$A:$A=A12),'[1]PURCHASE PRICE'!$D:$D)</f>
        <v>14000</v>
      </c>
      <c r="G12" s="92">
        <f t="shared" ref="G12:G14" si="1">F12</f>
        <v>14000</v>
      </c>
      <c r="H12" s="13">
        <f t="shared" si="0"/>
        <v>560000</v>
      </c>
    </row>
    <row r="13" spans="1:8" x14ac:dyDescent="0.3">
      <c r="A13" s="90">
        <v>45652</v>
      </c>
      <c r="B13" t="s">
        <v>63</v>
      </c>
      <c r="C13" t="s">
        <v>168</v>
      </c>
      <c r="D13">
        <v>60</v>
      </c>
      <c r="E13" s="92">
        <f>LOOKUP(1,1/('[1]PURCHASE PRICE'!$B:$B=B13)/('[1]PURCHASE PRICE'!$A:$A=A13)/('[1]PURCHASE PRICE'!$C:$C=C13),'[1]PURCHASE PRICE'!$D:$D)</f>
        <v>35000</v>
      </c>
      <c r="F13" s="92">
        <f>LOOKUP(1,1/('[1]PURCHASE PRICE'!$B:$B=B13)/('[1]PURCHASE PRICE'!$A:$A=A13),'[1]PURCHASE PRICE'!$D:$D)</f>
        <v>35000</v>
      </c>
      <c r="G13" s="92">
        <f t="shared" si="1"/>
        <v>35000</v>
      </c>
      <c r="H13" s="13">
        <f t="shared" si="0"/>
        <v>2100000</v>
      </c>
    </row>
    <row r="14" spans="1:8" x14ac:dyDescent="0.3">
      <c r="A14" s="90">
        <v>45652</v>
      </c>
      <c r="B14" t="s">
        <v>21</v>
      </c>
      <c r="C14" t="s">
        <v>22</v>
      </c>
      <c r="D14">
        <v>150</v>
      </c>
      <c r="E14" s="92">
        <f>LOOKUP(1,1/('[1]PURCHASE PRICE'!$B:$B=B14)/('[1]PURCHASE PRICE'!$A:$A=A14)/('[1]PURCHASE PRICE'!$C:$C=C14),'[1]PURCHASE PRICE'!$D:$D)</f>
        <v>4300</v>
      </c>
      <c r="F14" s="92">
        <f>LOOKUP(1,1/('[1]PURCHASE PRICE'!$B:$B=B14)/('[1]PURCHASE PRICE'!$A:$A=A14),'[1]PURCHASE PRICE'!$D:$D)</f>
        <v>4300</v>
      </c>
      <c r="G14" s="92">
        <f t="shared" si="1"/>
        <v>4300</v>
      </c>
      <c r="H14" s="13">
        <f t="shared" si="0"/>
        <v>645000</v>
      </c>
    </row>
    <row r="15" spans="1:8" x14ac:dyDescent="0.3">
      <c r="A15" s="90">
        <v>45652</v>
      </c>
      <c r="B15" t="s">
        <v>21</v>
      </c>
      <c r="C15" t="s">
        <v>23</v>
      </c>
      <c r="D15">
        <v>30</v>
      </c>
      <c r="E15" s="92">
        <f>LOOKUP(1,1/('[1]PURCHASE PRICE'!$B:$B=B15)/('[1]PURCHASE PRICE'!$A:$A=A15)/('[1]PURCHASE PRICE'!$C:$C=C15),'[1]PURCHASE PRICE'!$D:$D)</f>
        <v>2100</v>
      </c>
      <c r="F15" s="92">
        <f>LOOKUP(1,1/('[1]PURCHASE PRICE'!$B:$B=B15)/('[1]PURCHASE PRICE'!$A:$A=A15),'[1]PURCHASE PRICE'!$D:$D)</f>
        <v>4300</v>
      </c>
      <c r="G15" s="92">
        <f>E15</f>
        <v>2100</v>
      </c>
      <c r="H15" s="13">
        <f t="shared" si="0"/>
        <v>63000</v>
      </c>
    </row>
    <row r="16" spans="1:8" x14ac:dyDescent="0.3">
      <c r="A16" s="90">
        <v>45652</v>
      </c>
      <c r="B16" t="s">
        <v>24</v>
      </c>
      <c r="C16" t="s">
        <v>25</v>
      </c>
      <c r="D16">
        <v>300</v>
      </c>
      <c r="E16" s="92" t="e">
        <f>LOOKUP(1,1/('[1]PURCHASE PRICE'!$B:$B=B16)/('[1]PURCHASE PRICE'!$A:$A=A16)/('[1]PURCHASE PRICE'!$C:$C=C16),'[1]PURCHASE PRICE'!$D:$D)</f>
        <v>#N/A</v>
      </c>
      <c r="F16" s="92">
        <f>LOOKUP(1,1/('[1]PURCHASE PRICE'!$B:$B=B16)/('[1]PURCHASE PRICE'!$A:$A=A16),'[1]PURCHASE PRICE'!$D:$D)</f>
        <v>12000</v>
      </c>
      <c r="G16" s="92">
        <v>6000</v>
      </c>
      <c r="H16" s="13">
        <f t="shared" si="0"/>
        <v>1800000</v>
      </c>
    </row>
    <row r="17" spans="1:8" x14ac:dyDescent="0.3">
      <c r="A17" s="90">
        <v>45652</v>
      </c>
      <c r="B17" t="s">
        <v>27</v>
      </c>
      <c r="C17" t="s">
        <v>16</v>
      </c>
      <c r="D17">
        <v>60</v>
      </c>
      <c r="E17" s="92">
        <f>LOOKUP(1,1/('[1]PURCHASE PRICE'!$B:$B=B17)/('[1]PURCHASE PRICE'!$A:$A=A17)/('[1]PURCHASE PRICE'!$C:$C=C17),'[1]PURCHASE PRICE'!$D:$D)</f>
        <v>11500</v>
      </c>
      <c r="F17" s="92">
        <f>LOOKUP(1,1/('[1]PURCHASE PRICE'!$B:$B=B17)/('[1]PURCHASE PRICE'!$A:$A=A17),'[1]PURCHASE PRICE'!$D:$D)</f>
        <v>11500</v>
      </c>
      <c r="G17" s="92">
        <f>F17</f>
        <v>11500</v>
      </c>
      <c r="H17" s="13">
        <f t="shared" si="0"/>
        <v>690000</v>
      </c>
    </row>
    <row r="18" spans="1:8" x14ac:dyDescent="0.3">
      <c r="A18" s="90">
        <v>45652</v>
      </c>
      <c r="B18" t="s">
        <v>28</v>
      </c>
      <c r="C18" t="s">
        <v>168</v>
      </c>
      <c r="D18">
        <v>10</v>
      </c>
      <c r="E18" s="92">
        <f>LOOKUP(1,1/('[1]PURCHASE PRICE'!$B:$B=B18)/('[1]PURCHASE PRICE'!$A:$A=A18)/('[1]PURCHASE PRICE'!$C:$C=C18),'[1]PURCHASE PRICE'!$D:$D)</f>
        <v>7000</v>
      </c>
      <c r="F18" s="92">
        <f>LOOKUP(1,1/('[1]PURCHASE PRICE'!$B:$B=B18)/('[1]PURCHASE PRICE'!$A:$A=A18),'[1]PURCHASE PRICE'!$D:$D)</f>
        <v>7000</v>
      </c>
      <c r="G18" s="92">
        <f t="shared" ref="G18:G28" si="2">F18</f>
        <v>7000</v>
      </c>
      <c r="H18" s="13">
        <f t="shared" si="0"/>
        <v>70000</v>
      </c>
    </row>
    <row r="19" spans="1:8" x14ac:dyDescent="0.3">
      <c r="A19" s="90">
        <v>45652</v>
      </c>
      <c r="B19" t="s">
        <v>74</v>
      </c>
      <c r="C19" t="s">
        <v>168</v>
      </c>
      <c r="D19">
        <v>20</v>
      </c>
      <c r="E19" s="92">
        <f>LOOKUP(1,1/('[1]PURCHASE PRICE'!$B:$B=B19)/('[1]PURCHASE PRICE'!$A:$A=A19)/('[1]PURCHASE PRICE'!$C:$C=C19),'[1]PURCHASE PRICE'!$D:$D)</f>
        <v>10000</v>
      </c>
      <c r="F19" s="92">
        <f>LOOKUP(1,1/('[1]PURCHASE PRICE'!$B:$B=B19)/('[1]PURCHASE PRICE'!$A:$A=A19),'[1]PURCHASE PRICE'!$D:$D)</f>
        <v>10000</v>
      </c>
      <c r="G19" s="92">
        <f t="shared" si="2"/>
        <v>10000</v>
      </c>
      <c r="H19" s="13">
        <f t="shared" si="0"/>
        <v>200000</v>
      </c>
    </row>
    <row r="20" spans="1:8" x14ac:dyDescent="0.3">
      <c r="A20" s="90">
        <v>45652</v>
      </c>
      <c r="B20" t="s">
        <v>77</v>
      </c>
      <c r="C20" t="s">
        <v>168</v>
      </c>
      <c r="D20">
        <v>20</v>
      </c>
      <c r="E20" s="92">
        <f>LOOKUP(1,1/('[1]PURCHASE PRICE'!$B:$B=B20)/('[1]PURCHASE PRICE'!$A:$A=A20)/('[1]PURCHASE PRICE'!$C:$C=C20),'[1]PURCHASE PRICE'!$D:$D)</f>
        <v>20000</v>
      </c>
      <c r="F20" s="92">
        <f>LOOKUP(1,1/('[1]PURCHASE PRICE'!$B:$B=B20)/('[1]PURCHASE PRICE'!$A:$A=A20),'[1]PURCHASE PRICE'!$D:$D)</f>
        <v>20000</v>
      </c>
      <c r="G20" s="92">
        <f t="shared" si="2"/>
        <v>20000</v>
      </c>
      <c r="H20" s="13">
        <f t="shared" si="0"/>
        <v>400000</v>
      </c>
    </row>
    <row r="21" spans="1:8" x14ac:dyDescent="0.3">
      <c r="A21" s="90">
        <v>45652</v>
      </c>
      <c r="B21" t="s">
        <v>30</v>
      </c>
      <c r="C21" t="s">
        <v>168</v>
      </c>
      <c r="D21">
        <v>150</v>
      </c>
      <c r="E21" s="92">
        <f>LOOKUP(1,1/('[1]PURCHASE PRICE'!$B:$B=B21)/('[1]PURCHASE PRICE'!$A:$A=A21)/('[1]PURCHASE PRICE'!$C:$C=C21),'[1]PURCHASE PRICE'!$D:$D)</f>
        <v>30000</v>
      </c>
      <c r="F21" s="92">
        <f>LOOKUP(1,1/('[1]PURCHASE PRICE'!$B:$B=B21)/('[1]PURCHASE PRICE'!$A:$A=A21),'[1]PURCHASE PRICE'!$D:$D)</f>
        <v>30000</v>
      </c>
      <c r="G21" s="92">
        <f t="shared" si="2"/>
        <v>30000</v>
      </c>
      <c r="H21" s="13">
        <f t="shared" si="0"/>
        <v>4500000</v>
      </c>
    </row>
    <row r="22" spans="1:8" x14ac:dyDescent="0.3">
      <c r="A22" s="90">
        <v>45652</v>
      </c>
      <c r="B22" t="s">
        <v>31</v>
      </c>
      <c r="C22" t="s">
        <v>168</v>
      </c>
      <c r="D22">
        <v>150</v>
      </c>
      <c r="E22" s="92">
        <f>LOOKUP(1,1/('[1]PURCHASE PRICE'!$B:$B=B22)/('[1]PURCHASE PRICE'!$A:$A=A22)/('[1]PURCHASE PRICE'!$C:$C=C22),'[1]PURCHASE PRICE'!$D:$D)</f>
        <v>17000</v>
      </c>
      <c r="F22" s="92">
        <f>LOOKUP(1,1/('[1]PURCHASE PRICE'!$B:$B=B22)/('[1]PURCHASE PRICE'!$A:$A=A22),'[1]PURCHASE PRICE'!$D:$D)</f>
        <v>17000</v>
      </c>
      <c r="G22" s="92">
        <f t="shared" si="2"/>
        <v>17000</v>
      </c>
      <c r="H22" s="13">
        <f t="shared" si="0"/>
        <v>2550000</v>
      </c>
    </row>
    <row r="23" spans="1:8" x14ac:dyDescent="0.3">
      <c r="A23" s="90">
        <v>45652</v>
      </c>
      <c r="B23" t="s">
        <v>32</v>
      </c>
      <c r="C23" t="s">
        <v>168</v>
      </c>
      <c r="D23">
        <v>0</v>
      </c>
      <c r="E23" s="92">
        <f>LOOKUP(1,1/('[1]PURCHASE PRICE'!$B:$B=B23)/('[1]PURCHASE PRICE'!$A:$A=A23)/('[1]PURCHASE PRICE'!$C:$C=C23),'[1]PURCHASE PRICE'!$D:$D)</f>
        <v>25000</v>
      </c>
      <c r="F23" s="92">
        <f>LOOKUP(1,1/('[1]PURCHASE PRICE'!$B:$B=B23)/('[1]PURCHASE PRICE'!$A:$A=A23),'[1]PURCHASE PRICE'!$D:$D)</f>
        <v>25000</v>
      </c>
      <c r="G23" s="92">
        <f t="shared" si="2"/>
        <v>25000</v>
      </c>
      <c r="H23" s="13">
        <f t="shared" si="0"/>
        <v>0</v>
      </c>
    </row>
    <row r="24" spans="1:8" x14ac:dyDescent="0.3">
      <c r="A24" s="90">
        <v>45652</v>
      </c>
      <c r="B24" t="s">
        <v>139</v>
      </c>
      <c r="C24" t="s">
        <v>168</v>
      </c>
      <c r="D24">
        <v>50</v>
      </c>
      <c r="E24" s="92">
        <f>LOOKUP(1,1/('[1]PURCHASE PRICE'!$B:$B=B24)/('[1]PURCHASE PRICE'!$A:$A=A24)/('[1]PURCHASE PRICE'!$C:$C=C24),'[1]PURCHASE PRICE'!$D:$D)</f>
        <v>17000</v>
      </c>
      <c r="F24" s="92">
        <f>LOOKUP(1,1/('[1]PURCHASE PRICE'!$B:$B=B24)/('[1]PURCHASE PRICE'!$A:$A=A24),'[1]PURCHASE PRICE'!$D:$D)</f>
        <v>17000</v>
      </c>
      <c r="G24" s="92">
        <f t="shared" si="2"/>
        <v>17000</v>
      </c>
      <c r="H24" s="13">
        <f t="shared" si="0"/>
        <v>850000</v>
      </c>
    </row>
    <row r="25" spans="1:8" x14ac:dyDescent="0.3">
      <c r="A25" s="90">
        <v>45652</v>
      </c>
      <c r="B25" t="s">
        <v>34</v>
      </c>
      <c r="C25" t="s">
        <v>36</v>
      </c>
      <c r="D25">
        <v>60</v>
      </c>
      <c r="E25" s="92">
        <f>LOOKUP(1,1/('[1]PURCHASE PRICE'!$B:$B=B25)/('[1]PURCHASE PRICE'!$A:$A=A25)/('[1]PURCHASE PRICE'!$C:$C=C25),'[1]PURCHASE PRICE'!$D:$D)</f>
        <v>11500</v>
      </c>
      <c r="F25" s="92">
        <f>LOOKUP(1,1/('[1]PURCHASE PRICE'!$B:$B=B25)/('[1]PURCHASE PRICE'!$A:$A=A25),'[1]PURCHASE PRICE'!$D:$D)</f>
        <v>11500</v>
      </c>
      <c r="G25" s="92">
        <f t="shared" si="2"/>
        <v>11500</v>
      </c>
      <c r="H25" s="13">
        <f t="shared" si="0"/>
        <v>690000</v>
      </c>
    </row>
    <row r="26" spans="1:8" x14ac:dyDescent="0.3">
      <c r="A26" s="90">
        <v>45652</v>
      </c>
      <c r="B26" t="s">
        <v>37</v>
      </c>
      <c r="C26" t="s">
        <v>11</v>
      </c>
      <c r="D26">
        <v>1000</v>
      </c>
      <c r="E26" s="92">
        <f>LOOKUP(1,1/('[1]PURCHASE PRICE'!$B:$B=B26)/('[1]PURCHASE PRICE'!$A:$A=A26)/('[1]PURCHASE PRICE'!$C:$C=C26),'[1]PURCHASE PRICE'!$D:$D)</f>
        <v>8000</v>
      </c>
      <c r="F26" s="92">
        <f>LOOKUP(1,1/('[1]PURCHASE PRICE'!$B:$B=B26)/('[1]PURCHASE PRICE'!$A:$A=A26),'[1]PURCHASE PRICE'!$D:$D)</f>
        <v>8000</v>
      </c>
      <c r="G26" s="92">
        <f t="shared" si="2"/>
        <v>8000</v>
      </c>
      <c r="H26" s="13">
        <f t="shared" si="0"/>
        <v>8000000</v>
      </c>
    </row>
    <row r="27" spans="1:8" x14ac:dyDescent="0.3">
      <c r="A27" s="90">
        <v>45652</v>
      </c>
      <c r="B27" t="s">
        <v>38</v>
      </c>
      <c r="C27" t="s">
        <v>168</v>
      </c>
      <c r="D27">
        <v>40</v>
      </c>
      <c r="E27" s="92">
        <f>LOOKUP(1,1/('[1]PURCHASE PRICE'!$B:$B=B27)/('[1]PURCHASE PRICE'!$A:$A=A27)/('[1]PURCHASE PRICE'!$C:$C=C27),'[1]PURCHASE PRICE'!$D:$D)</f>
        <v>18000</v>
      </c>
      <c r="F27" s="92">
        <f>LOOKUP(1,1/('[1]PURCHASE PRICE'!$B:$B=B27)/('[1]PURCHASE PRICE'!$A:$A=A27),'[1]PURCHASE PRICE'!$D:$D)</f>
        <v>18000</v>
      </c>
      <c r="G27" s="92">
        <f t="shared" si="2"/>
        <v>18000</v>
      </c>
      <c r="H27" s="13">
        <f t="shared" si="0"/>
        <v>720000</v>
      </c>
    </row>
    <row r="28" spans="1:8" x14ac:dyDescent="0.3">
      <c r="A28" s="90">
        <v>45652</v>
      </c>
      <c r="B28" t="s">
        <v>39</v>
      </c>
      <c r="C28" t="s">
        <v>168</v>
      </c>
      <c r="D28">
        <v>40</v>
      </c>
      <c r="E28" s="92">
        <f>LOOKUP(1,1/('[1]PURCHASE PRICE'!$B:$B=B28)/('[1]PURCHASE PRICE'!$A:$A=A28)/('[1]PURCHASE PRICE'!$C:$C=C28),'[1]PURCHASE PRICE'!$D:$D)</f>
        <v>12000</v>
      </c>
      <c r="F28" s="92">
        <f>LOOKUP(1,1/('[1]PURCHASE PRICE'!$B:$B=B28)/('[1]PURCHASE PRICE'!$A:$A=A28),'[1]PURCHASE PRICE'!$D:$D)</f>
        <v>12000</v>
      </c>
      <c r="G28" s="92">
        <f t="shared" si="2"/>
        <v>12000</v>
      </c>
      <c r="H28" s="13">
        <f t="shared" si="0"/>
        <v>480000</v>
      </c>
    </row>
    <row r="29" spans="1:8" x14ac:dyDescent="0.3">
      <c r="A29" s="90">
        <v>45652</v>
      </c>
      <c r="B29" t="s">
        <v>40</v>
      </c>
      <c r="C29" t="s">
        <v>25</v>
      </c>
      <c r="D29">
        <v>150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18000</v>
      </c>
      <c r="G29" s="92">
        <f>F29*0.15</f>
        <v>2700</v>
      </c>
      <c r="H29" s="13">
        <f t="shared" si="0"/>
        <v>405000</v>
      </c>
    </row>
    <row r="30" spans="1:8" x14ac:dyDescent="0.3">
      <c r="A30" s="90">
        <v>45652</v>
      </c>
      <c r="B30" t="s">
        <v>41</v>
      </c>
      <c r="C30" t="s">
        <v>16</v>
      </c>
      <c r="D30">
        <v>8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200000</v>
      </c>
      <c r="G30" s="92">
        <f>F30/2</f>
        <v>100000</v>
      </c>
      <c r="H30" s="13">
        <f t="shared" si="0"/>
        <v>800000</v>
      </c>
    </row>
    <row r="31" spans="1:8" x14ac:dyDescent="0.3">
      <c r="A31" s="90">
        <v>45652</v>
      </c>
      <c r="B31" t="s">
        <v>42</v>
      </c>
      <c r="C31" t="s">
        <v>168</v>
      </c>
      <c r="D31">
        <v>0</v>
      </c>
      <c r="E31" s="92" t="e">
        <f>LOOKUP(1,1/('[1]PURCHASE PRICE'!$B:$B=B31)/('[1]PURCHASE PRICE'!$A:$A=A31)/('[1]PURCHASE PRICE'!$C:$C=C31),'[1]PURCHASE PRICE'!$D:$D)</f>
        <v>#N/A</v>
      </c>
      <c r="F31" s="92" t="e">
        <f>LOOKUP(1,1/('[1]PURCHASE PRICE'!$B:$B=B31)/('[1]PURCHASE PRICE'!$A:$A=A31),'[1]PURCHASE PRICE'!$D:$D)</f>
        <v>#N/A</v>
      </c>
      <c r="H31" s="13">
        <f t="shared" si="0"/>
        <v>0</v>
      </c>
    </row>
    <row r="32" spans="1:8" x14ac:dyDescent="0.3">
      <c r="A32" s="90">
        <v>45652</v>
      </c>
      <c r="B32" t="s">
        <v>43</v>
      </c>
      <c r="C32" t="s">
        <v>22</v>
      </c>
      <c r="D32">
        <v>0</v>
      </c>
      <c r="E32" s="92" t="e">
        <f>LOOKUP(1,1/('[1]PURCHASE PRICE'!$B:$B=B32)/('[1]PURCHASE PRICE'!$A:$A=A32)/('[1]PURCHASE PRICE'!$C:$C=C32),'[1]PURCHASE PRICE'!$D:$D)</f>
        <v>#N/A</v>
      </c>
      <c r="F32" s="92" t="e">
        <f>LOOKUP(1,1/('[1]PURCHASE PRICE'!$B:$B=B32)/('[1]PURCHASE PRICE'!$A:$A=A32),'[1]PURCHASE PRICE'!$D:$D)</f>
        <v>#N/A</v>
      </c>
      <c r="H32" s="13">
        <f t="shared" si="0"/>
        <v>0</v>
      </c>
    </row>
    <row r="33" spans="1:8" x14ac:dyDescent="0.3">
      <c r="A33" s="90">
        <v>45652</v>
      </c>
      <c r="B33" t="s">
        <v>45</v>
      </c>
      <c r="C33" t="s">
        <v>22</v>
      </c>
      <c r="D33">
        <v>470</v>
      </c>
      <c r="E33" s="92">
        <f>LOOKUP(1,1/('[1]PURCHASE PRICE'!$B:$B=B33)/('[1]PURCHASE PRICE'!$A:$A=A33)/('[1]PURCHASE PRICE'!$C:$C=C33),'[1]PURCHASE PRICE'!$D:$D)</f>
        <v>3000</v>
      </c>
      <c r="F33" s="92">
        <f>LOOKUP(1,1/('[1]PURCHASE PRICE'!$B:$B=B33)/('[1]PURCHASE PRICE'!$A:$A=A33),'[1]PURCHASE PRICE'!$D:$D)</f>
        <v>3000</v>
      </c>
      <c r="G33" s="92">
        <f>F33</f>
        <v>3000</v>
      </c>
      <c r="H33" s="13">
        <f t="shared" si="0"/>
        <v>1410000</v>
      </c>
    </row>
    <row r="34" spans="1:8" x14ac:dyDescent="0.3">
      <c r="A34" s="90">
        <v>45652</v>
      </c>
      <c r="B34" t="s">
        <v>78</v>
      </c>
      <c r="C34" t="s">
        <v>22</v>
      </c>
      <c r="D34">
        <v>0.5</v>
      </c>
      <c r="E34" s="92" t="e">
        <f>LOOKUP(1,1/('[1]PURCHASE PRICE'!$B:$B=B34)/('[1]PURCHASE PRICE'!$A:$A=A34)/('[1]PURCHASE PRICE'!$C:$C=C34),'[1]PURCHASE PRICE'!$D:$D)</f>
        <v>#N/A</v>
      </c>
      <c r="F34" s="92">
        <f>LOOKUP(1,1/('[1]PURCHASE PRICE'!$B:$B=B34)/('[1]PURCHASE PRICE'!$A:$A=A34),'[1]PURCHASE PRICE'!$D:$D)</f>
        <v>110000</v>
      </c>
      <c r="G34" s="92">
        <f>F34</f>
        <v>110000</v>
      </c>
      <c r="H34" s="13">
        <f t="shared" si="0"/>
        <v>55000</v>
      </c>
    </row>
    <row r="35" spans="1:8" x14ac:dyDescent="0.3">
      <c r="A35" s="90">
        <v>45652</v>
      </c>
      <c r="B35" t="s">
        <v>46</v>
      </c>
      <c r="C35" t="s">
        <v>168</v>
      </c>
      <c r="D35">
        <v>30</v>
      </c>
      <c r="E35" s="92">
        <f>LOOKUP(1,1/('[1]PURCHASE PRICE'!$B:$B=B35)/('[1]PURCHASE PRICE'!$A:$A=A35)/('[1]PURCHASE PRICE'!$C:$C=C35),'[1]PURCHASE PRICE'!$D:$D)</f>
        <v>42000</v>
      </c>
      <c r="F35" s="92">
        <f>LOOKUP(1,1/('[1]PURCHASE PRICE'!$B:$B=B35)/('[1]PURCHASE PRICE'!$A:$A=A35),'[1]PURCHASE PRICE'!$D:$D)</f>
        <v>42000</v>
      </c>
      <c r="G35" s="92">
        <f>+(42000+52000)/2</f>
        <v>47000</v>
      </c>
      <c r="H35" s="13">
        <f t="shared" si="0"/>
        <v>1410000</v>
      </c>
    </row>
    <row r="36" spans="1:8" x14ac:dyDescent="0.3">
      <c r="A36" s="90">
        <v>45652</v>
      </c>
      <c r="B36" t="s">
        <v>64</v>
      </c>
      <c r="C36" t="s">
        <v>168</v>
      </c>
      <c r="D36">
        <v>15</v>
      </c>
      <c r="E36" s="92">
        <f>LOOKUP(1,1/('[1]PURCHASE PRICE'!$B:$B=B36)/('[1]PURCHASE PRICE'!$A:$A=A36)/('[1]PURCHASE PRICE'!$C:$C=C36),'[1]PURCHASE PRICE'!$D:$D)</f>
        <v>45000</v>
      </c>
      <c r="F36" s="92">
        <f>LOOKUP(1,1/('[1]PURCHASE PRICE'!$B:$B=B36)/('[1]PURCHASE PRICE'!$A:$A=A36),'[1]PURCHASE PRICE'!$D:$D)</f>
        <v>45000</v>
      </c>
      <c r="G36" s="92">
        <f>F36</f>
        <v>45000</v>
      </c>
      <c r="H36" s="13">
        <f t="shared" si="0"/>
        <v>675000</v>
      </c>
    </row>
    <row r="37" spans="1:8" x14ac:dyDescent="0.3">
      <c r="A37" s="90">
        <v>45652</v>
      </c>
      <c r="B37" t="s">
        <v>47</v>
      </c>
      <c r="C37" t="s">
        <v>224</v>
      </c>
      <c r="D37">
        <v>400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38000</v>
      </c>
      <c r="G37" s="92">
        <f>F37*0.25</f>
        <v>9500</v>
      </c>
      <c r="H37" s="13">
        <f t="shared" si="0"/>
        <v>3800000</v>
      </c>
    </row>
    <row r="38" spans="1:8" x14ac:dyDescent="0.3">
      <c r="A38" s="90">
        <v>45652</v>
      </c>
      <c r="B38" t="s">
        <v>50</v>
      </c>
      <c r="C38" t="s">
        <v>224</v>
      </c>
      <c r="D38">
        <v>0</v>
      </c>
      <c r="E38" s="92" t="e">
        <f>LOOKUP(1,1/('[1]PURCHASE PRICE'!$B:$B=B38)/('[1]PURCHASE PRICE'!$A:$A=A38)/('[1]PURCHASE PRICE'!$C:$C=C38),'[1]PURCHASE PRICE'!$D:$D)</f>
        <v>#N/A</v>
      </c>
      <c r="F38" s="92">
        <f>LOOKUP(1,1/('[1]PURCHASE PRICE'!$B:$B=B38)/('[1]PURCHASE PRICE'!$A:$A=A38),'[1]PURCHASE PRICE'!$D:$D)</f>
        <v>42000</v>
      </c>
      <c r="G38" s="92">
        <f>F38*0.25</f>
        <v>10500</v>
      </c>
      <c r="H38" s="13">
        <f t="shared" si="0"/>
        <v>0</v>
      </c>
    </row>
    <row r="39" spans="1:8" x14ac:dyDescent="0.3">
      <c r="A39" s="90">
        <v>45652</v>
      </c>
      <c r="B39" t="s">
        <v>52</v>
      </c>
      <c r="C39" t="s">
        <v>168</v>
      </c>
      <c r="D39">
        <v>40</v>
      </c>
      <c r="E39" s="92">
        <f>LOOKUP(1,1/('[1]PURCHASE PRICE'!$B:$B=B39)/('[1]PURCHASE PRICE'!$A:$A=A39)/('[1]PURCHASE PRICE'!$C:$C=C39),'[1]PURCHASE PRICE'!$D:$D)</f>
        <v>50000</v>
      </c>
      <c r="F39" s="92">
        <f>LOOKUP(1,1/('[1]PURCHASE PRICE'!$B:$B=B39)/('[1]PURCHASE PRICE'!$A:$A=A39),'[1]PURCHASE PRICE'!$D:$D)</f>
        <v>22000</v>
      </c>
      <c r="G39" s="92">
        <f>E39</f>
        <v>50000</v>
      </c>
      <c r="H39" s="13">
        <f t="shared" si="0"/>
        <v>2000000</v>
      </c>
    </row>
    <row r="40" spans="1:8" x14ac:dyDescent="0.3">
      <c r="A40" s="90">
        <v>45652</v>
      </c>
      <c r="B40" t="s">
        <v>52</v>
      </c>
      <c r="C40" t="s">
        <v>22</v>
      </c>
      <c r="D40">
        <v>110</v>
      </c>
      <c r="E40" s="92">
        <f>LOOKUP(1,1/('[1]PURCHASE PRICE'!$B:$B=B40)/('[1]PURCHASE PRICE'!$A:$A=A40)/('[1]PURCHASE PRICE'!$C:$C=C40),'[1]PURCHASE PRICE'!$D:$D)</f>
        <v>22000</v>
      </c>
      <c r="F40" s="92">
        <f>LOOKUP(1,1/('[1]PURCHASE PRICE'!$B:$B=B40)/('[1]PURCHASE PRICE'!$A:$A=A40),'[1]PURCHASE PRICE'!$D:$D)</f>
        <v>22000</v>
      </c>
      <c r="G40" s="92">
        <f>F40</f>
        <v>22000</v>
      </c>
      <c r="H40" s="13">
        <f t="shared" si="0"/>
        <v>2420000</v>
      </c>
    </row>
    <row r="41" spans="1:8" x14ac:dyDescent="0.3">
      <c r="A41" s="90">
        <v>45652</v>
      </c>
      <c r="B41" t="s">
        <v>53</v>
      </c>
      <c r="C41" t="s">
        <v>168</v>
      </c>
      <c r="D41">
        <v>10</v>
      </c>
      <c r="E41" s="92">
        <f>LOOKUP(1,1/('[1]PURCHASE PRICE'!$B:$B=B41)/('[1]PURCHASE PRICE'!$A:$A=A41)/('[1]PURCHASE PRICE'!$C:$C=C41),'[1]PURCHASE PRICE'!$D:$D)</f>
        <v>45000</v>
      </c>
      <c r="F41" s="92">
        <f>LOOKUP(1,1/('[1]PURCHASE PRICE'!$B:$B=B41)/('[1]PURCHASE PRICE'!$A:$A=A41),'[1]PURCHASE PRICE'!$D:$D)</f>
        <v>45000</v>
      </c>
      <c r="G41" s="92">
        <f t="shared" ref="G41:G48" si="3">F41</f>
        <v>45000</v>
      </c>
      <c r="H41" s="13">
        <f t="shared" si="0"/>
        <v>450000</v>
      </c>
    </row>
    <row r="42" spans="1:8" x14ac:dyDescent="0.3">
      <c r="A42" s="90">
        <v>45652</v>
      </c>
      <c r="B42" t="s">
        <v>76</v>
      </c>
      <c r="C42" t="s">
        <v>168</v>
      </c>
      <c r="D42">
        <v>5</v>
      </c>
      <c r="E42" s="92">
        <f>LOOKUP(1,1/('[1]PURCHASE PRICE'!$B:$B=B42)/('[1]PURCHASE PRICE'!$A:$A=A42)/('[1]PURCHASE PRICE'!$C:$C=C42),'[1]PURCHASE PRICE'!$D:$D)</f>
        <v>35000</v>
      </c>
      <c r="F42" s="92">
        <f>LOOKUP(1,1/('[1]PURCHASE PRICE'!$B:$B=B42)/('[1]PURCHASE PRICE'!$A:$A=A42),'[1]PURCHASE PRICE'!$D:$D)</f>
        <v>35000</v>
      </c>
      <c r="G42" s="92">
        <f t="shared" si="3"/>
        <v>35000</v>
      </c>
      <c r="H42" s="13">
        <f t="shared" si="0"/>
        <v>175000</v>
      </c>
    </row>
    <row r="43" spans="1:8" x14ac:dyDescent="0.3">
      <c r="A43" s="90">
        <v>45652</v>
      </c>
      <c r="B43" t="s">
        <v>76</v>
      </c>
      <c r="C43" t="s">
        <v>22</v>
      </c>
      <c r="D43">
        <v>0</v>
      </c>
      <c r="E43" s="92" t="e">
        <f>LOOKUP(1,1/('[1]PURCHASE PRICE'!$B:$B=B43)/('[1]PURCHASE PRICE'!$A:$A=A43)/('[1]PURCHASE PRICE'!$C:$C=C43),'[1]PURCHASE PRICE'!$D:$D)</f>
        <v>#N/A</v>
      </c>
      <c r="F43" s="92">
        <f>LOOKUP(1,1/('[1]PURCHASE PRICE'!$B:$B=B43)/('[1]PURCHASE PRICE'!$A:$A=A43),'[1]PURCHASE PRICE'!$D:$D)</f>
        <v>35000</v>
      </c>
      <c r="H43" s="13">
        <f t="shared" si="0"/>
        <v>0</v>
      </c>
    </row>
    <row r="44" spans="1:8" x14ac:dyDescent="0.3">
      <c r="A44" s="90">
        <v>45652</v>
      </c>
      <c r="B44" t="s">
        <v>54</v>
      </c>
      <c r="C44" t="s">
        <v>168</v>
      </c>
      <c r="D44">
        <v>80</v>
      </c>
      <c r="E44" s="92">
        <f>LOOKUP(1,1/('[1]PURCHASE PRICE'!$B:$B=B44)/('[1]PURCHASE PRICE'!$A:$A=A44)/('[1]PURCHASE PRICE'!$C:$C=C44),'[1]PURCHASE PRICE'!$D:$D)</f>
        <v>33000</v>
      </c>
      <c r="F44" s="92">
        <f>LOOKUP(1,1/('[1]PURCHASE PRICE'!$B:$B=B44)/('[1]PURCHASE PRICE'!$A:$A=A44),'[1]PURCHASE PRICE'!$D:$D)</f>
        <v>33000</v>
      </c>
      <c r="G44" s="92">
        <f t="shared" si="3"/>
        <v>33000</v>
      </c>
      <c r="H44" s="13">
        <f t="shared" si="0"/>
        <v>2640000</v>
      </c>
    </row>
    <row r="45" spans="1:8" x14ac:dyDescent="0.3">
      <c r="A45" s="90">
        <v>45652</v>
      </c>
      <c r="B45" t="s">
        <v>55</v>
      </c>
      <c r="C45" t="s">
        <v>25</v>
      </c>
      <c r="D45">
        <v>120</v>
      </c>
      <c r="E45" s="92">
        <f>LOOKUP(1,1/('[1]PURCHASE PRICE'!$B:$B=B45)/('[1]PURCHASE PRICE'!$A:$A=A45)/('[1]PURCHASE PRICE'!$C:$C=C45),'[1]PURCHASE PRICE'!$D:$D)</f>
        <v>6000</v>
      </c>
      <c r="F45" s="92">
        <f>LOOKUP(1,1/('[1]PURCHASE PRICE'!$B:$B=B45)/('[1]PURCHASE PRICE'!$A:$A=A45),'[1]PURCHASE PRICE'!$D:$D)</f>
        <v>6000</v>
      </c>
      <c r="G45" s="92">
        <f t="shared" si="3"/>
        <v>6000</v>
      </c>
      <c r="H45" s="13">
        <f t="shared" si="0"/>
        <v>720000</v>
      </c>
    </row>
    <row r="46" spans="1:8" x14ac:dyDescent="0.3">
      <c r="A46" s="90">
        <v>45652</v>
      </c>
      <c r="B46" t="s">
        <v>56</v>
      </c>
      <c r="C46" t="s">
        <v>168</v>
      </c>
      <c r="D46">
        <v>40</v>
      </c>
      <c r="E46" s="92">
        <f>LOOKUP(1,1/('[1]PURCHASE PRICE'!$B:$B=B46)/('[1]PURCHASE PRICE'!$A:$A=A46)/('[1]PURCHASE PRICE'!$C:$C=C46),'[1]PURCHASE PRICE'!$D:$D)</f>
        <v>26000</v>
      </c>
      <c r="F46" s="92">
        <f>LOOKUP(1,1/('[1]PURCHASE PRICE'!$B:$B=B46)/('[1]PURCHASE PRICE'!$A:$A=A46),'[1]PURCHASE PRICE'!$D:$D)</f>
        <v>26000</v>
      </c>
      <c r="G46" s="92">
        <f t="shared" si="3"/>
        <v>26000</v>
      </c>
      <c r="H46" s="13">
        <f t="shared" si="0"/>
        <v>1040000</v>
      </c>
    </row>
    <row r="47" spans="1:8" x14ac:dyDescent="0.3">
      <c r="A47" s="90">
        <v>45652</v>
      </c>
      <c r="B47" t="s">
        <v>57</v>
      </c>
      <c r="C47" t="s">
        <v>25</v>
      </c>
      <c r="D47">
        <v>20</v>
      </c>
      <c r="E47" s="92">
        <f>LOOKUP(1,1/('[1]PURCHASE PRICE'!$B:$B=B47)/('[1]PURCHASE PRICE'!$A:$A=A47)/('[1]PURCHASE PRICE'!$C:$C=C47),'[1]PURCHASE PRICE'!$D:$D)</f>
        <v>6800</v>
      </c>
      <c r="F47" s="92">
        <f>LOOKUP(1,1/('[1]PURCHASE PRICE'!$B:$B=B47)/('[1]PURCHASE PRICE'!$A:$A=A47),'[1]PURCHASE PRICE'!$D:$D)</f>
        <v>6800</v>
      </c>
      <c r="G47" s="92">
        <f t="shared" si="3"/>
        <v>6800</v>
      </c>
      <c r="H47" s="13">
        <f t="shared" si="0"/>
        <v>136000</v>
      </c>
    </row>
    <row r="48" spans="1:8" x14ac:dyDescent="0.3">
      <c r="A48" s="90">
        <v>45652</v>
      </c>
      <c r="B48" t="s">
        <v>58</v>
      </c>
      <c r="C48" t="s">
        <v>168</v>
      </c>
      <c r="D48">
        <v>14</v>
      </c>
      <c r="E48" s="92">
        <f>LOOKUP(1,1/('[1]PURCHASE PRICE'!$B:$B=B48)/('[1]PURCHASE PRICE'!$A:$A=A48)/('[1]PURCHASE PRICE'!$C:$C=C48),'[1]PURCHASE PRICE'!$D:$D)</f>
        <v>23000</v>
      </c>
      <c r="F48" s="92">
        <f>LOOKUP(1,1/('[1]PURCHASE PRICE'!$B:$B=B48)/('[1]PURCHASE PRICE'!$A:$A=A48),'[1]PURCHASE PRICE'!$D:$D)</f>
        <v>23000</v>
      </c>
      <c r="G48" s="92">
        <f t="shared" si="3"/>
        <v>23000</v>
      </c>
      <c r="H48" s="13">
        <f t="shared" si="0"/>
        <v>322000</v>
      </c>
    </row>
    <row r="49" spans="1:8" x14ac:dyDescent="0.3">
      <c r="A49" s="90">
        <v>45652</v>
      </c>
      <c r="B49" t="s">
        <v>59</v>
      </c>
      <c r="C49" t="s">
        <v>22</v>
      </c>
      <c r="D49">
        <v>1</v>
      </c>
      <c r="E49" s="92" t="e">
        <f>LOOKUP(1,1/('[1]PURCHASE PRICE'!$B:$B=B49)/('[1]PURCHASE PRICE'!$A:$A=A49)/('[1]PURCHASE PRICE'!$C:$C=C49),'[1]PURCHASE PRICE'!$D:$D)</f>
        <v>#N/A</v>
      </c>
      <c r="F49" s="92">
        <f>LOOKUP(1,1/('[1]PURCHASE PRICE'!$B:$B=B49)/('[1]PURCHASE PRICE'!$A:$A=A49),'[1]PURCHASE PRICE'!$D:$D)</f>
        <v>140000</v>
      </c>
      <c r="G49" s="92">
        <f>+F49</f>
        <v>140000</v>
      </c>
      <c r="H49" s="13">
        <f t="shared" si="0"/>
        <v>140000</v>
      </c>
    </row>
    <row r="50" spans="1:8" x14ac:dyDescent="0.3">
      <c r="A50" s="90">
        <v>45652</v>
      </c>
      <c r="B50" t="s">
        <v>230</v>
      </c>
      <c r="C50" t="s">
        <v>189</v>
      </c>
      <c r="D50">
        <v>40</v>
      </c>
      <c r="E50" s="92">
        <f>LOOKUP(1,1/('[1]PURCHASE PRICE'!$B:$B=B50)/('[1]PURCHASE PRICE'!$A:$A=A50)/('[1]PURCHASE PRICE'!$C:$C=C50),'[1]PURCHASE PRICE'!$D:$D)</f>
        <v>80000</v>
      </c>
      <c r="F50" s="92">
        <f>LOOKUP(1,1/('[1]PURCHASE PRICE'!$B:$B=B50)/('[1]PURCHASE PRICE'!$A:$A=A50),'[1]PURCHASE PRICE'!$D:$D)</f>
        <v>80000</v>
      </c>
      <c r="G50" s="92">
        <f>+F50</f>
        <v>80000</v>
      </c>
      <c r="H50" s="13">
        <f t="shared" si="0"/>
        <v>3200000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7"/>
  <sheetViews>
    <sheetView workbookViewId="0">
      <selection activeCell="H3" sqref="H3"/>
    </sheetView>
  </sheetViews>
  <sheetFormatPr defaultRowHeight="14.4" x14ac:dyDescent="0.3"/>
  <cols>
    <col min="1" max="1" width="10.5546875" bestFit="1" customWidth="1"/>
    <col min="2" max="2" width="15.77734375" customWidth="1"/>
    <col min="4" max="4" width="10.5546875" bestFit="1" customWidth="1"/>
    <col min="8" max="8" width="14.88671875" bestFit="1" customWidth="1"/>
  </cols>
  <sheetData>
    <row r="2" spans="1:8" x14ac:dyDescent="0.3">
      <c r="B2" t="s">
        <v>221</v>
      </c>
      <c r="D2" s="90">
        <v>45651</v>
      </c>
    </row>
    <row r="3" spans="1:8" x14ac:dyDescent="0.3">
      <c r="H3" s="91">
        <f>SUM(H5:H47)</f>
        <v>40511150</v>
      </c>
    </row>
    <row r="4" spans="1:8" x14ac:dyDescent="0.3">
      <c r="A4" s="30" t="s">
        <v>83</v>
      </c>
      <c r="B4" s="30" t="s">
        <v>80</v>
      </c>
      <c r="C4" s="31" t="s">
        <v>81</v>
      </c>
      <c r="D4" s="30" t="s">
        <v>82</v>
      </c>
      <c r="E4" s="32" t="s">
        <v>143</v>
      </c>
      <c r="F4" s="32" t="s">
        <v>144</v>
      </c>
      <c r="G4" s="32" t="s">
        <v>85</v>
      </c>
      <c r="H4" s="32" t="s">
        <v>86</v>
      </c>
    </row>
    <row r="5" spans="1:8" x14ac:dyDescent="0.3">
      <c r="A5" s="90">
        <v>45651</v>
      </c>
      <c r="B5" t="s">
        <v>72</v>
      </c>
      <c r="C5" t="s">
        <v>168</v>
      </c>
      <c r="D5">
        <v>20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G5" s="92">
        <v>7000</v>
      </c>
      <c r="H5" s="13">
        <f>G5*D5</f>
        <v>140000</v>
      </c>
    </row>
    <row r="6" spans="1:8" x14ac:dyDescent="0.3">
      <c r="A6" s="90">
        <v>45651</v>
      </c>
      <c r="B6" t="s">
        <v>2</v>
      </c>
      <c r="C6" t="s">
        <v>168</v>
      </c>
      <c r="D6">
        <v>0</v>
      </c>
      <c r="E6" s="92" t="e">
        <f>LOOKUP(1,1/('[1]PURCHASE PRICE'!$B:$B=B6)/('[1]PURCHASE PRICE'!$A:$A=A6)/('[1]PURCHASE PRICE'!$C:$C=C6),'[1]PURCHASE PRICE'!$D:$D)</f>
        <v>#N/A</v>
      </c>
      <c r="F6" s="92" t="e">
        <f>LOOKUP(1,1/('[1]PURCHASE PRICE'!$B:$B=B6)/('[1]PURCHASE PRICE'!$A:$A=A6),'[1]PURCHASE PRICE'!$D:$D)</f>
        <v>#N/A</v>
      </c>
      <c r="G6" s="92">
        <v>0</v>
      </c>
      <c r="H6" s="13">
        <f t="shared" ref="H6:H47" si="0">G6*D6</f>
        <v>0</v>
      </c>
    </row>
    <row r="7" spans="1:8" x14ac:dyDescent="0.3">
      <c r="A7" s="90">
        <v>45651</v>
      </c>
      <c r="B7" t="s">
        <v>3</v>
      </c>
      <c r="C7" t="s">
        <v>224</v>
      </c>
      <c r="D7">
        <v>250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22000</v>
      </c>
      <c r="G7" s="92">
        <f>+F7*0.3</f>
        <v>6600</v>
      </c>
      <c r="H7" s="13">
        <f t="shared" si="0"/>
        <v>1650000</v>
      </c>
    </row>
    <row r="8" spans="1:8" x14ac:dyDescent="0.3">
      <c r="A8" s="90">
        <v>45651</v>
      </c>
      <c r="B8" t="s">
        <v>5</v>
      </c>
      <c r="C8" t="s">
        <v>224</v>
      </c>
      <c r="D8">
        <v>70</v>
      </c>
      <c r="E8" s="92" t="e">
        <f>LOOKUP(1,1/('[1]PURCHASE PRICE'!$B:$B=B8)/('[1]PURCHASE PRICE'!$A:$A=A8)/('[1]PURCHASE PRICE'!$C:$C=C8),'[1]PURCHASE PRICE'!$D:$D)</f>
        <v>#N/A</v>
      </c>
      <c r="F8" s="92">
        <f>LOOKUP(1,1/('[1]PURCHASE PRICE'!$B:$B=B8)/('[1]PURCHASE PRICE'!$A:$A=A8),'[1]PURCHASE PRICE'!$D:$D)</f>
        <v>22000</v>
      </c>
      <c r="G8" s="92">
        <f>F8*0.23</f>
        <v>5060</v>
      </c>
      <c r="H8" s="13">
        <f t="shared" si="0"/>
        <v>354200</v>
      </c>
    </row>
    <row r="9" spans="1:8" x14ac:dyDescent="0.3">
      <c r="A9" s="90">
        <v>45651</v>
      </c>
      <c r="B9" t="s">
        <v>5</v>
      </c>
      <c r="C9" t="s">
        <v>189</v>
      </c>
      <c r="D9">
        <v>25</v>
      </c>
      <c r="E9" s="92">
        <f>LOOKUP(1,1/('[1]PURCHASE PRICE'!$B:$B=B9)/('[1]PURCHASE PRICE'!$A:$A=A9)/('[1]PURCHASE PRICE'!$C:$C=C9),'[1]PURCHASE PRICE'!$D:$D)</f>
        <v>22000</v>
      </c>
      <c r="F9" s="92">
        <f>LOOKUP(1,1/('[1]PURCHASE PRICE'!$B:$B=B9)/('[1]PURCHASE PRICE'!$A:$A=A9),'[1]PURCHASE PRICE'!$D:$D)</f>
        <v>22000</v>
      </c>
      <c r="G9" s="92">
        <f>F9</f>
        <v>22000</v>
      </c>
      <c r="H9" s="13">
        <f t="shared" si="0"/>
        <v>550000</v>
      </c>
    </row>
    <row r="10" spans="1:8" x14ac:dyDescent="0.3">
      <c r="A10" s="90">
        <v>45651</v>
      </c>
      <c r="B10" t="s">
        <v>8</v>
      </c>
      <c r="C10" t="s">
        <v>11</v>
      </c>
      <c r="D10">
        <v>110</v>
      </c>
      <c r="E10" s="92">
        <f>LOOKUP(1,1/('[1]PURCHASE PRICE'!$B:$B=B10)/('[1]PURCHASE PRICE'!$A:$A=A10)/('[1]PURCHASE PRICE'!$C:$C=C10),'[1]PURCHASE PRICE'!$D:$D)</f>
        <v>8500</v>
      </c>
      <c r="F10" s="92">
        <f>LOOKUP(1,1/('[1]PURCHASE PRICE'!$B:$B=B10)/('[1]PURCHASE PRICE'!$A:$A=A10),'[1]PURCHASE PRICE'!$D:$D)</f>
        <v>8500</v>
      </c>
      <c r="G10" s="92">
        <f>F10</f>
        <v>8500</v>
      </c>
      <c r="H10" s="13">
        <f t="shared" si="0"/>
        <v>935000</v>
      </c>
    </row>
    <row r="11" spans="1:8" x14ac:dyDescent="0.3">
      <c r="A11" s="90">
        <v>45651</v>
      </c>
      <c r="B11" t="s">
        <v>9</v>
      </c>
      <c r="C11" t="s">
        <v>168</v>
      </c>
      <c r="D11">
        <v>110</v>
      </c>
      <c r="E11" s="92">
        <f>LOOKUP(1,1/('[1]PURCHASE PRICE'!$B:$B=B11)/('[1]PURCHASE PRICE'!$A:$A=A11)/('[1]PURCHASE PRICE'!$C:$C=C11),'[1]PURCHASE PRICE'!$D:$D)</f>
        <v>17000</v>
      </c>
      <c r="F11" s="92">
        <f>LOOKUP(1,1/('[1]PURCHASE PRICE'!$B:$B=B11)/('[1]PURCHASE PRICE'!$A:$A=A11),'[1]PURCHASE PRICE'!$D:$D)</f>
        <v>13650</v>
      </c>
      <c r="G11" s="92">
        <f>E11</f>
        <v>17000</v>
      </c>
      <c r="H11" s="13">
        <f t="shared" si="0"/>
        <v>1870000</v>
      </c>
    </row>
    <row r="12" spans="1:8" x14ac:dyDescent="0.3">
      <c r="A12" s="90">
        <v>45651</v>
      </c>
      <c r="B12" t="s">
        <v>10</v>
      </c>
      <c r="C12" t="s">
        <v>12</v>
      </c>
      <c r="D12">
        <v>120</v>
      </c>
      <c r="E12" s="92">
        <f>LOOKUP(1,1/('[1]PURCHASE PRICE'!$B:$B=B12)/('[1]PURCHASE PRICE'!$A:$A=A12)/('[1]PURCHASE PRICE'!$C:$C=C12),'[1]PURCHASE PRICE'!$D:$D)</f>
        <v>8500</v>
      </c>
      <c r="F12" s="92">
        <f>LOOKUP(1,1/('[1]PURCHASE PRICE'!$B:$B=B12)/('[1]PURCHASE PRICE'!$A:$A=A12),'[1]PURCHASE PRICE'!$D:$D)</f>
        <v>8500</v>
      </c>
      <c r="G12" s="92">
        <f>F12</f>
        <v>8500</v>
      </c>
      <c r="H12" s="13">
        <f t="shared" si="0"/>
        <v>1020000</v>
      </c>
    </row>
    <row r="13" spans="1:8" x14ac:dyDescent="0.3">
      <c r="A13" s="90">
        <v>45651</v>
      </c>
      <c r="B13" t="s">
        <v>13</v>
      </c>
      <c r="C13" t="s">
        <v>14</v>
      </c>
      <c r="D13">
        <v>80</v>
      </c>
      <c r="E13" s="92">
        <f>LOOKUP(1,1/('[1]PURCHASE PRICE'!$B:$B=B13)/('[1]PURCHASE PRICE'!$A:$A=A13)/('[1]PURCHASE PRICE'!$C:$C=C13),'[1]PURCHASE PRICE'!$D:$D)</f>
        <v>8400</v>
      </c>
      <c r="F13" s="92">
        <f>LOOKUP(1,1/('[1]PURCHASE PRICE'!$B:$B=B13)/('[1]PURCHASE PRICE'!$A:$A=A13),'[1]PURCHASE PRICE'!$D:$D)</f>
        <v>8400</v>
      </c>
      <c r="G13" s="92">
        <f t="shared" ref="G13:G14" si="1">F13</f>
        <v>8400</v>
      </c>
      <c r="H13" s="13">
        <f t="shared" si="0"/>
        <v>672000</v>
      </c>
    </row>
    <row r="14" spans="1:8" x14ac:dyDescent="0.3">
      <c r="A14" s="90">
        <v>45651</v>
      </c>
      <c r="B14" t="s">
        <v>15</v>
      </c>
      <c r="C14" t="s">
        <v>16</v>
      </c>
      <c r="D14">
        <v>52</v>
      </c>
      <c r="E14" s="92">
        <f>LOOKUP(1,1/('[1]PURCHASE PRICE'!$B:$B=B14)/('[1]PURCHASE PRICE'!$A:$A=A14)/('[1]PURCHASE PRICE'!$C:$C=C14),'[1]PURCHASE PRICE'!$D:$D)</f>
        <v>12600</v>
      </c>
      <c r="F14" s="92">
        <f>LOOKUP(1,1/('[1]PURCHASE PRICE'!$B:$B=B14)/('[1]PURCHASE PRICE'!$A:$A=A14),'[1]PURCHASE PRICE'!$D:$D)</f>
        <v>12600</v>
      </c>
      <c r="G14" s="92">
        <f t="shared" si="1"/>
        <v>12600</v>
      </c>
      <c r="H14" s="13">
        <f t="shared" si="0"/>
        <v>655200</v>
      </c>
    </row>
    <row r="15" spans="1:8" x14ac:dyDescent="0.3">
      <c r="A15" s="90">
        <v>45651</v>
      </c>
      <c r="B15" t="s">
        <v>17</v>
      </c>
      <c r="C15" t="s">
        <v>14</v>
      </c>
      <c r="D15">
        <v>130</v>
      </c>
      <c r="E15" s="92" t="e">
        <f>LOOKUP(1,1/('[1]PURCHASE PRICE'!$B:$B=B15)/('[1]PURCHASE PRICE'!$A:$A=A15)/('[1]PURCHASE PRICE'!$C:$C=C15),'[1]PURCHASE PRICE'!$D:$D)</f>
        <v>#N/A</v>
      </c>
      <c r="F15" s="92">
        <f>LOOKUP(1,1/('[1]PURCHASE PRICE'!$B:$B=B15)/('[1]PURCHASE PRICE'!$A:$A=A15),'[1]PURCHASE PRICE'!$D:$D)</f>
        <v>31000</v>
      </c>
      <c r="G15" s="92">
        <f>F15*0.3</f>
        <v>9300</v>
      </c>
      <c r="H15" s="13">
        <f t="shared" si="0"/>
        <v>1209000</v>
      </c>
    </row>
    <row r="16" spans="1:8" x14ac:dyDescent="0.3">
      <c r="A16" s="90">
        <v>45651</v>
      </c>
      <c r="B16" t="s">
        <v>18</v>
      </c>
      <c r="C16" t="s">
        <v>168</v>
      </c>
      <c r="D16">
        <v>60</v>
      </c>
      <c r="E16" s="92">
        <f>LOOKUP(1,1/('[1]PURCHASE PRICE'!$B:$B=B16)/('[1]PURCHASE PRICE'!$A:$A=A16)/('[1]PURCHASE PRICE'!$C:$C=C16),'[1]PURCHASE PRICE'!$D:$D)</f>
        <v>14000</v>
      </c>
      <c r="F16" s="92">
        <f>LOOKUP(1,1/('[1]PURCHASE PRICE'!$B:$B=B16)/('[1]PURCHASE PRICE'!$A:$A=A16),'[1]PURCHASE PRICE'!$D:$D)</f>
        <v>14000</v>
      </c>
      <c r="G16" s="92">
        <f>F16</f>
        <v>14000</v>
      </c>
      <c r="H16" s="13">
        <f t="shared" si="0"/>
        <v>840000</v>
      </c>
    </row>
    <row r="17" spans="1:8" x14ac:dyDescent="0.3">
      <c r="A17" s="90">
        <v>45651</v>
      </c>
      <c r="B17" t="s">
        <v>19</v>
      </c>
      <c r="C17" t="s">
        <v>168</v>
      </c>
      <c r="D17">
        <v>40</v>
      </c>
      <c r="E17" s="92">
        <f>LOOKUP(1,1/('[1]PURCHASE PRICE'!$B:$B=B17)/('[1]PURCHASE PRICE'!$A:$A=A17)/('[1]PURCHASE PRICE'!$C:$C=C17),'[1]PURCHASE PRICE'!$D:$D)</f>
        <v>14000</v>
      </c>
      <c r="F17" s="92">
        <f>LOOKUP(1,1/('[1]PURCHASE PRICE'!$B:$B=B17)/('[1]PURCHASE PRICE'!$A:$A=A17),'[1]PURCHASE PRICE'!$D:$D)</f>
        <v>14000</v>
      </c>
      <c r="G17" s="92">
        <f t="shared" ref="G17:G26" si="2">F17</f>
        <v>14000</v>
      </c>
      <c r="H17" s="13">
        <f t="shared" si="0"/>
        <v>560000</v>
      </c>
    </row>
    <row r="18" spans="1:8" x14ac:dyDescent="0.3">
      <c r="A18" s="90">
        <v>45651</v>
      </c>
      <c r="B18" t="s">
        <v>20</v>
      </c>
      <c r="C18" t="s">
        <v>11</v>
      </c>
      <c r="D18">
        <v>58</v>
      </c>
      <c r="E18" s="92">
        <f>LOOKUP(1,1/('[1]PURCHASE PRICE'!$B:$B=B18)/('[1]PURCHASE PRICE'!$A:$A=A18)/('[1]PURCHASE PRICE'!$C:$C=C18),'[1]PURCHASE PRICE'!$D:$D)</f>
        <v>12000</v>
      </c>
      <c r="F18" s="92">
        <f>LOOKUP(1,1/('[1]PURCHASE PRICE'!$B:$B=B18)/('[1]PURCHASE PRICE'!$A:$A=A18),'[1]PURCHASE PRICE'!$D:$D)</f>
        <v>12000</v>
      </c>
      <c r="G18" s="92">
        <f t="shared" si="2"/>
        <v>12000</v>
      </c>
      <c r="H18" s="13">
        <f t="shared" si="0"/>
        <v>696000</v>
      </c>
    </row>
    <row r="19" spans="1:8" x14ac:dyDescent="0.3">
      <c r="A19" s="90">
        <v>45651</v>
      </c>
      <c r="B19" t="s">
        <v>69</v>
      </c>
      <c r="C19" t="s">
        <v>168</v>
      </c>
      <c r="D19">
        <v>10</v>
      </c>
      <c r="E19" s="92">
        <f>LOOKUP(1,1/('[1]PURCHASE PRICE'!$B:$B=B19)/('[1]PURCHASE PRICE'!$A:$A=A19)/('[1]PURCHASE PRICE'!$C:$C=C19),'[1]PURCHASE PRICE'!$D:$D)</f>
        <v>6500</v>
      </c>
      <c r="F19" s="92">
        <f>LOOKUP(1,1/('[1]PURCHASE PRICE'!$B:$B=B19)/('[1]PURCHASE PRICE'!$A:$A=A19),'[1]PURCHASE PRICE'!$D:$D)</f>
        <v>6500</v>
      </c>
      <c r="G19" s="92">
        <f t="shared" si="2"/>
        <v>6500</v>
      </c>
      <c r="H19" s="13">
        <f t="shared" si="0"/>
        <v>65000</v>
      </c>
    </row>
    <row r="20" spans="1:8" x14ac:dyDescent="0.3">
      <c r="A20" s="90">
        <v>45651</v>
      </c>
      <c r="B20" t="s">
        <v>27</v>
      </c>
      <c r="C20" t="s">
        <v>16</v>
      </c>
      <c r="D20">
        <v>34</v>
      </c>
      <c r="E20" s="92">
        <f>LOOKUP(1,1/('[1]PURCHASE PRICE'!$B:$B=B20)/('[1]PURCHASE PRICE'!$A:$A=A20)/('[1]PURCHASE PRICE'!$C:$C=C20),'[1]PURCHASE PRICE'!$D:$D)</f>
        <v>11000</v>
      </c>
      <c r="F20" s="92">
        <f>LOOKUP(1,1/('[1]PURCHASE PRICE'!$B:$B=B20)/('[1]PURCHASE PRICE'!$A:$A=A20),'[1]PURCHASE PRICE'!$D:$D)</f>
        <v>11000</v>
      </c>
      <c r="G20" s="92">
        <f t="shared" si="2"/>
        <v>11000</v>
      </c>
      <c r="H20" s="13">
        <f t="shared" si="0"/>
        <v>374000</v>
      </c>
    </row>
    <row r="21" spans="1:8" x14ac:dyDescent="0.3">
      <c r="A21" s="90">
        <v>45651</v>
      </c>
      <c r="B21" t="s">
        <v>74</v>
      </c>
      <c r="C21" t="s">
        <v>168</v>
      </c>
      <c r="D21">
        <v>40</v>
      </c>
      <c r="E21" s="92">
        <f>LOOKUP(1,1/('[1]PURCHASE PRICE'!$B:$B=B21)/('[1]PURCHASE PRICE'!$A:$A=A21)/('[1]PURCHASE PRICE'!$C:$C=C21),'[1]PURCHASE PRICE'!$D:$D)</f>
        <v>10000</v>
      </c>
      <c r="F21" s="92">
        <f>LOOKUP(1,1/('[1]PURCHASE PRICE'!$B:$B=B21)/('[1]PURCHASE PRICE'!$A:$A=A21),'[1]PURCHASE PRICE'!$D:$D)</f>
        <v>10000</v>
      </c>
      <c r="G21" s="92">
        <f t="shared" si="2"/>
        <v>10000</v>
      </c>
      <c r="H21" s="13">
        <f t="shared" si="0"/>
        <v>400000</v>
      </c>
    </row>
    <row r="22" spans="1:8" x14ac:dyDescent="0.3">
      <c r="A22" s="90">
        <v>45651</v>
      </c>
      <c r="B22" t="s">
        <v>31</v>
      </c>
      <c r="C22" t="s">
        <v>168</v>
      </c>
      <c r="D22">
        <v>100</v>
      </c>
      <c r="E22" s="92">
        <f>LOOKUP(1,1/('[1]PURCHASE PRICE'!$B:$B=B22)/('[1]PURCHASE PRICE'!$A:$A=A22)/('[1]PURCHASE PRICE'!$C:$C=C22),'[1]PURCHASE PRICE'!$D:$D)</f>
        <v>17000</v>
      </c>
      <c r="F22" s="92">
        <f>LOOKUP(1,1/('[1]PURCHASE PRICE'!$B:$B=B22)/('[1]PURCHASE PRICE'!$A:$A=A22),'[1]PURCHASE PRICE'!$D:$D)</f>
        <v>17000</v>
      </c>
      <c r="G22" s="92">
        <f t="shared" si="2"/>
        <v>17000</v>
      </c>
      <c r="H22" s="13">
        <f t="shared" si="0"/>
        <v>1700000</v>
      </c>
    </row>
    <row r="23" spans="1:8" x14ac:dyDescent="0.3">
      <c r="A23" s="90">
        <v>45651</v>
      </c>
      <c r="B23" t="s">
        <v>32</v>
      </c>
      <c r="C23" t="s">
        <v>168</v>
      </c>
      <c r="D23">
        <v>0</v>
      </c>
      <c r="E23" s="92">
        <f>LOOKUP(1,1/('[1]PURCHASE PRICE'!$B:$B=B23)/('[1]PURCHASE PRICE'!$A:$A=A23)/('[1]PURCHASE PRICE'!$C:$C=C23),'[1]PURCHASE PRICE'!$D:$D)</f>
        <v>25000</v>
      </c>
      <c r="F23" s="92">
        <f>LOOKUP(1,1/('[1]PURCHASE PRICE'!$B:$B=B23)/('[1]PURCHASE PRICE'!$A:$A=A23),'[1]PURCHASE PRICE'!$D:$D)</f>
        <v>25000</v>
      </c>
      <c r="G23" s="92">
        <f t="shared" si="2"/>
        <v>25000</v>
      </c>
      <c r="H23" s="13">
        <f t="shared" si="0"/>
        <v>0</v>
      </c>
    </row>
    <row r="24" spans="1:8" x14ac:dyDescent="0.3">
      <c r="A24" s="90">
        <v>45651</v>
      </c>
      <c r="B24" t="s">
        <v>139</v>
      </c>
      <c r="C24" t="s">
        <v>168</v>
      </c>
      <c r="D24">
        <v>40</v>
      </c>
      <c r="E24" s="92">
        <f>LOOKUP(1,1/('[1]PURCHASE PRICE'!$B:$B=B24)/('[1]PURCHASE PRICE'!$A:$A=A24)/('[1]PURCHASE PRICE'!$C:$C=C24),'[1]PURCHASE PRICE'!$D:$D)</f>
        <v>17000</v>
      </c>
      <c r="F24" s="92">
        <f>LOOKUP(1,1/('[1]PURCHASE PRICE'!$B:$B=B24)/('[1]PURCHASE PRICE'!$A:$A=A24),'[1]PURCHASE PRICE'!$D:$D)</f>
        <v>17000</v>
      </c>
      <c r="G24" s="92">
        <f t="shared" si="2"/>
        <v>17000</v>
      </c>
      <c r="H24" s="13">
        <f t="shared" si="0"/>
        <v>680000</v>
      </c>
    </row>
    <row r="25" spans="1:8" x14ac:dyDescent="0.3">
      <c r="A25" s="90">
        <v>45651</v>
      </c>
      <c r="B25" t="s">
        <v>33</v>
      </c>
      <c r="C25" t="s">
        <v>22</v>
      </c>
      <c r="D25">
        <v>15</v>
      </c>
      <c r="E25" s="92">
        <f>LOOKUP(1,1/('[1]PURCHASE PRICE'!$B:$B=B25)/('[1]PURCHASE PRICE'!$A:$A=A25)/('[1]PURCHASE PRICE'!$C:$C=C25),'[1]PURCHASE PRICE'!$D:$D)</f>
        <v>13000</v>
      </c>
      <c r="F25" s="92">
        <f>LOOKUP(1,1/('[1]PURCHASE PRICE'!$B:$B=B25)/('[1]PURCHASE PRICE'!$A:$A=A25),'[1]PURCHASE PRICE'!$D:$D)</f>
        <v>13000</v>
      </c>
      <c r="G25" s="92">
        <f t="shared" si="2"/>
        <v>13000</v>
      </c>
      <c r="H25" s="13">
        <f t="shared" si="0"/>
        <v>195000</v>
      </c>
    </row>
    <row r="26" spans="1:8" x14ac:dyDescent="0.3">
      <c r="A26" s="90">
        <v>45651</v>
      </c>
      <c r="B26" t="s">
        <v>34</v>
      </c>
      <c r="C26" t="s">
        <v>36</v>
      </c>
      <c r="D26">
        <v>20</v>
      </c>
      <c r="E26" s="92">
        <f>LOOKUP(1,1/('[1]PURCHASE PRICE'!$B:$B=B26)/('[1]PURCHASE PRICE'!$A:$A=A26)/('[1]PURCHASE PRICE'!$C:$C=C26),'[1]PURCHASE PRICE'!$D:$D)</f>
        <v>10000</v>
      </c>
      <c r="F26" s="92">
        <f>LOOKUP(1,1/('[1]PURCHASE PRICE'!$B:$B=B26)/('[1]PURCHASE PRICE'!$A:$A=A26),'[1]PURCHASE PRICE'!$D:$D)</f>
        <v>10000</v>
      </c>
      <c r="G26" s="92">
        <f t="shared" si="2"/>
        <v>10000</v>
      </c>
      <c r="H26" s="13">
        <f t="shared" si="0"/>
        <v>200000</v>
      </c>
    </row>
    <row r="27" spans="1:8" x14ac:dyDescent="0.3">
      <c r="A27" s="90">
        <v>45651</v>
      </c>
      <c r="B27" t="s">
        <v>37</v>
      </c>
      <c r="C27" t="s">
        <v>189</v>
      </c>
      <c r="D27">
        <v>80</v>
      </c>
      <c r="E27" s="92" t="e">
        <f>LOOKUP(1,1/('[1]PURCHASE PRICE'!$B:$B=B27)/('[1]PURCHASE PRICE'!$A:$A=A27)/('[1]PURCHASE PRICE'!$C:$C=C27),'[1]PURCHASE PRICE'!$D:$D)</f>
        <v>#N/A</v>
      </c>
      <c r="F27" s="92">
        <f>LOOKUP(1,1/('[1]PURCHASE PRICE'!$B:$B=B27)/('[1]PURCHASE PRICE'!$A:$A=A27),'[1]PURCHASE PRICE'!$D:$D)</f>
        <v>10000</v>
      </c>
      <c r="G27" s="92">
        <f>F27</f>
        <v>10000</v>
      </c>
      <c r="H27" s="13">
        <f t="shared" si="0"/>
        <v>800000</v>
      </c>
    </row>
    <row r="28" spans="1:8" x14ac:dyDescent="0.3">
      <c r="A28" s="90">
        <v>45651</v>
      </c>
      <c r="B28" t="s">
        <v>37</v>
      </c>
      <c r="C28" t="s">
        <v>11</v>
      </c>
      <c r="D28">
        <v>650</v>
      </c>
      <c r="E28" s="92">
        <f>LOOKUP(1,1/('[1]PURCHASE PRICE'!$B:$B=B28)/('[1]PURCHASE PRICE'!$A:$A=A28)/('[1]PURCHASE PRICE'!$C:$C=C28),'[1]PURCHASE PRICE'!$D:$D)</f>
        <v>10000</v>
      </c>
      <c r="F28" s="92">
        <f>LOOKUP(1,1/('[1]PURCHASE PRICE'!$B:$B=B28)/('[1]PURCHASE PRICE'!$A:$A=A28),'[1]PURCHASE PRICE'!$D:$D)</f>
        <v>10000</v>
      </c>
      <c r="G28" s="92">
        <f>F28</f>
        <v>10000</v>
      </c>
      <c r="H28" s="13">
        <f t="shared" si="0"/>
        <v>6500000</v>
      </c>
    </row>
    <row r="29" spans="1:8" x14ac:dyDescent="0.3">
      <c r="A29" s="90">
        <v>45651</v>
      </c>
      <c r="B29" t="s">
        <v>38</v>
      </c>
      <c r="C29" t="s">
        <v>22</v>
      </c>
      <c r="D29">
        <v>5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17000</v>
      </c>
      <c r="G29" s="92">
        <f>F29*0.6</f>
        <v>10200</v>
      </c>
      <c r="H29" s="13">
        <f t="shared" si="0"/>
        <v>51000</v>
      </c>
    </row>
    <row r="30" spans="1:8" x14ac:dyDescent="0.3">
      <c r="A30" s="90">
        <v>45651</v>
      </c>
      <c r="B30" t="s">
        <v>40</v>
      </c>
      <c r="C30" t="s">
        <v>25</v>
      </c>
      <c r="D30">
        <v>60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17000</v>
      </c>
      <c r="G30" s="92">
        <f>F30*0.15</f>
        <v>2550</v>
      </c>
      <c r="H30" s="13">
        <f t="shared" si="0"/>
        <v>153000</v>
      </c>
    </row>
    <row r="31" spans="1:8" x14ac:dyDescent="0.3">
      <c r="A31" s="90">
        <v>45651</v>
      </c>
      <c r="B31" t="s">
        <v>42</v>
      </c>
      <c r="C31" t="s">
        <v>168</v>
      </c>
      <c r="D31">
        <v>0</v>
      </c>
      <c r="E31" s="92" t="e">
        <f>LOOKUP(1,1/('[1]PURCHASE PRICE'!$B:$B=B31)/('[1]PURCHASE PRICE'!$A:$A=A31)/('[1]PURCHASE PRICE'!$C:$C=C31),'[1]PURCHASE PRICE'!$D:$D)</f>
        <v>#N/A</v>
      </c>
      <c r="F31" s="92" t="e">
        <f>LOOKUP(1,1/('[1]PURCHASE PRICE'!$B:$B=B31)/('[1]PURCHASE PRICE'!$A:$A=A31),'[1]PURCHASE PRICE'!$D:$D)</f>
        <v>#N/A</v>
      </c>
      <c r="G31" s="92"/>
      <c r="H31" s="13">
        <f t="shared" si="0"/>
        <v>0</v>
      </c>
    </row>
    <row r="32" spans="1:8" x14ac:dyDescent="0.3">
      <c r="A32" s="90">
        <v>45651</v>
      </c>
      <c r="B32" t="s">
        <v>45</v>
      </c>
      <c r="C32" t="s">
        <v>22</v>
      </c>
      <c r="D32">
        <v>500</v>
      </c>
      <c r="E32" s="92">
        <f>LOOKUP(1,1/('[1]PURCHASE PRICE'!$B:$B=B32)/('[1]PURCHASE PRICE'!$A:$A=A32)/('[1]PURCHASE PRICE'!$C:$C=C32),'[1]PURCHASE PRICE'!$D:$D)</f>
        <v>2500</v>
      </c>
      <c r="F32" s="92">
        <f>LOOKUP(1,1/('[1]PURCHASE PRICE'!$B:$B=B32)/('[1]PURCHASE PRICE'!$A:$A=A32),'[1]PURCHASE PRICE'!$D:$D)</f>
        <v>2500</v>
      </c>
      <c r="G32" s="92">
        <f>F32</f>
        <v>2500</v>
      </c>
      <c r="H32" s="13">
        <f t="shared" si="0"/>
        <v>1250000</v>
      </c>
    </row>
    <row r="33" spans="1:8" x14ac:dyDescent="0.3">
      <c r="A33" s="90">
        <v>45651</v>
      </c>
      <c r="B33" t="s">
        <v>46</v>
      </c>
      <c r="C33" t="s">
        <v>168</v>
      </c>
      <c r="D33">
        <v>20</v>
      </c>
      <c r="E33" s="92">
        <f>LOOKUP(1,1/('[1]PURCHASE PRICE'!$B:$B=B33)/('[1]PURCHASE PRICE'!$A:$A=A33)/('[1]PURCHASE PRICE'!$C:$C=C33),'[1]PURCHASE PRICE'!$D:$D)</f>
        <v>43000</v>
      </c>
      <c r="F33" s="92">
        <f>LOOKUP(1,1/('[1]PURCHASE PRICE'!$B:$B=B33)/('[1]PURCHASE PRICE'!$A:$A=A33),'[1]PURCHASE PRICE'!$D:$D)</f>
        <v>43000</v>
      </c>
      <c r="G33" s="92">
        <f t="shared" ref="G33:G34" si="3">F33</f>
        <v>43000</v>
      </c>
      <c r="H33" s="13">
        <f t="shared" si="0"/>
        <v>860000</v>
      </c>
    </row>
    <row r="34" spans="1:8" x14ac:dyDescent="0.3">
      <c r="A34" s="90">
        <v>45651</v>
      </c>
      <c r="B34" t="s">
        <v>64</v>
      </c>
      <c r="C34" t="s">
        <v>168</v>
      </c>
      <c r="D34">
        <v>15</v>
      </c>
      <c r="E34" s="92">
        <f>LOOKUP(1,1/('[1]PURCHASE PRICE'!$B:$B=B34)/('[1]PURCHASE PRICE'!$A:$A=A34)/('[1]PURCHASE PRICE'!$C:$C=C34),'[1]PURCHASE PRICE'!$D:$D)</f>
        <v>44000</v>
      </c>
      <c r="F34" s="92">
        <f>LOOKUP(1,1/('[1]PURCHASE PRICE'!$B:$B=B34)/('[1]PURCHASE PRICE'!$A:$A=A34),'[1]PURCHASE PRICE'!$D:$D)</f>
        <v>44000</v>
      </c>
      <c r="G34" s="92">
        <f t="shared" si="3"/>
        <v>44000</v>
      </c>
      <c r="H34" s="13">
        <f t="shared" si="0"/>
        <v>660000</v>
      </c>
    </row>
    <row r="35" spans="1:8" x14ac:dyDescent="0.3">
      <c r="A35" s="90">
        <v>45651</v>
      </c>
      <c r="B35" t="s">
        <v>47</v>
      </c>
      <c r="C35" t="s">
        <v>224</v>
      </c>
      <c r="D35">
        <v>300</v>
      </c>
      <c r="E35" s="92" t="e">
        <f>LOOKUP(1,1/('[1]PURCHASE PRICE'!$B:$B=B35)/('[1]PURCHASE PRICE'!$A:$A=A35)/('[1]PURCHASE PRICE'!$C:$C=C35),'[1]PURCHASE PRICE'!$D:$D)</f>
        <v>#N/A</v>
      </c>
      <c r="F35" s="92">
        <f>LOOKUP(1,1/('[1]PURCHASE PRICE'!$B:$B=B35)/('[1]PURCHASE PRICE'!$A:$A=A35),'[1]PURCHASE PRICE'!$D:$D)</f>
        <v>38000</v>
      </c>
      <c r="G35" s="92">
        <f>F35*0.25</f>
        <v>9500</v>
      </c>
      <c r="H35" s="13">
        <f t="shared" si="0"/>
        <v>2850000</v>
      </c>
    </row>
    <row r="36" spans="1:8" x14ac:dyDescent="0.3">
      <c r="A36" s="90">
        <v>45651</v>
      </c>
      <c r="B36" t="s">
        <v>48</v>
      </c>
      <c r="C36" t="s">
        <v>168</v>
      </c>
      <c r="D36">
        <v>9</v>
      </c>
      <c r="E36" s="92">
        <f>LOOKUP(1,1/('[1]PURCHASE PRICE'!$B:$B=B36)/('[1]PURCHASE PRICE'!$A:$A=A36)/('[1]PURCHASE PRICE'!$C:$C=C36),'[1]PURCHASE PRICE'!$D:$D)</f>
        <v>49000</v>
      </c>
      <c r="F36" s="92">
        <f>LOOKUP(1,1/('[1]PURCHASE PRICE'!$B:$B=B36)/('[1]PURCHASE PRICE'!$A:$A=A36),'[1]PURCHASE PRICE'!$D:$D)</f>
        <v>49000</v>
      </c>
      <c r="G36" s="92">
        <f>F36</f>
        <v>49000</v>
      </c>
      <c r="H36" s="13">
        <f t="shared" si="0"/>
        <v>441000</v>
      </c>
    </row>
    <row r="37" spans="1:8" x14ac:dyDescent="0.3">
      <c r="A37" s="90">
        <v>45651</v>
      </c>
      <c r="B37" t="s">
        <v>50</v>
      </c>
      <c r="C37" t="s">
        <v>224</v>
      </c>
      <c r="D37">
        <v>100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42000</v>
      </c>
      <c r="G37" s="92">
        <f t="shared" ref="G37:G39" si="4">F37*0.25</f>
        <v>10500</v>
      </c>
      <c r="H37" s="13">
        <f t="shared" si="0"/>
        <v>1050000</v>
      </c>
    </row>
    <row r="38" spans="1:8" x14ac:dyDescent="0.3">
      <c r="A38" s="90">
        <v>45651</v>
      </c>
      <c r="B38" t="s">
        <v>51</v>
      </c>
      <c r="C38" t="s">
        <v>224</v>
      </c>
      <c r="D38">
        <v>10</v>
      </c>
      <c r="E38" s="92" t="e">
        <f>LOOKUP(1,1/('[1]PURCHASE PRICE'!$B:$B=B38)/('[1]PURCHASE PRICE'!$A:$A=A38)/('[1]PURCHASE PRICE'!$C:$C=C38),'[1]PURCHASE PRICE'!$D:$D)</f>
        <v>#N/A</v>
      </c>
      <c r="F38" s="92">
        <f>LOOKUP(1,1/('[1]PURCHASE PRICE'!$B:$B=B38)/('[1]PURCHASE PRICE'!$A:$A=A38),'[1]PURCHASE PRICE'!$D:$D)</f>
        <v>30000</v>
      </c>
      <c r="G38" s="92">
        <f t="shared" si="4"/>
        <v>7500</v>
      </c>
      <c r="H38" s="13">
        <f t="shared" si="0"/>
        <v>75000</v>
      </c>
    </row>
    <row r="39" spans="1:8" x14ac:dyDescent="0.3">
      <c r="A39" s="90">
        <v>45651</v>
      </c>
      <c r="B39" t="s">
        <v>52</v>
      </c>
      <c r="C39" t="s">
        <v>189</v>
      </c>
      <c r="D39">
        <v>37</v>
      </c>
      <c r="E39" s="92" t="e">
        <f>LOOKUP(1,1/('[1]PURCHASE PRICE'!$B:$B=B39)/('[1]PURCHASE PRICE'!$A:$A=A39)/('[1]PURCHASE PRICE'!$C:$C=C39),'[1]PURCHASE PRICE'!$D:$D)</f>
        <v>#N/A</v>
      </c>
      <c r="F39" s="92">
        <f>LOOKUP(1,1/('[1]PURCHASE PRICE'!$B:$B=B39)/('[1]PURCHASE PRICE'!$A:$A=A39),'[1]PURCHASE PRICE'!$D:$D)</f>
        <v>23000</v>
      </c>
      <c r="G39" s="92">
        <f t="shared" si="4"/>
        <v>5750</v>
      </c>
      <c r="H39" s="13">
        <f t="shared" si="0"/>
        <v>212750</v>
      </c>
    </row>
    <row r="40" spans="1:8" x14ac:dyDescent="0.3">
      <c r="A40" s="90">
        <v>45651</v>
      </c>
      <c r="B40" t="s">
        <v>52</v>
      </c>
      <c r="C40" t="s">
        <v>22</v>
      </c>
      <c r="D40">
        <v>175</v>
      </c>
      <c r="E40" s="92">
        <f>LOOKUP(1,1/('[1]PURCHASE PRICE'!$B:$B=B40)/('[1]PURCHASE PRICE'!$A:$A=A40)/('[1]PURCHASE PRICE'!$C:$C=C40),'[1]PURCHASE PRICE'!$D:$D)</f>
        <v>23000</v>
      </c>
      <c r="F40" s="92">
        <f>LOOKUP(1,1/('[1]PURCHASE PRICE'!$B:$B=B40)/('[1]PURCHASE PRICE'!$A:$A=A40),'[1]PURCHASE PRICE'!$D:$D)</f>
        <v>23000</v>
      </c>
      <c r="G40" s="92">
        <f>F40</f>
        <v>23000</v>
      </c>
      <c r="H40" s="13">
        <f t="shared" si="0"/>
        <v>4025000</v>
      </c>
    </row>
    <row r="41" spans="1:8" x14ac:dyDescent="0.3">
      <c r="A41" s="90">
        <v>45651</v>
      </c>
      <c r="B41" t="s">
        <v>76</v>
      </c>
      <c r="C41" t="s">
        <v>168</v>
      </c>
      <c r="D41">
        <v>8</v>
      </c>
      <c r="E41" s="92">
        <f>LOOKUP(1,1/('[1]PURCHASE PRICE'!$B:$B=B41)/('[1]PURCHASE PRICE'!$A:$A=A41)/('[1]PURCHASE PRICE'!$C:$C=C41),'[1]PURCHASE PRICE'!$D:$D)</f>
        <v>35000</v>
      </c>
      <c r="F41" s="92">
        <f>LOOKUP(1,1/('[1]PURCHASE PRICE'!$B:$B=B41)/('[1]PURCHASE PRICE'!$A:$A=A41),'[1]PURCHASE PRICE'!$D:$D)</f>
        <v>35000</v>
      </c>
      <c r="G41" s="92">
        <f t="shared" ref="G41:G43" si="5">F41</f>
        <v>35000</v>
      </c>
      <c r="H41" s="13">
        <f t="shared" si="0"/>
        <v>280000</v>
      </c>
    </row>
    <row r="42" spans="1:8" x14ac:dyDescent="0.3">
      <c r="A42" s="90">
        <v>45651</v>
      </c>
      <c r="B42" t="s">
        <v>54</v>
      </c>
      <c r="C42" t="s">
        <v>168</v>
      </c>
      <c r="D42">
        <v>80</v>
      </c>
      <c r="E42" s="92">
        <f>LOOKUP(1,1/('[1]PURCHASE PRICE'!$B:$B=B42)/('[1]PURCHASE PRICE'!$A:$A=A42)/('[1]PURCHASE PRICE'!$C:$C=C42),'[1]PURCHASE PRICE'!$D:$D)</f>
        <v>33000</v>
      </c>
      <c r="F42" s="92">
        <f>LOOKUP(1,1/('[1]PURCHASE PRICE'!$B:$B=B42)/('[1]PURCHASE PRICE'!$A:$A=A42),'[1]PURCHASE PRICE'!$D:$D)</f>
        <v>33000</v>
      </c>
      <c r="G42" s="92">
        <f t="shared" si="5"/>
        <v>33000</v>
      </c>
      <c r="H42" s="13">
        <f t="shared" si="0"/>
        <v>2640000</v>
      </c>
    </row>
    <row r="43" spans="1:8" x14ac:dyDescent="0.3">
      <c r="A43" s="90">
        <v>45651</v>
      </c>
      <c r="B43" t="s">
        <v>55</v>
      </c>
      <c r="C43" t="s">
        <v>25</v>
      </c>
      <c r="D43">
        <v>150</v>
      </c>
      <c r="E43" s="92">
        <f>LOOKUP(1,1/('[1]PURCHASE PRICE'!$B:$B=B43)/('[1]PURCHASE PRICE'!$A:$A=A43)/('[1]PURCHASE PRICE'!$C:$C=C43),'[1]PURCHASE PRICE'!$D:$D)</f>
        <v>6800</v>
      </c>
      <c r="F43" s="92">
        <f>LOOKUP(1,1/('[1]PURCHASE PRICE'!$B:$B=B43)/('[1]PURCHASE PRICE'!$A:$A=A43),'[1]PURCHASE PRICE'!$D:$D)</f>
        <v>6800</v>
      </c>
      <c r="G43" s="92">
        <f t="shared" si="5"/>
        <v>6800</v>
      </c>
      <c r="H43" s="13">
        <f t="shared" si="0"/>
        <v>1020000</v>
      </c>
    </row>
    <row r="44" spans="1:8" x14ac:dyDescent="0.3">
      <c r="A44" s="90">
        <v>45651</v>
      </c>
      <c r="B44" t="s">
        <v>229</v>
      </c>
      <c r="C44" t="s">
        <v>168</v>
      </c>
      <c r="D44">
        <v>60</v>
      </c>
      <c r="E44" s="92">
        <f>LOOKUP(1,1/('[1]PURCHASE PRICE'!$B:$B=B44)/('[1]PURCHASE PRICE'!$A:$A=A44)/('[1]PURCHASE PRICE'!$C:$C=C44),'[1]PURCHASE PRICE'!$D:$D)</f>
        <v>28000</v>
      </c>
      <c r="F44" s="92">
        <f>LOOKUP(1,1/('[1]PURCHASE PRICE'!$B:$B=B44)/('[1]PURCHASE PRICE'!$A:$A=A44),'[1]PURCHASE PRICE'!$D:$D)</f>
        <v>28000</v>
      </c>
      <c r="G44" s="92">
        <f>F44</f>
        <v>28000</v>
      </c>
      <c r="H44" s="13">
        <f t="shared" si="0"/>
        <v>1680000</v>
      </c>
    </row>
    <row r="45" spans="1:8" x14ac:dyDescent="0.3">
      <c r="A45" s="90">
        <v>45651</v>
      </c>
      <c r="B45" t="s">
        <v>58</v>
      </c>
      <c r="C45" t="s">
        <v>168</v>
      </c>
      <c r="D45">
        <v>40</v>
      </c>
      <c r="E45" s="92">
        <f>LOOKUP(1,1/('[1]PURCHASE PRICE'!$B:$B=B45)/('[1]PURCHASE PRICE'!$A:$A=A45)/('[1]PURCHASE PRICE'!$C:$C=C45),'[1]PURCHASE PRICE'!$D:$D)</f>
        <v>23000</v>
      </c>
      <c r="F45" s="92">
        <f>LOOKUP(1,1/('[1]PURCHASE PRICE'!$B:$B=B45)/('[1]PURCHASE PRICE'!$A:$A=A45),'[1]PURCHASE PRICE'!$D:$D)</f>
        <v>23000</v>
      </c>
      <c r="G45" s="92">
        <f>F45</f>
        <v>23000</v>
      </c>
      <c r="H45" s="13">
        <f t="shared" si="0"/>
        <v>920000</v>
      </c>
    </row>
    <row r="46" spans="1:8" x14ac:dyDescent="0.3">
      <c r="A46" s="90">
        <v>45651</v>
      </c>
      <c r="B46" t="s">
        <v>60</v>
      </c>
      <c r="C46" t="s">
        <v>168</v>
      </c>
      <c r="D46">
        <v>14</v>
      </c>
      <c r="E46" s="92">
        <f>LOOKUP(1,1/('[1]PURCHASE PRICE'!$B:$B=B46)/('[1]PURCHASE PRICE'!$A:$A=A46)/('[1]PURCHASE PRICE'!$C:$C=C46),'[1]PURCHASE PRICE'!$D:$D)</f>
        <v>15000</v>
      </c>
      <c r="F46" s="92">
        <f>LOOKUP(1,1/('[1]PURCHASE PRICE'!$B:$B=B46)/('[1]PURCHASE PRICE'!$A:$A=A46),'[1]PURCHASE PRICE'!$D:$D)</f>
        <v>15000</v>
      </c>
      <c r="G46" s="92">
        <f t="shared" ref="G46:G47" si="6">F46</f>
        <v>15000</v>
      </c>
      <c r="H46" s="13">
        <f t="shared" si="0"/>
        <v>210000</v>
      </c>
    </row>
    <row r="47" spans="1:8" x14ac:dyDescent="0.3">
      <c r="A47" s="90">
        <v>45651</v>
      </c>
      <c r="B47" t="s">
        <v>61</v>
      </c>
      <c r="C47" t="s">
        <v>25</v>
      </c>
      <c r="D47">
        <v>10</v>
      </c>
      <c r="E47" s="92">
        <f>LOOKUP(1,1/('[1]PURCHASE PRICE'!$B:$B=B47)/('[1]PURCHASE PRICE'!$A:$A=A47)/('[1]PURCHASE PRICE'!$C:$C=C47),'[1]PURCHASE PRICE'!$D:$D)</f>
        <v>6800</v>
      </c>
      <c r="F47" s="92">
        <f>LOOKUP(1,1/('[1]PURCHASE PRICE'!$B:$B=B47)/('[1]PURCHASE PRICE'!$A:$A=A47),'[1]PURCHASE PRICE'!$D:$D)</f>
        <v>6800</v>
      </c>
      <c r="G47" s="92">
        <f t="shared" si="6"/>
        <v>6800</v>
      </c>
      <c r="H47" s="13">
        <f t="shared" si="0"/>
        <v>68000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51"/>
  <sheetViews>
    <sheetView workbookViewId="0">
      <selection activeCell="H3" sqref="H3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5" max="7" width="7.77734375" bestFit="1" customWidth="1"/>
    <col min="8" max="8" width="14.88671875" bestFit="1" customWidth="1"/>
  </cols>
  <sheetData>
    <row r="2" spans="1:8" x14ac:dyDescent="0.3">
      <c r="B2" t="s">
        <v>221</v>
      </c>
      <c r="D2" s="90">
        <v>45650</v>
      </c>
    </row>
    <row r="3" spans="1:8" x14ac:dyDescent="0.3">
      <c r="H3" s="91">
        <f>SUM(H5:H51)</f>
        <v>41599500</v>
      </c>
    </row>
    <row r="4" spans="1:8" x14ac:dyDescent="0.3">
      <c r="A4" s="30" t="s">
        <v>83</v>
      </c>
      <c r="B4" s="30" t="s">
        <v>80</v>
      </c>
      <c r="C4" s="31" t="s">
        <v>81</v>
      </c>
      <c r="D4" s="30" t="s">
        <v>82</v>
      </c>
      <c r="E4" s="32" t="s">
        <v>143</v>
      </c>
      <c r="F4" s="32" t="s">
        <v>144</v>
      </c>
      <c r="G4" s="32" t="s">
        <v>85</v>
      </c>
      <c r="H4" s="32" t="s">
        <v>86</v>
      </c>
    </row>
    <row r="5" spans="1:8" x14ac:dyDescent="0.3">
      <c r="A5" s="90">
        <v>45650</v>
      </c>
      <c r="B5" t="s">
        <v>72</v>
      </c>
      <c r="C5" t="s">
        <v>1</v>
      </c>
      <c r="D5">
        <v>20</v>
      </c>
      <c r="E5" s="92">
        <f>LOOKUP(1,1/('[1]PURCHASE PRICE'!$B:$B=B5)/('[1]PURCHASE PRICE'!$A:$A=A5)/('[1]PURCHASE PRICE'!$C:$C=C5),'[1]PURCHASE PRICE'!$D:$D)</f>
        <v>8000</v>
      </c>
      <c r="F5" s="92">
        <f>LOOKUP(1,1/('[1]PURCHASE PRICE'!$B:$B=B5)/('[1]PURCHASE PRICE'!$A:$A=A5),'[1]PURCHASE PRICE'!$D:$D)</f>
        <v>8000</v>
      </c>
      <c r="G5" s="92">
        <f>F5</f>
        <v>8000</v>
      </c>
      <c r="H5" s="13">
        <f>G5*D5</f>
        <v>160000</v>
      </c>
    </row>
    <row r="6" spans="1:8" x14ac:dyDescent="0.3">
      <c r="A6" s="90">
        <v>45650</v>
      </c>
      <c r="B6" t="s">
        <v>67</v>
      </c>
      <c r="C6" t="s">
        <v>1</v>
      </c>
      <c r="D6">
        <v>50</v>
      </c>
      <c r="E6" s="92">
        <f>LOOKUP(1,1/('[1]PURCHASE PRICE'!$B:$B=B6)/('[1]PURCHASE PRICE'!$A:$A=A6)/('[1]PURCHASE PRICE'!$C:$C=C6),'[1]PURCHASE PRICE'!$D:$D)</f>
        <v>6500</v>
      </c>
      <c r="F6" s="92">
        <f>LOOKUP(1,1/('[1]PURCHASE PRICE'!$B:$B=B6)/('[1]PURCHASE PRICE'!$A:$A=A6),'[1]PURCHASE PRICE'!$D:$D)</f>
        <v>6500</v>
      </c>
      <c r="G6" s="92">
        <f>F6</f>
        <v>6500</v>
      </c>
      <c r="H6" s="13">
        <f t="shared" ref="H6:H51" si="0">G6*D6</f>
        <v>325000</v>
      </c>
    </row>
    <row r="7" spans="1:8" x14ac:dyDescent="0.3">
      <c r="A7" s="90">
        <v>45650</v>
      </c>
      <c r="B7" t="s">
        <v>65</v>
      </c>
      <c r="C7" t="s">
        <v>224</v>
      </c>
      <c r="D7">
        <v>40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10000</v>
      </c>
      <c r="G7" s="92">
        <f>+F7*0.4</f>
        <v>4000</v>
      </c>
      <c r="H7" s="13">
        <f t="shared" si="0"/>
        <v>160000</v>
      </c>
    </row>
    <row r="8" spans="1:8" x14ac:dyDescent="0.3">
      <c r="A8" s="90">
        <v>45650</v>
      </c>
      <c r="B8" t="s">
        <v>2</v>
      </c>
      <c r="C8" t="s">
        <v>1</v>
      </c>
      <c r="D8">
        <v>10</v>
      </c>
      <c r="E8" s="92">
        <f>LOOKUP(1,1/('[1]PURCHASE PRICE'!$B:$B=B8)/('[1]PURCHASE PRICE'!$A:$A=A8)/('[1]PURCHASE PRICE'!$C:$C=C8),'[1]PURCHASE PRICE'!$D:$D)</f>
        <v>60000</v>
      </c>
      <c r="F8" s="92">
        <f>LOOKUP(1,1/('[1]PURCHASE PRICE'!$B:$B=B8)/('[1]PURCHASE PRICE'!$A:$A=A8),'[1]PURCHASE PRICE'!$D:$D)</f>
        <v>60000</v>
      </c>
      <c r="G8" s="92">
        <f>F8</f>
        <v>60000</v>
      </c>
      <c r="H8" s="13">
        <f t="shared" si="0"/>
        <v>600000</v>
      </c>
    </row>
    <row r="9" spans="1:8" x14ac:dyDescent="0.3">
      <c r="A9" s="90">
        <v>45650</v>
      </c>
      <c r="B9" t="s">
        <v>3</v>
      </c>
      <c r="C9" t="s">
        <v>224</v>
      </c>
      <c r="D9">
        <v>150</v>
      </c>
      <c r="E9" s="92" t="e">
        <f>LOOKUP(1,1/('[1]PURCHASE PRICE'!$B:$B=B9)/('[1]PURCHASE PRICE'!$A:$A=A9)/('[1]PURCHASE PRICE'!$C:$C=C9),'[1]PURCHASE PRICE'!$D:$D)</f>
        <v>#N/A</v>
      </c>
      <c r="F9" s="92">
        <f>LOOKUP(1,1/('[1]PURCHASE PRICE'!$B:$B=B9)/('[1]PURCHASE PRICE'!$A:$A=A9),'[1]PURCHASE PRICE'!$D:$D)</f>
        <v>18000</v>
      </c>
      <c r="G9" s="92">
        <f>+F9*0.3</f>
        <v>5400</v>
      </c>
      <c r="H9" s="13">
        <f t="shared" si="0"/>
        <v>810000</v>
      </c>
    </row>
    <row r="10" spans="1:8" x14ac:dyDescent="0.3">
      <c r="A10" s="90">
        <v>45650</v>
      </c>
      <c r="B10" t="s">
        <v>5</v>
      </c>
      <c r="C10" t="s">
        <v>189</v>
      </c>
      <c r="D10">
        <v>25</v>
      </c>
      <c r="E10" s="92">
        <f>LOOKUP(1,1/('[1]PURCHASE PRICE'!$B:$B=B10)/('[1]PURCHASE PRICE'!$A:$A=A10)/('[1]PURCHASE PRICE'!$C:$C=C10),'[1]PURCHASE PRICE'!$D:$D)</f>
        <v>10000</v>
      </c>
      <c r="F10" s="92">
        <f>LOOKUP(1,1/('[1]PURCHASE PRICE'!$B:$B=B10)/('[1]PURCHASE PRICE'!$A:$A=A10),'[1]PURCHASE PRICE'!$D:$D)</f>
        <v>10000</v>
      </c>
      <c r="G10" s="92">
        <f>F10</f>
        <v>10000</v>
      </c>
      <c r="H10" s="13">
        <f t="shared" si="0"/>
        <v>250000</v>
      </c>
    </row>
    <row r="11" spans="1:8" x14ac:dyDescent="0.3">
      <c r="A11" s="90">
        <v>45650</v>
      </c>
      <c r="B11" t="s">
        <v>225</v>
      </c>
      <c r="C11" t="s">
        <v>1</v>
      </c>
      <c r="D11">
        <v>0</v>
      </c>
      <c r="E11" s="92" t="e">
        <f>LOOKUP(1,1/('[1]PURCHASE PRICE'!$B:$B=B11)/('[1]PURCHASE PRICE'!$A:$A=A11)/('[1]PURCHASE PRICE'!$C:$C=C11),'[1]PURCHASE PRICE'!$D:$D)</f>
        <v>#N/A</v>
      </c>
      <c r="F11" s="92" t="e">
        <f>LOOKUP(1,1/('[1]PURCHASE PRICE'!$B:$B=B11)/('[1]PURCHASE PRICE'!$A:$A=A11),'[1]PURCHASE PRICE'!$D:$D)</f>
        <v>#N/A</v>
      </c>
      <c r="G11" s="92"/>
      <c r="H11" s="13">
        <f t="shared" si="0"/>
        <v>0</v>
      </c>
    </row>
    <row r="12" spans="1:8" x14ac:dyDescent="0.3">
      <c r="A12" s="90">
        <v>45650</v>
      </c>
      <c r="B12" t="s">
        <v>68</v>
      </c>
      <c r="C12" t="s">
        <v>1</v>
      </c>
      <c r="D12">
        <v>60</v>
      </c>
      <c r="E12" s="92">
        <f>LOOKUP(1,1/('[1]PURCHASE PRICE'!$B:$B=B12)/('[1]PURCHASE PRICE'!$A:$A=A12)/('[1]PURCHASE PRICE'!$C:$C=C12),'[1]PURCHASE PRICE'!$D:$D)</f>
        <v>26000</v>
      </c>
      <c r="F12" s="92">
        <f>LOOKUP(1,1/('[1]PURCHASE PRICE'!$B:$B=B12)/('[1]PURCHASE PRICE'!$A:$A=A12),'[1]PURCHASE PRICE'!$D:$D)</f>
        <v>26000</v>
      </c>
      <c r="G12" s="92">
        <f>F12</f>
        <v>26000</v>
      </c>
      <c r="H12" s="13">
        <f t="shared" si="0"/>
        <v>1560000</v>
      </c>
    </row>
    <row r="13" spans="1:8" x14ac:dyDescent="0.3">
      <c r="A13" s="90">
        <v>45650</v>
      </c>
      <c r="B13" t="s">
        <v>8</v>
      </c>
      <c r="C13" t="s">
        <v>1</v>
      </c>
      <c r="D13">
        <v>6</v>
      </c>
      <c r="E13" s="92" t="e">
        <f>LOOKUP(1,1/('[1]PURCHASE PRICE'!$B:$B=B13)/('[1]PURCHASE PRICE'!$A:$A=A13)/('[1]PURCHASE PRICE'!$C:$C=C13),'[1]PURCHASE PRICE'!$D:$D)</f>
        <v>#N/A</v>
      </c>
      <c r="F13" s="92">
        <f>LOOKUP(1,1/('[1]PURCHASE PRICE'!$B:$B=B13)/('[1]PURCHASE PRICE'!$A:$A=A13),'[1]PURCHASE PRICE'!$D:$D)</f>
        <v>8500</v>
      </c>
      <c r="G13" s="92">
        <f>F13</f>
        <v>8500</v>
      </c>
      <c r="H13" s="13">
        <f t="shared" si="0"/>
        <v>51000</v>
      </c>
    </row>
    <row r="14" spans="1:8" x14ac:dyDescent="0.3">
      <c r="A14" s="90">
        <v>45650</v>
      </c>
      <c r="B14" t="s">
        <v>9</v>
      </c>
      <c r="C14" t="s">
        <v>1</v>
      </c>
      <c r="D14">
        <v>40</v>
      </c>
      <c r="E14" s="92">
        <f>LOOKUP(1,1/('[1]PURCHASE PRICE'!$B:$B=B14)/('[1]PURCHASE PRICE'!$A:$A=A14)/('[1]PURCHASE PRICE'!$C:$C=C14),'[1]PURCHASE PRICE'!$D:$D)</f>
        <v>19000</v>
      </c>
      <c r="F14" s="92">
        <f>LOOKUP(1,1/('[1]PURCHASE PRICE'!$B:$B=B14)/('[1]PURCHASE PRICE'!$A:$A=A14),'[1]PURCHASE PRICE'!$D:$D)</f>
        <v>19000</v>
      </c>
      <c r="G14" s="92">
        <f t="shared" ref="G14:G16" si="1">F14</f>
        <v>19000</v>
      </c>
      <c r="H14" s="13">
        <f t="shared" si="0"/>
        <v>760000</v>
      </c>
    </row>
    <row r="15" spans="1:8" x14ac:dyDescent="0.3">
      <c r="A15" s="90">
        <v>45650</v>
      </c>
      <c r="B15" t="s">
        <v>10</v>
      </c>
      <c r="C15" t="s">
        <v>12</v>
      </c>
      <c r="D15">
        <v>100</v>
      </c>
      <c r="E15" s="92">
        <f>LOOKUP(1,1/('[1]PURCHASE PRICE'!$B:$B=B15)/('[1]PURCHASE PRICE'!$A:$A=A15)/('[1]PURCHASE PRICE'!$C:$C=C15),'[1]PURCHASE PRICE'!$D:$D)</f>
        <v>8500</v>
      </c>
      <c r="F15" s="92">
        <f>LOOKUP(1,1/('[1]PURCHASE PRICE'!$B:$B=B15)/('[1]PURCHASE PRICE'!$A:$A=A15),'[1]PURCHASE PRICE'!$D:$D)</f>
        <v>14000</v>
      </c>
      <c r="G15" s="92">
        <f t="shared" si="1"/>
        <v>14000</v>
      </c>
      <c r="H15" s="13">
        <f t="shared" si="0"/>
        <v>1400000</v>
      </c>
    </row>
    <row r="16" spans="1:8" x14ac:dyDescent="0.3">
      <c r="A16" s="90">
        <v>45650</v>
      </c>
      <c r="B16" t="s">
        <v>15</v>
      </c>
      <c r="C16" t="s">
        <v>16</v>
      </c>
      <c r="D16">
        <v>40</v>
      </c>
      <c r="E16" s="92">
        <f>LOOKUP(1,1/('[1]PURCHASE PRICE'!$B:$B=B16)/('[1]PURCHASE PRICE'!$A:$A=A16)/('[1]PURCHASE PRICE'!$C:$C=C16),'[1]PURCHASE PRICE'!$D:$D)</f>
        <v>14100</v>
      </c>
      <c r="F16" s="92">
        <f>LOOKUP(1,1/('[1]PURCHASE PRICE'!$B:$B=B16)/('[1]PURCHASE PRICE'!$A:$A=A16),'[1]PURCHASE PRICE'!$D:$D)</f>
        <v>14100</v>
      </c>
      <c r="G16" s="92">
        <f t="shared" si="1"/>
        <v>14100</v>
      </c>
      <c r="H16" s="13">
        <f t="shared" si="0"/>
        <v>564000</v>
      </c>
    </row>
    <row r="17" spans="1:8" x14ac:dyDescent="0.3">
      <c r="A17" s="90">
        <v>45650</v>
      </c>
      <c r="B17" t="s">
        <v>17</v>
      </c>
      <c r="C17" t="s">
        <v>14</v>
      </c>
      <c r="D17">
        <v>132</v>
      </c>
      <c r="E17" s="92" t="e">
        <f>LOOKUP(1,1/('[1]PURCHASE PRICE'!$B:$B=B17)/('[1]PURCHASE PRICE'!$A:$A=A17)/('[1]PURCHASE PRICE'!$C:$C=C17),'[1]PURCHASE PRICE'!$D:$D)</f>
        <v>#N/A</v>
      </c>
      <c r="F17" s="92">
        <f>LOOKUP(1,1/('[1]PURCHASE PRICE'!$B:$B=B17)/('[1]PURCHASE PRICE'!$A:$A=A17),'[1]PURCHASE PRICE'!$D:$D)</f>
        <v>35000</v>
      </c>
      <c r="G17" s="92">
        <f>+F17*0.3</f>
        <v>10500</v>
      </c>
      <c r="H17" s="13">
        <f t="shared" si="0"/>
        <v>1386000</v>
      </c>
    </row>
    <row r="18" spans="1:8" x14ac:dyDescent="0.3">
      <c r="A18" s="90">
        <v>45650</v>
      </c>
      <c r="B18" t="s">
        <v>18</v>
      </c>
      <c r="C18" t="s">
        <v>1</v>
      </c>
      <c r="D18">
        <v>60</v>
      </c>
      <c r="E18" s="92">
        <f>LOOKUP(1,1/('[1]PURCHASE PRICE'!$B:$B=B18)/('[1]PURCHASE PRICE'!$A:$A=A18)/('[1]PURCHASE PRICE'!$C:$C=C18),'[1]PURCHASE PRICE'!$D:$D)</f>
        <v>14000</v>
      </c>
      <c r="F18" s="92">
        <f>LOOKUP(1,1/('[1]PURCHASE PRICE'!$B:$B=B18)/('[1]PURCHASE PRICE'!$A:$A=A18),'[1]PURCHASE PRICE'!$D:$D)</f>
        <v>14000</v>
      </c>
      <c r="G18" s="92">
        <f>F18</f>
        <v>14000</v>
      </c>
      <c r="H18" s="13">
        <f t="shared" si="0"/>
        <v>840000</v>
      </c>
    </row>
    <row r="19" spans="1:8" x14ac:dyDescent="0.3">
      <c r="A19" s="90">
        <v>45650</v>
      </c>
      <c r="B19" t="s">
        <v>19</v>
      </c>
      <c r="C19" t="s">
        <v>1</v>
      </c>
      <c r="D19">
        <v>30</v>
      </c>
      <c r="E19" s="92">
        <f>LOOKUP(1,1/('[1]PURCHASE PRICE'!$B:$B=B19)/('[1]PURCHASE PRICE'!$A:$A=A19)/('[1]PURCHASE PRICE'!$C:$C=C19),'[1]PURCHASE PRICE'!$D:$D)</f>
        <v>12000</v>
      </c>
      <c r="F19" s="92">
        <f>LOOKUP(1,1/('[1]PURCHASE PRICE'!$B:$B=B19)/('[1]PURCHASE PRICE'!$A:$A=A19),'[1]PURCHASE PRICE'!$D:$D)</f>
        <v>12000</v>
      </c>
      <c r="G19" s="92">
        <f t="shared" ref="G19:G28" si="2">F19</f>
        <v>12000</v>
      </c>
      <c r="H19" s="13">
        <f t="shared" si="0"/>
        <v>360000</v>
      </c>
    </row>
    <row r="20" spans="1:8" x14ac:dyDescent="0.3">
      <c r="A20" s="90">
        <v>45650</v>
      </c>
      <c r="B20" t="s">
        <v>20</v>
      </c>
      <c r="C20" t="s">
        <v>11</v>
      </c>
      <c r="D20">
        <v>70</v>
      </c>
      <c r="E20" s="92">
        <f>LOOKUP(1,1/('[1]PURCHASE PRICE'!$B:$B=B20)/('[1]PURCHASE PRICE'!$A:$A=A20)/('[1]PURCHASE PRICE'!$C:$C=C20),'[1]PURCHASE PRICE'!$D:$D)</f>
        <v>12000</v>
      </c>
      <c r="F20" s="92">
        <f>LOOKUP(1,1/('[1]PURCHASE PRICE'!$B:$B=B20)/('[1]PURCHASE PRICE'!$A:$A=A20),'[1]PURCHASE PRICE'!$D:$D)</f>
        <v>12000</v>
      </c>
      <c r="G20" s="92">
        <f t="shared" si="2"/>
        <v>12000</v>
      </c>
      <c r="H20" s="13">
        <f t="shared" si="0"/>
        <v>840000</v>
      </c>
    </row>
    <row r="21" spans="1:8" x14ac:dyDescent="0.3">
      <c r="A21" s="90">
        <v>45650</v>
      </c>
      <c r="B21" t="s">
        <v>71</v>
      </c>
      <c r="C21" t="s">
        <v>1</v>
      </c>
      <c r="D21">
        <v>30</v>
      </c>
      <c r="E21" s="92">
        <f>LOOKUP(1,1/('[1]PURCHASE PRICE'!$B:$B=B21)/('[1]PURCHASE PRICE'!$A:$A=A21)/('[1]PURCHASE PRICE'!$C:$C=C21),'[1]PURCHASE PRICE'!$D:$D)</f>
        <v>10000</v>
      </c>
      <c r="F21" s="92">
        <f>LOOKUP(1,1/('[1]PURCHASE PRICE'!$B:$B=B21)/('[1]PURCHASE PRICE'!$A:$A=A21),'[1]PURCHASE PRICE'!$D:$D)</f>
        <v>10000</v>
      </c>
      <c r="G21" s="92">
        <f t="shared" si="2"/>
        <v>10000</v>
      </c>
      <c r="H21" s="13">
        <f t="shared" si="0"/>
        <v>300000</v>
      </c>
    </row>
    <row r="22" spans="1:8" x14ac:dyDescent="0.3">
      <c r="A22" s="90">
        <v>45650</v>
      </c>
      <c r="B22" t="s">
        <v>63</v>
      </c>
      <c r="C22" t="s">
        <v>1</v>
      </c>
      <c r="D22">
        <v>40</v>
      </c>
      <c r="E22" s="92">
        <f>LOOKUP(1,1/('[1]PURCHASE PRICE'!$B:$B=B22)/('[1]PURCHASE PRICE'!$A:$A=A22)/('[1]PURCHASE PRICE'!$C:$C=C22),'[1]PURCHASE PRICE'!$D:$D)</f>
        <v>35000</v>
      </c>
      <c r="F22" s="92">
        <f>LOOKUP(1,1/('[1]PURCHASE PRICE'!$B:$B=B22)/('[1]PURCHASE PRICE'!$A:$A=A22),'[1]PURCHASE PRICE'!$D:$D)</f>
        <v>35000</v>
      </c>
      <c r="G22" s="92">
        <f t="shared" si="2"/>
        <v>35000</v>
      </c>
      <c r="H22" s="13">
        <f t="shared" si="0"/>
        <v>1400000</v>
      </c>
    </row>
    <row r="23" spans="1:8" x14ac:dyDescent="0.3">
      <c r="A23" s="90">
        <v>45650</v>
      </c>
      <c r="B23" t="s">
        <v>26</v>
      </c>
      <c r="C23" t="s">
        <v>11</v>
      </c>
      <c r="D23">
        <v>20</v>
      </c>
      <c r="E23" s="92">
        <f>LOOKUP(1,1/('[1]PURCHASE PRICE'!$B:$B=B23)/('[1]PURCHASE PRICE'!$A:$A=A23)/('[1]PURCHASE PRICE'!$C:$C=C23),'[1]PURCHASE PRICE'!$D:$D)</f>
        <v>8100</v>
      </c>
      <c r="F23" s="92">
        <f>LOOKUP(1,1/('[1]PURCHASE PRICE'!$B:$B=B23)/('[1]PURCHASE PRICE'!$A:$A=A23),'[1]PURCHASE PRICE'!$D:$D)</f>
        <v>8100</v>
      </c>
      <c r="G23" s="92">
        <f t="shared" si="2"/>
        <v>8100</v>
      </c>
      <c r="H23" s="13">
        <f t="shared" si="0"/>
        <v>162000</v>
      </c>
    </row>
    <row r="24" spans="1:8" x14ac:dyDescent="0.3">
      <c r="A24" s="90">
        <v>45650</v>
      </c>
      <c r="B24" t="s">
        <v>29</v>
      </c>
      <c r="C24" t="s">
        <v>1</v>
      </c>
      <c r="D24">
        <v>60</v>
      </c>
      <c r="E24" s="92">
        <f>LOOKUP(1,1/('[1]PURCHASE PRICE'!$B:$B=B24)/('[1]PURCHASE PRICE'!$A:$A=A24)/('[1]PURCHASE PRICE'!$C:$C=C24),'[1]PURCHASE PRICE'!$D:$D)</f>
        <v>16000</v>
      </c>
      <c r="F24" s="92">
        <f>LOOKUP(1,1/('[1]PURCHASE PRICE'!$B:$B=B24)/('[1]PURCHASE PRICE'!$A:$A=A24),'[1]PURCHASE PRICE'!$D:$D)</f>
        <v>16000</v>
      </c>
      <c r="G24" s="92">
        <f t="shared" si="2"/>
        <v>16000</v>
      </c>
      <c r="H24" s="13">
        <f t="shared" si="0"/>
        <v>960000</v>
      </c>
    </row>
    <row r="25" spans="1:8" x14ac:dyDescent="0.3">
      <c r="A25" s="90">
        <v>45650</v>
      </c>
      <c r="B25" t="s">
        <v>139</v>
      </c>
      <c r="C25" t="s">
        <v>1</v>
      </c>
      <c r="D25">
        <v>20</v>
      </c>
      <c r="E25" s="92">
        <f>LOOKUP(1,1/('[1]PURCHASE PRICE'!$B:$B=B25)/('[1]PURCHASE PRICE'!$A:$A=A25)/('[1]PURCHASE PRICE'!$C:$C=C25),'[1]PURCHASE PRICE'!$D:$D)</f>
        <v>17000</v>
      </c>
      <c r="F25" s="92">
        <f>LOOKUP(1,1/('[1]PURCHASE PRICE'!$B:$B=B25)/('[1]PURCHASE PRICE'!$A:$A=A25),'[1]PURCHASE PRICE'!$D:$D)</f>
        <v>17000</v>
      </c>
      <c r="G25" s="92">
        <f t="shared" si="2"/>
        <v>17000</v>
      </c>
      <c r="H25" s="13">
        <f t="shared" si="0"/>
        <v>340000</v>
      </c>
    </row>
    <row r="26" spans="1:8" x14ac:dyDescent="0.3">
      <c r="A26" s="90">
        <v>45650</v>
      </c>
      <c r="B26" t="s">
        <v>34</v>
      </c>
      <c r="C26" t="s">
        <v>36</v>
      </c>
      <c r="D26">
        <v>20</v>
      </c>
      <c r="E26" s="92">
        <f>LOOKUP(1,1/('[1]PURCHASE PRICE'!$B:$B=B26)/('[1]PURCHASE PRICE'!$A:$A=A26)/('[1]PURCHASE PRICE'!$C:$C=C26),'[1]PURCHASE PRICE'!$D:$D)</f>
        <v>10000</v>
      </c>
      <c r="F26" s="92">
        <f>LOOKUP(1,1/('[1]PURCHASE PRICE'!$B:$B=B26)/('[1]PURCHASE PRICE'!$A:$A=A26),'[1]PURCHASE PRICE'!$D:$D)</f>
        <v>14000</v>
      </c>
      <c r="G26" s="92">
        <f t="shared" si="2"/>
        <v>14000</v>
      </c>
      <c r="H26" s="13">
        <f t="shared" si="0"/>
        <v>280000</v>
      </c>
    </row>
    <row r="27" spans="1:8" x14ac:dyDescent="0.3">
      <c r="A27" s="90">
        <v>45650</v>
      </c>
      <c r="B27" t="s">
        <v>35</v>
      </c>
      <c r="C27" t="s">
        <v>1</v>
      </c>
      <c r="D27">
        <v>3</v>
      </c>
      <c r="E27" s="92">
        <f>LOOKUP(1,1/('[1]PURCHASE PRICE'!$B:$B=B27)/('[1]PURCHASE PRICE'!$A:$A=A27)/('[1]PURCHASE PRICE'!$C:$C=C27),'[1]PURCHASE PRICE'!$D:$D)</f>
        <v>80000</v>
      </c>
      <c r="F27" s="92">
        <f>LOOKUP(1,1/('[1]PURCHASE PRICE'!$B:$B=B27)/('[1]PURCHASE PRICE'!$A:$A=A27),'[1]PURCHASE PRICE'!$D:$D)</f>
        <v>80000</v>
      </c>
      <c r="G27" s="92">
        <f t="shared" si="2"/>
        <v>80000</v>
      </c>
      <c r="H27" s="13">
        <f t="shared" si="0"/>
        <v>240000</v>
      </c>
    </row>
    <row r="28" spans="1:8" x14ac:dyDescent="0.3">
      <c r="A28" s="90">
        <v>45650</v>
      </c>
      <c r="B28" t="s">
        <v>37</v>
      </c>
      <c r="C28" t="s">
        <v>11</v>
      </c>
      <c r="D28">
        <v>800</v>
      </c>
      <c r="E28" s="92">
        <f>LOOKUP(1,1/('[1]PURCHASE PRICE'!$B:$B=B28)/('[1]PURCHASE PRICE'!$A:$A=A28)/('[1]PURCHASE PRICE'!$C:$C=C28),'[1]PURCHASE PRICE'!$D:$D)</f>
        <v>11000</v>
      </c>
      <c r="F28" s="92">
        <f>LOOKUP(1,1/('[1]PURCHASE PRICE'!$B:$B=B28)/('[1]PURCHASE PRICE'!$A:$A=A28),'[1]PURCHASE PRICE'!$D:$D)</f>
        <v>11000</v>
      </c>
      <c r="G28" s="92">
        <f t="shared" si="2"/>
        <v>11000</v>
      </c>
      <c r="H28" s="13">
        <f t="shared" si="0"/>
        <v>8800000</v>
      </c>
    </row>
    <row r="29" spans="1:8" x14ac:dyDescent="0.3">
      <c r="A29" s="90">
        <v>45650</v>
      </c>
      <c r="B29" t="s">
        <v>38</v>
      </c>
      <c r="C29" t="s">
        <v>22</v>
      </c>
      <c r="D29">
        <v>20</v>
      </c>
      <c r="E29" s="92" t="e">
        <f>LOOKUP(1,1/('[1]PURCHASE PRICE'!$B:$B=B29)/('[1]PURCHASE PRICE'!$A:$A=A29)/('[1]PURCHASE PRICE'!$C:$C=C29),'[1]PURCHASE PRICE'!$D:$D)</f>
        <v>#N/A</v>
      </c>
      <c r="F29" s="92">
        <f>LOOKUP(1,1/('[1]PURCHASE PRICE'!$B:$B=B29)/('[1]PURCHASE PRICE'!$A:$A=A29),'[1]PURCHASE PRICE'!$D:$D)</f>
        <v>17000</v>
      </c>
      <c r="G29" s="92">
        <f>F29*0.6</f>
        <v>10200</v>
      </c>
      <c r="H29" s="13">
        <f t="shared" si="0"/>
        <v>204000</v>
      </c>
    </row>
    <row r="30" spans="1:8" x14ac:dyDescent="0.3">
      <c r="A30" s="90">
        <v>45650</v>
      </c>
      <c r="B30" t="s">
        <v>40</v>
      </c>
      <c r="C30" t="s">
        <v>25</v>
      </c>
      <c r="D30">
        <v>50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17000</v>
      </c>
      <c r="G30" s="92">
        <f>F30*0.15</f>
        <v>2550</v>
      </c>
      <c r="H30" s="13">
        <f t="shared" si="0"/>
        <v>127500</v>
      </c>
    </row>
    <row r="31" spans="1:8" x14ac:dyDescent="0.3">
      <c r="A31" s="90">
        <v>45650</v>
      </c>
      <c r="B31" t="s">
        <v>42</v>
      </c>
      <c r="C31" t="s">
        <v>1</v>
      </c>
      <c r="D31">
        <v>0</v>
      </c>
      <c r="E31" s="92" t="e">
        <f>LOOKUP(1,1/('[1]PURCHASE PRICE'!$B:$B=B31)/('[1]PURCHASE PRICE'!$A:$A=A31)/('[1]PURCHASE PRICE'!$C:$C=C31),'[1]PURCHASE PRICE'!$D:$D)</f>
        <v>#N/A</v>
      </c>
      <c r="F31" s="92" t="e">
        <f>LOOKUP(1,1/('[1]PURCHASE PRICE'!$B:$B=B31)/('[1]PURCHASE PRICE'!$A:$A=A31),'[1]PURCHASE PRICE'!$D:$D)</f>
        <v>#N/A</v>
      </c>
      <c r="G31" s="92"/>
      <c r="H31" s="13">
        <f t="shared" si="0"/>
        <v>0</v>
      </c>
    </row>
    <row r="32" spans="1:8" x14ac:dyDescent="0.3">
      <c r="A32" s="90">
        <v>45650</v>
      </c>
      <c r="B32" t="s">
        <v>45</v>
      </c>
      <c r="C32" t="s">
        <v>22</v>
      </c>
      <c r="D32">
        <v>290</v>
      </c>
      <c r="E32" s="92">
        <f>LOOKUP(1,1/('[1]PURCHASE PRICE'!$B:$B=B32)/('[1]PURCHASE PRICE'!$A:$A=A32)/('[1]PURCHASE PRICE'!$C:$C=C32),'[1]PURCHASE PRICE'!$D:$D)</f>
        <v>2500</v>
      </c>
      <c r="F32" s="92">
        <f>LOOKUP(1,1/('[1]PURCHASE PRICE'!$B:$B=B32)/('[1]PURCHASE PRICE'!$A:$A=A32),'[1]PURCHASE PRICE'!$D:$D)</f>
        <v>2500</v>
      </c>
      <c r="G32" s="92">
        <f>F32</f>
        <v>2500</v>
      </c>
      <c r="H32" s="13">
        <f t="shared" si="0"/>
        <v>725000</v>
      </c>
    </row>
    <row r="33" spans="1:8" x14ac:dyDescent="0.3">
      <c r="A33" s="90">
        <v>45650</v>
      </c>
      <c r="B33" t="s">
        <v>46</v>
      </c>
      <c r="C33" t="s">
        <v>1</v>
      </c>
      <c r="D33">
        <v>20</v>
      </c>
      <c r="E33" s="92">
        <f>LOOKUP(1,1/('[1]PURCHASE PRICE'!$B:$B=B33)/('[1]PURCHASE PRICE'!$A:$A=A33)/('[1]PURCHASE PRICE'!$C:$C=C33),'[1]PURCHASE PRICE'!$D:$D)</f>
        <v>40000</v>
      </c>
      <c r="F33" s="92">
        <f>LOOKUP(1,1/('[1]PURCHASE PRICE'!$B:$B=B33)/('[1]PURCHASE PRICE'!$A:$A=A33),'[1]PURCHASE PRICE'!$D:$D)</f>
        <v>40000</v>
      </c>
      <c r="G33" s="92">
        <f>F33</f>
        <v>40000</v>
      </c>
      <c r="H33" s="13">
        <f t="shared" si="0"/>
        <v>800000</v>
      </c>
    </row>
    <row r="34" spans="1:8" x14ac:dyDescent="0.3">
      <c r="A34" s="90">
        <v>45650</v>
      </c>
      <c r="B34" t="s">
        <v>70</v>
      </c>
      <c r="C34" t="s">
        <v>1</v>
      </c>
      <c r="D34">
        <v>21</v>
      </c>
      <c r="E34" s="92" t="e">
        <f>LOOKUP(1,1/('[1]PURCHASE PRICE'!$B:$B=B34)/('[1]PURCHASE PRICE'!$A:$A=A34)/('[1]PURCHASE PRICE'!$C:$C=C34),'[1]PURCHASE PRICE'!$D:$D)</f>
        <v>#N/A</v>
      </c>
      <c r="F34" s="92" t="e">
        <f>LOOKUP(1,1/('[1]PURCHASE PRICE'!$B:$B=B34)/('[1]PURCHASE PRICE'!$A:$A=A34),'[1]PURCHASE PRICE'!$D:$D)</f>
        <v>#N/A</v>
      </c>
      <c r="G34" s="92">
        <f>+(35000+40000+30000)/3</f>
        <v>35000</v>
      </c>
      <c r="H34" s="13">
        <f t="shared" si="0"/>
        <v>735000</v>
      </c>
    </row>
    <row r="35" spans="1:8" x14ac:dyDescent="0.3">
      <c r="A35" s="90">
        <v>45650</v>
      </c>
      <c r="B35" t="s">
        <v>70</v>
      </c>
      <c r="C35" t="s">
        <v>11</v>
      </c>
      <c r="D35">
        <v>10</v>
      </c>
      <c r="E35" s="92" t="e">
        <f>LOOKUP(1,1/('[1]PURCHASE PRICE'!$B:$B=B35)/('[1]PURCHASE PRICE'!$A:$A=A35)/('[1]PURCHASE PRICE'!$C:$C=C35),'[1]PURCHASE PRICE'!$D:$D)</f>
        <v>#N/A</v>
      </c>
      <c r="F35" s="92" t="e">
        <f>LOOKUP(1,1/('[1]PURCHASE PRICE'!$B:$B=B35)/('[1]PURCHASE PRICE'!$A:$A=A35),'[1]PURCHASE PRICE'!$D:$D)</f>
        <v>#N/A</v>
      </c>
      <c r="G35" s="92">
        <f>+((35000+40000+30000)/3)*0.35</f>
        <v>12250</v>
      </c>
      <c r="H35" s="13">
        <f t="shared" si="0"/>
        <v>122500</v>
      </c>
    </row>
    <row r="36" spans="1:8" x14ac:dyDescent="0.3">
      <c r="A36" s="90">
        <v>45650</v>
      </c>
      <c r="B36" t="s">
        <v>64</v>
      </c>
      <c r="C36" t="s">
        <v>1</v>
      </c>
      <c r="D36">
        <v>15</v>
      </c>
      <c r="E36" s="92">
        <f>LOOKUP(1,1/('[1]PURCHASE PRICE'!$B:$B=B36)/('[1]PURCHASE PRICE'!$A:$A=A36)/('[1]PURCHASE PRICE'!$C:$C=C36),'[1]PURCHASE PRICE'!$D:$D)</f>
        <v>50000</v>
      </c>
      <c r="F36" s="92">
        <f>LOOKUP(1,1/('[1]PURCHASE PRICE'!$B:$B=B36)/('[1]PURCHASE PRICE'!$A:$A=A36),'[1]PURCHASE PRICE'!$D:$D)</f>
        <v>50000</v>
      </c>
      <c r="G36" s="92">
        <f>F36</f>
        <v>50000</v>
      </c>
      <c r="H36" s="13">
        <f t="shared" si="0"/>
        <v>750000</v>
      </c>
    </row>
    <row r="37" spans="1:8" x14ac:dyDescent="0.3">
      <c r="A37" s="90">
        <v>45650</v>
      </c>
      <c r="B37" t="s">
        <v>47</v>
      </c>
      <c r="C37" t="s">
        <v>224</v>
      </c>
      <c r="D37">
        <v>150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35000</v>
      </c>
      <c r="G37" s="92">
        <f>F37*0.25</f>
        <v>8750</v>
      </c>
      <c r="H37" s="13">
        <f t="shared" si="0"/>
        <v>1312500</v>
      </c>
    </row>
    <row r="38" spans="1:8" x14ac:dyDescent="0.3">
      <c r="A38" s="90">
        <v>45650</v>
      </c>
      <c r="B38" t="s">
        <v>48</v>
      </c>
      <c r="C38" t="s">
        <v>1</v>
      </c>
      <c r="D38">
        <v>15</v>
      </c>
      <c r="E38" s="92">
        <f>LOOKUP(1,1/('[1]PURCHASE PRICE'!$B:$B=B38)/('[1]PURCHASE PRICE'!$A:$A=A38)/('[1]PURCHASE PRICE'!$C:$C=C38),'[1]PURCHASE PRICE'!$D:$D)</f>
        <v>49000</v>
      </c>
      <c r="F38" s="92">
        <f>LOOKUP(1,1/('[1]PURCHASE PRICE'!$B:$B=B38)/('[1]PURCHASE PRICE'!$A:$A=A38),'[1]PURCHASE PRICE'!$D:$D)</f>
        <v>49000</v>
      </c>
      <c r="G38" s="92">
        <f>F38</f>
        <v>49000</v>
      </c>
      <c r="H38" s="13">
        <f t="shared" si="0"/>
        <v>735000</v>
      </c>
    </row>
    <row r="39" spans="1:8" x14ac:dyDescent="0.3">
      <c r="A39" s="90">
        <v>45650</v>
      </c>
      <c r="B39" t="s">
        <v>50</v>
      </c>
      <c r="C39" t="s">
        <v>224</v>
      </c>
      <c r="D39">
        <v>200</v>
      </c>
      <c r="E39" s="92" t="e">
        <f>LOOKUP(1,1/('[1]PURCHASE PRICE'!$B:$B=B39)/('[1]PURCHASE PRICE'!$A:$A=A39)/('[1]PURCHASE PRICE'!$C:$C=C39),'[1]PURCHASE PRICE'!$D:$D)</f>
        <v>#N/A</v>
      </c>
      <c r="F39" s="92">
        <f>LOOKUP(1,1/('[1]PURCHASE PRICE'!$B:$B=B39)/('[1]PURCHASE PRICE'!$A:$A=A39),'[1]PURCHASE PRICE'!$D:$D)</f>
        <v>40000</v>
      </c>
      <c r="G39" s="92">
        <f t="shared" ref="G39:G40" si="3">F39*0.25</f>
        <v>10000</v>
      </c>
      <c r="H39" s="13">
        <f t="shared" si="0"/>
        <v>2000000</v>
      </c>
    </row>
    <row r="40" spans="1:8" x14ac:dyDescent="0.3">
      <c r="A40" s="90">
        <v>45650</v>
      </c>
      <c r="B40" t="s">
        <v>51</v>
      </c>
      <c r="C40" t="s">
        <v>224</v>
      </c>
      <c r="D40">
        <v>200</v>
      </c>
      <c r="E40" s="92" t="e">
        <f>LOOKUP(1,1/('[1]PURCHASE PRICE'!$B:$B=B40)/('[1]PURCHASE PRICE'!$A:$A=A40)/('[1]PURCHASE PRICE'!$C:$C=C40),'[1]PURCHASE PRICE'!$D:$D)</f>
        <v>#N/A</v>
      </c>
      <c r="F40" s="92">
        <f>LOOKUP(1,1/('[1]PURCHASE PRICE'!$B:$B=B40)/('[1]PURCHASE PRICE'!$A:$A=A40),'[1]PURCHASE PRICE'!$D:$D)</f>
        <v>30000</v>
      </c>
      <c r="G40" s="92">
        <f t="shared" si="3"/>
        <v>7500</v>
      </c>
      <c r="H40" s="13">
        <f t="shared" si="0"/>
        <v>1500000</v>
      </c>
    </row>
    <row r="41" spans="1:8" x14ac:dyDescent="0.3">
      <c r="A41" s="90">
        <v>45650</v>
      </c>
      <c r="B41" t="s">
        <v>52</v>
      </c>
      <c r="C41" t="s">
        <v>22</v>
      </c>
      <c r="D41">
        <v>100</v>
      </c>
      <c r="E41" s="92">
        <f>LOOKUP(1,1/('[1]PURCHASE PRICE'!$B:$B=B41)/('[1]PURCHASE PRICE'!$A:$A=A41)/('[1]PURCHASE PRICE'!$C:$C=C41),'[1]PURCHASE PRICE'!$D:$D)</f>
        <v>23000</v>
      </c>
      <c r="F41" s="92">
        <f>LOOKUP(1,1/('[1]PURCHASE PRICE'!$B:$B=B41)/('[1]PURCHASE PRICE'!$A:$A=A41),'[1]PURCHASE PRICE'!$D:$D)</f>
        <v>22000</v>
      </c>
      <c r="G41" s="92">
        <f>(F41+E41)/2</f>
        <v>22500</v>
      </c>
      <c r="H41" s="13">
        <f t="shared" si="0"/>
        <v>2250000</v>
      </c>
    </row>
    <row r="42" spans="1:8" x14ac:dyDescent="0.3">
      <c r="A42" s="90">
        <v>45650</v>
      </c>
      <c r="B42" t="s">
        <v>219</v>
      </c>
      <c r="C42" t="s">
        <v>16</v>
      </c>
      <c r="D42">
        <v>5</v>
      </c>
      <c r="E42" s="92">
        <f>LOOKUP(1,1/('[1]PURCHASE PRICE'!$B:$B=B42)/('[1]PURCHASE PRICE'!$A:$A=A42)/('[1]PURCHASE PRICE'!$C:$C=C42),'[1]PURCHASE PRICE'!$D:$D)</f>
        <v>35000</v>
      </c>
      <c r="F42" s="92">
        <f>LOOKUP(1,1/('[1]PURCHASE PRICE'!$B:$B=B42)/('[1]PURCHASE PRICE'!$A:$A=A42),'[1]PURCHASE PRICE'!$D:$D)</f>
        <v>35000</v>
      </c>
      <c r="G42" s="92">
        <f>F42</f>
        <v>35000</v>
      </c>
      <c r="H42" s="13">
        <f t="shared" si="0"/>
        <v>175000</v>
      </c>
    </row>
    <row r="43" spans="1:8" x14ac:dyDescent="0.3">
      <c r="A43" s="90">
        <v>45650</v>
      </c>
      <c r="B43" t="s">
        <v>54</v>
      </c>
      <c r="C43" t="s">
        <v>1</v>
      </c>
      <c r="D43">
        <v>80</v>
      </c>
      <c r="E43" s="92">
        <f>LOOKUP(1,1/('[1]PURCHASE PRICE'!$B:$B=B43)/('[1]PURCHASE PRICE'!$A:$A=A43)/('[1]PURCHASE PRICE'!$C:$C=C43),'[1]PURCHASE PRICE'!$D:$D)</f>
        <v>31000</v>
      </c>
      <c r="F43" s="92">
        <f>LOOKUP(1,1/('[1]PURCHASE PRICE'!$B:$B=B43)/('[1]PURCHASE PRICE'!$A:$A=A43),'[1]PURCHASE PRICE'!$D:$D)</f>
        <v>31000</v>
      </c>
      <c r="G43" s="92">
        <f t="shared" ref="G43:G51" si="4">F43</f>
        <v>31000</v>
      </c>
      <c r="H43" s="13">
        <f t="shared" si="0"/>
        <v>2480000</v>
      </c>
    </row>
    <row r="44" spans="1:8" x14ac:dyDescent="0.3">
      <c r="A44" s="90">
        <v>45650</v>
      </c>
      <c r="B44" t="s">
        <v>55</v>
      </c>
      <c r="C44" t="s">
        <v>25</v>
      </c>
      <c r="D44">
        <v>80</v>
      </c>
      <c r="E44" s="92">
        <f>LOOKUP(1,1/('[1]PURCHASE PRICE'!$B:$B=B44)/('[1]PURCHASE PRICE'!$A:$A=A44)/('[1]PURCHASE PRICE'!$C:$C=C44),'[1]PURCHASE PRICE'!$D:$D)</f>
        <v>6000</v>
      </c>
      <c r="F44" s="92">
        <f>LOOKUP(1,1/('[1]PURCHASE PRICE'!$B:$B=B44)/('[1]PURCHASE PRICE'!$A:$A=A44),'[1]PURCHASE PRICE'!$D:$D)</f>
        <v>6000</v>
      </c>
      <c r="G44" s="92">
        <f t="shared" si="4"/>
        <v>6000</v>
      </c>
      <c r="H44" s="13">
        <f t="shared" si="0"/>
        <v>480000</v>
      </c>
    </row>
    <row r="45" spans="1:8" x14ac:dyDescent="0.3">
      <c r="A45" s="90">
        <v>45650</v>
      </c>
      <c r="B45" t="s">
        <v>229</v>
      </c>
      <c r="C45" t="s">
        <v>1</v>
      </c>
      <c r="D45">
        <v>50</v>
      </c>
      <c r="E45" s="92">
        <f>LOOKUP(1,1/('[1]PURCHASE PRICE'!$B:$B=B45)/('[1]PURCHASE PRICE'!$A:$A=A45)/('[1]PURCHASE PRICE'!$C:$C=C45),'[1]PURCHASE PRICE'!$D:$D)</f>
        <v>26000</v>
      </c>
      <c r="F45" s="92">
        <f>LOOKUP(1,1/('[1]PURCHASE PRICE'!$B:$B=B45)/('[1]PURCHASE PRICE'!$A:$A=A45),'[1]PURCHASE PRICE'!$D:$D)</f>
        <v>26000</v>
      </c>
      <c r="G45" s="92">
        <f t="shared" si="4"/>
        <v>26000</v>
      </c>
      <c r="H45" s="13">
        <f t="shared" si="0"/>
        <v>1300000</v>
      </c>
    </row>
    <row r="46" spans="1:8" x14ac:dyDescent="0.3">
      <c r="A46" s="90">
        <v>45650</v>
      </c>
      <c r="B46" t="s">
        <v>60</v>
      </c>
      <c r="C46" t="s">
        <v>1</v>
      </c>
      <c r="D46">
        <v>7</v>
      </c>
      <c r="E46" s="92">
        <f>LOOKUP(1,1/('[1]PURCHASE PRICE'!$B:$B=B46)/('[1]PURCHASE PRICE'!$A:$A=A46)/('[1]PURCHASE PRICE'!$C:$C=C46),'[1]PURCHASE PRICE'!$D:$D)</f>
        <v>15000</v>
      </c>
      <c r="F46" s="92">
        <f>LOOKUP(1,1/('[1]PURCHASE PRICE'!$B:$B=B46)/('[1]PURCHASE PRICE'!$A:$A=A46),'[1]PURCHASE PRICE'!$D:$D)</f>
        <v>15000</v>
      </c>
      <c r="G46" s="92">
        <f t="shared" si="4"/>
        <v>15000</v>
      </c>
      <c r="H46" s="13">
        <f t="shared" si="0"/>
        <v>105000</v>
      </c>
    </row>
    <row r="47" spans="1:8" x14ac:dyDescent="0.3">
      <c r="A47" s="90">
        <v>45650</v>
      </c>
      <c r="B47" t="s">
        <v>61</v>
      </c>
      <c r="C47" t="s">
        <v>25</v>
      </c>
      <c r="D47">
        <v>20</v>
      </c>
      <c r="E47" s="92">
        <f>LOOKUP(1,1/('[1]PURCHASE PRICE'!$B:$B=B47)/('[1]PURCHASE PRICE'!$A:$A=A47)/('[1]PURCHASE PRICE'!$C:$C=C47),'[1]PURCHASE PRICE'!$D:$D)</f>
        <v>7500</v>
      </c>
      <c r="F47" s="92">
        <f>LOOKUP(1,1/('[1]PURCHASE PRICE'!$B:$B=B47)/('[1]PURCHASE PRICE'!$A:$A=A47),'[1]PURCHASE PRICE'!$D:$D)</f>
        <v>7500</v>
      </c>
      <c r="G47" s="92">
        <f t="shared" si="4"/>
        <v>7500</v>
      </c>
      <c r="H47" s="13">
        <f t="shared" si="0"/>
        <v>150000</v>
      </c>
    </row>
    <row r="48" spans="1:8" x14ac:dyDescent="0.3">
      <c r="A48" s="90">
        <v>45650</v>
      </c>
      <c r="B48" t="s">
        <v>47</v>
      </c>
      <c r="C48" t="s">
        <v>189</v>
      </c>
      <c r="D48">
        <v>20</v>
      </c>
      <c r="E48" s="92">
        <f>LOOKUP(1,1/('[1]PURCHASE PRICE'!$B:$B=B48)/('[1]PURCHASE PRICE'!$A:$A=A48)/('[1]PURCHASE PRICE'!$C:$C=C48),'[1]PURCHASE PRICE'!$D:$D)</f>
        <v>35000</v>
      </c>
      <c r="F48" s="92">
        <f>LOOKUP(1,1/('[1]PURCHASE PRICE'!$B:$B=B48)/('[1]PURCHASE PRICE'!$A:$A=A48),'[1]PURCHASE PRICE'!$D:$D)</f>
        <v>35000</v>
      </c>
      <c r="G48" s="92">
        <f t="shared" si="4"/>
        <v>35000</v>
      </c>
      <c r="H48" s="13">
        <f t="shared" si="0"/>
        <v>700000</v>
      </c>
    </row>
    <row r="49" spans="1:8" x14ac:dyDescent="0.3">
      <c r="A49" s="90">
        <v>45650</v>
      </c>
      <c r="B49" t="s">
        <v>50</v>
      </c>
      <c r="C49" t="s">
        <v>189</v>
      </c>
      <c r="D49">
        <v>20</v>
      </c>
      <c r="E49" s="92">
        <f>LOOKUP(1,1/('[1]PURCHASE PRICE'!$B:$B=B49)/('[1]PURCHASE PRICE'!$A:$A=A49)/('[1]PURCHASE PRICE'!$C:$C=C49),'[1]PURCHASE PRICE'!$D:$D)</f>
        <v>40000</v>
      </c>
      <c r="F49" s="92">
        <f>LOOKUP(1,1/('[1]PURCHASE PRICE'!$B:$B=B49)/('[1]PURCHASE PRICE'!$A:$A=A49),'[1]PURCHASE PRICE'!$D:$D)</f>
        <v>40000</v>
      </c>
      <c r="G49" s="92">
        <f t="shared" si="4"/>
        <v>40000</v>
      </c>
      <c r="H49" s="13">
        <f t="shared" si="0"/>
        <v>800000</v>
      </c>
    </row>
    <row r="50" spans="1:8" x14ac:dyDescent="0.3">
      <c r="A50" s="90">
        <v>45650</v>
      </c>
      <c r="B50" t="s">
        <v>51</v>
      </c>
      <c r="C50" t="s">
        <v>189</v>
      </c>
      <c r="D50">
        <v>40</v>
      </c>
      <c r="E50" s="92">
        <f>LOOKUP(1,1/('[1]PURCHASE PRICE'!$B:$B=B50)/('[1]PURCHASE PRICE'!$A:$A=A50)/('[1]PURCHASE PRICE'!$C:$C=C50),'[1]PURCHASE PRICE'!$D:$D)</f>
        <v>30000</v>
      </c>
      <c r="F50" s="92">
        <f>LOOKUP(1,1/('[1]PURCHASE PRICE'!$B:$B=B50)/('[1]PURCHASE PRICE'!$A:$A=A50),'[1]PURCHASE PRICE'!$D:$D)</f>
        <v>30000</v>
      </c>
      <c r="G50" s="92">
        <f t="shared" si="4"/>
        <v>30000</v>
      </c>
      <c r="H50" s="13">
        <f t="shared" si="0"/>
        <v>1200000</v>
      </c>
    </row>
    <row r="51" spans="1:8" x14ac:dyDescent="0.3">
      <c r="A51" s="90">
        <v>45650</v>
      </c>
      <c r="B51" t="s">
        <v>226</v>
      </c>
      <c r="C51" t="s">
        <v>189</v>
      </c>
      <c r="D51">
        <v>20</v>
      </c>
      <c r="E51" s="92">
        <f>LOOKUP(1,1/('[1]PURCHASE PRICE'!$B:$B=B51)/('[1]PURCHASE PRICE'!$A:$A=A51)/('[1]PURCHASE PRICE'!$C:$C=C51),'[1]PURCHASE PRICE'!$D:$D)</f>
        <v>20000</v>
      </c>
      <c r="F51" s="92">
        <f>LOOKUP(1,1/('[1]PURCHASE PRICE'!$B:$B=B51)/('[1]PURCHASE PRICE'!$A:$A=A51),'[1]PURCHASE PRICE'!$D:$D)</f>
        <v>20000</v>
      </c>
      <c r="G51" s="92">
        <f t="shared" si="4"/>
        <v>20000</v>
      </c>
      <c r="H51" s="13">
        <f t="shared" si="0"/>
        <v>400000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48"/>
  <sheetViews>
    <sheetView workbookViewId="0">
      <selection activeCell="H2" sqref="H2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8" max="8" width="14.88671875" bestFit="1" customWidth="1"/>
  </cols>
  <sheetData>
    <row r="2" spans="1:8" x14ac:dyDescent="0.3">
      <c r="B2" t="s">
        <v>221</v>
      </c>
      <c r="D2" s="90">
        <v>45649</v>
      </c>
      <c r="H2" s="91">
        <f>SUM(H4:H48)</f>
        <v>60332700</v>
      </c>
    </row>
    <row r="3" spans="1:8" x14ac:dyDescent="0.3">
      <c r="A3" s="30" t="s">
        <v>83</v>
      </c>
      <c r="B3" s="30" t="s">
        <v>80</v>
      </c>
      <c r="C3" s="31" t="s">
        <v>81</v>
      </c>
      <c r="D3" s="30" t="s">
        <v>82</v>
      </c>
      <c r="E3" s="32" t="s">
        <v>143</v>
      </c>
      <c r="F3" s="32" t="s">
        <v>144</v>
      </c>
      <c r="G3" s="32" t="s">
        <v>85</v>
      </c>
      <c r="H3" s="32" t="s">
        <v>86</v>
      </c>
    </row>
    <row r="4" spans="1:8" x14ac:dyDescent="0.3">
      <c r="A4" s="90">
        <v>45649</v>
      </c>
      <c r="B4" t="s">
        <v>0</v>
      </c>
      <c r="C4" t="s">
        <v>1</v>
      </c>
      <c r="D4">
        <v>20</v>
      </c>
      <c r="E4" s="92">
        <f>LOOKUP(1,1/('[1]PURCHASE PRICE'!$B:$B=B4)/('[1]PURCHASE PRICE'!$A:$A=A4)/('[1]PURCHASE PRICE'!$C:$C=C4),'[1]PURCHASE PRICE'!$D:$D)</f>
        <v>24000</v>
      </c>
      <c r="F4" s="92">
        <f>LOOKUP(1,1/('[1]PURCHASE PRICE'!$B:$B=B4)/('[1]PURCHASE PRICE'!$A:$A=A4),'[1]PURCHASE PRICE'!$D:$D)</f>
        <v>24000</v>
      </c>
      <c r="G4" s="92">
        <f>F4</f>
        <v>24000</v>
      </c>
      <c r="H4" s="13">
        <f>G4*D4</f>
        <v>480000</v>
      </c>
    </row>
    <row r="5" spans="1:8" x14ac:dyDescent="0.3">
      <c r="A5" s="90">
        <v>45649</v>
      </c>
      <c r="B5" t="s">
        <v>3</v>
      </c>
      <c r="C5" t="s">
        <v>1</v>
      </c>
      <c r="D5">
        <v>50</v>
      </c>
      <c r="E5" s="92">
        <f>LOOKUP(1,1/('[1]PURCHASE PRICE'!$B:$B=B5)/('[1]PURCHASE PRICE'!$A:$A=A5)/('[1]PURCHASE PRICE'!$C:$C=C5),'[1]PURCHASE PRICE'!$D:$D)</f>
        <v>22000</v>
      </c>
      <c r="F5" s="92">
        <f>LOOKUP(1,1/('[1]PURCHASE PRICE'!$B:$B=B5)/('[1]PURCHASE PRICE'!$A:$A=A5),'[1]PURCHASE PRICE'!$D:$D)</f>
        <v>22000</v>
      </c>
      <c r="G5" s="92">
        <f>F5</f>
        <v>22000</v>
      </c>
      <c r="H5" s="13">
        <f t="shared" ref="H5:H48" si="0">G5*D5</f>
        <v>1100000</v>
      </c>
    </row>
    <row r="6" spans="1:8" x14ac:dyDescent="0.3">
      <c r="A6" s="90">
        <v>45649</v>
      </c>
      <c r="B6" t="s">
        <v>3</v>
      </c>
      <c r="C6" t="s">
        <v>7</v>
      </c>
      <c r="D6">
        <v>200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22000</v>
      </c>
      <c r="G6" s="92">
        <f>F6*0.3</f>
        <v>6600</v>
      </c>
      <c r="H6" s="13">
        <f t="shared" si="0"/>
        <v>1320000</v>
      </c>
    </row>
    <row r="7" spans="1:8" x14ac:dyDescent="0.3">
      <c r="A7" s="90">
        <v>45649</v>
      </c>
      <c r="B7" t="s">
        <v>5</v>
      </c>
      <c r="C7" t="s">
        <v>189</v>
      </c>
      <c r="D7">
        <v>100</v>
      </c>
      <c r="E7" s="92">
        <f>LOOKUP(1,1/('[1]PURCHASE PRICE'!$B:$B=B7)/('[1]PURCHASE PRICE'!$A:$A=A7)/('[1]PURCHASE PRICE'!$C:$C=C7),'[1]PURCHASE PRICE'!$D:$D)</f>
        <v>10000</v>
      </c>
      <c r="F7" s="92">
        <f>LOOKUP(1,1/('[1]PURCHASE PRICE'!$B:$B=B7)/('[1]PURCHASE PRICE'!$A:$A=A7),'[1]PURCHASE PRICE'!$D:$D)</f>
        <v>10000</v>
      </c>
      <c r="G7" s="92">
        <f>F7</f>
        <v>10000</v>
      </c>
      <c r="H7" s="13">
        <f t="shared" si="0"/>
        <v>1000000</v>
      </c>
    </row>
    <row r="8" spans="1:8" x14ac:dyDescent="0.3">
      <c r="A8" s="90">
        <v>45649</v>
      </c>
      <c r="B8" t="s">
        <v>9</v>
      </c>
      <c r="C8" t="s">
        <v>1</v>
      </c>
      <c r="D8">
        <v>150</v>
      </c>
      <c r="E8" s="92">
        <f>LOOKUP(1,1/('[1]PURCHASE PRICE'!$B:$B=B8)/('[1]PURCHASE PRICE'!$A:$A=A8)/('[1]PURCHASE PRICE'!$C:$C=C8),'[1]PURCHASE PRICE'!$D:$D)</f>
        <v>18000</v>
      </c>
      <c r="F8" s="92">
        <f>LOOKUP(1,1/('[1]PURCHASE PRICE'!$B:$B=B8)/('[1]PURCHASE PRICE'!$A:$A=A8),'[1]PURCHASE PRICE'!$D:$D)</f>
        <v>18000</v>
      </c>
      <c r="G8" s="92">
        <f t="shared" ref="G8:G12" si="1">F8</f>
        <v>18000</v>
      </c>
      <c r="H8" s="13">
        <f t="shared" si="0"/>
        <v>2700000</v>
      </c>
    </row>
    <row r="9" spans="1:8" x14ac:dyDescent="0.3">
      <c r="A9" s="90">
        <v>45649</v>
      </c>
      <c r="B9" t="s">
        <v>10</v>
      </c>
      <c r="C9" t="s">
        <v>1</v>
      </c>
      <c r="D9">
        <v>67</v>
      </c>
      <c r="E9" s="92">
        <f>LOOKUP(1,1/('[1]PURCHASE PRICE'!$B:$B=B9)/('[1]PURCHASE PRICE'!$A:$A=A9)/('[1]PURCHASE PRICE'!$C:$C=C9),'[1]PURCHASE PRICE'!$D:$D)</f>
        <v>18000</v>
      </c>
      <c r="F9" s="92">
        <f>LOOKUP(1,1/('[1]PURCHASE PRICE'!$B:$B=B9)/('[1]PURCHASE PRICE'!$A:$A=A9),'[1]PURCHASE PRICE'!$D:$D)</f>
        <v>8500</v>
      </c>
      <c r="G9" s="92">
        <f t="shared" si="1"/>
        <v>8500</v>
      </c>
      <c r="H9" s="13">
        <f t="shared" si="0"/>
        <v>569500</v>
      </c>
    </row>
    <row r="10" spans="1:8" x14ac:dyDescent="0.3">
      <c r="A10" s="90">
        <v>45649</v>
      </c>
      <c r="B10" t="s">
        <v>10</v>
      </c>
      <c r="C10" t="s">
        <v>12</v>
      </c>
      <c r="D10">
        <v>100</v>
      </c>
      <c r="E10" s="92">
        <f>LOOKUP(1,1/('[1]PURCHASE PRICE'!$B:$B=B10)/('[1]PURCHASE PRICE'!$A:$A=A10)/('[1]PURCHASE PRICE'!$C:$C=C10),'[1]PURCHASE PRICE'!$D:$D)</f>
        <v>8500</v>
      </c>
      <c r="F10" s="92">
        <f>LOOKUP(1,1/('[1]PURCHASE PRICE'!$B:$B=B10)/('[1]PURCHASE PRICE'!$A:$A=A10),'[1]PURCHASE PRICE'!$D:$D)</f>
        <v>8500</v>
      </c>
      <c r="G10" s="92">
        <f t="shared" si="1"/>
        <v>8500</v>
      </c>
      <c r="H10" s="13">
        <f t="shared" si="0"/>
        <v>850000</v>
      </c>
    </row>
    <row r="11" spans="1:8" x14ac:dyDescent="0.3">
      <c r="A11" s="90">
        <v>45649</v>
      </c>
      <c r="B11" t="s">
        <v>13</v>
      </c>
      <c r="C11" t="s">
        <v>14</v>
      </c>
      <c r="D11">
        <v>200</v>
      </c>
      <c r="E11" s="92">
        <f>LOOKUP(1,1/('[1]PURCHASE PRICE'!$B:$B=B11)/('[1]PURCHASE PRICE'!$A:$A=A11)/('[1]PURCHASE PRICE'!$C:$C=C11),'[1]PURCHASE PRICE'!$D:$D)</f>
        <v>8400</v>
      </c>
      <c r="F11" s="92">
        <f>LOOKUP(1,1/('[1]PURCHASE PRICE'!$B:$B=B11)/('[1]PURCHASE PRICE'!$A:$A=A11),'[1]PURCHASE PRICE'!$D:$D)</f>
        <v>8400</v>
      </c>
      <c r="G11" s="92">
        <f t="shared" si="1"/>
        <v>8400</v>
      </c>
      <c r="H11" s="13">
        <f t="shared" si="0"/>
        <v>1680000</v>
      </c>
    </row>
    <row r="12" spans="1:8" x14ac:dyDescent="0.3">
      <c r="A12" s="90">
        <v>45649</v>
      </c>
      <c r="B12" t="s">
        <v>15</v>
      </c>
      <c r="C12" t="s">
        <v>16</v>
      </c>
      <c r="D12">
        <v>30</v>
      </c>
      <c r="E12" s="92">
        <f>LOOKUP(1,1/('[1]PURCHASE PRICE'!$B:$B=B12)/('[1]PURCHASE PRICE'!$A:$A=A12)/('[1]PURCHASE PRICE'!$C:$C=C12),'[1]PURCHASE PRICE'!$D:$D)</f>
        <v>14400</v>
      </c>
      <c r="F12" s="92">
        <f>LOOKUP(1,1/('[1]PURCHASE PRICE'!$B:$B=B12)/('[1]PURCHASE PRICE'!$A:$A=A12),'[1]PURCHASE PRICE'!$D:$D)</f>
        <v>14400</v>
      </c>
      <c r="G12" s="92">
        <f t="shared" si="1"/>
        <v>14400</v>
      </c>
      <c r="H12" s="13">
        <f t="shared" si="0"/>
        <v>432000</v>
      </c>
    </row>
    <row r="13" spans="1:8" x14ac:dyDescent="0.3">
      <c r="A13" s="90">
        <v>45649</v>
      </c>
      <c r="B13" t="s">
        <v>17</v>
      </c>
      <c r="C13" t="s">
        <v>227</v>
      </c>
      <c r="D13">
        <v>150</v>
      </c>
      <c r="E13" s="92" t="e">
        <f>LOOKUP(1,1/('[1]PURCHASE PRICE'!$B:$B=B13)/('[1]PURCHASE PRICE'!$A:$A=A13)/('[1]PURCHASE PRICE'!$C:$C=C13),'[1]PURCHASE PRICE'!$D:$D)</f>
        <v>#N/A</v>
      </c>
      <c r="F13" s="92">
        <f>LOOKUP(1,1/('[1]PURCHASE PRICE'!$B:$B=B13)/('[1]PURCHASE PRICE'!$A:$A=A13),'[1]PURCHASE PRICE'!$D:$D)</f>
        <v>34000</v>
      </c>
      <c r="G13" s="92">
        <f>F13*0.25</f>
        <v>8500</v>
      </c>
      <c r="H13" s="13">
        <f t="shared" si="0"/>
        <v>1275000</v>
      </c>
    </row>
    <row r="14" spans="1:8" x14ac:dyDescent="0.3">
      <c r="A14" s="90">
        <v>45649</v>
      </c>
      <c r="B14" t="s">
        <v>18</v>
      </c>
      <c r="C14" t="s">
        <v>1</v>
      </c>
      <c r="D14">
        <v>60</v>
      </c>
      <c r="E14" s="92">
        <f>LOOKUP(1,1/('[1]PURCHASE PRICE'!$B:$B=B14)/('[1]PURCHASE PRICE'!$A:$A=A14)/('[1]PURCHASE PRICE'!$C:$C=C14),'[1]PURCHASE PRICE'!$D:$D)</f>
        <v>14000</v>
      </c>
      <c r="F14" s="92">
        <f>LOOKUP(1,1/('[1]PURCHASE PRICE'!$B:$B=B14)/('[1]PURCHASE PRICE'!$A:$A=A14),'[1]PURCHASE PRICE'!$D:$D)</f>
        <v>14000</v>
      </c>
      <c r="G14" s="92">
        <f>F14</f>
        <v>14000</v>
      </c>
      <c r="H14" s="13">
        <f t="shared" si="0"/>
        <v>840000</v>
      </c>
    </row>
    <row r="15" spans="1:8" x14ac:dyDescent="0.3">
      <c r="A15" s="90">
        <v>45649</v>
      </c>
      <c r="B15" t="s">
        <v>19</v>
      </c>
      <c r="C15" t="s">
        <v>1</v>
      </c>
      <c r="D15">
        <v>25</v>
      </c>
      <c r="E15" s="92">
        <f>LOOKUP(1,1/('[1]PURCHASE PRICE'!$B:$B=B15)/('[1]PURCHASE PRICE'!$A:$A=A15)/('[1]PURCHASE PRICE'!$C:$C=C15),'[1]PURCHASE PRICE'!$D:$D)</f>
        <v>14000</v>
      </c>
      <c r="F15" s="92">
        <f>LOOKUP(1,1/('[1]PURCHASE PRICE'!$B:$B=B15)/('[1]PURCHASE PRICE'!$A:$A=A15),'[1]PURCHASE PRICE'!$D:$D)</f>
        <v>14000</v>
      </c>
      <c r="G15" s="92">
        <f t="shared" ref="G15:G17" si="2">F15</f>
        <v>14000</v>
      </c>
      <c r="H15" s="13">
        <f t="shared" si="0"/>
        <v>350000</v>
      </c>
    </row>
    <row r="16" spans="1:8" x14ac:dyDescent="0.3">
      <c r="A16" s="90">
        <v>45649</v>
      </c>
      <c r="B16" t="s">
        <v>20</v>
      </c>
      <c r="C16" t="s">
        <v>11</v>
      </c>
      <c r="D16">
        <v>80</v>
      </c>
      <c r="E16" s="92">
        <f>LOOKUP(1,1/('[1]PURCHASE PRICE'!$B:$B=B16)/('[1]PURCHASE PRICE'!$A:$A=A16)/('[1]PURCHASE PRICE'!$C:$C=C16),'[1]PURCHASE PRICE'!$D:$D)</f>
        <v>12000</v>
      </c>
      <c r="F16" s="92">
        <f>LOOKUP(1,1/('[1]PURCHASE PRICE'!$B:$B=B16)/('[1]PURCHASE PRICE'!$A:$A=A16),'[1]PURCHASE PRICE'!$D:$D)</f>
        <v>12000</v>
      </c>
      <c r="G16" s="92">
        <f t="shared" si="2"/>
        <v>12000</v>
      </c>
      <c r="H16" s="13">
        <f t="shared" si="0"/>
        <v>960000</v>
      </c>
    </row>
    <row r="17" spans="1:8" x14ac:dyDescent="0.3">
      <c r="A17" s="90">
        <v>45649</v>
      </c>
      <c r="B17" t="s">
        <v>63</v>
      </c>
      <c r="C17" t="s">
        <v>1</v>
      </c>
      <c r="D17">
        <v>80</v>
      </c>
      <c r="E17" s="92">
        <f>LOOKUP(1,1/('[1]PURCHASE PRICE'!$B:$B=B17)/('[1]PURCHASE PRICE'!$A:$A=A17)/('[1]PURCHASE PRICE'!$C:$C=C17),'[1]PURCHASE PRICE'!$D:$D)</f>
        <v>35000</v>
      </c>
      <c r="F17" s="92">
        <f>LOOKUP(1,1/('[1]PURCHASE PRICE'!$B:$B=B17)/('[1]PURCHASE PRICE'!$A:$A=A17),'[1]PURCHASE PRICE'!$D:$D)</f>
        <v>35000</v>
      </c>
      <c r="G17" s="92">
        <f t="shared" si="2"/>
        <v>35000</v>
      </c>
      <c r="H17" s="13">
        <f t="shared" si="0"/>
        <v>2800000</v>
      </c>
    </row>
    <row r="18" spans="1:8" x14ac:dyDescent="0.3">
      <c r="A18" s="90">
        <v>45649</v>
      </c>
      <c r="B18" t="s">
        <v>21</v>
      </c>
      <c r="C18" t="s">
        <v>22</v>
      </c>
      <c r="D18">
        <v>100</v>
      </c>
      <c r="E18" s="92">
        <f>LOOKUP(1,1/('[1]PURCHASE PRICE'!$B:$B=B18)/('[1]PURCHASE PRICE'!$A:$A=A18)/('[1]PURCHASE PRICE'!$C:$C=C18),'[1]PURCHASE PRICE'!$D:$D)</f>
        <v>4500</v>
      </c>
      <c r="F18" s="92">
        <f>LOOKUP(1,1/('[1]PURCHASE PRICE'!$B:$B=B18)/('[1]PURCHASE PRICE'!$A:$A=A18),'[1]PURCHASE PRICE'!$D:$D)</f>
        <v>4500</v>
      </c>
      <c r="G18" s="92">
        <v>4200</v>
      </c>
      <c r="H18" s="13">
        <f t="shared" si="0"/>
        <v>420000</v>
      </c>
    </row>
    <row r="19" spans="1:8" x14ac:dyDescent="0.3">
      <c r="A19" s="90">
        <v>45649</v>
      </c>
      <c r="B19" t="s">
        <v>21</v>
      </c>
      <c r="C19" t="s">
        <v>22</v>
      </c>
      <c r="D19">
        <v>200</v>
      </c>
      <c r="E19" s="92">
        <f>LOOKUP(1,1/('[1]PURCHASE PRICE'!$B:$B=B19)/('[1]PURCHASE PRICE'!$A:$A=A19)/('[1]PURCHASE PRICE'!$C:$C=C19),'[1]PURCHASE PRICE'!$D:$D)</f>
        <v>4500</v>
      </c>
      <c r="F19" s="92">
        <f>LOOKUP(1,1/('[1]PURCHASE PRICE'!$B:$B=B19)/('[1]PURCHASE PRICE'!$A:$A=A19),'[1]PURCHASE PRICE'!$D:$D)</f>
        <v>4500</v>
      </c>
      <c r="G19" s="92">
        <v>4500</v>
      </c>
      <c r="H19" s="13">
        <f t="shared" si="0"/>
        <v>900000</v>
      </c>
    </row>
    <row r="20" spans="1:8" x14ac:dyDescent="0.3">
      <c r="A20" s="90">
        <v>45649</v>
      </c>
      <c r="B20" t="s">
        <v>21</v>
      </c>
      <c r="C20" t="s">
        <v>23</v>
      </c>
      <c r="D20">
        <v>20</v>
      </c>
      <c r="E20" s="92">
        <f>LOOKUP(1,1/('[1]PURCHASE PRICE'!$B:$B=B20)/('[1]PURCHASE PRICE'!$A:$A=A20)/('[1]PURCHASE PRICE'!$C:$C=C20),'[1]PURCHASE PRICE'!$D:$D)</f>
        <v>2100</v>
      </c>
      <c r="F20" s="92">
        <f>LOOKUP(1,1/('[1]PURCHASE PRICE'!$B:$B=B20)/('[1]PURCHASE PRICE'!$A:$A=A20),'[1]PURCHASE PRICE'!$D:$D)</f>
        <v>4500</v>
      </c>
      <c r="G20" s="92">
        <v>2100</v>
      </c>
      <c r="H20" s="13">
        <f t="shared" si="0"/>
        <v>42000</v>
      </c>
    </row>
    <row r="21" spans="1:8" x14ac:dyDescent="0.3">
      <c r="A21" s="90">
        <v>45649</v>
      </c>
      <c r="B21" t="s">
        <v>24</v>
      </c>
      <c r="C21" t="s">
        <v>1</v>
      </c>
      <c r="D21">
        <v>90</v>
      </c>
      <c r="E21" s="92">
        <f>LOOKUP(1,1/('[1]PURCHASE PRICE'!$B:$B=B21)/('[1]PURCHASE PRICE'!$A:$A=A21)/('[1]PURCHASE PRICE'!$C:$C=C21),'[1]PURCHASE PRICE'!$D:$D)</f>
        <v>12000</v>
      </c>
      <c r="F21" s="92">
        <f>LOOKUP(1,1/('[1]PURCHASE PRICE'!$B:$B=B21)/('[1]PURCHASE PRICE'!$A:$A=A21),'[1]PURCHASE PRICE'!$D:$D)</f>
        <v>12000</v>
      </c>
      <c r="G21" s="92">
        <f>F21</f>
        <v>12000</v>
      </c>
      <c r="H21" s="13">
        <f t="shared" si="0"/>
        <v>1080000</v>
      </c>
    </row>
    <row r="22" spans="1:8" x14ac:dyDescent="0.3">
      <c r="A22" s="90">
        <v>45649</v>
      </c>
      <c r="B22" t="s">
        <v>24</v>
      </c>
      <c r="C22" t="s">
        <v>25</v>
      </c>
      <c r="D22">
        <v>230</v>
      </c>
      <c r="E22" s="92" t="e">
        <f>LOOKUP(1,1/('[1]PURCHASE PRICE'!$B:$B=B22)/('[1]PURCHASE PRICE'!$A:$A=A22)/('[1]PURCHASE PRICE'!$C:$C=C22),'[1]PURCHASE PRICE'!$D:$D)</f>
        <v>#N/A</v>
      </c>
      <c r="F22" s="92">
        <f>LOOKUP(1,1/('[1]PURCHASE PRICE'!$B:$B=B22)/('[1]PURCHASE PRICE'!$A:$A=A22),'[1]PURCHASE PRICE'!$D:$D)</f>
        <v>12000</v>
      </c>
      <c r="G22" s="92">
        <f>F22/2</f>
        <v>6000</v>
      </c>
      <c r="H22" s="13">
        <f t="shared" si="0"/>
        <v>1380000</v>
      </c>
    </row>
    <row r="23" spans="1:8" x14ac:dyDescent="0.3">
      <c r="A23" s="90">
        <v>45649</v>
      </c>
      <c r="B23" t="s">
        <v>27</v>
      </c>
      <c r="C23" t="s">
        <v>16</v>
      </c>
      <c r="D23">
        <v>34</v>
      </c>
      <c r="E23" s="92">
        <f>LOOKUP(1,1/('[1]PURCHASE PRICE'!$B:$B=B23)/('[1]PURCHASE PRICE'!$A:$A=A23)/('[1]PURCHASE PRICE'!$C:$C=C23),'[1]PURCHASE PRICE'!$D:$D)</f>
        <v>9000</v>
      </c>
      <c r="F23" s="92">
        <f>LOOKUP(1,1/('[1]PURCHASE PRICE'!$B:$B=B23)/('[1]PURCHASE PRICE'!$A:$A=A23),'[1]PURCHASE PRICE'!$D:$D)</f>
        <v>9000</v>
      </c>
      <c r="G23" s="92">
        <f>F23</f>
        <v>9000</v>
      </c>
      <c r="H23" s="13">
        <f t="shared" si="0"/>
        <v>306000</v>
      </c>
    </row>
    <row r="24" spans="1:8" x14ac:dyDescent="0.3">
      <c r="A24" s="90">
        <v>45649</v>
      </c>
      <c r="B24" t="s">
        <v>30</v>
      </c>
      <c r="C24" t="s">
        <v>1</v>
      </c>
      <c r="D24">
        <v>200</v>
      </c>
      <c r="E24" s="92">
        <f>LOOKUP(1,1/('[1]PURCHASE PRICE'!$B:$B=B24)/('[1]PURCHASE PRICE'!$A:$A=A24)/('[1]PURCHASE PRICE'!$C:$C=C24),'[1]PURCHASE PRICE'!$D:$D)</f>
        <v>31000</v>
      </c>
      <c r="F24" s="92">
        <f>LOOKUP(1,1/('[1]PURCHASE PRICE'!$B:$B=B24)/('[1]PURCHASE PRICE'!$A:$A=A24),'[1]PURCHASE PRICE'!$D:$D)</f>
        <v>31000</v>
      </c>
      <c r="G24" s="92">
        <f>F24</f>
        <v>31000</v>
      </c>
      <c r="H24" s="13">
        <f t="shared" si="0"/>
        <v>6200000</v>
      </c>
    </row>
    <row r="25" spans="1:8" x14ac:dyDescent="0.3">
      <c r="A25" s="90">
        <v>45649</v>
      </c>
      <c r="B25" t="s">
        <v>32</v>
      </c>
      <c r="C25" t="s">
        <v>1</v>
      </c>
      <c r="D25">
        <v>20</v>
      </c>
      <c r="E25" s="92" t="e">
        <f>LOOKUP(1,1/('[1]PURCHASE PRICE'!$B:$B=B25)/('[1]PURCHASE PRICE'!$A:$A=A25)/('[1]PURCHASE PRICE'!$C:$C=C25),'[1]PURCHASE PRICE'!$D:$D)</f>
        <v>#N/A</v>
      </c>
      <c r="F25" s="92" t="e">
        <f>LOOKUP(1,1/('[1]PURCHASE PRICE'!$B:$B=B25)/('[1]PURCHASE PRICE'!$A:$A=A25),'[1]PURCHASE PRICE'!$D:$D)</f>
        <v>#N/A</v>
      </c>
      <c r="G25" s="92">
        <v>25000</v>
      </c>
      <c r="H25" s="13">
        <f t="shared" si="0"/>
        <v>500000</v>
      </c>
    </row>
    <row r="26" spans="1:8" x14ac:dyDescent="0.3">
      <c r="A26" s="90">
        <v>45649</v>
      </c>
      <c r="B26" t="s">
        <v>139</v>
      </c>
      <c r="C26" t="s">
        <v>1</v>
      </c>
      <c r="D26">
        <v>20</v>
      </c>
      <c r="E26" s="92">
        <f>LOOKUP(1,1/('[1]PURCHASE PRICE'!$B:$B=B26)/('[1]PURCHASE PRICE'!$A:$A=A26)/('[1]PURCHASE PRICE'!$C:$C=C26),'[1]PURCHASE PRICE'!$D:$D)</f>
        <v>18000</v>
      </c>
      <c r="F26" s="92">
        <f>LOOKUP(1,1/('[1]PURCHASE PRICE'!$B:$B=B26)/('[1]PURCHASE PRICE'!$A:$A=A26),'[1]PURCHASE PRICE'!$D:$D)</f>
        <v>18000</v>
      </c>
      <c r="G26" s="92">
        <f>F26</f>
        <v>18000</v>
      </c>
      <c r="H26" s="13">
        <f t="shared" si="0"/>
        <v>360000</v>
      </c>
    </row>
    <row r="27" spans="1:8" x14ac:dyDescent="0.3">
      <c r="A27" s="90">
        <v>45649</v>
      </c>
      <c r="B27" t="s">
        <v>33</v>
      </c>
      <c r="C27" t="s">
        <v>22</v>
      </c>
      <c r="D27">
        <v>60</v>
      </c>
      <c r="E27" s="92">
        <f>LOOKUP(1,1/('[1]PURCHASE PRICE'!$B:$B=B27)/('[1]PURCHASE PRICE'!$A:$A=A27)/('[1]PURCHASE PRICE'!$C:$C=C27),'[1]PURCHASE PRICE'!$D:$D)</f>
        <v>12000</v>
      </c>
      <c r="F27" s="92">
        <f>LOOKUP(1,1/('[1]PURCHASE PRICE'!$B:$B=B27)/('[1]PURCHASE PRICE'!$A:$A=A27),'[1]PURCHASE PRICE'!$D:$D)</f>
        <v>12000</v>
      </c>
      <c r="G27" s="92">
        <f t="shared" ref="G27:G31" si="3">F27</f>
        <v>12000</v>
      </c>
      <c r="H27" s="13">
        <f t="shared" si="0"/>
        <v>720000</v>
      </c>
    </row>
    <row r="28" spans="1:8" x14ac:dyDescent="0.3">
      <c r="A28" s="90">
        <v>45649</v>
      </c>
      <c r="B28" t="s">
        <v>34</v>
      </c>
      <c r="C28" t="s">
        <v>36</v>
      </c>
      <c r="D28">
        <v>30</v>
      </c>
      <c r="E28" s="92">
        <f>LOOKUP(1,1/('[1]PURCHASE PRICE'!$B:$B=B28)/('[1]PURCHASE PRICE'!$A:$A=A28)/('[1]PURCHASE PRICE'!$C:$C=C28),'[1]PURCHASE PRICE'!$D:$D)</f>
        <v>10000</v>
      </c>
      <c r="F28" s="92">
        <f>LOOKUP(1,1/('[1]PURCHASE PRICE'!$B:$B=B28)/('[1]PURCHASE PRICE'!$A:$A=A28),'[1]PURCHASE PRICE'!$D:$D)</f>
        <v>10000</v>
      </c>
      <c r="G28" s="92">
        <f t="shared" si="3"/>
        <v>10000</v>
      </c>
      <c r="H28" s="13">
        <f t="shared" si="0"/>
        <v>300000</v>
      </c>
    </row>
    <row r="29" spans="1:8" x14ac:dyDescent="0.3">
      <c r="A29" s="90">
        <v>45649</v>
      </c>
      <c r="B29" t="s">
        <v>37</v>
      </c>
      <c r="C29" t="s">
        <v>11</v>
      </c>
      <c r="D29">
        <v>878</v>
      </c>
      <c r="E29" s="92">
        <f>LOOKUP(1,1/('[1]PURCHASE PRICE'!$B:$B=B29)/('[1]PURCHASE PRICE'!$A:$A=A29)/('[1]PURCHASE PRICE'!$C:$C=C29),'[1]PURCHASE PRICE'!$D:$D)</f>
        <v>12000</v>
      </c>
      <c r="F29" s="92">
        <f>LOOKUP(1,1/('[1]PURCHASE PRICE'!$B:$B=B29)/('[1]PURCHASE PRICE'!$A:$A=A29),'[1]PURCHASE PRICE'!$D:$D)</f>
        <v>12000</v>
      </c>
      <c r="G29" s="92">
        <f t="shared" si="3"/>
        <v>12000</v>
      </c>
      <c r="H29" s="13">
        <f t="shared" si="0"/>
        <v>10536000</v>
      </c>
    </row>
    <row r="30" spans="1:8" x14ac:dyDescent="0.3">
      <c r="A30" s="90">
        <v>45649</v>
      </c>
      <c r="B30" t="s">
        <v>38</v>
      </c>
      <c r="C30" t="s">
        <v>22</v>
      </c>
      <c r="D30">
        <v>20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17000</v>
      </c>
      <c r="G30" s="92">
        <f t="shared" si="3"/>
        <v>17000</v>
      </c>
      <c r="H30" s="13">
        <f t="shared" si="0"/>
        <v>340000</v>
      </c>
    </row>
    <row r="31" spans="1:8" x14ac:dyDescent="0.3">
      <c r="A31" s="90">
        <v>45649</v>
      </c>
      <c r="B31" t="s">
        <v>39</v>
      </c>
      <c r="C31" t="s">
        <v>1</v>
      </c>
      <c r="D31">
        <v>50</v>
      </c>
      <c r="E31" s="92">
        <f>LOOKUP(1,1/('[1]PURCHASE PRICE'!$B:$B=B31)/('[1]PURCHASE PRICE'!$A:$A=A31)/('[1]PURCHASE PRICE'!$C:$C=C31),'[1]PURCHASE PRICE'!$D:$D)</f>
        <v>15000</v>
      </c>
      <c r="F31" s="92">
        <f>LOOKUP(1,1/('[1]PURCHASE PRICE'!$B:$B=B31)/('[1]PURCHASE PRICE'!$A:$A=A31),'[1]PURCHASE PRICE'!$D:$D)</f>
        <v>15000</v>
      </c>
      <c r="G31" s="92">
        <f t="shared" si="3"/>
        <v>15000</v>
      </c>
      <c r="H31" s="13">
        <f t="shared" si="0"/>
        <v>750000</v>
      </c>
    </row>
    <row r="32" spans="1:8" x14ac:dyDescent="0.3">
      <c r="A32" s="90">
        <v>45649</v>
      </c>
      <c r="B32" t="s">
        <v>40</v>
      </c>
      <c r="C32" t="s">
        <v>25</v>
      </c>
      <c r="D32">
        <v>80</v>
      </c>
      <c r="E32" s="92" t="e">
        <f>LOOKUP(1,1/('[1]PURCHASE PRICE'!$B:$B=B32)/('[1]PURCHASE PRICE'!$A:$A=A32)/('[1]PURCHASE PRICE'!$C:$C=C32),'[1]PURCHASE PRICE'!$D:$D)</f>
        <v>#N/A</v>
      </c>
      <c r="F32" s="92">
        <f>LOOKUP(1,1/('[1]PURCHASE PRICE'!$B:$B=B32)/('[1]PURCHASE PRICE'!$A:$A=A32),'[1]PURCHASE PRICE'!$D:$D)</f>
        <v>18000</v>
      </c>
      <c r="G32" s="92">
        <f>18000*0.15</f>
        <v>2700</v>
      </c>
      <c r="H32" s="13">
        <f t="shared" si="0"/>
        <v>216000</v>
      </c>
    </row>
    <row r="33" spans="1:8" x14ac:dyDescent="0.3">
      <c r="A33" s="90">
        <v>45649</v>
      </c>
      <c r="B33" t="s">
        <v>41</v>
      </c>
      <c r="C33" t="s">
        <v>16</v>
      </c>
      <c r="D33">
        <v>5</v>
      </c>
      <c r="E33" s="92" t="e">
        <f>LOOKUP(1,1/('[1]PURCHASE PRICE'!$B:$B=B33)/('[1]PURCHASE PRICE'!$A:$A=A33)/('[1]PURCHASE PRICE'!$C:$C=C33),'[1]PURCHASE PRICE'!$D:$D)</f>
        <v>#N/A</v>
      </c>
      <c r="F33" s="92">
        <f>LOOKUP(1,1/('[1]PURCHASE PRICE'!$B:$B=B33)/('[1]PURCHASE PRICE'!$A:$A=A33),'[1]PURCHASE PRICE'!$D:$D)</f>
        <v>200000</v>
      </c>
      <c r="G33" s="92">
        <f>+F33</f>
        <v>200000</v>
      </c>
      <c r="H33" s="13">
        <f t="shared" si="0"/>
        <v>1000000</v>
      </c>
    </row>
    <row r="34" spans="1:8" x14ac:dyDescent="0.3">
      <c r="A34" s="90">
        <v>45649</v>
      </c>
      <c r="B34" t="s">
        <v>42</v>
      </c>
      <c r="C34" t="s">
        <v>1</v>
      </c>
      <c r="D34">
        <v>0</v>
      </c>
      <c r="E34" s="92" t="e">
        <f>LOOKUP(1,1/('[1]PURCHASE PRICE'!$B:$B=B34)/('[1]PURCHASE PRICE'!$A:$A=A34)/('[1]PURCHASE PRICE'!$C:$C=C34),'[1]PURCHASE PRICE'!$D:$D)</f>
        <v>#N/A</v>
      </c>
      <c r="F34" s="92" t="e">
        <f>LOOKUP(1,1/('[1]PURCHASE PRICE'!$B:$B=B34)/('[1]PURCHASE PRICE'!$A:$A=A34),'[1]PURCHASE PRICE'!$D:$D)</f>
        <v>#N/A</v>
      </c>
      <c r="G34" s="92"/>
      <c r="H34" s="13">
        <f t="shared" si="0"/>
        <v>0</v>
      </c>
    </row>
    <row r="35" spans="1:8" x14ac:dyDescent="0.3">
      <c r="A35" s="90">
        <v>45649</v>
      </c>
      <c r="B35" t="s">
        <v>45</v>
      </c>
      <c r="C35" t="s">
        <v>22</v>
      </c>
      <c r="D35">
        <v>332</v>
      </c>
      <c r="E35" s="92">
        <f>LOOKUP(1,1/('[1]PURCHASE PRICE'!$B:$B=B35)/('[1]PURCHASE PRICE'!$A:$A=A35)/('[1]PURCHASE PRICE'!$C:$C=C35),'[1]PURCHASE PRICE'!$D:$D)</f>
        <v>2100</v>
      </c>
      <c r="F35" s="92">
        <f>LOOKUP(1,1/('[1]PURCHASE PRICE'!$B:$B=B35)/('[1]PURCHASE PRICE'!$A:$A=A35),'[1]PURCHASE PRICE'!$D:$D)</f>
        <v>2100</v>
      </c>
      <c r="G35" s="92">
        <f>+F35</f>
        <v>2100</v>
      </c>
      <c r="H35" s="13">
        <f t="shared" si="0"/>
        <v>697200</v>
      </c>
    </row>
    <row r="36" spans="1:8" x14ac:dyDescent="0.3">
      <c r="A36" s="90">
        <v>45649</v>
      </c>
      <c r="B36" t="s">
        <v>46</v>
      </c>
      <c r="C36" t="s">
        <v>1</v>
      </c>
      <c r="D36">
        <v>20</v>
      </c>
      <c r="E36" s="92">
        <f>LOOKUP(1,1/('[1]PURCHASE PRICE'!$B:$B=B36)/('[1]PURCHASE PRICE'!$A:$A=A36)/('[1]PURCHASE PRICE'!$C:$C=C36),'[1]PURCHASE PRICE'!$D:$D)</f>
        <v>43000</v>
      </c>
      <c r="F36" s="92">
        <f>LOOKUP(1,1/('[1]PURCHASE PRICE'!$B:$B=B36)/('[1]PURCHASE PRICE'!$A:$A=A36),'[1]PURCHASE PRICE'!$D:$D)</f>
        <v>43000</v>
      </c>
      <c r="G36" s="92">
        <f>+F36</f>
        <v>43000</v>
      </c>
      <c r="H36" s="13">
        <f t="shared" si="0"/>
        <v>860000</v>
      </c>
    </row>
    <row r="37" spans="1:8" x14ac:dyDescent="0.3">
      <c r="A37" s="90">
        <v>45649</v>
      </c>
      <c r="B37" t="s">
        <v>47</v>
      </c>
      <c r="C37" t="s">
        <v>217</v>
      </c>
      <c r="D37">
        <v>500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35000</v>
      </c>
      <c r="G37" s="92">
        <f>+F37*0.25</f>
        <v>8750</v>
      </c>
      <c r="H37" s="13">
        <f t="shared" si="0"/>
        <v>4375000</v>
      </c>
    </row>
    <row r="38" spans="1:8" x14ac:dyDescent="0.3">
      <c r="A38" s="90">
        <v>45649</v>
      </c>
      <c r="B38" t="s">
        <v>50</v>
      </c>
      <c r="C38" t="s">
        <v>1</v>
      </c>
      <c r="D38">
        <v>100</v>
      </c>
      <c r="E38" s="92">
        <f>LOOKUP(1,1/('[1]PURCHASE PRICE'!$B:$B=B38)/('[1]PURCHASE PRICE'!$A:$A=A38)/('[1]PURCHASE PRICE'!$C:$C=C38),'[1]PURCHASE PRICE'!$D:$D)</f>
        <v>40000</v>
      </c>
      <c r="F38" s="92">
        <f>LOOKUP(1,1/('[1]PURCHASE PRICE'!$B:$B=B38)/('[1]PURCHASE PRICE'!$A:$A=A38),'[1]PURCHASE PRICE'!$D:$D)</f>
        <v>40000</v>
      </c>
      <c r="G38" s="92">
        <f t="shared" ref="G38:G39" si="4">+F38*0.25</f>
        <v>10000</v>
      </c>
      <c r="H38" s="13">
        <f t="shared" si="0"/>
        <v>1000000</v>
      </c>
    </row>
    <row r="39" spans="1:8" x14ac:dyDescent="0.3">
      <c r="A39" s="90">
        <v>45649</v>
      </c>
      <c r="B39" t="s">
        <v>51</v>
      </c>
      <c r="C39" t="s">
        <v>1</v>
      </c>
      <c r="D39">
        <v>40</v>
      </c>
      <c r="E39" s="92">
        <f>LOOKUP(1,1/('[1]PURCHASE PRICE'!$B:$B=B39)/('[1]PURCHASE PRICE'!$A:$A=A39)/('[1]PURCHASE PRICE'!$C:$C=C39),'[1]PURCHASE PRICE'!$D:$D)</f>
        <v>28000</v>
      </c>
      <c r="F39" s="92">
        <f>LOOKUP(1,1/('[1]PURCHASE PRICE'!$B:$B=B39)/('[1]PURCHASE PRICE'!$A:$A=A39),'[1]PURCHASE PRICE'!$D:$D)</f>
        <v>28000</v>
      </c>
      <c r="G39" s="92">
        <f t="shared" si="4"/>
        <v>7000</v>
      </c>
      <c r="H39" s="13">
        <f t="shared" si="0"/>
        <v>280000</v>
      </c>
    </row>
    <row r="40" spans="1:8" x14ac:dyDescent="0.3">
      <c r="A40" s="90">
        <v>45649</v>
      </c>
      <c r="B40" t="s">
        <v>52</v>
      </c>
      <c r="C40" t="s">
        <v>1</v>
      </c>
      <c r="D40">
        <v>40</v>
      </c>
      <c r="E40" s="92">
        <f>LOOKUP(1,1/('[1]PURCHASE PRICE'!$B:$B=B40)/('[1]PURCHASE PRICE'!$A:$A=A40)/('[1]PURCHASE PRICE'!$C:$C=C40),'[1]PURCHASE PRICE'!$D:$D)</f>
        <v>50000</v>
      </c>
      <c r="F40" s="92">
        <f>LOOKUP(1,1/('[1]PURCHASE PRICE'!$B:$B=B40)/('[1]PURCHASE PRICE'!$A:$A=A40),'[1]PURCHASE PRICE'!$D:$D)</f>
        <v>50000</v>
      </c>
      <c r="G40" s="92">
        <v>50000</v>
      </c>
      <c r="H40" s="13">
        <f t="shared" si="0"/>
        <v>2000000</v>
      </c>
    </row>
    <row r="41" spans="1:8" x14ac:dyDescent="0.3">
      <c r="A41" s="90">
        <v>45649</v>
      </c>
      <c r="B41" t="s">
        <v>52</v>
      </c>
      <c r="C41" t="s">
        <v>22</v>
      </c>
      <c r="D41">
        <v>110</v>
      </c>
      <c r="E41" s="92">
        <f>LOOKUP(1,1/('[1]PURCHASE PRICE'!$B:$B=B41)/('[1]PURCHASE PRICE'!$A:$A=A41)/('[1]PURCHASE PRICE'!$C:$C=C41),'[1]PURCHASE PRICE'!$D:$D)</f>
        <v>23000</v>
      </c>
      <c r="F41" s="92">
        <f>LOOKUP(1,1/('[1]PURCHASE PRICE'!$B:$B=B41)/('[1]PURCHASE PRICE'!$A:$A=A41),'[1]PURCHASE PRICE'!$D:$D)</f>
        <v>50000</v>
      </c>
      <c r="G41" s="92">
        <f>E41</f>
        <v>23000</v>
      </c>
      <c r="H41" s="13">
        <f t="shared" si="0"/>
        <v>2530000</v>
      </c>
    </row>
    <row r="42" spans="1:8" x14ac:dyDescent="0.3">
      <c r="A42" s="90">
        <v>45649</v>
      </c>
      <c r="B42" t="s">
        <v>53</v>
      </c>
      <c r="C42" t="s">
        <v>1</v>
      </c>
      <c r="D42">
        <v>0</v>
      </c>
      <c r="E42" s="92" t="e">
        <f>LOOKUP(1,1/('[1]PURCHASE PRICE'!$B:$B=B42)/('[1]PURCHASE PRICE'!$A:$A=A42)/('[1]PURCHASE PRICE'!$C:$C=C42),'[1]PURCHASE PRICE'!$D:$D)</f>
        <v>#N/A</v>
      </c>
      <c r="F42" s="92" t="e">
        <f>LOOKUP(1,1/('[1]PURCHASE PRICE'!$B:$B=B42)/('[1]PURCHASE PRICE'!$A:$A=A42),'[1]PURCHASE PRICE'!$D:$D)</f>
        <v>#N/A</v>
      </c>
      <c r="G42" s="92"/>
      <c r="H42" s="13">
        <f t="shared" si="0"/>
        <v>0</v>
      </c>
    </row>
    <row r="43" spans="1:8" x14ac:dyDescent="0.3">
      <c r="A43" s="90">
        <v>45649</v>
      </c>
      <c r="B43" t="s">
        <v>54</v>
      </c>
      <c r="C43" t="s">
        <v>1</v>
      </c>
      <c r="D43">
        <v>120</v>
      </c>
      <c r="E43" s="92">
        <f>LOOKUP(1,1/('[1]PURCHASE PRICE'!$B:$B=B43)/('[1]PURCHASE PRICE'!$A:$A=A43)/('[1]PURCHASE PRICE'!$C:$C=C43),'[1]PURCHASE PRICE'!$D:$D)</f>
        <v>33000</v>
      </c>
      <c r="F43" s="92">
        <f>LOOKUP(1,1/('[1]PURCHASE PRICE'!$B:$B=B43)/('[1]PURCHASE PRICE'!$A:$A=A43),'[1]PURCHASE PRICE'!$D:$D)</f>
        <v>33000</v>
      </c>
      <c r="G43" s="92">
        <f>F43</f>
        <v>33000</v>
      </c>
      <c r="H43" s="13">
        <f t="shared" si="0"/>
        <v>3960000</v>
      </c>
    </row>
    <row r="44" spans="1:8" x14ac:dyDescent="0.3">
      <c r="A44" s="90">
        <v>45649</v>
      </c>
      <c r="B44" t="s">
        <v>55</v>
      </c>
      <c r="C44" t="s">
        <v>25</v>
      </c>
      <c r="D44">
        <v>150</v>
      </c>
      <c r="E44" s="92">
        <f>LOOKUP(1,1/('[1]PURCHASE PRICE'!$B:$B=B44)/('[1]PURCHASE PRICE'!$A:$A=A44)/('[1]PURCHASE PRICE'!$C:$C=C44),'[1]PURCHASE PRICE'!$D:$D)</f>
        <v>6000</v>
      </c>
      <c r="F44" s="92">
        <f>LOOKUP(1,1/('[1]PURCHASE PRICE'!$B:$B=B44)/('[1]PURCHASE PRICE'!$A:$A=A44),'[1]PURCHASE PRICE'!$D:$D)</f>
        <v>6000</v>
      </c>
      <c r="G44" s="92">
        <f t="shared" ref="G44:G48" si="5">F44</f>
        <v>6000</v>
      </c>
      <c r="H44" s="13">
        <f t="shared" si="0"/>
        <v>900000</v>
      </c>
    </row>
    <row r="45" spans="1:8" x14ac:dyDescent="0.3">
      <c r="A45" s="90">
        <v>45649</v>
      </c>
      <c r="B45" t="s">
        <v>56</v>
      </c>
      <c r="C45" t="s">
        <v>1</v>
      </c>
      <c r="D45">
        <v>60</v>
      </c>
      <c r="E45" s="92">
        <f>LOOKUP(1,1/('[1]PURCHASE PRICE'!$B:$B=B45)/('[1]PURCHASE PRICE'!$A:$A=A45)/('[1]PURCHASE PRICE'!$C:$C=C45),'[1]PURCHASE PRICE'!$D:$D)</f>
        <v>26000</v>
      </c>
      <c r="F45" s="92">
        <f>LOOKUP(1,1/('[1]PURCHASE PRICE'!$B:$B=B45)/('[1]PURCHASE PRICE'!$A:$A=A45),'[1]PURCHASE PRICE'!$D:$D)</f>
        <v>26000</v>
      </c>
      <c r="G45" s="92">
        <f t="shared" si="5"/>
        <v>26000</v>
      </c>
      <c r="H45" s="13">
        <f t="shared" si="0"/>
        <v>1560000</v>
      </c>
    </row>
    <row r="46" spans="1:8" x14ac:dyDescent="0.3">
      <c r="A46" s="90">
        <v>45649</v>
      </c>
      <c r="B46" t="s">
        <v>57</v>
      </c>
      <c r="C46" t="s">
        <v>25</v>
      </c>
      <c r="D46">
        <v>30</v>
      </c>
      <c r="E46" s="92">
        <f>LOOKUP(1,1/('[1]PURCHASE PRICE'!$B:$B=B46)/('[1]PURCHASE PRICE'!$A:$A=A46)/('[1]PURCHASE PRICE'!$C:$C=C46),'[1]PURCHASE PRICE'!$D:$D)</f>
        <v>6800</v>
      </c>
      <c r="F46" s="92">
        <f>LOOKUP(1,1/('[1]PURCHASE PRICE'!$B:$B=B46)/('[1]PURCHASE PRICE'!$A:$A=A46),'[1]PURCHASE PRICE'!$D:$D)</f>
        <v>6800</v>
      </c>
      <c r="G46" s="92">
        <f t="shared" si="5"/>
        <v>6800</v>
      </c>
      <c r="H46" s="13">
        <f t="shared" si="0"/>
        <v>204000</v>
      </c>
    </row>
    <row r="47" spans="1:8" x14ac:dyDescent="0.3">
      <c r="A47" s="90">
        <v>45649</v>
      </c>
      <c r="B47" t="s">
        <v>58</v>
      </c>
      <c r="C47" t="s">
        <v>1</v>
      </c>
      <c r="D47">
        <v>16</v>
      </c>
      <c r="E47" s="92">
        <f>LOOKUP(1,1/('[1]PURCHASE PRICE'!$B:$B=B47)/('[1]PURCHASE PRICE'!$A:$A=A47)/('[1]PURCHASE PRICE'!$C:$C=C47),'[1]PURCHASE PRICE'!$D:$D)</f>
        <v>20000</v>
      </c>
      <c r="F47" s="92">
        <f>LOOKUP(1,1/('[1]PURCHASE PRICE'!$B:$B=B47)/('[1]PURCHASE PRICE'!$A:$A=A47),'[1]PURCHASE PRICE'!$D:$D)</f>
        <v>20000</v>
      </c>
      <c r="G47" s="92">
        <f t="shared" si="5"/>
        <v>20000</v>
      </c>
      <c r="H47" s="13">
        <f t="shared" si="0"/>
        <v>320000</v>
      </c>
    </row>
    <row r="48" spans="1:8" x14ac:dyDescent="0.3">
      <c r="A48" s="90">
        <v>45649</v>
      </c>
      <c r="B48" t="s">
        <v>60</v>
      </c>
      <c r="C48" t="s">
        <v>1</v>
      </c>
      <c r="D48">
        <v>16</v>
      </c>
      <c r="E48" s="92">
        <f>LOOKUP(1,1/('[1]PURCHASE PRICE'!$B:$B=B48)/('[1]PURCHASE PRICE'!$A:$A=A48)/('[1]PURCHASE PRICE'!$C:$C=C48),'[1]PURCHASE PRICE'!$D:$D)</f>
        <v>15000</v>
      </c>
      <c r="F48" s="92">
        <f>LOOKUP(1,1/('[1]PURCHASE PRICE'!$B:$B=B48)/('[1]PURCHASE PRICE'!$A:$A=A48),'[1]PURCHASE PRICE'!$D:$D)</f>
        <v>15000</v>
      </c>
      <c r="G48" s="92">
        <f t="shared" si="5"/>
        <v>15000</v>
      </c>
      <c r="H48" s="13">
        <f t="shared" si="0"/>
        <v>240000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47"/>
  <sheetViews>
    <sheetView workbookViewId="0">
      <selection activeCell="H4" sqref="H4"/>
    </sheetView>
  </sheetViews>
  <sheetFormatPr defaultRowHeight="14.4" x14ac:dyDescent="0.3"/>
  <cols>
    <col min="1" max="1" width="10.5546875" bestFit="1" customWidth="1"/>
    <col min="2" max="2" width="25.6640625" customWidth="1"/>
    <col min="4" max="4" width="11.77734375" customWidth="1"/>
    <col min="5" max="5" width="7.77734375" bestFit="1" customWidth="1"/>
    <col min="6" max="6" width="8.77734375" bestFit="1" customWidth="1"/>
    <col min="8" max="8" width="14.88671875" bestFit="1" customWidth="1"/>
  </cols>
  <sheetData>
    <row r="2" spans="1:8" x14ac:dyDescent="0.3">
      <c r="B2" t="s">
        <v>221</v>
      </c>
      <c r="D2" s="90">
        <v>45648</v>
      </c>
    </row>
    <row r="4" spans="1:8" x14ac:dyDescent="0.3">
      <c r="H4" s="91">
        <f>SUM(H6:H47)</f>
        <v>65466300</v>
      </c>
    </row>
    <row r="5" spans="1:8" x14ac:dyDescent="0.3">
      <c r="A5" s="30" t="s">
        <v>83</v>
      </c>
      <c r="B5" s="30" t="s">
        <v>80</v>
      </c>
      <c r="C5" s="31" t="s">
        <v>81</v>
      </c>
      <c r="D5" s="30" t="s">
        <v>82</v>
      </c>
      <c r="E5" s="32" t="s">
        <v>143</v>
      </c>
      <c r="F5" s="32" t="s">
        <v>144</v>
      </c>
      <c r="G5" s="32" t="s">
        <v>85</v>
      </c>
      <c r="H5" s="32" t="s">
        <v>86</v>
      </c>
    </row>
    <row r="6" spans="1:8" x14ac:dyDescent="0.3">
      <c r="A6" s="90">
        <v>45648</v>
      </c>
      <c r="B6" t="s">
        <v>0</v>
      </c>
      <c r="C6" t="s">
        <v>1</v>
      </c>
      <c r="D6">
        <v>20</v>
      </c>
      <c r="E6" s="92">
        <f>LOOKUP(1,1/('[1]PURCHASE PRICE'!$B:$B=B6)/('[1]PURCHASE PRICE'!$A:$A=A6)/('[1]PURCHASE PRICE'!$C:$C=C6),'[1]PURCHASE PRICE'!$D:$D)</f>
        <v>36000</v>
      </c>
      <c r="F6" s="92">
        <f>LOOKUP(1,1/('[1]PURCHASE PRICE'!$B:$B=B6)/('[1]PURCHASE PRICE'!$A:$A=A6),'[1]PURCHASE PRICE'!$D:$D)</f>
        <v>36000</v>
      </c>
      <c r="G6" s="92">
        <f>F6</f>
        <v>36000</v>
      </c>
      <c r="H6" s="13">
        <f>G6*D6</f>
        <v>720000</v>
      </c>
    </row>
    <row r="7" spans="1:8" x14ac:dyDescent="0.3">
      <c r="A7" s="90">
        <v>45648</v>
      </c>
      <c r="B7" t="s">
        <v>73</v>
      </c>
      <c r="C7" t="s">
        <v>1</v>
      </c>
      <c r="D7">
        <v>30</v>
      </c>
      <c r="E7" s="92" t="e">
        <f>LOOKUP(1,1/('[1]PURCHASE PRICE'!$B:$B=B7)/('[1]PURCHASE PRICE'!$A:$A=A7)/('[1]PURCHASE PRICE'!$C:$C=C7),'[1]PURCHASE PRICE'!$D:$D)</f>
        <v>#N/A</v>
      </c>
      <c r="F7" s="92" t="e">
        <f>LOOKUP(1,1/('[1]PURCHASE PRICE'!$B:$B=B7)/('[1]PURCHASE PRICE'!$A:$A=A7),'[1]PURCHASE PRICE'!$D:$D)</f>
        <v>#N/A</v>
      </c>
      <c r="G7" s="92">
        <v>11000</v>
      </c>
      <c r="H7" s="13">
        <f t="shared" ref="H7:H47" si="0">G7*D7</f>
        <v>330000</v>
      </c>
    </row>
    <row r="8" spans="1:8" x14ac:dyDescent="0.3">
      <c r="A8" s="90">
        <v>45648</v>
      </c>
      <c r="B8" t="s">
        <v>3</v>
      </c>
      <c r="C8" t="s">
        <v>7</v>
      </c>
      <c r="D8">
        <v>400</v>
      </c>
      <c r="E8" s="92" t="e">
        <f>LOOKUP(1,1/('[1]PURCHASE PRICE'!$B:$B=B8)/('[1]PURCHASE PRICE'!$A:$A=A8)/('[1]PURCHASE PRICE'!$C:$C=C8),'[1]PURCHASE PRICE'!$D:$D)</f>
        <v>#N/A</v>
      </c>
      <c r="F8" s="92">
        <f>LOOKUP(1,1/('[1]PURCHASE PRICE'!$B:$B=B8)/('[1]PURCHASE PRICE'!$A:$A=A8),'[1]PURCHASE PRICE'!$D:$D)</f>
        <v>18000</v>
      </c>
      <c r="G8" s="92">
        <f>18000*0.3</f>
        <v>5400</v>
      </c>
      <c r="H8" s="13">
        <f t="shared" si="0"/>
        <v>2160000</v>
      </c>
    </row>
    <row r="9" spans="1:8" x14ac:dyDescent="0.3">
      <c r="A9" s="90">
        <v>45648</v>
      </c>
      <c r="B9" t="s">
        <v>5</v>
      </c>
      <c r="C9" t="s">
        <v>1</v>
      </c>
      <c r="D9">
        <v>30</v>
      </c>
      <c r="E9" s="92">
        <f>LOOKUP(1,1/('[1]PURCHASE PRICE'!$B:$B=B9)/('[1]PURCHASE PRICE'!$A:$A=A9)/('[1]PURCHASE PRICE'!$C:$C=C9),'[1]PURCHASE PRICE'!$D:$D)</f>
        <v>10000</v>
      </c>
      <c r="F9" s="92">
        <f>LOOKUP(1,1/('[1]PURCHASE PRICE'!$B:$B=B9)/('[1]PURCHASE PRICE'!$A:$A=A9),'[1]PURCHASE PRICE'!$D:$D)</f>
        <v>10000</v>
      </c>
      <c r="G9" s="92">
        <f>F9</f>
        <v>10000</v>
      </c>
      <c r="H9" s="13">
        <f t="shared" si="0"/>
        <v>300000</v>
      </c>
    </row>
    <row r="10" spans="1:8" x14ac:dyDescent="0.3">
      <c r="A10" s="90">
        <v>45648</v>
      </c>
      <c r="B10" t="s">
        <v>68</v>
      </c>
      <c r="C10" t="s">
        <v>1</v>
      </c>
      <c r="D10">
        <v>0</v>
      </c>
      <c r="E10" s="92">
        <f>LOOKUP(1,1/('[1]PURCHASE PRICE'!$B:$B=B10)/('[1]PURCHASE PRICE'!$A:$A=A10)/('[1]PURCHASE PRICE'!$C:$C=C10),'[1]PURCHASE PRICE'!$D:$D)</f>
        <v>28000</v>
      </c>
      <c r="F10" s="92">
        <f>LOOKUP(1,1/('[1]PURCHASE PRICE'!$B:$B=B10)/('[1]PURCHASE PRICE'!$A:$A=A10),'[1]PURCHASE PRICE'!$D:$D)</f>
        <v>28000</v>
      </c>
      <c r="G10" s="92">
        <f>F10</f>
        <v>28000</v>
      </c>
      <c r="H10" s="13">
        <f t="shared" si="0"/>
        <v>0</v>
      </c>
    </row>
    <row r="11" spans="1:8" x14ac:dyDescent="0.3">
      <c r="A11" s="90">
        <v>45648</v>
      </c>
      <c r="B11" t="s">
        <v>9</v>
      </c>
      <c r="C11" t="s">
        <v>1</v>
      </c>
      <c r="D11">
        <v>160</v>
      </c>
      <c r="E11" s="92">
        <f>LOOKUP(1,1/('[1]PURCHASE PRICE'!$B:$B=B11)/('[1]PURCHASE PRICE'!$A:$A=A11)/('[1]PURCHASE PRICE'!$C:$C=C11),'[1]PURCHASE PRICE'!$D:$D)</f>
        <v>18000</v>
      </c>
      <c r="F11" s="92">
        <f>LOOKUP(1,1/('[1]PURCHASE PRICE'!$B:$B=B11)/('[1]PURCHASE PRICE'!$A:$A=A11),'[1]PURCHASE PRICE'!$D:$D)</f>
        <v>18000</v>
      </c>
      <c r="G11" s="92">
        <f t="shared" ref="G11:G19" si="1">F11</f>
        <v>18000</v>
      </c>
      <c r="H11" s="13">
        <f t="shared" si="0"/>
        <v>2880000</v>
      </c>
    </row>
    <row r="12" spans="1:8" x14ac:dyDescent="0.3">
      <c r="A12" s="90">
        <v>45648</v>
      </c>
      <c r="B12" t="s">
        <v>10</v>
      </c>
      <c r="C12" t="s">
        <v>12</v>
      </c>
      <c r="D12">
        <v>200</v>
      </c>
      <c r="E12" s="92">
        <f>LOOKUP(1,1/('[1]PURCHASE PRICE'!$B:$B=B12)/('[1]PURCHASE PRICE'!$A:$A=A12)/('[1]PURCHASE PRICE'!$C:$C=C12),'[1]PURCHASE PRICE'!$D:$D)</f>
        <v>8500</v>
      </c>
      <c r="F12" s="92">
        <f>LOOKUP(1,1/('[1]PURCHASE PRICE'!$B:$B=B12)/('[1]PURCHASE PRICE'!$A:$A=A12),'[1]PURCHASE PRICE'!$D:$D)</f>
        <v>15000</v>
      </c>
      <c r="G12" s="92">
        <f t="shared" si="1"/>
        <v>15000</v>
      </c>
      <c r="H12" s="13">
        <f t="shared" si="0"/>
        <v>3000000</v>
      </c>
    </row>
    <row r="13" spans="1:8" x14ac:dyDescent="0.3">
      <c r="A13" s="90">
        <v>45648</v>
      </c>
      <c r="B13" t="s">
        <v>13</v>
      </c>
      <c r="C13" t="s">
        <v>14</v>
      </c>
      <c r="D13">
        <v>200</v>
      </c>
      <c r="E13" s="92">
        <f>LOOKUP(1,1/('[1]PURCHASE PRICE'!$B:$B=B13)/('[1]PURCHASE PRICE'!$A:$A=A13)/('[1]PURCHASE PRICE'!$C:$C=C13),'[1]PURCHASE PRICE'!$D:$D)</f>
        <v>9000</v>
      </c>
      <c r="F13" s="92">
        <f>LOOKUP(1,1/('[1]PURCHASE PRICE'!$B:$B=B13)/('[1]PURCHASE PRICE'!$A:$A=A13),'[1]PURCHASE PRICE'!$D:$D)</f>
        <v>9000</v>
      </c>
      <c r="G13" s="92">
        <f t="shared" si="1"/>
        <v>9000</v>
      </c>
      <c r="H13" s="13">
        <f t="shared" si="0"/>
        <v>1800000</v>
      </c>
    </row>
    <row r="14" spans="1:8" x14ac:dyDescent="0.3">
      <c r="A14" s="90">
        <v>45648</v>
      </c>
      <c r="B14" t="s">
        <v>15</v>
      </c>
      <c r="C14" t="s">
        <v>16</v>
      </c>
      <c r="D14">
        <v>32</v>
      </c>
      <c r="E14" s="92">
        <f>LOOKUP(1,1/('[1]PURCHASE PRICE'!$B:$B=B14)/('[1]PURCHASE PRICE'!$A:$A=A14)/('[1]PURCHASE PRICE'!$C:$C=C14),'[1]PURCHASE PRICE'!$D:$D)</f>
        <v>14400</v>
      </c>
      <c r="F14" s="92">
        <f>LOOKUP(1,1/('[1]PURCHASE PRICE'!$B:$B=B14)/('[1]PURCHASE PRICE'!$A:$A=A14),'[1]PURCHASE PRICE'!$D:$D)</f>
        <v>14400</v>
      </c>
      <c r="G14" s="92">
        <f t="shared" si="1"/>
        <v>14400</v>
      </c>
      <c r="H14" s="13">
        <f t="shared" si="0"/>
        <v>460800</v>
      </c>
    </row>
    <row r="15" spans="1:8" x14ac:dyDescent="0.3">
      <c r="A15" s="90">
        <v>45648</v>
      </c>
      <c r="B15" t="s">
        <v>18</v>
      </c>
      <c r="C15" t="s">
        <v>1</v>
      </c>
      <c r="D15">
        <v>60</v>
      </c>
      <c r="E15" s="92">
        <f>LOOKUP(1,1/('[1]PURCHASE PRICE'!$B:$B=B15)/('[1]PURCHASE PRICE'!$A:$A=A15)/('[1]PURCHASE PRICE'!$C:$C=C15),'[1]PURCHASE PRICE'!$D:$D)</f>
        <v>14000</v>
      </c>
      <c r="F15" s="92">
        <f>LOOKUP(1,1/('[1]PURCHASE PRICE'!$B:$B=B15)/('[1]PURCHASE PRICE'!$A:$A=A15),'[1]PURCHASE PRICE'!$D:$D)</f>
        <v>14000</v>
      </c>
      <c r="G15" s="92">
        <f t="shared" si="1"/>
        <v>14000</v>
      </c>
      <c r="H15" s="13">
        <f t="shared" si="0"/>
        <v>840000</v>
      </c>
    </row>
    <row r="16" spans="1:8" x14ac:dyDescent="0.3">
      <c r="A16" s="90">
        <v>45648</v>
      </c>
      <c r="B16" t="s">
        <v>20</v>
      </c>
      <c r="C16" t="s">
        <v>1</v>
      </c>
      <c r="D16">
        <v>0</v>
      </c>
      <c r="E16" s="92" t="e">
        <f>LOOKUP(1,1/('[1]PURCHASE PRICE'!$B:$B=B16)/('[1]PURCHASE PRICE'!$A:$A=A16)/('[1]PURCHASE PRICE'!$C:$C=C16),'[1]PURCHASE PRICE'!$D:$D)</f>
        <v>#N/A</v>
      </c>
      <c r="F16" s="92">
        <f>LOOKUP(1,1/('[1]PURCHASE PRICE'!$B:$B=B16)/('[1]PURCHASE PRICE'!$A:$A=A16),'[1]PURCHASE PRICE'!$D:$D)</f>
        <v>12000</v>
      </c>
      <c r="G16" s="92"/>
      <c r="H16" s="13">
        <f t="shared" si="0"/>
        <v>0</v>
      </c>
    </row>
    <row r="17" spans="1:8" x14ac:dyDescent="0.3">
      <c r="A17" s="90">
        <v>45648</v>
      </c>
      <c r="B17" t="s">
        <v>20</v>
      </c>
      <c r="C17" t="s">
        <v>11</v>
      </c>
      <c r="D17">
        <v>120</v>
      </c>
      <c r="E17" s="92">
        <f>LOOKUP(1,1/('[1]PURCHASE PRICE'!$B:$B=B17)/('[1]PURCHASE PRICE'!$A:$A=A17)/('[1]PURCHASE PRICE'!$C:$C=C17),'[1]PURCHASE PRICE'!$D:$D)</f>
        <v>12000</v>
      </c>
      <c r="F17" s="92">
        <f>LOOKUP(1,1/('[1]PURCHASE PRICE'!$B:$B=B17)/('[1]PURCHASE PRICE'!$A:$A=A17),'[1]PURCHASE PRICE'!$D:$D)</f>
        <v>12000</v>
      </c>
      <c r="G17" s="92">
        <f t="shared" si="1"/>
        <v>12000</v>
      </c>
      <c r="H17" s="13">
        <f t="shared" si="0"/>
        <v>1440000</v>
      </c>
    </row>
    <row r="18" spans="1:8" x14ac:dyDescent="0.3">
      <c r="A18" s="90">
        <v>45648</v>
      </c>
      <c r="B18" t="s">
        <v>63</v>
      </c>
      <c r="C18" t="s">
        <v>1</v>
      </c>
      <c r="D18">
        <v>40</v>
      </c>
      <c r="E18" s="92">
        <f>LOOKUP(1,1/('[1]PURCHASE PRICE'!$B:$B=B18)/('[1]PURCHASE PRICE'!$A:$A=A18)/('[1]PURCHASE PRICE'!$C:$C=C18),'[1]PURCHASE PRICE'!$D:$D)</f>
        <v>35000</v>
      </c>
      <c r="F18" s="92">
        <f>LOOKUP(1,1/('[1]PURCHASE PRICE'!$B:$B=B18)/('[1]PURCHASE PRICE'!$A:$A=A18),'[1]PURCHASE PRICE'!$D:$D)</f>
        <v>35000</v>
      </c>
      <c r="G18" s="92">
        <f t="shared" si="1"/>
        <v>35000</v>
      </c>
      <c r="H18" s="13">
        <f t="shared" si="0"/>
        <v>1400000</v>
      </c>
    </row>
    <row r="19" spans="1:8" x14ac:dyDescent="0.3">
      <c r="A19" s="90">
        <v>45648</v>
      </c>
      <c r="B19" t="s">
        <v>21</v>
      </c>
      <c r="C19" t="s">
        <v>23</v>
      </c>
      <c r="D19">
        <v>30</v>
      </c>
      <c r="E19" s="92">
        <f>LOOKUP(1,1/('[1]PURCHASE PRICE'!$B:$B=B19)/('[1]PURCHASE PRICE'!$A:$A=A19)/('[1]PURCHASE PRICE'!$C:$C=C19),'[1]PURCHASE PRICE'!$D:$D)</f>
        <v>2100</v>
      </c>
      <c r="F19" s="92">
        <f>LOOKUP(1,1/('[1]PURCHASE PRICE'!$B:$B=B19)/('[1]PURCHASE PRICE'!$A:$A=A19),'[1]PURCHASE PRICE'!$D:$D)</f>
        <v>2100</v>
      </c>
      <c r="G19" s="92">
        <f t="shared" si="1"/>
        <v>2100</v>
      </c>
      <c r="H19" s="13">
        <f t="shared" si="0"/>
        <v>63000</v>
      </c>
    </row>
    <row r="20" spans="1:8" x14ac:dyDescent="0.3">
      <c r="A20" s="90">
        <v>45648</v>
      </c>
      <c r="B20" t="s">
        <v>24</v>
      </c>
      <c r="C20" t="s">
        <v>25</v>
      </c>
      <c r="D20">
        <v>100</v>
      </c>
      <c r="E20" s="92" t="e">
        <f>LOOKUP(1,1/('[1]PURCHASE PRICE'!$B:$B=B20)/('[1]PURCHASE PRICE'!$A:$A=A20)/('[1]PURCHASE PRICE'!$C:$C=C20),'[1]PURCHASE PRICE'!$D:$D)</f>
        <v>#N/A</v>
      </c>
      <c r="F20" s="92">
        <f>LOOKUP(1,1/('[1]PURCHASE PRICE'!$B:$B=B20)/('[1]PURCHASE PRICE'!$A:$A=A20),'[1]PURCHASE PRICE'!$D:$D)</f>
        <v>12000</v>
      </c>
      <c r="G20" s="92">
        <v>6000</v>
      </c>
      <c r="H20" s="13">
        <f t="shared" si="0"/>
        <v>600000</v>
      </c>
    </row>
    <row r="21" spans="1:8" x14ac:dyDescent="0.3">
      <c r="A21" s="90">
        <v>45648</v>
      </c>
      <c r="B21" t="s">
        <v>26</v>
      </c>
      <c r="C21" t="s">
        <v>11</v>
      </c>
      <c r="D21">
        <v>38</v>
      </c>
      <c r="E21" s="92">
        <f>LOOKUP(1,1/('[1]PURCHASE PRICE'!$B:$B=B21)/('[1]PURCHASE PRICE'!$A:$A=A21)/('[1]PURCHASE PRICE'!$C:$C=C21),'[1]PURCHASE PRICE'!$D:$D)</f>
        <v>6750</v>
      </c>
      <c r="F21" s="92">
        <f>LOOKUP(1,1/('[1]PURCHASE PRICE'!$B:$B=B21)/('[1]PURCHASE PRICE'!$A:$A=A21),'[1]PURCHASE PRICE'!$D:$D)</f>
        <v>6750</v>
      </c>
      <c r="G21" s="92">
        <f>F21</f>
        <v>6750</v>
      </c>
      <c r="H21" s="13">
        <f t="shared" si="0"/>
        <v>256500</v>
      </c>
    </row>
    <row r="22" spans="1:8" x14ac:dyDescent="0.3">
      <c r="A22" s="90">
        <v>45648</v>
      </c>
      <c r="B22" t="s">
        <v>74</v>
      </c>
      <c r="C22" t="s">
        <v>1</v>
      </c>
      <c r="D22">
        <v>20</v>
      </c>
      <c r="E22" s="92">
        <f>LOOKUP(1,1/('[1]PURCHASE PRICE'!$B:$B=B22)/('[1]PURCHASE PRICE'!$A:$A=A22)/('[1]PURCHASE PRICE'!$C:$C=C22),'[1]PURCHASE PRICE'!$D:$D)</f>
        <v>10000</v>
      </c>
      <c r="F22" s="92">
        <f>LOOKUP(1,1/('[1]PURCHASE PRICE'!$B:$B=B22)/('[1]PURCHASE PRICE'!$A:$A=A22),'[1]PURCHASE PRICE'!$D:$D)</f>
        <v>10000</v>
      </c>
      <c r="G22" s="92">
        <f t="shared" ref="G22:G24" si="2">F22</f>
        <v>10000</v>
      </c>
      <c r="H22" s="13">
        <f t="shared" si="0"/>
        <v>200000</v>
      </c>
    </row>
    <row r="23" spans="1:8" x14ac:dyDescent="0.3">
      <c r="A23" s="90">
        <v>45648</v>
      </c>
      <c r="B23" t="s">
        <v>34</v>
      </c>
      <c r="C23" t="s">
        <v>36</v>
      </c>
      <c r="D23">
        <v>20</v>
      </c>
      <c r="E23" s="92">
        <f>LOOKUP(1,1/('[1]PURCHASE PRICE'!$B:$B=B23)/('[1]PURCHASE PRICE'!$A:$A=A23)/('[1]PURCHASE PRICE'!$C:$C=C23),'[1]PURCHASE PRICE'!$D:$D)</f>
        <v>10500</v>
      </c>
      <c r="F23" s="92">
        <f>LOOKUP(1,1/('[1]PURCHASE PRICE'!$B:$B=B23)/('[1]PURCHASE PRICE'!$A:$A=A23),'[1]PURCHASE PRICE'!$D:$D)</f>
        <v>10500</v>
      </c>
      <c r="G23" s="92">
        <f t="shared" si="2"/>
        <v>10500</v>
      </c>
      <c r="H23" s="13">
        <f t="shared" si="0"/>
        <v>210000</v>
      </c>
    </row>
    <row r="24" spans="1:8" x14ac:dyDescent="0.3">
      <c r="A24" s="90">
        <v>45648</v>
      </c>
      <c r="B24" t="s">
        <v>37</v>
      </c>
      <c r="C24" t="s">
        <v>11</v>
      </c>
      <c r="D24">
        <v>265</v>
      </c>
      <c r="E24" s="92">
        <f>LOOKUP(1,1/('[1]PURCHASE PRICE'!$B:$B=B24)/('[1]PURCHASE PRICE'!$A:$A=A24)/('[1]PURCHASE PRICE'!$C:$C=C24),'[1]PURCHASE PRICE'!$D:$D)</f>
        <v>12500</v>
      </c>
      <c r="F24" s="92">
        <f>LOOKUP(1,1/('[1]PURCHASE PRICE'!$B:$B=B24)/('[1]PURCHASE PRICE'!$A:$A=A24),'[1]PURCHASE PRICE'!$D:$D)</f>
        <v>9500</v>
      </c>
      <c r="G24" s="92">
        <f t="shared" si="2"/>
        <v>9500</v>
      </c>
      <c r="H24" s="13">
        <f t="shared" si="0"/>
        <v>2517500</v>
      </c>
    </row>
    <row r="25" spans="1:8" x14ac:dyDescent="0.3">
      <c r="A25" s="90">
        <v>45648</v>
      </c>
      <c r="B25" t="s">
        <v>38</v>
      </c>
      <c r="C25" t="s">
        <v>22</v>
      </c>
      <c r="D25">
        <v>30</v>
      </c>
      <c r="E25" s="92" t="e">
        <f>LOOKUP(1,1/('[1]PURCHASE PRICE'!$B:$B=B25)/('[1]PURCHASE PRICE'!$A:$A=A25)/('[1]PURCHASE PRICE'!$C:$C=C25),'[1]PURCHASE PRICE'!$D:$D)</f>
        <v>#N/A</v>
      </c>
      <c r="F25" s="92">
        <f>LOOKUP(1,1/('[1]PURCHASE PRICE'!$B:$B=B25)/('[1]PURCHASE PRICE'!$A:$A=A25),'[1]PURCHASE PRICE'!$D:$D)</f>
        <v>17000</v>
      </c>
      <c r="G25" s="92">
        <f>17000*0.6</f>
        <v>10200</v>
      </c>
      <c r="H25" s="13">
        <f t="shared" si="0"/>
        <v>306000</v>
      </c>
    </row>
    <row r="26" spans="1:8" x14ac:dyDescent="0.3">
      <c r="A26" s="90">
        <v>45648</v>
      </c>
      <c r="B26" t="s">
        <v>40</v>
      </c>
      <c r="C26" t="s">
        <v>25</v>
      </c>
      <c r="D26">
        <v>45</v>
      </c>
      <c r="E26" s="92" t="e">
        <f>LOOKUP(1,1/('[1]PURCHASE PRICE'!$B:$B=B26)/('[1]PURCHASE PRICE'!$A:$A=A26)/('[1]PURCHASE PRICE'!$C:$C=C26),'[1]PURCHASE PRICE'!$D:$D)</f>
        <v>#N/A</v>
      </c>
      <c r="F26" s="92">
        <f>LOOKUP(1,1/('[1]PURCHASE PRICE'!$B:$B=B26)/('[1]PURCHASE PRICE'!$A:$A=A26),'[1]PURCHASE PRICE'!$D:$D)</f>
        <v>18000</v>
      </c>
      <c r="G26" s="92">
        <f>18000*0.15</f>
        <v>2700</v>
      </c>
      <c r="H26" s="13">
        <f t="shared" si="0"/>
        <v>121500</v>
      </c>
    </row>
    <row r="27" spans="1:8" x14ac:dyDescent="0.3">
      <c r="A27" s="90">
        <v>45648</v>
      </c>
      <c r="B27" t="s">
        <v>41</v>
      </c>
      <c r="C27" t="s">
        <v>16</v>
      </c>
      <c r="D27">
        <v>20</v>
      </c>
      <c r="E27" s="92" t="e">
        <f>LOOKUP(1,1/('[1]PURCHASE PRICE'!$B:$B=B27)/('[1]PURCHASE PRICE'!$A:$A=A27)/('[1]PURCHASE PRICE'!$C:$C=C27),'[1]PURCHASE PRICE'!$D:$D)</f>
        <v>#N/A</v>
      </c>
      <c r="F27" s="92">
        <f>LOOKUP(1,1/('[1]PURCHASE PRICE'!$B:$B=B27)/('[1]PURCHASE PRICE'!$A:$A=A27),'[1]PURCHASE PRICE'!$D:$D)</f>
        <v>200000</v>
      </c>
      <c r="G27" s="92">
        <f>F27</f>
        <v>200000</v>
      </c>
      <c r="H27" s="13">
        <f t="shared" si="0"/>
        <v>4000000</v>
      </c>
    </row>
    <row r="28" spans="1:8" x14ac:dyDescent="0.3">
      <c r="A28" s="90">
        <v>45648</v>
      </c>
      <c r="B28" t="s">
        <v>42</v>
      </c>
      <c r="C28" t="s">
        <v>1</v>
      </c>
      <c r="D28">
        <v>0</v>
      </c>
      <c r="E28" s="92" t="e">
        <f>LOOKUP(1,1/('[1]PURCHASE PRICE'!$B:$B=B28)/('[1]PURCHASE PRICE'!$A:$A=A28)/('[1]PURCHASE PRICE'!$C:$C=C28),'[1]PURCHASE PRICE'!$D:$D)</f>
        <v>#N/A</v>
      </c>
      <c r="F28" s="92" t="e">
        <f>LOOKUP(1,1/('[1]PURCHASE PRICE'!$B:$B=B28)/('[1]PURCHASE PRICE'!$A:$A=A28),'[1]PURCHASE PRICE'!$D:$D)</f>
        <v>#N/A</v>
      </c>
      <c r="G28" s="92"/>
      <c r="H28" s="13">
        <f t="shared" si="0"/>
        <v>0</v>
      </c>
    </row>
    <row r="29" spans="1:8" x14ac:dyDescent="0.3">
      <c r="A29" s="90">
        <v>45648</v>
      </c>
      <c r="B29" t="s">
        <v>45</v>
      </c>
      <c r="C29" t="s">
        <v>22</v>
      </c>
      <c r="D29">
        <v>330</v>
      </c>
      <c r="E29" s="92">
        <f>LOOKUP(1,1/('[1]PURCHASE PRICE'!$B:$B=B29)/('[1]PURCHASE PRICE'!$A:$A=A29)/('[1]PURCHASE PRICE'!$C:$C=C29),'[1]PURCHASE PRICE'!$D:$D)</f>
        <v>2100</v>
      </c>
      <c r="F29" s="92">
        <f>LOOKUP(1,1/('[1]PURCHASE PRICE'!$B:$B=B29)/('[1]PURCHASE PRICE'!$A:$A=A29),'[1]PURCHASE PRICE'!$D:$D)</f>
        <v>2100</v>
      </c>
      <c r="G29" s="92">
        <f>F29</f>
        <v>2100</v>
      </c>
      <c r="H29" s="13">
        <f t="shared" si="0"/>
        <v>693000</v>
      </c>
    </row>
    <row r="30" spans="1:8" x14ac:dyDescent="0.3">
      <c r="A30" s="90">
        <v>45648</v>
      </c>
      <c r="B30" t="s">
        <v>46</v>
      </c>
      <c r="C30" t="s">
        <v>1</v>
      </c>
      <c r="D30">
        <v>20</v>
      </c>
      <c r="E30" s="92">
        <f>LOOKUP(1,1/('[1]PURCHASE PRICE'!$B:$B=B30)/('[1]PURCHASE PRICE'!$A:$A=A30)/('[1]PURCHASE PRICE'!$C:$C=C30),'[1]PURCHASE PRICE'!$D:$D)</f>
        <v>43000</v>
      </c>
      <c r="F30" s="92">
        <f>LOOKUP(1,1/('[1]PURCHASE PRICE'!$B:$B=B30)/('[1]PURCHASE PRICE'!$A:$A=A30),'[1]PURCHASE PRICE'!$D:$D)</f>
        <v>43000</v>
      </c>
      <c r="G30" s="92">
        <f t="shared" ref="G30:G31" si="3">F30</f>
        <v>43000</v>
      </c>
      <c r="H30" s="13">
        <f t="shared" si="0"/>
        <v>860000</v>
      </c>
    </row>
    <row r="31" spans="1:8" x14ac:dyDescent="0.3">
      <c r="A31" s="90">
        <v>45648</v>
      </c>
      <c r="B31" t="s">
        <v>64</v>
      </c>
      <c r="C31" t="s">
        <v>1</v>
      </c>
      <c r="D31">
        <v>15</v>
      </c>
      <c r="E31" s="92">
        <f>LOOKUP(1,1/('[1]PURCHASE PRICE'!$B:$B=B31)/('[1]PURCHASE PRICE'!$A:$A=A31)/('[1]PURCHASE PRICE'!$C:$C=C31),'[1]PURCHASE PRICE'!$D:$D)</f>
        <v>50000</v>
      </c>
      <c r="F31" s="92">
        <f>LOOKUP(1,1/('[1]PURCHASE PRICE'!$B:$B=B31)/('[1]PURCHASE PRICE'!$A:$A=A31),'[1]PURCHASE PRICE'!$D:$D)</f>
        <v>50000</v>
      </c>
      <c r="G31" s="92">
        <f t="shared" si="3"/>
        <v>50000</v>
      </c>
      <c r="H31" s="13">
        <f t="shared" si="0"/>
        <v>750000</v>
      </c>
    </row>
    <row r="32" spans="1:8" x14ac:dyDescent="0.3">
      <c r="A32" s="90">
        <v>45648</v>
      </c>
      <c r="B32" t="s">
        <v>47</v>
      </c>
      <c r="C32" t="s">
        <v>7</v>
      </c>
      <c r="D32">
        <v>500</v>
      </c>
      <c r="E32" s="92" t="e">
        <f>LOOKUP(1,1/('[1]PURCHASE PRICE'!$B:$B=B32)/('[1]PURCHASE PRICE'!$A:$A=A32)/('[1]PURCHASE PRICE'!$C:$C=C32),'[1]PURCHASE PRICE'!$D:$D)</f>
        <v>#N/A</v>
      </c>
      <c r="F32" s="92">
        <f>LOOKUP(1,1/('[1]PURCHASE PRICE'!$B:$B=B32)/('[1]PURCHASE PRICE'!$A:$A=A32),'[1]PURCHASE PRICE'!$D:$D)</f>
        <v>34000</v>
      </c>
      <c r="G32" s="92">
        <f>34000*0.25</f>
        <v>8500</v>
      </c>
      <c r="H32" s="13">
        <f t="shared" si="0"/>
        <v>4250000</v>
      </c>
    </row>
    <row r="33" spans="1:8" x14ac:dyDescent="0.3">
      <c r="A33" s="90">
        <v>45648</v>
      </c>
      <c r="B33" t="s">
        <v>48</v>
      </c>
      <c r="C33" t="s">
        <v>1</v>
      </c>
      <c r="D33">
        <v>9</v>
      </c>
      <c r="E33" s="92">
        <f>LOOKUP(1,1/('[1]PURCHASE PRICE'!$B:$B=B33)/('[1]PURCHASE PRICE'!$A:$A=A33)/('[1]PURCHASE PRICE'!$C:$C=C33),'[1]PURCHASE PRICE'!$D:$D)</f>
        <v>49000</v>
      </c>
      <c r="F33" s="92">
        <f>LOOKUP(1,1/('[1]PURCHASE PRICE'!$B:$B=B33)/('[1]PURCHASE PRICE'!$A:$A=A33),'[1]PURCHASE PRICE'!$D:$D)</f>
        <v>49000</v>
      </c>
      <c r="G33" s="92">
        <f>F33</f>
        <v>49000</v>
      </c>
      <c r="H33" s="13">
        <f t="shared" si="0"/>
        <v>441000</v>
      </c>
    </row>
    <row r="34" spans="1:8" x14ac:dyDescent="0.3">
      <c r="A34" s="90">
        <v>45648</v>
      </c>
      <c r="B34" t="s">
        <v>50</v>
      </c>
      <c r="C34" t="s">
        <v>7</v>
      </c>
      <c r="D34">
        <v>200</v>
      </c>
      <c r="E34" s="92" t="e">
        <f>LOOKUP(1,1/('[1]PURCHASE PRICE'!$B:$B=B34)/('[1]PURCHASE PRICE'!$A:$A=A34)/('[1]PURCHASE PRICE'!$C:$C=C34),'[1]PURCHASE PRICE'!$D:$D)</f>
        <v>#N/A</v>
      </c>
      <c r="F34" s="92">
        <f>LOOKUP(1,1/('[1]PURCHASE PRICE'!$B:$B=B34)/('[1]PURCHASE PRICE'!$A:$A=A34),'[1]PURCHASE PRICE'!$D:$D)</f>
        <v>38000</v>
      </c>
      <c r="G34" s="92">
        <f>F34*0.25</f>
        <v>9500</v>
      </c>
      <c r="H34" s="13">
        <f t="shared" si="0"/>
        <v>1900000</v>
      </c>
    </row>
    <row r="35" spans="1:8" x14ac:dyDescent="0.3">
      <c r="A35" s="90">
        <v>45648</v>
      </c>
      <c r="B35" t="s">
        <v>51</v>
      </c>
      <c r="C35" t="s">
        <v>7</v>
      </c>
      <c r="D35">
        <v>56</v>
      </c>
      <c r="E35" s="92" t="e">
        <f>LOOKUP(1,1/('[1]PURCHASE PRICE'!$B:$B=B35)/('[1]PURCHASE PRICE'!$A:$A=A35)/('[1]PURCHASE PRICE'!$C:$C=C35),'[1]PURCHASE PRICE'!$D:$D)</f>
        <v>#N/A</v>
      </c>
      <c r="F35" s="92">
        <f>LOOKUP(1,1/('[1]PURCHASE PRICE'!$B:$B=B35)/('[1]PURCHASE PRICE'!$A:$A=A35),'[1]PURCHASE PRICE'!$D:$D)</f>
        <v>20000</v>
      </c>
      <c r="G35" s="92">
        <f>F35*0.25</f>
        <v>5000</v>
      </c>
      <c r="H35" s="13">
        <f t="shared" si="0"/>
        <v>280000</v>
      </c>
    </row>
    <row r="36" spans="1:8" x14ac:dyDescent="0.3">
      <c r="A36" s="90">
        <v>45648</v>
      </c>
      <c r="B36" t="s">
        <v>52</v>
      </c>
      <c r="C36" t="s">
        <v>22</v>
      </c>
      <c r="D36">
        <v>238</v>
      </c>
      <c r="E36" s="92">
        <f>LOOKUP(1,1/('[1]PURCHASE PRICE'!$B:$B=B36)/('[1]PURCHASE PRICE'!$A:$A=A36)/('[1]PURCHASE PRICE'!$C:$C=C36),'[1]PURCHASE PRICE'!$D:$D)</f>
        <v>23000</v>
      </c>
      <c r="F36" s="92">
        <f>LOOKUP(1,1/('[1]PURCHASE PRICE'!$B:$B=B36)/('[1]PURCHASE PRICE'!$A:$A=A36),'[1]PURCHASE PRICE'!$D:$D)</f>
        <v>22000</v>
      </c>
      <c r="G36" s="92">
        <v>22500</v>
      </c>
      <c r="H36" s="13">
        <f t="shared" si="0"/>
        <v>5355000</v>
      </c>
    </row>
    <row r="37" spans="1:8" x14ac:dyDescent="0.3">
      <c r="A37" s="90">
        <v>45648</v>
      </c>
      <c r="B37" t="s">
        <v>53</v>
      </c>
      <c r="C37" t="s">
        <v>1</v>
      </c>
      <c r="D37">
        <v>7</v>
      </c>
      <c r="E37" s="92">
        <f>LOOKUP(1,1/('[1]PURCHASE PRICE'!$B:$B=B37)/('[1]PURCHASE PRICE'!$A:$A=A37)/('[1]PURCHASE PRICE'!$C:$C=C37),'[1]PURCHASE PRICE'!$D:$D)</f>
        <v>55000</v>
      </c>
      <c r="F37" s="92">
        <f>LOOKUP(1,1/('[1]PURCHASE PRICE'!$B:$B=B37)/('[1]PURCHASE PRICE'!$A:$A=A37),'[1]PURCHASE PRICE'!$D:$D)</f>
        <v>55000</v>
      </c>
      <c r="G37" s="92">
        <f>F37</f>
        <v>55000</v>
      </c>
      <c r="H37" s="13">
        <f t="shared" si="0"/>
        <v>385000</v>
      </c>
    </row>
    <row r="38" spans="1:8" x14ac:dyDescent="0.3">
      <c r="A38" s="90">
        <v>45648</v>
      </c>
      <c r="B38" t="s">
        <v>219</v>
      </c>
      <c r="C38" t="s">
        <v>16</v>
      </c>
      <c r="D38">
        <v>5</v>
      </c>
      <c r="E38" s="92">
        <f>LOOKUP(1,1/('[1]PURCHASE PRICE'!$B:$B=B38)/('[1]PURCHASE PRICE'!$A:$A=A38)/('[1]PURCHASE PRICE'!$C:$C=C38),'[1]PURCHASE PRICE'!$D:$D)</f>
        <v>35000</v>
      </c>
      <c r="F38" s="92">
        <f>LOOKUP(1,1/('[1]PURCHASE PRICE'!$B:$B=B38)/('[1]PURCHASE PRICE'!$A:$A=A38),'[1]PURCHASE PRICE'!$D:$D)</f>
        <v>35000</v>
      </c>
      <c r="G38" s="92">
        <f t="shared" ref="G38:G47" si="4">F38</f>
        <v>35000</v>
      </c>
      <c r="H38" s="13">
        <f t="shared" si="0"/>
        <v>175000</v>
      </c>
    </row>
    <row r="39" spans="1:8" x14ac:dyDescent="0.3">
      <c r="A39" s="90">
        <v>45648</v>
      </c>
      <c r="B39" t="s">
        <v>54</v>
      </c>
      <c r="C39" t="s">
        <v>1</v>
      </c>
      <c r="D39">
        <v>100</v>
      </c>
      <c r="E39" s="92">
        <f>LOOKUP(1,1/('[1]PURCHASE PRICE'!$B:$B=B39)/('[1]PURCHASE PRICE'!$A:$A=A39)/('[1]PURCHASE PRICE'!$C:$C=C39),'[1]PURCHASE PRICE'!$D:$D)</f>
        <v>34000</v>
      </c>
      <c r="F39" s="92">
        <f>LOOKUP(1,1/('[1]PURCHASE PRICE'!$B:$B=B39)/('[1]PURCHASE PRICE'!$A:$A=A39),'[1]PURCHASE PRICE'!$D:$D)</f>
        <v>34000</v>
      </c>
      <c r="G39" s="92">
        <f t="shared" si="4"/>
        <v>34000</v>
      </c>
      <c r="H39" s="13">
        <f t="shared" si="0"/>
        <v>3400000</v>
      </c>
    </row>
    <row r="40" spans="1:8" x14ac:dyDescent="0.3">
      <c r="A40" s="90">
        <v>45648</v>
      </c>
      <c r="B40" t="s">
        <v>55</v>
      </c>
      <c r="C40" t="s">
        <v>25</v>
      </c>
      <c r="D40">
        <v>160</v>
      </c>
      <c r="E40" s="92">
        <f>LOOKUP(1,1/('[1]PURCHASE PRICE'!$B:$B=B40)/('[1]PURCHASE PRICE'!$A:$A=A40)/('[1]PURCHASE PRICE'!$C:$C=C40),'[1]PURCHASE PRICE'!$D:$D)</f>
        <v>6000</v>
      </c>
      <c r="F40" s="92">
        <f>LOOKUP(1,1/('[1]PURCHASE PRICE'!$B:$B=B40)/('[1]PURCHASE PRICE'!$A:$A=A40),'[1]PURCHASE PRICE'!$D:$D)</f>
        <v>6000</v>
      </c>
      <c r="G40" s="92">
        <f t="shared" si="4"/>
        <v>6000</v>
      </c>
      <c r="H40" s="13">
        <f t="shared" si="0"/>
        <v>960000</v>
      </c>
    </row>
    <row r="41" spans="1:8" x14ac:dyDescent="0.3">
      <c r="A41" s="90">
        <v>45648</v>
      </c>
      <c r="B41" t="s">
        <v>56</v>
      </c>
      <c r="C41" t="s">
        <v>1</v>
      </c>
      <c r="D41">
        <v>70</v>
      </c>
      <c r="E41" s="92">
        <f>LOOKUP(1,1/('[1]PURCHASE PRICE'!$B:$B=B41)/('[1]PURCHASE PRICE'!$A:$A=A41)/('[1]PURCHASE PRICE'!$C:$C=C41),'[1]PURCHASE PRICE'!$D:$D)</f>
        <v>28000</v>
      </c>
      <c r="F41" s="92">
        <f>LOOKUP(1,1/('[1]PURCHASE PRICE'!$B:$B=B41)/('[1]PURCHASE PRICE'!$A:$A=A41),'[1]PURCHASE PRICE'!$D:$D)</f>
        <v>28000</v>
      </c>
      <c r="G41" s="92">
        <f t="shared" si="4"/>
        <v>28000</v>
      </c>
      <c r="H41" s="13">
        <f t="shared" si="0"/>
        <v>1960000</v>
      </c>
    </row>
    <row r="42" spans="1:8" x14ac:dyDescent="0.3">
      <c r="A42" s="90">
        <v>45648</v>
      </c>
      <c r="B42" t="s">
        <v>57</v>
      </c>
      <c r="C42" t="s">
        <v>25</v>
      </c>
      <c r="D42">
        <v>15</v>
      </c>
      <c r="E42" s="92">
        <f>LOOKUP(1,1/('[1]PURCHASE PRICE'!$B:$B=B42)/('[1]PURCHASE PRICE'!$A:$A=A42)/('[1]PURCHASE PRICE'!$C:$C=C42),'[1]PURCHASE PRICE'!$D:$D)</f>
        <v>6800</v>
      </c>
      <c r="F42" s="92">
        <f>LOOKUP(1,1/('[1]PURCHASE PRICE'!$B:$B=B42)/('[1]PURCHASE PRICE'!$A:$A=A42),'[1]PURCHASE PRICE'!$D:$D)</f>
        <v>6800</v>
      </c>
      <c r="G42" s="92">
        <f t="shared" si="4"/>
        <v>6800</v>
      </c>
      <c r="H42" s="13">
        <f t="shared" si="0"/>
        <v>102000</v>
      </c>
    </row>
    <row r="43" spans="1:8" x14ac:dyDescent="0.3">
      <c r="A43" s="90">
        <v>45648</v>
      </c>
      <c r="B43" t="s">
        <v>58</v>
      </c>
      <c r="C43" t="s">
        <v>1</v>
      </c>
      <c r="D43">
        <v>0</v>
      </c>
      <c r="E43" s="92" t="e">
        <f>LOOKUP(1,1/('[1]PURCHASE PRICE'!$B:$B=B43)/('[1]PURCHASE PRICE'!$A:$A=A43)/('[1]PURCHASE PRICE'!$C:$C=C43),'[1]PURCHASE PRICE'!$D:$D)</f>
        <v>#N/A</v>
      </c>
      <c r="F43" s="92" t="e">
        <f>LOOKUP(1,1/('[1]PURCHASE PRICE'!$B:$B=B43)/('[1]PURCHASE PRICE'!$A:$A=A43),'[1]PURCHASE PRICE'!$D:$D)</f>
        <v>#N/A</v>
      </c>
      <c r="G43" s="92"/>
      <c r="H43" s="13">
        <f t="shared" si="0"/>
        <v>0</v>
      </c>
    </row>
    <row r="44" spans="1:8" x14ac:dyDescent="0.3">
      <c r="A44" s="90">
        <v>45648</v>
      </c>
      <c r="B44" t="s">
        <v>60</v>
      </c>
      <c r="C44" t="s">
        <v>1</v>
      </c>
      <c r="D44">
        <v>5</v>
      </c>
      <c r="E44" s="92">
        <f>LOOKUP(1,1/('[1]PURCHASE PRICE'!$B:$B=B44)/('[1]PURCHASE PRICE'!$A:$A=A44)/('[1]PURCHASE PRICE'!$C:$C=C44),'[1]PURCHASE PRICE'!$D:$D)</f>
        <v>10000</v>
      </c>
      <c r="F44" s="92">
        <f>LOOKUP(1,1/('[1]PURCHASE PRICE'!$B:$B=B44)/('[1]PURCHASE PRICE'!$A:$A=A44),'[1]PURCHASE PRICE'!$D:$D)</f>
        <v>10000</v>
      </c>
      <c r="G44" s="92">
        <f t="shared" si="4"/>
        <v>10000</v>
      </c>
      <c r="H44" s="13">
        <f t="shared" si="0"/>
        <v>50000</v>
      </c>
    </row>
    <row r="45" spans="1:8" x14ac:dyDescent="0.3">
      <c r="A45" s="90">
        <v>45648</v>
      </c>
      <c r="B45" t="s">
        <v>220</v>
      </c>
      <c r="C45" t="s">
        <v>189</v>
      </c>
      <c r="D45">
        <v>100</v>
      </c>
      <c r="E45" s="92" t="e">
        <f>LOOKUP(1,1/('[1]PURCHASE PRICE'!$B:$B=B45)/('[1]PURCHASE PRICE'!$A:$A=A45)/('[1]PURCHASE PRICE'!$C:$C=C45),'[1]PURCHASE PRICE'!$D:$D)</f>
        <v>#N/A</v>
      </c>
      <c r="F45" s="92" t="e">
        <f>LOOKUP(1,1/('[1]PURCHASE PRICE'!$B:$B=B45)/('[1]PURCHASE PRICE'!$A:$A=A45),'[1]PURCHASE PRICE'!$D:$D)</f>
        <v>#N/A</v>
      </c>
      <c r="G45" s="92"/>
      <c r="H45" s="13">
        <f t="shared" si="0"/>
        <v>0</v>
      </c>
    </row>
    <row r="46" spans="1:8" x14ac:dyDescent="0.3">
      <c r="A46" s="90">
        <v>45648</v>
      </c>
      <c r="B46" t="s">
        <v>5</v>
      </c>
      <c r="C46" t="s">
        <v>189</v>
      </c>
      <c r="D46">
        <v>30</v>
      </c>
      <c r="E46" s="92">
        <f>LOOKUP(1,1/('[1]PURCHASE PRICE'!$B:$B=B46)/('[1]PURCHASE PRICE'!$A:$A=A46)/('[1]PURCHASE PRICE'!$C:$C=C46),'[1]PURCHASE PRICE'!$D:$D)</f>
        <v>10000</v>
      </c>
      <c r="F46" s="92">
        <f>LOOKUP(1,1/('[1]PURCHASE PRICE'!$B:$B=B46)/('[1]PURCHASE PRICE'!$A:$A=A46),'[1]PURCHASE PRICE'!$D:$D)</f>
        <v>10000</v>
      </c>
      <c r="G46" s="92">
        <f t="shared" si="4"/>
        <v>10000</v>
      </c>
      <c r="H46" s="13">
        <f t="shared" si="0"/>
        <v>300000</v>
      </c>
    </row>
    <row r="47" spans="1:8" x14ac:dyDescent="0.3">
      <c r="A47" s="90">
        <v>45648</v>
      </c>
      <c r="B47" t="s">
        <v>41</v>
      </c>
      <c r="C47" t="s">
        <v>140</v>
      </c>
      <c r="D47">
        <v>100</v>
      </c>
      <c r="E47" s="92" t="e">
        <f>LOOKUP(1,1/('[1]PURCHASE PRICE'!$B:$B=B47)/('[1]PURCHASE PRICE'!$A:$A=A47)/('[1]PURCHASE PRICE'!$C:$C=C47),'[1]PURCHASE PRICE'!$D:$D)</f>
        <v>#N/A</v>
      </c>
      <c r="F47" s="92">
        <f>LOOKUP(1,1/('[1]PURCHASE PRICE'!$B:$B=B47)/('[1]PURCHASE PRICE'!$A:$A=A47),'[1]PURCHASE PRICE'!$D:$D)</f>
        <v>200000</v>
      </c>
      <c r="G47" s="92">
        <f t="shared" si="4"/>
        <v>200000</v>
      </c>
      <c r="H47" s="13">
        <f t="shared" si="0"/>
        <v>20000000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51"/>
  <sheetViews>
    <sheetView workbookViewId="0">
      <selection activeCell="H2" sqref="H2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5" max="7" width="8.77734375" bestFit="1" customWidth="1"/>
    <col min="8" max="8" width="14.88671875" bestFit="1" customWidth="1"/>
  </cols>
  <sheetData>
    <row r="2" spans="1:8" x14ac:dyDescent="0.3">
      <c r="B2" t="s">
        <v>221</v>
      </c>
      <c r="D2" s="90">
        <v>45647</v>
      </c>
      <c r="H2" s="91">
        <f>SUM(H4:H51)</f>
        <v>55545250</v>
      </c>
    </row>
    <row r="3" spans="1:8" x14ac:dyDescent="0.3">
      <c r="A3" s="30" t="s">
        <v>83</v>
      </c>
      <c r="B3" s="30" t="s">
        <v>80</v>
      </c>
      <c r="C3" s="31" t="s">
        <v>81</v>
      </c>
      <c r="D3" s="30" t="s">
        <v>82</v>
      </c>
      <c r="E3" s="32" t="s">
        <v>143</v>
      </c>
      <c r="F3" s="32" t="s">
        <v>144</v>
      </c>
      <c r="G3" s="32" t="s">
        <v>85</v>
      </c>
      <c r="H3" s="32" t="s">
        <v>86</v>
      </c>
    </row>
    <row r="4" spans="1:8" x14ac:dyDescent="0.3">
      <c r="A4" s="90">
        <v>45647</v>
      </c>
      <c r="B4" t="s">
        <v>73</v>
      </c>
      <c r="C4" t="s">
        <v>1</v>
      </c>
      <c r="D4">
        <v>30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 s="92">
        <v>11000</v>
      </c>
      <c r="H4" s="13">
        <f>G4*D4</f>
        <v>330000</v>
      </c>
    </row>
    <row r="5" spans="1:8" x14ac:dyDescent="0.3">
      <c r="A5" s="90">
        <v>45647</v>
      </c>
      <c r="B5" t="s">
        <v>2</v>
      </c>
      <c r="C5" t="s">
        <v>1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G5" s="92"/>
      <c r="H5" s="13">
        <f t="shared" ref="H5:H51" si="0">G5*D5</f>
        <v>0</v>
      </c>
    </row>
    <row r="6" spans="1:8" x14ac:dyDescent="0.3">
      <c r="A6" s="90">
        <v>45647</v>
      </c>
      <c r="B6" t="s">
        <v>3</v>
      </c>
      <c r="C6" t="s">
        <v>7</v>
      </c>
      <c r="D6">
        <v>200</v>
      </c>
      <c r="E6" s="92" t="e">
        <f>LOOKUP(1,1/('[1]PURCHASE PRICE'!$B:$B=B6)/('[1]PURCHASE PRICE'!$A:$A=A6)/('[1]PURCHASE PRICE'!$C:$C=C6),'[1]PURCHASE PRICE'!$D:$D)</f>
        <v>#N/A</v>
      </c>
      <c r="F6" s="92">
        <f>LOOKUP(1,1/('[1]PURCHASE PRICE'!$B:$B=B6)/('[1]PURCHASE PRICE'!$A:$A=A6),'[1]PURCHASE PRICE'!$D:$D)</f>
        <v>23000</v>
      </c>
      <c r="G6" s="92">
        <f>23000*0.3</f>
        <v>6900</v>
      </c>
      <c r="H6" s="13">
        <f t="shared" si="0"/>
        <v>1380000</v>
      </c>
    </row>
    <row r="7" spans="1:8" x14ac:dyDescent="0.3">
      <c r="A7" s="90">
        <v>45647</v>
      </c>
      <c r="B7" t="s">
        <v>5</v>
      </c>
      <c r="C7" t="s">
        <v>7</v>
      </c>
      <c r="D7">
        <v>250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10000</v>
      </c>
      <c r="G7" s="92">
        <f>F7*0.3</f>
        <v>3000</v>
      </c>
      <c r="H7" s="13">
        <f t="shared" si="0"/>
        <v>750000</v>
      </c>
    </row>
    <row r="8" spans="1:8" x14ac:dyDescent="0.3">
      <c r="A8" s="90">
        <v>45647</v>
      </c>
      <c r="B8" t="s">
        <v>8</v>
      </c>
      <c r="C8" t="s">
        <v>11</v>
      </c>
      <c r="D8">
        <v>90</v>
      </c>
      <c r="E8" s="92" t="e">
        <f>LOOKUP(1,1/('[1]PURCHASE PRICE'!$B:$B=B8)/('[1]PURCHASE PRICE'!$A:$A=A8)/('[1]PURCHASE PRICE'!$C:$C=C8),'[1]PURCHASE PRICE'!$D:$D)</f>
        <v>#N/A</v>
      </c>
      <c r="F8" s="92" t="e">
        <f>LOOKUP(1,1/('[1]PURCHASE PRICE'!$B:$B=B8)/('[1]PURCHASE PRICE'!$A:$A=A8),'[1]PURCHASE PRICE'!$D:$D)</f>
        <v>#N/A</v>
      </c>
      <c r="G8" s="92">
        <v>8000</v>
      </c>
      <c r="H8" s="13">
        <f t="shared" si="0"/>
        <v>720000</v>
      </c>
    </row>
    <row r="9" spans="1:8" x14ac:dyDescent="0.3">
      <c r="A9" s="90">
        <v>45647</v>
      </c>
      <c r="B9" t="s">
        <v>10</v>
      </c>
      <c r="C9" t="s">
        <v>1</v>
      </c>
      <c r="D9">
        <v>35</v>
      </c>
      <c r="E9" s="92">
        <f>LOOKUP(1,1/('[1]PURCHASE PRICE'!$B:$B=B9)/('[1]PURCHASE PRICE'!$A:$A=A9)/('[1]PURCHASE PRICE'!$C:$C=C9),'[1]PURCHASE PRICE'!$D:$D)</f>
        <v>18000</v>
      </c>
      <c r="F9" s="92">
        <f>LOOKUP(1,1/('[1]PURCHASE PRICE'!$B:$B=B9)/('[1]PURCHASE PRICE'!$A:$A=A9),'[1]PURCHASE PRICE'!$D:$D)</f>
        <v>8500</v>
      </c>
      <c r="G9" s="92">
        <v>18000</v>
      </c>
      <c r="H9" s="13">
        <f t="shared" si="0"/>
        <v>630000</v>
      </c>
    </row>
    <row r="10" spans="1:8" x14ac:dyDescent="0.3">
      <c r="A10" s="90">
        <v>45647</v>
      </c>
      <c r="B10" t="s">
        <v>10</v>
      </c>
      <c r="C10" t="s">
        <v>12</v>
      </c>
      <c r="D10">
        <v>200</v>
      </c>
      <c r="E10" s="92">
        <f>LOOKUP(1,1/('[1]PURCHASE PRICE'!$B:$B=B10)/('[1]PURCHASE PRICE'!$A:$A=A10)/('[1]PURCHASE PRICE'!$C:$C=C10),'[1]PURCHASE PRICE'!$D:$D)</f>
        <v>8500</v>
      </c>
      <c r="F10" s="92">
        <f>LOOKUP(1,1/('[1]PURCHASE PRICE'!$B:$B=B10)/('[1]PURCHASE PRICE'!$A:$A=A10),'[1]PURCHASE PRICE'!$D:$D)</f>
        <v>8500</v>
      </c>
      <c r="G10" s="92">
        <f>F10</f>
        <v>8500</v>
      </c>
      <c r="H10" s="13">
        <f t="shared" si="0"/>
        <v>1700000</v>
      </c>
    </row>
    <row r="11" spans="1:8" x14ac:dyDescent="0.3">
      <c r="A11" s="90">
        <v>45647</v>
      </c>
      <c r="B11" t="s">
        <v>15</v>
      </c>
      <c r="C11" t="s">
        <v>16</v>
      </c>
      <c r="D11">
        <v>30</v>
      </c>
      <c r="E11" s="92">
        <f>LOOKUP(1,1/('[1]PURCHASE PRICE'!$B:$B=B11)/('[1]PURCHASE PRICE'!$A:$A=A11)/('[1]PURCHASE PRICE'!$C:$C=C11),'[1]PURCHASE PRICE'!$D:$D)</f>
        <v>14400</v>
      </c>
      <c r="F11" s="92">
        <f>LOOKUP(1,1/('[1]PURCHASE PRICE'!$B:$B=B11)/('[1]PURCHASE PRICE'!$A:$A=A11),'[1]PURCHASE PRICE'!$D:$D)</f>
        <v>14400</v>
      </c>
      <c r="G11" s="92">
        <f t="shared" ref="G11:G16" si="1">F11</f>
        <v>14400</v>
      </c>
      <c r="H11" s="13">
        <f t="shared" si="0"/>
        <v>432000</v>
      </c>
    </row>
    <row r="12" spans="1:8" x14ac:dyDescent="0.3">
      <c r="A12" s="90">
        <v>45647</v>
      </c>
      <c r="B12" t="s">
        <v>17</v>
      </c>
      <c r="C12" t="s">
        <v>14</v>
      </c>
      <c r="D12">
        <v>150</v>
      </c>
      <c r="E12" s="92">
        <f>LOOKUP(1,1/('[1]PURCHASE PRICE'!$B:$B=B12)/('[1]PURCHASE PRICE'!$A:$A=A12)/('[1]PURCHASE PRICE'!$C:$C=C12),'[1]PURCHASE PRICE'!$D:$D)</f>
        <v>14400</v>
      </c>
      <c r="F12" s="92">
        <f>LOOKUP(1,1/('[1]PURCHASE PRICE'!$B:$B=B12)/('[1]PURCHASE PRICE'!$A:$A=A12),'[1]PURCHASE PRICE'!$D:$D)</f>
        <v>14400</v>
      </c>
      <c r="G12" s="92">
        <f t="shared" si="1"/>
        <v>14400</v>
      </c>
      <c r="H12" s="13">
        <f t="shared" si="0"/>
        <v>2160000</v>
      </c>
    </row>
    <row r="13" spans="1:8" x14ac:dyDescent="0.3">
      <c r="A13" s="90">
        <v>45647</v>
      </c>
      <c r="B13" t="s">
        <v>19</v>
      </c>
      <c r="C13" t="s">
        <v>1</v>
      </c>
      <c r="D13">
        <v>30</v>
      </c>
      <c r="E13" s="92">
        <f>LOOKUP(1,1/('[1]PURCHASE PRICE'!$B:$B=B13)/('[1]PURCHASE PRICE'!$A:$A=A13)/('[1]PURCHASE PRICE'!$C:$C=C13),'[1]PURCHASE PRICE'!$D:$D)</f>
        <v>14000</v>
      </c>
      <c r="F13" s="92">
        <f>LOOKUP(1,1/('[1]PURCHASE PRICE'!$B:$B=B13)/('[1]PURCHASE PRICE'!$A:$A=A13),'[1]PURCHASE PRICE'!$D:$D)</f>
        <v>14000</v>
      </c>
      <c r="G13" s="92">
        <f t="shared" si="1"/>
        <v>14000</v>
      </c>
      <c r="H13" s="13">
        <f t="shared" si="0"/>
        <v>420000</v>
      </c>
    </row>
    <row r="14" spans="1:8" x14ac:dyDescent="0.3">
      <c r="A14" s="90">
        <v>45647</v>
      </c>
      <c r="B14" t="s">
        <v>20</v>
      </c>
      <c r="C14" t="s">
        <v>11</v>
      </c>
      <c r="D14">
        <v>78</v>
      </c>
      <c r="E14" s="92">
        <f>LOOKUP(1,1/('[1]PURCHASE PRICE'!$B:$B=B14)/('[1]PURCHASE PRICE'!$A:$A=A14)/('[1]PURCHASE PRICE'!$C:$C=C14),'[1]PURCHASE PRICE'!$D:$D)</f>
        <v>11000</v>
      </c>
      <c r="F14" s="92">
        <f>LOOKUP(1,1/('[1]PURCHASE PRICE'!$B:$B=B14)/('[1]PURCHASE PRICE'!$A:$A=A14),'[1]PURCHASE PRICE'!$D:$D)</f>
        <v>11000</v>
      </c>
      <c r="G14" s="92">
        <f t="shared" si="1"/>
        <v>11000</v>
      </c>
      <c r="H14" s="13">
        <f t="shared" si="0"/>
        <v>858000</v>
      </c>
    </row>
    <row r="15" spans="1:8" x14ac:dyDescent="0.3">
      <c r="A15" s="90">
        <v>45647</v>
      </c>
      <c r="B15" t="s">
        <v>63</v>
      </c>
      <c r="C15" t="s">
        <v>1</v>
      </c>
      <c r="D15">
        <v>50</v>
      </c>
      <c r="E15" s="92">
        <f>LOOKUP(1,1/('[1]PURCHASE PRICE'!$B:$B=B15)/('[1]PURCHASE PRICE'!$A:$A=A15)/('[1]PURCHASE PRICE'!$C:$C=C15),'[1]PURCHASE PRICE'!$D:$D)</f>
        <v>32000</v>
      </c>
      <c r="F15" s="92">
        <f>LOOKUP(1,1/('[1]PURCHASE PRICE'!$B:$B=B15)/('[1]PURCHASE PRICE'!$A:$A=A15),'[1]PURCHASE PRICE'!$D:$D)</f>
        <v>32000</v>
      </c>
      <c r="G15" s="92">
        <f t="shared" si="1"/>
        <v>32000</v>
      </c>
      <c r="H15" s="13">
        <f t="shared" si="0"/>
        <v>1600000</v>
      </c>
    </row>
    <row r="16" spans="1:8" x14ac:dyDescent="0.3">
      <c r="A16" s="90">
        <v>45647</v>
      </c>
      <c r="B16" t="s">
        <v>21</v>
      </c>
      <c r="C16" t="s">
        <v>22</v>
      </c>
      <c r="D16">
        <v>150</v>
      </c>
      <c r="E16" s="92">
        <f>LOOKUP(1,1/('[1]PURCHASE PRICE'!$B:$B=B16)/('[1]PURCHASE PRICE'!$A:$A=A16)/('[1]PURCHASE PRICE'!$C:$C=C16),'[1]PURCHASE PRICE'!$D:$D)</f>
        <v>4300</v>
      </c>
      <c r="F16" s="92">
        <f>LOOKUP(1,1/('[1]PURCHASE PRICE'!$B:$B=B16)/('[1]PURCHASE PRICE'!$A:$A=A16),'[1]PURCHASE PRICE'!$D:$D)</f>
        <v>4300</v>
      </c>
      <c r="G16" s="92">
        <f t="shared" si="1"/>
        <v>4300</v>
      </c>
      <c r="H16" s="13">
        <f t="shared" si="0"/>
        <v>645000</v>
      </c>
    </row>
    <row r="17" spans="1:8" x14ac:dyDescent="0.3">
      <c r="A17" s="90">
        <v>45647</v>
      </c>
      <c r="B17" t="s">
        <v>21</v>
      </c>
      <c r="C17" t="s">
        <v>23</v>
      </c>
      <c r="D17">
        <v>20</v>
      </c>
      <c r="E17" s="92" t="e">
        <f>LOOKUP(1,1/('[1]PURCHASE PRICE'!$B:$B=B17)/('[1]PURCHASE PRICE'!$A:$A=A17)/('[1]PURCHASE PRICE'!$C:$C=C17),'[1]PURCHASE PRICE'!$D:$D)</f>
        <v>#N/A</v>
      </c>
      <c r="F17" s="92">
        <f>LOOKUP(1,1/('[1]PURCHASE PRICE'!$B:$B=B17)/('[1]PURCHASE PRICE'!$A:$A=A17),'[1]PURCHASE PRICE'!$D:$D)</f>
        <v>4300</v>
      </c>
      <c r="G17" s="92">
        <f>F17/2</f>
        <v>2150</v>
      </c>
      <c r="H17" s="13">
        <f t="shared" si="0"/>
        <v>43000</v>
      </c>
    </row>
    <row r="18" spans="1:8" x14ac:dyDescent="0.3">
      <c r="A18" s="90">
        <v>45647</v>
      </c>
      <c r="B18" t="s">
        <v>24</v>
      </c>
      <c r="C18" t="s">
        <v>25</v>
      </c>
      <c r="D18">
        <v>100</v>
      </c>
      <c r="E18" s="92" t="e">
        <f>LOOKUP(1,1/('[1]PURCHASE PRICE'!$B:$B=B18)/('[1]PURCHASE PRICE'!$A:$A=A18)/('[1]PURCHASE PRICE'!$C:$C=C18),'[1]PURCHASE PRICE'!$D:$D)</f>
        <v>#N/A</v>
      </c>
      <c r="F18" s="92">
        <f>LOOKUP(1,1/('[1]PURCHASE PRICE'!$B:$B=B18)/('[1]PURCHASE PRICE'!$A:$A=A18),'[1]PURCHASE PRICE'!$D:$D)</f>
        <v>13000</v>
      </c>
      <c r="G18" s="92">
        <f>F18/2</f>
        <v>6500</v>
      </c>
      <c r="H18" s="13">
        <f t="shared" si="0"/>
        <v>650000</v>
      </c>
    </row>
    <row r="19" spans="1:8" x14ac:dyDescent="0.3">
      <c r="A19" s="90">
        <v>45647</v>
      </c>
      <c r="B19" t="s">
        <v>26</v>
      </c>
      <c r="C19" t="s">
        <v>11</v>
      </c>
      <c r="D19">
        <v>39</v>
      </c>
      <c r="E19" s="92">
        <f>LOOKUP(1,1/('[1]PURCHASE PRICE'!$B:$B=B19)/('[1]PURCHASE PRICE'!$A:$A=A19)/('[1]PURCHASE PRICE'!$C:$C=C19),'[1]PURCHASE PRICE'!$D:$D)</f>
        <v>6750</v>
      </c>
      <c r="F19" s="92">
        <f>LOOKUP(1,1/('[1]PURCHASE PRICE'!$B:$B=B19)/('[1]PURCHASE PRICE'!$A:$A=A19),'[1]PURCHASE PRICE'!$D:$D)</f>
        <v>6750</v>
      </c>
      <c r="G19" s="92">
        <f>F19</f>
        <v>6750</v>
      </c>
      <c r="H19" s="13">
        <f t="shared" si="0"/>
        <v>263250</v>
      </c>
    </row>
    <row r="20" spans="1:8" x14ac:dyDescent="0.3">
      <c r="A20" s="90">
        <v>45647</v>
      </c>
      <c r="B20" t="s">
        <v>27</v>
      </c>
      <c r="C20" t="s">
        <v>16</v>
      </c>
      <c r="D20">
        <v>20</v>
      </c>
      <c r="E20" s="92">
        <f>LOOKUP(1,1/('[1]PURCHASE PRICE'!$B:$B=B20)/('[1]PURCHASE PRICE'!$A:$A=A20)/('[1]PURCHASE PRICE'!$C:$C=C20),'[1]PURCHASE PRICE'!$D:$D)</f>
        <v>9000</v>
      </c>
      <c r="F20" s="92">
        <f>LOOKUP(1,1/('[1]PURCHASE PRICE'!$B:$B=B20)/('[1]PURCHASE PRICE'!$A:$A=A20),'[1]PURCHASE PRICE'!$D:$D)</f>
        <v>9000</v>
      </c>
      <c r="G20" s="92">
        <f t="shared" ref="G20:G21" si="2">F20</f>
        <v>9000</v>
      </c>
      <c r="H20" s="13">
        <f t="shared" si="0"/>
        <v>180000</v>
      </c>
    </row>
    <row r="21" spans="1:8" x14ac:dyDescent="0.3">
      <c r="A21" s="90">
        <v>45647</v>
      </c>
      <c r="B21" t="s">
        <v>29</v>
      </c>
      <c r="C21" t="s">
        <v>1</v>
      </c>
      <c r="D21">
        <v>50</v>
      </c>
      <c r="E21" s="92">
        <f>LOOKUP(1,1/('[1]PURCHASE PRICE'!$B:$B=B21)/('[1]PURCHASE PRICE'!$A:$A=A21)/('[1]PURCHASE PRICE'!$C:$C=C21),'[1]PURCHASE PRICE'!$D:$D)</f>
        <v>16500</v>
      </c>
      <c r="F21" s="92">
        <f>LOOKUP(1,1/('[1]PURCHASE PRICE'!$B:$B=B21)/('[1]PURCHASE PRICE'!$A:$A=A21),'[1]PURCHASE PRICE'!$D:$D)</f>
        <v>16500</v>
      </c>
      <c r="G21" s="92">
        <f t="shared" si="2"/>
        <v>16500</v>
      </c>
      <c r="H21" s="13">
        <f t="shared" si="0"/>
        <v>825000</v>
      </c>
    </row>
    <row r="22" spans="1:8" x14ac:dyDescent="0.3">
      <c r="A22" s="90">
        <v>45647</v>
      </c>
      <c r="B22" t="s">
        <v>77</v>
      </c>
      <c r="C22" t="s">
        <v>1</v>
      </c>
      <c r="D22">
        <v>20</v>
      </c>
      <c r="E22" s="92" t="e">
        <f>LOOKUP(1,1/('[1]PURCHASE PRICE'!$B:$B=B22)/('[1]PURCHASE PRICE'!$A:$A=A22)/('[1]PURCHASE PRICE'!$C:$C=C22),'[1]PURCHASE PRICE'!$D:$D)</f>
        <v>#N/A</v>
      </c>
      <c r="F22" s="92" t="e">
        <f>LOOKUP(1,1/('[1]PURCHASE PRICE'!$B:$B=B22)/('[1]PURCHASE PRICE'!$A:$A=A22),'[1]PURCHASE PRICE'!$D:$D)</f>
        <v>#N/A</v>
      </c>
      <c r="G22" s="92">
        <v>20000</v>
      </c>
      <c r="H22" s="13">
        <f t="shared" si="0"/>
        <v>400000</v>
      </c>
    </row>
    <row r="23" spans="1:8" x14ac:dyDescent="0.3">
      <c r="A23" s="90">
        <v>45647</v>
      </c>
      <c r="B23" t="s">
        <v>30</v>
      </c>
      <c r="C23" t="s">
        <v>1</v>
      </c>
      <c r="D23">
        <v>100</v>
      </c>
      <c r="E23" s="92">
        <f>LOOKUP(1,1/('[1]PURCHASE PRICE'!$B:$B=B23)/('[1]PURCHASE PRICE'!$A:$A=A23)/('[1]PURCHASE PRICE'!$C:$C=C23),'[1]PURCHASE PRICE'!$D:$D)</f>
        <v>24500</v>
      </c>
      <c r="F23" s="92">
        <f>LOOKUP(1,1/('[1]PURCHASE PRICE'!$B:$B=B23)/('[1]PURCHASE PRICE'!$A:$A=A23),'[1]PURCHASE PRICE'!$D:$D)</f>
        <v>24500</v>
      </c>
      <c r="G23" s="92">
        <v>24500</v>
      </c>
      <c r="H23" s="13">
        <f t="shared" si="0"/>
        <v>2450000</v>
      </c>
    </row>
    <row r="24" spans="1:8" x14ac:dyDescent="0.3">
      <c r="A24" s="90">
        <v>45647</v>
      </c>
      <c r="B24" t="s">
        <v>31</v>
      </c>
      <c r="C24" t="s">
        <v>1</v>
      </c>
      <c r="D24">
        <v>100</v>
      </c>
      <c r="E24" s="92">
        <f>LOOKUP(1,1/('[1]PURCHASE PRICE'!$B:$B=B24)/('[1]PURCHASE PRICE'!$A:$A=A24)/('[1]PURCHASE PRICE'!$C:$C=C24),'[1]PURCHASE PRICE'!$D:$D)</f>
        <v>17000</v>
      </c>
      <c r="F24" s="92">
        <f>LOOKUP(1,1/('[1]PURCHASE PRICE'!$B:$B=B24)/('[1]PURCHASE PRICE'!$A:$A=A24),'[1]PURCHASE PRICE'!$D:$D)</f>
        <v>17000</v>
      </c>
      <c r="G24" s="92">
        <f>F24</f>
        <v>17000</v>
      </c>
      <c r="H24" s="13">
        <f t="shared" si="0"/>
        <v>1700000</v>
      </c>
    </row>
    <row r="25" spans="1:8" x14ac:dyDescent="0.3">
      <c r="A25" s="90">
        <v>45647</v>
      </c>
      <c r="B25" t="s">
        <v>139</v>
      </c>
      <c r="C25" t="s">
        <v>1</v>
      </c>
      <c r="D25">
        <v>40</v>
      </c>
      <c r="E25" s="92">
        <f>LOOKUP(1,1/('[1]PURCHASE PRICE'!$B:$B=B25)/('[1]PURCHASE PRICE'!$A:$A=A25)/('[1]PURCHASE PRICE'!$C:$C=C25),'[1]PURCHASE PRICE'!$D:$D)</f>
        <v>18000</v>
      </c>
      <c r="F25" s="92">
        <f>LOOKUP(1,1/('[1]PURCHASE PRICE'!$B:$B=B25)/('[1]PURCHASE PRICE'!$A:$A=A25),'[1]PURCHASE PRICE'!$D:$D)</f>
        <v>18000</v>
      </c>
      <c r="G25" s="92">
        <f t="shared" ref="G25:G27" si="3">F25</f>
        <v>18000</v>
      </c>
      <c r="H25" s="13">
        <f t="shared" si="0"/>
        <v>720000</v>
      </c>
    </row>
    <row r="26" spans="1:8" x14ac:dyDescent="0.3">
      <c r="A26" s="90">
        <v>45647</v>
      </c>
      <c r="B26" t="s">
        <v>34</v>
      </c>
      <c r="C26" t="s">
        <v>36</v>
      </c>
      <c r="D26">
        <v>40</v>
      </c>
      <c r="E26" s="92">
        <f>LOOKUP(1,1/('[1]PURCHASE PRICE'!$B:$B=B26)/('[1]PURCHASE PRICE'!$A:$A=A26)/('[1]PURCHASE PRICE'!$C:$C=C26),'[1]PURCHASE PRICE'!$D:$D)</f>
        <v>10500</v>
      </c>
      <c r="F26" s="92">
        <f>LOOKUP(1,1/('[1]PURCHASE PRICE'!$B:$B=B26)/('[1]PURCHASE PRICE'!$A:$A=A26),'[1]PURCHASE PRICE'!$D:$D)</f>
        <v>10500</v>
      </c>
      <c r="G26" s="92">
        <f t="shared" si="3"/>
        <v>10500</v>
      </c>
      <c r="H26" s="13">
        <f t="shared" si="0"/>
        <v>420000</v>
      </c>
    </row>
    <row r="27" spans="1:8" x14ac:dyDescent="0.3">
      <c r="A27" s="90">
        <v>45647</v>
      </c>
      <c r="B27" t="s">
        <v>37</v>
      </c>
      <c r="C27" t="s">
        <v>11</v>
      </c>
      <c r="D27">
        <v>800</v>
      </c>
      <c r="E27" s="92">
        <f>LOOKUP(1,1/('[1]PURCHASE PRICE'!$B:$B=B27)/('[1]PURCHASE PRICE'!$A:$A=A27)/('[1]PURCHASE PRICE'!$C:$C=C27),'[1]PURCHASE PRICE'!$D:$D)</f>
        <v>10500</v>
      </c>
      <c r="F27" s="92">
        <f>LOOKUP(1,1/('[1]PURCHASE PRICE'!$B:$B=B27)/('[1]PURCHASE PRICE'!$A:$A=A27),'[1]PURCHASE PRICE'!$D:$D)</f>
        <v>10500</v>
      </c>
      <c r="G27" s="92">
        <f t="shared" si="3"/>
        <v>10500</v>
      </c>
      <c r="H27" s="13">
        <f t="shared" si="0"/>
        <v>8400000</v>
      </c>
    </row>
    <row r="28" spans="1:8" x14ac:dyDescent="0.3">
      <c r="A28" s="90">
        <v>45647</v>
      </c>
      <c r="B28" t="s">
        <v>38</v>
      </c>
      <c r="C28" t="s">
        <v>22</v>
      </c>
      <c r="D28">
        <v>30</v>
      </c>
      <c r="E28" s="92" t="e">
        <f>LOOKUP(1,1/('[1]PURCHASE PRICE'!$B:$B=B28)/('[1]PURCHASE PRICE'!$A:$A=A28)/('[1]PURCHASE PRICE'!$C:$C=C28),'[1]PURCHASE PRICE'!$D:$D)</f>
        <v>#N/A</v>
      </c>
      <c r="F28" s="92">
        <f>LOOKUP(1,1/('[1]PURCHASE PRICE'!$B:$B=B28)/('[1]PURCHASE PRICE'!$A:$A=A28),'[1]PURCHASE PRICE'!$D:$D)</f>
        <v>16000</v>
      </c>
      <c r="G28" s="92">
        <f>F28*0.6</f>
        <v>9600</v>
      </c>
      <c r="H28" s="13">
        <f t="shared" si="0"/>
        <v>288000</v>
      </c>
    </row>
    <row r="29" spans="1:8" x14ac:dyDescent="0.3">
      <c r="A29" s="90">
        <v>45647</v>
      </c>
      <c r="B29" t="s">
        <v>39</v>
      </c>
      <c r="C29" t="s">
        <v>1</v>
      </c>
      <c r="D29">
        <v>50</v>
      </c>
      <c r="E29" s="92">
        <f>LOOKUP(1,1/('[1]PURCHASE PRICE'!$B:$B=B29)/('[1]PURCHASE PRICE'!$A:$A=A29)/('[1]PURCHASE PRICE'!$C:$C=C29),'[1]PURCHASE PRICE'!$D:$D)</f>
        <v>15000</v>
      </c>
      <c r="F29" s="92">
        <f>LOOKUP(1,1/('[1]PURCHASE PRICE'!$B:$B=B29)/('[1]PURCHASE PRICE'!$A:$A=A29),'[1]PURCHASE PRICE'!$D:$D)</f>
        <v>15000</v>
      </c>
      <c r="G29" s="92">
        <f>F29</f>
        <v>15000</v>
      </c>
      <c r="H29" s="13">
        <f t="shared" si="0"/>
        <v>750000</v>
      </c>
    </row>
    <row r="30" spans="1:8" x14ac:dyDescent="0.3">
      <c r="A30" s="90">
        <v>45647</v>
      </c>
      <c r="B30" t="s">
        <v>40</v>
      </c>
      <c r="C30" t="s">
        <v>25</v>
      </c>
      <c r="D30">
        <v>120</v>
      </c>
      <c r="E30" s="92" t="e">
        <f>LOOKUP(1,1/('[1]PURCHASE PRICE'!$B:$B=B30)/('[1]PURCHASE PRICE'!$A:$A=A30)/('[1]PURCHASE PRICE'!$C:$C=C30),'[1]PURCHASE PRICE'!$D:$D)</f>
        <v>#N/A</v>
      </c>
      <c r="F30" s="92">
        <f>LOOKUP(1,1/('[1]PURCHASE PRICE'!$B:$B=B30)/('[1]PURCHASE PRICE'!$A:$A=A30),'[1]PURCHASE PRICE'!$D:$D)</f>
        <v>19000</v>
      </c>
      <c r="G30" s="92">
        <f>F30*0.15</f>
        <v>2850</v>
      </c>
      <c r="H30" s="13">
        <f t="shared" si="0"/>
        <v>342000</v>
      </c>
    </row>
    <row r="31" spans="1:8" x14ac:dyDescent="0.3">
      <c r="A31" s="90">
        <v>45647</v>
      </c>
      <c r="B31" t="s">
        <v>41</v>
      </c>
      <c r="C31" t="s">
        <v>16</v>
      </c>
      <c r="D31">
        <v>35</v>
      </c>
      <c r="E31" s="92" t="e">
        <f>LOOKUP(1,1/('[1]PURCHASE PRICE'!$B:$B=B31)/('[1]PURCHASE PRICE'!$A:$A=A31)/('[1]PURCHASE PRICE'!$C:$C=C31),'[1]PURCHASE PRICE'!$D:$D)</f>
        <v>#N/A</v>
      </c>
      <c r="F31" s="92">
        <f>LOOKUP(1,1/('[1]PURCHASE PRICE'!$B:$B=B31)/('[1]PURCHASE PRICE'!$A:$A=A31),'[1]PURCHASE PRICE'!$D:$D)</f>
        <v>200000</v>
      </c>
      <c r="G31" s="92">
        <f>F31</f>
        <v>200000</v>
      </c>
      <c r="H31" s="13">
        <f t="shared" si="0"/>
        <v>7000000</v>
      </c>
    </row>
    <row r="32" spans="1:8" x14ac:dyDescent="0.3">
      <c r="A32" s="90">
        <v>45647</v>
      </c>
      <c r="B32" t="s">
        <v>42</v>
      </c>
      <c r="C32" t="s">
        <v>1</v>
      </c>
      <c r="D32">
        <v>10</v>
      </c>
      <c r="E32" s="92">
        <f>LOOKUP(1,1/('[1]PURCHASE PRICE'!$B:$B=B32)/('[1]PURCHASE PRICE'!$A:$A=A32)/('[1]PURCHASE PRICE'!$C:$C=C32),'[1]PURCHASE PRICE'!$D:$D)</f>
        <v>49000</v>
      </c>
      <c r="F32" s="92">
        <f>LOOKUP(1,1/('[1]PURCHASE PRICE'!$B:$B=B32)/('[1]PURCHASE PRICE'!$A:$A=A32),'[1]PURCHASE PRICE'!$D:$D)</f>
        <v>49000</v>
      </c>
      <c r="G32" s="92">
        <f t="shared" ref="G32:G35" si="4">F32</f>
        <v>49000</v>
      </c>
      <c r="H32" s="13">
        <f t="shared" si="0"/>
        <v>490000</v>
      </c>
    </row>
    <row r="33" spans="1:8" x14ac:dyDescent="0.3">
      <c r="A33" s="90">
        <v>45647</v>
      </c>
      <c r="B33" t="s">
        <v>43</v>
      </c>
      <c r="C33" t="s">
        <v>1</v>
      </c>
      <c r="D33">
        <v>0</v>
      </c>
      <c r="E33" s="92" t="e">
        <f>LOOKUP(1,1/('[1]PURCHASE PRICE'!$B:$B=B33)/('[1]PURCHASE PRICE'!$A:$A=A33)/('[1]PURCHASE PRICE'!$C:$C=C33),'[1]PURCHASE PRICE'!$D:$D)</f>
        <v>#N/A</v>
      </c>
      <c r="F33" s="92" t="e">
        <f>LOOKUP(1,1/('[1]PURCHASE PRICE'!$B:$B=B33)/('[1]PURCHASE PRICE'!$A:$A=A33),'[1]PURCHASE PRICE'!$D:$D)</f>
        <v>#N/A</v>
      </c>
      <c r="G33" s="92"/>
      <c r="H33" s="13">
        <f t="shared" si="0"/>
        <v>0</v>
      </c>
    </row>
    <row r="34" spans="1:8" x14ac:dyDescent="0.3">
      <c r="A34" s="90">
        <v>45647</v>
      </c>
      <c r="B34" t="s">
        <v>45</v>
      </c>
      <c r="C34" t="s">
        <v>22</v>
      </c>
      <c r="D34">
        <v>400</v>
      </c>
      <c r="E34" s="92">
        <f>LOOKUP(1,1/('[1]PURCHASE PRICE'!$B:$B=B34)/('[1]PURCHASE PRICE'!$A:$A=A34)/('[1]PURCHASE PRICE'!$C:$C=C34),'[1]PURCHASE PRICE'!$D:$D)</f>
        <v>2000</v>
      </c>
      <c r="F34" s="92">
        <f>LOOKUP(1,1/('[1]PURCHASE PRICE'!$B:$B=B34)/('[1]PURCHASE PRICE'!$A:$A=A34),'[1]PURCHASE PRICE'!$D:$D)</f>
        <v>2000</v>
      </c>
      <c r="G34" s="92">
        <f t="shared" si="4"/>
        <v>2000</v>
      </c>
      <c r="H34" s="13">
        <f t="shared" si="0"/>
        <v>800000</v>
      </c>
    </row>
    <row r="35" spans="1:8" x14ac:dyDescent="0.3">
      <c r="A35" s="90">
        <v>45647</v>
      </c>
      <c r="B35" t="s">
        <v>46</v>
      </c>
      <c r="C35" t="s">
        <v>1</v>
      </c>
      <c r="D35">
        <v>30</v>
      </c>
      <c r="E35" s="92">
        <f>LOOKUP(1,1/('[1]PURCHASE PRICE'!$B:$B=B35)/('[1]PURCHASE PRICE'!$A:$A=A35)/('[1]PURCHASE PRICE'!$C:$C=C35),'[1]PURCHASE PRICE'!$D:$D)</f>
        <v>45000</v>
      </c>
      <c r="F35" s="92">
        <f>LOOKUP(1,1/('[1]PURCHASE PRICE'!$B:$B=B35)/('[1]PURCHASE PRICE'!$A:$A=A35),'[1]PURCHASE PRICE'!$D:$D)</f>
        <v>45000</v>
      </c>
      <c r="G35" s="92">
        <f t="shared" si="4"/>
        <v>45000</v>
      </c>
      <c r="H35" s="13">
        <f t="shared" si="0"/>
        <v>1350000</v>
      </c>
    </row>
    <row r="36" spans="1:8" x14ac:dyDescent="0.3">
      <c r="A36" s="90">
        <v>45647</v>
      </c>
      <c r="B36" t="s">
        <v>70</v>
      </c>
      <c r="C36" t="s">
        <v>11</v>
      </c>
      <c r="D36">
        <v>15</v>
      </c>
      <c r="E36" s="92" t="e">
        <f>LOOKUP(1,1/('[1]PURCHASE PRICE'!$B:$B=B36)/('[1]PURCHASE PRICE'!$A:$A=A36)/('[1]PURCHASE PRICE'!$C:$C=C36),'[1]PURCHASE PRICE'!$D:$D)</f>
        <v>#N/A</v>
      </c>
      <c r="F36" s="92" t="e">
        <f>LOOKUP(1,1/('[1]PURCHASE PRICE'!$B:$B=B36)/('[1]PURCHASE PRICE'!$A:$A=A36),'[1]PURCHASE PRICE'!$D:$D)</f>
        <v>#N/A</v>
      </c>
      <c r="G36" s="92">
        <f>+((28000+36000+20000)/3)*0.35</f>
        <v>9800</v>
      </c>
      <c r="H36" s="13">
        <f t="shared" si="0"/>
        <v>147000</v>
      </c>
    </row>
    <row r="37" spans="1:8" x14ac:dyDescent="0.3">
      <c r="A37" s="90">
        <v>45647</v>
      </c>
      <c r="B37" t="s">
        <v>47</v>
      </c>
      <c r="C37" t="s">
        <v>7</v>
      </c>
      <c r="D37">
        <v>300</v>
      </c>
      <c r="E37" s="92" t="e">
        <f>LOOKUP(1,1/('[1]PURCHASE PRICE'!$B:$B=B37)/('[1]PURCHASE PRICE'!$A:$A=A37)/('[1]PURCHASE PRICE'!$C:$C=C37),'[1]PURCHASE PRICE'!$D:$D)</f>
        <v>#N/A</v>
      </c>
      <c r="F37" s="92">
        <f>LOOKUP(1,1/('[1]PURCHASE PRICE'!$B:$B=B37)/('[1]PURCHASE PRICE'!$A:$A=A37),'[1]PURCHASE PRICE'!$D:$D)</f>
        <v>32000</v>
      </c>
      <c r="G37" s="92">
        <f>F37*0.25</f>
        <v>8000</v>
      </c>
      <c r="H37" s="13">
        <f t="shared" si="0"/>
        <v>2400000</v>
      </c>
    </row>
    <row r="38" spans="1:8" x14ac:dyDescent="0.3">
      <c r="A38" s="90">
        <v>45647</v>
      </c>
      <c r="B38" t="s">
        <v>50</v>
      </c>
      <c r="C38" t="s">
        <v>7</v>
      </c>
      <c r="D38">
        <v>300</v>
      </c>
      <c r="E38" s="92" t="e">
        <f>LOOKUP(1,1/('[1]PURCHASE PRICE'!$B:$B=B38)/('[1]PURCHASE PRICE'!$A:$A=A38)/('[1]PURCHASE PRICE'!$C:$C=C38),'[1]PURCHASE PRICE'!$D:$D)</f>
        <v>#N/A</v>
      </c>
      <c r="F38" s="92">
        <f>LOOKUP(1,1/('[1]PURCHASE PRICE'!$B:$B=B38)/('[1]PURCHASE PRICE'!$A:$A=A38),'[1]PURCHASE PRICE'!$D:$D)</f>
        <v>36000</v>
      </c>
      <c r="G38" s="92">
        <f t="shared" ref="G38:G39" si="5">F38*0.25</f>
        <v>9000</v>
      </c>
      <c r="H38" s="13">
        <f t="shared" si="0"/>
        <v>2700000</v>
      </c>
    </row>
    <row r="39" spans="1:8" x14ac:dyDescent="0.3">
      <c r="A39" s="90">
        <v>45647</v>
      </c>
      <c r="B39" t="s">
        <v>51</v>
      </c>
      <c r="C39" t="s">
        <v>7</v>
      </c>
      <c r="D39">
        <v>0</v>
      </c>
      <c r="E39" s="92" t="e">
        <f>LOOKUP(1,1/('[1]PURCHASE PRICE'!$B:$B=B39)/('[1]PURCHASE PRICE'!$A:$A=A39)/('[1]PURCHASE PRICE'!$C:$C=C39),'[1]PURCHASE PRICE'!$D:$D)</f>
        <v>#N/A</v>
      </c>
      <c r="F39" s="92">
        <f>LOOKUP(1,1/('[1]PURCHASE PRICE'!$B:$B=B39)/('[1]PURCHASE PRICE'!$A:$A=A39),'[1]PURCHASE PRICE'!$D:$D)</f>
        <v>20000</v>
      </c>
      <c r="G39" s="92">
        <f t="shared" si="5"/>
        <v>5000</v>
      </c>
      <c r="H39" s="13">
        <f t="shared" si="0"/>
        <v>0</v>
      </c>
    </row>
    <row r="40" spans="1:8" x14ac:dyDescent="0.3">
      <c r="A40" s="90">
        <v>45647</v>
      </c>
      <c r="B40" t="s">
        <v>52</v>
      </c>
      <c r="C40" t="s">
        <v>22</v>
      </c>
      <c r="D40">
        <v>150</v>
      </c>
      <c r="E40" s="92">
        <f>LOOKUP(1,1/('[1]PURCHASE PRICE'!$B:$B=B40)/('[1]PURCHASE PRICE'!$A:$A=A40)/('[1]PURCHASE PRICE'!$C:$C=C40),'[1]PURCHASE PRICE'!$D:$D)</f>
        <v>23000</v>
      </c>
      <c r="F40" s="92">
        <f>LOOKUP(1,1/('[1]PURCHASE PRICE'!$B:$B=B40)/('[1]PURCHASE PRICE'!$A:$A=A40),'[1]PURCHASE PRICE'!$D:$D)</f>
        <v>21000</v>
      </c>
      <c r="G40" s="92">
        <v>22000</v>
      </c>
      <c r="H40" s="13">
        <f t="shared" si="0"/>
        <v>3300000</v>
      </c>
    </row>
    <row r="41" spans="1:8" x14ac:dyDescent="0.3">
      <c r="A41" s="90">
        <v>45647</v>
      </c>
      <c r="B41" t="s">
        <v>53</v>
      </c>
      <c r="C41" t="s">
        <v>1</v>
      </c>
      <c r="D41">
        <v>10</v>
      </c>
      <c r="E41" s="92">
        <f>LOOKUP(1,1/('[1]PURCHASE PRICE'!$B:$B=B41)/('[1]PURCHASE PRICE'!$A:$A=A41)/('[1]PURCHASE PRICE'!$C:$C=C41),'[1]PURCHASE PRICE'!$D:$D)</f>
        <v>48000</v>
      </c>
      <c r="F41" s="92">
        <f>LOOKUP(1,1/('[1]PURCHASE PRICE'!$B:$B=B41)/('[1]PURCHASE PRICE'!$A:$A=A41),'[1]PURCHASE PRICE'!$D:$D)</f>
        <v>48000</v>
      </c>
      <c r="G41" s="92">
        <f>F41</f>
        <v>48000</v>
      </c>
      <c r="H41" s="13">
        <f t="shared" si="0"/>
        <v>480000</v>
      </c>
    </row>
    <row r="42" spans="1:8" x14ac:dyDescent="0.3">
      <c r="A42" s="90">
        <v>45647</v>
      </c>
      <c r="B42" t="s">
        <v>54</v>
      </c>
      <c r="C42" t="s">
        <v>1</v>
      </c>
      <c r="D42">
        <v>120</v>
      </c>
      <c r="E42" s="92">
        <f>LOOKUP(1,1/('[1]PURCHASE PRICE'!$B:$B=B42)/('[1]PURCHASE PRICE'!$A:$A=A42)/('[1]PURCHASE PRICE'!$C:$C=C42),'[1]PURCHASE PRICE'!$D:$D)</f>
        <v>33000</v>
      </c>
      <c r="F42" s="92">
        <f>LOOKUP(1,1/('[1]PURCHASE PRICE'!$B:$B=B42)/('[1]PURCHASE PRICE'!$A:$A=A42),'[1]PURCHASE PRICE'!$D:$D)</f>
        <v>33000</v>
      </c>
      <c r="G42" s="92">
        <f t="shared" ref="G42:G49" si="6">F42</f>
        <v>33000</v>
      </c>
      <c r="H42" s="13">
        <f t="shared" si="0"/>
        <v>3960000</v>
      </c>
    </row>
    <row r="43" spans="1:8" x14ac:dyDescent="0.3">
      <c r="A43" s="90">
        <v>45647</v>
      </c>
      <c r="B43" t="s">
        <v>55</v>
      </c>
      <c r="C43" t="s">
        <v>25</v>
      </c>
      <c r="D43">
        <v>80</v>
      </c>
      <c r="E43" s="92">
        <f>LOOKUP(1,1/('[1]PURCHASE PRICE'!$B:$B=B43)/('[1]PURCHASE PRICE'!$A:$A=A43)/('[1]PURCHASE PRICE'!$C:$C=C43),'[1]PURCHASE PRICE'!$D:$D)</f>
        <v>6000</v>
      </c>
      <c r="F43" s="92">
        <f>LOOKUP(1,1/('[1]PURCHASE PRICE'!$B:$B=B43)/('[1]PURCHASE PRICE'!$A:$A=A43),'[1]PURCHASE PRICE'!$D:$D)</f>
        <v>6000</v>
      </c>
      <c r="G43" s="92">
        <f t="shared" si="6"/>
        <v>6000</v>
      </c>
      <c r="H43" s="13">
        <f t="shared" si="0"/>
        <v>480000</v>
      </c>
    </row>
    <row r="44" spans="1:8" x14ac:dyDescent="0.3">
      <c r="A44" s="90">
        <v>45647</v>
      </c>
      <c r="B44" t="s">
        <v>56</v>
      </c>
      <c r="C44" t="s">
        <v>1</v>
      </c>
      <c r="D44">
        <v>60</v>
      </c>
      <c r="E44" s="92">
        <f>LOOKUP(1,1/('[1]PURCHASE PRICE'!$B:$B=B44)/('[1]PURCHASE PRICE'!$A:$A=A44)/('[1]PURCHASE PRICE'!$C:$C=C44),'[1]PURCHASE PRICE'!$D:$D)</f>
        <v>28000</v>
      </c>
      <c r="F44" s="92">
        <f>LOOKUP(1,1/('[1]PURCHASE PRICE'!$B:$B=B44)/('[1]PURCHASE PRICE'!$A:$A=A44),'[1]PURCHASE PRICE'!$D:$D)</f>
        <v>28000</v>
      </c>
      <c r="G44" s="92">
        <f t="shared" si="6"/>
        <v>28000</v>
      </c>
      <c r="H44" s="13">
        <f t="shared" si="0"/>
        <v>1680000</v>
      </c>
    </row>
    <row r="45" spans="1:8" x14ac:dyDescent="0.3">
      <c r="A45" s="90">
        <v>45647</v>
      </c>
      <c r="B45" t="s">
        <v>57</v>
      </c>
      <c r="C45" t="s">
        <v>25</v>
      </c>
      <c r="D45">
        <v>20</v>
      </c>
      <c r="E45" s="92">
        <f>LOOKUP(1,1/('[1]PURCHASE PRICE'!$B:$B=B45)/('[1]PURCHASE PRICE'!$A:$A=A45)/('[1]PURCHASE PRICE'!$C:$C=C45),'[1]PURCHASE PRICE'!$D:$D)</f>
        <v>6800</v>
      </c>
      <c r="F45" s="92">
        <f>LOOKUP(1,1/('[1]PURCHASE PRICE'!$B:$B=B45)/('[1]PURCHASE PRICE'!$A:$A=A45),'[1]PURCHASE PRICE'!$D:$D)</f>
        <v>6800</v>
      </c>
      <c r="G45" s="92">
        <f t="shared" si="6"/>
        <v>6800</v>
      </c>
      <c r="H45" s="13">
        <f t="shared" si="0"/>
        <v>136000</v>
      </c>
    </row>
    <row r="46" spans="1:8" x14ac:dyDescent="0.3">
      <c r="A46" s="90">
        <v>45647</v>
      </c>
      <c r="B46" t="s">
        <v>58</v>
      </c>
      <c r="C46" t="s">
        <v>1</v>
      </c>
      <c r="D46">
        <v>30</v>
      </c>
      <c r="E46" s="92">
        <f>LOOKUP(1,1/('[1]PURCHASE PRICE'!$B:$B=B46)/('[1]PURCHASE PRICE'!$A:$A=A46)/('[1]PURCHASE PRICE'!$C:$C=C46),'[1]PURCHASE PRICE'!$D:$D)</f>
        <v>20000</v>
      </c>
      <c r="F46" s="92">
        <f>LOOKUP(1,1/('[1]PURCHASE PRICE'!$B:$B=B46)/('[1]PURCHASE PRICE'!$A:$A=A46),'[1]PURCHASE PRICE'!$D:$D)</f>
        <v>20000</v>
      </c>
      <c r="G46" s="92">
        <f t="shared" si="6"/>
        <v>20000</v>
      </c>
      <c r="H46" s="13">
        <f t="shared" si="0"/>
        <v>600000</v>
      </c>
    </row>
    <row r="47" spans="1:8" x14ac:dyDescent="0.3">
      <c r="A47" s="90">
        <v>45647</v>
      </c>
      <c r="B47" t="s">
        <v>59</v>
      </c>
      <c r="C47" t="s">
        <v>1</v>
      </c>
      <c r="D47">
        <v>2</v>
      </c>
      <c r="E47" s="92">
        <f>LOOKUP(1,1/('[1]PURCHASE PRICE'!$B:$B=B47)/('[1]PURCHASE PRICE'!$A:$A=A47)/('[1]PURCHASE PRICE'!$C:$C=C47),'[1]PURCHASE PRICE'!$D:$D)</f>
        <v>140000</v>
      </c>
      <c r="F47" s="92">
        <f>LOOKUP(1,1/('[1]PURCHASE PRICE'!$B:$B=B47)/('[1]PURCHASE PRICE'!$A:$A=A47),'[1]PURCHASE PRICE'!$D:$D)</f>
        <v>140000</v>
      </c>
      <c r="G47" s="92">
        <f t="shared" si="6"/>
        <v>140000</v>
      </c>
      <c r="H47" s="13">
        <f t="shared" si="0"/>
        <v>280000</v>
      </c>
    </row>
    <row r="48" spans="1:8" x14ac:dyDescent="0.3">
      <c r="A48" s="90">
        <v>45647</v>
      </c>
      <c r="B48" t="s">
        <v>60</v>
      </c>
      <c r="C48" t="s">
        <v>1</v>
      </c>
      <c r="D48">
        <v>5</v>
      </c>
      <c r="E48" s="92">
        <f>LOOKUP(1,1/('[1]PURCHASE PRICE'!$B:$B=B48)/('[1]PURCHASE PRICE'!$A:$A=A48)/('[1]PURCHASE PRICE'!$C:$C=C48),'[1]PURCHASE PRICE'!$D:$D)</f>
        <v>10000</v>
      </c>
      <c r="F48" s="92">
        <f>LOOKUP(1,1/('[1]PURCHASE PRICE'!$B:$B=B48)/('[1]PURCHASE PRICE'!$A:$A=A48),'[1]PURCHASE PRICE'!$D:$D)</f>
        <v>10000</v>
      </c>
      <c r="G48" s="92">
        <f t="shared" si="6"/>
        <v>10000</v>
      </c>
      <c r="H48" s="13">
        <f t="shared" si="0"/>
        <v>50000</v>
      </c>
    </row>
    <row r="49" spans="1:8" x14ac:dyDescent="0.3">
      <c r="A49" s="90">
        <v>45647</v>
      </c>
      <c r="B49" t="s">
        <v>61</v>
      </c>
      <c r="C49" t="s">
        <v>25</v>
      </c>
      <c r="D49">
        <v>20</v>
      </c>
      <c r="E49" s="92">
        <f>LOOKUP(1,1/('[1]PURCHASE PRICE'!$B:$B=B49)/('[1]PURCHASE PRICE'!$A:$A=A49)/('[1]PURCHASE PRICE'!$C:$C=C49),'[1]PURCHASE PRICE'!$D:$D)</f>
        <v>6800</v>
      </c>
      <c r="F49" s="92">
        <f>LOOKUP(1,1/('[1]PURCHASE PRICE'!$B:$B=B49)/('[1]PURCHASE PRICE'!$A:$A=A49),'[1]PURCHASE PRICE'!$D:$D)</f>
        <v>6800</v>
      </c>
      <c r="G49" s="92">
        <f t="shared" si="6"/>
        <v>6800</v>
      </c>
      <c r="H49" s="13">
        <f t="shared" si="0"/>
        <v>136000</v>
      </c>
    </row>
    <row r="50" spans="1:8" x14ac:dyDescent="0.3">
      <c r="A50" s="90">
        <v>45647</v>
      </c>
      <c r="B50" t="s">
        <v>32</v>
      </c>
      <c r="C50" t="s">
        <v>1</v>
      </c>
      <c r="D50">
        <v>20</v>
      </c>
      <c r="E50" s="92" t="e">
        <f>LOOKUP(1,1/('[1]PURCHASE PRICE'!$B:$B=B50)/('[1]PURCHASE PRICE'!$A:$A=A50)/('[1]PURCHASE PRICE'!$C:$C=C50),'[1]PURCHASE PRICE'!$D:$D)</f>
        <v>#N/A</v>
      </c>
      <c r="F50" s="92" t="e">
        <f>LOOKUP(1,1/('[1]PURCHASE PRICE'!$B:$B=B50)/('[1]PURCHASE PRICE'!$A:$A=A50),'[1]PURCHASE PRICE'!$D:$D)</f>
        <v>#N/A</v>
      </c>
      <c r="G50" s="92">
        <v>25000</v>
      </c>
      <c r="H50" s="13">
        <f t="shared" si="0"/>
        <v>500000</v>
      </c>
    </row>
    <row r="51" spans="1:8" x14ac:dyDescent="0.3">
      <c r="A51" s="90">
        <v>45647</v>
      </c>
      <c r="B51" t="s">
        <v>222</v>
      </c>
      <c r="C51" t="s">
        <v>140</v>
      </c>
      <c r="D51">
        <v>80</v>
      </c>
      <c r="E51" s="92" t="e">
        <f>LOOKUP(1,1/('[1]PURCHASE PRICE'!$B:$B=B51)/('[1]PURCHASE PRICE'!$A:$A=A51)/('[1]PURCHASE PRICE'!$C:$C=C51),'[1]PURCHASE PRICE'!$D:$D)</f>
        <v>#N/A</v>
      </c>
      <c r="F51" s="92" t="e">
        <f>LOOKUP(1,1/('[1]PURCHASE PRICE'!$B:$B=B51)/('[1]PURCHASE PRICE'!$A:$A=A51),'[1]PURCHASE PRICE'!$D:$D)</f>
        <v>#N/A</v>
      </c>
      <c r="G51" s="92">
        <v>0</v>
      </c>
      <c r="H51" s="13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4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4" max="4" width="10.5546875" bestFit="1" customWidth="1"/>
    <col min="5" max="6" width="8.77734375" bestFit="1" customWidth="1"/>
    <col min="7" max="7" width="11.33203125" style="92" bestFit="1" customWidth="1"/>
    <col min="8" max="8" width="14.88671875" bestFit="1" customWidth="1"/>
  </cols>
  <sheetData>
    <row r="1" spans="1:8" x14ac:dyDescent="0.3">
      <c r="B1" t="s">
        <v>221</v>
      </c>
      <c r="D1" s="90">
        <v>45646</v>
      </c>
      <c r="H1" s="91">
        <f>SUM(H3:H54)</f>
        <v>56770900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v>45646</v>
      </c>
      <c r="B3" t="s">
        <v>72</v>
      </c>
      <c r="C3" t="s">
        <v>1</v>
      </c>
      <c r="D3">
        <v>20</v>
      </c>
      <c r="E3" s="92">
        <f>LOOKUP(1,1/('[1]PURCHASE PRICE'!$B:$B=B3)/('[1]PURCHASE PRICE'!$A:$A=A3)/('[1]PURCHASE PRICE'!$C:$C=C3),'[1]PURCHASE PRICE'!$D:$D)</f>
        <v>7000</v>
      </c>
      <c r="F3" s="92">
        <f>LOOKUP(1,1/('[1]PURCHASE PRICE'!$B:$B=B3)/('[1]PURCHASE PRICE'!$A:$A=A3),'[1]PURCHASE PRICE'!$D:$D)</f>
        <v>7000</v>
      </c>
      <c r="G3" s="92">
        <f>F3</f>
        <v>7000</v>
      </c>
      <c r="H3" s="13">
        <f>G3*D3</f>
        <v>140000</v>
      </c>
    </row>
    <row r="4" spans="1:8" x14ac:dyDescent="0.3">
      <c r="A4" s="90">
        <v>45646</v>
      </c>
      <c r="B4" t="s">
        <v>73</v>
      </c>
      <c r="C4" t="s">
        <v>1</v>
      </c>
      <c r="D4">
        <v>30</v>
      </c>
      <c r="E4" s="92" t="e">
        <f>LOOKUP(1,1/('[1]PURCHASE PRICE'!$B:$B=B4)/('[1]PURCHASE PRICE'!$A:$A=A4)/('[1]PURCHASE PRICE'!$C:$C=C4),'[1]PURCHASE PRICE'!$D:$D)</f>
        <v>#N/A</v>
      </c>
      <c r="F4" s="92" t="e">
        <f>LOOKUP(1,1/('[1]PURCHASE PRICE'!$B:$B=B4)/('[1]PURCHASE PRICE'!$A:$A=A4),'[1]PURCHASE PRICE'!$D:$D)</f>
        <v>#N/A</v>
      </c>
      <c r="G4" s="92">
        <v>7000</v>
      </c>
      <c r="H4" s="13">
        <f t="shared" ref="H4:H54" si="0">G4*D4</f>
        <v>210000</v>
      </c>
    </row>
    <row r="5" spans="1:8" x14ac:dyDescent="0.3">
      <c r="A5" s="90">
        <v>45646</v>
      </c>
      <c r="B5" t="s">
        <v>2</v>
      </c>
      <c r="C5" t="s">
        <v>1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G5" s="92">
        <v>0</v>
      </c>
      <c r="H5" s="13">
        <f t="shared" si="0"/>
        <v>0</v>
      </c>
    </row>
    <row r="6" spans="1:8" x14ac:dyDescent="0.3">
      <c r="A6" s="90">
        <v>45646</v>
      </c>
      <c r="B6" t="s">
        <v>3</v>
      </c>
      <c r="C6" t="s">
        <v>1</v>
      </c>
      <c r="D6">
        <v>0</v>
      </c>
      <c r="E6" s="92">
        <f>LOOKUP(1,1/('[1]PURCHASE PRICE'!$B:$B=B6)/('[1]PURCHASE PRICE'!$A:$A=A6)/('[1]PURCHASE PRICE'!$C:$C=C6),'[1]PURCHASE PRICE'!$D:$D)</f>
        <v>23000</v>
      </c>
      <c r="F6" s="92">
        <f>LOOKUP(1,1/('[1]PURCHASE PRICE'!$B:$B=B6)/('[1]PURCHASE PRICE'!$A:$A=A6),'[1]PURCHASE PRICE'!$D:$D)</f>
        <v>23000</v>
      </c>
      <c r="G6" s="92">
        <f>F6</f>
        <v>23000</v>
      </c>
      <c r="H6" s="13">
        <f t="shared" si="0"/>
        <v>0</v>
      </c>
    </row>
    <row r="7" spans="1:8" x14ac:dyDescent="0.3">
      <c r="A7" s="90">
        <v>45646</v>
      </c>
      <c r="B7" t="s">
        <v>3</v>
      </c>
      <c r="C7" t="s">
        <v>7</v>
      </c>
      <c r="D7">
        <v>300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23000</v>
      </c>
      <c r="G7" s="92">
        <f>23000*0.3</f>
        <v>6900</v>
      </c>
      <c r="H7" s="13">
        <f t="shared" si="0"/>
        <v>2070000</v>
      </c>
    </row>
    <row r="8" spans="1:8" x14ac:dyDescent="0.3">
      <c r="A8" s="90">
        <v>45646</v>
      </c>
      <c r="B8" t="s">
        <v>8</v>
      </c>
      <c r="C8" t="s">
        <v>11</v>
      </c>
      <c r="D8">
        <v>60</v>
      </c>
      <c r="E8" s="92">
        <f>LOOKUP(1,1/('[1]PURCHASE PRICE'!$B:$B=B8)/('[1]PURCHASE PRICE'!$A:$A=A8)/('[1]PURCHASE PRICE'!$C:$C=C8),'[1]PURCHASE PRICE'!$D:$D)</f>
        <v>8000</v>
      </c>
      <c r="F8" s="92">
        <f>LOOKUP(1,1/('[1]PURCHASE PRICE'!$B:$B=B8)/('[1]PURCHASE PRICE'!$A:$A=A8),'[1]PURCHASE PRICE'!$D:$D)</f>
        <v>8000</v>
      </c>
      <c r="G8" s="92">
        <f t="shared" ref="G8:G10" si="1">F8</f>
        <v>8000</v>
      </c>
      <c r="H8" s="13">
        <f t="shared" si="0"/>
        <v>480000</v>
      </c>
    </row>
    <row r="9" spans="1:8" x14ac:dyDescent="0.3">
      <c r="A9" s="90">
        <v>45646</v>
      </c>
      <c r="B9" t="s">
        <v>9</v>
      </c>
      <c r="C9" t="s">
        <v>1</v>
      </c>
      <c r="D9">
        <v>200</v>
      </c>
      <c r="E9" s="92">
        <f>LOOKUP(1,1/('[1]PURCHASE PRICE'!$B:$B=B9)/('[1]PURCHASE PRICE'!$A:$A=A9)/('[1]PURCHASE PRICE'!$C:$C=C9),'[1]PURCHASE PRICE'!$D:$D)</f>
        <v>18000</v>
      </c>
      <c r="F9" s="92">
        <f>LOOKUP(1,1/('[1]PURCHASE PRICE'!$B:$B=B9)/('[1]PURCHASE PRICE'!$A:$A=A9),'[1]PURCHASE PRICE'!$D:$D)</f>
        <v>18000</v>
      </c>
      <c r="G9" s="92">
        <f t="shared" si="1"/>
        <v>18000</v>
      </c>
      <c r="H9" s="13">
        <f t="shared" si="0"/>
        <v>3600000</v>
      </c>
    </row>
    <row r="10" spans="1:8" x14ac:dyDescent="0.3">
      <c r="A10" s="90">
        <v>45646</v>
      </c>
      <c r="B10" t="s">
        <v>10</v>
      </c>
      <c r="C10" t="s">
        <v>1</v>
      </c>
      <c r="D10">
        <v>40</v>
      </c>
      <c r="E10" s="92">
        <f>LOOKUP(1,1/('[1]PURCHASE PRICE'!$B:$B=B10)/('[1]PURCHASE PRICE'!$A:$A=A10)/('[1]PURCHASE PRICE'!$C:$C=C10),'[1]PURCHASE PRICE'!$D:$D)</f>
        <v>14000</v>
      </c>
      <c r="F10" s="92">
        <f>LOOKUP(1,1/('[1]PURCHASE PRICE'!$B:$B=B10)/('[1]PURCHASE PRICE'!$A:$A=A10),'[1]PURCHASE PRICE'!$D:$D)</f>
        <v>14000</v>
      </c>
      <c r="G10" s="92">
        <f t="shared" si="1"/>
        <v>14000</v>
      </c>
      <c r="H10" s="13">
        <f t="shared" si="0"/>
        <v>560000</v>
      </c>
    </row>
    <row r="11" spans="1:8" x14ac:dyDescent="0.3">
      <c r="A11" s="90">
        <v>45646</v>
      </c>
      <c r="B11" t="s">
        <v>10</v>
      </c>
      <c r="C11" t="s">
        <v>12</v>
      </c>
      <c r="D11">
        <v>200</v>
      </c>
      <c r="E11" s="92">
        <f>LOOKUP(1,1/('[1]PURCHASE PRICE'!$B:$B=B11)/('[1]PURCHASE PRICE'!$A:$A=A11)/('[1]PURCHASE PRICE'!$C:$C=C11),'[1]PURCHASE PRICE'!$D:$D)</f>
        <v>9500</v>
      </c>
      <c r="F11" s="92">
        <f>LOOKUP(1,1/('[1]PURCHASE PRICE'!$B:$B=B11)/('[1]PURCHASE PRICE'!$A:$A=A11),'[1]PURCHASE PRICE'!$D:$D)</f>
        <v>14000</v>
      </c>
      <c r="G11" s="92">
        <f>E11</f>
        <v>9500</v>
      </c>
      <c r="H11" s="13">
        <f t="shared" si="0"/>
        <v>1900000</v>
      </c>
    </row>
    <row r="12" spans="1:8" x14ac:dyDescent="0.3">
      <c r="A12" s="90">
        <v>45646</v>
      </c>
      <c r="B12" t="s">
        <v>13</v>
      </c>
      <c r="C12" t="s">
        <v>14</v>
      </c>
      <c r="D12">
        <v>250</v>
      </c>
      <c r="E12" s="92">
        <f>LOOKUP(1,1/('[1]PURCHASE PRICE'!$B:$B=B12)/('[1]PURCHASE PRICE'!$A:$A=A12)/('[1]PURCHASE PRICE'!$C:$C=C12),'[1]PURCHASE PRICE'!$D:$D)</f>
        <v>9000</v>
      </c>
      <c r="F12" s="92">
        <f>LOOKUP(1,1/('[1]PURCHASE PRICE'!$B:$B=B12)/('[1]PURCHASE PRICE'!$A:$A=A12),'[1]PURCHASE PRICE'!$D:$D)</f>
        <v>9000</v>
      </c>
      <c r="G12" s="92">
        <f>F12</f>
        <v>9000</v>
      </c>
      <c r="H12" s="13">
        <f t="shared" si="0"/>
        <v>2250000</v>
      </c>
    </row>
    <row r="13" spans="1:8" x14ac:dyDescent="0.3">
      <c r="A13" s="90">
        <v>45646</v>
      </c>
      <c r="B13" t="s">
        <v>15</v>
      </c>
      <c r="C13" t="s">
        <v>16</v>
      </c>
      <c r="D13">
        <v>50</v>
      </c>
      <c r="E13" s="92">
        <f>LOOKUP(1,1/('[1]PURCHASE PRICE'!$B:$B=B13)/('[1]PURCHASE PRICE'!$A:$A=A13)/('[1]PURCHASE PRICE'!$C:$C=C13),'[1]PURCHASE PRICE'!$D:$D)</f>
        <v>15000</v>
      </c>
      <c r="F13" s="92">
        <f>LOOKUP(1,1/('[1]PURCHASE PRICE'!$B:$B=B13)/('[1]PURCHASE PRICE'!$A:$A=A13),'[1]PURCHASE PRICE'!$D:$D)</f>
        <v>15000</v>
      </c>
      <c r="G13" s="92">
        <f t="shared" ref="G13:G19" si="2">F13</f>
        <v>15000</v>
      </c>
      <c r="H13" s="13">
        <f t="shared" si="0"/>
        <v>750000</v>
      </c>
    </row>
    <row r="14" spans="1:8" x14ac:dyDescent="0.3">
      <c r="A14" s="90">
        <v>45646</v>
      </c>
      <c r="B14" t="s">
        <v>17</v>
      </c>
      <c r="C14" t="s">
        <v>14</v>
      </c>
      <c r="D14">
        <v>146</v>
      </c>
      <c r="E14" s="92">
        <f>LOOKUP(1,1/('[1]PURCHASE PRICE'!$B:$B=B14)/('[1]PURCHASE PRICE'!$A:$A=A14)/('[1]PURCHASE PRICE'!$C:$C=C14),'[1]PURCHASE PRICE'!$D:$D)</f>
        <v>14400</v>
      </c>
      <c r="F14" s="92">
        <f>LOOKUP(1,1/('[1]PURCHASE PRICE'!$B:$B=B14)/('[1]PURCHASE PRICE'!$A:$A=A14),'[1]PURCHASE PRICE'!$D:$D)</f>
        <v>14400</v>
      </c>
      <c r="G14" s="92">
        <f t="shared" si="2"/>
        <v>14400</v>
      </c>
      <c r="H14" s="13">
        <f t="shared" si="0"/>
        <v>2102400</v>
      </c>
    </row>
    <row r="15" spans="1:8" x14ac:dyDescent="0.3">
      <c r="A15" s="90">
        <v>45646</v>
      </c>
      <c r="B15" t="s">
        <v>18</v>
      </c>
      <c r="C15" t="s">
        <v>1</v>
      </c>
      <c r="D15">
        <v>100</v>
      </c>
      <c r="E15" s="92">
        <f>LOOKUP(1,1/('[1]PURCHASE PRICE'!$B:$B=B15)/('[1]PURCHASE PRICE'!$A:$A=A15)/('[1]PURCHASE PRICE'!$C:$C=C15),'[1]PURCHASE PRICE'!$D:$D)</f>
        <v>20000</v>
      </c>
      <c r="F15" s="92">
        <f>LOOKUP(1,1/('[1]PURCHASE PRICE'!$B:$B=B15)/('[1]PURCHASE PRICE'!$A:$A=A15),'[1]PURCHASE PRICE'!$D:$D)</f>
        <v>20000</v>
      </c>
      <c r="G15" s="92">
        <f t="shared" si="2"/>
        <v>20000</v>
      </c>
      <c r="H15" s="13">
        <f t="shared" si="0"/>
        <v>2000000</v>
      </c>
    </row>
    <row r="16" spans="1:8" x14ac:dyDescent="0.3">
      <c r="A16" s="90">
        <v>45646</v>
      </c>
      <c r="B16" t="s">
        <v>19</v>
      </c>
      <c r="C16" t="s">
        <v>1</v>
      </c>
      <c r="D16">
        <v>30</v>
      </c>
      <c r="E16" s="92">
        <f>LOOKUP(1,1/('[1]PURCHASE PRICE'!$B:$B=B16)/('[1]PURCHASE PRICE'!$A:$A=A16)/('[1]PURCHASE PRICE'!$C:$C=C16),'[1]PURCHASE PRICE'!$D:$D)</f>
        <v>14000</v>
      </c>
      <c r="F16" s="92">
        <f>LOOKUP(1,1/('[1]PURCHASE PRICE'!$B:$B=B16)/('[1]PURCHASE PRICE'!$A:$A=A16),'[1]PURCHASE PRICE'!$D:$D)</f>
        <v>14000</v>
      </c>
      <c r="G16" s="92">
        <f t="shared" si="2"/>
        <v>14000</v>
      </c>
      <c r="H16" s="13">
        <f t="shared" si="0"/>
        <v>420000</v>
      </c>
    </row>
    <row r="17" spans="1:8" x14ac:dyDescent="0.3">
      <c r="A17" s="90">
        <v>45646</v>
      </c>
      <c r="B17" t="s">
        <v>20</v>
      </c>
      <c r="C17" t="s">
        <v>11</v>
      </c>
      <c r="D17">
        <v>22</v>
      </c>
      <c r="E17" s="92">
        <f>LOOKUP(1,1/('[1]PURCHASE PRICE'!$B:$B=B17)/('[1]PURCHASE PRICE'!$A:$A=A17)/('[1]PURCHASE PRICE'!$C:$C=C17),'[1]PURCHASE PRICE'!$D:$D)</f>
        <v>11000</v>
      </c>
      <c r="F17" s="92">
        <f>LOOKUP(1,1/('[1]PURCHASE PRICE'!$B:$B=B17)/('[1]PURCHASE PRICE'!$A:$A=A17),'[1]PURCHASE PRICE'!$D:$D)</f>
        <v>11000</v>
      </c>
      <c r="G17" s="92">
        <f t="shared" si="2"/>
        <v>11000</v>
      </c>
      <c r="H17" s="13">
        <f t="shared" si="0"/>
        <v>242000</v>
      </c>
    </row>
    <row r="18" spans="1:8" x14ac:dyDescent="0.3">
      <c r="A18" s="90">
        <v>45646</v>
      </c>
      <c r="B18" t="s">
        <v>63</v>
      </c>
      <c r="C18" t="s">
        <v>1</v>
      </c>
      <c r="D18">
        <v>50</v>
      </c>
      <c r="E18" s="92">
        <f>LOOKUP(1,1/('[1]PURCHASE PRICE'!$B:$B=B18)/('[1]PURCHASE PRICE'!$A:$A=A18)/('[1]PURCHASE PRICE'!$C:$C=C18),'[1]PURCHASE PRICE'!$D:$D)</f>
        <v>28000</v>
      </c>
      <c r="F18" s="92">
        <f>LOOKUP(1,1/('[1]PURCHASE PRICE'!$B:$B=B18)/('[1]PURCHASE PRICE'!$A:$A=A18),'[1]PURCHASE PRICE'!$D:$D)</f>
        <v>28000</v>
      </c>
      <c r="G18" s="92">
        <f t="shared" si="2"/>
        <v>28000</v>
      </c>
      <c r="H18" s="13">
        <f t="shared" si="0"/>
        <v>1400000</v>
      </c>
    </row>
    <row r="19" spans="1:8" x14ac:dyDescent="0.3">
      <c r="A19" s="90">
        <v>45646</v>
      </c>
      <c r="B19" t="s">
        <v>21</v>
      </c>
      <c r="C19" t="s">
        <v>22</v>
      </c>
      <c r="D19">
        <v>145</v>
      </c>
      <c r="E19" s="92">
        <f>LOOKUP(1,1/('[1]PURCHASE PRICE'!$B:$B=B19)/('[1]PURCHASE PRICE'!$A:$A=A19)/('[1]PURCHASE PRICE'!$C:$C=C19),'[1]PURCHASE PRICE'!$D:$D)</f>
        <v>4300</v>
      </c>
      <c r="F19" s="92">
        <f>LOOKUP(1,1/('[1]PURCHASE PRICE'!$B:$B=B19)/('[1]PURCHASE PRICE'!$A:$A=A19),'[1]PURCHASE PRICE'!$D:$D)</f>
        <v>4300</v>
      </c>
      <c r="G19" s="92">
        <f t="shared" si="2"/>
        <v>4300</v>
      </c>
      <c r="H19" s="13">
        <f t="shared" si="0"/>
        <v>623500</v>
      </c>
    </row>
    <row r="20" spans="1:8" x14ac:dyDescent="0.3">
      <c r="A20" s="90">
        <v>45646</v>
      </c>
      <c r="B20" t="s">
        <v>21</v>
      </c>
      <c r="C20" t="s">
        <v>23</v>
      </c>
      <c r="D20">
        <v>15</v>
      </c>
      <c r="E20" s="92">
        <f>LOOKUP(1,1/('[1]PURCHASE PRICE'!$B:$B=B20)/('[1]PURCHASE PRICE'!$A:$A=A20)/('[1]PURCHASE PRICE'!$C:$C=C20),'[1]PURCHASE PRICE'!$D:$D)</f>
        <v>2100</v>
      </c>
      <c r="F20" s="92">
        <f>LOOKUP(1,1/('[1]PURCHASE PRICE'!$B:$B=B20)/('[1]PURCHASE PRICE'!$A:$A=A20),'[1]PURCHASE PRICE'!$D:$D)</f>
        <v>4300</v>
      </c>
      <c r="G20" s="92">
        <f>E20</f>
        <v>2100</v>
      </c>
      <c r="H20" s="13">
        <f t="shared" si="0"/>
        <v>31500</v>
      </c>
    </row>
    <row r="21" spans="1:8" x14ac:dyDescent="0.3">
      <c r="A21" s="90">
        <v>45646</v>
      </c>
      <c r="B21" t="s">
        <v>24</v>
      </c>
      <c r="C21" t="s">
        <v>25</v>
      </c>
      <c r="D21">
        <v>300</v>
      </c>
      <c r="E21" s="92" t="e">
        <f>LOOKUP(1,1/('[1]PURCHASE PRICE'!$B:$B=B21)/('[1]PURCHASE PRICE'!$A:$A=A21)/('[1]PURCHASE PRICE'!$C:$C=C21),'[1]PURCHASE PRICE'!$D:$D)</f>
        <v>#N/A</v>
      </c>
      <c r="F21" s="92">
        <f>LOOKUP(1,1/('[1]PURCHASE PRICE'!$B:$B=B21)/('[1]PURCHASE PRICE'!$A:$A=A21),'[1]PURCHASE PRICE'!$D:$D)</f>
        <v>13000</v>
      </c>
      <c r="G21" s="92">
        <f>13000/2</f>
        <v>6500</v>
      </c>
      <c r="H21" s="13">
        <f t="shared" si="0"/>
        <v>1950000</v>
      </c>
    </row>
    <row r="22" spans="1:8" x14ac:dyDescent="0.3">
      <c r="A22" s="90">
        <v>45646</v>
      </c>
      <c r="B22" t="s">
        <v>26</v>
      </c>
      <c r="C22" t="s">
        <v>11</v>
      </c>
      <c r="D22">
        <v>40</v>
      </c>
      <c r="E22" s="92">
        <f>LOOKUP(1,1/('[1]PURCHASE PRICE'!$B:$B=B22)/('[1]PURCHASE PRICE'!$A:$A=A22)/('[1]PURCHASE PRICE'!$C:$C=C22),'[1]PURCHASE PRICE'!$D:$D)</f>
        <v>6750</v>
      </c>
      <c r="F22" s="92">
        <f>LOOKUP(1,1/('[1]PURCHASE PRICE'!$B:$B=B22)/('[1]PURCHASE PRICE'!$A:$A=A22),'[1]PURCHASE PRICE'!$D:$D)</f>
        <v>6750</v>
      </c>
      <c r="G22" s="92">
        <f t="shared" ref="G22:G23" si="3">F22</f>
        <v>6750</v>
      </c>
      <c r="H22" s="13">
        <f t="shared" si="0"/>
        <v>270000</v>
      </c>
    </row>
    <row r="23" spans="1:8" x14ac:dyDescent="0.3">
      <c r="A23" s="90">
        <v>45646</v>
      </c>
      <c r="B23" t="s">
        <v>28</v>
      </c>
      <c r="C23" t="s">
        <v>1</v>
      </c>
      <c r="D23">
        <v>20</v>
      </c>
      <c r="E23" s="92">
        <f>LOOKUP(1,1/('[1]PURCHASE PRICE'!$B:$B=B23)/('[1]PURCHASE PRICE'!$A:$A=A23)/('[1]PURCHASE PRICE'!$C:$C=C23),'[1]PURCHASE PRICE'!$D:$D)</f>
        <v>5500</v>
      </c>
      <c r="F23" s="92">
        <f>LOOKUP(1,1/('[1]PURCHASE PRICE'!$B:$B=B23)/('[1]PURCHASE PRICE'!$A:$A=A23),'[1]PURCHASE PRICE'!$D:$D)</f>
        <v>5500</v>
      </c>
      <c r="G23" s="92">
        <f t="shared" si="3"/>
        <v>5500</v>
      </c>
      <c r="H23" s="13">
        <f t="shared" si="0"/>
        <v>110000</v>
      </c>
    </row>
    <row r="24" spans="1:8" x14ac:dyDescent="0.3">
      <c r="A24" s="90">
        <v>45646</v>
      </c>
      <c r="B24" t="s">
        <v>29</v>
      </c>
      <c r="C24" t="s">
        <v>1</v>
      </c>
      <c r="D24">
        <v>50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G24" s="92">
        <v>19000</v>
      </c>
      <c r="H24" s="13">
        <f t="shared" si="0"/>
        <v>950000</v>
      </c>
    </row>
    <row r="25" spans="1:8" x14ac:dyDescent="0.3">
      <c r="A25" s="90">
        <v>45646</v>
      </c>
      <c r="B25" t="s">
        <v>30</v>
      </c>
      <c r="C25" t="s">
        <v>1</v>
      </c>
      <c r="D25">
        <v>100</v>
      </c>
      <c r="E25" s="92" t="e">
        <f>LOOKUP(1,1/('[1]PURCHASE PRICE'!$B:$B=B25)/('[1]PURCHASE PRICE'!$A:$A=A25)/('[1]PURCHASE PRICE'!$C:$C=C25),'[1]PURCHASE PRICE'!$D:$D)</f>
        <v>#N/A</v>
      </c>
      <c r="F25" s="92" t="e">
        <f>LOOKUP(1,1/('[1]PURCHASE PRICE'!$B:$B=B25)/('[1]PURCHASE PRICE'!$A:$A=A25),'[1]PURCHASE PRICE'!$D:$D)</f>
        <v>#N/A</v>
      </c>
      <c r="G25" s="92">
        <v>24000</v>
      </c>
      <c r="H25" s="13">
        <f t="shared" si="0"/>
        <v>2400000</v>
      </c>
    </row>
    <row r="26" spans="1:8" x14ac:dyDescent="0.3">
      <c r="A26" s="90">
        <v>45646</v>
      </c>
      <c r="B26" t="s">
        <v>31</v>
      </c>
      <c r="C26" t="s">
        <v>1</v>
      </c>
      <c r="D26">
        <v>260</v>
      </c>
      <c r="E26" s="92">
        <f>LOOKUP(1,1/('[1]PURCHASE PRICE'!$B:$B=B26)/('[1]PURCHASE PRICE'!$A:$A=A26)/('[1]PURCHASE PRICE'!$C:$C=C26),'[1]PURCHASE PRICE'!$D:$D)</f>
        <v>17000</v>
      </c>
      <c r="F26" s="92">
        <f>LOOKUP(1,1/('[1]PURCHASE PRICE'!$B:$B=B26)/('[1]PURCHASE PRICE'!$A:$A=A26),'[1]PURCHASE PRICE'!$D:$D)</f>
        <v>17000</v>
      </c>
      <c r="G26" s="92">
        <f>F26</f>
        <v>17000</v>
      </c>
      <c r="H26" s="13">
        <f t="shared" si="0"/>
        <v>4420000</v>
      </c>
    </row>
    <row r="27" spans="1:8" x14ac:dyDescent="0.3">
      <c r="A27" s="90">
        <v>45646</v>
      </c>
      <c r="B27" t="s">
        <v>32</v>
      </c>
      <c r="C27" t="s">
        <v>1</v>
      </c>
      <c r="D27">
        <v>0</v>
      </c>
      <c r="E27" s="92">
        <f>LOOKUP(1,1/('[1]PURCHASE PRICE'!$B:$B=B27)/('[1]PURCHASE PRICE'!$A:$A=A27)/('[1]PURCHASE PRICE'!$C:$C=C27),'[1]PURCHASE PRICE'!$D:$D)</f>
        <v>25000</v>
      </c>
      <c r="F27" s="92">
        <f>LOOKUP(1,1/('[1]PURCHASE PRICE'!$B:$B=B27)/('[1]PURCHASE PRICE'!$A:$A=A27),'[1]PURCHASE PRICE'!$D:$D)</f>
        <v>25000</v>
      </c>
      <c r="G27" s="92">
        <f t="shared" ref="G27:G31" si="4">F27</f>
        <v>25000</v>
      </c>
      <c r="H27" s="13">
        <f t="shared" si="0"/>
        <v>0</v>
      </c>
    </row>
    <row r="28" spans="1:8" x14ac:dyDescent="0.3">
      <c r="A28" s="90">
        <v>45646</v>
      </c>
      <c r="B28" t="s">
        <v>139</v>
      </c>
      <c r="C28" t="s">
        <v>1</v>
      </c>
      <c r="D28">
        <v>80</v>
      </c>
      <c r="E28" s="92">
        <f>LOOKUP(1,1/('[1]PURCHASE PRICE'!$B:$B=B28)/('[1]PURCHASE PRICE'!$A:$A=A28)/('[1]PURCHASE PRICE'!$C:$C=C28),'[1]PURCHASE PRICE'!$D:$D)</f>
        <v>18000</v>
      </c>
      <c r="F28" s="92">
        <f>LOOKUP(1,1/('[1]PURCHASE PRICE'!$B:$B=B28)/('[1]PURCHASE PRICE'!$A:$A=A28),'[1]PURCHASE PRICE'!$D:$D)</f>
        <v>18000</v>
      </c>
      <c r="G28" s="92">
        <f t="shared" si="4"/>
        <v>18000</v>
      </c>
      <c r="H28" s="13">
        <f t="shared" si="0"/>
        <v>1440000</v>
      </c>
    </row>
    <row r="29" spans="1:8" x14ac:dyDescent="0.3">
      <c r="A29" s="90">
        <v>45646</v>
      </c>
      <c r="B29" t="s">
        <v>194</v>
      </c>
      <c r="C29" t="s">
        <v>1</v>
      </c>
      <c r="D29">
        <v>10</v>
      </c>
      <c r="E29" s="92">
        <f>LOOKUP(1,1/('[1]PURCHASE PRICE'!$B:$B=B29)/('[1]PURCHASE PRICE'!$A:$A=A29)/('[1]PURCHASE PRICE'!$C:$C=C29),'[1]PURCHASE PRICE'!$D:$D)</f>
        <v>12000</v>
      </c>
      <c r="F29" s="92">
        <f>LOOKUP(1,1/('[1]PURCHASE PRICE'!$B:$B=B29)/('[1]PURCHASE PRICE'!$A:$A=A29),'[1]PURCHASE PRICE'!$D:$D)</f>
        <v>12000</v>
      </c>
      <c r="G29" s="92">
        <f t="shared" si="4"/>
        <v>12000</v>
      </c>
      <c r="H29" s="13">
        <f t="shared" si="0"/>
        <v>120000</v>
      </c>
    </row>
    <row r="30" spans="1:8" x14ac:dyDescent="0.3">
      <c r="A30" s="90">
        <v>45646</v>
      </c>
      <c r="B30" t="s">
        <v>34</v>
      </c>
      <c r="C30" t="s">
        <v>36</v>
      </c>
      <c r="D30">
        <v>30</v>
      </c>
      <c r="E30" s="92">
        <f>LOOKUP(1,1/('[1]PURCHASE PRICE'!$B:$B=B30)/('[1]PURCHASE PRICE'!$A:$A=A30)/('[1]PURCHASE PRICE'!$C:$C=C30),'[1]PURCHASE PRICE'!$D:$D)</f>
        <v>10500</v>
      </c>
      <c r="F30" s="92">
        <f>LOOKUP(1,1/('[1]PURCHASE PRICE'!$B:$B=B30)/('[1]PURCHASE PRICE'!$A:$A=A30),'[1]PURCHASE PRICE'!$D:$D)</f>
        <v>10500</v>
      </c>
      <c r="G30" s="92">
        <f t="shared" si="4"/>
        <v>10500</v>
      </c>
      <c r="H30" s="13">
        <f t="shared" si="0"/>
        <v>315000</v>
      </c>
    </row>
    <row r="31" spans="1:8" x14ac:dyDescent="0.3">
      <c r="A31" s="90">
        <v>45646</v>
      </c>
      <c r="B31" t="s">
        <v>37</v>
      </c>
      <c r="C31" t="s">
        <v>11</v>
      </c>
      <c r="D31">
        <v>228</v>
      </c>
      <c r="E31" s="92">
        <f>LOOKUP(1,1/('[1]PURCHASE PRICE'!$B:$B=B31)/('[1]PURCHASE PRICE'!$A:$A=A31)/('[1]PURCHASE PRICE'!$C:$C=C31),'[1]PURCHASE PRICE'!$D:$D)</f>
        <v>8000</v>
      </c>
      <c r="F31" s="92">
        <f>LOOKUP(1,1/('[1]PURCHASE PRICE'!$B:$B=B31)/('[1]PURCHASE PRICE'!$A:$A=A31),'[1]PURCHASE PRICE'!$D:$D)</f>
        <v>8000</v>
      </c>
      <c r="G31" s="92">
        <f t="shared" si="4"/>
        <v>8000</v>
      </c>
      <c r="H31" s="13">
        <f t="shared" si="0"/>
        <v>1824000</v>
      </c>
    </row>
    <row r="32" spans="1:8" x14ac:dyDescent="0.3">
      <c r="A32" s="90">
        <v>45646</v>
      </c>
      <c r="B32" t="s">
        <v>40</v>
      </c>
      <c r="C32" t="s">
        <v>25</v>
      </c>
      <c r="D32">
        <v>250</v>
      </c>
      <c r="E32" s="92" t="e">
        <f>LOOKUP(1,1/('[1]PURCHASE PRICE'!$B:$B=B32)/('[1]PURCHASE PRICE'!$A:$A=A32)/('[1]PURCHASE PRICE'!$C:$C=C32),'[1]PURCHASE PRICE'!$D:$D)</f>
        <v>#N/A</v>
      </c>
      <c r="F32" s="92">
        <f>LOOKUP(1,1/('[1]PURCHASE PRICE'!$B:$B=B32)/('[1]PURCHASE PRICE'!$A:$A=A32),'[1]PURCHASE PRICE'!$D:$D)</f>
        <v>19000</v>
      </c>
      <c r="G32" s="92">
        <f>19000*0.15</f>
        <v>2850</v>
      </c>
      <c r="H32" s="13">
        <f t="shared" si="0"/>
        <v>712500</v>
      </c>
    </row>
    <row r="33" spans="1:8" x14ac:dyDescent="0.3">
      <c r="A33" s="90">
        <v>45646</v>
      </c>
      <c r="B33" t="s">
        <v>41</v>
      </c>
      <c r="C33" t="s">
        <v>16</v>
      </c>
      <c r="D33">
        <v>20</v>
      </c>
      <c r="E33" s="92" t="e">
        <f>LOOKUP(1,1/('[1]PURCHASE PRICE'!$B:$B=B33)/('[1]PURCHASE PRICE'!$A:$A=A33)/('[1]PURCHASE PRICE'!$C:$C=C33),'[1]PURCHASE PRICE'!$D:$D)</f>
        <v>#N/A</v>
      </c>
      <c r="F33" s="92">
        <f>LOOKUP(1,1/('[1]PURCHASE PRICE'!$B:$B=B33)/('[1]PURCHASE PRICE'!$A:$A=A33),'[1]PURCHASE PRICE'!$D:$D)</f>
        <v>200000</v>
      </c>
      <c r="G33" s="92">
        <f>F33</f>
        <v>200000</v>
      </c>
      <c r="H33" s="13">
        <f t="shared" si="0"/>
        <v>4000000</v>
      </c>
    </row>
    <row r="34" spans="1:8" x14ac:dyDescent="0.3">
      <c r="A34" s="90">
        <v>45646</v>
      </c>
      <c r="B34" t="s">
        <v>42</v>
      </c>
      <c r="C34" t="s">
        <v>1</v>
      </c>
      <c r="D34">
        <v>0</v>
      </c>
      <c r="E34" s="92" t="e">
        <f>LOOKUP(1,1/('[1]PURCHASE PRICE'!$B:$B=B34)/('[1]PURCHASE PRICE'!$A:$A=A34)/('[1]PURCHASE PRICE'!$C:$C=C34),'[1]PURCHASE PRICE'!$D:$D)</f>
        <v>#N/A</v>
      </c>
      <c r="F34" s="92" t="e">
        <f>LOOKUP(1,1/('[1]PURCHASE PRICE'!$B:$B=B34)/('[1]PURCHASE PRICE'!$A:$A=A34),'[1]PURCHASE PRICE'!$D:$D)</f>
        <v>#N/A</v>
      </c>
      <c r="G34" s="92">
        <v>0</v>
      </c>
      <c r="H34" s="13">
        <f t="shared" si="0"/>
        <v>0</v>
      </c>
    </row>
    <row r="35" spans="1:8" x14ac:dyDescent="0.3">
      <c r="A35" s="90">
        <v>45646</v>
      </c>
      <c r="B35" t="s">
        <v>43</v>
      </c>
      <c r="C35" t="s">
        <v>1</v>
      </c>
      <c r="D35">
        <v>1</v>
      </c>
      <c r="E35" s="92">
        <f>LOOKUP(1,1/('[1]PURCHASE PRICE'!$B:$B=B35)/('[1]PURCHASE PRICE'!$A:$A=A35)/('[1]PURCHASE PRICE'!$C:$C=C35),'[1]PURCHASE PRICE'!$D:$D)</f>
        <v>100000</v>
      </c>
      <c r="F35" s="92">
        <f>LOOKUP(1,1/('[1]PURCHASE PRICE'!$B:$B=B35)/('[1]PURCHASE PRICE'!$A:$A=A35),'[1]PURCHASE PRICE'!$D:$D)</f>
        <v>100000</v>
      </c>
      <c r="G35" s="92">
        <f>F35</f>
        <v>100000</v>
      </c>
      <c r="H35" s="13">
        <f t="shared" si="0"/>
        <v>100000</v>
      </c>
    </row>
    <row r="36" spans="1:8" x14ac:dyDescent="0.3">
      <c r="A36" s="90">
        <v>45646</v>
      </c>
      <c r="B36" t="s">
        <v>45</v>
      </c>
      <c r="C36" t="s">
        <v>22</v>
      </c>
      <c r="D36">
        <v>400</v>
      </c>
      <c r="E36" s="92">
        <f>LOOKUP(1,1/('[1]PURCHASE PRICE'!$B:$B=B36)/('[1]PURCHASE PRICE'!$A:$A=A36)/('[1]PURCHASE PRICE'!$C:$C=C36),'[1]PURCHASE PRICE'!$D:$D)</f>
        <v>2000</v>
      </c>
      <c r="F36" s="92">
        <f>LOOKUP(1,1/('[1]PURCHASE PRICE'!$B:$B=B36)/('[1]PURCHASE PRICE'!$A:$A=A36),'[1]PURCHASE PRICE'!$D:$D)</f>
        <v>2000</v>
      </c>
      <c r="G36" s="92">
        <v>2000</v>
      </c>
      <c r="H36" s="13">
        <f t="shared" si="0"/>
        <v>800000</v>
      </c>
    </row>
    <row r="37" spans="1:8" x14ac:dyDescent="0.3">
      <c r="A37" s="90">
        <v>45646</v>
      </c>
      <c r="B37" t="s">
        <v>78</v>
      </c>
      <c r="C37" t="s">
        <v>1</v>
      </c>
      <c r="D37">
        <v>1</v>
      </c>
      <c r="E37" s="92">
        <f>LOOKUP(1,1/('[1]PURCHASE PRICE'!$B:$B=B37)/('[1]PURCHASE PRICE'!$A:$A=A37)/('[1]PURCHASE PRICE'!$C:$C=C37),'[1]PURCHASE PRICE'!$D:$D)</f>
        <v>100000</v>
      </c>
      <c r="F37" s="92">
        <f>LOOKUP(1,1/('[1]PURCHASE PRICE'!$B:$B=B37)/('[1]PURCHASE PRICE'!$A:$A=A37),'[1]PURCHASE PRICE'!$D:$D)</f>
        <v>100000</v>
      </c>
      <c r="G37" s="92">
        <v>100000</v>
      </c>
      <c r="H37" s="13">
        <f t="shared" si="0"/>
        <v>100000</v>
      </c>
    </row>
    <row r="38" spans="1:8" x14ac:dyDescent="0.3">
      <c r="A38" s="90">
        <v>45646</v>
      </c>
      <c r="B38" t="s">
        <v>46</v>
      </c>
      <c r="C38" t="s">
        <v>1</v>
      </c>
      <c r="D38">
        <v>15</v>
      </c>
      <c r="E38" s="92">
        <f>LOOKUP(1,1/('[1]PURCHASE PRICE'!$B:$B=B38)/('[1]PURCHASE PRICE'!$A:$A=A38)/('[1]PURCHASE PRICE'!$C:$C=C38),'[1]PURCHASE PRICE'!$D:$D)</f>
        <v>53000</v>
      </c>
      <c r="F38" s="92">
        <f>LOOKUP(1,1/('[1]PURCHASE PRICE'!$B:$B=B38)/('[1]PURCHASE PRICE'!$A:$A=A38),'[1]PURCHASE PRICE'!$D:$D)</f>
        <v>53000</v>
      </c>
      <c r="G38" s="92">
        <f>F38</f>
        <v>53000</v>
      </c>
      <c r="H38" s="13">
        <f t="shared" si="0"/>
        <v>795000</v>
      </c>
    </row>
    <row r="39" spans="1:8" x14ac:dyDescent="0.3">
      <c r="A39" s="90">
        <v>45646</v>
      </c>
      <c r="B39" t="s">
        <v>64</v>
      </c>
      <c r="C39" t="s">
        <v>1</v>
      </c>
      <c r="D39">
        <v>26</v>
      </c>
      <c r="E39" s="92">
        <f>LOOKUP(1,1/('[1]PURCHASE PRICE'!$B:$B=B39)/('[1]PURCHASE PRICE'!$A:$A=A39)/('[1]PURCHASE PRICE'!$C:$C=C39),'[1]PURCHASE PRICE'!$D:$D)</f>
        <v>44000</v>
      </c>
      <c r="F39" s="92">
        <f>LOOKUP(1,1/('[1]PURCHASE PRICE'!$B:$B=B39)/('[1]PURCHASE PRICE'!$A:$A=A39),'[1]PURCHASE PRICE'!$D:$D)</f>
        <v>44000</v>
      </c>
      <c r="G39" s="92">
        <f>F39</f>
        <v>44000</v>
      </c>
      <c r="H39" s="13">
        <f t="shared" si="0"/>
        <v>1144000</v>
      </c>
    </row>
    <row r="40" spans="1:8" x14ac:dyDescent="0.3">
      <c r="A40" s="90">
        <v>45646</v>
      </c>
      <c r="B40" t="s">
        <v>47</v>
      </c>
      <c r="C40" t="s">
        <v>7</v>
      </c>
      <c r="D40">
        <v>400</v>
      </c>
      <c r="E40" s="92" t="e">
        <f>LOOKUP(1,1/('[1]PURCHASE PRICE'!$B:$B=B40)/('[1]PURCHASE PRICE'!$A:$A=A40)/('[1]PURCHASE PRICE'!$C:$C=C40),'[1]PURCHASE PRICE'!$D:$D)</f>
        <v>#N/A</v>
      </c>
      <c r="F40" s="92">
        <f>LOOKUP(1,1/('[1]PURCHASE PRICE'!$B:$B=B40)/('[1]PURCHASE PRICE'!$A:$A=A40),'[1]PURCHASE PRICE'!$D:$D)</f>
        <v>34000</v>
      </c>
      <c r="G40" s="92">
        <f>34000*0.25</f>
        <v>8500</v>
      </c>
      <c r="H40" s="13">
        <f t="shared" si="0"/>
        <v>3400000</v>
      </c>
    </row>
    <row r="41" spans="1:8" x14ac:dyDescent="0.3">
      <c r="A41" s="90">
        <v>45646</v>
      </c>
      <c r="B41" t="s">
        <v>48</v>
      </c>
      <c r="C41" t="s">
        <v>1</v>
      </c>
      <c r="D41">
        <v>15</v>
      </c>
      <c r="E41" s="92">
        <f>LOOKUP(1,1/('[1]PURCHASE PRICE'!$B:$B=B41)/('[1]PURCHASE PRICE'!$A:$A=A41)/('[1]PURCHASE PRICE'!$C:$C=C41),'[1]PURCHASE PRICE'!$D:$D)</f>
        <v>49000</v>
      </c>
      <c r="F41" s="92">
        <f>LOOKUP(1,1/('[1]PURCHASE PRICE'!$B:$B=B41)/('[1]PURCHASE PRICE'!$A:$A=A41),'[1]PURCHASE PRICE'!$D:$D)</f>
        <v>49000</v>
      </c>
      <c r="G41" s="92">
        <f>F41</f>
        <v>49000</v>
      </c>
      <c r="H41" s="13">
        <f t="shared" si="0"/>
        <v>735000</v>
      </c>
    </row>
    <row r="42" spans="1:8" x14ac:dyDescent="0.3">
      <c r="A42" s="90">
        <v>45646</v>
      </c>
      <c r="B42" t="s">
        <v>50</v>
      </c>
      <c r="C42" t="s">
        <v>7</v>
      </c>
      <c r="D42">
        <v>200</v>
      </c>
      <c r="E42" s="92" t="e">
        <f>LOOKUP(1,1/('[1]PURCHASE PRICE'!$B:$B=B42)/('[1]PURCHASE PRICE'!$A:$A=A42)/('[1]PURCHASE PRICE'!$C:$C=C42),'[1]PURCHASE PRICE'!$D:$D)</f>
        <v>#N/A</v>
      </c>
      <c r="F42" s="92">
        <f>LOOKUP(1,1/('[1]PURCHASE PRICE'!$B:$B=B42)/('[1]PURCHASE PRICE'!$A:$A=A42),'[1]PURCHASE PRICE'!$D:$D)</f>
        <v>34000</v>
      </c>
      <c r="G42" s="92">
        <f>34000*0.25</f>
        <v>8500</v>
      </c>
      <c r="H42" s="13">
        <f t="shared" si="0"/>
        <v>1700000</v>
      </c>
    </row>
    <row r="43" spans="1:8" x14ac:dyDescent="0.3">
      <c r="A43" s="90">
        <v>45646</v>
      </c>
      <c r="B43" t="s">
        <v>51</v>
      </c>
      <c r="C43" t="s">
        <v>7</v>
      </c>
      <c r="D43">
        <v>80</v>
      </c>
      <c r="E43" s="92" t="e">
        <f>LOOKUP(1,1/('[1]PURCHASE PRICE'!$B:$B=B43)/('[1]PURCHASE PRICE'!$A:$A=A43)/('[1]PURCHASE PRICE'!$C:$C=C43),'[1]PURCHASE PRICE'!$D:$D)</f>
        <v>#N/A</v>
      </c>
      <c r="F43" s="92">
        <f>LOOKUP(1,1/('[1]PURCHASE PRICE'!$B:$B=B43)/('[1]PURCHASE PRICE'!$A:$A=A43),'[1]PURCHASE PRICE'!$D:$D)</f>
        <v>20000</v>
      </c>
      <c r="G43" s="92">
        <f>20000*0.25</f>
        <v>5000</v>
      </c>
      <c r="H43" s="13">
        <f t="shared" si="0"/>
        <v>400000</v>
      </c>
    </row>
    <row r="44" spans="1:8" x14ac:dyDescent="0.3">
      <c r="A44" s="90">
        <v>45646</v>
      </c>
      <c r="B44" t="s">
        <v>52</v>
      </c>
      <c r="C44" t="s">
        <v>22</v>
      </c>
      <c r="D44">
        <v>100</v>
      </c>
      <c r="E44" s="92">
        <f>LOOKUP(1,1/('[1]PURCHASE PRICE'!$B:$B=B44)/('[1]PURCHASE PRICE'!$A:$A=A44)/('[1]PURCHASE PRICE'!$C:$C=C44),'[1]PURCHASE PRICE'!$D:$D)</f>
        <v>21000</v>
      </c>
      <c r="F44" s="92">
        <f>LOOKUP(1,1/('[1]PURCHASE PRICE'!$B:$B=B44)/('[1]PURCHASE PRICE'!$A:$A=A44),'[1]PURCHASE PRICE'!$D:$D)</f>
        <v>21000</v>
      </c>
      <c r="G44" s="92">
        <v>21000</v>
      </c>
      <c r="H44" s="13">
        <f t="shared" si="0"/>
        <v>2100000</v>
      </c>
    </row>
    <row r="45" spans="1:8" x14ac:dyDescent="0.3">
      <c r="A45" s="90">
        <v>45646</v>
      </c>
      <c r="B45" t="s">
        <v>53</v>
      </c>
      <c r="C45" t="s">
        <v>1</v>
      </c>
      <c r="D45">
        <v>10</v>
      </c>
      <c r="E45" s="92">
        <f>LOOKUP(1,1/('[1]PURCHASE PRICE'!$B:$B=B45)/('[1]PURCHASE PRICE'!$A:$A=A45)/('[1]PURCHASE PRICE'!$C:$C=C45),'[1]PURCHASE PRICE'!$D:$D)</f>
        <v>48000</v>
      </c>
      <c r="F45" s="92">
        <f>LOOKUP(1,1/('[1]PURCHASE PRICE'!$B:$B=B45)/('[1]PURCHASE PRICE'!$A:$A=A45),'[1]PURCHASE PRICE'!$D:$D)</f>
        <v>48000</v>
      </c>
      <c r="G45" s="92">
        <f>F45</f>
        <v>48000</v>
      </c>
      <c r="H45" s="13">
        <f t="shared" si="0"/>
        <v>480000</v>
      </c>
    </row>
    <row r="46" spans="1:8" x14ac:dyDescent="0.3">
      <c r="A46" s="90">
        <v>45646</v>
      </c>
      <c r="B46" t="s">
        <v>54</v>
      </c>
      <c r="C46" t="s">
        <v>1</v>
      </c>
      <c r="D46">
        <v>60</v>
      </c>
      <c r="E46" s="92">
        <f>LOOKUP(1,1/('[1]PURCHASE PRICE'!$B:$B=B46)/('[1]PURCHASE PRICE'!$A:$A=A46)/('[1]PURCHASE PRICE'!$C:$C=C46),'[1]PURCHASE PRICE'!$D:$D)</f>
        <v>32000</v>
      </c>
      <c r="F46" s="92">
        <f>LOOKUP(1,1/('[1]PURCHASE PRICE'!$B:$B=B46)/('[1]PURCHASE PRICE'!$A:$A=A46),'[1]PURCHASE PRICE'!$D:$D)</f>
        <v>32000</v>
      </c>
      <c r="G46" s="92">
        <f t="shared" ref="G46:G53" si="5">F46</f>
        <v>32000</v>
      </c>
      <c r="H46" s="13">
        <f t="shared" si="0"/>
        <v>1920000</v>
      </c>
    </row>
    <row r="47" spans="1:8" x14ac:dyDescent="0.3">
      <c r="A47" s="90">
        <v>45646</v>
      </c>
      <c r="B47" t="s">
        <v>55</v>
      </c>
      <c r="C47" t="s">
        <v>25</v>
      </c>
      <c r="D47">
        <v>120</v>
      </c>
      <c r="E47" s="92">
        <f>LOOKUP(1,1/('[1]PURCHASE PRICE'!$B:$B=B47)/('[1]PURCHASE PRICE'!$A:$A=A47)/('[1]PURCHASE PRICE'!$C:$C=C47),'[1]PURCHASE PRICE'!$D:$D)</f>
        <v>6000</v>
      </c>
      <c r="F47" s="92">
        <f>LOOKUP(1,1/('[1]PURCHASE PRICE'!$B:$B=B47)/('[1]PURCHASE PRICE'!$A:$A=A47),'[1]PURCHASE PRICE'!$D:$D)</f>
        <v>6000</v>
      </c>
      <c r="G47" s="92">
        <f t="shared" si="5"/>
        <v>6000</v>
      </c>
      <c r="H47" s="13">
        <f t="shared" si="0"/>
        <v>720000</v>
      </c>
    </row>
    <row r="48" spans="1:8" x14ac:dyDescent="0.3">
      <c r="A48" s="90">
        <v>45646</v>
      </c>
      <c r="B48" t="s">
        <v>56</v>
      </c>
      <c r="C48" t="s">
        <v>1</v>
      </c>
      <c r="D48">
        <v>60</v>
      </c>
      <c r="E48" s="92">
        <f>LOOKUP(1,1/('[1]PURCHASE PRICE'!$B:$B=B48)/('[1]PURCHASE PRICE'!$A:$A=A48)/('[1]PURCHASE PRICE'!$C:$C=C48),'[1]PURCHASE PRICE'!$D:$D)</f>
        <v>28000</v>
      </c>
      <c r="F48" s="92">
        <f>LOOKUP(1,1/('[1]PURCHASE PRICE'!$B:$B=B48)/('[1]PURCHASE PRICE'!$A:$A=A48),'[1]PURCHASE PRICE'!$D:$D)</f>
        <v>28000</v>
      </c>
      <c r="G48" s="92">
        <f t="shared" si="5"/>
        <v>28000</v>
      </c>
      <c r="H48" s="13">
        <f t="shared" si="0"/>
        <v>1680000</v>
      </c>
    </row>
    <row r="49" spans="1:8" x14ac:dyDescent="0.3">
      <c r="A49" s="90">
        <v>45646</v>
      </c>
      <c r="B49" t="s">
        <v>57</v>
      </c>
      <c r="C49" t="s">
        <v>25</v>
      </c>
      <c r="D49">
        <v>15</v>
      </c>
      <c r="E49" s="92">
        <f>LOOKUP(1,1/('[1]PURCHASE PRICE'!$B:$B=B49)/('[1]PURCHASE PRICE'!$A:$A=A49)/('[1]PURCHASE PRICE'!$C:$C=C49),'[1]PURCHASE PRICE'!$D:$D)</f>
        <v>6800</v>
      </c>
      <c r="F49" s="92">
        <f>LOOKUP(1,1/('[1]PURCHASE PRICE'!$B:$B=B49)/('[1]PURCHASE PRICE'!$A:$A=A49),'[1]PURCHASE PRICE'!$D:$D)</f>
        <v>6800</v>
      </c>
      <c r="G49" s="92">
        <f t="shared" si="5"/>
        <v>6800</v>
      </c>
      <c r="H49" s="13">
        <f t="shared" si="0"/>
        <v>102000</v>
      </c>
    </row>
    <row r="50" spans="1:8" x14ac:dyDescent="0.3">
      <c r="A50" s="90">
        <v>45646</v>
      </c>
      <c r="B50" t="s">
        <v>58</v>
      </c>
      <c r="C50" t="s">
        <v>1</v>
      </c>
      <c r="D50">
        <v>20</v>
      </c>
      <c r="E50" s="92">
        <f>LOOKUP(1,1/('[1]PURCHASE PRICE'!$B:$B=B50)/('[1]PURCHASE PRICE'!$A:$A=A50)/('[1]PURCHASE PRICE'!$C:$C=C50),'[1]PURCHASE PRICE'!$D:$D)</f>
        <v>14000</v>
      </c>
      <c r="F50" s="92">
        <f>LOOKUP(1,1/('[1]PURCHASE PRICE'!$B:$B=B50)/('[1]PURCHASE PRICE'!$A:$A=A50),'[1]PURCHASE PRICE'!$D:$D)</f>
        <v>14000</v>
      </c>
      <c r="G50" s="92">
        <f t="shared" si="5"/>
        <v>14000</v>
      </c>
      <c r="H50" s="13">
        <f t="shared" si="0"/>
        <v>280000</v>
      </c>
    </row>
    <row r="51" spans="1:8" x14ac:dyDescent="0.3">
      <c r="A51" s="90">
        <v>45646</v>
      </c>
      <c r="B51" t="s">
        <v>59</v>
      </c>
      <c r="C51" t="s">
        <v>1</v>
      </c>
      <c r="D51">
        <v>2</v>
      </c>
      <c r="E51" s="92">
        <f>LOOKUP(1,1/('[1]PURCHASE PRICE'!$B:$B=B51)/('[1]PURCHASE PRICE'!$A:$A=A51)/('[1]PURCHASE PRICE'!$C:$C=C51),'[1]PURCHASE PRICE'!$D:$D)</f>
        <v>140000</v>
      </c>
      <c r="F51" s="92">
        <f>LOOKUP(1,1/('[1]PURCHASE PRICE'!$B:$B=B51)/('[1]PURCHASE PRICE'!$A:$A=A51),'[1]PURCHASE PRICE'!$D:$D)</f>
        <v>140000</v>
      </c>
      <c r="G51" s="92">
        <f t="shared" si="5"/>
        <v>140000</v>
      </c>
      <c r="H51" s="13">
        <f t="shared" si="0"/>
        <v>280000</v>
      </c>
    </row>
    <row r="52" spans="1:8" x14ac:dyDescent="0.3">
      <c r="A52" s="90">
        <v>45646</v>
      </c>
      <c r="B52" t="s">
        <v>61</v>
      </c>
      <c r="C52" t="s">
        <v>25</v>
      </c>
      <c r="D52">
        <v>5</v>
      </c>
      <c r="E52" s="92">
        <f>LOOKUP(1,1/('[1]PURCHASE PRICE'!$B:$B=B52)/('[1]PURCHASE PRICE'!$A:$A=A52)/('[1]PURCHASE PRICE'!$C:$C=C52),'[1]PURCHASE PRICE'!$D:$D)</f>
        <v>6800</v>
      </c>
      <c r="F52" s="92">
        <f>LOOKUP(1,1/('[1]PURCHASE PRICE'!$B:$B=B52)/('[1]PURCHASE PRICE'!$A:$A=A52),'[1]PURCHASE PRICE'!$D:$D)</f>
        <v>6800</v>
      </c>
      <c r="G52" s="92">
        <f t="shared" si="5"/>
        <v>6800</v>
      </c>
      <c r="H52" s="13">
        <f t="shared" si="0"/>
        <v>34000</v>
      </c>
    </row>
    <row r="53" spans="1:8" x14ac:dyDescent="0.3">
      <c r="A53" s="90">
        <v>45646</v>
      </c>
      <c r="B53" t="s">
        <v>6</v>
      </c>
      <c r="C53" t="s">
        <v>1</v>
      </c>
      <c r="D53">
        <v>40</v>
      </c>
      <c r="E53" s="92">
        <f>LOOKUP(1,1/('[1]PURCHASE PRICE'!$B:$B=B53)/('[1]PURCHASE PRICE'!$A:$A=A53)/('[1]PURCHASE PRICE'!$C:$C=C53),'[1]PURCHASE PRICE'!$D:$D)</f>
        <v>64000</v>
      </c>
      <c r="F53" s="92">
        <f>LOOKUP(1,1/('[1]PURCHASE PRICE'!$B:$B=B53)/('[1]PURCHASE PRICE'!$A:$A=A53),'[1]PURCHASE PRICE'!$D:$D)</f>
        <v>64000</v>
      </c>
      <c r="G53" s="92">
        <f t="shared" si="5"/>
        <v>64000</v>
      </c>
      <c r="H53" s="13">
        <f t="shared" si="0"/>
        <v>2560000</v>
      </c>
    </row>
    <row r="54" spans="1:8" x14ac:dyDescent="0.3">
      <c r="A54" s="90">
        <v>45646</v>
      </c>
      <c r="B54" t="s">
        <v>228</v>
      </c>
      <c r="C54" t="s">
        <v>1</v>
      </c>
      <c r="D54">
        <v>10</v>
      </c>
      <c r="E54" s="92">
        <f>LOOKUP(1,1/('[1]PURCHASE PRICE'!$B:$B=B54)/('[1]PURCHASE PRICE'!$A:$A=A54)/('[1]PURCHASE PRICE'!$C:$C=C54),'[1]PURCHASE PRICE'!$D:$D)</f>
        <v>15000</v>
      </c>
      <c r="F54" s="92">
        <f>LOOKUP(1,1/('[1]PURCHASE PRICE'!$B:$B=B54)/('[1]PURCHASE PRICE'!$A:$A=A54),'[1]PURCHASE PRICE'!$D:$D)</f>
        <v>15000</v>
      </c>
      <c r="G54" s="92">
        <v>15000</v>
      </c>
      <c r="H54" s="13">
        <f t="shared" si="0"/>
        <v>150000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1"/>
  <sheetViews>
    <sheetView workbookViewId="0">
      <selection activeCell="H1" sqref="H1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9.33203125" bestFit="1" customWidth="1"/>
    <col min="4" max="4" width="10.5546875" bestFit="1" customWidth="1"/>
    <col min="5" max="7" width="10.33203125" style="92" bestFit="1" customWidth="1"/>
    <col min="8" max="8" width="19.33203125" bestFit="1" customWidth="1"/>
  </cols>
  <sheetData>
    <row r="1" spans="1:8" x14ac:dyDescent="0.3">
      <c r="B1" t="s">
        <v>221</v>
      </c>
      <c r="D1" s="90">
        <v>45645</v>
      </c>
      <c r="H1" s="91">
        <f>SUM(H3:H51)</f>
        <v>59757850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90">
        <v>45645</v>
      </c>
      <c r="B3" t="s">
        <v>65</v>
      </c>
      <c r="C3" t="s">
        <v>7</v>
      </c>
      <c r="D3">
        <v>60</v>
      </c>
      <c r="E3" s="92" t="e">
        <f>LOOKUP(1,1/('[1]PURCHASE PRICE'!$B:$B=B3)/('[1]PURCHASE PRICE'!$A:$A=A3)/('[1]PURCHASE PRICE'!$C:$C=C3),'[1]PURCHASE PRICE'!$D:$D)</f>
        <v>#N/A</v>
      </c>
      <c r="F3" s="92">
        <f>LOOKUP(1,1/('[1]PURCHASE PRICE'!$B:$B=B3)/('[1]PURCHASE PRICE'!$A:$A=A3),'[1]PURCHASE PRICE'!$D:$D)</f>
        <v>17000</v>
      </c>
      <c r="G3" s="92">
        <f>17000*0.4</f>
        <v>6800</v>
      </c>
      <c r="H3" s="13">
        <f>G3*D3</f>
        <v>408000</v>
      </c>
    </row>
    <row r="4" spans="1:8" x14ac:dyDescent="0.3">
      <c r="A4" s="90">
        <v>45645</v>
      </c>
      <c r="B4" t="s">
        <v>73</v>
      </c>
      <c r="C4" t="s">
        <v>1</v>
      </c>
      <c r="D4">
        <v>40</v>
      </c>
      <c r="E4" s="92">
        <f>LOOKUP(1,1/('[1]PURCHASE PRICE'!$B:$B=B4)/('[1]PURCHASE PRICE'!$A:$A=A4)/('[1]PURCHASE PRICE'!$C:$C=C4),'[1]PURCHASE PRICE'!$D:$D)</f>
        <v>11000</v>
      </c>
      <c r="F4" s="92">
        <f>LOOKUP(1,1/('[1]PURCHASE PRICE'!$B:$B=B4)/('[1]PURCHASE PRICE'!$A:$A=A4),'[1]PURCHASE PRICE'!$D:$D)</f>
        <v>11000</v>
      </c>
      <c r="G4" s="92">
        <v>11000</v>
      </c>
      <c r="H4" s="13">
        <f t="shared" ref="H4:H51" si="0">G4*D4</f>
        <v>440000</v>
      </c>
    </row>
    <row r="5" spans="1:8" x14ac:dyDescent="0.3">
      <c r="A5" s="90">
        <v>45645</v>
      </c>
      <c r="B5" t="s">
        <v>2</v>
      </c>
      <c r="C5" t="s">
        <v>1</v>
      </c>
      <c r="D5">
        <v>0</v>
      </c>
      <c r="E5" s="92" t="e">
        <f>LOOKUP(1,1/('[1]PURCHASE PRICE'!$B:$B=B5)/('[1]PURCHASE PRICE'!$A:$A=A5)/('[1]PURCHASE PRICE'!$C:$C=C5),'[1]PURCHASE PRICE'!$D:$D)</f>
        <v>#N/A</v>
      </c>
      <c r="F5" s="92" t="e">
        <f>LOOKUP(1,1/('[1]PURCHASE PRICE'!$B:$B=B5)/('[1]PURCHASE PRICE'!$A:$A=A5),'[1]PURCHASE PRICE'!$D:$D)</f>
        <v>#N/A</v>
      </c>
      <c r="G5" s="92">
        <v>0</v>
      </c>
      <c r="H5" s="13">
        <f t="shared" si="0"/>
        <v>0</v>
      </c>
    </row>
    <row r="6" spans="1:8" x14ac:dyDescent="0.3">
      <c r="A6" s="90">
        <v>45645</v>
      </c>
      <c r="B6" t="s">
        <v>3</v>
      </c>
      <c r="C6" t="s">
        <v>1</v>
      </c>
      <c r="D6">
        <v>120</v>
      </c>
      <c r="E6" s="92">
        <f>LOOKUP(1,1/('[1]PURCHASE PRICE'!$B:$B=B6)/('[1]PURCHASE PRICE'!$A:$A=A6)/('[1]PURCHASE PRICE'!$C:$C=C6),'[1]PURCHASE PRICE'!$D:$D)</f>
        <v>23000</v>
      </c>
      <c r="F6" s="92">
        <f>LOOKUP(1,1/('[1]PURCHASE PRICE'!$B:$B=B6)/('[1]PURCHASE PRICE'!$A:$A=A6),'[1]PURCHASE PRICE'!$D:$D)</f>
        <v>23000</v>
      </c>
      <c r="G6" s="92">
        <v>23000</v>
      </c>
      <c r="H6" s="13">
        <f t="shared" si="0"/>
        <v>2760000</v>
      </c>
    </row>
    <row r="7" spans="1:8" x14ac:dyDescent="0.3">
      <c r="A7" s="90">
        <v>45645</v>
      </c>
      <c r="B7" t="s">
        <v>5</v>
      </c>
      <c r="C7" t="s">
        <v>7</v>
      </c>
      <c r="D7">
        <v>400</v>
      </c>
      <c r="E7" s="92" t="e">
        <f>LOOKUP(1,1/('[1]PURCHASE PRICE'!$B:$B=B7)/('[1]PURCHASE PRICE'!$A:$A=A7)/('[1]PURCHASE PRICE'!$C:$C=C7),'[1]PURCHASE PRICE'!$D:$D)</f>
        <v>#N/A</v>
      </c>
      <c r="F7" s="92">
        <f>LOOKUP(1,1/('[1]PURCHASE PRICE'!$B:$B=B7)/('[1]PURCHASE PRICE'!$A:$A=A7),'[1]PURCHASE PRICE'!$D:$D)</f>
        <v>14000</v>
      </c>
      <c r="G7" s="92">
        <f>+F7*0.3</f>
        <v>4200</v>
      </c>
      <c r="H7" s="13">
        <f t="shared" si="0"/>
        <v>1680000</v>
      </c>
    </row>
    <row r="8" spans="1:8" x14ac:dyDescent="0.3">
      <c r="A8" s="90">
        <v>45645</v>
      </c>
      <c r="B8" t="s">
        <v>68</v>
      </c>
      <c r="C8" t="s">
        <v>1</v>
      </c>
      <c r="D8">
        <v>0</v>
      </c>
      <c r="E8" s="92">
        <f>LOOKUP(1,1/('[1]PURCHASE PRICE'!$B:$B=B8)/('[1]PURCHASE PRICE'!$A:$A=A8)/('[1]PURCHASE PRICE'!$C:$C=C8),'[1]PURCHASE PRICE'!$D:$D)</f>
        <v>33000</v>
      </c>
      <c r="F8" s="92">
        <f>LOOKUP(1,1/('[1]PURCHASE PRICE'!$B:$B=B8)/('[1]PURCHASE PRICE'!$A:$A=A8),'[1]PURCHASE PRICE'!$D:$D)</f>
        <v>33000</v>
      </c>
      <c r="G8" s="92">
        <f>F8</f>
        <v>33000</v>
      </c>
      <c r="H8" s="13">
        <f t="shared" si="0"/>
        <v>0</v>
      </c>
    </row>
    <row r="9" spans="1:8" x14ac:dyDescent="0.3">
      <c r="A9" s="90">
        <v>45645</v>
      </c>
      <c r="B9" t="s">
        <v>8</v>
      </c>
      <c r="C9" t="s">
        <v>11</v>
      </c>
      <c r="D9">
        <v>91</v>
      </c>
      <c r="E9" s="92">
        <f>LOOKUP(1,1/('[1]PURCHASE PRICE'!$B:$B=B9)/('[1]PURCHASE PRICE'!$A:$A=A9)/('[1]PURCHASE PRICE'!$C:$C=C9),'[1]PURCHASE PRICE'!$D:$D)</f>
        <v>7600</v>
      </c>
      <c r="F9" s="92">
        <f>LOOKUP(1,1/('[1]PURCHASE PRICE'!$B:$B=B9)/('[1]PURCHASE PRICE'!$A:$A=A9),'[1]PURCHASE PRICE'!$D:$D)</f>
        <v>7600</v>
      </c>
      <c r="G9" s="92">
        <f>F9</f>
        <v>7600</v>
      </c>
      <c r="H9" s="13">
        <f t="shared" si="0"/>
        <v>691600</v>
      </c>
    </row>
    <row r="10" spans="1:8" x14ac:dyDescent="0.3">
      <c r="A10" s="90">
        <v>45645</v>
      </c>
      <c r="B10" t="s">
        <v>9</v>
      </c>
      <c r="C10" t="s">
        <v>1</v>
      </c>
      <c r="D10">
        <v>150</v>
      </c>
      <c r="E10" s="92">
        <f>LOOKUP(1,1/('[1]PURCHASE PRICE'!$B:$B=B10)/('[1]PURCHASE PRICE'!$A:$A=A10)/('[1]PURCHASE PRICE'!$C:$C=C10),'[1]PURCHASE PRICE'!$D:$D)</f>
        <v>18000</v>
      </c>
      <c r="F10" s="92">
        <f>LOOKUP(1,1/('[1]PURCHASE PRICE'!$B:$B=B10)/('[1]PURCHASE PRICE'!$A:$A=A10),'[1]PURCHASE PRICE'!$D:$D)</f>
        <v>18000</v>
      </c>
      <c r="G10" s="92">
        <f>F10</f>
        <v>18000</v>
      </c>
      <c r="H10" s="13">
        <f t="shared" si="0"/>
        <v>2700000</v>
      </c>
    </row>
    <row r="11" spans="1:8" x14ac:dyDescent="0.3">
      <c r="A11" s="90">
        <v>45645</v>
      </c>
      <c r="B11" t="s">
        <v>10</v>
      </c>
      <c r="C11" t="s">
        <v>12</v>
      </c>
      <c r="D11">
        <v>160</v>
      </c>
      <c r="E11" s="92">
        <f>LOOKUP(1,1/('[1]PURCHASE PRICE'!$B:$B=B11)/('[1]PURCHASE PRICE'!$A:$A=A11)/('[1]PURCHASE PRICE'!$C:$C=C11),'[1]PURCHASE PRICE'!$D:$D)</f>
        <v>9500</v>
      </c>
      <c r="F11" s="92">
        <f>LOOKUP(1,1/('[1]PURCHASE PRICE'!$B:$B=B11)/('[1]PURCHASE PRICE'!$A:$A=A11),'[1]PURCHASE PRICE'!$D:$D)</f>
        <v>17000</v>
      </c>
      <c r="G11" s="92">
        <f>E11</f>
        <v>9500</v>
      </c>
      <c r="H11" s="13">
        <f t="shared" si="0"/>
        <v>1520000</v>
      </c>
    </row>
    <row r="12" spans="1:8" x14ac:dyDescent="0.3">
      <c r="A12" s="90">
        <v>45645</v>
      </c>
      <c r="B12" t="s">
        <v>13</v>
      </c>
      <c r="C12" t="s">
        <v>14</v>
      </c>
      <c r="D12">
        <v>140</v>
      </c>
      <c r="E12" s="92">
        <f>LOOKUP(1,1/('[1]PURCHASE PRICE'!$B:$B=B12)/('[1]PURCHASE PRICE'!$A:$A=A12)/('[1]PURCHASE PRICE'!$C:$C=C12),'[1]PURCHASE PRICE'!$D:$D)</f>
        <v>9000</v>
      </c>
      <c r="F12" s="92">
        <f>LOOKUP(1,1/('[1]PURCHASE PRICE'!$B:$B=B12)/('[1]PURCHASE PRICE'!$A:$A=A12),'[1]PURCHASE PRICE'!$D:$D)</f>
        <v>9000</v>
      </c>
      <c r="G12" s="92">
        <f>F12</f>
        <v>9000</v>
      </c>
      <c r="H12" s="13">
        <f t="shared" si="0"/>
        <v>1260000</v>
      </c>
    </row>
    <row r="13" spans="1:8" x14ac:dyDescent="0.3">
      <c r="A13" s="90">
        <v>45645</v>
      </c>
      <c r="B13" t="s">
        <v>15</v>
      </c>
      <c r="C13" t="s">
        <v>16</v>
      </c>
      <c r="D13">
        <v>50</v>
      </c>
      <c r="E13" s="92">
        <f>LOOKUP(1,1/('[1]PURCHASE PRICE'!$B:$B=B13)/('[1]PURCHASE PRICE'!$A:$A=A13)/('[1]PURCHASE PRICE'!$C:$C=C13),'[1]PURCHASE PRICE'!$D:$D)</f>
        <v>15000</v>
      </c>
      <c r="F13" s="92">
        <f>LOOKUP(1,1/('[1]PURCHASE PRICE'!$B:$B=B13)/('[1]PURCHASE PRICE'!$A:$A=A13),'[1]PURCHASE PRICE'!$D:$D)</f>
        <v>15000</v>
      </c>
      <c r="G13" s="92">
        <f>F13</f>
        <v>15000</v>
      </c>
      <c r="H13" s="13">
        <f t="shared" si="0"/>
        <v>750000</v>
      </c>
    </row>
    <row r="14" spans="1:8" x14ac:dyDescent="0.3">
      <c r="A14" s="90">
        <v>45645</v>
      </c>
      <c r="B14" t="s">
        <v>17</v>
      </c>
      <c r="C14" t="s">
        <v>14</v>
      </c>
      <c r="D14">
        <v>100</v>
      </c>
      <c r="E14" s="92">
        <f>LOOKUP(1,1/('[1]PURCHASE PRICE'!$B:$B=B14)/('[1]PURCHASE PRICE'!$A:$A=A14)/('[1]PURCHASE PRICE'!$C:$C=C14),'[1]PURCHASE PRICE'!$D:$D)</f>
        <v>15000</v>
      </c>
      <c r="F14" s="92">
        <f>LOOKUP(1,1/('[1]PURCHASE PRICE'!$B:$B=B14)/('[1]PURCHASE PRICE'!$A:$A=A14),'[1]PURCHASE PRICE'!$D:$D)</f>
        <v>38000</v>
      </c>
      <c r="G14" s="92">
        <f>E14</f>
        <v>15000</v>
      </c>
      <c r="H14" s="13">
        <f t="shared" si="0"/>
        <v>1500000</v>
      </c>
    </row>
    <row r="15" spans="1:8" x14ac:dyDescent="0.3">
      <c r="A15" s="90">
        <v>45645</v>
      </c>
      <c r="B15" t="s">
        <v>18</v>
      </c>
      <c r="C15" t="s">
        <v>1</v>
      </c>
      <c r="D15">
        <v>60</v>
      </c>
      <c r="E15" s="92">
        <f>LOOKUP(1,1/('[1]PURCHASE PRICE'!$B:$B=B15)/('[1]PURCHASE PRICE'!$A:$A=A15)/('[1]PURCHASE PRICE'!$C:$C=C15),'[1]PURCHASE PRICE'!$D:$D)</f>
        <v>22000</v>
      </c>
      <c r="F15" s="92">
        <f>LOOKUP(1,1/('[1]PURCHASE PRICE'!$B:$B=B15)/('[1]PURCHASE PRICE'!$A:$A=A15),'[1]PURCHASE PRICE'!$D:$D)</f>
        <v>22000</v>
      </c>
      <c r="G15" s="92">
        <f>F15</f>
        <v>22000</v>
      </c>
      <c r="H15" s="13">
        <f t="shared" si="0"/>
        <v>1320000</v>
      </c>
    </row>
    <row r="16" spans="1:8" x14ac:dyDescent="0.3">
      <c r="A16" s="90">
        <v>45645</v>
      </c>
      <c r="B16" t="s">
        <v>20</v>
      </c>
      <c r="C16" t="s">
        <v>11</v>
      </c>
      <c r="D16">
        <v>56</v>
      </c>
      <c r="E16" s="92">
        <f>LOOKUP(1,1/('[1]PURCHASE PRICE'!$B:$B=B16)/('[1]PURCHASE PRICE'!$A:$A=A16)/('[1]PURCHASE PRICE'!$C:$C=C16),'[1]PURCHASE PRICE'!$D:$D)</f>
        <v>10000</v>
      </c>
      <c r="F16" s="92">
        <f>LOOKUP(1,1/('[1]PURCHASE PRICE'!$B:$B=B16)/('[1]PURCHASE PRICE'!$A:$A=A16),'[1]PURCHASE PRICE'!$D:$D)</f>
        <v>10000</v>
      </c>
      <c r="G16" s="92">
        <f t="shared" ref="G16:G17" si="1">F16</f>
        <v>10000</v>
      </c>
      <c r="H16" s="13">
        <f t="shared" si="0"/>
        <v>560000</v>
      </c>
    </row>
    <row r="17" spans="1:8" x14ac:dyDescent="0.3">
      <c r="A17" s="90">
        <v>45645</v>
      </c>
      <c r="B17" t="s">
        <v>63</v>
      </c>
      <c r="C17" t="s">
        <v>1</v>
      </c>
      <c r="D17">
        <v>80</v>
      </c>
      <c r="E17" s="92">
        <f>LOOKUP(1,1/('[1]PURCHASE PRICE'!$B:$B=B17)/('[1]PURCHASE PRICE'!$A:$A=A17)/('[1]PURCHASE PRICE'!$C:$C=C17),'[1]PURCHASE PRICE'!$D:$D)</f>
        <v>24000</v>
      </c>
      <c r="F17" s="92">
        <f>LOOKUP(1,1/('[1]PURCHASE PRICE'!$B:$B=B17)/('[1]PURCHASE PRICE'!$A:$A=A17),'[1]PURCHASE PRICE'!$D:$D)</f>
        <v>24000</v>
      </c>
      <c r="G17" s="92">
        <f t="shared" si="1"/>
        <v>24000</v>
      </c>
      <c r="H17" s="13">
        <f t="shared" si="0"/>
        <v>1920000</v>
      </c>
    </row>
    <row r="18" spans="1:8" x14ac:dyDescent="0.3">
      <c r="A18" s="90">
        <v>45645</v>
      </c>
      <c r="B18" t="s">
        <v>21</v>
      </c>
      <c r="C18" t="s">
        <v>23</v>
      </c>
      <c r="D18">
        <v>20</v>
      </c>
      <c r="E18" s="92" t="e">
        <f>LOOKUP(1,1/('[1]PURCHASE PRICE'!$B:$B=B18)/('[1]PURCHASE PRICE'!$A:$A=A18)/('[1]PURCHASE PRICE'!$C:$C=C18),'[1]PURCHASE PRICE'!$D:$D)</f>
        <v>#N/A</v>
      </c>
      <c r="F18" s="92">
        <f>LOOKUP(1,1/('[1]PURCHASE PRICE'!$B:$B=B18)/('[1]PURCHASE PRICE'!$A:$A=A18),'[1]PURCHASE PRICE'!$D:$D)</f>
        <v>4200</v>
      </c>
      <c r="G18" s="92">
        <f>F18/2</f>
        <v>2100</v>
      </c>
      <c r="H18" s="13">
        <f t="shared" si="0"/>
        <v>42000</v>
      </c>
    </row>
    <row r="19" spans="1:8" x14ac:dyDescent="0.3">
      <c r="A19" s="90">
        <v>45645</v>
      </c>
      <c r="B19" t="s">
        <v>21</v>
      </c>
      <c r="C19" t="s">
        <v>22</v>
      </c>
      <c r="D19">
        <v>160</v>
      </c>
      <c r="E19" s="92">
        <f>LOOKUP(1,1/('[1]PURCHASE PRICE'!$B:$B=B19)/('[1]PURCHASE PRICE'!$A:$A=A19)/('[1]PURCHASE PRICE'!$C:$C=C19),'[1]PURCHASE PRICE'!$D:$D)</f>
        <v>4200</v>
      </c>
      <c r="F19" s="92">
        <f>LOOKUP(1,1/('[1]PURCHASE PRICE'!$B:$B=B19)/('[1]PURCHASE PRICE'!$A:$A=A19),'[1]PURCHASE PRICE'!$D:$D)</f>
        <v>4200</v>
      </c>
      <c r="G19" s="92">
        <v>4200</v>
      </c>
      <c r="H19" s="13">
        <f t="shared" si="0"/>
        <v>672000</v>
      </c>
    </row>
    <row r="20" spans="1:8" x14ac:dyDescent="0.3">
      <c r="A20" s="90">
        <v>45645</v>
      </c>
      <c r="B20" t="s">
        <v>24</v>
      </c>
      <c r="C20" t="s">
        <v>25</v>
      </c>
      <c r="D20">
        <v>200</v>
      </c>
      <c r="E20" s="92" t="e">
        <f>LOOKUP(1,1/('[1]PURCHASE PRICE'!$B:$B=B20)/('[1]PURCHASE PRICE'!$A:$A=A20)/('[1]PURCHASE PRICE'!$C:$C=C20),'[1]PURCHASE PRICE'!$D:$D)</f>
        <v>#N/A</v>
      </c>
      <c r="F20" s="92">
        <f>LOOKUP(1,1/('[1]PURCHASE PRICE'!$B:$B=B20)/('[1]PURCHASE PRICE'!$A:$A=A20),'[1]PURCHASE PRICE'!$D:$D)</f>
        <v>10000</v>
      </c>
      <c r="G20" s="92">
        <f>F20</f>
        <v>10000</v>
      </c>
      <c r="H20" s="13">
        <f t="shared" si="0"/>
        <v>2000000</v>
      </c>
    </row>
    <row r="21" spans="1:8" x14ac:dyDescent="0.3">
      <c r="A21" s="90">
        <v>45645</v>
      </c>
      <c r="B21" t="s">
        <v>26</v>
      </c>
      <c r="C21" t="s">
        <v>11</v>
      </c>
      <c r="D21">
        <v>51</v>
      </c>
      <c r="E21" s="92">
        <f>LOOKUP(1,1/('[1]PURCHASE PRICE'!$B:$B=B21)/('[1]PURCHASE PRICE'!$A:$A=A21)/('[1]PURCHASE PRICE'!$C:$C=C21),'[1]PURCHASE PRICE'!$D:$D)</f>
        <v>6750</v>
      </c>
      <c r="F21" s="92">
        <f>LOOKUP(1,1/('[1]PURCHASE PRICE'!$B:$B=B21)/('[1]PURCHASE PRICE'!$A:$A=A21),'[1]PURCHASE PRICE'!$D:$D)</f>
        <v>6750</v>
      </c>
      <c r="G21" s="92">
        <f>F21</f>
        <v>6750</v>
      </c>
      <c r="H21" s="13">
        <f t="shared" si="0"/>
        <v>344250</v>
      </c>
    </row>
    <row r="22" spans="1:8" x14ac:dyDescent="0.3">
      <c r="A22" s="90">
        <v>45645</v>
      </c>
      <c r="B22" t="s">
        <v>27</v>
      </c>
      <c r="C22" t="s">
        <v>16</v>
      </c>
      <c r="D22">
        <v>50</v>
      </c>
      <c r="E22" s="92">
        <f>LOOKUP(1,1/('[1]PURCHASE PRICE'!$B:$B=B22)/('[1]PURCHASE PRICE'!$A:$A=A22)/('[1]PURCHASE PRICE'!$C:$C=C22),'[1]PURCHASE PRICE'!$D:$D)</f>
        <v>8000</v>
      </c>
      <c r="F22" s="92">
        <f>LOOKUP(1,1/('[1]PURCHASE PRICE'!$B:$B=B22)/('[1]PURCHASE PRICE'!$A:$A=A22),'[1]PURCHASE PRICE'!$D:$D)</f>
        <v>8000</v>
      </c>
      <c r="G22" s="92">
        <f t="shared" ref="G22:G40" si="2">F22</f>
        <v>8000</v>
      </c>
      <c r="H22" s="13">
        <f t="shared" si="0"/>
        <v>400000</v>
      </c>
    </row>
    <row r="23" spans="1:8" x14ac:dyDescent="0.3">
      <c r="A23" s="90">
        <v>45645</v>
      </c>
      <c r="B23" t="s">
        <v>74</v>
      </c>
      <c r="C23" t="s">
        <v>1</v>
      </c>
      <c r="D23">
        <v>20</v>
      </c>
      <c r="E23" s="92">
        <f>LOOKUP(1,1/('[1]PURCHASE PRICE'!$B:$B=B23)/('[1]PURCHASE PRICE'!$A:$A=A23)/('[1]PURCHASE PRICE'!$C:$C=C23),'[1]PURCHASE PRICE'!$D:$D)</f>
        <v>11000</v>
      </c>
      <c r="F23" s="92">
        <f>LOOKUP(1,1/('[1]PURCHASE PRICE'!$B:$B=B23)/('[1]PURCHASE PRICE'!$A:$A=A23),'[1]PURCHASE PRICE'!$D:$D)</f>
        <v>11000</v>
      </c>
      <c r="G23" s="92">
        <f t="shared" si="2"/>
        <v>11000</v>
      </c>
      <c r="H23" s="13">
        <f t="shared" si="0"/>
        <v>220000</v>
      </c>
    </row>
    <row r="24" spans="1:8" x14ac:dyDescent="0.3">
      <c r="A24" s="90">
        <v>45645</v>
      </c>
      <c r="B24" t="s">
        <v>30</v>
      </c>
      <c r="C24" t="s">
        <v>1</v>
      </c>
      <c r="D24">
        <v>200</v>
      </c>
      <c r="E24" s="92" t="e">
        <f>LOOKUP(1,1/('[1]PURCHASE PRICE'!$B:$B=B24)/('[1]PURCHASE PRICE'!$A:$A=A24)/('[1]PURCHASE PRICE'!$C:$C=C24),'[1]PURCHASE PRICE'!$D:$D)</f>
        <v>#N/A</v>
      </c>
      <c r="F24" s="92" t="e">
        <f>LOOKUP(1,1/('[1]PURCHASE PRICE'!$B:$B=B24)/('[1]PURCHASE PRICE'!$A:$A=A24),'[1]PURCHASE PRICE'!$D:$D)</f>
        <v>#N/A</v>
      </c>
      <c r="G24" s="92">
        <v>24000</v>
      </c>
      <c r="H24" s="13">
        <f t="shared" si="0"/>
        <v>4800000</v>
      </c>
    </row>
    <row r="25" spans="1:8" x14ac:dyDescent="0.3">
      <c r="A25" s="90">
        <v>45645</v>
      </c>
      <c r="B25" t="s">
        <v>31</v>
      </c>
      <c r="C25" t="s">
        <v>1</v>
      </c>
      <c r="D25">
        <v>100</v>
      </c>
      <c r="E25" s="92">
        <f>LOOKUP(1,1/('[1]PURCHASE PRICE'!$B:$B=B25)/('[1]PURCHASE PRICE'!$A:$A=A25)/('[1]PURCHASE PRICE'!$C:$C=C25),'[1]PURCHASE PRICE'!$D:$D)</f>
        <v>16000</v>
      </c>
      <c r="F25" s="92">
        <f>LOOKUP(1,1/('[1]PURCHASE PRICE'!$B:$B=B25)/('[1]PURCHASE PRICE'!$A:$A=A25),'[1]PURCHASE PRICE'!$D:$D)</f>
        <v>16000</v>
      </c>
      <c r="G25" s="92">
        <f t="shared" si="2"/>
        <v>16000</v>
      </c>
      <c r="H25" s="13">
        <f t="shared" si="0"/>
        <v>1600000</v>
      </c>
    </row>
    <row r="26" spans="1:8" x14ac:dyDescent="0.3">
      <c r="A26" s="90">
        <v>45645</v>
      </c>
      <c r="B26" t="s">
        <v>32</v>
      </c>
      <c r="C26" t="s">
        <v>1</v>
      </c>
      <c r="D26">
        <v>0</v>
      </c>
      <c r="E26" s="92">
        <f>LOOKUP(1,1/('[1]PURCHASE PRICE'!$B:$B=B26)/('[1]PURCHASE PRICE'!$A:$A=A26)/('[1]PURCHASE PRICE'!$C:$C=C26),'[1]PURCHASE PRICE'!$D:$D)</f>
        <v>25000</v>
      </c>
      <c r="F26" s="92">
        <f>LOOKUP(1,1/('[1]PURCHASE PRICE'!$B:$B=B26)/('[1]PURCHASE PRICE'!$A:$A=A26),'[1]PURCHASE PRICE'!$D:$D)</f>
        <v>25000</v>
      </c>
      <c r="G26" s="92">
        <f t="shared" si="2"/>
        <v>25000</v>
      </c>
      <c r="H26" s="13">
        <f t="shared" si="0"/>
        <v>0</v>
      </c>
    </row>
    <row r="27" spans="1:8" x14ac:dyDescent="0.3">
      <c r="A27" s="90">
        <v>45645</v>
      </c>
      <c r="B27" t="s">
        <v>139</v>
      </c>
      <c r="C27" t="s">
        <v>1</v>
      </c>
      <c r="D27">
        <v>20</v>
      </c>
      <c r="E27" s="92">
        <f>LOOKUP(1,1/('[1]PURCHASE PRICE'!$B:$B=B27)/('[1]PURCHASE PRICE'!$A:$A=A27)/('[1]PURCHASE PRICE'!$C:$C=C27),'[1]PURCHASE PRICE'!$D:$D)</f>
        <v>18000</v>
      </c>
      <c r="F27" s="92">
        <f>LOOKUP(1,1/('[1]PURCHASE PRICE'!$B:$B=B27)/('[1]PURCHASE PRICE'!$A:$A=A27),'[1]PURCHASE PRICE'!$D:$D)</f>
        <v>18000</v>
      </c>
      <c r="G27" s="92">
        <f t="shared" si="2"/>
        <v>18000</v>
      </c>
      <c r="H27" s="13">
        <f t="shared" si="0"/>
        <v>360000</v>
      </c>
    </row>
    <row r="28" spans="1:8" x14ac:dyDescent="0.3">
      <c r="A28" s="90">
        <v>45645</v>
      </c>
      <c r="B28" t="s">
        <v>33</v>
      </c>
      <c r="C28" t="s">
        <v>22</v>
      </c>
      <c r="D28">
        <v>10</v>
      </c>
      <c r="E28" s="92">
        <f>LOOKUP(1,1/('[1]PURCHASE PRICE'!$B:$B=B28)/('[1]PURCHASE PRICE'!$A:$A=A28)/('[1]PURCHASE PRICE'!$C:$C=C28),'[1]PURCHASE PRICE'!$D:$D)</f>
        <v>6000</v>
      </c>
      <c r="F28" s="92">
        <f>LOOKUP(1,1/('[1]PURCHASE PRICE'!$B:$B=B28)/('[1]PURCHASE PRICE'!$A:$A=A28),'[1]PURCHASE PRICE'!$D:$D)</f>
        <v>6000</v>
      </c>
      <c r="G28" s="92">
        <f t="shared" si="2"/>
        <v>6000</v>
      </c>
      <c r="H28" s="13">
        <f t="shared" si="0"/>
        <v>60000</v>
      </c>
    </row>
    <row r="29" spans="1:8" x14ac:dyDescent="0.3">
      <c r="A29" s="90">
        <v>45645</v>
      </c>
      <c r="B29" t="s">
        <v>34</v>
      </c>
      <c r="C29" t="s">
        <v>36</v>
      </c>
      <c r="D29">
        <v>40</v>
      </c>
      <c r="E29" s="92">
        <f>LOOKUP(1,1/('[1]PURCHASE PRICE'!$B:$B=B29)/('[1]PURCHASE PRICE'!$A:$A=A29)/('[1]PURCHASE PRICE'!$C:$C=C29),'[1]PURCHASE PRICE'!$D:$D)</f>
        <v>9000</v>
      </c>
      <c r="F29" s="92">
        <f>LOOKUP(1,1/('[1]PURCHASE PRICE'!$B:$B=B29)/('[1]PURCHASE PRICE'!$A:$A=A29),'[1]PURCHASE PRICE'!$D:$D)</f>
        <v>9000</v>
      </c>
      <c r="G29" s="92">
        <f t="shared" si="2"/>
        <v>9000</v>
      </c>
      <c r="H29" s="13">
        <f t="shared" si="0"/>
        <v>360000</v>
      </c>
    </row>
    <row r="30" spans="1:8" x14ac:dyDescent="0.3">
      <c r="A30" s="90">
        <v>45645</v>
      </c>
      <c r="B30" t="s">
        <v>37</v>
      </c>
      <c r="C30" t="s">
        <v>11</v>
      </c>
      <c r="D30">
        <v>550</v>
      </c>
      <c r="E30" s="92">
        <f>LOOKUP(1,1/('[1]PURCHASE PRICE'!$B:$B=B30)/('[1]PURCHASE PRICE'!$A:$A=A30)/('[1]PURCHASE PRICE'!$C:$C=C30),'[1]PURCHASE PRICE'!$D:$D)</f>
        <v>8000</v>
      </c>
      <c r="F30" s="92">
        <f>LOOKUP(1,1/('[1]PURCHASE PRICE'!$B:$B=B30)/('[1]PURCHASE PRICE'!$A:$A=A30),'[1]PURCHASE PRICE'!$D:$D)</f>
        <v>8000</v>
      </c>
      <c r="G30" s="92">
        <f t="shared" si="2"/>
        <v>8000</v>
      </c>
      <c r="H30" s="13">
        <f t="shared" si="0"/>
        <v>4400000</v>
      </c>
    </row>
    <row r="31" spans="1:8" x14ac:dyDescent="0.3">
      <c r="A31" s="90">
        <v>45645</v>
      </c>
      <c r="B31" t="s">
        <v>38</v>
      </c>
      <c r="C31" t="s">
        <v>1</v>
      </c>
      <c r="D31">
        <v>20</v>
      </c>
      <c r="E31" s="92">
        <f>LOOKUP(1,1/('[1]PURCHASE PRICE'!$B:$B=B31)/('[1]PURCHASE PRICE'!$A:$A=A31)/('[1]PURCHASE PRICE'!$C:$C=C31),'[1]PURCHASE PRICE'!$D:$D)</f>
        <v>16000</v>
      </c>
      <c r="F31" s="92">
        <f>LOOKUP(1,1/('[1]PURCHASE PRICE'!$B:$B=B31)/('[1]PURCHASE PRICE'!$A:$A=A31),'[1]PURCHASE PRICE'!$D:$D)</f>
        <v>16000</v>
      </c>
      <c r="G31" s="92">
        <f t="shared" si="2"/>
        <v>16000</v>
      </c>
      <c r="H31" s="13">
        <f t="shared" si="0"/>
        <v>320000</v>
      </c>
    </row>
    <row r="32" spans="1:8" x14ac:dyDescent="0.3">
      <c r="A32" s="90">
        <v>45645</v>
      </c>
      <c r="B32" t="s">
        <v>39</v>
      </c>
      <c r="C32" t="s">
        <v>1</v>
      </c>
      <c r="D32">
        <v>60</v>
      </c>
      <c r="E32" s="92">
        <f>LOOKUP(1,1/('[1]PURCHASE PRICE'!$B:$B=B32)/('[1]PURCHASE PRICE'!$A:$A=A32)/('[1]PURCHASE PRICE'!$C:$C=C32),'[1]PURCHASE PRICE'!$D:$D)</f>
        <v>16000</v>
      </c>
      <c r="F32" s="92">
        <f>LOOKUP(1,1/('[1]PURCHASE PRICE'!$B:$B=B32)/('[1]PURCHASE PRICE'!$A:$A=A32),'[1]PURCHASE PRICE'!$D:$D)</f>
        <v>16000</v>
      </c>
      <c r="G32" s="92">
        <f t="shared" si="2"/>
        <v>16000</v>
      </c>
      <c r="H32" s="13">
        <f t="shared" si="0"/>
        <v>960000</v>
      </c>
    </row>
    <row r="33" spans="1:8" x14ac:dyDescent="0.3">
      <c r="A33" s="90">
        <v>45645</v>
      </c>
      <c r="B33" t="s">
        <v>40</v>
      </c>
      <c r="C33" t="s">
        <v>25</v>
      </c>
      <c r="D33">
        <v>40</v>
      </c>
      <c r="E33" s="92" t="e">
        <f>LOOKUP(1,1/('[1]PURCHASE PRICE'!$B:$B=B33)/('[1]PURCHASE PRICE'!$A:$A=A33)/('[1]PURCHASE PRICE'!$C:$C=C33),'[1]PURCHASE PRICE'!$D:$D)</f>
        <v>#N/A</v>
      </c>
      <c r="F33" s="92">
        <f>LOOKUP(1,1/('[1]PURCHASE PRICE'!$B:$B=B33)/('[1]PURCHASE PRICE'!$A:$A=A33),'[1]PURCHASE PRICE'!$D:$D)</f>
        <v>19000</v>
      </c>
      <c r="G33" s="92">
        <f>F33*0.15</f>
        <v>2850</v>
      </c>
      <c r="H33" s="13">
        <f t="shared" si="0"/>
        <v>114000</v>
      </c>
    </row>
    <row r="34" spans="1:8" x14ac:dyDescent="0.3">
      <c r="A34" s="90">
        <v>45645</v>
      </c>
      <c r="B34" t="s">
        <v>42</v>
      </c>
      <c r="C34" t="s">
        <v>1</v>
      </c>
      <c r="D34">
        <v>10</v>
      </c>
      <c r="E34" s="92">
        <f>LOOKUP(1,1/('[1]PURCHASE PRICE'!$B:$B=B34)/('[1]PURCHASE PRICE'!$A:$A=A34)/('[1]PURCHASE PRICE'!$C:$C=C34),'[1]PURCHASE PRICE'!$D:$D)</f>
        <v>47000</v>
      </c>
      <c r="F34" s="92">
        <f>LOOKUP(1,1/('[1]PURCHASE PRICE'!$B:$B=B34)/('[1]PURCHASE PRICE'!$A:$A=A34),'[1]PURCHASE PRICE'!$D:$D)</f>
        <v>47000</v>
      </c>
      <c r="G34" s="92">
        <f t="shared" si="2"/>
        <v>47000</v>
      </c>
      <c r="H34" s="13">
        <f t="shared" si="0"/>
        <v>470000</v>
      </c>
    </row>
    <row r="35" spans="1:8" x14ac:dyDescent="0.3">
      <c r="A35" s="90">
        <v>45645</v>
      </c>
      <c r="B35" t="s">
        <v>45</v>
      </c>
      <c r="C35" t="s">
        <v>22</v>
      </c>
      <c r="D35">
        <v>400</v>
      </c>
      <c r="E35" s="92">
        <f>LOOKUP(1,1/('[1]PURCHASE PRICE'!$B:$B=B35)/('[1]PURCHASE PRICE'!$A:$A=A35)/('[1]PURCHASE PRICE'!$C:$C=C35),'[1]PURCHASE PRICE'!$D:$D)</f>
        <v>2000</v>
      </c>
      <c r="F35" s="92">
        <f>LOOKUP(1,1/('[1]PURCHASE PRICE'!$B:$B=B35)/('[1]PURCHASE PRICE'!$A:$A=A35),'[1]PURCHASE PRICE'!$D:$D)</f>
        <v>2000</v>
      </c>
      <c r="G35" s="92">
        <f t="shared" si="2"/>
        <v>2000</v>
      </c>
      <c r="H35" s="13">
        <f t="shared" si="0"/>
        <v>800000</v>
      </c>
    </row>
    <row r="36" spans="1:8" x14ac:dyDescent="0.3">
      <c r="A36" s="90">
        <v>45645</v>
      </c>
      <c r="B36" t="s">
        <v>46</v>
      </c>
      <c r="C36" t="s">
        <v>1</v>
      </c>
      <c r="D36">
        <v>50</v>
      </c>
      <c r="E36" s="92">
        <f>LOOKUP(1,1/('[1]PURCHASE PRICE'!$B:$B=B36)/('[1]PURCHASE PRICE'!$A:$A=A36)/('[1]PURCHASE PRICE'!$C:$C=C36),'[1]PURCHASE PRICE'!$D:$D)</f>
        <v>52000</v>
      </c>
      <c r="F36" s="92">
        <f>LOOKUP(1,1/('[1]PURCHASE PRICE'!$B:$B=B36)/('[1]PURCHASE PRICE'!$A:$A=A36),'[1]PURCHASE PRICE'!$D:$D)</f>
        <v>52000</v>
      </c>
      <c r="G36" s="92">
        <f t="shared" si="2"/>
        <v>52000</v>
      </c>
      <c r="H36" s="13">
        <f t="shared" si="0"/>
        <v>2600000</v>
      </c>
    </row>
    <row r="37" spans="1:8" x14ac:dyDescent="0.3">
      <c r="A37" s="90">
        <v>45645</v>
      </c>
      <c r="B37" t="s">
        <v>64</v>
      </c>
      <c r="C37" t="s">
        <v>1</v>
      </c>
      <c r="D37">
        <v>43</v>
      </c>
      <c r="E37" s="92">
        <f>LOOKUP(1,1/('[1]PURCHASE PRICE'!$B:$B=B37)/('[1]PURCHASE PRICE'!$A:$A=A37)/('[1]PURCHASE PRICE'!$C:$C=C37),'[1]PURCHASE PRICE'!$D:$D)</f>
        <v>50000</v>
      </c>
      <c r="F37" s="92">
        <f>LOOKUP(1,1/('[1]PURCHASE PRICE'!$B:$B=B37)/('[1]PURCHASE PRICE'!$A:$A=A37),'[1]PURCHASE PRICE'!$D:$D)</f>
        <v>50000</v>
      </c>
      <c r="G37" s="92">
        <f t="shared" si="2"/>
        <v>50000</v>
      </c>
      <c r="H37" s="13">
        <f t="shared" si="0"/>
        <v>2150000</v>
      </c>
    </row>
    <row r="38" spans="1:8" x14ac:dyDescent="0.3">
      <c r="A38" s="90">
        <v>45645</v>
      </c>
      <c r="B38" t="s">
        <v>47</v>
      </c>
      <c r="C38" t="s">
        <v>168</v>
      </c>
      <c r="D38">
        <v>120</v>
      </c>
      <c r="E38" s="92">
        <f>LOOKUP(1,1/('[1]PURCHASE PRICE'!$B:$B=B38)/('[1]PURCHASE PRICE'!$A:$A=A38)/('[1]PURCHASE PRICE'!$C:$C=C38),'[1]PURCHASE PRICE'!$D:$D)</f>
        <v>35000</v>
      </c>
      <c r="F38" s="92">
        <f>LOOKUP(1,1/('[1]PURCHASE PRICE'!$B:$B=B38)/('[1]PURCHASE PRICE'!$A:$A=A38),'[1]PURCHASE PRICE'!$D:$D)</f>
        <v>35000</v>
      </c>
      <c r="G38" s="92">
        <f t="shared" si="2"/>
        <v>35000</v>
      </c>
      <c r="H38" s="13">
        <f t="shared" si="0"/>
        <v>4200000</v>
      </c>
    </row>
    <row r="39" spans="1:8" x14ac:dyDescent="0.3">
      <c r="A39" s="90">
        <v>45645</v>
      </c>
      <c r="B39" t="s">
        <v>48</v>
      </c>
      <c r="C39" t="s">
        <v>1</v>
      </c>
      <c r="D39">
        <v>30</v>
      </c>
      <c r="E39" s="92">
        <f>LOOKUP(1,1/('[1]PURCHASE PRICE'!$B:$B=B39)/('[1]PURCHASE PRICE'!$A:$A=A39)/('[1]PURCHASE PRICE'!$C:$C=C39),'[1]PURCHASE PRICE'!$D:$D)</f>
        <v>58000</v>
      </c>
      <c r="F39" s="92">
        <f>LOOKUP(1,1/('[1]PURCHASE PRICE'!$B:$B=B39)/('[1]PURCHASE PRICE'!$A:$A=A39),'[1]PURCHASE PRICE'!$D:$D)</f>
        <v>58000</v>
      </c>
      <c r="G39" s="92">
        <f t="shared" si="2"/>
        <v>58000</v>
      </c>
      <c r="H39" s="13">
        <f t="shared" si="0"/>
        <v>1740000</v>
      </c>
    </row>
    <row r="40" spans="1:8" x14ac:dyDescent="0.3">
      <c r="A40" s="90">
        <v>45645</v>
      </c>
      <c r="B40" t="s">
        <v>50</v>
      </c>
      <c r="C40" t="s">
        <v>168</v>
      </c>
      <c r="D40">
        <v>50</v>
      </c>
      <c r="E40" s="92">
        <f>LOOKUP(1,1/('[1]PURCHASE PRICE'!$B:$B=B40)/('[1]PURCHASE PRICE'!$A:$A=A40)/('[1]PURCHASE PRICE'!$C:$C=C40),'[1]PURCHASE PRICE'!$D:$D)</f>
        <v>30000</v>
      </c>
      <c r="F40" s="92">
        <f>LOOKUP(1,1/('[1]PURCHASE PRICE'!$B:$B=B40)/('[1]PURCHASE PRICE'!$A:$A=A40),'[1]PURCHASE PRICE'!$D:$D)</f>
        <v>30000</v>
      </c>
      <c r="G40" s="92">
        <f t="shared" si="2"/>
        <v>30000</v>
      </c>
      <c r="H40" s="13">
        <f t="shared" si="0"/>
        <v>1500000</v>
      </c>
    </row>
    <row r="41" spans="1:8" x14ac:dyDescent="0.3">
      <c r="A41" s="90">
        <v>45645</v>
      </c>
      <c r="B41" t="s">
        <v>51</v>
      </c>
      <c r="C41" t="s">
        <v>7</v>
      </c>
      <c r="D41">
        <v>0</v>
      </c>
      <c r="E41" s="92" t="e">
        <f>LOOKUP(1,1/('[1]PURCHASE PRICE'!$B:$B=B41)/('[1]PURCHASE PRICE'!$A:$A=A41)/('[1]PURCHASE PRICE'!$C:$C=C41),'[1]PURCHASE PRICE'!$D:$D)</f>
        <v>#N/A</v>
      </c>
      <c r="F41" s="92">
        <f>LOOKUP(1,1/('[1]PURCHASE PRICE'!$B:$B=B41)/('[1]PURCHASE PRICE'!$A:$A=A41),'[1]PURCHASE PRICE'!$D:$D)</f>
        <v>20000</v>
      </c>
      <c r="G41" s="92">
        <f>F41*0.25</f>
        <v>5000</v>
      </c>
      <c r="H41" s="13">
        <f t="shared" si="0"/>
        <v>0</v>
      </c>
    </row>
    <row r="42" spans="1:8" x14ac:dyDescent="0.3">
      <c r="A42" s="90">
        <v>45645</v>
      </c>
      <c r="B42" t="s">
        <v>52</v>
      </c>
      <c r="C42" t="s">
        <v>223</v>
      </c>
      <c r="D42">
        <v>20</v>
      </c>
      <c r="E42" s="92" t="e">
        <f>LOOKUP(1,1/('[1]PURCHASE PRICE'!$B:$B=B42)/('[1]PURCHASE PRICE'!$A:$A=A42)/('[1]PURCHASE PRICE'!$C:$C=C42),'[1]PURCHASE PRICE'!$D:$D)</f>
        <v>#N/A</v>
      </c>
      <c r="F42" s="92">
        <f>LOOKUP(1,1/('[1]PURCHASE PRICE'!$B:$B=B42)/('[1]PURCHASE PRICE'!$A:$A=A42),'[1]PURCHASE PRICE'!$D:$D)</f>
        <v>21000</v>
      </c>
      <c r="G42" s="92">
        <v>60000</v>
      </c>
      <c r="H42" s="13">
        <f t="shared" si="0"/>
        <v>1200000</v>
      </c>
    </row>
    <row r="43" spans="1:8" x14ac:dyDescent="0.3">
      <c r="A43" s="90">
        <v>45645</v>
      </c>
      <c r="B43" t="s">
        <v>52</v>
      </c>
      <c r="C43" t="s">
        <v>22</v>
      </c>
      <c r="D43">
        <v>190</v>
      </c>
      <c r="E43" s="92">
        <f>LOOKUP(1,1/('[1]PURCHASE PRICE'!$B:$B=B43)/('[1]PURCHASE PRICE'!$A:$A=A43)/('[1]PURCHASE PRICE'!$C:$C=C43),'[1]PURCHASE PRICE'!$D:$D)</f>
        <v>21000</v>
      </c>
      <c r="F43" s="92">
        <f>LOOKUP(1,1/('[1]PURCHASE PRICE'!$B:$B=B43)/('[1]PURCHASE PRICE'!$A:$A=A43),'[1]PURCHASE PRICE'!$D:$D)</f>
        <v>21000</v>
      </c>
      <c r="G43" s="92">
        <v>21000</v>
      </c>
      <c r="H43" s="13">
        <f t="shared" si="0"/>
        <v>3990000</v>
      </c>
    </row>
    <row r="44" spans="1:8" x14ac:dyDescent="0.3">
      <c r="A44" s="90">
        <v>45645</v>
      </c>
      <c r="B44" t="s">
        <v>53</v>
      </c>
      <c r="C44" t="s">
        <v>1</v>
      </c>
      <c r="D44">
        <v>6</v>
      </c>
      <c r="E44" s="92">
        <f>LOOKUP(1,1/('[1]PURCHASE PRICE'!$B:$B=B44)/('[1]PURCHASE PRICE'!$A:$A=A44)/('[1]PURCHASE PRICE'!$C:$C=C44),'[1]PURCHASE PRICE'!$D:$D)</f>
        <v>45000</v>
      </c>
      <c r="F44" s="92">
        <f>LOOKUP(1,1/('[1]PURCHASE PRICE'!$B:$B=B44)/('[1]PURCHASE PRICE'!$A:$A=A44),'[1]PURCHASE PRICE'!$D:$D)</f>
        <v>45000</v>
      </c>
      <c r="G44" s="92">
        <f>F44</f>
        <v>45000</v>
      </c>
      <c r="H44" s="13">
        <f t="shared" si="0"/>
        <v>270000</v>
      </c>
    </row>
    <row r="45" spans="1:8" x14ac:dyDescent="0.3">
      <c r="A45" s="90">
        <v>45645</v>
      </c>
      <c r="B45" t="s">
        <v>76</v>
      </c>
      <c r="C45" t="s">
        <v>1</v>
      </c>
      <c r="D45">
        <v>10</v>
      </c>
      <c r="E45" s="92">
        <f>LOOKUP(1,1/('[1]PURCHASE PRICE'!$B:$B=B45)/('[1]PURCHASE PRICE'!$A:$A=A45)/('[1]PURCHASE PRICE'!$C:$C=C45),'[1]PURCHASE PRICE'!$D:$D)</f>
        <v>35000</v>
      </c>
      <c r="F45" s="92">
        <f>LOOKUP(1,1/('[1]PURCHASE PRICE'!$B:$B=B45)/('[1]PURCHASE PRICE'!$A:$A=A45),'[1]PURCHASE PRICE'!$D:$D)</f>
        <v>35000</v>
      </c>
      <c r="G45" s="92">
        <f t="shared" ref="G45:G51" si="3">F45</f>
        <v>35000</v>
      </c>
      <c r="H45" s="13">
        <f t="shared" si="0"/>
        <v>350000</v>
      </c>
    </row>
    <row r="46" spans="1:8" x14ac:dyDescent="0.3">
      <c r="A46" s="90">
        <v>45645</v>
      </c>
      <c r="B46" t="s">
        <v>54</v>
      </c>
      <c r="C46" t="s">
        <v>1</v>
      </c>
      <c r="D46">
        <v>90</v>
      </c>
      <c r="E46" s="92">
        <f>LOOKUP(1,1/('[1]PURCHASE PRICE'!$B:$B=B46)/('[1]PURCHASE PRICE'!$A:$A=A46)/('[1]PURCHASE PRICE'!$C:$C=C46),'[1]PURCHASE PRICE'!$D:$D)</f>
        <v>26000</v>
      </c>
      <c r="F46" s="92">
        <f>LOOKUP(1,1/('[1]PURCHASE PRICE'!$B:$B=B46)/('[1]PURCHASE PRICE'!$A:$A=A46),'[1]PURCHASE PRICE'!$D:$D)</f>
        <v>26000</v>
      </c>
      <c r="G46" s="92">
        <f t="shared" si="3"/>
        <v>26000</v>
      </c>
      <c r="H46" s="13">
        <f t="shared" si="0"/>
        <v>2340000</v>
      </c>
    </row>
    <row r="47" spans="1:8" x14ac:dyDescent="0.3">
      <c r="A47" s="90">
        <v>45645</v>
      </c>
      <c r="B47" t="s">
        <v>55</v>
      </c>
      <c r="C47" t="s">
        <v>25</v>
      </c>
      <c r="D47">
        <v>100</v>
      </c>
      <c r="E47" s="92">
        <f>LOOKUP(1,1/('[1]PURCHASE PRICE'!$B:$B=B47)/('[1]PURCHASE PRICE'!$A:$A=A47)/('[1]PURCHASE PRICE'!$C:$C=C47),'[1]PURCHASE PRICE'!$D:$D)</f>
        <v>6800</v>
      </c>
      <c r="F47" s="92">
        <f>LOOKUP(1,1/('[1]PURCHASE PRICE'!$B:$B=B47)/('[1]PURCHASE PRICE'!$A:$A=A47),'[1]PURCHASE PRICE'!$D:$D)</f>
        <v>6800</v>
      </c>
      <c r="G47" s="92">
        <f t="shared" si="3"/>
        <v>6800</v>
      </c>
      <c r="H47" s="13">
        <f t="shared" si="0"/>
        <v>680000</v>
      </c>
    </row>
    <row r="48" spans="1:8" x14ac:dyDescent="0.3">
      <c r="A48" s="90">
        <v>45645</v>
      </c>
      <c r="B48" t="s">
        <v>56</v>
      </c>
      <c r="C48" t="s">
        <v>1</v>
      </c>
      <c r="D48">
        <v>40</v>
      </c>
      <c r="E48" s="92">
        <f>LOOKUP(1,1/('[1]PURCHASE PRICE'!$B:$B=B48)/('[1]PURCHASE PRICE'!$A:$A=A48)/('[1]PURCHASE PRICE'!$C:$C=C48),'[1]PURCHASE PRICE'!$D:$D)</f>
        <v>28000</v>
      </c>
      <c r="F48" s="92">
        <f>LOOKUP(1,1/('[1]PURCHASE PRICE'!$B:$B=B48)/('[1]PURCHASE PRICE'!$A:$A=A48),'[1]PURCHASE PRICE'!$D:$D)</f>
        <v>28000</v>
      </c>
      <c r="G48" s="92">
        <f t="shared" si="3"/>
        <v>28000</v>
      </c>
      <c r="H48" s="13">
        <f t="shared" si="0"/>
        <v>1120000</v>
      </c>
    </row>
    <row r="49" spans="1:8" x14ac:dyDescent="0.3">
      <c r="A49" s="90">
        <v>45645</v>
      </c>
      <c r="B49" t="s">
        <v>57</v>
      </c>
      <c r="C49" t="s">
        <v>25</v>
      </c>
      <c r="D49">
        <v>10</v>
      </c>
      <c r="E49" s="92">
        <f>LOOKUP(1,1/('[1]PURCHASE PRICE'!$B:$B=B49)/('[1]PURCHASE PRICE'!$A:$A=A49)/('[1]PURCHASE PRICE'!$C:$C=C49),'[1]PURCHASE PRICE'!$D:$D)</f>
        <v>6800</v>
      </c>
      <c r="F49" s="92">
        <f>LOOKUP(1,1/('[1]PURCHASE PRICE'!$B:$B=B49)/('[1]PURCHASE PRICE'!$A:$A=A49),'[1]PURCHASE PRICE'!$D:$D)</f>
        <v>6800</v>
      </c>
      <c r="G49" s="92">
        <f t="shared" si="3"/>
        <v>6800</v>
      </c>
      <c r="H49" s="13">
        <f t="shared" si="0"/>
        <v>68000</v>
      </c>
    </row>
    <row r="50" spans="1:8" x14ac:dyDescent="0.3">
      <c r="A50" s="90">
        <v>45645</v>
      </c>
      <c r="B50" t="s">
        <v>58</v>
      </c>
      <c r="C50" t="s">
        <v>1</v>
      </c>
      <c r="D50">
        <v>37</v>
      </c>
      <c r="E50" s="92">
        <f>LOOKUP(1,1/('[1]PURCHASE PRICE'!$B:$B=B50)/('[1]PURCHASE PRICE'!$A:$A=A50)/('[1]PURCHASE PRICE'!$C:$C=C50),'[1]PURCHASE PRICE'!$D:$D)</f>
        <v>14000</v>
      </c>
      <c r="F50" s="92">
        <f>LOOKUP(1,1/('[1]PURCHASE PRICE'!$B:$B=B50)/('[1]PURCHASE PRICE'!$A:$A=A50),'[1]PURCHASE PRICE'!$D:$D)</f>
        <v>14000</v>
      </c>
      <c r="G50" s="92">
        <f t="shared" si="3"/>
        <v>14000</v>
      </c>
      <c r="H50" s="13">
        <f t="shared" si="0"/>
        <v>518000</v>
      </c>
    </row>
    <row r="51" spans="1:8" x14ac:dyDescent="0.3">
      <c r="A51" s="90">
        <v>45645</v>
      </c>
      <c r="B51" t="s">
        <v>6</v>
      </c>
      <c r="C51" t="s">
        <v>189</v>
      </c>
      <c r="D51">
        <v>20</v>
      </c>
      <c r="E51" s="92">
        <f>LOOKUP(1,1/('[1]PURCHASE PRICE'!$B:$B=B51)/('[1]PURCHASE PRICE'!$A:$A=A51)/('[1]PURCHASE PRICE'!$C:$C=C51),'[1]PURCHASE PRICE'!$D:$D)</f>
        <v>80000</v>
      </c>
      <c r="F51" s="92">
        <f>LOOKUP(1,1/('[1]PURCHASE PRICE'!$B:$B=B51)/('[1]PURCHASE PRICE'!$A:$A=A51),'[1]PURCHASE PRICE'!$D:$D)</f>
        <v>80000</v>
      </c>
      <c r="G51" s="92">
        <f t="shared" si="3"/>
        <v>80000</v>
      </c>
      <c r="H51" s="13">
        <f t="shared" si="0"/>
        <v>1600000</v>
      </c>
    </row>
  </sheetData>
  <autoFilter ref="A2:H51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H57"/>
  <sheetViews>
    <sheetView workbookViewId="0">
      <selection activeCell="H3" sqref="H3"/>
    </sheetView>
  </sheetViews>
  <sheetFormatPr defaultRowHeight="13.8" x14ac:dyDescent="0.25"/>
  <cols>
    <col min="1" max="1" width="11" style="1" bestFit="1" customWidth="1"/>
    <col min="2" max="2" width="27.77734375" style="1" customWidth="1"/>
    <col min="3" max="3" width="11" style="1" bestFit="1" customWidth="1"/>
    <col min="4" max="4" width="14.44140625" style="1" bestFit="1" customWidth="1"/>
    <col min="5" max="5" width="13" style="1" bestFit="1" customWidth="1"/>
    <col min="6" max="6" width="11.44140625" style="1" customWidth="1"/>
    <col min="7" max="7" width="11.6640625" style="4" bestFit="1" customWidth="1"/>
    <col min="8" max="8" width="16.5546875" style="4" bestFit="1" customWidth="1"/>
    <col min="9" max="16384" width="8.88671875" style="1"/>
  </cols>
  <sheetData>
    <row r="1" spans="1:8" ht="15.6" x14ac:dyDescent="0.3">
      <c r="B1" s="18" t="s">
        <v>208</v>
      </c>
      <c r="C1" s="24">
        <v>45644</v>
      </c>
      <c r="H1" s="16">
        <f>SUM(H3:H57)</f>
        <v>49045200</v>
      </c>
    </row>
    <row r="2" spans="1:8" x14ac:dyDescent="0.25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25">
      <c r="A3" s="11">
        <v>45644</v>
      </c>
      <c r="B3" s="9" t="s">
        <v>0</v>
      </c>
      <c r="C3" s="9" t="s">
        <v>168</v>
      </c>
      <c r="D3" s="10">
        <v>20</v>
      </c>
      <c r="E3" s="17">
        <f>LOOKUP(1,1/('[1]PURCHASE PRICE'!$B:$B=B3)/('[1]PURCHASE PRICE'!$A:$A=A3)/('[1]PURCHASE PRICE'!$C:$C=C3),'[1]PURCHASE PRICE'!$D:$D)</f>
        <v>36000</v>
      </c>
      <c r="F3" s="17">
        <f>LOOKUP(1,1/('[1]PURCHASE PRICE'!$B:$B=B3)/('[1]PURCHASE PRICE'!$A:$A=A3),'[1]PURCHASE PRICE'!$D:$D)</f>
        <v>36000</v>
      </c>
      <c r="G3" s="13">
        <v>36000</v>
      </c>
      <c r="H3" s="13">
        <f>G3*D3</f>
        <v>720000</v>
      </c>
    </row>
    <row r="4" spans="1:8" x14ac:dyDescent="0.25">
      <c r="A4" s="11">
        <v>45644</v>
      </c>
      <c r="B4" s="9" t="s">
        <v>73</v>
      </c>
      <c r="C4" s="9" t="s">
        <v>168</v>
      </c>
      <c r="D4" s="10">
        <v>40</v>
      </c>
      <c r="E4" s="17">
        <v>7000</v>
      </c>
      <c r="F4" s="17" t="e">
        <f>LOOKUP(1,1/('[1]PURCHASE PRICE'!$B:$B=B4)/('[1]PURCHASE PRICE'!$A:$A=A4),'[1]PURCHASE PRICE'!$D:$D)</f>
        <v>#N/A</v>
      </c>
      <c r="G4" s="15">
        <v>7000</v>
      </c>
      <c r="H4" s="13">
        <f t="shared" ref="H4:H57" si="0">G4*D4</f>
        <v>280000</v>
      </c>
    </row>
    <row r="5" spans="1:8" x14ac:dyDescent="0.25">
      <c r="A5" s="11">
        <v>45644</v>
      </c>
      <c r="B5" s="9" t="s">
        <v>2</v>
      </c>
      <c r="C5" s="9" t="s">
        <v>168</v>
      </c>
      <c r="D5" s="10">
        <v>0</v>
      </c>
      <c r="E5" s="17">
        <v>0</v>
      </c>
      <c r="F5" s="17">
        <v>0</v>
      </c>
      <c r="G5" s="13">
        <v>0</v>
      </c>
      <c r="H5" s="13">
        <f t="shared" si="0"/>
        <v>0</v>
      </c>
    </row>
    <row r="6" spans="1:8" x14ac:dyDescent="0.25">
      <c r="A6" s="11">
        <v>45644</v>
      </c>
      <c r="B6" s="9" t="s">
        <v>3</v>
      </c>
      <c r="C6" s="9" t="s">
        <v>168</v>
      </c>
      <c r="D6" s="10">
        <v>50</v>
      </c>
      <c r="E6" s="17">
        <v>22000</v>
      </c>
      <c r="F6" s="17">
        <v>22000</v>
      </c>
      <c r="G6" s="13">
        <v>22000</v>
      </c>
      <c r="H6" s="13">
        <f t="shared" si="0"/>
        <v>1100000</v>
      </c>
    </row>
    <row r="7" spans="1:8" x14ac:dyDescent="0.25">
      <c r="A7" s="11">
        <v>45644</v>
      </c>
      <c r="B7" s="9" t="s">
        <v>3</v>
      </c>
      <c r="C7" s="9" t="s">
        <v>7</v>
      </c>
      <c r="D7" s="10">
        <v>400</v>
      </c>
      <c r="E7" s="17">
        <f>F7*0.3</f>
        <v>6600</v>
      </c>
      <c r="F7" s="17">
        <v>22000</v>
      </c>
      <c r="G7" s="15">
        <v>6600</v>
      </c>
      <c r="H7" s="13">
        <f t="shared" si="0"/>
        <v>2640000</v>
      </c>
    </row>
    <row r="8" spans="1:8" x14ac:dyDescent="0.25">
      <c r="A8" s="11">
        <v>45644</v>
      </c>
      <c r="B8" s="9" t="s">
        <v>68</v>
      </c>
      <c r="C8" s="9" t="s">
        <v>168</v>
      </c>
      <c r="D8" s="10">
        <v>0</v>
      </c>
      <c r="E8" s="17">
        <f>LOOKUP(1,1/('[1]PURCHASE PRICE'!$B:$B=B8)/('[1]PURCHASE PRICE'!$A:$A=A8)/('[1]PURCHASE PRICE'!$C:$C=C8),'[1]PURCHASE PRICE'!$D:$D)</f>
        <v>30000</v>
      </c>
      <c r="F8" s="17">
        <f>LOOKUP(1,1/('[1]PURCHASE PRICE'!$B:$B=B8)/('[1]PURCHASE PRICE'!$A:$A=A8),'[1]PURCHASE PRICE'!$D:$D)</f>
        <v>30000</v>
      </c>
      <c r="G8" s="13">
        <v>30000</v>
      </c>
      <c r="H8" s="13">
        <f t="shared" si="0"/>
        <v>0</v>
      </c>
    </row>
    <row r="9" spans="1:8" x14ac:dyDescent="0.25">
      <c r="A9" s="11">
        <v>45644</v>
      </c>
      <c r="B9" s="9" t="s">
        <v>9</v>
      </c>
      <c r="C9" s="9" t="s">
        <v>168</v>
      </c>
      <c r="D9" s="10">
        <v>150</v>
      </c>
      <c r="E9" s="17">
        <f>LOOKUP(1,1/('[1]PURCHASE PRICE'!$B:$B=B9)/('[1]PURCHASE PRICE'!$A:$A=A9)/('[1]PURCHASE PRICE'!$C:$C=C9),'[1]PURCHASE PRICE'!$D:$D)</f>
        <v>20000</v>
      </c>
      <c r="F9" s="17">
        <f>LOOKUP(1,1/('[1]PURCHASE PRICE'!$B:$B=B9)/('[1]PURCHASE PRICE'!$A:$A=A9),'[1]PURCHASE PRICE'!$D:$D)</f>
        <v>20000</v>
      </c>
      <c r="G9" s="13">
        <v>20000</v>
      </c>
      <c r="H9" s="13">
        <f t="shared" si="0"/>
        <v>3000000</v>
      </c>
    </row>
    <row r="10" spans="1:8" x14ac:dyDescent="0.25">
      <c r="A10" s="11">
        <v>45644</v>
      </c>
      <c r="B10" s="9" t="s">
        <v>10</v>
      </c>
      <c r="C10" s="9" t="s">
        <v>12</v>
      </c>
      <c r="D10" s="10">
        <v>50</v>
      </c>
      <c r="E10" s="17">
        <f>LOOKUP(1,1/('[1]PURCHASE PRICE'!$B:$B=B10)/('[1]PURCHASE PRICE'!$A:$A=A10)/('[1]PURCHASE PRICE'!$C:$C=C10),'[1]PURCHASE PRICE'!$D:$D)</f>
        <v>9500</v>
      </c>
      <c r="F10" s="17">
        <f>LOOKUP(1,1/('[1]PURCHASE PRICE'!$B:$B=B10)/('[1]PURCHASE PRICE'!$A:$A=A10),'[1]PURCHASE PRICE'!$D:$D)</f>
        <v>17000</v>
      </c>
      <c r="G10" s="13">
        <v>9500</v>
      </c>
      <c r="H10" s="13">
        <f t="shared" si="0"/>
        <v>475000</v>
      </c>
    </row>
    <row r="11" spans="1:8" x14ac:dyDescent="0.25">
      <c r="A11" s="11">
        <v>45644</v>
      </c>
      <c r="B11" s="9" t="s">
        <v>13</v>
      </c>
      <c r="C11" s="9" t="s">
        <v>14</v>
      </c>
      <c r="D11" s="10">
        <v>50</v>
      </c>
      <c r="E11" s="17">
        <f>LOOKUP(1,1/('[1]PURCHASE PRICE'!$B:$B=B11)/('[1]PURCHASE PRICE'!$A:$A=A11)/('[1]PURCHASE PRICE'!$C:$C=C11),'[1]PURCHASE PRICE'!$D:$D)</f>
        <v>9000</v>
      </c>
      <c r="F11" s="17">
        <f>LOOKUP(1,1/('[1]PURCHASE PRICE'!$B:$B=B11)/('[1]PURCHASE PRICE'!$A:$A=A11),'[1]PURCHASE PRICE'!$D:$D)</f>
        <v>9000</v>
      </c>
      <c r="G11" s="13">
        <v>9000</v>
      </c>
      <c r="H11" s="13">
        <f t="shared" si="0"/>
        <v>450000</v>
      </c>
    </row>
    <row r="12" spans="1:8" x14ac:dyDescent="0.25">
      <c r="A12" s="11">
        <v>45644</v>
      </c>
      <c r="B12" s="9" t="s">
        <v>15</v>
      </c>
      <c r="C12" s="9" t="s">
        <v>16</v>
      </c>
      <c r="D12" s="10">
        <v>40</v>
      </c>
      <c r="E12" s="17">
        <f>LOOKUP(1,1/('[1]PURCHASE PRICE'!$B:$B=B12)/('[1]PURCHASE PRICE'!$A:$A=A12)/('[1]PURCHASE PRICE'!$C:$C=C12),'[1]PURCHASE PRICE'!$D:$D)</f>
        <v>16500</v>
      </c>
      <c r="F12" s="17">
        <f>LOOKUP(1,1/('[1]PURCHASE PRICE'!$B:$B=B12)/('[1]PURCHASE PRICE'!$A:$A=A12),'[1]PURCHASE PRICE'!$D:$D)</f>
        <v>16500</v>
      </c>
      <c r="G12" s="13">
        <v>16500</v>
      </c>
      <c r="H12" s="13">
        <f t="shared" si="0"/>
        <v>660000</v>
      </c>
    </row>
    <row r="13" spans="1:8" x14ac:dyDescent="0.25">
      <c r="A13" s="11">
        <v>45644</v>
      </c>
      <c r="B13" s="9" t="s">
        <v>17</v>
      </c>
      <c r="C13" s="9" t="s">
        <v>14</v>
      </c>
      <c r="D13" s="10">
        <v>100</v>
      </c>
      <c r="E13" s="17">
        <f>LOOKUP(1,1/('[1]PURCHASE PRICE'!$B:$B=B13)/('[1]PURCHASE PRICE'!$A:$A=A13)/('[1]PURCHASE PRICE'!$C:$C=C13),'[1]PURCHASE PRICE'!$D:$D)</f>
        <v>13000</v>
      </c>
      <c r="F13" s="17">
        <f>LOOKUP(1,1/('[1]PURCHASE PRICE'!$B:$B=B13)/('[1]PURCHASE PRICE'!$A:$A=A13),'[1]PURCHASE PRICE'!$D:$D)</f>
        <v>13000</v>
      </c>
      <c r="G13" s="13">
        <v>13000</v>
      </c>
      <c r="H13" s="13">
        <f t="shared" si="0"/>
        <v>1300000</v>
      </c>
    </row>
    <row r="14" spans="1:8" x14ac:dyDescent="0.25">
      <c r="A14" s="11">
        <v>45644</v>
      </c>
      <c r="B14" s="9" t="s">
        <v>19</v>
      </c>
      <c r="C14" s="9" t="s">
        <v>168</v>
      </c>
      <c r="D14" s="10">
        <v>20</v>
      </c>
      <c r="E14" s="17">
        <f>LOOKUP(1,1/('[1]PURCHASE PRICE'!$B:$B=B14)/('[1]PURCHASE PRICE'!$A:$A=A14)/('[1]PURCHASE PRICE'!$C:$C=C14),'[1]PURCHASE PRICE'!$D:$D)</f>
        <v>14000</v>
      </c>
      <c r="F14" s="17">
        <f>LOOKUP(1,1/('[1]PURCHASE PRICE'!$B:$B=B14)/('[1]PURCHASE PRICE'!$A:$A=A14),'[1]PURCHASE PRICE'!$D:$D)</f>
        <v>14000</v>
      </c>
      <c r="G14" s="13">
        <v>14000</v>
      </c>
      <c r="H14" s="13">
        <f t="shared" si="0"/>
        <v>280000</v>
      </c>
    </row>
    <row r="15" spans="1:8" x14ac:dyDescent="0.25">
      <c r="A15" s="11">
        <v>45644</v>
      </c>
      <c r="B15" s="9" t="s">
        <v>20</v>
      </c>
      <c r="C15" s="9" t="s">
        <v>11</v>
      </c>
      <c r="D15" s="10">
        <v>67</v>
      </c>
      <c r="E15" s="17">
        <f>LOOKUP(1,1/('[1]PURCHASE PRICE'!$B:$B=B15)/('[1]PURCHASE PRICE'!$A:$A=A15)/('[1]PURCHASE PRICE'!$C:$C=C15),'[1]PURCHASE PRICE'!$D:$D)</f>
        <v>9500</v>
      </c>
      <c r="F15" s="17">
        <f>LOOKUP(1,1/('[1]PURCHASE PRICE'!$B:$B=B15)/('[1]PURCHASE PRICE'!$A:$A=A15),'[1]PURCHASE PRICE'!$D:$D)</f>
        <v>9500</v>
      </c>
      <c r="G15" s="13">
        <v>9500</v>
      </c>
      <c r="H15" s="13">
        <f t="shared" si="0"/>
        <v>636500</v>
      </c>
    </row>
    <row r="16" spans="1:8" x14ac:dyDescent="0.25">
      <c r="A16" s="11">
        <v>45644</v>
      </c>
      <c r="B16" s="9" t="s">
        <v>63</v>
      </c>
      <c r="C16" s="9" t="s">
        <v>168</v>
      </c>
      <c r="D16" s="10">
        <v>50</v>
      </c>
      <c r="E16" s="17">
        <f>LOOKUP(1,1/('[1]PURCHASE PRICE'!$B:$B=B16)/('[1]PURCHASE PRICE'!$A:$A=A16)/('[1]PURCHASE PRICE'!$C:$C=C16),'[1]PURCHASE PRICE'!$D:$D)</f>
        <v>20000</v>
      </c>
      <c r="F16" s="17">
        <f>LOOKUP(1,1/('[1]PURCHASE PRICE'!$B:$B=B16)/('[1]PURCHASE PRICE'!$A:$A=A16),'[1]PURCHASE PRICE'!$D:$D)</f>
        <v>20000</v>
      </c>
      <c r="G16" s="13">
        <v>20000</v>
      </c>
      <c r="H16" s="13">
        <f t="shared" si="0"/>
        <v>1000000</v>
      </c>
    </row>
    <row r="17" spans="1:8" x14ac:dyDescent="0.25">
      <c r="A17" s="11">
        <v>45644</v>
      </c>
      <c r="B17" s="9" t="s">
        <v>21</v>
      </c>
      <c r="C17" s="9" t="s">
        <v>23</v>
      </c>
      <c r="D17" s="10">
        <v>20</v>
      </c>
      <c r="E17" s="17">
        <f>LOOKUP(1,1/('[1]PURCHASE PRICE'!$B:$B=B17)/('[1]PURCHASE PRICE'!$A:$A=A17)/('[1]PURCHASE PRICE'!$C:$C=C17),'[1]PURCHASE PRICE'!$D:$D)</f>
        <v>1950</v>
      </c>
      <c r="F17" s="17">
        <f>LOOKUP(1,1/('[1]PURCHASE PRICE'!$B:$B=B17)/('[1]PURCHASE PRICE'!$A:$A=A17),'[1]PURCHASE PRICE'!$D:$D)</f>
        <v>4200</v>
      </c>
      <c r="G17" s="13">
        <v>1950</v>
      </c>
      <c r="H17" s="13">
        <f t="shared" si="0"/>
        <v>39000</v>
      </c>
    </row>
    <row r="18" spans="1:8" x14ac:dyDescent="0.25">
      <c r="A18" s="11">
        <v>45644</v>
      </c>
      <c r="B18" s="9" t="s">
        <v>24</v>
      </c>
      <c r="C18" s="9" t="s">
        <v>25</v>
      </c>
      <c r="D18" s="10">
        <v>200</v>
      </c>
      <c r="E18" s="17">
        <f>F18*0.5</f>
        <v>6500</v>
      </c>
      <c r="F18" s="17">
        <f>LOOKUP(1,1/('[1]PURCHASE PRICE'!$B:$B=B18)/('[1]PURCHASE PRICE'!$A:$A=A18),'[1]PURCHASE PRICE'!$D:$D)</f>
        <v>13000</v>
      </c>
      <c r="G18" s="15">
        <v>6500</v>
      </c>
      <c r="H18" s="13">
        <f t="shared" si="0"/>
        <v>1300000</v>
      </c>
    </row>
    <row r="19" spans="1:8" x14ac:dyDescent="0.25">
      <c r="A19" s="11">
        <v>45644</v>
      </c>
      <c r="B19" s="9" t="s">
        <v>29</v>
      </c>
      <c r="C19" s="9" t="s">
        <v>168</v>
      </c>
      <c r="D19" s="10">
        <v>80</v>
      </c>
      <c r="E19" s="17">
        <f>LOOKUP(1,1/('[1]PURCHASE PRICE'!$B:$B=B19)/('[1]PURCHASE PRICE'!$A:$A=A19)/('[1]PURCHASE PRICE'!$C:$C=C19),'[1]PURCHASE PRICE'!$D:$D)</f>
        <v>19000</v>
      </c>
      <c r="F19" s="17">
        <f>LOOKUP(1,1/('[1]PURCHASE PRICE'!$B:$B=B19)/('[1]PURCHASE PRICE'!$A:$A=A19),'[1]PURCHASE PRICE'!$D:$D)</f>
        <v>19000</v>
      </c>
      <c r="G19" s="13">
        <v>19000</v>
      </c>
      <c r="H19" s="13">
        <f t="shared" si="0"/>
        <v>1520000</v>
      </c>
    </row>
    <row r="20" spans="1:8" x14ac:dyDescent="0.25">
      <c r="A20" s="11">
        <v>45644</v>
      </c>
      <c r="B20" s="9" t="s">
        <v>77</v>
      </c>
      <c r="C20" s="9" t="s">
        <v>168</v>
      </c>
      <c r="D20" s="10">
        <v>20</v>
      </c>
      <c r="E20" s="17">
        <f>LOOKUP(1,1/('[1]PURCHASE PRICE'!$B:$B=B20)/('[1]PURCHASE PRICE'!$A:$A=A20)/('[1]PURCHASE PRICE'!$C:$C=C20),'[1]PURCHASE PRICE'!$D:$D)</f>
        <v>20000</v>
      </c>
      <c r="F20" s="17">
        <f>LOOKUP(1,1/('[1]PURCHASE PRICE'!$B:$B=B20)/('[1]PURCHASE PRICE'!$A:$A=A20),'[1]PURCHASE PRICE'!$D:$D)</f>
        <v>20000</v>
      </c>
      <c r="G20" s="13">
        <v>20000</v>
      </c>
      <c r="H20" s="13">
        <f t="shared" si="0"/>
        <v>400000</v>
      </c>
    </row>
    <row r="21" spans="1:8" x14ac:dyDescent="0.25">
      <c r="A21" s="11">
        <v>45644</v>
      </c>
      <c r="B21" s="9" t="s">
        <v>30</v>
      </c>
      <c r="C21" s="9" t="s">
        <v>168</v>
      </c>
      <c r="D21" s="10">
        <v>100</v>
      </c>
      <c r="E21" s="17">
        <f>LOOKUP(1,1/('[1]PURCHASE PRICE'!$B:$B=B21)/('[1]PURCHASE PRICE'!$A:$A=A21)/('[1]PURCHASE PRICE'!$C:$C=C21),'[1]PURCHASE PRICE'!$D:$D)</f>
        <v>20000</v>
      </c>
      <c r="F21" s="17">
        <f>LOOKUP(1,1/('[1]PURCHASE PRICE'!$B:$B=B21)/('[1]PURCHASE PRICE'!$A:$A=A21),'[1]PURCHASE PRICE'!$D:$D)</f>
        <v>20000</v>
      </c>
      <c r="G21" s="13">
        <v>20000</v>
      </c>
      <c r="H21" s="13">
        <f t="shared" si="0"/>
        <v>2000000</v>
      </c>
    </row>
    <row r="22" spans="1:8" x14ac:dyDescent="0.25">
      <c r="A22" s="11">
        <v>45644</v>
      </c>
      <c r="B22" s="9" t="s">
        <v>31</v>
      </c>
      <c r="C22" s="9" t="s">
        <v>168</v>
      </c>
      <c r="D22" s="10">
        <v>200</v>
      </c>
      <c r="E22" s="17">
        <f>LOOKUP(1,1/('[1]PURCHASE PRICE'!$B:$B=B22)/('[1]PURCHASE PRICE'!$A:$A=A22)/('[1]PURCHASE PRICE'!$C:$C=C22),'[1]PURCHASE PRICE'!$D:$D)</f>
        <v>16000</v>
      </c>
      <c r="F22" s="17">
        <f>LOOKUP(1,1/('[1]PURCHASE PRICE'!$B:$B=B22)/('[1]PURCHASE PRICE'!$A:$A=A22),'[1]PURCHASE PRICE'!$D:$D)</f>
        <v>16000</v>
      </c>
      <c r="G22" s="13">
        <v>16000</v>
      </c>
      <c r="H22" s="13">
        <f t="shared" si="0"/>
        <v>3200000</v>
      </c>
    </row>
    <row r="23" spans="1:8" x14ac:dyDescent="0.25">
      <c r="A23" s="11">
        <v>45644</v>
      </c>
      <c r="B23" s="9" t="s">
        <v>32</v>
      </c>
      <c r="C23" s="9" t="s">
        <v>168</v>
      </c>
      <c r="D23" s="10">
        <v>0</v>
      </c>
      <c r="E23" s="17">
        <v>25000</v>
      </c>
      <c r="F23" s="17" t="e">
        <f>LOOKUP(1,1/('[1]PURCHASE PRICE'!$B:$B=B23)/('[1]PURCHASE PRICE'!$A:$A=A23),'[1]PURCHASE PRICE'!$D:$D)</f>
        <v>#N/A</v>
      </c>
      <c r="G23" s="15">
        <v>25000</v>
      </c>
      <c r="H23" s="13">
        <f t="shared" si="0"/>
        <v>0</v>
      </c>
    </row>
    <row r="24" spans="1:8" x14ac:dyDescent="0.25">
      <c r="A24" s="11">
        <v>45644</v>
      </c>
      <c r="B24" s="9" t="s">
        <v>139</v>
      </c>
      <c r="C24" s="9" t="s">
        <v>168</v>
      </c>
      <c r="D24" s="10">
        <v>50</v>
      </c>
      <c r="E24" s="17">
        <f>LOOKUP(1,1/('[1]PURCHASE PRICE'!$B:$B=B24)/('[1]PURCHASE PRICE'!$A:$A=A24)/('[1]PURCHASE PRICE'!$C:$C=C24),'[1]PURCHASE PRICE'!$D:$D)</f>
        <v>18000</v>
      </c>
      <c r="F24" s="17">
        <f>LOOKUP(1,1/('[1]PURCHASE PRICE'!$B:$B=B24)/('[1]PURCHASE PRICE'!$A:$A=A24),'[1]PURCHASE PRICE'!$D:$D)</f>
        <v>18000</v>
      </c>
      <c r="G24" s="13">
        <v>18000</v>
      </c>
      <c r="H24" s="13">
        <f t="shared" si="0"/>
        <v>900000</v>
      </c>
    </row>
    <row r="25" spans="1:8" x14ac:dyDescent="0.25">
      <c r="A25" s="11">
        <v>45644</v>
      </c>
      <c r="B25" s="9" t="s">
        <v>34</v>
      </c>
      <c r="C25" s="9" t="s">
        <v>36</v>
      </c>
      <c r="D25" s="10">
        <v>30</v>
      </c>
      <c r="E25" s="17">
        <f>LOOKUP(1,1/('[1]PURCHASE PRICE'!$B:$B=B25)/('[1]PURCHASE PRICE'!$A:$A=A25)/('[1]PURCHASE PRICE'!$C:$C=C25),'[1]PURCHASE PRICE'!$D:$D)</f>
        <v>8500</v>
      </c>
      <c r="F25" s="17">
        <f>LOOKUP(1,1/('[1]PURCHASE PRICE'!$B:$B=B25)/('[1]PURCHASE PRICE'!$A:$A=A25),'[1]PURCHASE PRICE'!$D:$D)</f>
        <v>12000</v>
      </c>
      <c r="G25" s="13">
        <v>8500</v>
      </c>
      <c r="H25" s="13">
        <f t="shared" si="0"/>
        <v>255000</v>
      </c>
    </row>
    <row r="26" spans="1:8" x14ac:dyDescent="0.25">
      <c r="A26" s="11">
        <v>45644</v>
      </c>
      <c r="B26" s="9" t="s">
        <v>35</v>
      </c>
      <c r="C26" s="9" t="s">
        <v>168</v>
      </c>
      <c r="D26" s="10">
        <v>7</v>
      </c>
      <c r="E26" s="17">
        <f>LOOKUP(1,1/('[1]PURCHASE PRICE'!$B:$B=B26)/('[1]PURCHASE PRICE'!$A:$A=A26)/('[1]PURCHASE PRICE'!$C:$C=C26),'[1]PURCHASE PRICE'!$D:$D)</f>
        <v>80000</v>
      </c>
      <c r="F26" s="17">
        <f>LOOKUP(1,1/('[1]PURCHASE PRICE'!$B:$B=B26)/('[1]PURCHASE PRICE'!$A:$A=A26),'[1]PURCHASE PRICE'!$D:$D)</f>
        <v>80000</v>
      </c>
      <c r="G26" s="13">
        <v>80000</v>
      </c>
      <c r="H26" s="13">
        <f t="shared" si="0"/>
        <v>560000</v>
      </c>
    </row>
    <row r="27" spans="1:8" x14ac:dyDescent="0.25">
      <c r="A27" s="11">
        <v>45644</v>
      </c>
      <c r="B27" s="9" t="s">
        <v>37</v>
      </c>
      <c r="C27" s="9" t="s">
        <v>11</v>
      </c>
      <c r="D27" s="10">
        <v>1000</v>
      </c>
      <c r="E27" s="17">
        <f>LOOKUP(1,1/('[1]PURCHASE PRICE'!$B:$B=B27)/('[1]PURCHASE PRICE'!$A:$A=A27)/('[1]PURCHASE PRICE'!$C:$C=C27),'[1]PURCHASE PRICE'!$D:$D)</f>
        <v>8000</v>
      </c>
      <c r="F27" s="17">
        <f>LOOKUP(1,1/('[1]PURCHASE PRICE'!$B:$B=B27)/('[1]PURCHASE PRICE'!$A:$A=A27),'[1]PURCHASE PRICE'!$D:$D)</f>
        <v>8000</v>
      </c>
      <c r="G27" s="13">
        <v>8000</v>
      </c>
      <c r="H27" s="13">
        <f t="shared" si="0"/>
        <v>8000000</v>
      </c>
    </row>
    <row r="28" spans="1:8" x14ac:dyDescent="0.25">
      <c r="A28" s="11">
        <v>45644</v>
      </c>
      <c r="B28" s="9" t="s">
        <v>39</v>
      </c>
      <c r="C28" s="9" t="s">
        <v>168</v>
      </c>
      <c r="D28" s="10">
        <v>20</v>
      </c>
      <c r="E28" s="17">
        <f>LOOKUP(1,1/('[1]PURCHASE PRICE'!$B:$B=B28)/('[1]PURCHASE PRICE'!$A:$A=A28)/('[1]PURCHASE PRICE'!$C:$C=C28),'[1]PURCHASE PRICE'!$D:$D)</f>
        <v>12000</v>
      </c>
      <c r="F28" s="17">
        <f>LOOKUP(1,1/('[1]PURCHASE PRICE'!$B:$B=B28)/('[1]PURCHASE PRICE'!$A:$A=A28),'[1]PURCHASE PRICE'!$D:$D)</f>
        <v>12000</v>
      </c>
      <c r="G28" s="13">
        <v>12000</v>
      </c>
      <c r="H28" s="13">
        <f t="shared" si="0"/>
        <v>240000</v>
      </c>
    </row>
    <row r="29" spans="1:8" x14ac:dyDescent="0.25">
      <c r="A29" s="11">
        <v>45644</v>
      </c>
      <c r="B29" s="9" t="s">
        <v>40</v>
      </c>
      <c r="C29" s="9" t="s">
        <v>25</v>
      </c>
      <c r="D29" s="10">
        <v>50</v>
      </c>
      <c r="E29" s="17">
        <f>F29*0.15</f>
        <v>2850</v>
      </c>
      <c r="F29" s="17">
        <f>LOOKUP(1,1/('[1]PURCHASE PRICE'!$B:$B=B29)/('[1]PURCHASE PRICE'!$A:$A=A29),'[1]PURCHASE PRICE'!$D:$D)</f>
        <v>19000</v>
      </c>
      <c r="G29" s="15">
        <v>2850</v>
      </c>
      <c r="H29" s="13">
        <f t="shared" si="0"/>
        <v>142500</v>
      </c>
    </row>
    <row r="30" spans="1:8" x14ac:dyDescent="0.25">
      <c r="A30" s="11">
        <v>45644</v>
      </c>
      <c r="B30" s="9" t="s">
        <v>41</v>
      </c>
      <c r="C30" s="9" t="s">
        <v>16</v>
      </c>
      <c r="D30" s="10">
        <v>36</v>
      </c>
      <c r="E30" s="17">
        <f>F30*0.5</f>
        <v>100000</v>
      </c>
      <c r="F30" s="17">
        <f>LOOKUP(1,1/('[1]PURCHASE PRICE'!$B:$B=B30)/('[1]PURCHASE PRICE'!$A:$A=A30),'[1]PURCHASE PRICE'!$D:$D)</f>
        <v>200000</v>
      </c>
      <c r="G30" s="15">
        <v>100000</v>
      </c>
      <c r="H30" s="13">
        <f t="shared" si="0"/>
        <v>3600000</v>
      </c>
    </row>
    <row r="31" spans="1:8" x14ac:dyDescent="0.25">
      <c r="A31" s="11">
        <v>45644</v>
      </c>
      <c r="B31" s="9" t="s">
        <v>42</v>
      </c>
      <c r="C31" s="9" t="s">
        <v>168</v>
      </c>
      <c r="D31" s="10">
        <v>10</v>
      </c>
      <c r="E31" s="17">
        <f>LOOKUP(1,1/('[1]PURCHASE PRICE'!$B:$B=B31)/('[1]PURCHASE PRICE'!$A:$A=A31)/('[1]PURCHASE PRICE'!$C:$C=C31),'[1]PURCHASE PRICE'!$D:$D)</f>
        <v>35000</v>
      </c>
      <c r="F31" s="17">
        <f>LOOKUP(1,1/('[1]PURCHASE PRICE'!$B:$B=B31)/('[1]PURCHASE PRICE'!$A:$A=A31),'[1]PURCHASE PRICE'!$D:$D)</f>
        <v>35000</v>
      </c>
      <c r="G31" s="13">
        <v>35000</v>
      </c>
      <c r="H31" s="13">
        <f t="shared" si="0"/>
        <v>350000</v>
      </c>
    </row>
    <row r="32" spans="1:8" x14ac:dyDescent="0.25">
      <c r="A32" s="11">
        <v>45644</v>
      </c>
      <c r="B32" s="9" t="s">
        <v>43</v>
      </c>
      <c r="C32" s="9" t="s">
        <v>168</v>
      </c>
      <c r="D32" s="10">
        <v>0</v>
      </c>
      <c r="E32" s="17">
        <v>0</v>
      </c>
      <c r="F32" s="17">
        <v>0</v>
      </c>
      <c r="G32" s="13">
        <v>0</v>
      </c>
      <c r="H32" s="13">
        <f t="shared" si="0"/>
        <v>0</v>
      </c>
    </row>
    <row r="33" spans="1:8" x14ac:dyDescent="0.25">
      <c r="A33" s="11">
        <v>45644</v>
      </c>
      <c r="B33" s="9" t="s">
        <v>45</v>
      </c>
      <c r="C33" s="9" t="s">
        <v>22</v>
      </c>
      <c r="D33" s="10">
        <v>100</v>
      </c>
      <c r="E33" s="17">
        <f>LOOKUP(1,1/('[1]PURCHASE PRICE'!$B:$B=B33)/('[1]PURCHASE PRICE'!$A:$A=A33)/('[1]PURCHASE PRICE'!$C:$C=C33),'[1]PURCHASE PRICE'!$D:$D)</f>
        <v>2000</v>
      </c>
      <c r="F33" s="17">
        <f>LOOKUP(1,1/('[1]PURCHASE PRICE'!$B:$B=B33)/('[1]PURCHASE PRICE'!$A:$A=A33),'[1]PURCHASE PRICE'!$D:$D)</f>
        <v>2000</v>
      </c>
      <c r="G33" s="13">
        <v>2000</v>
      </c>
      <c r="H33" s="13">
        <f t="shared" si="0"/>
        <v>200000</v>
      </c>
    </row>
    <row r="34" spans="1:8" x14ac:dyDescent="0.25">
      <c r="A34" s="11">
        <v>45644</v>
      </c>
      <c r="B34" s="9" t="s">
        <v>46</v>
      </c>
      <c r="C34" s="9" t="s">
        <v>168</v>
      </c>
      <c r="D34" s="10">
        <v>20</v>
      </c>
      <c r="E34" s="17">
        <f>LOOKUP(1,1/('[1]PURCHASE PRICE'!$B:$B=B34)/('[1]PURCHASE PRICE'!$A:$A=A34)/('[1]PURCHASE PRICE'!$C:$C=C34),'[1]PURCHASE PRICE'!$D:$D)</f>
        <v>53000</v>
      </c>
      <c r="F34" s="17">
        <f>LOOKUP(1,1/('[1]PURCHASE PRICE'!$B:$B=B34)/('[1]PURCHASE PRICE'!$A:$A=A34),'[1]PURCHASE PRICE'!$D:$D)</f>
        <v>53000</v>
      </c>
      <c r="G34" s="13">
        <v>53000</v>
      </c>
      <c r="H34" s="13">
        <f t="shared" si="0"/>
        <v>1060000</v>
      </c>
    </row>
    <row r="35" spans="1:8" x14ac:dyDescent="0.25">
      <c r="A35" s="11">
        <v>45644</v>
      </c>
      <c r="B35" s="9" t="s">
        <v>70</v>
      </c>
      <c r="C35" s="9" t="s">
        <v>168</v>
      </c>
      <c r="D35" s="10">
        <v>15</v>
      </c>
      <c r="E35" s="17">
        <f>(29000+30000+17000)/3</f>
        <v>25333.333333333332</v>
      </c>
      <c r="F35" s="17" t="e">
        <f>LOOKUP(1,1/('[1]PURCHASE PRICE'!$B:$B=B35)/('[1]PURCHASE PRICE'!$A:$A=A35),'[1]PURCHASE PRICE'!$D:$D)</f>
        <v>#N/A</v>
      </c>
      <c r="G35" s="15">
        <v>25333.333333333332</v>
      </c>
      <c r="H35" s="13">
        <f t="shared" si="0"/>
        <v>380000</v>
      </c>
    </row>
    <row r="36" spans="1:8" x14ac:dyDescent="0.25">
      <c r="A36" s="11">
        <v>45644</v>
      </c>
      <c r="B36" s="9" t="s">
        <v>48</v>
      </c>
      <c r="C36" s="9" t="s">
        <v>168</v>
      </c>
      <c r="D36" s="10">
        <v>15</v>
      </c>
      <c r="E36" s="17">
        <f>LOOKUP(1,1/('[1]PURCHASE PRICE'!$B:$B=B36)/('[1]PURCHASE PRICE'!$A:$A=A36)/('[1]PURCHASE PRICE'!$C:$C=C36),'[1]PURCHASE PRICE'!$D:$D)</f>
        <v>58000</v>
      </c>
      <c r="F36" s="17">
        <f>LOOKUP(1,1/('[1]PURCHASE PRICE'!$B:$B=B36)/('[1]PURCHASE PRICE'!$A:$A=A36),'[1]PURCHASE PRICE'!$D:$D)</f>
        <v>58000</v>
      </c>
      <c r="G36" s="13">
        <v>58000</v>
      </c>
      <c r="H36" s="13">
        <f t="shared" si="0"/>
        <v>870000</v>
      </c>
    </row>
    <row r="37" spans="1:8" x14ac:dyDescent="0.25">
      <c r="A37" s="11">
        <v>45644</v>
      </c>
      <c r="B37" s="9" t="s">
        <v>52</v>
      </c>
      <c r="C37" s="9" t="s">
        <v>22</v>
      </c>
      <c r="D37" s="10">
        <v>100</v>
      </c>
      <c r="E37" s="17">
        <f>LOOKUP(1,1/('[1]PURCHASE PRICE'!$B:$B=B37)/('[1]PURCHASE PRICE'!$A:$A=A37)/('[1]PURCHASE PRICE'!$C:$C=C37),'[1]PURCHASE PRICE'!$D:$D)</f>
        <v>21000</v>
      </c>
      <c r="F37" s="17">
        <f>LOOKUP(1,1/('[1]PURCHASE PRICE'!$B:$B=B37)/('[1]PURCHASE PRICE'!$A:$A=A37),'[1]PURCHASE PRICE'!$D:$D)</f>
        <v>21000</v>
      </c>
      <c r="G37" s="13">
        <v>21000</v>
      </c>
      <c r="H37" s="13">
        <f t="shared" si="0"/>
        <v>2100000</v>
      </c>
    </row>
    <row r="38" spans="1:8" x14ac:dyDescent="0.25">
      <c r="A38" s="11">
        <v>45644</v>
      </c>
      <c r="B38" s="9" t="s">
        <v>53</v>
      </c>
      <c r="C38" s="9" t="s">
        <v>168</v>
      </c>
      <c r="D38" s="10">
        <v>10</v>
      </c>
      <c r="E38" s="17">
        <f>LOOKUP(1,1/('[1]PURCHASE PRICE'!$B:$B=B38)/('[1]PURCHASE PRICE'!$A:$A=A38)/('[1]PURCHASE PRICE'!$C:$C=C38),'[1]PURCHASE PRICE'!$D:$D)</f>
        <v>35000</v>
      </c>
      <c r="F38" s="17">
        <f>LOOKUP(1,1/('[1]PURCHASE PRICE'!$B:$B=B38)/('[1]PURCHASE PRICE'!$A:$A=A38),'[1]PURCHASE PRICE'!$D:$D)</f>
        <v>35000</v>
      </c>
      <c r="G38" s="13">
        <v>35000</v>
      </c>
      <c r="H38" s="13">
        <f t="shared" si="0"/>
        <v>350000</v>
      </c>
    </row>
    <row r="39" spans="1:8" x14ac:dyDescent="0.25">
      <c r="A39" s="11">
        <v>45644</v>
      </c>
      <c r="B39" s="9" t="s">
        <v>76</v>
      </c>
      <c r="C39" s="9" t="s">
        <v>168</v>
      </c>
      <c r="D39" s="10">
        <v>10</v>
      </c>
      <c r="E39" s="17">
        <f>LOOKUP(1,1/('[1]PURCHASE PRICE'!$B:$B=B39)/('[1]PURCHASE PRICE'!$A:$A=A39)/('[1]PURCHASE PRICE'!$C:$C=C39),'[1]PURCHASE PRICE'!$D:$D)</f>
        <v>35000</v>
      </c>
      <c r="F39" s="17">
        <f>LOOKUP(1,1/('[1]PURCHASE PRICE'!$B:$B=B39)/('[1]PURCHASE PRICE'!$A:$A=A39),'[1]PURCHASE PRICE'!$D:$D)</f>
        <v>35000</v>
      </c>
      <c r="G39" s="13">
        <v>35000</v>
      </c>
      <c r="H39" s="13">
        <f t="shared" si="0"/>
        <v>350000</v>
      </c>
    </row>
    <row r="40" spans="1:8" x14ac:dyDescent="0.25">
      <c r="A40" s="11">
        <v>45644</v>
      </c>
      <c r="B40" s="9" t="s">
        <v>54</v>
      </c>
      <c r="C40" s="9" t="s">
        <v>168</v>
      </c>
      <c r="D40" s="10">
        <v>70</v>
      </c>
      <c r="E40" s="17">
        <f>LOOKUP(1,1/('[1]PURCHASE PRICE'!$B:$B=B40)/('[1]PURCHASE PRICE'!$A:$A=A40)/('[1]PURCHASE PRICE'!$C:$C=C40),'[1]PURCHASE PRICE'!$D:$D)</f>
        <v>19000</v>
      </c>
      <c r="F40" s="17">
        <f>LOOKUP(1,1/('[1]PURCHASE PRICE'!$B:$B=B40)/('[1]PURCHASE PRICE'!$A:$A=A40),'[1]PURCHASE PRICE'!$D:$D)</f>
        <v>19000</v>
      </c>
      <c r="G40" s="13">
        <v>19000</v>
      </c>
      <c r="H40" s="13">
        <f t="shared" si="0"/>
        <v>1330000</v>
      </c>
    </row>
    <row r="41" spans="1:8" x14ac:dyDescent="0.25">
      <c r="A41" s="11">
        <v>45644</v>
      </c>
      <c r="B41" s="9" t="s">
        <v>211</v>
      </c>
      <c r="C41" s="9" t="s">
        <v>168</v>
      </c>
      <c r="D41" s="10">
        <v>40</v>
      </c>
      <c r="E41" s="17">
        <f>LOOKUP(1,1/('[1]PURCHASE PRICE'!$B:$B=B41)/('[1]PURCHASE PRICE'!$A:$A=A41)/('[1]PURCHASE PRICE'!$C:$C=C41),'[1]PURCHASE PRICE'!$D:$D)</f>
        <v>28000</v>
      </c>
      <c r="F41" s="17">
        <f>LOOKUP(1,1/('[1]PURCHASE PRICE'!$B:$B=B41)/('[1]PURCHASE PRICE'!$A:$A=A41),'[1]PURCHASE PRICE'!$D:$D)</f>
        <v>28000</v>
      </c>
      <c r="G41" s="13">
        <v>28000</v>
      </c>
      <c r="H41" s="13">
        <f t="shared" si="0"/>
        <v>1120000</v>
      </c>
    </row>
    <row r="42" spans="1:8" x14ac:dyDescent="0.25">
      <c r="A42" s="11">
        <v>45644</v>
      </c>
      <c r="B42" s="9" t="s">
        <v>55</v>
      </c>
      <c r="C42" s="9" t="s">
        <v>25</v>
      </c>
      <c r="D42" s="10">
        <v>80</v>
      </c>
      <c r="E42" s="17">
        <f>LOOKUP(1,1/('[1]PURCHASE PRICE'!$B:$B=B42)/('[1]PURCHASE PRICE'!$A:$A=A42)/('[1]PURCHASE PRICE'!$C:$C=C42),'[1]PURCHASE PRICE'!$D:$D)</f>
        <v>6800</v>
      </c>
      <c r="F42" s="17">
        <f>LOOKUP(1,1/('[1]PURCHASE PRICE'!$B:$B=B42)/('[1]PURCHASE PRICE'!$A:$A=A42),'[1]PURCHASE PRICE'!$D:$D)</f>
        <v>6800</v>
      </c>
      <c r="G42" s="13">
        <v>6800</v>
      </c>
      <c r="H42" s="13">
        <f t="shared" si="0"/>
        <v>544000</v>
      </c>
    </row>
    <row r="43" spans="1:8" x14ac:dyDescent="0.25">
      <c r="A43" s="11">
        <v>45644</v>
      </c>
      <c r="B43" s="9" t="s">
        <v>56</v>
      </c>
      <c r="C43" s="9" t="s">
        <v>168</v>
      </c>
      <c r="D43" s="10">
        <v>40</v>
      </c>
      <c r="E43" s="17">
        <f>LOOKUP(1,1/('[1]PURCHASE PRICE'!$B:$B=B43)/('[1]PURCHASE PRICE'!$A:$A=A43)/('[1]PURCHASE PRICE'!$C:$C=C43),'[1]PURCHASE PRICE'!$D:$D)</f>
        <v>28000</v>
      </c>
      <c r="F43" s="17">
        <f>LOOKUP(1,1/('[1]PURCHASE PRICE'!$B:$B=B43)/('[1]PURCHASE PRICE'!$A:$A=A43),'[1]PURCHASE PRICE'!$D:$D)</f>
        <v>28000</v>
      </c>
      <c r="G43" s="13">
        <v>28000</v>
      </c>
      <c r="H43" s="13">
        <f t="shared" si="0"/>
        <v>1120000</v>
      </c>
    </row>
    <row r="44" spans="1:8" x14ac:dyDescent="0.25">
      <c r="A44" s="11">
        <v>45644</v>
      </c>
      <c r="B44" s="9" t="s">
        <v>57</v>
      </c>
      <c r="C44" s="9" t="s">
        <v>25</v>
      </c>
      <c r="D44" s="10">
        <v>10</v>
      </c>
      <c r="E44" s="17">
        <f>LOOKUP(1,1/('[1]PURCHASE PRICE'!$B:$B=B44)/('[1]PURCHASE PRICE'!$A:$A=A44)/('[1]PURCHASE PRICE'!$C:$C=C44),'[1]PURCHASE PRICE'!$D:$D)</f>
        <v>6800</v>
      </c>
      <c r="F44" s="17">
        <f>LOOKUP(1,1/('[1]PURCHASE PRICE'!$B:$B=B44)/('[1]PURCHASE PRICE'!$A:$A=A44),'[1]PURCHASE PRICE'!$D:$D)</f>
        <v>6800</v>
      </c>
      <c r="G44" s="13">
        <v>6800</v>
      </c>
      <c r="H44" s="13">
        <f t="shared" si="0"/>
        <v>68000</v>
      </c>
    </row>
    <row r="45" spans="1:8" x14ac:dyDescent="0.25">
      <c r="A45" s="11">
        <v>45644</v>
      </c>
      <c r="B45" s="9" t="s">
        <v>58</v>
      </c>
      <c r="C45" s="9" t="s">
        <v>168</v>
      </c>
      <c r="D45" s="10">
        <v>30</v>
      </c>
      <c r="E45" s="17">
        <f>LOOKUP(1,1/('[1]PURCHASE PRICE'!$B:$B=B45)/('[1]PURCHASE PRICE'!$A:$A=A45)/('[1]PURCHASE PRICE'!$C:$C=C45),'[1]PURCHASE PRICE'!$D:$D)</f>
        <v>14000</v>
      </c>
      <c r="F45" s="17">
        <f>LOOKUP(1,1/('[1]PURCHASE PRICE'!$B:$B=B45)/('[1]PURCHASE PRICE'!$A:$A=A45),'[1]PURCHASE PRICE'!$D:$D)</f>
        <v>14000</v>
      </c>
      <c r="G45" s="13">
        <v>14000</v>
      </c>
      <c r="H45" s="13">
        <f t="shared" si="0"/>
        <v>420000</v>
      </c>
    </row>
    <row r="46" spans="1:8" x14ac:dyDescent="0.25">
      <c r="A46" s="11">
        <v>45644</v>
      </c>
      <c r="B46" s="9" t="s">
        <v>59</v>
      </c>
      <c r="C46" s="9" t="s">
        <v>168</v>
      </c>
      <c r="D46" s="10">
        <v>2</v>
      </c>
      <c r="E46" s="17">
        <f>LOOKUP(1,1/('[1]PURCHASE PRICE'!$B:$B=B46)/('[1]PURCHASE PRICE'!$A:$A=A46)/('[1]PURCHASE PRICE'!$C:$C=C46),'[1]PURCHASE PRICE'!$D:$D)</f>
        <v>140000</v>
      </c>
      <c r="F46" s="17">
        <f>LOOKUP(1,1/('[1]PURCHASE PRICE'!$B:$B=B46)/('[1]PURCHASE PRICE'!$A:$A=A46),'[1]PURCHASE PRICE'!$D:$D)</f>
        <v>140000</v>
      </c>
      <c r="G46" s="13">
        <v>140000</v>
      </c>
      <c r="H46" s="13">
        <f t="shared" si="0"/>
        <v>280000</v>
      </c>
    </row>
    <row r="47" spans="1:8" x14ac:dyDescent="0.25">
      <c r="A47" s="11">
        <v>45644</v>
      </c>
      <c r="B47" s="9" t="s">
        <v>61</v>
      </c>
      <c r="C47" s="9" t="s">
        <v>25</v>
      </c>
      <c r="D47" s="10">
        <v>10</v>
      </c>
      <c r="E47" s="17">
        <f>LOOKUP(1,1/('[1]PURCHASE PRICE'!$B:$B=B47)/('[1]PURCHASE PRICE'!$A:$A=A47)/('[1]PURCHASE PRICE'!$C:$C=C47),'[1]PURCHASE PRICE'!$D:$D)</f>
        <v>6800</v>
      </c>
      <c r="F47" s="17">
        <f>LOOKUP(1,1/('[1]PURCHASE PRICE'!$B:$B=B47)/('[1]PURCHASE PRICE'!$A:$A=A47),'[1]PURCHASE PRICE'!$D:$D)</f>
        <v>6800</v>
      </c>
      <c r="G47" s="13">
        <v>6800</v>
      </c>
      <c r="H47" s="13">
        <f t="shared" si="0"/>
        <v>68000</v>
      </c>
    </row>
    <row r="48" spans="1:8" x14ac:dyDescent="0.25">
      <c r="A48" s="11">
        <v>45644</v>
      </c>
      <c r="B48" s="9" t="s">
        <v>212</v>
      </c>
      <c r="C48" s="9" t="s">
        <v>7</v>
      </c>
      <c r="D48" s="10">
        <v>100</v>
      </c>
      <c r="E48" s="17">
        <f>F48*0.25</f>
        <v>7250</v>
      </c>
      <c r="F48" s="17">
        <f>LOOKUP(1,1/('[1]PURCHASE PRICE'!$B:$B=B48)/('[1]PURCHASE PRICE'!$A:$A=A48),'[1]PURCHASE PRICE'!$D:$D)</f>
        <v>29000</v>
      </c>
      <c r="G48" s="15">
        <v>7250</v>
      </c>
      <c r="H48" s="13">
        <f t="shared" si="0"/>
        <v>725000</v>
      </c>
    </row>
    <row r="49" spans="1:8" x14ac:dyDescent="0.25">
      <c r="A49" s="11">
        <v>45644</v>
      </c>
      <c r="B49" s="9" t="s">
        <v>213</v>
      </c>
      <c r="C49" s="9" t="s">
        <v>7</v>
      </c>
      <c r="D49" s="10">
        <v>50</v>
      </c>
      <c r="E49" s="17">
        <f>F49*0.25</f>
        <v>7500</v>
      </c>
      <c r="F49" s="17">
        <f>LOOKUP(1,1/('[1]PURCHASE PRICE'!$B:$B=B49)/('[1]PURCHASE PRICE'!$A:$A=A49),'[1]PURCHASE PRICE'!$D:$D)</f>
        <v>30000</v>
      </c>
      <c r="G49" s="15">
        <v>7500</v>
      </c>
      <c r="H49" s="13">
        <f t="shared" si="0"/>
        <v>375000</v>
      </c>
    </row>
    <row r="50" spans="1:8" x14ac:dyDescent="0.25">
      <c r="A50" s="11">
        <v>45644</v>
      </c>
      <c r="B50" s="9" t="s">
        <v>214</v>
      </c>
      <c r="C50" s="9" t="s">
        <v>140</v>
      </c>
      <c r="D50" s="10">
        <v>40</v>
      </c>
      <c r="E50" s="17">
        <f>F50*0.25</f>
        <v>12500</v>
      </c>
      <c r="F50" s="17">
        <f>LOOKUP(1,1/('[1]PURCHASE PRICE'!$B:$B=B50)/('[1]PURCHASE PRICE'!$A:$A=A50),'[1]PURCHASE PRICE'!$D:$D)</f>
        <v>50000</v>
      </c>
      <c r="G50" s="15">
        <v>12500</v>
      </c>
      <c r="H50" s="13">
        <f t="shared" si="0"/>
        <v>500000</v>
      </c>
    </row>
    <row r="51" spans="1:8" x14ac:dyDescent="0.25">
      <c r="A51" s="11">
        <v>45644</v>
      </c>
      <c r="B51" s="9" t="s">
        <v>21</v>
      </c>
      <c r="C51" s="9" t="s">
        <v>216</v>
      </c>
      <c r="D51" s="10">
        <v>16</v>
      </c>
      <c r="E51" s="17">
        <f>LOOKUP(1,1/('[1]PURCHASE PRICE'!$B:$B=B51)/('[1]PURCHASE PRICE'!$A:$A=A51)/('[1]PURCHASE PRICE'!$C:$C=C51),'[1]PURCHASE PRICE'!$D:$D)</f>
        <v>4200</v>
      </c>
      <c r="F51" s="17">
        <f>LOOKUP(1,1/('[1]PURCHASE PRICE'!$B:$B=B51)/('[1]PURCHASE PRICE'!$A:$A=A51),'[1]PURCHASE PRICE'!$D:$D)</f>
        <v>4200</v>
      </c>
      <c r="G51" s="13">
        <v>4200</v>
      </c>
      <c r="H51" s="13">
        <f t="shared" si="0"/>
        <v>67200</v>
      </c>
    </row>
    <row r="52" spans="1:8" x14ac:dyDescent="0.25">
      <c r="A52" s="11">
        <v>45644</v>
      </c>
      <c r="B52" s="9" t="s">
        <v>65</v>
      </c>
      <c r="C52" s="9" t="s">
        <v>217</v>
      </c>
      <c r="D52" s="10">
        <v>15</v>
      </c>
      <c r="E52" s="17">
        <f>F52*0.5</f>
        <v>5000</v>
      </c>
      <c r="F52" s="17">
        <f>LOOKUP(1,1/('[1]PURCHASE PRICE'!$B:$B=B52)/('[1]PURCHASE PRICE'!$A:$A=A52),'[1]PURCHASE PRICE'!$D:$D)</f>
        <v>10000</v>
      </c>
      <c r="G52" s="15">
        <v>5000</v>
      </c>
      <c r="H52" s="13">
        <f t="shared" si="0"/>
        <v>75000</v>
      </c>
    </row>
    <row r="53" spans="1:8" x14ac:dyDescent="0.25">
      <c r="A53" s="11">
        <v>45644</v>
      </c>
      <c r="B53" s="9" t="s">
        <v>5</v>
      </c>
      <c r="C53" s="9" t="s">
        <v>7</v>
      </c>
      <c r="D53" s="10">
        <v>30</v>
      </c>
      <c r="E53" s="17">
        <f>F53*0.3</f>
        <v>3000</v>
      </c>
      <c r="F53" s="17">
        <f>LOOKUP(1,1/('[1]PURCHASE PRICE'!$B:$B=B53)/('[1]PURCHASE PRICE'!$A:$A=A53),'[1]PURCHASE PRICE'!$D:$D)</f>
        <v>10000</v>
      </c>
      <c r="G53" s="15">
        <v>3000</v>
      </c>
      <c r="H53" s="13">
        <f t="shared" si="0"/>
        <v>90000</v>
      </c>
    </row>
    <row r="54" spans="1:8" x14ac:dyDescent="0.25">
      <c r="A54" s="11">
        <v>45644</v>
      </c>
      <c r="B54" s="9" t="s">
        <v>5</v>
      </c>
      <c r="C54" s="9" t="s">
        <v>189</v>
      </c>
      <c r="D54" s="10">
        <v>20</v>
      </c>
      <c r="E54" s="17">
        <f>LOOKUP(1,1/('[1]PURCHASE PRICE'!$B:$B=B54)/('[1]PURCHASE PRICE'!$A:$A=A54)/('[1]PURCHASE PRICE'!$C:$C=C54),'[1]PURCHASE PRICE'!$D:$D)</f>
        <v>10000</v>
      </c>
      <c r="F54" s="17">
        <f>LOOKUP(1,1/('[1]PURCHASE PRICE'!$B:$B=B54)/('[1]PURCHASE PRICE'!$A:$A=A54),'[1]PURCHASE PRICE'!$D:$D)</f>
        <v>10000</v>
      </c>
      <c r="G54" s="13">
        <v>10000</v>
      </c>
      <c r="H54" s="13">
        <f t="shared" si="0"/>
        <v>200000</v>
      </c>
    </row>
    <row r="55" spans="1:8" x14ac:dyDescent="0.25">
      <c r="A55" s="11">
        <v>45644</v>
      </c>
      <c r="B55" s="9" t="s">
        <v>76</v>
      </c>
      <c r="C55" s="9" t="s">
        <v>216</v>
      </c>
      <c r="D55" s="10">
        <v>10</v>
      </c>
      <c r="E55" s="17">
        <f>F55*0.3</f>
        <v>10500</v>
      </c>
      <c r="F55" s="17">
        <f>LOOKUP(1,1/('[1]PURCHASE PRICE'!$B:$B=B55)/('[1]PURCHASE PRICE'!$A:$A=A55),'[1]PURCHASE PRICE'!$D:$D)</f>
        <v>35000</v>
      </c>
      <c r="G55" s="15">
        <v>10500</v>
      </c>
      <c r="H55" s="13">
        <f t="shared" si="0"/>
        <v>105000</v>
      </c>
    </row>
    <row r="56" spans="1:8" x14ac:dyDescent="0.25">
      <c r="A56" s="11">
        <v>45644</v>
      </c>
      <c r="B56" s="9" t="s">
        <v>215</v>
      </c>
      <c r="C56" s="9" t="s">
        <v>216</v>
      </c>
      <c r="D56" s="10">
        <v>100</v>
      </c>
      <c r="E56" s="17">
        <f>LOOKUP(1,1/('[1]PURCHASE PRICE'!$B:$B=B56)/('[1]PURCHASE PRICE'!$A:$A=A56)/('[1]PURCHASE PRICE'!$C:$C=C56),'[1]PURCHASE PRICE'!$D:$D)</f>
        <v>2000</v>
      </c>
      <c r="F56" s="17">
        <f>LOOKUP(1,1/('[1]PURCHASE PRICE'!$B:$B=B56)/('[1]PURCHASE PRICE'!$A:$A=A56),'[1]PURCHASE PRICE'!$D:$D)</f>
        <v>2000</v>
      </c>
      <c r="G56" s="13">
        <v>2000</v>
      </c>
      <c r="H56" s="13">
        <f t="shared" si="0"/>
        <v>200000</v>
      </c>
    </row>
    <row r="57" spans="1:8" x14ac:dyDescent="0.25">
      <c r="A57" s="11">
        <v>45644</v>
      </c>
      <c r="B57" s="9" t="s">
        <v>52</v>
      </c>
      <c r="C57" s="9" t="s">
        <v>189</v>
      </c>
      <c r="D57" s="10">
        <v>20</v>
      </c>
      <c r="E57" s="17">
        <f>F57/0.3</f>
        <v>70000</v>
      </c>
      <c r="F57" s="17">
        <f>LOOKUP(1,1/('[1]PURCHASE PRICE'!$B:$B=B57)/('[1]PURCHASE PRICE'!$A:$A=A57),'[1]PURCHASE PRICE'!$D:$D)</f>
        <v>21000</v>
      </c>
      <c r="G57" s="15">
        <v>70000</v>
      </c>
      <c r="H57" s="13">
        <f t="shared" si="0"/>
        <v>1400000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/>
  <dimension ref="A1:J65"/>
  <sheetViews>
    <sheetView workbookViewId="0">
      <selection activeCell="G3" sqref="G3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14.44140625" style="18" bestFit="1" customWidth="1"/>
    <col min="5" max="5" width="13" style="18" bestFit="1" customWidth="1"/>
    <col min="6" max="6" width="11.44140625" style="18" customWidth="1"/>
    <col min="7" max="7" width="11.6640625" style="21" bestFit="1" customWidth="1"/>
    <col min="8" max="8" width="16.5546875" style="21" bestFit="1" customWidth="1"/>
    <col min="9" max="16384" width="8.88671875" style="18"/>
  </cols>
  <sheetData>
    <row r="1" spans="1:8" ht="15.6" x14ac:dyDescent="0.3">
      <c r="B1" s="18" t="s">
        <v>208</v>
      </c>
      <c r="C1" s="24">
        <v>45643</v>
      </c>
      <c r="H1" s="35">
        <f>SUM(H3:H65)</f>
        <v>60009600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45643</v>
      </c>
      <c r="B3" s="9" t="s">
        <v>0</v>
      </c>
      <c r="C3" s="9" t="s">
        <v>168</v>
      </c>
      <c r="D3" s="10">
        <v>20</v>
      </c>
      <c r="E3" s="17">
        <f>LOOKUP(1,1/('[1]PURCHASE PRICE'!$B:$B=B3)/('[1]PURCHASE PRICE'!$A:$A=A3)/('[1]PURCHASE PRICE'!$C:$C=C3),'[1]PURCHASE PRICE'!$D:$D)</f>
        <v>36000</v>
      </c>
      <c r="F3" s="17">
        <f>LOOKUP(1,1/('[1]PURCHASE PRICE'!$B:$B=B3)/('[1]PURCHASE PRICE'!$A:$A=A3),'[1]PURCHASE PRICE'!$D:$D)</f>
        <v>36000</v>
      </c>
      <c r="G3" s="17">
        <v>36000</v>
      </c>
      <c r="H3" s="17">
        <f>G3*D3</f>
        <v>720000</v>
      </c>
    </row>
    <row r="4" spans="1:8" x14ac:dyDescent="0.3">
      <c r="A4" s="29">
        <v>45643</v>
      </c>
      <c r="B4" s="9" t="s">
        <v>65</v>
      </c>
      <c r="C4" s="9" t="s">
        <v>7</v>
      </c>
      <c r="D4" s="10">
        <v>20</v>
      </c>
      <c r="E4" s="17">
        <f>F4*0.5</f>
        <v>5000</v>
      </c>
      <c r="F4" s="17">
        <f>LOOKUP(1,1/('[1]PURCHASE PRICE'!$B:$B=B4)/('[1]PURCHASE PRICE'!$A:$A=A4),'[1]PURCHASE PRICE'!$D:$D)</f>
        <v>10000</v>
      </c>
      <c r="G4" s="17">
        <v>5000</v>
      </c>
      <c r="H4" s="17">
        <f t="shared" ref="H4:H65" si="0">G4*D4</f>
        <v>100000</v>
      </c>
    </row>
    <row r="5" spans="1:8" x14ac:dyDescent="0.3">
      <c r="A5" s="29">
        <v>45643</v>
      </c>
      <c r="B5" s="9" t="s">
        <v>2</v>
      </c>
      <c r="C5" s="9" t="s">
        <v>168</v>
      </c>
      <c r="D5" s="10">
        <v>0</v>
      </c>
      <c r="E5" s="17">
        <v>0</v>
      </c>
      <c r="F5" s="17">
        <v>0</v>
      </c>
      <c r="G5" s="17">
        <v>0</v>
      </c>
      <c r="H5" s="17">
        <f t="shared" si="0"/>
        <v>0</v>
      </c>
    </row>
    <row r="6" spans="1:8" x14ac:dyDescent="0.3">
      <c r="A6" s="29">
        <v>45643</v>
      </c>
      <c r="B6" s="9" t="s">
        <v>3</v>
      </c>
      <c r="C6" s="9" t="s">
        <v>168</v>
      </c>
      <c r="D6" s="10">
        <v>0</v>
      </c>
      <c r="E6" s="17">
        <v>16000</v>
      </c>
      <c r="F6" s="17">
        <v>16000</v>
      </c>
      <c r="G6" s="17">
        <v>16000</v>
      </c>
      <c r="H6" s="17">
        <f t="shared" si="0"/>
        <v>0</v>
      </c>
    </row>
    <row r="7" spans="1:8" x14ac:dyDescent="0.3">
      <c r="A7" s="29">
        <v>45643</v>
      </c>
      <c r="B7" s="9" t="s">
        <v>3</v>
      </c>
      <c r="C7" s="9" t="s">
        <v>7</v>
      </c>
      <c r="D7" s="10">
        <v>147</v>
      </c>
      <c r="E7" s="17">
        <f>F7*0.3</f>
        <v>4800</v>
      </c>
      <c r="F7" s="17">
        <v>16000</v>
      </c>
      <c r="G7" s="17">
        <v>4800</v>
      </c>
      <c r="H7" s="17">
        <f t="shared" si="0"/>
        <v>705600</v>
      </c>
    </row>
    <row r="8" spans="1:8" x14ac:dyDescent="0.3">
      <c r="A8" s="29">
        <v>45643</v>
      </c>
      <c r="B8" s="9" t="s">
        <v>5</v>
      </c>
      <c r="C8" s="9" t="s">
        <v>168</v>
      </c>
      <c r="D8" s="10">
        <v>20</v>
      </c>
      <c r="E8" s="17">
        <f>LOOKUP(1,1/('[1]PURCHASE PRICE'!$B:$B=B8)/('[1]PURCHASE PRICE'!$A:$A=A8)/('[1]PURCHASE PRICE'!$C:$C=C8),'[1]PURCHASE PRICE'!$D:$D)</f>
        <v>10000</v>
      </c>
      <c r="F8" s="17">
        <f>LOOKUP(1,1/('[1]PURCHASE PRICE'!$B:$B=B8)/('[1]PURCHASE PRICE'!$A:$A=A8),'[1]PURCHASE PRICE'!$D:$D)</f>
        <v>10000</v>
      </c>
      <c r="G8" s="17">
        <v>10000</v>
      </c>
      <c r="H8" s="17">
        <f t="shared" si="0"/>
        <v>200000</v>
      </c>
    </row>
    <row r="9" spans="1:8" x14ac:dyDescent="0.3">
      <c r="A9" s="29">
        <v>45643</v>
      </c>
      <c r="B9" s="9" t="s">
        <v>5</v>
      </c>
      <c r="C9" s="9" t="s">
        <v>7</v>
      </c>
      <c r="D9" s="10">
        <v>100</v>
      </c>
      <c r="E9" s="17">
        <f>F9*0.3</f>
        <v>3000</v>
      </c>
      <c r="F9" s="17">
        <f>LOOKUP(1,1/('[1]PURCHASE PRICE'!$B:$B=B9)/('[1]PURCHASE PRICE'!$A:$A=A9),'[1]PURCHASE PRICE'!$D:$D)</f>
        <v>10000</v>
      </c>
      <c r="G9" s="17">
        <v>3000</v>
      </c>
      <c r="H9" s="17">
        <f t="shared" si="0"/>
        <v>300000</v>
      </c>
    </row>
    <row r="10" spans="1:8" x14ac:dyDescent="0.3">
      <c r="A10" s="29">
        <v>45643</v>
      </c>
      <c r="B10" s="9" t="s">
        <v>6</v>
      </c>
      <c r="C10" s="9" t="s">
        <v>168</v>
      </c>
      <c r="D10" s="10">
        <v>0</v>
      </c>
      <c r="E10" s="17">
        <f>LOOKUP(1,1/('[1]PURCHASE PRICE'!$B:$B=B10)/('[1]PURCHASE PRICE'!$A:$A=A10)/('[1]PURCHASE PRICE'!$C:$C=C10),'[1]PURCHASE PRICE'!$D:$D)</f>
        <v>60000</v>
      </c>
      <c r="F10" s="17">
        <f>LOOKUP(1,1/('[1]PURCHASE PRICE'!$B:$B=B10)/('[1]PURCHASE PRICE'!$A:$A=A10),'[1]PURCHASE PRICE'!$D:$D)</f>
        <v>60000</v>
      </c>
      <c r="G10" s="17">
        <v>60000</v>
      </c>
      <c r="H10" s="17">
        <f t="shared" si="0"/>
        <v>0</v>
      </c>
    </row>
    <row r="11" spans="1:8" x14ac:dyDescent="0.3">
      <c r="A11" s="29">
        <v>45643</v>
      </c>
      <c r="B11" s="9" t="s">
        <v>68</v>
      </c>
      <c r="C11" s="9" t="s">
        <v>168</v>
      </c>
      <c r="D11" s="10">
        <v>62</v>
      </c>
      <c r="E11" s="17">
        <f>LOOKUP(1,1/('[1]PURCHASE PRICE'!$B:$B=B11)/('[1]PURCHASE PRICE'!$A:$A=A11)/('[1]PURCHASE PRICE'!$C:$C=C11),'[1]PURCHASE PRICE'!$D:$D)</f>
        <v>28000</v>
      </c>
      <c r="F11" s="17">
        <f>LOOKUP(1,1/('[1]PURCHASE PRICE'!$B:$B=B11)/('[1]PURCHASE PRICE'!$A:$A=A11),'[1]PURCHASE PRICE'!$D:$D)</f>
        <v>28000</v>
      </c>
      <c r="G11" s="17">
        <v>28000</v>
      </c>
      <c r="H11" s="17">
        <f t="shared" si="0"/>
        <v>1736000</v>
      </c>
    </row>
    <row r="12" spans="1:8" x14ac:dyDescent="0.3">
      <c r="A12" s="29">
        <v>45643</v>
      </c>
      <c r="B12" s="9" t="s">
        <v>8</v>
      </c>
      <c r="C12" s="9" t="s">
        <v>11</v>
      </c>
      <c r="D12" s="10">
        <v>20</v>
      </c>
      <c r="E12" s="17">
        <f>LOOKUP(1,1/('[1]PURCHASE PRICE'!$B:$B=B12)/('[1]PURCHASE PRICE'!$A:$A=A12)/('[1]PURCHASE PRICE'!$C:$C=C12),'[1]PURCHASE PRICE'!$D:$D)</f>
        <v>7600</v>
      </c>
      <c r="F12" s="17">
        <f>LOOKUP(1,1/('[1]PURCHASE PRICE'!$B:$B=B12)/('[1]PURCHASE PRICE'!$A:$A=A12),'[1]PURCHASE PRICE'!$D:$D)</f>
        <v>7600</v>
      </c>
      <c r="G12" s="17">
        <v>7600</v>
      </c>
      <c r="H12" s="17">
        <f t="shared" si="0"/>
        <v>152000</v>
      </c>
    </row>
    <row r="13" spans="1:8" x14ac:dyDescent="0.3">
      <c r="A13" s="29">
        <v>45643</v>
      </c>
      <c r="B13" s="9" t="s">
        <v>10</v>
      </c>
      <c r="C13" s="9" t="s">
        <v>168</v>
      </c>
      <c r="D13" s="10">
        <v>148</v>
      </c>
      <c r="E13" s="17">
        <f>LOOKUP(1,1/('[1]PURCHASE PRICE'!$B:$B=B13)/('[1]PURCHASE PRICE'!$A:$A=A13)/('[1]PURCHASE PRICE'!$C:$C=C13),'[1]PURCHASE PRICE'!$D:$D)</f>
        <v>17000</v>
      </c>
      <c r="F13" s="17">
        <f>LOOKUP(1,1/('[1]PURCHASE PRICE'!$B:$B=B13)/('[1]PURCHASE PRICE'!$A:$A=A13),'[1]PURCHASE PRICE'!$D:$D)</f>
        <v>17000</v>
      </c>
      <c r="G13" s="17">
        <v>17000</v>
      </c>
      <c r="H13" s="17">
        <f t="shared" si="0"/>
        <v>2516000</v>
      </c>
    </row>
    <row r="14" spans="1:8" x14ac:dyDescent="0.3">
      <c r="A14" s="29">
        <v>45643</v>
      </c>
      <c r="B14" s="9" t="s">
        <v>10</v>
      </c>
      <c r="C14" s="9" t="s">
        <v>12</v>
      </c>
      <c r="D14" s="10">
        <v>220</v>
      </c>
      <c r="E14" s="17">
        <f>LOOKUP(1,1/('[1]PURCHASE PRICE'!$B:$B=B14)/('[1]PURCHASE PRICE'!$A:$A=A14)/('[1]PURCHASE PRICE'!$C:$C=C14),'[1]PURCHASE PRICE'!$D:$D)</f>
        <v>9500</v>
      </c>
      <c r="F14" s="17">
        <f>LOOKUP(1,1/('[1]PURCHASE PRICE'!$B:$B=B14)/('[1]PURCHASE PRICE'!$A:$A=A14),'[1]PURCHASE PRICE'!$D:$D)</f>
        <v>17000</v>
      </c>
      <c r="G14" s="17">
        <v>9500</v>
      </c>
      <c r="H14" s="17">
        <f t="shared" si="0"/>
        <v>2090000</v>
      </c>
    </row>
    <row r="15" spans="1:8" x14ac:dyDescent="0.3">
      <c r="A15" s="29">
        <v>45643</v>
      </c>
      <c r="B15" s="9" t="s">
        <v>13</v>
      </c>
      <c r="C15" s="9" t="s">
        <v>14</v>
      </c>
      <c r="D15" s="10">
        <v>150</v>
      </c>
      <c r="E15" s="17">
        <f>LOOKUP(1,1/('[1]PURCHASE PRICE'!$B:$B=B15)/('[1]PURCHASE PRICE'!$A:$A=A15)/('[1]PURCHASE PRICE'!$C:$C=C15),'[1]PURCHASE PRICE'!$D:$D)</f>
        <v>9000</v>
      </c>
      <c r="F15" s="17">
        <f>LOOKUP(1,1/('[1]PURCHASE PRICE'!$B:$B=B15)/('[1]PURCHASE PRICE'!$A:$A=A15),'[1]PURCHASE PRICE'!$D:$D)</f>
        <v>9000</v>
      </c>
      <c r="G15" s="17">
        <v>9000</v>
      </c>
      <c r="H15" s="17">
        <f t="shared" si="0"/>
        <v>1350000</v>
      </c>
    </row>
    <row r="16" spans="1:8" x14ac:dyDescent="0.3">
      <c r="A16" s="29">
        <v>45643</v>
      </c>
      <c r="B16" s="9" t="s">
        <v>15</v>
      </c>
      <c r="C16" s="9" t="s">
        <v>16</v>
      </c>
      <c r="D16" s="10">
        <v>20</v>
      </c>
      <c r="E16" s="17">
        <f>LOOKUP(1,1/('[1]PURCHASE PRICE'!$B:$B=B16)/('[1]PURCHASE PRICE'!$A:$A=A16)/('[1]PURCHASE PRICE'!$C:$C=C16),'[1]PURCHASE PRICE'!$D:$D)</f>
        <v>16500</v>
      </c>
      <c r="F16" s="17">
        <f>LOOKUP(1,1/('[1]PURCHASE PRICE'!$B:$B=B16)/('[1]PURCHASE PRICE'!$A:$A=A16),'[1]PURCHASE PRICE'!$D:$D)</f>
        <v>16500</v>
      </c>
      <c r="G16" s="17">
        <v>16500</v>
      </c>
      <c r="H16" s="17">
        <f t="shared" si="0"/>
        <v>330000</v>
      </c>
    </row>
    <row r="17" spans="1:10" x14ac:dyDescent="0.3">
      <c r="A17" s="29">
        <v>45643</v>
      </c>
      <c r="B17" s="9" t="s">
        <v>17</v>
      </c>
      <c r="C17" s="9" t="s">
        <v>14</v>
      </c>
      <c r="D17" s="10">
        <v>80</v>
      </c>
      <c r="E17" s="17">
        <f>LOOKUP(1,1/('[1]PURCHASE PRICE'!$B:$B=B17)/('[1]PURCHASE PRICE'!$A:$A=A17)/('[1]PURCHASE PRICE'!$C:$C=C17),'[1]PURCHASE PRICE'!$D:$D)</f>
        <v>15600</v>
      </c>
      <c r="F17" s="17">
        <f>LOOKUP(1,1/('[1]PURCHASE PRICE'!$B:$B=B17)/('[1]PURCHASE PRICE'!$A:$A=A17),'[1]PURCHASE PRICE'!$D:$D)</f>
        <v>15600</v>
      </c>
      <c r="G17" s="17">
        <v>15600</v>
      </c>
      <c r="H17" s="17">
        <f t="shared" si="0"/>
        <v>1248000</v>
      </c>
    </row>
    <row r="18" spans="1:10" x14ac:dyDescent="0.3">
      <c r="A18" s="29">
        <v>45643</v>
      </c>
      <c r="B18" s="9" t="s">
        <v>18</v>
      </c>
      <c r="C18" s="9" t="s">
        <v>168</v>
      </c>
      <c r="D18" s="10">
        <v>120</v>
      </c>
      <c r="E18" s="17">
        <f>LOOKUP(1,1/('[1]PURCHASE PRICE'!$B:$B=B18)/('[1]PURCHASE PRICE'!$A:$A=A18)/('[1]PURCHASE PRICE'!$C:$C=C18),'[1]PURCHASE PRICE'!$D:$D)</f>
        <v>22000</v>
      </c>
      <c r="F18" s="17">
        <f>LOOKUP(1,1/('[1]PURCHASE PRICE'!$B:$B=B18)/('[1]PURCHASE PRICE'!$A:$A=A18),'[1]PURCHASE PRICE'!$D:$D)</f>
        <v>22000</v>
      </c>
      <c r="G18" s="17">
        <v>22000</v>
      </c>
      <c r="H18" s="17">
        <f t="shared" si="0"/>
        <v>2640000</v>
      </c>
    </row>
    <row r="19" spans="1:10" x14ac:dyDescent="0.3">
      <c r="A19" s="29">
        <v>45643</v>
      </c>
      <c r="B19" s="9" t="s">
        <v>20</v>
      </c>
      <c r="C19" s="9" t="s">
        <v>11</v>
      </c>
      <c r="D19" s="10">
        <v>114</v>
      </c>
      <c r="E19" s="17">
        <f>LOOKUP(1,1/('[1]PURCHASE PRICE'!$B:$B=B19)/('[1]PURCHASE PRICE'!$A:$A=A19)/('[1]PURCHASE PRICE'!$C:$C=C19),'[1]PURCHASE PRICE'!$D:$D)</f>
        <v>9000</v>
      </c>
      <c r="F19" s="17">
        <f>LOOKUP(1,1/('[1]PURCHASE PRICE'!$B:$B=B19)/('[1]PURCHASE PRICE'!$A:$A=A19),'[1]PURCHASE PRICE'!$D:$D)</f>
        <v>9000</v>
      </c>
      <c r="G19" s="17">
        <v>9000</v>
      </c>
      <c r="H19" s="17">
        <f t="shared" si="0"/>
        <v>1026000</v>
      </c>
    </row>
    <row r="20" spans="1:10" x14ac:dyDescent="0.3">
      <c r="A20" s="29">
        <v>45643</v>
      </c>
      <c r="B20" s="9" t="s">
        <v>71</v>
      </c>
      <c r="C20" s="9" t="s">
        <v>168</v>
      </c>
      <c r="D20" s="10">
        <v>15</v>
      </c>
      <c r="E20" s="17">
        <f>LOOKUP(1,1/('[1]PURCHASE PRICE'!$B:$B=B20)/('[1]PURCHASE PRICE'!$A:$A=A20)/('[1]PURCHASE PRICE'!$C:$C=C20),'[1]PURCHASE PRICE'!$D:$D)</f>
        <v>11000</v>
      </c>
      <c r="F20" s="17">
        <f>LOOKUP(1,1/('[1]PURCHASE PRICE'!$B:$B=B20)/('[1]PURCHASE PRICE'!$A:$A=A20),'[1]PURCHASE PRICE'!$D:$D)</f>
        <v>11000</v>
      </c>
      <c r="G20" s="17">
        <v>11000</v>
      </c>
      <c r="H20" s="17">
        <f t="shared" si="0"/>
        <v>165000</v>
      </c>
    </row>
    <row r="21" spans="1:10" x14ac:dyDescent="0.3">
      <c r="A21" s="29">
        <v>45643</v>
      </c>
      <c r="B21" s="9" t="s">
        <v>209</v>
      </c>
      <c r="C21" s="9" t="s">
        <v>189</v>
      </c>
      <c r="D21" s="10">
        <v>5</v>
      </c>
      <c r="E21" s="17">
        <f>LOOKUP(1,1/('[1]PURCHASE PRICE'!$B:$B=B21)/('[1]PURCHASE PRICE'!$A:$A=A21)/('[1]PURCHASE PRICE'!$C:$C=C21),'[1]PURCHASE PRICE'!$D:$D)</f>
        <v>20000</v>
      </c>
      <c r="F21" s="17">
        <f>LOOKUP(1,1/('[1]PURCHASE PRICE'!$B:$B=B21)/('[1]PURCHASE PRICE'!$A:$A=A21),'[1]PURCHASE PRICE'!$D:$D)</f>
        <v>20000</v>
      </c>
      <c r="G21" s="17">
        <v>20000</v>
      </c>
      <c r="H21" s="17">
        <f t="shared" si="0"/>
        <v>100000</v>
      </c>
    </row>
    <row r="22" spans="1:10" x14ac:dyDescent="0.3">
      <c r="A22" s="29">
        <v>45643</v>
      </c>
      <c r="B22" s="9" t="s">
        <v>63</v>
      </c>
      <c r="C22" s="9" t="s">
        <v>168</v>
      </c>
      <c r="D22" s="10">
        <v>40</v>
      </c>
      <c r="E22" s="17">
        <f>LOOKUP(1,1/('[1]PURCHASE PRICE'!$B:$B=B22)/('[1]PURCHASE PRICE'!$A:$A=A22)/('[1]PURCHASE PRICE'!$C:$C=C22),'[1]PURCHASE PRICE'!$D:$D)</f>
        <v>20000</v>
      </c>
      <c r="F22" s="17">
        <f>LOOKUP(1,1/('[1]PURCHASE PRICE'!$B:$B=B22)/('[1]PURCHASE PRICE'!$A:$A=A22),'[1]PURCHASE PRICE'!$D:$D)</f>
        <v>20000</v>
      </c>
      <c r="G22" s="17">
        <v>20000</v>
      </c>
      <c r="H22" s="17">
        <f t="shared" si="0"/>
        <v>800000</v>
      </c>
    </row>
    <row r="23" spans="1:10" x14ac:dyDescent="0.3">
      <c r="A23" s="29">
        <v>45643</v>
      </c>
      <c r="B23" s="9" t="s">
        <v>21</v>
      </c>
      <c r="C23" s="9" t="s">
        <v>22</v>
      </c>
      <c r="D23" s="10">
        <v>220</v>
      </c>
      <c r="E23" s="17">
        <f>LOOKUP(1,1/('[1]PURCHASE PRICE'!$B:$B=B23)/('[1]PURCHASE PRICE'!$A:$A=A23)/('[1]PURCHASE PRICE'!$C:$C=C23),'[1]PURCHASE PRICE'!$D:$D)</f>
        <v>4200</v>
      </c>
      <c r="F23" s="17">
        <f>LOOKUP(1,1/('[1]PURCHASE PRICE'!$B:$B=B23)/('[1]PURCHASE PRICE'!$A:$A=A23),'[1]PURCHASE PRICE'!$D:$D)</f>
        <v>4200</v>
      </c>
      <c r="G23" s="17">
        <v>4200</v>
      </c>
      <c r="H23" s="17">
        <f t="shared" si="0"/>
        <v>924000</v>
      </c>
    </row>
    <row r="24" spans="1:10" x14ac:dyDescent="0.3">
      <c r="A24" s="29">
        <v>45643</v>
      </c>
      <c r="B24" s="9" t="s">
        <v>21</v>
      </c>
      <c r="C24" s="9" t="s">
        <v>23</v>
      </c>
      <c r="D24" s="10">
        <v>0</v>
      </c>
      <c r="E24" s="17">
        <f>F24/2</f>
        <v>2100</v>
      </c>
      <c r="F24" s="17">
        <f>LOOKUP(1,1/('[1]PURCHASE PRICE'!$B:$B=B24)/('[1]PURCHASE PRICE'!$A:$A=A24),'[1]PURCHASE PRICE'!$D:$D)</f>
        <v>4200</v>
      </c>
      <c r="G24" s="17">
        <v>2100</v>
      </c>
      <c r="H24" s="17">
        <f t="shared" si="0"/>
        <v>0</v>
      </c>
    </row>
    <row r="25" spans="1:10" x14ac:dyDescent="0.3">
      <c r="A25" s="29">
        <v>45643</v>
      </c>
      <c r="B25" s="9" t="s">
        <v>24</v>
      </c>
      <c r="C25" s="9" t="s">
        <v>168</v>
      </c>
      <c r="D25" s="10">
        <v>20</v>
      </c>
      <c r="E25" s="17">
        <f>LOOKUP(1,1/('[1]PURCHASE PRICE'!$B:$B=B25)/('[1]PURCHASE PRICE'!$A:$A=A25)/('[1]PURCHASE PRICE'!$C:$C=C25),'[1]PURCHASE PRICE'!$D:$D)</f>
        <v>10000</v>
      </c>
      <c r="F25" s="17">
        <f>LOOKUP(1,1/('[1]PURCHASE PRICE'!$B:$B=B25)/('[1]PURCHASE PRICE'!$A:$A=A25),'[1]PURCHASE PRICE'!$D:$D)</f>
        <v>10000</v>
      </c>
      <c r="G25" s="17">
        <v>10000</v>
      </c>
      <c r="H25" s="17">
        <f t="shared" si="0"/>
        <v>200000</v>
      </c>
    </row>
    <row r="26" spans="1:10" x14ac:dyDescent="0.3">
      <c r="A26" s="29">
        <v>45643</v>
      </c>
      <c r="B26" s="9" t="s">
        <v>24</v>
      </c>
      <c r="C26" s="9" t="s">
        <v>25</v>
      </c>
      <c r="D26" s="10">
        <v>200</v>
      </c>
      <c r="E26" s="17">
        <f>F26/2</f>
        <v>5000</v>
      </c>
      <c r="F26" s="17">
        <f>LOOKUP(1,1/('[1]PURCHASE PRICE'!$B:$B=B26)/('[1]PURCHASE PRICE'!$A:$A=A26),'[1]PURCHASE PRICE'!$D:$D)</f>
        <v>10000</v>
      </c>
      <c r="G26" s="17">
        <v>5000</v>
      </c>
      <c r="H26" s="17">
        <f t="shared" si="0"/>
        <v>1000000</v>
      </c>
      <c r="J26" s="18" t="s">
        <v>218</v>
      </c>
    </row>
    <row r="27" spans="1:10" x14ac:dyDescent="0.3">
      <c r="A27" s="29">
        <v>45643</v>
      </c>
      <c r="B27" s="9" t="s">
        <v>27</v>
      </c>
      <c r="C27" s="9" t="s">
        <v>16</v>
      </c>
      <c r="D27" s="10">
        <v>20</v>
      </c>
      <c r="E27" s="17">
        <f>LOOKUP(1,1/('[1]PURCHASE PRICE'!$B:$B=B27)/('[1]PURCHASE PRICE'!$A:$A=A27)/('[1]PURCHASE PRICE'!$C:$C=C27),'[1]PURCHASE PRICE'!$D:$D)</f>
        <v>7500</v>
      </c>
      <c r="F27" s="17">
        <f>LOOKUP(1,1/('[1]PURCHASE PRICE'!$B:$B=B27)/('[1]PURCHASE PRICE'!$A:$A=A27),'[1]PURCHASE PRICE'!$D:$D)</f>
        <v>7500</v>
      </c>
      <c r="G27" s="17">
        <v>7500</v>
      </c>
      <c r="H27" s="17">
        <f t="shared" si="0"/>
        <v>150000</v>
      </c>
    </row>
    <row r="28" spans="1:10" x14ac:dyDescent="0.3">
      <c r="A28" s="29">
        <v>45643</v>
      </c>
      <c r="B28" s="9" t="s">
        <v>28</v>
      </c>
      <c r="C28" s="9" t="s">
        <v>168</v>
      </c>
      <c r="D28" s="10">
        <v>20</v>
      </c>
      <c r="E28" s="17">
        <f>LOOKUP(1,1/('[1]PURCHASE PRICE'!$B:$B=B28)/('[1]PURCHASE PRICE'!$A:$A=A28)/('[1]PURCHASE PRICE'!$C:$C=C28),'[1]PURCHASE PRICE'!$D:$D)</f>
        <v>5000</v>
      </c>
      <c r="F28" s="17">
        <f>LOOKUP(1,1/('[1]PURCHASE PRICE'!$B:$B=B28)/('[1]PURCHASE PRICE'!$A:$A=A28),'[1]PURCHASE PRICE'!$D:$D)</f>
        <v>5000</v>
      </c>
      <c r="G28" s="17">
        <v>5000</v>
      </c>
      <c r="H28" s="17">
        <f t="shared" si="0"/>
        <v>100000</v>
      </c>
    </row>
    <row r="29" spans="1:10" x14ac:dyDescent="0.3">
      <c r="A29" s="29">
        <v>45643</v>
      </c>
      <c r="B29" s="9" t="s">
        <v>74</v>
      </c>
      <c r="C29" s="9" t="s">
        <v>168</v>
      </c>
      <c r="D29" s="10">
        <v>30</v>
      </c>
      <c r="E29" s="17">
        <f>LOOKUP(1,1/('[1]PURCHASE PRICE'!$B:$B=B29)/('[1]PURCHASE PRICE'!$A:$A=A29)/('[1]PURCHASE PRICE'!$C:$C=C29),'[1]PURCHASE PRICE'!$D:$D)</f>
        <v>11000</v>
      </c>
      <c r="F29" s="17">
        <f>LOOKUP(1,1/('[1]PURCHASE PRICE'!$B:$B=B29)/('[1]PURCHASE PRICE'!$A:$A=A29),'[1]PURCHASE PRICE'!$D:$D)</f>
        <v>11000</v>
      </c>
      <c r="G29" s="17">
        <v>11000</v>
      </c>
      <c r="H29" s="17">
        <f t="shared" si="0"/>
        <v>330000</v>
      </c>
    </row>
    <row r="30" spans="1:10" x14ac:dyDescent="0.3">
      <c r="A30" s="29">
        <v>45643</v>
      </c>
      <c r="B30" s="9" t="s">
        <v>30</v>
      </c>
      <c r="C30" s="9" t="s">
        <v>168</v>
      </c>
      <c r="D30" s="10">
        <v>150</v>
      </c>
      <c r="E30" s="17">
        <v>24000</v>
      </c>
      <c r="F30" s="17" t="e">
        <f>LOOKUP(1,1/('[1]PURCHASE PRICE'!$B:$B=B30)/('[1]PURCHASE PRICE'!$A:$A=A30),'[1]PURCHASE PRICE'!$D:$D)</f>
        <v>#N/A</v>
      </c>
      <c r="G30" s="17">
        <v>24000</v>
      </c>
      <c r="H30" s="17">
        <f t="shared" si="0"/>
        <v>3600000</v>
      </c>
    </row>
    <row r="31" spans="1:10" x14ac:dyDescent="0.3">
      <c r="A31" s="29">
        <v>45643</v>
      </c>
      <c r="B31" s="9" t="s">
        <v>31</v>
      </c>
      <c r="C31" s="9" t="s">
        <v>168</v>
      </c>
      <c r="D31" s="10">
        <v>200</v>
      </c>
      <c r="E31" s="17">
        <f>LOOKUP(1,1/('[1]PURCHASE PRICE'!$B:$B=B31)/('[1]PURCHASE PRICE'!$A:$A=A31)/('[1]PURCHASE PRICE'!$C:$C=C31),'[1]PURCHASE PRICE'!$D:$D)</f>
        <v>16000</v>
      </c>
      <c r="F31" s="17">
        <f>LOOKUP(1,1/('[1]PURCHASE PRICE'!$B:$B=B31)/('[1]PURCHASE PRICE'!$A:$A=A31),'[1]PURCHASE PRICE'!$D:$D)</f>
        <v>16000</v>
      </c>
      <c r="G31" s="17">
        <v>16000</v>
      </c>
      <c r="H31" s="17">
        <f t="shared" si="0"/>
        <v>3200000</v>
      </c>
    </row>
    <row r="32" spans="1:10" x14ac:dyDescent="0.3">
      <c r="A32" s="29">
        <v>45643</v>
      </c>
      <c r="B32" s="9" t="s">
        <v>139</v>
      </c>
      <c r="C32" s="9" t="s">
        <v>168</v>
      </c>
      <c r="D32" s="10">
        <v>0</v>
      </c>
      <c r="E32" s="17">
        <v>0</v>
      </c>
      <c r="F32" s="17">
        <v>0</v>
      </c>
      <c r="G32" s="17">
        <v>0</v>
      </c>
      <c r="H32" s="17">
        <f t="shared" si="0"/>
        <v>0</v>
      </c>
    </row>
    <row r="33" spans="1:8" x14ac:dyDescent="0.3">
      <c r="A33" s="29">
        <v>45643</v>
      </c>
      <c r="B33" s="9" t="s">
        <v>194</v>
      </c>
      <c r="C33" s="9" t="s">
        <v>168</v>
      </c>
      <c r="D33" s="10">
        <v>10</v>
      </c>
      <c r="E33" s="17">
        <f>LOOKUP(1,1/('[1]PURCHASE PRICE'!$B:$B=B33)/('[1]PURCHASE PRICE'!$A:$A=A33)/('[1]PURCHASE PRICE'!$C:$C=C33),'[1]PURCHASE PRICE'!$D:$D)</f>
        <v>10000</v>
      </c>
      <c r="F33" s="17">
        <f>LOOKUP(1,1/('[1]PURCHASE PRICE'!$B:$B=B33)/('[1]PURCHASE PRICE'!$A:$A=A33),'[1]PURCHASE PRICE'!$D:$D)</f>
        <v>10000</v>
      </c>
      <c r="G33" s="17">
        <v>10000</v>
      </c>
      <c r="H33" s="17">
        <f t="shared" si="0"/>
        <v>100000</v>
      </c>
    </row>
    <row r="34" spans="1:8" x14ac:dyDescent="0.3">
      <c r="A34" s="29">
        <v>45643</v>
      </c>
      <c r="B34" s="9" t="s">
        <v>33</v>
      </c>
      <c r="C34" s="9" t="s">
        <v>22</v>
      </c>
      <c r="D34" s="10">
        <v>30</v>
      </c>
      <c r="E34" s="17">
        <f>F34/0.3</f>
        <v>20000</v>
      </c>
      <c r="F34" s="17">
        <v>6000</v>
      </c>
      <c r="G34" s="17">
        <v>20000</v>
      </c>
      <c r="H34" s="17">
        <f t="shared" si="0"/>
        <v>600000</v>
      </c>
    </row>
    <row r="35" spans="1:8" x14ac:dyDescent="0.3">
      <c r="A35" s="29">
        <v>45643</v>
      </c>
      <c r="B35" s="9" t="s">
        <v>34</v>
      </c>
      <c r="C35" s="9" t="s">
        <v>36</v>
      </c>
      <c r="D35" s="10">
        <v>40</v>
      </c>
      <c r="E35" s="17">
        <f>LOOKUP(1,1/('[1]PURCHASE PRICE'!$B:$B=B35)/('[1]PURCHASE PRICE'!$A:$A=A35)/('[1]PURCHASE PRICE'!$C:$C=C35),'[1]PURCHASE PRICE'!$D:$D)</f>
        <v>8000</v>
      </c>
      <c r="F35" s="17">
        <f>LOOKUP(1,1/('[1]PURCHASE PRICE'!$B:$B=B35)/('[1]PURCHASE PRICE'!$A:$A=A35),'[1]PURCHASE PRICE'!$D:$D)</f>
        <v>11000</v>
      </c>
      <c r="G35" s="17">
        <v>8000</v>
      </c>
      <c r="H35" s="17">
        <f t="shared" si="0"/>
        <v>320000</v>
      </c>
    </row>
    <row r="36" spans="1:8" x14ac:dyDescent="0.3">
      <c r="A36" s="29">
        <v>45643</v>
      </c>
      <c r="B36" s="9" t="s">
        <v>35</v>
      </c>
      <c r="C36" s="9" t="s">
        <v>189</v>
      </c>
      <c r="D36" s="10">
        <v>7</v>
      </c>
      <c r="E36" s="17">
        <f>LOOKUP(1,1/('[1]PURCHASE PRICE'!$B:$B=B36)/('[1]PURCHASE PRICE'!$A:$A=A36)/('[1]PURCHASE PRICE'!$C:$C=C36),'[1]PURCHASE PRICE'!$D:$D)</f>
        <v>60000</v>
      </c>
      <c r="F36" s="17">
        <f>LOOKUP(1,1/('[1]PURCHASE PRICE'!$B:$B=B36)/('[1]PURCHASE PRICE'!$A:$A=A36),'[1]PURCHASE PRICE'!$D:$D)</f>
        <v>60000</v>
      </c>
      <c r="G36" s="17">
        <v>60000</v>
      </c>
      <c r="H36" s="17">
        <f t="shared" si="0"/>
        <v>420000</v>
      </c>
    </row>
    <row r="37" spans="1:8" x14ac:dyDescent="0.3">
      <c r="A37" s="29">
        <v>45643</v>
      </c>
      <c r="B37" s="9" t="s">
        <v>37</v>
      </c>
      <c r="C37" s="9" t="s">
        <v>168</v>
      </c>
      <c r="D37" s="10">
        <v>150</v>
      </c>
      <c r="E37" s="17">
        <f>F37*2</f>
        <v>15000</v>
      </c>
      <c r="F37" s="17">
        <f>LOOKUP(1,1/('[1]PURCHASE PRICE'!$B:$B=B37)/('[1]PURCHASE PRICE'!$A:$A=A37),'[1]PURCHASE PRICE'!$D:$D)</f>
        <v>7500</v>
      </c>
      <c r="G37" s="17">
        <v>15000</v>
      </c>
      <c r="H37" s="17">
        <f t="shared" si="0"/>
        <v>2250000</v>
      </c>
    </row>
    <row r="38" spans="1:8" x14ac:dyDescent="0.3">
      <c r="A38" s="29">
        <v>45643</v>
      </c>
      <c r="B38" s="9" t="s">
        <v>37</v>
      </c>
      <c r="C38" s="9" t="s">
        <v>11</v>
      </c>
      <c r="D38" s="10">
        <v>700</v>
      </c>
      <c r="E38" s="17">
        <f>LOOKUP(1,1/('[1]PURCHASE PRICE'!$B:$B=B38)/('[1]PURCHASE PRICE'!$A:$A=A38)/('[1]PURCHASE PRICE'!$C:$C=C38),'[1]PURCHASE PRICE'!$D:$D)</f>
        <v>7500</v>
      </c>
      <c r="F38" s="17">
        <f>LOOKUP(1,1/('[1]PURCHASE PRICE'!$B:$B=B38)/('[1]PURCHASE PRICE'!$A:$A=A38),'[1]PURCHASE PRICE'!$D:$D)</f>
        <v>7500</v>
      </c>
      <c r="G38" s="17">
        <v>7500</v>
      </c>
      <c r="H38" s="17">
        <f t="shared" si="0"/>
        <v>5250000</v>
      </c>
    </row>
    <row r="39" spans="1:8" x14ac:dyDescent="0.3">
      <c r="A39" s="29">
        <v>45643</v>
      </c>
      <c r="B39" s="9" t="s">
        <v>38</v>
      </c>
      <c r="C39" s="9" t="s">
        <v>168</v>
      </c>
      <c r="D39" s="10">
        <v>20</v>
      </c>
      <c r="E39" s="17">
        <f>LOOKUP(1,1/('[1]PURCHASE PRICE'!$B:$B=B39)/('[1]PURCHASE PRICE'!$A:$A=A39)/('[1]PURCHASE PRICE'!$C:$C=C39),'[1]PURCHASE PRICE'!$D:$D)</f>
        <v>14000</v>
      </c>
      <c r="F39" s="17">
        <f>LOOKUP(1,1/('[1]PURCHASE PRICE'!$B:$B=B39)/('[1]PURCHASE PRICE'!$A:$A=A39),'[1]PURCHASE PRICE'!$D:$D)</f>
        <v>14000</v>
      </c>
      <c r="G39" s="17">
        <v>14000</v>
      </c>
      <c r="H39" s="17">
        <f t="shared" si="0"/>
        <v>280000</v>
      </c>
    </row>
    <row r="40" spans="1:8" x14ac:dyDescent="0.3">
      <c r="A40" s="29">
        <v>45643</v>
      </c>
      <c r="B40" s="9" t="s">
        <v>38</v>
      </c>
      <c r="C40" s="9" t="s">
        <v>22</v>
      </c>
      <c r="D40" s="10">
        <v>30</v>
      </c>
      <c r="E40" s="17">
        <f>F40*0.6</f>
        <v>8400</v>
      </c>
      <c r="F40" s="17">
        <f>LOOKUP(1,1/('[1]PURCHASE PRICE'!$B:$B=B40)/('[1]PURCHASE PRICE'!$A:$A=A40),'[1]PURCHASE PRICE'!$D:$D)</f>
        <v>14000</v>
      </c>
      <c r="G40" s="17">
        <v>8400</v>
      </c>
      <c r="H40" s="17">
        <f t="shared" si="0"/>
        <v>252000</v>
      </c>
    </row>
    <row r="41" spans="1:8" x14ac:dyDescent="0.3">
      <c r="A41" s="29">
        <v>45643</v>
      </c>
      <c r="B41" s="9" t="s">
        <v>40</v>
      </c>
      <c r="C41" s="9" t="s">
        <v>168</v>
      </c>
      <c r="D41" s="10">
        <v>20</v>
      </c>
      <c r="E41" s="17">
        <f>LOOKUP(1,1/('[1]PURCHASE PRICE'!$B:$B=B41)/('[1]PURCHASE PRICE'!$A:$A=A41)/('[1]PURCHASE PRICE'!$C:$C=C41),'[1]PURCHASE PRICE'!$D:$D)</f>
        <v>19000</v>
      </c>
      <c r="F41" s="17">
        <f>LOOKUP(1,1/('[1]PURCHASE PRICE'!$B:$B=B41)/('[1]PURCHASE PRICE'!$A:$A=A41),'[1]PURCHASE PRICE'!$D:$D)</f>
        <v>19000</v>
      </c>
      <c r="G41" s="17">
        <v>19000</v>
      </c>
      <c r="H41" s="17">
        <f t="shared" si="0"/>
        <v>380000</v>
      </c>
    </row>
    <row r="42" spans="1:8" x14ac:dyDescent="0.3">
      <c r="A42" s="29">
        <v>45643</v>
      </c>
      <c r="B42" s="9" t="s">
        <v>40</v>
      </c>
      <c r="C42" s="9" t="s">
        <v>25</v>
      </c>
      <c r="D42" s="10">
        <v>100</v>
      </c>
      <c r="E42" s="17">
        <f>F42*0.15</f>
        <v>2850</v>
      </c>
      <c r="F42" s="17">
        <f>LOOKUP(1,1/('[1]PURCHASE PRICE'!$B:$B=B42)/('[1]PURCHASE PRICE'!$A:$A=A42),'[1]PURCHASE PRICE'!$D:$D)</f>
        <v>19000</v>
      </c>
      <c r="G42" s="17">
        <v>2850</v>
      </c>
      <c r="H42" s="17">
        <f t="shared" si="0"/>
        <v>285000</v>
      </c>
    </row>
    <row r="43" spans="1:8" s="34" customFormat="1" x14ac:dyDescent="0.3">
      <c r="A43" s="36">
        <v>45643</v>
      </c>
      <c r="B43" s="38" t="s">
        <v>201</v>
      </c>
      <c r="C43" s="38" t="s">
        <v>168</v>
      </c>
      <c r="D43" s="78">
        <v>2000</v>
      </c>
      <c r="E43" s="63"/>
      <c r="F43" s="63"/>
      <c r="G43" s="63"/>
      <c r="H43" s="63"/>
    </row>
    <row r="44" spans="1:8" x14ac:dyDescent="0.3">
      <c r="A44" s="29">
        <v>45643</v>
      </c>
      <c r="B44" s="9" t="s">
        <v>41</v>
      </c>
      <c r="C44" s="9" t="s">
        <v>16</v>
      </c>
      <c r="D44" s="10">
        <v>20</v>
      </c>
      <c r="E44" s="17">
        <f>F44*0.5</f>
        <v>100000</v>
      </c>
      <c r="F44" s="17">
        <f>LOOKUP(1,1/('[1]PURCHASE PRICE'!$B:$B=B44)/('[1]PURCHASE PRICE'!$A:$A=A44),'[1]PURCHASE PRICE'!$D:$D)</f>
        <v>200000</v>
      </c>
      <c r="G44" s="17">
        <v>100000</v>
      </c>
      <c r="H44" s="17">
        <f t="shared" si="0"/>
        <v>2000000</v>
      </c>
    </row>
    <row r="45" spans="1:8" x14ac:dyDescent="0.3">
      <c r="A45" s="29">
        <v>45643</v>
      </c>
      <c r="B45" s="9" t="s">
        <v>42</v>
      </c>
      <c r="C45" s="9" t="s">
        <v>168</v>
      </c>
      <c r="D45" s="10">
        <v>10</v>
      </c>
      <c r="E45" s="17">
        <f>LOOKUP(1,1/('[1]PURCHASE PRICE'!$B:$B=B45)/('[1]PURCHASE PRICE'!$A:$A=A45)/('[1]PURCHASE PRICE'!$C:$C=C45),'[1]PURCHASE PRICE'!$D:$D)</f>
        <v>35000</v>
      </c>
      <c r="F45" s="17">
        <f>LOOKUP(1,1/('[1]PURCHASE PRICE'!$B:$B=B45)/('[1]PURCHASE PRICE'!$A:$A=A45),'[1]PURCHASE PRICE'!$D:$D)</f>
        <v>35000</v>
      </c>
      <c r="G45" s="17">
        <v>35000</v>
      </c>
      <c r="H45" s="17">
        <f t="shared" si="0"/>
        <v>350000</v>
      </c>
    </row>
    <row r="46" spans="1:8" x14ac:dyDescent="0.3">
      <c r="A46" s="29">
        <v>45643</v>
      </c>
      <c r="B46" s="9" t="s">
        <v>43</v>
      </c>
      <c r="C46" s="9" t="s">
        <v>168</v>
      </c>
      <c r="D46" s="10">
        <v>1</v>
      </c>
      <c r="E46" s="17">
        <f>LOOKUP(1,1/('[1]PURCHASE PRICE'!$B:$B=B46)/('[1]PURCHASE PRICE'!$A:$A=A46)/('[1]PURCHASE PRICE'!$C:$C=C46),'[1]PURCHASE PRICE'!$D:$D)</f>
        <v>100000</v>
      </c>
      <c r="F46" s="17">
        <f>LOOKUP(1,1/('[1]PURCHASE PRICE'!$B:$B=B46)/('[1]PURCHASE PRICE'!$A:$A=A46),'[1]PURCHASE PRICE'!$D:$D)</f>
        <v>100000</v>
      </c>
      <c r="G46" s="17">
        <v>100000</v>
      </c>
      <c r="H46" s="17">
        <f t="shared" si="0"/>
        <v>100000</v>
      </c>
    </row>
    <row r="47" spans="1:8" x14ac:dyDescent="0.3">
      <c r="A47" s="29">
        <v>45643</v>
      </c>
      <c r="B47" s="9" t="s">
        <v>45</v>
      </c>
      <c r="C47" s="9" t="s">
        <v>22</v>
      </c>
      <c r="D47" s="10">
        <v>480</v>
      </c>
      <c r="E47" s="17">
        <f>LOOKUP(1,1/('[1]PURCHASE PRICE'!$B:$B=B47)/('[1]PURCHASE PRICE'!$A:$A=A47)/('[1]PURCHASE PRICE'!$C:$C=C47),'[1]PURCHASE PRICE'!$D:$D)</f>
        <v>1900</v>
      </c>
      <c r="F47" s="17">
        <f>LOOKUP(1,1/('[1]PURCHASE PRICE'!$B:$B=B47)/('[1]PURCHASE PRICE'!$A:$A=A47),'[1]PURCHASE PRICE'!$D:$D)</f>
        <v>1900</v>
      </c>
      <c r="G47" s="17">
        <v>1900</v>
      </c>
      <c r="H47" s="17">
        <f t="shared" si="0"/>
        <v>912000</v>
      </c>
    </row>
    <row r="48" spans="1:8" x14ac:dyDescent="0.3">
      <c r="A48" s="29">
        <v>45643</v>
      </c>
      <c r="B48" s="9" t="s">
        <v>78</v>
      </c>
      <c r="C48" s="9" t="s">
        <v>168</v>
      </c>
      <c r="D48" s="10">
        <v>1</v>
      </c>
      <c r="E48" s="17">
        <f>LOOKUP(1,1/('[1]PURCHASE PRICE'!$B:$B=B48)/('[1]PURCHASE PRICE'!$A:$A=A48)/('[1]PURCHASE PRICE'!$C:$C=C48),'[1]PURCHASE PRICE'!$D:$D)</f>
        <v>100000</v>
      </c>
      <c r="F48" s="17">
        <f>LOOKUP(1,1/('[1]PURCHASE PRICE'!$B:$B=B48)/('[1]PURCHASE PRICE'!$A:$A=A48),'[1]PURCHASE PRICE'!$D:$D)</f>
        <v>100000</v>
      </c>
      <c r="G48" s="17">
        <v>100000</v>
      </c>
      <c r="H48" s="17">
        <f t="shared" si="0"/>
        <v>100000</v>
      </c>
    </row>
    <row r="49" spans="1:8" x14ac:dyDescent="0.3">
      <c r="A49" s="29">
        <v>45643</v>
      </c>
      <c r="B49" s="9" t="s">
        <v>46</v>
      </c>
      <c r="C49" s="9" t="s">
        <v>168</v>
      </c>
      <c r="D49" s="10">
        <v>30</v>
      </c>
      <c r="E49" s="17">
        <f>LOOKUP(1,1/('[1]PURCHASE PRICE'!$B:$B=B49)/('[1]PURCHASE PRICE'!$A:$A=A49)/('[1]PURCHASE PRICE'!$C:$C=C49),'[1]PURCHASE PRICE'!$D:$D)</f>
        <v>53000</v>
      </c>
      <c r="F49" s="17">
        <f>LOOKUP(1,1/('[1]PURCHASE PRICE'!$B:$B=B49)/('[1]PURCHASE PRICE'!$A:$A=A49),'[1]PURCHASE PRICE'!$D:$D)</f>
        <v>53000</v>
      </c>
      <c r="G49" s="17">
        <v>53000</v>
      </c>
      <c r="H49" s="17">
        <f t="shared" si="0"/>
        <v>1590000</v>
      </c>
    </row>
    <row r="50" spans="1:8" x14ac:dyDescent="0.3">
      <c r="A50" s="29">
        <v>45643</v>
      </c>
      <c r="B50" s="9" t="s">
        <v>64</v>
      </c>
      <c r="C50" s="9" t="s">
        <v>168</v>
      </c>
      <c r="D50" s="10">
        <v>20</v>
      </c>
      <c r="E50" s="17">
        <f>LOOKUP(1,1/('[1]PURCHASE PRICE'!$B:$B=B50)/('[1]PURCHASE PRICE'!$A:$A=A50)/('[1]PURCHASE PRICE'!$C:$C=C50),'[1]PURCHASE PRICE'!$D:$D)</f>
        <v>50000</v>
      </c>
      <c r="F50" s="17">
        <f>LOOKUP(1,1/('[1]PURCHASE PRICE'!$B:$B=B50)/('[1]PURCHASE PRICE'!$A:$A=A50),'[1]PURCHASE PRICE'!$D:$D)</f>
        <v>50000</v>
      </c>
      <c r="G50" s="17">
        <v>50000</v>
      </c>
      <c r="H50" s="17">
        <f t="shared" si="0"/>
        <v>1000000</v>
      </c>
    </row>
    <row r="51" spans="1:8" x14ac:dyDescent="0.3">
      <c r="A51" s="29">
        <v>45643</v>
      </c>
      <c r="B51" s="9" t="s">
        <v>47</v>
      </c>
      <c r="C51" s="9" t="s">
        <v>7</v>
      </c>
      <c r="D51" s="10">
        <v>800</v>
      </c>
      <c r="E51" s="17">
        <f>F51*0.25</f>
        <v>8000</v>
      </c>
      <c r="F51" s="17">
        <f>LOOKUP(1,1/('[1]PURCHASE PRICE'!$B:$B=B51)/('[1]PURCHASE PRICE'!$A:$A=A51),'[1]PURCHASE PRICE'!$D:$D)</f>
        <v>32000</v>
      </c>
      <c r="G51" s="17">
        <v>8000</v>
      </c>
      <c r="H51" s="17">
        <f t="shared" si="0"/>
        <v>6400000</v>
      </c>
    </row>
    <row r="52" spans="1:8" x14ac:dyDescent="0.3">
      <c r="A52" s="29">
        <v>45643</v>
      </c>
      <c r="B52" s="9" t="s">
        <v>50</v>
      </c>
      <c r="C52" s="9" t="s">
        <v>7</v>
      </c>
      <c r="D52" s="10">
        <v>300</v>
      </c>
      <c r="E52" s="17">
        <f t="shared" ref="E52:E53" si="1">F52*0.25</f>
        <v>8500</v>
      </c>
      <c r="F52" s="17">
        <f>LOOKUP(1,1/('[1]PURCHASE PRICE'!$B:$B=B52)/('[1]PURCHASE PRICE'!$A:$A=A52),'[1]PURCHASE PRICE'!$D:$D)</f>
        <v>34000</v>
      </c>
      <c r="G52" s="17">
        <v>8500</v>
      </c>
      <c r="H52" s="17">
        <f t="shared" si="0"/>
        <v>2550000</v>
      </c>
    </row>
    <row r="53" spans="1:8" x14ac:dyDescent="0.3">
      <c r="A53" s="29">
        <v>45643</v>
      </c>
      <c r="B53" s="9" t="s">
        <v>51</v>
      </c>
      <c r="C53" s="9" t="s">
        <v>7</v>
      </c>
      <c r="D53" s="10">
        <v>100</v>
      </c>
      <c r="E53" s="17">
        <f t="shared" si="1"/>
        <v>4250</v>
      </c>
      <c r="F53" s="17">
        <f>LOOKUP(1,1/('[1]PURCHASE PRICE'!$B:$B=B53)/('[1]PURCHASE PRICE'!$A:$A=A53),'[1]PURCHASE PRICE'!$D:$D)</f>
        <v>17000</v>
      </c>
      <c r="G53" s="17">
        <v>4250</v>
      </c>
      <c r="H53" s="17">
        <f t="shared" si="0"/>
        <v>425000</v>
      </c>
    </row>
    <row r="54" spans="1:8" x14ac:dyDescent="0.3">
      <c r="A54" s="29">
        <v>45643</v>
      </c>
      <c r="B54" s="9" t="s">
        <v>52</v>
      </c>
      <c r="C54" s="9" t="s">
        <v>22</v>
      </c>
      <c r="D54" s="10">
        <v>200</v>
      </c>
      <c r="E54" s="17">
        <f>LOOKUP(1,1/('[1]PURCHASE PRICE'!$B:$B=B54)/('[1]PURCHASE PRICE'!$A:$A=A54)/('[1]PURCHASE PRICE'!$C:$C=C54),'[1]PURCHASE PRICE'!$D:$D)</f>
        <v>21000</v>
      </c>
      <c r="F54" s="17">
        <v>21000</v>
      </c>
      <c r="G54" s="17">
        <v>21000</v>
      </c>
      <c r="H54" s="17">
        <f t="shared" si="0"/>
        <v>4200000</v>
      </c>
    </row>
    <row r="55" spans="1:8" x14ac:dyDescent="0.3">
      <c r="A55" s="29">
        <v>45643</v>
      </c>
      <c r="B55" s="9" t="s">
        <v>53</v>
      </c>
      <c r="C55" s="9" t="s">
        <v>168</v>
      </c>
      <c r="D55" s="10">
        <v>5</v>
      </c>
      <c r="E55" s="17">
        <f>LOOKUP(1,1/('[1]PURCHASE PRICE'!$B:$B=B55)/('[1]PURCHASE PRICE'!$A:$A=A55)/('[1]PURCHASE PRICE'!$C:$C=C55),'[1]PURCHASE PRICE'!$D:$D)</f>
        <v>35000</v>
      </c>
      <c r="F55" s="17">
        <f>LOOKUP(1,1/('[1]PURCHASE PRICE'!$B:$B=B55)/('[1]PURCHASE PRICE'!$A:$A=A55),'[1]PURCHASE PRICE'!$D:$D)</f>
        <v>35000</v>
      </c>
      <c r="G55" s="17">
        <v>35000</v>
      </c>
      <c r="H55" s="17">
        <f t="shared" si="0"/>
        <v>175000</v>
      </c>
    </row>
    <row r="56" spans="1:8" x14ac:dyDescent="0.3">
      <c r="A56" s="29">
        <v>45643</v>
      </c>
      <c r="B56" s="9" t="s">
        <v>54</v>
      </c>
      <c r="C56" s="9" t="s">
        <v>168</v>
      </c>
      <c r="D56" s="10">
        <v>60</v>
      </c>
      <c r="E56" s="17">
        <f>LOOKUP(1,1/('[1]PURCHASE PRICE'!$B:$B=B56)/('[1]PURCHASE PRICE'!$A:$A=A56)/('[1]PURCHASE PRICE'!$C:$C=C56),'[1]PURCHASE PRICE'!$D:$D)</f>
        <v>17000</v>
      </c>
      <c r="F56" s="17">
        <f>LOOKUP(1,1/('[1]PURCHASE PRICE'!$B:$B=B56)/('[1]PURCHASE PRICE'!$A:$A=A56),'[1]PURCHASE PRICE'!$D:$D)</f>
        <v>17000</v>
      </c>
      <c r="G56" s="17">
        <v>17000</v>
      </c>
      <c r="H56" s="17">
        <f t="shared" si="0"/>
        <v>1020000</v>
      </c>
    </row>
    <row r="57" spans="1:8" x14ac:dyDescent="0.3">
      <c r="A57" s="29">
        <v>45643</v>
      </c>
      <c r="B57" s="9" t="s">
        <v>55</v>
      </c>
      <c r="C57" s="9" t="s">
        <v>25</v>
      </c>
      <c r="D57" s="10">
        <v>120</v>
      </c>
      <c r="E57" s="17">
        <f>LOOKUP(1,1/('[1]PURCHASE PRICE'!$B:$B=B57)/('[1]PURCHASE PRICE'!$A:$A=A57)/('[1]PURCHASE PRICE'!$C:$C=C57),'[1]PURCHASE PRICE'!$D:$D)</f>
        <v>6000</v>
      </c>
      <c r="F57" s="17">
        <f>LOOKUP(1,1/('[1]PURCHASE PRICE'!$B:$B=B57)/('[1]PURCHASE PRICE'!$A:$A=A57),'[1]PURCHASE PRICE'!$D:$D)</f>
        <v>6000</v>
      </c>
      <c r="G57" s="17">
        <v>6000</v>
      </c>
      <c r="H57" s="17">
        <f t="shared" si="0"/>
        <v>720000</v>
      </c>
    </row>
    <row r="58" spans="1:8" x14ac:dyDescent="0.3">
      <c r="A58" s="29">
        <v>45643</v>
      </c>
      <c r="B58" s="9" t="s">
        <v>56</v>
      </c>
      <c r="C58" s="9" t="s">
        <v>168</v>
      </c>
      <c r="D58" s="10">
        <v>40</v>
      </c>
      <c r="E58" s="17">
        <f>LOOKUP(1,1/('[1]PURCHASE PRICE'!$B:$B=B58)/('[1]PURCHASE PRICE'!$A:$A=A58)/('[1]PURCHASE PRICE'!$C:$C=C58),'[1]PURCHASE PRICE'!$D:$D)</f>
        <v>28000</v>
      </c>
      <c r="F58" s="17">
        <f>LOOKUP(1,1/('[1]PURCHASE PRICE'!$B:$B=B58)/('[1]PURCHASE PRICE'!$A:$A=A58),'[1]PURCHASE PRICE'!$D:$D)</f>
        <v>28000</v>
      </c>
      <c r="G58" s="17">
        <v>28000</v>
      </c>
      <c r="H58" s="17">
        <f t="shared" si="0"/>
        <v>1120000</v>
      </c>
    </row>
    <row r="59" spans="1:8" x14ac:dyDescent="0.3">
      <c r="A59" s="29">
        <v>45643</v>
      </c>
      <c r="B59" s="9" t="s">
        <v>57</v>
      </c>
      <c r="C59" s="9" t="s">
        <v>25</v>
      </c>
      <c r="D59" s="10">
        <v>10</v>
      </c>
      <c r="E59" s="17">
        <f>LOOKUP(1,1/('[1]PURCHASE PRICE'!$B:$B=B59)/('[1]PURCHASE PRICE'!$A:$A=A59)/('[1]PURCHASE PRICE'!$C:$C=C59),'[1]PURCHASE PRICE'!$D:$D)</f>
        <v>6800</v>
      </c>
      <c r="F59" s="17">
        <f>LOOKUP(1,1/('[1]PURCHASE PRICE'!$B:$B=B59)/('[1]PURCHASE PRICE'!$A:$A=A59),'[1]PURCHASE PRICE'!$D:$D)</f>
        <v>6800</v>
      </c>
      <c r="G59" s="17">
        <v>6800</v>
      </c>
      <c r="H59" s="17">
        <f t="shared" si="0"/>
        <v>68000</v>
      </c>
    </row>
    <row r="60" spans="1:8" x14ac:dyDescent="0.3">
      <c r="A60" s="29">
        <v>45643</v>
      </c>
      <c r="B60" s="9" t="s">
        <v>58</v>
      </c>
      <c r="C60" s="9" t="s">
        <v>168</v>
      </c>
      <c r="D60" s="10">
        <v>28</v>
      </c>
      <c r="E60" s="17">
        <f>LOOKUP(1,1/('[1]PURCHASE PRICE'!$B:$B=B60)/('[1]PURCHASE PRICE'!$A:$A=A60)/('[1]PURCHASE PRICE'!$C:$C=C60),'[1]PURCHASE PRICE'!$D:$D)</f>
        <v>14000</v>
      </c>
      <c r="F60" s="17">
        <f>LOOKUP(1,1/('[1]PURCHASE PRICE'!$B:$B=B60)/('[1]PURCHASE PRICE'!$A:$A=A60),'[1]PURCHASE PRICE'!$D:$D)</f>
        <v>14000</v>
      </c>
      <c r="G60" s="17">
        <v>14000</v>
      </c>
      <c r="H60" s="17">
        <f t="shared" si="0"/>
        <v>392000</v>
      </c>
    </row>
    <row r="61" spans="1:8" x14ac:dyDescent="0.3">
      <c r="A61" s="29">
        <v>45643</v>
      </c>
      <c r="B61" s="9" t="s">
        <v>59</v>
      </c>
      <c r="C61" s="9" t="s">
        <v>168</v>
      </c>
      <c r="D61" s="10">
        <v>2</v>
      </c>
      <c r="E61" s="17">
        <f>LOOKUP(1,1/('[1]PURCHASE PRICE'!$B:$B=B61)/('[1]PURCHASE PRICE'!$A:$A=A61)/('[1]PURCHASE PRICE'!$C:$C=C61),'[1]PURCHASE PRICE'!$D:$D)</f>
        <v>140000</v>
      </c>
      <c r="F61" s="17">
        <f>LOOKUP(1,1/('[1]PURCHASE PRICE'!$B:$B=B61)/('[1]PURCHASE PRICE'!$A:$A=A61),'[1]PURCHASE PRICE'!$D:$D)</f>
        <v>140000</v>
      </c>
      <c r="G61" s="17">
        <v>140000</v>
      </c>
      <c r="H61" s="17">
        <f t="shared" si="0"/>
        <v>280000</v>
      </c>
    </row>
    <row r="62" spans="1:8" x14ac:dyDescent="0.3">
      <c r="A62" s="29">
        <v>45643</v>
      </c>
      <c r="B62" s="9" t="s">
        <v>61</v>
      </c>
      <c r="C62" s="9" t="s">
        <v>25</v>
      </c>
      <c r="D62" s="10">
        <v>10</v>
      </c>
      <c r="E62" s="17">
        <f>LOOKUP(1,1/('[1]PURCHASE PRICE'!$B:$B=B62)/('[1]PURCHASE PRICE'!$A:$A=A62)/('[1]PURCHASE PRICE'!$C:$C=C62),'[1]PURCHASE PRICE'!$D:$D)</f>
        <v>6800</v>
      </c>
      <c r="F62" s="17">
        <f>LOOKUP(1,1/('[1]PURCHASE PRICE'!$B:$B=B62)/('[1]PURCHASE PRICE'!$A:$A=A62),'[1]PURCHASE PRICE'!$D:$D)</f>
        <v>6800</v>
      </c>
      <c r="G62" s="17">
        <v>6800</v>
      </c>
      <c r="H62" s="17">
        <f t="shared" si="0"/>
        <v>68000</v>
      </c>
    </row>
    <row r="63" spans="1:8" x14ac:dyDescent="0.3">
      <c r="A63" s="29">
        <v>45643</v>
      </c>
      <c r="B63" s="9" t="s">
        <v>19</v>
      </c>
      <c r="C63" s="9" t="s">
        <v>189</v>
      </c>
      <c r="D63" s="10">
        <v>5</v>
      </c>
      <c r="E63" s="17">
        <f>LOOKUP(1,1/('[1]PURCHASE PRICE'!$B:$B=B63)/('[1]PURCHASE PRICE'!$A:$A=A63)/('[1]PURCHASE PRICE'!$C:$C=C63),'[1]PURCHASE PRICE'!$D:$D)</f>
        <v>12000</v>
      </c>
      <c r="F63" s="17">
        <f>LOOKUP(1,1/('[1]PURCHASE PRICE'!$B:$B=B63)/('[1]PURCHASE PRICE'!$A:$A=A63),'[1]PURCHASE PRICE'!$D:$D)</f>
        <v>12000</v>
      </c>
      <c r="G63" s="17">
        <v>12000</v>
      </c>
      <c r="H63" s="17">
        <f t="shared" si="0"/>
        <v>60000</v>
      </c>
    </row>
    <row r="64" spans="1:8" x14ac:dyDescent="0.3">
      <c r="A64" s="29">
        <v>45643</v>
      </c>
      <c r="B64" s="9" t="s">
        <v>210</v>
      </c>
      <c r="C64" s="9" t="s">
        <v>189</v>
      </c>
      <c r="D64" s="10">
        <v>20</v>
      </c>
      <c r="E64" s="17">
        <f>F64*2</f>
        <v>15000</v>
      </c>
      <c r="F64" s="17">
        <f>LOOKUP(1,1/('[1]PURCHASE PRICE'!$B:$B=B64)/('[1]PURCHASE PRICE'!$A:$A=A64),'[1]PURCHASE PRICE'!$D:$D)</f>
        <v>7500</v>
      </c>
      <c r="G64" s="17">
        <v>15000</v>
      </c>
      <c r="H64" s="17">
        <f t="shared" si="0"/>
        <v>300000</v>
      </c>
    </row>
    <row r="65" spans="1:8" x14ac:dyDescent="0.3">
      <c r="A65" s="29">
        <v>45643</v>
      </c>
      <c r="B65" s="9" t="s">
        <v>13</v>
      </c>
      <c r="C65" s="9" t="s">
        <v>189</v>
      </c>
      <c r="D65" s="10">
        <v>12</v>
      </c>
      <c r="E65" s="17">
        <f>F65/0.3</f>
        <v>30000</v>
      </c>
      <c r="F65" s="17">
        <f>LOOKUP(1,1/('[1]PURCHASE PRICE'!$B:$B=B65)/('[1]PURCHASE PRICE'!$A:$A=A65),'[1]PURCHASE PRICE'!$D:$D)</f>
        <v>9000</v>
      </c>
      <c r="G65" s="17">
        <v>30000</v>
      </c>
      <c r="H65" s="17">
        <f t="shared" si="0"/>
        <v>360000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/>
  <dimension ref="A1:H52"/>
  <sheetViews>
    <sheetView workbookViewId="0">
      <selection activeCell="B42" sqref="B42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14.44140625" style="18" bestFit="1" customWidth="1"/>
    <col min="5" max="5" width="13" style="18" bestFit="1" customWidth="1"/>
    <col min="6" max="6" width="11.44140625" style="18" customWidth="1"/>
    <col min="7" max="7" width="11.5546875" style="21" bestFit="1" customWidth="1"/>
    <col min="8" max="8" width="15.44140625" style="21" bestFit="1" customWidth="1"/>
    <col min="9" max="16384" width="8.88671875" style="18"/>
  </cols>
  <sheetData>
    <row r="1" spans="1:8" ht="15.6" x14ac:dyDescent="0.3">
      <c r="B1" s="18" t="s">
        <v>208</v>
      </c>
      <c r="C1" s="24">
        <v>45642</v>
      </c>
      <c r="H1" s="35">
        <f>SUM(H3:H52)</f>
        <v>41451150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45642</v>
      </c>
      <c r="B3" s="9" t="s">
        <v>0</v>
      </c>
      <c r="C3" s="9" t="s">
        <v>168</v>
      </c>
      <c r="D3" s="10">
        <v>0</v>
      </c>
      <c r="E3" s="46">
        <v>0</v>
      </c>
      <c r="F3" s="46">
        <v>0</v>
      </c>
      <c r="G3" s="17">
        <v>0</v>
      </c>
      <c r="H3" s="17">
        <f>G3*D3</f>
        <v>0</v>
      </c>
    </row>
    <row r="4" spans="1:8" x14ac:dyDescent="0.3">
      <c r="A4" s="29">
        <v>45642</v>
      </c>
      <c r="B4" s="9" t="s">
        <v>72</v>
      </c>
      <c r="C4" s="9" t="s">
        <v>168</v>
      </c>
      <c r="D4" s="10">
        <v>40</v>
      </c>
      <c r="E4" s="17">
        <f>LOOKUP(1,1/('[1]PURCHASE PRICE'!$B:$B=B4)/('[1]PURCHASE PRICE'!$A:$A=A4)/('[1]PURCHASE PRICE'!$C:$C=C4),'[1]PURCHASE PRICE'!$D:$D)</f>
        <v>5500</v>
      </c>
      <c r="F4" s="17">
        <f>LOOKUP(1,1/('[1]PURCHASE PRICE'!$B:$B=B4)/('[1]PURCHASE PRICE'!$A:$A=A4),'[1]PURCHASE PRICE'!$D:$D)</f>
        <v>5500</v>
      </c>
      <c r="G4" s="17">
        <v>5500</v>
      </c>
      <c r="H4" s="17">
        <f t="shared" ref="H4:H51" si="0">G4*D4</f>
        <v>220000</v>
      </c>
    </row>
    <row r="5" spans="1:8" x14ac:dyDescent="0.3">
      <c r="A5" s="29">
        <v>45642</v>
      </c>
      <c r="B5" s="9" t="s">
        <v>67</v>
      </c>
      <c r="C5" s="9" t="s">
        <v>168</v>
      </c>
      <c r="D5" s="10">
        <v>24</v>
      </c>
      <c r="E5" s="17">
        <f>LOOKUP(1,1/('[1]PURCHASE PRICE'!$B:$B=B5)/('[1]PURCHASE PRICE'!$A:$A=A5)/('[1]PURCHASE PRICE'!$C:$C=C5),'[1]PURCHASE PRICE'!$D:$D)</f>
        <v>5500</v>
      </c>
      <c r="F5" s="17">
        <f>LOOKUP(1,1/('[1]PURCHASE PRICE'!$B:$B=B5)/('[1]PURCHASE PRICE'!$A:$A=A5),'[1]PURCHASE PRICE'!$D:$D)</f>
        <v>5500</v>
      </c>
      <c r="G5" s="17">
        <v>5500</v>
      </c>
      <c r="H5" s="17">
        <f t="shared" si="0"/>
        <v>132000</v>
      </c>
    </row>
    <row r="6" spans="1:8" x14ac:dyDescent="0.3">
      <c r="A6" s="29">
        <v>45642</v>
      </c>
      <c r="B6" s="9" t="s">
        <v>65</v>
      </c>
      <c r="C6" s="9" t="s">
        <v>168</v>
      </c>
      <c r="D6" s="10">
        <v>10</v>
      </c>
      <c r="E6" s="17">
        <f>LOOKUP(1,1/('[1]PURCHASE PRICE'!$B:$B=B6)/('[1]PURCHASE PRICE'!$A:$A=A6)/('[1]PURCHASE PRICE'!$C:$C=C6),'[1]PURCHASE PRICE'!$D:$D)</f>
        <v>10000</v>
      </c>
      <c r="F6" s="17">
        <f>LOOKUP(1,1/('[1]PURCHASE PRICE'!$B:$B=B6)/('[1]PURCHASE PRICE'!$A:$A=A6),'[1]PURCHASE PRICE'!$D:$D)</f>
        <v>10000</v>
      </c>
      <c r="G6" s="17">
        <v>10000</v>
      </c>
      <c r="H6" s="17">
        <f t="shared" si="0"/>
        <v>100000</v>
      </c>
    </row>
    <row r="7" spans="1:8" x14ac:dyDescent="0.3">
      <c r="A7" s="29">
        <v>45642</v>
      </c>
      <c r="B7" s="9" t="s">
        <v>73</v>
      </c>
      <c r="C7" s="9" t="s">
        <v>168</v>
      </c>
      <c r="D7" s="10">
        <v>20</v>
      </c>
      <c r="E7" s="17">
        <f>LOOKUP(1,1/('[1]PURCHASE PRICE'!$B:$B=B7)/('[1]PURCHASE PRICE'!$A:$A=A7)/('[1]PURCHASE PRICE'!$C:$C=C7),'[1]PURCHASE PRICE'!$D:$D)</f>
        <v>7000</v>
      </c>
      <c r="F7" s="17">
        <f>LOOKUP(1,1/('[1]PURCHASE PRICE'!$B:$B=B7)/('[1]PURCHASE PRICE'!$A:$A=A7),'[1]PURCHASE PRICE'!$D:$D)</f>
        <v>7000</v>
      </c>
      <c r="G7" s="17">
        <v>7000</v>
      </c>
      <c r="H7" s="17">
        <f t="shared" si="0"/>
        <v>140000</v>
      </c>
    </row>
    <row r="8" spans="1:8" x14ac:dyDescent="0.3">
      <c r="A8" s="29">
        <v>45642</v>
      </c>
      <c r="B8" s="9" t="s">
        <v>2</v>
      </c>
      <c r="C8" s="9" t="s">
        <v>168</v>
      </c>
      <c r="D8" s="10">
        <v>0</v>
      </c>
      <c r="E8" s="17">
        <v>0</v>
      </c>
      <c r="F8" s="17">
        <v>0</v>
      </c>
      <c r="G8" s="17">
        <v>0</v>
      </c>
      <c r="H8" s="17">
        <f t="shared" si="0"/>
        <v>0</v>
      </c>
    </row>
    <row r="9" spans="1:8" x14ac:dyDescent="0.3">
      <c r="A9" s="29">
        <v>45642</v>
      </c>
      <c r="B9" s="9" t="s">
        <v>3</v>
      </c>
      <c r="C9" s="9" t="s">
        <v>168</v>
      </c>
      <c r="D9" s="10">
        <v>32</v>
      </c>
      <c r="E9" s="17">
        <v>16000</v>
      </c>
      <c r="F9" s="17">
        <v>16000</v>
      </c>
      <c r="G9" s="17">
        <v>16000</v>
      </c>
      <c r="H9" s="17">
        <f t="shared" si="0"/>
        <v>512000</v>
      </c>
    </row>
    <row r="10" spans="1:8" x14ac:dyDescent="0.3">
      <c r="A10" s="29">
        <v>45642</v>
      </c>
      <c r="B10" s="9" t="s">
        <v>3</v>
      </c>
      <c r="C10" s="9" t="s">
        <v>7</v>
      </c>
      <c r="D10" s="10">
        <v>58</v>
      </c>
      <c r="E10" s="17">
        <f>F10*0.3</f>
        <v>4800</v>
      </c>
      <c r="F10" s="17">
        <v>16000</v>
      </c>
      <c r="G10" s="62">
        <v>4800</v>
      </c>
      <c r="H10" s="17">
        <f>G10*D10</f>
        <v>278400</v>
      </c>
    </row>
    <row r="11" spans="1:8" x14ac:dyDescent="0.3">
      <c r="A11" s="29">
        <v>45642</v>
      </c>
      <c r="B11" s="9" t="s">
        <v>5</v>
      </c>
      <c r="C11" s="9" t="s">
        <v>7</v>
      </c>
      <c r="D11" s="10">
        <v>100</v>
      </c>
      <c r="E11" s="17">
        <f>F11*0.3</f>
        <v>3000</v>
      </c>
      <c r="F11" s="17">
        <f>LOOKUP(1,1/('[1]PURCHASE PRICE'!$B:$B=B11)/('[1]PURCHASE PRICE'!$A:$A=A11),'[1]PURCHASE PRICE'!$D:$D)</f>
        <v>10000</v>
      </c>
      <c r="G11" s="62">
        <v>3000</v>
      </c>
      <c r="H11" s="17">
        <f t="shared" si="0"/>
        <v>300000</v>
      </c>
    </row>
    <row r="12" spans="1:8" x14ac:dyDescent="0.3">
      <c r="A12" s="29">
        <v>45642</v>
      </c>
      <c r="B12" s="9" t="s">
        <v>6</v>
      </c>
      <c r="C12" s="9" t="s">
        <v>168</v>
      </c>
      <c r="D12" s="10">
        <v>50</v>
      </c>
      <c r="E12" s="17">
        <f>LOOKUP(1,1/('[1]PURCHASE PRICE'!$B:$B=B12)/('[1]PURCHASE PRICE'!$A:$A=A12)/('[1]PURCHASE PRICE'!$C:$C=C12),'[1]PURCHASE PRICE'!$D:$D)</f>
        <v>60000</v>
      </c>
      <c r="F12" s="17">
        <f>LOOKUP(1,1/('[1]PURCHASE PRICE'!$B:$B=B12)/('[1]PURCHASE PRICE'!$A:$A=A12),'[1]PURCHASE PRICE'!$D:$D)</f>
        <v>60000</v>
      </c>
      <c r="G12" s="17">
        <v>60000</v>
      </c>
      <c r="H12" s="17">
        <f t="shared" si="0"/>
        <v>3000000</v>
      </c>
    </row>
    <row r="13" spans="1:8" x14ac:dyDescent="0.3">
      <c r="A13" s="29">
        <v>45642</v>
      </c>
      <c r="B13" s="9" t="s">
        <v>8</v>
      </c>
      <c r="C13" s="9" t="s">
        <v>11</v>
      </c>
      <c r="D13" s="10">
        <v>100</v>
      </c>
      <c r="E13" s="17">
        <f>LOOKUP(1,1/('[1]PURCHASE PRICE'!$B:$B=B13)/('[1]PURCHASE PRICE'!$A:$A=A13)/('[1]PURCHASE PRICE'!$C:$C=C13),'[1]PURCHASE PRICE'!$D:$D)</f>
        <v>7600</v>
      </c>
      <c r="F13" s="17">
        <f>LOOKUP(1,1/('[1]PURCHASE PRICE'!$B:$B=B13)/('[1]PURCHASE PRICE'!$A:$A=A13),'[1]PURCHASE PRICE'!$D:$D)</f>
        <v>7600</v>
      </c>
      <c r="G13" s="17">
        <v>7600</v>
      </c>
      <c r="H13" s="17">
        <f t="shared" si="0"/>
        <v>760000</v>
      </c>
    </row>
    <row r="14" spans="1:8" x14ac:dyDescent="0.3">
      <c r="A14" s="29">
        <v>45642</v>
      </c>
      <c r="B14" s="9" t="s">
        <v>9</v>
      </c>
      <c r="C14" s="9" t="s">
        <v>168</v>
      </c>
      <c r="D14" s="10">
        <v>0</v>
      </c>
      <c r="E14" s="17">
        <f>LOOKUP(1,1/('[1]PURCHASE PRICE'!$B:$B=B14)/('[1]PURCHASE PRICE'!$A:$A=A14)/('[1]PURCHASE PRICE'!$C:$C=C14),'[1]PURCHASE PRICE'!$D:$D)</f>
        <v>23000</v>
      </c>
      <c r="F14" s="17">
        <f>LOOKUP(1,1/('[1]PURCHASE PRICE'!$B:$B=B14)/('[1]PURCHASE PRICE'!$A:$A=A14),'[1]PURCHASE PRICE'!$D:$D)</f>
        <v>23000</v>
      </c>
      <c r="G14" s="17">
        <v>23000</v>
      </c>
      <c r="H14" s="17">
        <f t="shared" si="0"/>
        <v>0</v>
      </c>
    </row>
    <row r="15" spans="1:8" x14ac:dyDescent="0.3">
      <c r="A15" s="29">
        <v>45642</v>
      </c>
      <c r="B15" s="9" t="s">
        <v>10</v>
      </c>
      <c r="C15" s="9" t="s">
        <v>168</v>
      </c>
      <c r="D15" s="10">
        <v>100</v>
      </c>
      <c r="E15" s="17">
        <f>LOOKUP(1,1/('[1]PURCHASE PRICE'!$B:$B=B15)/('[1]PURCHASE PRICE'!$A:$A=A15)/('[1]PURCHASE PRICE'!$C:$C=C15),'[1]PURCHASE PRICE'!$D:$D)</f>
        <v>17000</v>
      </c>
      <c r="F15" s="17">
        <f>LOOKUP(1,1/('[1]PURCHASE PRICE'!$B:$B=B15)/('[1]PURCHASE PRICE'!$A:$A=A15),'[1]PURCHASE PRICE'!$D:$D)</f>
        <v>17000</v>
      </c>
      <c r="G15" s="17">
        <v>17000</v>
      </c>
      <c r="H15" s="17">
        <f t="shared" si="0"/>
        <v>1700000</v>
      </c>
    </row>
    <row r="16" spans="1:8" x14ac:dyDescent="0.3">
      <c r="A16" s="29">
        <v>45642</v>
      </c>
      <c r="B16" s="9" t="s">
        <v>10</v>
      </c>
      <c r="C16" s="9" t="s">
        <v>12</v>
      </c>
      <c r="D16" s="10">
        <v>130</v>
      </c>
      <c r="E16" s="17">
        <f>LOOKUP(1,1/('[1]PURCHASE PRICE'!$B:$B=B16)/('[1]PURCHASE PRICE'!$A:$A=A16)/('[1]PURCHASE PRICE'!$C:$C=C16),'[1]PURCHASE PRICE'!$D:$D)</f>
        <v>9500</v>
      </c>
      <c r="F16" s="17">
        <f>LOOKUP(1,1/('[1]PURCHASE PRICE'!$B:$B=B16)/('[1]PURCHASE PRICE'!$A:$A=A16),'[1]PURCHASE PRICE'!$D:$D)</f>
        <v>17000</v>
      </c>
      <c r="G16" s="17">
        <v>9500</v>
      </c>
      <c r="H16" s="17">
        <f t="shared" si="0"/>
        <v>1235000</v>
      </c>
    </row>
    <row r="17" spans="1:8" x14ac:dyDescent="0.3">
      <c r="A17" s="29">
        <v>45642</v>
      </c>
      <c r="B17" s="9" t="s">
        <v>13</v>
      </c>
      <c r="C17" s="9" t="s">
        <v>14</v>
      </c>
      <c r="D17" s="10">
        <v>100</v>
      </c>
      <c r="E17" s="17">
        <f>LOOKUP(1,1/('[1]PURCHASE PRICE'!$B:$B=B17)/('[1]PURCHASE PRICE'!$A:$A=A17)/('[1]PURCHASE PRICE'!$C:$C=C17),'[1]PURCHASE PRICE'!$D:$D)</f>
        <v>9000</v>
      </c>
      <c r="F17" s="17">
        <f>LOOKUP(1,1/('[1]PURCHASE PRICE'!$B:$B=B17)/('[1]PURCHASE PRICE'!$A:$A=A17),'[1]PURCHASE PRICE'!$D:$D)</f>
        <v>9000</v>
      </c>
      <c r="G17" s="17">
        <v>9000</v>
      </c>
      <c r="H17" s="17">
        <f t="shared" si="0"/>
        <v>900000</v>
      </c>
    </row>
    <row r="18" spans="1:8" x14ac:dyDescent="0.3">
      <c r="A18" s="29">
        <v>45642</v>
      </c>
      <c r="B18" s="9" t="s">
        <v>15</v>
      </c>
      <c r="C18" s="9" t="s">
        <v>16</v>
      </c>
      <c r="D18" s="10">
        <v>80</v>
      </c>
      <c r="E18" s="17">
        <f>LOOKUP(1,1/('[1]PURCHASE PRICE'!$B:$B=B18)/('[1]PURCHASE PRICE'!$A:$A=A18)/('[1]PURCHASE PRICE'!$C:$C=C18),'[1]PURCHASE PRICE'!$D:$D)</f>
        <v>16500</v>
      </c>
      <c r="F18" s="17">
        <f>LOOKUP(1,1/('[1]PURCHASE PRICE'!$B:$B=B18)/('[1]PURCHASE PRICE'!$A:$A=A18),'[1]PURCHASE PRICE'!$D:$D)</f>
        <v>16500</v>
      </c>
      <c r="G18" s="17">
        <v>16500</v>
      </c>
      <c r="H18" s="17">
        <f t="shared" si="0"/>
        <v>1320000</v>
      </c>
    </row>
    <row r="19" spans="1:8" x14ac:dyDescent="0.3">
      <c r="A19" s="29">
        <v>45642</v>
      </c>
      <c r="B19" s="9" t="s">
        <v>17</v>
      </c>
      <c r="C19" s="9" t="s">
        <v>14</v>
      </c>
      <c r="D19" s="10">
        <v>40</v>
      </c>
      <c r="E19" s="17">
        <f>LOOKUP(1,1/('[1]PURCHASE PRICE'!$B:$B=B19)/('[1]PURCHASE PRICE'!$A:$A=A19)/('[1]PURCHASE PRICE'!$C:$C=C19),'[1]PURCHASE PRICE'!$D:$D)</f>
        <v>15600</v>
      </c>
      <c r="F19" s="17">
        <f>LOOKUP(1,1/('[1]PURCHASE PRICE'!$B:$B=B19)/('[1]PURCHASE PRICE'!$A:$A=A19),'[1]PURCHASE PRICE'!$D:$D)</f>
        <v>15600</v>
      </c>
      <c r="G19" s="17">
        <v>15600</v>
      </c>
      <c r="H19" s="17">
        <f t="shared" si="0"/>
        <v>624000</v>
      </c>
    </row>
    <row r="20" spans="1:8" x14ac:dyDescent="0.3">
      <c r="A20" s="29">
        <v>45642</v>
      </c>
      <c r="B20" s="9" t="s">
        <v>19</v>
      </c>
      <c r="C20" s="9" t="s">
        <v>168</v>
      </c>
      <c r="D20" s="10">
        <v>40</v>
      </c>
      <c r="E20" s="17">
        <f>LOOKUP(1,1/('[1]PURCHASE PRICE'!$B:$B=B20)/('[1]PURCHASE PRICE'!$A:$A=A20)/('[1]PURCHASE PRICE'!$C:$C=C20),'[1]PURCHASE PRICE'!$D:$D)</f>
        <v>14000</v>
      </c>
      <c r="F20" s="17">
        <f>LOOKUP(1,1/('[1]PURCHASE PRICE'!$B:$B=B20)/('[1]PURCHASE PRICE'!$A:$A=A20),'[1]PURCHASE PRICE'!$D:$D)</f>
        <v>14000</v>
      </c>
      <c r="G20" s="17">
        <v>14000</v>
      </c>
      <c r="H20" s="17">
        <f t="shared" si="0"/>
        <v>560000</v>
      </c>
    </row>
    <row r="21" spans="1:8" x14ac:dyDescent="0.3">
      <c r="A21" s="29">
        <v>45642</v>
      </c>
      <c r="B21" s="9" t="s">
        <v>20</v>
      </c>
      <c r="C21" s="9" t="s">
        <v>11</v>
      </c>
      <c r="D21" s="10">
        <v>70</v>
      </c>
      <c r="E21" s="17">
        <f>LOOKUP(1,1/('[1]PURCHASE PRICE'!$B:$B=B21)/('[1]PURCHASE PRICE'!$A:$A=A21)/('[1]PURCHASE PRICE'!$C:$C=C21),'[1]PURCHASE PRICE'!$D:$D)</f>
        <v>9000</v>
      </c>
      <c r="F21" s="17">
        <f>LOOKUP(1,1/('[1]PURCHASE PRICE'!$B:$B=B21)/('[1]PURCHASE PRICE'!$A:$A=A21),'[1]PURCHASE PRICE'!$D:$D)</f>
        <v>9000</v>
      </c>
      <c r="G21" s="17">
        <v>9000</v>
      </c>
      <c r="H21" s="17">
        <f t="shared" si="0"/>
        <v>630000</v>
      </c>
    </row>
    <row r="22" spans="1:8" x14ac:dyDescent="0.3">
      <c r="A22" s="29">
        <v>45642</v>
      </c>
      <c r="B22" s="9" t="s">
        <v>71</v>
      </c>
      <c r="C22" s="9" t="s">
        <v>168</v>
      </c>
      <c r="D22" s="10">
        <v>40</v>
      </c>
      <c r="E22" s="17">
        <f>LOOKUP(1,1/('[1]PURCHASE PRICE'!$B:$B=B22)/('[1]PURCHASE PRICE'!$A:$A=A22)/('[1]PURCHASE PRICE'!$C:$C=C22),'[1]PURCHASE PRICE'!$D:$D)</f>
        <v>11000</v>
      </c>
      <c r="F22" s="17">
        <f>LOOKUP(1,1/('[1]PURCHASE PRICE'!$B:$B=B22)/('[1]PURCHASE PRICE'!$A:$A=A22),'[1]PURCHASE PRICE'!$D:$D)</f>
        <v>11000</v>
      </c>
      <c r="G22" s="17">
        <v>11000</v>
      </c>
      <c r="H22" s="17">
        <f t="shared" si="0"/>
        <v>440000</v>
      </c>
    </row>
    <row r="23" spans="1:8" x14ac:dyDescent="0.3">
      <c r="A23" s="29">
        <v>45642</v>
      </c>
      <c r="B23" s="9" t="s">
        <v>63</v>
      </c>
      <c r="C23" s="9" t="s">
        <v>168</v>
      </c>
      <c r="D23" s="10">
        <v>60</v>
      </c>
      <c r="E23" s="17">
        <f>LOOKUP(1,1/('[1]PURCHASE PRICE'!$B:$B=B23)/('[1]PURCHASE PRICE'!$A:$A=A23)/('[1]PURCHASE PRICE'!$C:$C=C23),'[1]PURCHASE PRICE'!$D:$D)</f>
        <v>20000</v>
      </c>
      <c r="F23" s="17">
        <f>LOOKUP(1,1/('[1]PURCHASE PRICE'!$B:$B=B23)/('[1]PURCHASE PRICE'!$A:$A=A23),'[1]PURCHASE PRICE'!$D:$D)</f>
        <v>20000</v>
      </c>
      <c r="G23" s="17">
        <v>20000</v>
      </c>
      <c r="H23" s="17">
        <f t="shared" si="0"/>
        <v>1200000</v>
      </c>
    </row>
    <row r="24" spans="1:8" x14ac:dyDescent="0.3">
      <c r="A24" s="29">
        <v>45642</v>
      </c>
      <c r="B24" s="9" t="s">
        <v>21</v>
      </c>
      <c r="C24" s="9" t="s">
        <v>22</v>
      </c>
      <c r="D24" s="10">
        <v>120</v>
      </c>
      <c r="E24" s="17">
        <f>LOOKUP(1,1/('[1]PURCHASE PRICE'!$B:$B=B24)/('[1]PURCHASE PRICE'!$A:$A=A24)/('[1]PURCHASE PRICE'!$C:$C=C24),'[1]PURCHASE PRICE'!$D:$D)</f>
        <v>4300</v>
      </c>
      <c r="F24" s="17">
        <f>LOOKUP(1,1/('[1]PURCHASE PRICE'!$B:$B=B24)/('[1]PURCHASE PRICE'!$A:$A=A24),'[1]PURCHASE PRICE'!$D:$D)</f>
        <v>4300</v>
      </c>
      <c r="G24" s="17">
        <v>4300</v>
      </c>
      <c r="H24" s="17">
        <f t="shared" si="0"/>
        <v>516000</v>
      </c>
    </row>
    <row r="25" spans="1:8" x14ac:dyDescent="0.3">
      <c r="A25" s="29">
        <v>45642</v>
      </c>
      <c r="B25" s="9" t="s">
        <v>69</v>
      </c>
      <c r="C25" s="9" t="s">
        <v>168</v>
      </c>
      <c r="D25" s="10">
        <v>10</v>
      </c>
      <c r="E25" s="17">
        <f>LOOKUP(1,1/('[1]PURCHASE PRICE'!$B:$B=B25)/('[1]PURCHASE PRICE'!$A:$A=A25)/('[1]PURCHASE PRICE'!$C:$C=C25),'[1]PURCHASE PRICE'!$D:$D)</f>
        <v>5500</v>
      </c>
      <c r="F25" s="17">
        <f>LOOKUP(1,1/('[1]PURCHASE PRICE'!$B:$B=B25)/('[1]PURCHASE PRICE'!$A:$A=A25),'[1]PURCHASE PRICE'!$D:$D)</f>
        <v>5500</v>
      </c>
      <c r="G25" s="17">
        <v>5500</v>
      </c>
      <c r="H25" s="17">
        <f t="shared" si="0"/>
        <v>55000</v>
      </c>
    </row>
    <row r="26" spans="1:8" x14ac:dyDescent="0.3">
      <c r="A26" s="29">
        <v>45642</v>
      </c>
      <c r="B26" s="9" t="s">
        <v>24</v>
      </c>
      <c r="C26" s="9" t="s">
        <v>25</v>
      </c>
      <c r="D26" s="10">
        <v>120</v>
      </c>
      <c r="E26" s="17">
        <f>F26*0.5</f>
        <v>6500</v>
      </c>
      <c r="F26" s="17">
        <f>LOOKUP(1,1/('[1]PURCHASE PRICE'!$B:$B=B26)/('[1]PURCHASE PRICE'!$A:$A=A26),'[1]PURCHASE PRICE'!$D:$D)</f>
        <v>13000</v>
      </c>
      <c r="G26" s="62">
        <v>6500</v>
      </c>
      <c r="H26" s="17">
        <f t="shared" si="0"/>
        <v>780000</v>
      </c>
    </row>
    <row r="27" spans="1:8" x14ac:dyDescent="0.3">
      <c r="A27" s="29">
        <v>45642</v>
      </c>
      <c r="B27" s="9" t="s">
        <v>26</v>
      </c>
      <c r="C27" s="9" t="s">
        <v>11</v>
      </c>
      <c r="D27" s="10">
        <v>15</v>
      </c>
      <c r="E27" s="17">
        <f>LOOKUP(1,1/('[1]PURCHASE PRICE'!$B:$B=B27)/('[1]PURCHASE PRICE'!$A:$A=A27)/('[1]PURCHASE PRICE'!$C:$C=C27),'[1]PURCHASE PRICE'!$D:$D)</f>
        <v>6750</v>
      </c>
      <c r="F27" s="17">
        <f>LOOKUP(1,1/('[1]PURCHASE PRICE'!$B:$B=B27)/('[1]PURCHASE PRICE'!$A:$A=A27),'[1]PURCHASE PRICE'!$D:$D)</f>
        <v>6750</v>
      </c>
      <c r="G27" s="17">
        <v>6750</v>
      </c>
      <c r="H27" s="17">
        <f t="shared" si="0"/>
        <v>101250</v>
      </c>
    </row>
    <row r="28" spans="1:8" x14ac:dyDescent="0.3">
      <c r="A28" s="29">
        <v>45642</v>
      </c>
      <c r="B28" s="9" t="s">
        <v>29</v>
      </c>
      <c r="C28" s="9" t="s">
        <v>168</v>
      </c>
      <c r="D28" s="10">
        <v>150</v>
      </c>
      <c r="E28" s="17">
        <f>LOOKUP(1,1/('[1]PURCHASE PRICE'!$B:$B=B28)/('[1]PURCHASE PRICE'!$A:$A=A28)/('[1]PURCHASE PRICE'!$C:$C=C28),'[1]PURCHASE PRICE'!$D:$D)</f>
        <v>19000</v>
      </c>
      <c r="F28" s="17">
        <f>LOOKUP(1,1/('[1]PURCHASE PRICE'!$B:$B=B28)/('[1]PURCHASE PRICE'!$A:$A=A28),'[1]PURCHASE PRICE'!$D:$D)</f>
        <v>19000</v>
      </c>
      <c r="G28" s="17">
        <v>19000</v>
      </c>
      <c r="H28" s="17">
        <f t="shared" si="0"/>
        <v>2850000</v>
      </c>
    </row>
    <row r="29" spans="1:8" x14ac:dyDescent="0.3">
      <c r="A29" s="29">
        <v>45642</v>
      </c>
      <c r="B29" s="9" t="s">
        <v>32</v>
      </c>
      <c r="C29" s="9" t="s">
        <v>168</v>
      </c>
      <c r="D29" s="10">
        <v>0</v>
      </c>
      <c r="E29" s="17">
        <f>LOOKUP(1,1/('[1]PURCHASE PRICE'!$B:$B=B29)/('[1]PURCHASE PRICE'!$A:$A=A29)/('[1]PURCHASE PRICE'!$C:$C=C29),'[1]PURCHASE PRICE'!$D:$D)</f>
        <v>25000</v>
      </c>
      <c r="F29" s="17">
        <f>LOOKUP(1,1/('[1]PURCHASE PRICE'!$B:$B=B29)/('[1]PURCHASE PRICE'!$A:$A=A29),'[1]PURCHASE PRICE'!$D:$D)</f>
        <v>25000</v>
      </c>
      <c r="G29" s="17">
        <v>25000</v>
      </c>
      <c r="H29" s="17">
        <f t="shared" si="0"/>
        <v>0</v>
      </c>
    </row>
    <row r="30" spans="1:8" x14ac:dyDescent="0.3">
      <c r="A30" s="29">
        <v>45642</v>
      </c>
      <c r="B30" s="9" t="s">
        <v>33</v>
      </c>
      <c r="C30" s="9" t="s">
        <v>22</v>
      </c>
      <c r="D30" s="10">
        <v>65</v>
      </c>
      <c r="E30" s="17">
        <f>LOOKUP(1,1/('[1]PURCHASE PRICE'!$B:$B=B30)/('[1]PURCHASE PRICE'!$A:$A=A30)/('[1]PURCHASE PRICE'!$C:$C=C30),'[1]PURCHASE PRICE'!$D:$D)</f>
        <v>10000</v>
      </c>
      <c r="F30" s="17">
        <f>LOOKUP(1,1/('[1]PURCHASE PRICE'!$B:$B=B30)/('[1]PURCHASE PRICE'!$A:$A=A30),'[1]PURCHASE PRICE'!$D:$D)</f>
        <v>10000</v>
      </c>
      <c r="G30" s="17">
        <v>10000</v>
      </c>
      <c r="H30" s="17">
        <f t="shared" si="0"/>
        <v>650000</v>
      </c>
    </row>
    <row r="31" spans="1:8" x14ac:dyDescent="0.3">
      <c r="A31" s="29">
        <v>45642</v>
      </c>
      <c r="B31" s="9" t="s">
        <v>37</v>
      </c>
      <c r="C31" s="9" t="s">
        <v>11</v>
      </c>
      <c r="D31" s="10">
        <v>210</v>
      </c>
      <c r="E31" s="17">
        <f>LOOKUP(1,1/('[1]PURCHASE PRICE'!$B:$B=B31)/('[1]PURCHASE PRICE'!$A:$A=A31)/('[1]PURCHASE PRICE'!$C:$C=C31),'[1]PURCHASE PRICE'!$D:$D)</f>
        <v>7500</v>
      </c>
      <c r="F31" s="17">
        <f>LOOKUP(1,1/('[1]PURCHASE PRICE'!$B:$B=B31)/('[1]PURCHASE PRICE'!$A:$A=A31),'[1]PURCHASE PRICE'!$D:$D)</f>
        <v>7500</v>
      </c>
      <c r="G31" s="17">
        <v>7500</v>
      </c>
      <c r="H31" s="17">
        <f t="shared" si="0"/>
        <v>1575000</v>
      </c>
    </row>
    <row r="32" spans="1:8" x14ac:dyDescent="0.3">
      <c r="A32" s="29">
        <v>45642</v>
      </c>
      <c r="B32" s="9" t="s">
        <v>38</v>
      </c>
      <c r="C32" s="9" t="s">
        <v>22</v>
      </c>
      <c r="D32" s="10">
        <v>20</v>
      </c>
      <c r="E32" s="17">
        <f>F32*0.6</f>
        <v>8400</v>
      </c>
      <c r="F32" s="17">
        <f>LOOKUP(1,1/('[1]PURCHASE PRICE'!$B:$B=B32)/('[1]PURCHASE PRICE'!$A:$A=A32),'[1]PURCHASE PRICE'!$D:$D)</f>
        <v>14000</v>
      </c>
      <c r="G32" s="62">
        <v>8400</v>
      </c>
      <c r="H32" s="17">
        <f t="shared" si="0"/>
        <v>168000</v>
      </c>
    </row>
    <row r="33" spans="1:8" x14ac:dyDescent="0.3">
      <c r="A33" s="29">
        <v>45642</v>
      </c>
      <c r="B33" s="9" t="s">
        <v>39</v>
      </c>
      <c r="C33" s="9" t="s">
        <v>168</v>
      </c>
      <c r="D33" s="10">
        <v>50</v>
      </c>
      <c r="E33" s="17">
        <f>LOOKUP(1,1/('[1]PURCHASE PRICE'!$B:$B=B33)/('[1]PURCHASE PRICE'!$A:$A=A33)/('[1]PURCHASE PRICE'!$C:$C=C33),'[1]PURCHASE PRICE'!$D:$D)</f>
        <v>10000</v>
      </c>
      <c r="F33" s="17">
        <f>LOOKUP(1,1/('[1]PURCHASE PRICE'!$B:$B=B33)/('[1]PURCHASE PRICE'!$A:$A=A33),'[1]PURCHASE PRICE'!$D:$D)</f>
        <v>10000</v>
      </c>
      <c r="G33" s="17">
        <v>10000</v>
      </c>
      <c r="H33" s="17">
        <f t="shared" si="0"/>
        <v>500000</v>
      </c>
    </row>
    <row r="34" spans="1:8" x14ac:dyDescent="0.3">
      <c r="A34" s="29">
        <v>45642</v>
      </c>
      <c r="B34" s="9" t="s">
        <v>40</v>
      </c>
      <c r="C34" s="9" t="s">
        <v>25</v>
      </c>
      <c r="D34" s="10">
        <v>150</v>
      </c>
      <c r="E34" s="17">
        <f>F34*0.15</f>
        <v>2850</v>
      </c>
      <c r="F34" s="17">
        <f>LOOKUP(1,1/('[1]PURCHASE PRICE'!$B:$B=B34)/('[1]PURCHASE PRICE'!$A:$A=A34),'[1]PURCHASE PRICE'!$D:$D)</f>
        <v>19000</v>
      </c>
      <c r="G34" s="62">
        <v>2850</v>
      </c>
      <c r="H34" s="17">
        <f t="shared" si="0"/>
        <v>427500</v>
      </c>
    </row>
    <row r="35" spans="1:8" x14ac:dyDescent="0.3">
      <c r="A35" s="29">
        <v>45642</v>
      </c>
      <c r="B35" s="9" t="s">
        <v>42</v>
      </c>
      <c r="C35" s="9" t="s">
        <v>168</v>
      </c>
      <c r="D35" s="10">
        <v>12</v>
      </c>
      <c r="E35" s="17">
        <f>LOOKUP(1,1/('[1]PURCHASE PRICE'!$B:$B=B35)/('[1]PURCHASE PRICE'!$A:$A=A35)/('[1]PURCHASE PRICE'!$C:$C=C35),'[1]PURCHASE PRICE'!$D:$D)</f>
        <v>35000</v>
      </c>
      <c r="F35" s="17">
        <f>LOOKUP(1,1/('[1]PURCHASE PRICE'!$B:$B=B35)/('[1]PURCHASE PRICE'!$A:$A=A35),'[1]PURCHASE PRICE'!$D:$D)</f>
        <v>35000</v>
      </c>
      <c r="G35" s="17">
        <v>35000</v>
      </c>
      <c r="H35" s="17">
        <f t="shared" si="0"/>
        <v>420000</v>
      </c>
    </row>
    <row r="36" spans="1:8" x14ac:dyDescent="0.3">
      <c r="A36" s="29">
        <v>45642</v>
      </c>
      <c r="B36" s="9" t="s">
        <v>45</v>
      </c>
      <c r="C36" s="9" t="s">
        <v>22</v>
      </c>
      <c r="D36" s="10">
        <v>500</v>
      </c>
      <c r="E36" s="17">
        <f>LOOKUP(1,1/('[1]PURCHASE PRICE'!$B:$B=B36)/('[1]PURCHASE PRICE'!$A:$A=A36)/('[1]PURCHASE PRICE'!$C:$C=C36),'[1]PURCHASE PRICE'!$D:$D)</f>
        <v>1900</v>
      </c>
      <c r="F36" s="17">
        <f>LOOKUP(1,1/('[1]PURCHASE PRICE'!$B:$B=B36)/('[1]PURCHASE PRICE'!$A:$A=A36),'[1]PURCHASE PRICE'!$D:$D)</f>
        <v>1900</v>
      </c>
      <c r="G36" s="17">
        <v>1900</v>
      </c>
      <c r="H36" s="17">
        <f t="shared" si="0"/>
        <v>950000</v>
      </c>
    </row>
    <row r="37" spans="1:8" x14ac:dyDescent="0.3">
      <c r="A37" s="29">
        <v>45642</v>
      </c>
      <c r="B37" s="9" t="s">
        <v>141</v>
      </c>
      <c r="C37" s="9" t="s">
        <v>168</v>
      </c>
      <c r="D37" s="10">
        <v>10</v>
      </c>
      <c r="E37" s="17">
        <f>LOOKUP(1,1/('[1]PURCHASE PRICE'!$B:$B=B37)/('[1]PURCHASE PRICE'!$A:$A=A37)/('[1]PURCHASE PRICE'!$C:$C=C37),'[1]PURCHASE PRICE'!$D:$D)</f>
        <v>14000</v>
      </c>
      <c r="F37" s="17">
        <f>LOOKUP(1,1/('[1]PURCHASE PRICE'!$B:$B=B37)/('[1]PURCHASE PRICE'!$A:$A=A37),'[1]PURCHASE PRICE'!$D:$D)</f>
        <v>14000</v>
      </c>
      <c r="G37" s="17">
        <v>14000</v>
      </c>
      <c r="H37" s="17">
        <f t="shared" si="0"/>
        <v>140000</v>
      </c>
    </row>
    <row r="38" spans="1:8" x14ac:dyDescent="0.3">
      <c r="A38" s="29">
        <v>45642</v>
      </c>
      <c r="B38" s="9" t="s">
        <v>46</v>
      </c>
      <c r="C38" s="9" t="s">
        <v>168</v>
      </c>
      <c r="D38" s="10">
        <v>30</v>
      </c>
      <c r="E38" s="17">
        <f>LOOKUP(1,1/('[1]PURCHASE PRICE'!$B:$B=B38)/('[1]PURCHASE PRICE'!$A:$A=A38)/('[1]PURCHASE PRICE'!$C:$C=C38),'[1]PURCHASE PRICE'!$D:$D)</f>
        <v>53000</v>
      </c>
      <c r="F38" s="17">
        <f>LOOKUP(1,1/('[1]PURCHASE PRICE'!$B:$B=B38)/('[1]PURCHASE PRICE'!$A:$A=A38),'[1]PURCHASE PRICE'!$D:$D)</f>
        <v>53000</v>
      </c>
      <c r="G38" s="17">
        <v>53000</v>
      </c>
      <c r="H38" s="17">
        <f t="shared" si="0"/>
        <v>1590000</v>
      </c>
    </row>
    <row r="39" spans="1:8" x14ac:dyDescent="0.3">
      <c r="A39" s="29">
        <v>45642</v>
      </c>
      <c r="B39" s="9" t="s">
        <v>70</v>
      </c>
      <c r="C39" s="9" t="s">
        <v>168</v>
      </c>
      <c r="D39" s="10">
        <v>20</v>
      </c>
      <c r="E39" s="17">
        <f>(38000+32000+17000)/3</f>
        <v>29000</v>
      </c>
      <c r="F39" s="17" t="e">
        <f>LOOKUP(1,1/('[1]PURCHASE PRICE'!$B:$B=B39)/('[1]PURCHASE PRICE'!$A:$A=A39),'[1]PURCHASE PRICE'!$D:$D)</f>
        <v>#N/A</v>
      </c>
      <c r="G39" s="62">
        <v>29000</v>
      </c>
      <c r="H39" s="17">
        <f t="shared" si="0"/>
        <v>580000</v>
      </c>
    </row>
    <row r="40" spans="1:8" x14ac:dyDescent="0.3">
      <c r="A40" s="29">
        <v>45642</v>
      </c>
      <c r="B40" s="9" t="s">
        <v>64</v>
      </c>
      <c r="C40" s="9" t="s">
        <v>168</v>
      </c>
      <c r="D40" s="10">
        <v>15</v>
      </c>
      <c r="E40" s="17">
        <f>LOOKUP(1,1/('[1]PURCHASE PRICE'!$B:$B=B40)/('[1]PURCHASE PRICE'!$A:$A=A40)/('[1]PURCHASE PRICE'!$C:$C=C40),'[1]PURCHASE PRICE'!$D:$D)</f>
        <v>44000</v>
      </c>
      <c r="F40" s="17">
        <f>LOOKUP(1,1/('[1]PURCHASE PRICE'!$B:$B=B40)/('[1]PURCHASE PRICE'!$A:$A=A40),'[1]PURCHASE PRICE'!$D:$D)</f>
        <v>44000</v>
      </c>
      <c r="G40" s="17">
        <v>44000</v>
      </c>
      <c r="H40" s="17">
        <f t="shared" si="0"/>
        <v>660000</v>
      </c>
    </row>
    <row r="41" spans="1:8" x14ac:dyDescent="0.3">
      <c r="A41" s="29">
        <v>45642</v>
      </c>
      <c r="B41" s="9" t="s">
        <v>47</v>
      </c>
      <c r="C41" s="9" t="s">
        <v>7</v>
      </c>
      <c r="D41" s="10">
        <v>450</v>
      </c>
      <c r="E41" s="17">
        <f>F41*0.25</f>
        <v>9500</v>
      </c>
      <c r="F41" s="17">
        <f>LOOKUP(1,1/('[1]PURCHASE PRICE'!$B:$B=B41)/('[1]PURCHASE PRICE'!$A:$A=A41),'[1]PURCHASE PRICE'!$D:$D)</f>
        <v>38000</v>
      </c>
      <c r="G41" s="62">
        <v>9500</v>
      </c>
      <c r="H41" s="17">
        <f t="shared" si="0"/>
        <v>4275000</v>
      </c>
    </row>
    <row r="42" spans="1:8" x14ac:dyDescent="0.3">
      <c r="A42" s="29">
        <v>45642</v>
      </c>
      <c r="B42" s="9" t="s">
        <v>48</v>
      </c>
      <c r="C42" s="9" t="s">
        <v>168</v>
      </c>
      <c r="D42" s="10">
        <v>9</v>
      </c>
      <c r="E42" s="17">
        <f>LOOKUP(1,1/('[1]PURCHASE PRICE'!$B:$B=B42)/('[1]PURCHASE PRICE'!$A:$A=A42)/('[1]PURCHASE PRICE'!$C:$C=C42),'[1]PURCHASE PRICE'!$D:$D)</f>
        <v>49000</v>
      </c>
      <c r="F42" s="17">
        <f>LOOKUP(1,1/('[1]PURCHASE PRICE'!$B:$B=B42)/('[1]PURCHASE PRICE'!$A:$A=A42),'[1]PURCHASE PRICE'!$D:$D)</f>
        <v>49000</v>
      </c>
      <c r="G42" s="17">
        <v>49000</v>
      </c>
      <c r="H42" s="17">
        <f t="shared" si="0"/>
        <v>441000</v>
      </c>
    </row>
    <row r="43" spans="1:8" x14ac:dyDescent="0.3">
      <c r="A43" s="29">
        <v>45642</v>
      </c>
      <c r="B43" s="9" t="s">
        <v>50</v>
      </c>
      <c r="C43" s="9" t="s">
        <v>7</v>
      </c>
      <c r="D43" s="10">
        <v>240</v>
      </c>
      <c r="E43" s="17">
        <f>F43*0.25</f>
        <v>8000</v>
      </c>
      <c r="F43" s="17">
        <f>LOOKUP(1,1/('[1]PURCHASE PRICE'!$B:$B=B43)/('[1]PURCHASE PRICE'!$A:$A=A43),'[1]PURCHASE PRICE'!$D:$D)</f>
        <v>32000</v>
      </c>
      <c r="G43" s="62">
        <v>8000</v>
      </c>
      <c r="H43" s="17">
        <f t="shared" si="0"/>
        <v>1920000</v>
      </c>
    </row>
    <row r="44" spans="1:8" x14ac:dyDescent="0.3">
      <c r="A44" s="29">
        <v>45642</v>
      </c>
      <c r="B44" s="9" t="s">
        <v>52</v>
      </c>
      <c r="C44" s="9" t="s">
        <v>22</v>
      </c>
      <c r="D44" s="10">
        <v>200</v>
      </c>
      <c r="E44" s="17">
        <f>LOOKUP(1,1/('[1]PURCHASE PRICE'!$B:$B=B44)/('[1]PURCHASE PRICE'!$A:$A=A44)/('[1]PURCHASE PRICE'!$C:$C=C44),'[1]PURCHASE PRICE'!$D:$D)</f>
        <v>21000</v>
      </c>
      <c r="F44" s="17">
        <f>LOOKUP(1,1/('[1]PURCHASE PRICE'!$B:$B=B44)/('[1]PURCHASE PRICE'!$A:$A=A44),'[1]PURCHASE PRICE'!$D:$D)</f>
        <v>45000</v>
      </c>
      <c r="G44" s="17">
        <v>21000</v>
      </c>
      <c r="H44" s="17">
        <f t="shared" si="0"/>
        <v>4200000</v>
      </c>
    </row>
    <row r="45" spans="1:8" x14ac:dyDescent="0.3">
      <c r="A45" s="29">
        <v>45642</v>
      </c>
      <c r="B45" s="9" t="s">
        <v>53</v>
      </c>
      <c r="C45" s="9" t="s">
        <v>168</v>
      </c>
      <c r="D45" s="10">
        <v>5</v>
      </c>
      <c r="E45" s="17">
        <f>LOOKUP(1,1/('[1]PURCHASE PRICE'!$B:$B=B45)/('[1]PURCHASE PRICE'!$A:$A=A45)/('[1]PURCHASE PRICE'!$C:$C=C45),'[1]PURCHASE PRICE'!$D:$D)</f>
        <v>35000</v>
      </c>
      <c r="F45" s="17">
        <f>LOOKUP(1,1/('[1]PURCHASE PRICE'!$B:$B=B45)/('[1]PURCHASE PRICE'!$A:$A=A45),'[1]PURCHASE PRICE'!$D:$D)</f>
        <v>35000</v>
      </c>
      <c r="G45" s="17">
        <v>35000</v>
      </c>
      <c r="H45" s="17">
        <f t="shared" si="0"/>
        <v>175000</v>
      </c>
    </row>
    <row r="46" spans="1:8" x14ac:dyDescent="0.3">
      <c r="A46" s="29">
        <v>45642</v>
      </c>
      <c r="B46" s="9" t="s">
        <v>75</v>
      </c>
      <c r="C46" s="9" t="s">
        <v>168</v>
      </c>
      <c r="D46" s="10">
        <v>0</v>
      </c>
      <c r="E46" s="17">
        <v>55000</v>
      </c>
      <c r="F46" s="17" t="e">
        <f>LOOKUP(1,1/('[1]PURCHASE PRICE'!$B:$B=B46)/('[1]PURCHASE PRICE'!$A:$A=A46),'[1]PURCHASE PRICE'!$D:$D)</f>
        <v>#N/A</v>
      </c>
      <c r="G46" s="17">
        <v>55000</v>
      </c>
      <c r="H46" s="17">
        <f t="shared" si="0"/>
        <v>0</v>
      </c>
    </row>
    <row r="47" spans="1:8" x14ac:dyDescent="0.3">
      <c r="A47" s="29">
        <v>45642</v>
      </c>
      <c r="B47" s="9" t="s">
        <v>54</v>
      </c>
      <c r="C47" s="9" t="s">
        <v>168</v>
      </c>
      <c r="D47" s="10">
        <v>120</v>
      </c>
      <c r="E47" s="17">
        <v>17000</v>
      </c>
      <c r="F47" s="17">
        <v>17000</v>
      </c>
      <c r="G47" s="17">
        <v>17000</v>
      </c>
      <c r="H47" s="17">
        <f t="shared" si="0"/>
        <v>2040000</v>
      </c>
    </row>
    <row r="48" spans="1:8" x14ac:dyDescent="0.3">
      <c r="A48" s="29">
        <v>45642</v>
      </c>
      <c r="B48" s="9" t="s">
        <v>55</v>
      </c>
      <c r="C48" s="9" t="s">
        <v>25</v>
      </c>
      <c r="D48" s="10">
        <v>100</v>
      </c>
      <c r="E48" s="17">
        <f>LOOKUP(1,1/('[1]PURCHASE PRICE'!$B:$B=B48)/('[1]PURCHASE PRICE'!$A:$A=A48)/('[1]PURCHASE PRICE'!$C:$C=C48),'[1]PURCHASE PRICE'!$D:$D)</f>
        <v>6800</v>
      </c>
      <c r="F48" s="17">
        <f>LOOKUP(1,1/('[1]PURCHASE PRICE'!$B:$B=B48)/('[1]PURCHASE PRICE'!$A:$A=A48),'[1]PURCHASE PRICE'!$D:$D)</f>
        <v>6800</v>
      </c>
      <c r="G48" s="17">
        <v>6800</v>
      </c>
      <c r="H48" s="17">
        <f t="shared" si="0"/>
        <v>680000</v>
      </c>
    </row>
    <row r="49" spans="1:8" x14ac:dyDescent="0.3">
      <c r="A49" s="29">
        <v>45642</v>
      </c>
      <c r="B49" s="9" t="s">
        <v>66</v>
      </c>
      <c r="C49" s="9" t="s">
        <v>168</v>
      </c>
      <c r="D49" s="10">
        <v>40</v>
      </c>
      <c r="E49" s="17">
        <v>28000</v>
      </c>
      <c r="F49" s="17" t="e">
        <f>LOOKUP(1,1/('[1]PURCHASE PRICE'!$B:$B=B49)/('[1]PURCHASE PRICE'!$A:$A=A49),'[1]PURCHASE PRICE'!$D:$D)</f>
        <v>#N/A</v>
      </c>
      <c r="G49" s="17">
        <v>28000</v>
      </c>
      <c r="H49" s="17">
        <f t="shared" si="0"/>
        <v>1120000</v>
      </c>
    </row>
    <row r="50" spans="1:8" x14ac:dyDescent="0.3">
      <c r="A50" s="29">
        <v>45642</v>
      </c>
      <c r="B50" s="9" t="s">
        <v>58</v>
      </c>
      <c r="C50" s="9" t="s">
        <v>168</v>
      </c>
      <c r="D50" s="10">
        <v>32</v>
      </c>
      <c r="E50" s="17">
        <f>LOOKUP(1,1/('[1]PURCHASE PRICE'!$B:$B=B50)/('[1]PURCHASE PRICE'!$A:$A=A50)/('[1]PURCHASE PRICE'!$C:$C=C50),'[1]PURCHASE PRICE'!$D:$D)</f>
        <v>14000</v>
      </c>
      <c r="F50" s="17">
        <f>LOOKUP(1,1/('[1]PURCHASE PRICE'!$B:$B=B50)/('[1]PURCHASE PRICE'!$A:$A=A50),'[1]PURCHASE PRICE'!$D:$D)</f>
        <v>14000</v>
      </c>
      <c r="G50" s="17">
        <v>14000</v>
      </c>
      <c r="H50" s="17">
        <f t="shared" si="0"/>
        <v>448000</v>
      </c>
    </row>
    <row r="51" spans="1:8" x14ac:dyDescent="0.3">
      <c r="A51" s="29">
        <v>45642</v>
      </c>
      <c r="B51" s="9" t="s">
        <v>60</v>
      </c>
      <c r="C51" s="9" t="s">
        <v>168</v>
      </c>
      <c r="D51" s="10">
        <v>7</v>
      </c>
      <c r="E51" s="17">
        <f>LOOKUP(1,1/('[1]PURCHASE PRICE'!$B:$B=B51)/('[1]PURCHASE PRICE'!$A:$A=A51)/('[1]PURCHASE PRICE'!$C:$C=C51),'[1]PURCHASE PRICE'!$D:$D)</f>
        <v>10000</v>
      </c>
      <c r="F51" s="17">
        <f>LOOKUP(1,1/('[1]PURCHASE PRICE'!$B:$B=B51)/('[1]PURCHASE PRICE'!$A:$A=A51),'[1]PURCHASE PRICE'!$D:$D)</f>
        <v>10000</v>
      </c>
      <c r="G51" s="17">
        <v>10000</v>
      </c>
      <c r="H51" s="17">
        <f t="shared" si="0"/>
        <v>70000</v>
      </c>
    </row>
    <row r="52" spans="1:8" x14ac:dyDescent="0.3">
      <c r="A52" s="29">
        <v>45642</v>
      </c>
      <c r="B52" s="9" t="s">
        <v>61</v>
      </c>
      <c r="C52" s="9" t="s">
        <v>25</v>
      </c>
      <c r="D52" s="10">
        <v>10</v>
      </c>
      <c r="E52" s="17">
        <f>LOOKUP(1,1/('[1]PURCHASE PRICE'!$B:$B=B52)/('[1]PURCHASE PRICE'!$A:$A=A52)/('[1]PURCHASE PRICE'!$C:$C=C52),'[1]PURCHASE PRICE'!$D:$D)</f>
        <v>6800</v>
      </c>
      <c r="F52" s="17">
        <f>LOOKUP(1,1/('[1]PURCHASE PRICE'!$B:$B=B52)/('[1]PURCHASE PRICE'!$A:$A=A52),'[1]PURCHASE PRICE'!$D:$D)</f>
        <v>6800</v>
      </c>
      <c r="G52" s="17">
        <v>6800</v>
      </c>
      <c r="H52" s="17">
        <f>G52*D52</f>
        <v>68000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"/>
  <dimension ref="A1:H49"/>
  <sheetViews>
    <sheetView workbookViewId="0">
      <selection activeCell="C50" sqref="C5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14.44140625" style="18" bestFit="1" customWidth="1"/>
    <col min="5" max="5" width="13" style="18" bestFit="1" customWidth="1"/>
    <col min="6" max="6" width="11.44140625" style="18" customWidth="1"/>
    <col min="7" max="7" width="11.5546875" style="21" bestFit="1" customWidth="1"/>
    <col min="8" max="8" width="15.44140625" style="21" bestFit="1" customWidth="1"/>
    <col min="9" max="16384" width="8.88671875" style="18"/>
  </cols>
  <sheetData>
    <row r="1" spans="1:8" ht="15.6" x14ac:dyDescent="0.3">
      <c r="B1" s="18" t="s">
        <v>204</v>
      </c>
      <c r="H1" s="35">
        <f>SUM(H3:H49)</f>
        <v>38082233.333333328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45641</v>
      </c>
      <c r="B3" s="9" t="s">
        <v>0</v>
      </c>
      <c r="C3" s="9" t="s">
        <v>1</v>
      </c>
      <c r="D3" s="10">
        <v>0</v>
      </c>
      <c r="E3" s="46">
        <v>0</v>
      </c>
      <c r="F3" s="46">
        <v>0</v>
      </c>
      <c r="G3" s="17">
        <v>0</v>
      </c>
      <c r="H3" s="17">
        <f>G3*D3</f>
        <v>0</v>
      </c>
    </row>
    <row r="4" spans="1:8" x14ac:dyDescent="0.3">
      <c r="A4" s="29">
        <v>45641</v>
      </c>
      <c r="B4" s="9" t="s">
        <v>72</v>
      </c>
      <c r="C4" s="9" t="s">
        <v>1</v>
      </c>
      <c r="D4" s="10">
        <v>20</v>
      </c>
      <c r="E4" s="17">
        <f>LOOKUP(1,1/('[1]PURCHASE PRICE'!$B:$B=B4)/('[1]PURCHASE PRICE'!$A:$A=A4)/('[1]PURCHASE PRICE'!$C:$C=C4),'[1]PURCHASE PRICE'!$D:$D)</f>
        <v>5500</v>
      </c>
      <c r="F4" s="17">
        <f>LOOKUP(1,1/('[1]PURCHASE PRICE'!$B:$B=B4)/('[1]PURCHASE PRICE'!$A:$A=A4),'[1]PURCHASE PRICE'!$D:$D)</f>
        <v>5500</v>
      </c>
      <c r="G4" s="17">
        <v>5500</v>
      </c>
      <c r="H4" s="17">
        <f t="shared" ref="H4:H49" si="0">G4*D4</f>
        <v>110000</v>
      </c>
    </row>
    <row r="5" spans="1:8" x14ac:dyDescent="0.3">
      <c r="A5" s="29">
        <v>45641</v>
      </c>
      <c r="B5" s="9" t="s">
        <v>67</v>
      </c>
      <c r="C5" s="9" t="s">
        <v>1</v>
      </c>
      <c r="D5" s="10">
        <v>20</v>
      </c>
      <c r="E5" s="17">
        <f>LOOKUP(1,1/('[1]PURCHASE PRICE'!$B:$B=B5)/('[1]PURCHASE PRICE'!$A:$A=A5)/('[1]PURCHASE PRICE'!$C:$C=C5),'[1]PURCHASE PRICE'!$D:$D)</f>
        <v>5500</v>
      </c>
      <c r="F5" s="17">
        <f>LOOKUP(1,1/('[1]PURCHASE PRICE'!$B:$B=B5)/('[1]PURCHASE PRICE'!$A:$A=A5),'[1]PURCHASE PRICE'!$D:$D)</f>
        <v>5500</v>
      </c>
      <c r="G5" s="17">
        <v>5500</v>
      </c>
      <c r="H5" s="17">
        <f t="shared" si="0"/>
        <v>110000</v>
      </c>
    </row>
    <row r="6" spans="1:8" x14ac:dyDescent="0.3">
      <c r="A6" s="29">
        <v>45641</v>
      </c>
      <c r="B6" s="9" t="s">
        <v>3</v>
      </c>
      <c r="C6" s="9" t="s">
        <v>7</v>
      </c>
      <c r="D6" s="10">
        <v>358</v>
      </c>
      <c r="E6" s="17">
        <f>F6*0.3</f>
        <v>4800</v>
      </c>
      <c r="F6" s="17">
        <f>LOOKUP(1,1/('[1]PURCHASE PRICE'!$B:$B=B6)/('[1]PURCHASE PRICE'!$A:$A=A6),'[1]PURCHASE PRICE'!$D:$D)</f>
        <v>16000</v>
      </c>
      <c r="G6" s="62">
        <v>4800</v>
      </c>
      <c r="H6" s="17">
        <f t="shared" si="0"/>
        <v>1718400</v>
      </c>
    </row>
    <row r="7" spans="1:8" x14ac:dyDescent="0.3">
      <c r="A7" s="29">
        <v>45641</v>
      </c>
      <c r="B7" s="9" t="s">
        <v>5</v>
      </c>
      <c r="C7" s="9" t="s">
        <v>7</v>
      </c>
      <c r="D7" s="10">
        <v>300</v>
      </c>
      <c r="E7" s="17">
        <f>F7*0.3</f>
        <v>3000</v>
      </c>
      <c r="F7" s="17">
        <f>LOOKUP(1,1/('[1]PURCHASE PRICE'!$B:$B=B7)/('[1]PURCHASE PRICE'!$A:$A=A7),'[1]PURCHASE PRICE'!$D:$D)</f>
        <v>10000</v>
      </c>
      <c r="G7" s="62">
        <v>3000</v>
      </c>
      <c r="H7" s="17">
        <f t="shared" si="0"/>
        <v>900000</v>
      </c>
    </row>
    <row r="8" spans="1:8" x14ac:dyDescent="0.3">
      <c r="A8" s="29">
        <v>45641</v>
      </c>
      <c r="B8" s="9" t="s">
        <v>6</v>
      </c>
      <c r="C8" s="9" t="s">
        <v>1</v>
      </c>
      <c r="D8" s="10">
        <v>0</v>
      </c>
      <c r="E8" s="17">
        <f>LOOKUP(1,1/('[1]PURCHASE PRICE'!$B:$B=B8)/('[1]PURCHASE PRICE'!$A:$A=A8)/('[1]PURCHASE PRICE'!$C:$C=C8),'[1]PURCHASE PRICE'!$D:$D)</f>
        <v>60000</v>
      </c>
      <c r="F8" s="17">
        <f>LOOKUP(1,1/('[1]PURCHASE PRICE'!$B:$B=B8)/('[1]PURCHASE PRICE'!$A:$A=A8),'[1]PURCHASE PRICE'!$D:$D)</f>
        <v>60000</v>
      </c>
      <c r="G8" s="17">
        <v>60000</v>
      </c>
      <c r="H8" s="17">
        <f t="shared" si="0"/>
        <v>0</v>
      </c>
    </row>
    <row r="9" spans="1:8" x14ac:dyDescent="0.3">
      <c r="A9" s="29">
        <v>45641</v>
      </c>
      <c r="B9" s="9" t="s">
        <v>8</v>
      </c>
      <c r="C9" s="9" t="s">
        <v>1</v>
      </c>
      <c r="D9" s="10">
        <v>20</v>
      </c>
      <c r="E9" s="17">
        <f>F9/0.2</f>
        <v>38000</v>
      </c>
      <c r="F9" s="17">
        <f>LOOKUP(1,1/('[1]PURCHASE PRICE'!$B:$B=B9)/('[1]PURCHASE PRICE'!$A:$A=A9),'[1]PURCHASE PRICE'!$D:$D)</f>
        <v>7600</v>
      </c>
      <c r="G9" s="17">
        <v>38000</v>
      </c>
      <c r="H9" s="17">
        <f t="shared" si="0"/>
        <v>760000</v>
      </c>
    </row>
    <row r="10" spans="1:8" x14ac:dyDescent="0.3">
      <c r="A10" s="29">
        <v>45641</v>
      </c>
      <c r="B10" s="9" t="s">
        <v>10</v>
      </c>
      <c r="C10" s="9" t="s">
        <v>12</v>
      </c>
      <c r="D10" s="10">
        <v>254</v>
      </c>
      <c r="E10" s="17">
        <f>LOOKUP(1,1/('[1]PURCHASE PRICE'!$B:$B=B10)/('[1]PURCHASE PRICE'!$A:$A=A10)/('[1]PURCHASE PRICE'!$C:$C=C10),'[1]PURCHASE PRICE'!$D:$D)</f>
        <v>10000</v>
      </c>
      <c r="F10" s="17">
        <f>LOOKUP(1,1/('[1]PURCHASE PRICE'!$B:$B=B10)/('[1]PURCHASE PRICE'!$A:$A=A10),'[1]PURCHASE PRICE'!$D:$D)</f>
        <v>17000</v>
      </c>
      <c r="G10" s="17">
        <v>10000</v>
      </c>
      <c r="H10" s="17">
        <f t="shared" si="0"/>
        <v>2540000</v>
      </c>
    </row>
    <row r="11" spans="1:8" x14ac:dyDescent="0.3">
      <c r="A11" s="29">
        <v>45641</v>
      </c>
      <c r="B11" s="9" t="s">
        <v>13</v>
      </c>
      <c r="C11" s="9" t="s">
        <v>14</v>
      </c>
      <c r="D11" s="10">
        <v>200</v>
      </c>
      <c r="E11" s="17">
        <f>LOOKUP(1,1/('[1]PURCHASE PRICE'!$B:$B=B11)/('[1]PURCHASE PRICE'!$A:$A=A11)/('[1]PURCHASE PRICE'!$C:$C=C11),'[1]PURCHASE PRICE'!$D:$D)</f>
        <v>9000</v>
      </c>
      <c r="F11" s="17">
        <f>LOOKUP(1,1/('[1]PURCHASE PRICE'!$B:$B=B11)/('[1]PURCHASE PRICE'!$A:$A=A11),'[1]PURCHASE PRICE'!$D:$D)</f>
        <v>15000</v>
      </c>
      <c r="G11" s="17">
        <v>9000</v>
      </c>
      <c r="H11" s="17">
        <f t="shared" si="0"/>
        <v>1800000</v>
      </c>
    </row>
    <row r="12" spans="1:8" x14ac:dyDescent="0.3">
      <c r="A12" s="29">
        <v>45641</v>
      </c>
      <c r="B12" s="9" t="s">
        <v>15</v>
      </c>
      <c r="C12" s="9" t="s">
        <v>16</v>
      </c>
      <c r="D12" s="10">
        <v>40</v>
      </c>
      <c r="E12" s="17">
        <f>LOOKUP(1,1/('[1]PURCHASE PRICE'!$B:$B=B12)/('[1]PURCHASE PRICE'!$A:$A=A12)/('[1]PURCHASE PRICE'!$C:$C=C12),'[1]PURCHASE PRICE'!$D:$D)</f>
        <v>16500</v>
      </c>
      <c r="F12" s="17">
        <f>LOOKUP(1,1/('[1]PURCHASE PRICE'!$B:$B=B12)/('[1]PURCHASE PRICE'!$A:$A=A12),'[1]PURCHASE PRICE'!$D:$D)</f>
        <v>16500</v>
      </c>
      <c r="G12" s="17">
        <v>16500</v>
      </c>
      <c r="H12" s="17">
        <f t="shared" si="0"/>
        <v>660000</v>
      </c>
    </row>
    <row r="13" spans="1:8" x14ac:dyDescent="0.3">
      <c r="A13" s="29">
        <v>45641</v>
      </c>
      <c r="B13" s="9" t="s">
        <v>18</v>
      </c>
      <c r="C13" s="9" t="s">
        <v>1</v>
      </c>
      <c r="D13" s="10">
        <v>100</v>
      </c>
      <c r="E13" s="17">
        <f>LOOKUP(1,1/('[1]PURCHASE PRICE'!$B:$B=B13)/('[1]PURCHASE PRICE'!$A:$A=A13)/('[1]PURCHASE PRICE'!$C:$C=C13),'[1]PURCHASE PRICE'!$D:$D)</f>
        <v>19000</v>
      </c>
      <c r="F13" s="17">
        <f>LOOKUP(1,1/('[1]PURCHASE PRICE'!$B:$B=B13)/('[1]PURCHASE PRICE'!$A:$A=A13),'[1]PURCHASE PRICE'!$D:$D)</f>
        <v>19000</v>
      </c>
      <c r="G13" s="17">
        <v>19000</v>
      </c>
      <c r="H13" s="17">
        <f t="shared" si="0"/>
        <v>1900000</v>
      </c>
    </row>
    <row r="14" spans="1:8" x14ac:dyDescent="0.3">
      <c r="A14" s="29">
        <v>45641</v>
      </c>
      <c r="B14" s="9" t="s">
        <v>19</v>
      </c>
      <c r="C14" s="9" t="s">
        <v>1</v>
      </c>
      <c r="D14" s="10">
        <v>40</v>
      </c>
      <c r="E14" s="17">
        <f>LOOKUP(1,1/('[1]PURCHASE PRICE'!$B:$B=B14)/('[1]PURCHASE PRICE'!$A:$A=A14)/('[1]PURCHASE PRICE'!$C:$C=C14),'[1]PURCHASE PRICE'!$D:$D)</f>
        <v>14000</v>
      </c>
      <c r="F14" s="17">
        <f>LOOKUP(1,1/('[1]PURCHASE PRICE'!$B:$B=B14)/('[1]PURCHASE PRICE'!$A:$A=A14),'[1]PURCHASE PRICE'!$D:$D)</f>
        <v>14000</v>
      </c>
      <c r="G14" s="17">
        <v>14000</v>
      </c>
      <c r="H14" s="17">
        <f t="shared" si="0"/>
        <v>560000</v>
      </c>
    </row>
    <row r="15" spans="1:8" x14ac:dyDescent="0.3">
      <c r="A15" s="29">
        <v>45641</v>
      </c>
      <c r="B15" s="9" t="s">
        <v>20</v>
      </c>
      <c r="C15" s="9" t="s">
        <v>11</v>
      </c>
      <c r="D15" s="10">
        <v>80</v>
      </c>
      <c r="E15" s="17">
        <f>LOOKUP(1,1/('[1]PURCHASE PRICE'!$B:$B=B15)/('[1]PURCHASE PRICE'!$A:$A=A15)/('[1]PURCHASE PRICE'!$C:$C=C15),'[1]PURCHASE PRICE'!$D:$D)</f>
        <v>9000</v>
      </c>
      <c r="F15" s="17">
        <f>LOOKUP(1,1/('[1]PURCHASE PRICE'!$B:$B=B15)/('[1]PURCHASE PRICE'!$A:$A=A15),'[1]PURCHASE PRICE'!$D:$D)</f>
        <v>9000</v>
      </c>
      <c r="G15" s="17">
        <v>9000</v>
      </c>
      <c r="H15" s="17">
        <f t="shared" si="0"/>
        <v>720000</v>
      </c>
    </row>
    <row r="16" spans="1:8" x14ac:dyDescent="0.3">
      <c r="A16" s="29">
        <v>45641</v>
      </c>
      <c r="B16" s="9" t="s">
        <v>63</v>
      </c>
      <c r="C16" s="9" t="s">
        <v>1</v>
      </c>
      <c r="D16" s="10">
        <v>20</v>
      </c>
      <c r="E16" s="17">
        <f>LOOKUP(1,1/('[1]PURCHASE PRICE'!$B:$B=B16)/('[1]PURCHASE PRICE'!$A:$A=A16)/('[1]PURCHASE PRICE'!$C:$C=C16),'[1]PURCHASE PRICE'!$D:$D)</f>
        <v>16000</v>
      </c>
      <c r="F16" s="17">
        <f>LOOKUP(1,1/('[1]PURCHASE PRICE'!$B:$B=B16)/('[1]PURCHASE PRICE'!$A:$A=A16),'[1]PURCHASE PRICE'!$D:$D)</f>
        <v>16000</v>
      </c>
      <c r="G16" s="17">
        <v>16000</v>
      </c>
      <c r="H16" s="17">
        <f t="shared" si="0"/>
        <v>320000</v>
      </c>
    </row>
    <row r="17" spans="1:8" x14ac:dyDescent="0.3">
      <c r="A17" s="29">
        <v>45641</v>
      </c>
      <c r="B17" s="9" t="s">
        <v>21</v>
      </c>
      <c r="C17" s="9" t="s">
        <v>22</v>
      </c>
      <c r="D17" s="10">
        <v>90</v>
      </c>
      <c r="E17" s="17">
        <f>LOOKUP(1,1/('[1]PURCHASE PRICE'!$B:$B=B17)/('[1]PURCHASE PRICE'!$A:$A=A17)/('[1]PURCHASE PRICE'!$C:$C=C17),'[1]PURCHASE PRICE'!$D:$D)</f>
        <v>4300</v>
      </c>
      <c r="F17" s="17">
        <f>LOOKUP(1,1/('[1]PURCHASE PRICE'!$B:$B=B17)/('[1]PURCHASE PRICE'!$A:$A=A17),'[1]PURCHASE PRICE'!$D:$D)</f>
        <v>4300</v>
      </c>
      <c r="G17" s="17">
        <v>4300</v>
      </c>
      <c r="H17" s="17">
        <f t="shared" si="0"/>
        <v>387000</v>
      </c>
    </row>
    <row r="18" spans="1:8" x14ac:dyDescent="0.3">
      <c r="A18" s="29">
        <v>45641</v>
      </c>
      <c r="B18" s="9" t="s">
        <v>21</v>
      </c>
      <c r="C18" s="9" t="s">
        <v>23</v>
      </c>
      <c r="D18" s="10">
        <v>40</v>
      </c>
      <c r="E18" s="17">
        <f>LOOKUP(1,1/('[1]PURCHASE PRICE'!$B:$B=B18)/('[1]PURCHASE PRICE'!$A:$A=A18)/('[1]PURCHASE PRICE'!$C:$C=C18),'[1]PURCHASE PRICE'!$D:$D)</f>
        <v>1950</v>
      </c>
      <c r="F18" s="17">
        <f>LOOKUP(1,1/('[1]PURCHASE PRICE'!$B:$B=B18)/('[1]PURCHASE PRICE'!$A:$A=A18),'[1]PURCHASE PRICE'!$D:$D)</f>
        <v>4300</v>
      </c>
      <c r="G18" s="17">
        <v>1950</v>
      </c>
      <c r="H18" s="17">
        <f t="shared" si="0"/>
        <v>78000</v>
      </c>
    </row>
    <row r="19" spans="1:8" x14ac:dyDescent="0.3">
      <c r="A19" s="29">
        <v>45641</v>
      </c>
      <c r="B19" s="9" t="s">
        <v>69</v>
      </c>
      <c r="C19" s="9" t="s">
        <v>1</v>
      </c>
      <c r="D19" s="10">
        <v>35</v>
      </c>
      <c r="E19" s="17">
        <f>LOOKUP(1,1/('[1]PURCHASE PRICE'!$B:$B=B19)/('[1]PURCHASE PRICE'!$A:$A=A19)/('[1]PURCHASE PRICE'!$C:$C=C19),'[1]PURCHASE PRICE'!$D:$D)</f>
        <v>5000</v>
      </c>
      <c r="F19" s="17">
        <f>LOOKUP(1,1/('[1]PURCHASE PRICE'!$B:$B=B19)/('[1]PURCHASE PRICE'!$A:$A=A19),'[1]PURCHASE PRICE'!$D:$D)</f>
        <v>5000</v>
      </c>
      <c r="G19" s="17">
        <v>5000</v>
      </c>
      <c r="H19" s="17">
        <f t="shared" si="0"/>
        <v>175000</v>
      </c>
    </row>
    <row r="20" spans="1:8" x14ac:dyDescent="0.3">
      <c r="A20" s="29">
        <v>45641</v>
      </c>
      <c r="B20" s="9" t="s">
        <v>24</v>
      </c>
      <c r="C20" s="9" t="s">
        <v>25</v>
      </c>
      <c r="D20" s="10">
        <v>100</v>
      </c>
      <c r="E20" s="17">
        <f>F20*0.5</f>
        <v>5000</v>
      </c>
      <c r="F20" s="17">
        <f>LOOKUP(1,1/('[1]PURCHASE PRICE'!$B:$B=B20)/('[1]PURCHASE PRICE'!$A:$A=A20),'[1]PURCHASE PRICE'!$D:$D)</f>
        <v>10000</v>
      </c>
      <c r="G20" s="17">
        <v>5000</v>
      </c>
      <c r="H20" s="17">
        <f t="shared" si="0"/>
        <v>500000</v>
      </c>
    </row>
    <row r="21" spans="1:8" x14ac:dyDescent="0.3">
      <c r="A21" s="29">
        <v>45641</v>
      </c>
      <c r="B21" s="9" t="s">
        <v>27</v>
      </c>
      <c r="C21" s="9" t="s">
        <v>1</v>
      </c>
      <c r="D21" s="10">
        <v>36</v>
      </c>
      <c r="E21" s="17">
        <f>F21/0.3</f>
        <v>21666.666666666668</v>
      </c>
      <c r="F21" s="17">
        <f>LOOKUP(1,1/('[1]PURCHASE PRICE'!$B:$B=B21)/('[1]PURCHASE PRICE'!$A:$A=A21),'[1]PURCHASE PRICE'!$D:$D)</f>
        <v>6500</v>
      </c>
      <c r="G21" s="17">
        <v>21666.666666666668</v>
      </c>
      <c r="H21" s="17">
        <f t="shared" si="0"/>
        <v>780000</v>
      </c>
    </row>
    <row r="22" spans="1:8" x14ac:dyDescent="0.3">
      <c r="A22" s="29">
        <v>45641</v>
      </c>
      <c r="B22" s="9" t="s">
        <v>74</v>
      </c>
      <c r="C22" s="9" t="s">
        <v>1</v>
      </c>
      <c r="D22" s="10">
        <v>40</v>
      </c>
      <c r="E22" s="17">
        <f>LOOKUP(1,1/('[1]PURCHASE PRICE'!$B:$B=B22)/('[1]PURCHASE PRICE'!$A:$A=A22)/('[1]PURCHASE PRICE'!$C:$C=C22),'[1]PURCHASE PRICE'!$D:$D)</f>
        <v>11000</v>
      </c>
      <c r="F22" s="17">
        <f>LOOKUP(1,1/('[1]PURCHASE PRICE'!$B:$B=B22)/('[1]PURCHASE PRICE'!$A:$A=A22),'[1]PURCHASE PRICE'!$D:$D)</f>
        <v>11000</v>
      </c>
      <c r="G22" s="17">
        <v>11000</v>
      </c>
      <c r="H22" s="17">
        <f>G22*D22</f>
        <v>440000</v>
      </c>
    </row>
    <row r="23" spans="1:8" x14ac:dyDescent="0.3">
      <c r="A23" s="29">
        <v>45641</v>
      </c>
      <c r="B23" s="9" t="s">
        <v>29</v>
      </c>
      <c r="C23" s="9" t="s">
        <v>1</v>
      </c>
      <c r="D23" s="10">
        <v>100</v>
      </c>
      <c r="E23" s="17">
        <f>LOOKUP(1,1/('[1]PURCHASE PRICE'!$B:$B=B23)/('[1]PURCHASE PRICE'!$A:$A=A23)/('[1]PURCHASE PRICE'!$C:$C=C23),'[1]PURCHASE PRICE'!$D:$D)</f>
        <v>19000</v>
      </c>
      <c r="F23" s="17">
        <f>LOOKUP(1,1/('[1]PURCHASE PRICE'!$B:$B=B23)/('[1]PURCHASE PRICE'!$A:$A=A23),'[1]PURCHASE PRICE'!$D:$D)</f>
        <v>19000</v>
      </c>
      <c r="G23" s="17">
        <v>19000</v>
      </c>
      <c r="H23" s="17">
        <f t="shared" si="0"/>
        <v>1900000</v>
      </c>
    </row>
    <row r="24" spans="1:8" x14ac:dyDescent="0.3">
      <c r="A24" s="29">
        <v>45641</v>
      </c>
      <c r="B24" s="9" t="s">
        <v>30</v>
      </c>
      <c r="C24" s="9" t="s">
        <v>1</v>
      </c>
      <c r="D24" s="10">
        <v>100</v>
      </c>
      <c r="E24" s="17">
        <v>24000</v>
      </c>
      <c r="F24" s="17" t="e">
        <f>LOOKUP(1,1/('[1]PURCHASE PRICE'!$B:$B=B24)/('[1]PURCHASE PRICE'!$A:$A=A24),'[1]PURCHASE PRICE'!$D:$D)</f>
        <v>#N/A</v>
      </c>
      <c r="G24" s="17">
        <v>24000</v>
      </c>
      <c r="H24" s="17">
        <f t="shared" si="0"/>
        <v>2400000</v>
      </c>
    </row>
    <row r="25" spans="1:8" x14ac:dyDescent="0.3">
      <c r="A25" s="29">
        <v>45641</v>
      </c>
      <c r="B25" s="9" t="s">
        <v>31</v>
      </c>
      <c r="C25" s="9" t="s">
        <v>1</v>
      </c>
      <c r="D25" s="10">
        <v>60</v>
      </c>
      <c r="E25" s="17">
        <f>LOOKUP(1,1/('[1]PURCHASE PRICE'!$B:$B=B25)/('[1]PURCHASE PRICE'!$A:$A=A25)/('[1]PURCHASE PRICE'!$C:$C=C25),'[1]PURCHASE PRICE'!$D:$D)</f>
        <v>16000</v>
      </c>
      <c r="F25" s="17">
        <f>LOOKUP(1,1/('[1]PURCHASE PRICE'!$B:$B=B25)/('[1]PURCHASE PRICE'!$A:$A=A25),'[1]PURCHASE PRICE'!$D:$D)</f>
        <v>16000</v>
      </c>
      <c r="G25" s="17">
        <v>16000</v>
      </c>
      <c r="H25" s="17">
        <f t="shared" si="0"/>
        <v>960000</v>
      </c>
    </row>
    <row r="26" spans="1:8" x14ac:dyDescent="0.3">
      <c r="A26" s="29">
        <v>45641</v>
      </c>
      <c r="B26" s="9" t="s">
        <v>32</v>
      </c>
      <c r="C26" s="9" t="s">
        <v>1</v>
      </c>
      <c r="D26" s="10">
        <v>0</v>
      </c>
      <c r="E26" s="17">
        <f>LOOKUP(1,1/('[1]PURCHASE PRICE'!$B:$B=B26)/('[1]PURCHASE PRICE'!$A:$A=A26)/('[1]PURCHASE PRICE'!$C:$C=C26),'[1]PURCHASE PRICE'!$D:$D)</f>
        <v>25000</v>
      </c>
      <c r="F26" s="17">
        <f>LOOKUP(1,1/('[1]PURCHASE PRICE'!$B:$B=B26)/('[1]PURCHASE PRICE'!$A:$A=A26),'[1]PURCHASE PRICE'!$D:$D)</f>
        <v>25000</v>
      </c>
      <c r="G26" s="17">
        <v>25000</v>
      </c>
      <c r="H26" s="17">
        <f t="shared" si="0"/>
        <v>0</v>
      </c>
    </row>
    <row r="27" spans="1:8" x14ac:dyDescent="0.3">
      <c r="A27" s="29">
        <v>45641</v>
      </c>
      <c r="B27" s="9" t="s">
        <v>33</v>
      </c>
      <c r="C27" s="9" t="s">
        <v>22</v>
      </c>
      <c r="D27" s="10">
        <v>0</v>
      </c>
      <c r="E27" s="17">
        <f>LOOKUP(1,1/('[1]PURCHASE PRICE'!$B:$B=B27)/('[1]PURCHASE PRICE'!$A:$A=A27)/('[1]PURCHASE PRICE'!$C:$C=C27),'[1]PURCHASE PRICE'!$D:$D)</f>
        <v>6000</v>
      </c>
      <c r="F27" s="17">
        <f>LOOKUP(1,1/('[1]PURCHASE PRICE'!$B:$B=B27)/('[1]PURCHASE PRICE'!$A:$A=A27),'[1]PURCHASE PRICE'!$D:$D)</f>
        <v>6000</v>
      </c>
      <c r="G27" s="17">
        <v>6000</v>
      </c>
      <c r="H27" s="17">
        <f t="shared" si="0"/>
        <v>0</v>
      </c>
    </row>
    <row r="28" spans="1:8" x14ac:dyDescent="0.3">
      <c r="A28" s="29">
        <v>45641</v>
      </c>
      <c r="B28" s="9" t="s">
        <v>34</v>
      </c>
      <c r="C28" s="9" t="s">
        <v>36</v>
      </c>
      <c r="D28" s="10">
        <v>20</v>
      </c>
      <c r="E28" s="17">
        <f>LOOKUP(1,1/('[1]PURCHASE PRICE'!$B:$B=B28)/('[1]PURCHASE PRICE'!$A:$A=A28)/('[1]PURCHASE PRICE'!$C:$C=C28),'[1]PURCHASE PRICE'!$D:$D)</f>
        <v>7000</v>
      </c>
      <c r="F28" s="17">
        <f>LOOKUP(1,1/('[1]PURCHASE PRICE'!$B:$B=B28)/('[1]PURCHASE PRICE'!$A:$A=A28),'[1]PURCHASE PRICE'!$D:$D)</f>
        <v>7000</v>
      </c>
      <c r="G28" s="17">
        <v>7000</v>
      </c>
      <c r="H28" s="17">
        <f t="shared" si="0"/>
        <v>140000</v>
      </c>
    </row>
    <row r="29" spans="1:8" x14ac:dyDescent="0.3">
      <c r="A29" s="29">
        <v>45641</v>
      </c>
      <c r="B29" s="9" t="s">
        <v>37</v>
      </c>
      <c r="C29" s="9" t="s">
        <v>11</v>
      </c>
      <c r="D29" s="10">
        <v>142</v>
      </c>
      <c r="E29" s="17">
        <f>LOOKUP(1,1/('[1]PURCHASE PRICE'!$B:$B=B29)/('[1]PURCHASE PRICE'!$A:$A=A29)/('[1]PURCHASE PRICE'!$C:$C=C29),'[1]PURCHASE PRICE'!$D:$D)</f>
        <v>6500</v>
      </c>
      <c r="F29" s="17">
        <f>LOOKUP(1,1/('[1]PURCHASE PRICE'!$B:$B=B29)/('[1]PURCHASE PRICE'!$A:$A=A29),'[1]PURCHASE PRICE'!$D:$D)</f>
        <v>6500</v>
      </c>
      <c r="G29" s="17">
        <v>6500</v>
      </c>
      <c r="H29" s="17">
        <f t="shared" si="0"/>
        <v>923000</v>
      </c>
    </row>
    <row r="30" spans="1:8" x14ac:dyDescent="0.3">
      <c r="A30" s="29">
        <v>45641</v>
      </c>
      <c r="B30" s="9" t="s">
        <v>38</v>
      </c>
      <c r="C30" s="9" t="s">
        <v>22</v>
      </c>
      <c r="D30" s="10">
        <v>20</v>
      </c>
      <c r="E30" s="17">
        <f>F30*0.6</f>
        <v>7200</v>
      </c>
      <c r="F30" s="17">
        <f>LOOKUP(1,1/('[1]PURCHASE PRICE'!$B:$B=B30)/('[1]PURCHASE PRICE'!$A:$A=A30),'[1]PURCHASE PRICE'!$D:$D)</f>
        <v>12000</v>
      </c>
      <c r="G30" s="17">
        <v>7200</v>
      </c>
      <c r="H30" s="17">
        <f t="shared" si="0"/>
        <v>144000</v>
      </c>
    </row>
    <row r="31" spans="1:8" x14ac:dyDescent="0.3">
      <c r="A31" s="29">
        <v>45641</v>
      </c>
      <c r="B31" s="9" t="s">
        <v>39</v>
      </c>
      <c r="C31" s="9" t="s">
        <v>1</v>
      </c>
      <c r="D31" s="10">
        <v>40</v>
      </c>
      <c r="E31" s="17">
        <f>LOOKUP(1,1/('[1]PURCHASE PRICE'!$B:$B=B31)/('[1]PURCHASE PRICE'!$A:$A=A31)/('[1]PURCHASE PRICE'!$C:$C=C31),'[1]PURCHASE PRICE'!$D:$D)</f>
        <v>6000</v>
      </c>
      <c r="F31" s="17">
        <f>LOOKUP(1,1/('[1]PURCHASE PRICE'!$B:$B=B31)/('[1]PURCHASE PRICE'!$A:$A=A31),'[1]PURCHASE PRICE'!$D:$D)</f>
        <v>6000</v>
      </c>
      <c r="G31" s="17">
        <v>6000</v>
      </c>
      <c r="H31" s="17">
        <f t="shared" si="0"/>
        <v>240000</v>
      </c>
    </row>
    <row r="32" spans="1:8" x14ac:dyDescent="0.3">
      <c r="A32" s="29">
        <v>45641</v>
      </c>
      <c r="B32" s="9" t="s">
        <v>40</v>
      </c>
      <c r="C32" s="9" t="s">
        <v>25</v>
      </c>
      <c r="D32" s="10">
        <v>150</v>
      </c>
      <c r="E32" s="17">
        <f>F32*0.15</f>
        <v>2700</v>
      </c>
      <c r="F32" s="17">
        <f>LOOKUP(1,1/('[1]PURCHASE PRICE'!$B:$B=B32)/('[1]PURCHASE PRICE'!$A:$A=A32),'[1]PURCHASE PRICE'!$D:$D)</f>
        <v>18000</v>
      </c>
      <c r="G32" s="17">
        <v>2700</v>
      </c>
      <c r="H32" s="17">
        <f t="shared" si="0"/>
        <v>405000</v>
      </c>
    </row>
    <row r="33" spans="1:8" x14ac:dyDescent="0.3">
      <c r="A33" s="29">
        <v>45641</v>
      </c>
      <c r="B33" s="9" t="s">
        <v>41</v>
      </c>
      <c r="C33" s="9" t="s">
        <v>16</v>
      </c>
      <c r="D33" s="10">
        <v>20</v>
      </c>
      <c r="E33" s="17">
        <f>F33*0.5</f>
        <v>100000</v>
      </c>
      <c r="F33" s="17">
        <f>LOOKUP(1,1/('[1]PURCHASE PRICE'!$B:$B=B33)/('[1]PURCHASE PRICE'!$A:$A=A33),'[1]PURCHASE PRICE'!$D:$D)</f>
        <v>200000</v>
      </c>
      <c r="G33" s="17">
        <v>100000</v>
      </c>
      <c r="H33" s="17">
        <f t="shared" si="0"/>
        <v>2000000</v>
      </c>
    </row>
    <row r="34" spans="1:8" x14ac:dyDescent="0.3">
      <c r="A34" s="29">
        <v>45641</v>
      </c>
      <c r="B34" s="9" t="s">
        <v>42</v>
      </c>
      <c r="C34" s="9" t="s">
        <v>1</v>
      </c>
      <c r="D34" s="10">
        <v>0</v>
      </c>
      <c r="E34" s="17">
        <v>25000</v>
      </c>
      <c r="F34" s="17" t="e">
        <f>LOOKUP(1,1/('[1]PURCHASE PRICE'!$B:$B=B34)/('[1]PURCHASE PRICE'!$A:$A=A34),'[1]PURCHASE PRICE'!$D:$D)</f>
        <v>#N/A</v>
      </c>
      <c r="G34" s="17">
        <v>25000</v>
      </c>
      <c r="H34" s="17">
        <f t="shared" si="0"/>
        <v>0</v>
      </c>
    </row>
    <row r="35" spans="1:8" x14ac:dyDescent="0.3">
      <c r="A35" s="29">
        <v>45641</v>
      </c>
      <c r="B35" s="9" t="s">
        <v>45</v>
      </c>
      <c r="C35" s="9" t="s">
        <v>22</v>
      </c>
      <c r="D35" s="10">
        <v>300</v>
      </c>
      <c r="E35" s="17">
        <f>LOOKUP(1,1/('[1]PURCHASE PRICE'!$B:$B=B35)/('[1]PURCHASE PRICE'!$A:$A=A35)/('[1]PURCHASE PRICE'!$C:$C=C35),'[1]PURCHASE PRICE'!$D:$D)</f>
        <v>1900</v>
      </c>
      <c r="F35" s="17">
        <f>LOOKUP(1,1/('[1]PURCHASE PRICE'!$B:$B=B35)/('[1]PURCHASE PRICE'!$A:$A=A35),'[1]PURCHASE PRICE'!$D:$D)</f>
        <v>1900</v>
      </c>
      <c r="G35" s="17">
        <v>1900</v>
      </c>
      <c r="H35" s="17">
        <f t="shared" si="0"/>
        <v>570000</v>
      </c>
    </row>
    <row r="36" spans="1:8" x14ac:dyDescent="0.3">
      <c r="A36" s="29">
        <v>45641</v>
      </c>
      <c r="B36" s="9" t="s">
        <v>70</v>
      </c>
      <c r="C36" s="9" t="s">
        <v>11</v>
      </c>
      <c r="D36" s="10">
        <v>20</v>
      </c>
      <c r="E36" s="17">
        <f>SUM(F38:F40)/3*0.35</f>
        <v>9566.6666666666661</v>
      </c>
      <c r="F36" s="17" t="e">
        <f>LOOKUP(1,1/('[1]PURCHASE PRICE'!$B:$B=B36)/('[1]PURCHASE PRICE'!$A:$A=A36),'[1]PURCHASE PRICE'!$D:$D)</f>
        <v>#N/A</v>
      </c>
      <c r="G36" s="17">
        <v>9566.6666666666661</v>
      </c>
      <c r="H36" s="17">
        <f t="shared" si="0"/>
        <v>191333.33333333331</v>
      </c>
    </row>
    <row r="37" spans="1:8" x14ac:dyDescent="0.3">
      <c r="A37" s="29">
        <v>45641</v>
      </c>
      <c r="B37" s="9" t="s">
        <v>64</v>
      </c>
      <c r="C37" s="9" t="s">
        <v>1</v>
      </c>
      <c r="D37" s="10">
        <v>30</v>
      </c>
      <c r="E37" s="17">
        <f>LOOKUP(1,1/('[1]PURCHASE PRICE'!$B:$B=B37)/('[1]PURCHASE PRICE'!$A:$A=A37)/('[1]PURCHASE PRICE'!$C:$C=C37),'[1]PURCHASE PRICE'!$D:$D)</f>
        <v>50000</v>
      </c>
      <c r="F37" s="17">
        <f>LOOKUP(1,1/('[1]PURCHASE PRICE'!$B:$B=B37)/('[1]PURCHASE PRICE'!$A:$A=A37),'[1]PURCHASE PRICE'!$D:$D)</f>
        <v>50000</v>
      </c>
      <c r="G37" s="17">
        <v>50000</v>
      </c>
      <c r="H37" s="17">
        <f t="shared" si="0"/>
        <v>1500000</v>
      </c>
    </row>
    <row r="38" spans="1:8" x14ac:dyDescent="0.3">
      <c r="A38" s="29">
        <v>45641</v>
      </c>
      <c r="B38" s="9" t="s">
        <v>47</v>
      </c>
      <c r="C38" s="9" t="s">
        <v>7</v>
      </c>
      <c r="D38" s="10">
        <v>150</v>
      </c>
      <c r="E38" s="17">
        <f>F38*0.25</f>
        <v>8250</v>
      </c>
      <c r="F38" s="17">
        <f>LOOKUP(1,1/('[1]PURCHASE PRICE'!$B:$B=B38)/('[1]PURCHASE PRICE'!$A:$A=A38),'[1]PURCHASE PRICE'!$D:$D)</f>
        <v>33000</v>
      </c>
      <c r="G38" s="17">
        <v>8250</v>
      </c>
      <c r="H38" s="17">
        <f t="shared" si="0"/>
        <v>1237500</v>
      </c>
    </row>
    <row r="39" spans="1:8" x14ac:dyDescent="0.3">
      <c r="A39" s="29">
        <v>45641</v>
      </c>
      <c r="B39" s="9" t="s">
        <v>50</v>
      </c>
      <c r="C39" s="9" t="s">
        <v>7</v>
      </c>
      <c r="D39" s="10">
        <v>250</v>
      </c>
      <c r="E39" s="17">
        <f t="shared" ref="E39:E40" si="1">F39*0.25</f>
        <v>8000</v>
      </c>
      <c r="F39" s="17">
        <f>LOOKUP(1,1/('[1]PURCHASE PRICE'!$B:$B=B39)/('[1]PURCHASE PRICE'!$A:$A=A39),'[1]PURCHASE PRICE'!$D:$D)</f>
        <v>32000</v>
      </c>
      <c r="G39" s="17">
        <v>8000</v>
      </c>
      <c r="H39" s="17">
        <f t="shared" si="0"/>
        <v>2000000</v>
      </c>
    </row>
    <row r="40" spans="1:8" x14ac:dyDescent="0.3">
      <c r="A40" s="29">
        <v>45641</v>
      </c>
      <c r="B40" s="9" t="s">
        <v>51</v>
      </c>
      <c r="C40" s="9" t="s">
        <v>7</v>
      </c>
      <c r="D40" s="10">
        <v>20</v>
      </c>
      <c r="E40" s="17">
        <f t="shared" si="1"/>
        <v>4250</v>
      </c>
      <c r="F40" s="17">
        <f>LOOKUP(1,1/('[1]PURCHASE PRICE'!$B:$B=B40)/('[1]PURCHASE PRICE'!$A:$A=A40),'[1]PURCHASE PRICE'!$D:$D)</f>
        <v>17000</v>
      </c>
      <c r="G40" s="17">
        <v>4250</v>
      </c>
      <c r="H40" s="17">
        <f t="shared" si="0"/>
        <v>85000</v>
      </c>
    </row>
    <row r="41" spans="1:8" x14ac:dyDescent="0.3">
      <c r="A41" s="29">
        <v>45641</v>
      </c>
      <c r="B41" s="9" t="s">
        <v>52</v>
      </c>
      <c r="C41" s="9" t="s">
        <v>22</v>
      </c>
      <c r="D41" s="10">
        <v>210</v>
      </c>
      <c r="E41" s="17">
        <f>LOOKUP(1,1/('[1]PURCHASE PRICE'!$B:$B=B41)/('[1]PURCHASE PRICE'!$A:$A=A41)/('[1]PURCHASE PRICE'!$C:$C=C41),'[1]PURCHASE PRICE'!$D:$D)</f>
        <v>21000</v>
      </c>
      <c r="F41" s="17">
        <f>LOOKUP(1,1/('[1]PURCHASE PRICE'!$B:$B=B41)/('[1]PURCHASE PRICE'!$A:$A=A41),'[1]PURCHASE PRICE'!$D:$D)</f>
        <v>21000</v>
      </c>
      <c r="G41" s="17">
        <v>21000</v>
      </c>
      <c r="H41" s="17">
        <f t="shared" si="0"/>
        <v>4410000</v>
      </c>
    </row>
    <row r="42" spans="1:8" x14ac:dyDescent="0.3">
      <c r="A42" s="29">
        <v>45641</v>
      </c>
      <c r="B42" s="9" t="s">
        <v>53</v>
      </c>
      <c r="C42" s="9" t="s">
        <v>1</v>
      </c>
      <c r="D42" s="10">
        <v>10</v>
      </c>
      <c r="E42" s="17">
        <f>LOOKUP(1,1/('[1]PURCHASE PRICE'!$B:$B=B42)/('[1]PURCHASE PRICE'!$A:$A=A42)/('[1]PURCHASE PRICE'!$C:$C=C42),'[1]PURCHASE PRICE'!$D:$D)</f>
        <v>35000</v>
      </c>
      <c r="F42" s="17">
        <f>LOOKUP(1,1/('[1]PURCHASE PRICE'!$B:$B=B42)/('[1]PURCHASE PRICE'!$A:$A=A42),'[1]PURCHASE PRICE'!$D:$D)</f>
        <v>35000</v>
      </c>
      <c r="G42" s="17">
        <v>35000</v>
      </c>
      <c r="H42" s="17">
        <f t="shared" si="0"/>
        <v>350000</v>
      </c>
    </row>
    <row r="43" spans="1:8" x14ac:dyDescent="0.3">
      <c r="A43" s="29">
        <v>45641</v>
      </c>
      <c r="B43" s="9" t="s">
        <v>75</v>
      </c>
      <c r="C43" s="9" t="s">
        <v>1</v>
      </c>
      <c r="D43" s="10">
        <v>10</v>
      </c>
      <c r="E43" s="17">
        <f>LOOKUP(1,1/('[1]PURCHASE PRICE'!$B:$B=B43)/('[1]PURCHASE PRICE'!$A:$A=A43)/('[1]PURCHASE PRICE'!$C:$C=C43),'[1]PURCHASE PRICE'!$D:$D)</f>
        <v>55000</v>
      </c>
      <c r="F43" s="17">
        <f>LOOKUP(1,1/('[1]PURCHASE PRICE'!$B:$B=B43)/('[1]PURCHASE PRICE'!$A:$A=A43),'[1]PURCHASE PRICE'!$D:$D)</f>
        <v>55000</v>
      </c>
      <c r="G43" s="17">
        <v>55000</v>
      </c>
      <c r="H43" s="17">
        <f t="shared" si="0"/>
        <v>550000</v>
      </c>
    </row>
    <row r="44" spans="1:8" x14ac:dyDescent="0.3">
      <c r="A44" s="29">
        <v>45641</v>
      </c>
      <c r="B44" s="9" t="s">
        <v>54</v>
      </c>
      <c r="C44" s="9" t="s">
        <v>1</v>
      </c>
      <c r="D44" s="10">
        <v>60</v>
      </c>
      <c r="E44" s="17">
        <f>LOOKUP(1,1/('[1]PURCHASE PRICE'!$B:$B=B44)/('[1]PURCHASE PRICE'!$A:$A=A44)/('[1]PURCHASE PRICE'!$C:$C=C44),'[1]PURCHASE PRICE'!$D:$D)</f>
        <v>12000</v>
      </c>
      <c r="F44" s="17">
        <f>LOOKUP(1,1/('[1]PURCHASE PRICE'!$B:$B=B44)/('[1]PURCHASE PRICE'!$A:$A=A44),'[1]PURCHASE PRICE'!$D:$D)</f>
        <v>12000</v>
      </c>
      <c r="G44" s="17">
        <v>12000</v>
      </c>
      <c r="H44" s="17">
        <f t="shared" si="0"/>
        <v>720000</v>
      </c>
    </row>
    <row r="45" spans="1:8" x14ac:dyDescent="0.3">
      <c r="A45" s="29">
        <v>45641</v>
      </c>
      <c r="B45" s="9" t="s">
        <v>55</v>
      </c>
      <c r="C45" s="9" t="s">
        <v>25</v>
      </c>
      <c r="D45" s="10">
        <v>100</v>
      </c>
      <c r="E45" s="17">
        <f>LOOKUP(1,1/('[1]PURCHASE PRICE'!$B:$B=B45)/('[1]PURCHASE PRICE'!$A:$A=A45)/('[1]PURCHASE PRICE'!$C:$C=C45),'[1]PURCHASE PRICE'!$D:$D)</f>
        <v>6800</v>
      </c>
      <c r="F45" s="17">
        <f>LOOKUP(1,1/('[1]PURCHASE PRICE'!$B:$B=B45)/('[1]PURCHASE PRICE'!$A:$A=A45),'[1]PURCHASE PRICE'!$D:$D)</f>
        <v>6800</v>
      </c>
      <c r="G45" s="17">
        <v>6800</v>
      </c>
      <c r="H45" s="17">
        <f t="shared" si="0"/>
        <v>680000</v>
      </c>
    </row>
    <row r="46" spans="1:8" x14ac:dyDescent="0.3">
      <c r="A46" s="29">
        <v>45641</v>
      </c>
      <c r="B46" s="9" t="s">
        <v>66</v>
      </c>
      <c r="C46" s="9" t="s">
        <v>1</v>
      </c>
      <c r="D46" s="10">
        <v>60</v>
      </c>
      <c r="E46" s="17">
        <v>28000</v>
      </c>
      <c r="F46" s="17" t="e">
        <f>LOOKUP(1,1/('[1]PURCHASE PRICE'!$B:$B=B46)/('[1]PURCHASE PRICE'!$A:$A=A46),'[1]PURCHASE PRICE'!$D:$D)</f>
        <v>#N/A</v>
      </c>
      <c r="G46" s="17">
        <v>28000</v>
      </c>
      <c r="H46" s="17">
        <f t="shared" si="0"/>
        <v>1680000</v>
      </c>
    </row>
    <row r="47" spans="1:8" x14ac:dyDescent="0.3">
      <c r="A47" s="29">
        <v>45641</v>
      </c>
      <c r="B47" s="9" t="s">
        <v>57</v>
      </c>
      <c r="C47" s="9" t="s">
        <v>25</v>
      </c>
      <c r="D47" s="10">
        <v>20</v>
      </c>
      <c r="E47" s="17">
        <f>LOOKUP(1,1/('[1]PURCHASE PRICE'!$B:$B=B47)/('[1]PURCHASE PRICE'!$A:$A=A47)/('[1]PURCHASE PRICE'!$C:$C=C47),'[1]PURCHASE PRICE'!$D:$D)</f>
        <v>6800</v>
      </c>
      <c r="F47" s="17">
        <f>LOOKUP(1,1/('[1]PURCHASE PRICE'!$B:$B=B47)/('[1]PURCHASE PRICE'!$A:$A=A47),'[1]PURCHASE PRICE'!$D:$D)</f>
        <v>6800</v>
      </c>
      <c r="G47" s="17">
        <v>6800</v>
      </c>
      <c r="H47" s="17">
        <f t="shared" si="0"/>
        <v>136000</v>
      </c>
    </row>
    <row r="48" spans="1:8" x14ac:dyDescent="0.3">
      <c r="A48" s="29">
        <v>45641</v>
      </c>
      <c r="B48" s="9" t="s">
        <v>58</v>
      </c>
      <c r="C48" s="9" t="s">
        <v>1</v>
      </c>
      <c r="D48" s="10">
        <v>18</v>
      </c>
      <c r="E48" s="17">
        <f>LOOKUP(1,1/('[1]PURCHASE PRICE'!$B:$B=B48)/('[1]PURCHASE PRICE'!$A:$A=A48)/('[1]PURCHASE PRICE'!$C:$C=C48),'[1]PURCHASE PRICE'!$D:$D)</f>
        <v>14000</v>
      </c>
      <c r="F48" s="17">
        <f>LOOKUP(1,1/('[1]PURCHASE PRICE'!$B:$B=B48)/('[1]PURCHASE PRICE'!$A:$A=A48),'[1]PURCHASE PRICE'!$D:$D)</f>
        <v>14000</v>
      </c>
      <c r="G48" s="17">
        <v>14000</v>
      </c>
      <c r="H48" s="17">
        <f t="shared" si="0"/>
        <v>252000</v>
      </c>
    </row>
    <row r="49" spans="1:8" x14ac:dyDescent="0.3">
      <c r="A49" s="29">
        <v>45641</v>
      </c>
      <c r="B49" s="9" t="s">
        <v>60</v>
      </c>
      <c r="C49" s="9" t="s">
        <v>1</v>
      </c>
      <c r="D49" s="10">
        <v>15</v>
      </c>
      <c r="E49" s="17">
        <f>LOOKUP(1,1/('[1]PURCHASE PRICE'!$B:$B=B49)/('[1]PURCHASE PRICE'!$A:$A=A49)/('[1]PURCHASE PRICE'!$C:$C=C49),'[1]PURCHASE PRICE'!$D:$D)</f>
        <v>10000</v>
      </c>
      <c r="F49" s="17">
        <f>LOOKUP(1,1/('[1]PURCHASE PRICE'!$B:$B=B49)/('[1]PURCHASE PRICE'!$A:$A=A49),'[1]PURCHASE PRICE'!$D:$D)</f>
        <v>10000</v>
      </c>
      <c r="G49" s="17">
        <v>10000</v>
      </c>
      <c r="H49" s="17">
        <f t="shared" si="0"/>
        <v>150000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"/>
  <dimension ref="A1:H55"/>
  <sheetViews>
    <sheetView workbookViewId="0">
      <selection activeCell="F60" sqref="F60"/>
    </sheetView>
  </sheetViews>
  <sheetFormatPr defaultRowHeight="13.8" x14ac:dyDescent="0.25"/>
  <cols>
    <col min="1" max="1" width="11" style="79" bestFit="1" customWidth="1"/>
    <col min="2" max="2" width="27.77734375" style="1" customWidth="1"/>
    <col min="3" max="3" width="11" style="1" bestFit="1" customWidth="1"/>
    <col min="4" max="4" width="18" style="1" bestFit="1" customWidth="1"/>
    <col min="5" max="5" width="13" style="1" bestFit="1" customWidth="1"/>
    <col min="6" max="6" width="11.44140625" style="1" customWidth="1"/>
    <col min="7" max="7" width="11.5546875" style="80" bestFit="1" customWidth="1"/>
    <col min="8" max="8" width="15.44140625" style="80" bestFit="1" customWidth="1"/>
    <col min="9" max="16384" width="8.88671875" style="1"/>
  </cols>
  <sheetData>
    <row r="1" spans="1:8" ht="15.6" x14ac:dyDescent="0.3">
      <c r="B1" s="1" t="s">
        <v>206</v>
      </c>
      <c r="H1" s="81">
        <f>SUM(H3:H55)</f>
        <v>50053400</v>
      </c>
    </row>
    <row r="2" spans="1:8" x14ac:dyDescent="0.25">
      <c r="A2" s="82" t="s">
        <v>83</v>
      </c>
      <c r="B2" s="82" t="s">
        <v>80</v>
      </c>
      <c r="C2" s="83" t="s">
        <v>81</v>
      </c>
      <c r="D2" s="82" t="s">
        <v>82</v>
      </c>
      <c r="E2" s="84" t="s">
        <v>143</v>
      </c>
      <c r="F2" s="84" t="s">
        <v>144</v>
      </c>
      <c r="G2" s="84" t="s">
        <v>85</v>
      </c>
      <c r="H2" s="84" t="s">
        <v>86</v>
      </c>
    </row>
    <row r="3" spans="1:8" x14ac:dyDescent="0.25">
      <c r="A3" s="85">
        <v>45640</v>
      </c>
      <c r="B3" s="86" t="s">
        <v>0</v>
      </c>
      <c r="C3" s="86" t="s">
        <v>168</v>
      </c>
      <c r="D3" s="87">
        <v>20</v>
      </c>
      <c r="E3" s="88">
        <v>32000</v>
      </c>
      <c r="F3" s="88">
        <v>32000</v>
      </c>
      <c r="G3" s="88">
        <v>32000</v>
      </c>
      <c r="H3" s="88">
        <f>G3*D3</f>
        <v>640000</v>
      </c>
    </row>
    <row r="4" spans="1:8" x14ac:dyDescent="0.25">
      <c r="A4" s="85">
        <v>45640</v>
      </c>
      <c r="B4" s="86" t="s">
        <v>72</v>
      </c>
      <c r="C4" s="86" t="s">
        <v>168</v>
      </c>
      <c r="D4" s="87">
        <v>20</v>
      </c>
      <c r="E4" s="88">
        <f>LOOKUP(1,1/('[1]PURCHASE PRICE'!$B:$B=B4)/('[1]PURCHASE PRICE'!$A:$A=A4)/('[1]PURCHASE PRICE'!$C:$C=C4),'[1]PURCHASE PRICE'!$D:$D)</f>
        <v>5500</v>
      </c>
      <c r="F4" s="88">
        <f>LOOKUP(1,1/('[1]PURCHASE PRICE'!$B:$B=B4)/('[1]PURCHASE PRICE'!$A:$A=A4),'[1]PURCHASE PRICE'!$D:$D)</f>
        <v>5500</v>
      </c>
      <c r="G4" s="88">
        <v>5500</v>
      </c>
      <c r="H4" s="88">
        <f t="shared" ref="H4:H54" si="0">G4*D4</f>
        <v>110000</v>
      </c>
    </row>
    <row r="5" spans="1:8" x14ac:dyDescent="0.25">
      <c r="A5" s="85">
        <v>45640</v>
      </c>
      <c r="B5" s="86" t="s">
        <v>2</v>
      </c>
      <c r="C5" s="86" t="s">
        <v>168</v>
      </c>
      <c r="D5" s="87">
        <v>0</v>
      </c>
      <c r="E5" s="88">
        <v>0</v>
      </c>
      <c r="F5" s="88">
        <v>0</v>
      </c>
      <c r="G5" s="88">
        <v>0</v>
      </c>
      <c r="H5" s="88">
        <f t="shared" si="0"/>
        <v>0</v>
      </c>
    </row>
    <row r="6" spans="1:8" x14ac:dyDescent="0.25">
      <c r="A6" s="85">
        <v>45640</v>
      </c>
      <c r="B6" s="86" t="s">
        <v>3</v>
      </c>
      <c r="C6" s="86" t="s">
        <v>7</v>
      </c>
      <c r="D6" s="87">
        <v>250</v>
      </c>
      <c r="E6" s="88">
        <f>F6*0.3</f>
        <v>4200</v>
      </c>
      <c r="F6" s="88">
        <f>LOOKUP(1,1/('[1]PURCHASE PRICE'!$B:$B=B6)/('[1]PURCHASE PRICE'!$A:$A=A6),'[1]PURCHASE PRICE'!$D:$D)</f>
        <v>14000</v>
      </c>
      <c r="G6" s="89">
        <v>4200</v>
      </c>
      <c r="H6" s="88">
        <f t="shared" si="0"/>
        <v>1050000</v>
      </c>
    </row>
    <row r="7" spans="1:8" x14ac:dyDescent="0.25">
      <c r="A7" s="85">
        <v>45640</v>
      </c>
      <c r="B7" s="86" t="s">
        <v>5</v>
      </c>
      <c r="C7" s="86" t="s">
        <v>7</v>
      </c>
      <c r="D7" s="87">
        <v>200</v>
      </c>
      <c r="E7" s="88">
        <f>F7*0.3</f>
        <v>3900</v>
      </c>
      <c r="F7" s="88">
        <f>LOOKUP(1,1/('[1]PURCHASE PRICE'!$B:$B=B7)/('[1]PURCHASE PRICE'!$A:$A=A7),'[1]PURCHASE PRICE'!$D:$D)</f>
        <v>13000</v>
      </c>
      <c r="G7" s="89">
        <v>3900</v>
      </c>
      <c r="H7" s="88">
        <f t="shared" si="0"/>
        <v>780000</v>
      </c>
    </row>
    <row r="8" spans="1:8" x14ac:dyDescent="0.25">
      <c r="A8" s="85">
        <v>45640</v>
      </c>
      <c r="B8" s="86" t="s">
        <v>8</v>
      </c>
      <c r="C8" s="86" t="s">
        <v>11</v>
      </c>
      <c r="D8" s="87">
        <v>42</v>
      </c>
      <c r="E8" s="88">
        <f>LOOKUP(1,1/('[1]PURCHASE PRICE'!$B:$B=B8)/('[1]PURCHASE PRICE'!$A:$A=A8)/('[1]PURCHASE PRICE'!$C:$C=C8),'[1]PURCHASE PRICE'!$D:$D)</f>
        <v>7600</v>
      </c>
      <c r="F8" s="88">
        <f>LOOKUP(1,1/('[1]PURCHASE PRICE'!$B:$B=B8)/('[1]PURCHASE PRICE'!$A:$A=A8),'[1]PURCHASE PRICE'!$D:$D)</f>
        <v>7600</v>
      </c>
      <c r="G8" s="88">
        <v>7600</v>
      </c>
      <c r="H8" s="88">
        <f t="shared" si="0"/>
        <v>319200</v>
      </c>
    </row>
    <row r="9" spans="1:8" x14ac:dyDescent="0.25">
      <c r="A9" s="85">
        <v>45640</v>
      </c>
      <c r="B9" s="86" t="s">
        <v>9</v>
      </c>
      <c r="C9" s="86" t="s">
        <v>168</v>
      </c>
      <c r="D9" s="87">
        <v>100</v>
      </c>
      <c r="E9" s="88">
        <f>LOOKUP(1,1/('[1]PURCHASE PRICE'!$B:$B=B9)/('[1]PURCHASE PRICE'!$A:$A=A9)/('[1]PURCHASE PRICE'!$C:$C=C9),'[1]PURCHASE PRICE'!$D:$D)</f>
        <v>24000</v>
      </c>
      <c r="F9" s="88">
        <f>LOOKUP(1,1/('[1]PURCHASE PRICE'!$B:$B=B9)/('[1]PURCHASE PRICE'!$A:$A=A9),'[1]PURCHASE PRICE'!$D:$D)</f>
        <v>24000</v>
      </c>
      <c r="G9" s="88">
        <v>24000</v>
      </c>
      <c r="H9" s="88">
        <f t="shared" si="0"/>
        <v>2400000</v>
      </c>
    </row>
    <row r="10" spans="1:8" x14ac:dyDescent="0.25">
      <c r="A10" s="85">
        <v>45640</v>
      </c>
      <c r="B10" s="86" t="s">
        <v>10</v>
      </c>
      <c r="C10" s="86" t="s">
        <v>12</v>
      </c>
      <c r="D10" s="87">
        <v>202</v>
      </c>
      <c r="E10" s="88">
        <f>LOOKUP(1,1/('[1]PURCHASE PRICE'!$B:$B=B10)/('[1]PURCHASE PRICE'!$A:$A=A10)/('[1]PURCHASE PRICE'!$C:$C=C10),'[1]PURCHASE PRICE'!$D:$D)</f>
        <v>10000</v>
      </c>
      <c r="F10" s="88">
        <f>LOOKUP(1,1/('[1]PURCHASE PRICE'!$B:$B=B10)/('[1]PURCHASE PRICE'!$A:$A=A10),'[1]PURCHASE PRICE'!$D:$D)</f>
        <v>10000</v>
      </c>
      <c r="G10" s="88">
        <v>10000</v>
      </c>
      <c r="H10" s="88">
        <f t="shared" si="0"/>
        <v>2020000</v>
      </c>
    </row>
    <row r="11" spans="1:8" x14ac:dyDescent="0.25">
      <c r="A11" s="85">
        <v>45640</v>
      </c>
      <c r="B11" s="86" t="s">
        <v>13</v>
      </c>
      <c r="C11" s="86" t="s">
        <v>14</v>
      </c>
      <c r="D11" s="87">
        <v>100</v>
      </c>
      <c r="E11" s="88">
        <f>LOOKUP(1,1/('[1]PURCHASE PRICE'!$B:$B=B11)/('[1]PURCHASE PRICE'!$A:$A=A11)/('[1]PURCHASE PRICE'!$C:$C=C11),'[1]PURCHASE PRICE'!$D:$D)</f>
        <v>9000</v>
      </c>
      <c r="F11" s="88">
        <f>LOOKUP(1,1/('[1]PURCHASE PRICE'!$B:$B=B11)/('[1]PURCHASE PRICE'!$A:$A=A11),'[1]PURCHASE PRICE'!$D:$D)</f>
        <v>9000</v>
      </c>
      <c r="G11" s="88">
        <v>9000</v>
      </c>
      <c r="H11" s="88">
        <f t="shared" si="0"/>
        <v>900000</v>
      </c>
    </row>
    <row r="12" spans="1:8" x14ac:dyDescent="0.25">
      <c r="A12" s="85">
        <v>45640</v>
      </c>
      <c r="B12" s="86" t="s">
        <v>17</v>
      </c>
      <c r="C12" s="86" t="s">
        <v>14</v>
      </c>
      <c r="D12" s="87">
        <v>192</v>
      </c>
      <c r="E12" s="88">
        <f>LOOKUP(1,1/('[1]PURCHASE PRICE'!$B:$B=B12)/('[1]PURCHASE PRICE'!$A:$A=A12)/('[1]PURCHASE PRICE'!$C:$C=C12),'[1]PURCHASE PRICE'!$D:$D)</f>
        <v>15600</v>
      </c>
      <c r="F12" s="88">
        <f>LOOKUP(1,1/('[1]PURCHASE PRICE'!$B:$B=B12)/('[1]PURCHASE PRICE'!$A:$A=A12),'[1]PURCHASE PRICE'!$D:$D)</f>
        <v>12000</v>
      </c>
      <c r="G12" s="88">
        <v>15600</v>
      </c>
      <c r="H12" s="88">
        <f t="shared" si="0"/>
        <v>2995200</v>
      </c>
    </row>
    <row r="13" spans="1:8" x14ac:dyDescent="0.25">
      <c r="A13" s="85">
        <v>45640</v>
      </c>
      <c r="B13" s="86" t="s">
        <v>19</v>
      </c>
      <c r="C13" s="86" t="s">
        <v>168</v>
      </c>
      <c r="D13" s="87">
        <v>20</v>
      </c>
      <c r="E13" s="88">
        <f>LOOKUP(1,1/('[1]PURCHASE PRICE'!$B:$B=B13)/('[1]PURCHASE PRICE'!$A:$A=A13)/('[1]PURCHASE PRICE'!$C:$C=C13),'[1]PURCHASE PRICE'!$D:$D)</f>
        <v>14000</v>
      </c>
      <c r="F13" s="88">
        <f>LOOKUP(1,1/('[1]PURCHASE PRICE'!$B:$B=B13)/('[1]PURCHASE PRICE'!$A:$A=A13),'[1]PURCHASE PRICE'!$D:$D)</f>
        <v>14000</v>
      </c>
      <c r="G13" s="88">
        <v>14000</v>
      </c>
      <c r="H13" s="88">
        <f t="shared" si="0"/>
        <v>280000</v>
      </c>
    </row>
    <row r="14" spans="1:8" x14ac:dyDescent="0.25">
      <c r="A14" s="85">
        <v>45640</v>
      </c>
      <c r="B14" s="86" t="s">
        <v>20</v>
      </c>
      <c r="C14" s="86" t="s">
        <v>11</v>
      </c>
      <c r="D14" s="87">
        <v>85</v>
      </c>
      <c r="E14" s="88">
        <f>LOOKUP(1,1/('[1]PURCHASE PRICE'!$B:$B=B14)/('[1]PURCHASE PRICE'!$A:$A=A14)/('[1]PURCHASE PRICE'!$C:$C=C14),'[1]PURCHASE PRICE'!$D:$D)</f>
        <v>9000</v>
      </c>
      <c r="F14" s="88">
        <f>LOOKUP(1,1/('[1]PURCHASE PRICE'!$B:$B=B14)/('[1]PURCHASE PRICE'!$A:$A=A14),'[1]PURCHASE PRICE'!$D:$D)</f>
        <v>9000</v>
      </c>
      <c r="G14" s="88">
        <v>9000</v>
      </c>
      <c r="H14" s="88">
        <f t="shared" si="0"/>
        <v>765000</v>
      </c>
    </row>
    <row r="15" spans="1:8" x14ac:dyDescent="0.25">
      <c r="A15" s="85">
        <v>45640</v>
      </c>
      <c r="B15" s="86" t="s">
        <v>63</v>
      </c>
      <c r="C15" s="86" t="s">
        <v>168</v>
      </c>
      <c r="D15" s="87">
        <v>40</v>
      </c>
      <c r="E15" s="88">
        <f>LOOKUP(1,1/('[1]PURCHASE PRICE'!$B:$B=B15)/('[1]PURCHASE PRICE'!$A:$A=A15)/('[1]PURCHASE PRICE'!$C:$C=C15),'[1]PURCHASE PRICE'!$D:$D)</f>
        <v>16000</v>
      </c>
      <c r="F15" s="88">
        <f>LOOKUP(1,1/('[1]PURCHASE PRICE'!$B:$B=B15)/('[1]PURCHASE PRICE'!$A:$A=A15),'[1]PURCHASE PRICE'!$D:$D)</f>
        <v>16000</v>
      </c>
      <c r="G15" s="88">
        <v>16000</v>
      </c>
      <c r="H15" s="88">
        <f t="shared" si="0"/>
        <v>640000</v>
      </c>
    </row>
    <row r="16" spans="1:8" x14ac:dyDescent="0.25">
      <c r="A16" s="85">
        <v>45640</v>
      </c>
      <c r="B16" s="86" t="s">
        <v>21</v>
      </c>
      <c r="C16" s="86" t="s">
        <v>22</v>
      </c>
      <c r="D16" s="87">
        <v>150</v>
      </c>
      <c r="E16" s="88">
        <f>LOOKUP(1,1/('[1]PURCHASE PRICE'!$B:$B=B16)/('[1]PURCHASE PRICE'!$A:$A=A16)/('[1]PURCHASE PRICE'!$C:$C=C16),'[1]PURCHASE PRICE'!$D:$D)</f>
        <v>4500</v>
      </c>
      <c r="F16" s="88">
        <f>LOOKUP(1,1/('[1]PURCHASE PRICE'!$B:$B=B16)/('[1]PURCHASE PRICE'!$A:$A=A16),'[1]PURCHASE PRICE'!$D:$D)</f>
        <v>4500</v>
      </c>
      <c r="G16" s="88">
        <v>4500</v>
      </c>
      <c r="H16" s="88">
        <f t="shared" si="0"/>
        <v>675000</v>
      </c>
    </row>
    <row r="17" spans="1:8" x14ac:dyDescent="0.25">
      <c r="A17" s="85">
        <v>45640</v>
      </c>
      <c r="B17" s="86" t="s">
        <v>21</v>
      </c>
      <c r="C17" s="86" t="s">
        <v>23</v>
      </c>
      <c r="D17" s="87">
        <v>20</v>
      </c>
      <c r="E17" s="88">
        <f>LOOKUP(1,1/('[1]PURCHASE PRICE'!$B:$B=B17)/('[1]PURCHASE PRICE'!$A:$A=A17)/('[1]PURCHASE PRICE'!$C:$C=C17),'[1]PURCHASE PRICE'!$D:$D)</f>
        <v>1950</v>
      </c>
      <c r="F17" s="88">
        <f>LOOKUP(1,1/('[1]PURCHASE PRICE'!$B:$B=B17)/('[1]PURCHASE PRICE'!$A:$A=A17),'[1]PURCHASE PRICE'!$D:$D)</f>
        <v>4500</v>
      </c>
      <c r="G17" s="88">
        <v>1950</v>
      </c>
      <c r="H17" s="88">
        <f t="shared" si="0"/>
        <v>39000</v>
      </c>
    </row>
    <row r="18" spans="1:8" x14ac:dyDescent="0.25">
      <c r="A18" s="85">
        <v>45640</v>
      </c>
      <c r="B18" s="86" t="s">
        <v>24</v>
      </c>
      <c r="C18" s="86" t="s">
        <v>25</v>
      </c>
      <c r="D18" s="87">
        <v>200</v>
      </c>
      <c r="E18" s="88">
        <f>F18*0.5</f>
        <v>9500</v>
      </c>
      <c r="F18" s="88">
        <f>LOOKUP(1,1/('[1]PURCHASE PRICE'!$B:$B=B18)/('[1]PURCHASE PRICE'!$A:$A=A18),'[1]PURCHASE PRICE'!$D:$D)</f>
        <v>19000</v>
      </c>
      <c r="G18" s="88">
        <v>9500</v>
      </c>
      <c r="H18" s="88">
        <f t="shared" si="0"/>
        <v>1900000</v>
      </c>
    </row>
    <row r="19" spans="1:8" x14ac:dyDescent="0.25">
      <c r="A19" s="85">
        <v>45640</v>
      </c>
      <c r="B19" s="86" t="s">
        <v>26</v>
      </c>
      <c r="C19" s="86" t="s">
        <v>11</v>
      </c>
      <c r="D19" s="87">
        <v>20</v>
      </c>
      <c r="E19" s="88">
        <f>LOOKUP(1,1/('[1]PURCHASE PRICE'!$B:$B=B19)/('[1]PURCHASE PRICE'!$A:$A=A19)/('[1]PURCHASE PRICE'!$C:$C=C19),'[1]PURCHASE PRICE'!$D:$D)</f>
        <v>6750</v>
      </c>
      <c r="F19" s="88">
        <f>LOOKUP(1,1/('[1]PURCHASE PRICE'!$B:$B=B19)/('[1]PURCHASE PRICE'!$A:$A=A19),'[1]PURCHASE PRICE'!$D:$D)</f>
        <v>6750</v>
      </c>
      <c r="G19" s="88">
        <v>6750</v>
      </c>
      <c r="H19" s="88">
        <f t="shared" si="0"/>
        <v>135000</v>
      </c>
    </row>
    <row r="20" spans="1:8" x14ac:dyDescent="0.25">
      <c r="A20" s="85">
        <v>45640</v>
      </c>
      <c r="B20" s="86" t="s">
        <v>27</v>
      </c>
      <c r="C20" s="86" t="s">
        <v>16</v>
      </c>
      <c r="D20" s="87">
        <v>30</v>
      </c>
      <c r="E20" s="88">
        <f>LOOKUP(1,1/('[1]PURCHASE PRICE'!$B:$B=B20)/('[1]PURCHASE PRICE'!$A:$A=A20)/('[1]PURCHASE PRICE'!$C:$C=C20),'[1]PURCHASE PRICE'!$D:$D)</f>
        <v>6500</v>
      </c>
      <c r="F20" s="88">
        <f>LOOKUP(1,1/('[1]PURCHASE PRICE'!$B:$B=B20)/('[1]PURCHASE PRICE'!$A:$A=A20),'[1]PURCHASE PRICE'!$D:$D)</f>
        <v>6500</v>
      </c>
      <c r="G20" s="88">
        <v>6500</v>
      </c>
      <c r="H20" s="88">
        <f t="shared" si="0"/>
        <v>195000</v>
      </c>
    </row>
    <row r="21" spans="1:8" x14ac:dyDescent="0.25">
      <c r="A21" s="85">
        <v>45640</v>
      </c>
      <c r="B21" s="86" t="s">
        <v>74</v>
      </c>
      <c r="C21" s="86" t="s">
        <v>168</v>
      </c>
      <c r="D21" s="87">
        <v>30</v>
      </c>
      <c r="E21" s="88">
        <f>LOOKUP(1,1/('[1]PURCHASE PRICE'!$B:$B=B21)/('[1]PURCHASE PRICE'!$A:$A=A21)/('[1]PURCHASE PRICE'!$C:$C=C21),'[1]PURCHASE PRICE'!$D:$D)</f>
        <v>11000</v>
      </c>
      <c r="F21" s="88">
        <f>LOOKUP(1,1/('[1]PURCHASE PRICE'!$B:$B=B21)/('[1]PURCHASE PRICE'!$A:$A=A21),'[1]PURCHASE PRICE'!$D:$D)</f>
        <v>11000</v>
      </c>
      <c r="G21" s="88">
        <v>11000</v>
      </c>
      <c r="H21" s="88">
        <f t="shared" si="0"/>
        <v>330000</v>
      </c>
    </row>
    <row r="22" spans="1:8" x14ac:dyDescent="0.25">
      <c r="A22" s="85">
        <v>45640</v>
      </c>
      <c r="B22" s="86" t="s">
        <v>77</v>
      </c>
      <c r="C22" s="86" t="s">
        <v>168</v>
      </c>
      <c r="D22" s="87">
        <v>40</v>
      </c>
      <c r="E22" s="88">
        <f>LOOKUP(1,1/('[1]PURCHASE PRICE'!$B:$B=B22)/('[1]PURCHASE PRICE'!$A:$A=A22)/('[1]PURCHASE PRICE'!$C:$C=C22),'[1]PURCHASE PRICE'!$D:$D)</f>
        <v>20000</v>
      </c>
      <c r="F22" s="88">
        <f>LOOKUP(1,1/('[1]PURCHASE PRICE'!$B:$B=B22)/('[1]PURCHASE PRICE'!$A:$A=A22),'[1]PURCHASE PRICE'!$D:$D)</f>
        <v>20000</v>
      </c>
      <c r="G22" s="88">
        <v>20000</v>
      </c>
      <c r="H22" s="88">
        <f t="shared" si="0"/>
        <v>800000</v>
      </c>
    </row>
    <row r="23" spans="1:8" x14ac:dyDescent="0.25">
      <c r="A23" s="85">
        <v>45640</v>
      </c>
      <c r="B23" s="86" t="s">
        <v>30</v>
      </c>
      <c r="C23" s="86" t="s">
        <v>168</v>
      </c>
      <c r="D23" s="87">
        <v>100</v>
      </c>
      <c r="E23" s="88">
        <v>24000</v>
      </c>
      <c r="F23" s="88" t="e">
        <f>LOOKUP(1,1/('[1]PURCHASE PRICE'!$B:$B=B23)/('[1]PURCHASE PRICE'!$A:$A=A23),'[1]PURCHASE PRICE'!$D:$D)</f>
        <v>#N/A</v>
      </c>
      <c r="G23" s="88">
        <v>24000</v>
      </c>
      <c r="H23" s="88">
        <f t="shared" si="0"/>
        <v>2400000</v>
      </c>
    </row>
    <row r="24" spans="1:8" x14ac:dyDescent="0.25">
      <c r="A24" s="85">
        <v>45640</v>
      </c>
      <c r="B24" s="86" t="s">
        <v>31</v>
      </c>
      <c r="C24" s="86" t="s">
        <v>168</v>
      </c>
      <c r="D24" s="87">
        <v>300</v>
      </c>
      <c r="E24" s="88">
        <f>LOOKUP(1,1/('[1]PURCHASE PRICE'!$B:$B=B24)/('[1]PURCHASE PRICE'!$A:$A=A24)/('[1]PURCHASE PRICE'!$C:$C=C24),'[1]PURCHASE PRICE'!$D:$D)</f>
        <v>16000</v>
      </c>
      <c r="F24" s="88">
        <f>LOOKUP(1,1/('[1]PURCHASE PRICE'!$B:$B=B24)/('[1]PURCHASE PRICE'!$A:$A=A24),'[1]PURCHASE PRICE'!$D:$D)</f>
        <v>16000</v>
      </c>
      <c r="G24" s="88">
        <v>16000</v>
      </c>
      <c r="H24" s="88">
        <f t="shared" si="0"/>
        <v>4800000</v>
      </c>
    </row>
    <row r="25" spans="1:8" x14ac:dyDescent="0.25">
      <c r="A25" s="85">
        <v>45640</v>
      </c>
      <c r="B25" s="86" t="s">
        <v>32</v>
      </c>
      <c r="C25" s="86" t="s">
        <v>168</v>
      </c>
      <c r="D25" s="87">
        <v>0</v>
      </c>
      <c r="E25" s="88">
        <v>25000</v>
      </c>
      <c r="F25" s="88" t="e">
        <f>LOOKUP(1,1/('[1]PURCHASE PRICE'!$B:$B=B25)/('[1]PURCHASE PRICE'!$A:$A=A25),'[1]PURCHASE PRICE'!$D:$D)</f>
        <v>#N/A</v>
      </c>
      <c r="G25" s="88">
        <v>25000</v>
      </c>
      <c r="H25" s="88">
        <f t="shared" si="0"/>
        <v>0</v>
      </c>
    </row>
    <row r="26" spans="1:8" x14ac:dyDescent="0.25">
      <c r="A26" s="85">
        <v>45640</v>
      </c>
      <c r="B26" s="86" t="s">
        <v>139</v>
      </c>
      <c r="C26" s="86" t="s">
        <v>168</v>
      </c>
      <c r="D26" s="87">
        <v>50</v>
      </c>
      <c r="E26" s="88">
        <f>LOOKUP(1,1/('[1]PURCHASE PRICE'!$B:$B=B26)/('[1]PURCHASE PRICE'!$A:$A=A26)/('[1]PURCHASE PRICE'!$C:$C=C26),'[1]PURCHASE PRICE'!$D:$D)</f>
        <v>17000</v>
      </c>
      <c r="F26" s="88">
        <f>LOOKUP(1,1/('[1]PURCHASE PRICE'!$B:$B=B26)/('[1]PURCHASE PRICE'!$A:$A=A26),'[1]PURCHASE PRICE'!$D:$D)</f>
        <v>17000</v>
      </c>
      <c r="G26" s="88">
        <v>17000</v>
      </c>
      <c r="H26" s="88">
        <f t="shared" si="0"/>
        <v>850000</v>
      </c>
    </row>
    <row r="27" spans="1:8" x14ac:dyDescent="0.25">
      <c r="A27" s="85">
        <v>45640</v>
      </c>
      <c r="B27" s="86" t="s">
        <v>34</v>
      </c>
      <c r="C27" s="86" t="s">
        <v>36</v>
      </c>
      <c r="D27" s="87">
        <v>20</v>
      </c>
      <c r="E27" s="88">
        <f>LOOKUP(1,1/('[1]PURCHASE PRICE'!$B:$B=B27)/('[1]PURCHASE PRICE'!$A:$A=A27)/('[1]PURCHASE PRICE'!$C:$C=C27),'[1]PURCHASE PRICE'!$D:$D)</f>
        <v>6500</v>
      </c>
      <c r="F27" s="88">
        <f>LOOKUP(1,1/('[1]PURCHASE PRICE'!$B:$B=B27)/('[1]PURCHASE PRICE'!$A:$A=A27),'[1]PURCHASE PRICE'!$D:$D)</f>
        <v>6500</v>
      </c>
      <c r="G27" s="88">
        <v>6500</v>
      </c>
      <c r="H27" s="88">
        <f t="shared" si="0"/>
        <v>130000</v>
      </c>
    </row>
    <row r="28" spans="1:8" x14ac:dyDescent="0.25">
      <c r="A28" s="85">
        <v>45640</v>
      </c>
      <c r="B28" s="86" t="s">
        <v>35</v>
      </c>
      <c r="C28" s="86" t="s">
        <v>168</v>
      </c>
      <c r="D28" s="87">
        <v>7</v>
      </c>
      <c r="E28" s="88">
        <f>LOOKUP(1,1/('[1]PURCHASE PRICE'!$B:$B=B28)/('[1]PURCHASE PRICE'!$A:$A=A28)/('[1]PURCHASE PRICE'!$C:$C=C28),'[1]PURCHASE PRICE'!$D:$D)</f>
        <v>60000</v>
      </c>
      <c r="F28" s="88">
        <f>LOOKUP(1,1/('[1]PURCHASE PRICE'!$B:$B=B28)/('[1]PURCHASE PRICE'!$A:$A=A28),'[1]PURCHASE PRICE'!$D:$D)</f>
        <v>60000</v>
      </c>
      <c r="G28" s="88">
        <v>60000</v>
      </c>
      <c r="H28" s="88">
        <f t="shared" si="0"/>
        <v>420000</v>
      </c>
    </row>
    <row r="29" spans="1:8" x14ac:dyDescent="0.25">
      <c r="A29" s="85">
        <v>45640</v>
      </c>
      <c r="B29" s="86" t="s">
        <v>37</v>
      </c>
      <c r="C29" s="86" t="s">
        <v>11</v>
      </c>
      <c r="D29" s="87" t="s">
        <v>200</v>
      </c>
      <c r="E29" s="88">
        <f>LOOKUP(1,1/('[1]PURCHASE PRICE'!$B:$B=B29)/('[1]PURCHASE PRICE'!$A:$A=A29)/('[1]PURCHASE PRICE'!$C:$C=C29),'[1]PURCHASE PRICE'!$D:$D)</f>
        <v>6500</v>
      </c>
      <c r="F29" s="88">
        <f>LOOKUP(1,1/('[1]PURCHASE PRICE'!$B:$B=B29)/('[1]PURCHASE PRICE'!$A:$A=A29),'[1]PURCHASE PRICE'!$D:$D)</f>
        <v>6500</v>
      </c>
      <c r="G29" s="88">
        <v>6500</v>
      </c>
      <c r="H29" s="88">
        <f>6500*60+6500*100*2</f>
        <v>1690000</v>
      </c>
    </row>
    <row r="30" spans="1:8" x14ac:dyDescent="0.25">
      <c r="A30" s="85">
        <v>45640</v>
      </c>
      <c r="B30" s="86" t="s">
        <v>38</v>
      </c>
      <c r="C30" s="86" t="s">
        <v>22</v>
      </c>
      <c r="D30" s="87">
        <v>40</v>
      </c>
      <c r="E30" s="88">
        <f>F30*0.6</f>
        <v>5400</v>
      </c>
      <c r="F30" s="88">
        <f>LOOKUP(1,1/('[1]PURCHASE PRICE'!$B:$B=B30)/('[1]PURCHASE PRICE'!$A:$A=A30),'[1]PURCHASE PRICE'!$D:$D)</f>
        <v>9000</v>
      </c>
      <c r="G30" s="88">
        <v>5400</v>
      </c>
      <c r="H30" s="88">
        <f t="shared" si="0"/>
        <v>216000</v>
      </c>
    </row>
    <row r="31" spans="1:8" x14ac:dyDescent="0.25">
      <c r="A31" s="85">
        <v>45640</v>
      </c>
      <c r="B31" s="86" t="s">
        <v>39</v>
      </c>
      <c r="C31" s="86" t="s">
        <v>168</v>
      </c>
      <c r="D31" s="87">
        <v>20</v>
      </c>
      <c r="E31" s="88">
        <f>LOOKUP(1,1/('[1]PURCHASE PRICE'!$B:$B=B31)/('[1]PURCHASE PRICE'!$A:$A=A31)/('[1]PURCHASE PRICE'!$C:$C=C31),'[1]PURCHASE PRICE'!$D:$D)</f>
        <v>6000</v>
      </c>
      <c r="F31" s="88">
        <f>LOOKUP(1,1/('[1]PURCHASE PRICE'!$B:$B=B31)/('[1]PURCHASE PRICE'!$A:$A=A31),'[1]PURCHASE PRICE'!$D:$D)</f>
        <v>6000</v>
      </c>
      <c r="G31" s="88">
        <v>6000</v>
      </c>
      <c r="H31" s="88">
        <f t="shared" si="0"/>
        <v>120000</v>
      </c>
    </row>
    <row r="32" spans="1:8" x14ac:dyDescent="0.25">
      <c r="A32" s="85">
        <v>45640</v>
      </c>
      <c r="B32" s="86" t="s">
        <v>40</v>
      </c>
      <c r="C32" s="86" t="s">
        <v>25</v>
      </c>
      <c r="D32" s="87">
        <v>150</v>
      </c>
      <c r="E32" s="88">
        <f>F32*0.15</f>
        <v>3000</v>
      </c>
      <c r="F32" s="88">
        <f>LOOKUP(1,1/('[1]PURCHASE PRICE'!$B:$B=B32)/('[1]PURCHASE PRICE'!$A:$A=A32),'[1]PURCHASE PRICE'!$D:$D)</f>
        <v>20000</v>
      </c>
      <c r="G32" s="88">
        <v>3000</v>
      </c>
      <c r="H32" s="88">
        <f t="shared" si="0"/>
        <v>450000</v>
      </c>
    </row>
    <row r="33" spans="1:8" x14ac:dyDescent="0.25">
      <c r="A33" s="85">
        <v>45640</v>
      </c>
      <c r="B33" s="86" t="s">
        <v>201</v>
      </c>
      <c r="C33" s="86" t="s">
        <v>168</v>
      </c>
      <c r="D33" s="87">
        <v>0</v>
      </c>
      <c r="E33" s="88">
        <v>0</v>
      </c>
      <c r="F33" s="88">
        <v>0</v>
      </c>
      <c r="G33" s="88">
        <v>0</v>
      </c>
      <c r="H33" s="88">
        <f t="shared" si="0"/>
        <v>0</v>
      </c>
    </row>
    <row r="34" spans="1:8" x14ac:dyDescent="0.25">
      <c r="A34" s="85">
        <v>45640</v>
      </c>
      <c r="B34" s="86" t="s">
        <v>42</v>
      </c>
      <c r="C34" s="86" t="s">
        <v>168</v>
      </c>
      <c r="D34" s="87">
        <v>0</v>
      </c>
      <c r="E34" s="88">
        <v>0</v>
      </c>
      <c r="F34" s="88">
        <v>0</v>
      </c>
      <c r="G34" s="88">
        <v>0</v>
      </c>
      <c r="H34" s="88">
        <f t="shared" si="0"/>
        <v>0</v>
      </c>
    </row>
    <row r="35" spans="1:8" x14ac:dyDescent="0.25">
      <c r="A35" s="85">
        <v>45640</v>
      </c>
      <c r="B35" s="86" t="s">
        <v>43</v>
      </c>
      <c r="C35" s="86" t="s">
        <v>168</v>
      </c>
      <c r="D35" s="87">
        <v>0</v>
      </c>
      <c r="E35" s="88">
        <v>0</v>
      </c>
      <c r="F35" s="88">
        <v>0</v>
      </c>
      <c r="G35" s="88">
        <v>0</v>
      </c>
      <c r="H35" s="88">
        <f t="shared" si="0"/>
        <v>0</v>
      </c>
    </row>
    <row r="36" spans="1:8" x14ac:dyDescent="0.25">
      <c r="A36" s="85">
        <v>45640</v>
      </c>
      <c r="B36" s="86" t="s">
        <v>45</v>
      </c>
      <c r="C36" s="86" t="s">
        <v>22</v>
      </c>
      <c r="D36" s="87">
        <v>400</v>
      </c>
      <c r="E36" s="88">
        <f>LOOKUP(1,1/('[1]PURCHASE PRICE'!$B:$B=B36)/('[1]PURCHASE PRICE'!$A:$A=A36)/('[1]PURCHASE PRICE'!$C:$C=C36),'[1]PURCHASE PRICE'!$D:$D)</f>
        <v>1900</v>
      </c>
      <c r="F36" s="88">
        <f>LOOKUP(1,1/('[1]PURCHASE PRICE'!$B:$B=B36)/('[1]PURCHASE PRICE'!$A:$A=A36),'[1]PURCHASE PRICE'!$D:$D)</f>
        <v>1900</v>
      </c>
      <c r="G36" s="88">
        <v>1900</v>
      </c>
      <c r="H36" s="88">
        <f t="shared" si="0"/>
        <v>760000</v>
      </c>
    </row>
    <row r="37" spans="1:8" x14ac:dyDescent="0.25">
      <c r="A37" s="85">
        <v>45640</v>
      </c>
      <c r="B37" s="86" t="s">
        <v>141</v>
      </c>
      <c r="C37" s="86" t="s">
        <v>168</v>
      </c>
      <c r="D37" s="87">
        <v>8</v>
      </c>
      <c r="E37" s="88">
        <f>LOOKUP(1,1/('[1]PURCHASE PRICE'!$B:$B=B37)/('[1]PURCHASE PRICE'!$A:$A=A37)/('[1]PURCHASE PRICE'!$C:$C=C37),'[1]PURCHASE PRICE'!$D:$D)</f>
        <v>14000</v>
      </c>
      <c r="F37" s="88">
        <f>LOOKUP(1,1/('[1]PURCHASE PRICE'!$B:$B=B37)/('[1]PURCHASE PRICE'!$A:$A=A37),'[1]PURCHASE PRICE'!$D:$D)</f>
        <v>14000</v>
      </c>
      <c r="G37" s="88">
        <v>14000</v>
      </c>
      <c r="H37" s="88">
        <f t="shared" si="0"/>
        <v>112000</v>
      </c>
    </row>
    <row r="38" spans="1:8" x14ac:dyDescent="0.25">
      <c r="A38" s="85">
        <v>45640</v>
      </c>
      <c r="B38" s="86" t="s">
        <v>202</v>
      </c>
      <c r="C38" s="86" t="s">
        <v>1</v>
      </c>
      <c r="D38" s="87">
        <v>2</v>
      </c>
      <c r="E38" s="88">
        <f>LOOKUP(1,1/('[1]PURCHASE PRICE'!$B:$B=B38)/('[1]PURCHASE PRICE'!$A:$A=A38)/('[1]PURCHASE PRICE'!$C:$C=C38),'[1]PURCHASE PRICE'!$D:$D)</f>
        <v>32000</v>
      </c>
      <c r="F38" s="88">
        <f>LOOKUP(1,1/('[1]PURCHASE PRICE'!$B:$B=B38)/('[1]PURCHASE PRICE'!$A:$A=A38),'[1]PURCHASE PRICE'!$D:$D)</f>
        <v>32000</v>
      </c>
      <c r="G38" s="88">
        <v>32000</v>
      </c>
      <c r="H38" s="88">
        <f t="shared" si="0"/>
        <v>64000</v>
      </c>
    </row>
    <row r="39" spans="1:8" x14ac:dyDescent="0.25">
      <c r="A39" s="85">
        <v>45640</v>
      </c>
      <c r="B39" s="86" t="s">
        <v>46</v>
      </c>
      <c r="C39" s="86" t="s">
        <v>168</v>
      </c>
      <c r="D39" s="87">
        <v>30</v>
      </c>
      <c r="E39" s="88">
        <f>LOOKUP(1,1/('[1]PURCHASE PRICE'!$B:$B=B39)/('[1]PURCHASE PRICE'!$A:$A=A39)/('[1]PURCHASE PRICE'!$C:$C=C39),'[1]PURCHASE PRICE'!$D:$D)</f>
        <v>40000</v>
      </c>
      <c r="F39" s="88">
        <f>LOOKUP(1,1/('[1]PURCHASE PRICE'!$B:$B=B39)/('[1]PURCHASE PRICE'!$A:$A=A39),'[1]PURCHASE PRICE'!$D:$D)</f>
        <v>40000</v>
      </c>
      <c r="G39" s="88">
        <v>40000</v>
      </c>
      <c r="H39" s="88">
        <f t="shared" si="0"/>
        <v>1200000</v>
      </c>
    </row>
    <row r="40" spans="1:8" x14ac:dyDescent="0.25">
      <c r="A40" s="85">
        <v>45640</v>
      </c>
      <c r="B40" s="86" t="s">
        <v>64</v>
      </c>
      <c r="C40" s="86" t="s">
        <v>168</v>
      </c>
      <c r="D40" s="87">
        <v>25</v>
      </c>
      <c r="E40" s="88">
        <f>LOOKUP(1,1/('[1]PURCHASE PRICE'!$B:$B=B40)/('[1]PURCHASE PRICE'!$A:$A=A40)/('[1]PURCHASE PRICE'!$C:$C=C40),'[1]PURCHASE PRICE'!$D:$D)</f>
        <v>44000</v>
      </c>
      <c r="F40" s="88">
        <f>LOOKUP(1,1/('[1]PURCHASE PRICE'!$B:$B=B40)/('[1]PURCHASE PRICE'!$A:$A=A40),'[1]PURCHASE PRICE'!$D:$D)</f>
        <v>44000</v>
      </c>
      <c r="G40" s="88">
        <v>44000</v>
      </c>
      <c r="H40" s="88">
        <f t="shared" si="0"/>
        <v>1100000</v>
      </c>
    </row>
    <row r="41" spans="1:8" x14ac:dyDescent="0.25">
      <c r="A41" s="85">
        <v>45640</v>
      </c>
      <c r="B41" s="86" t="s">
        <v>47</v>
      </c>
      <c r="C41" s="86" t="s">
        <v>7</v>
      </c>
      <c r="D41" s="87" t="s">
        <v>203</v>
      </c>
      <c r="E41" s="88">
        <v>36000</v>
      </c>
      <c r="F41" s="88">
        <f>LOOKUP(1,1/('[1]PURCHASE PRICE'!$B:$B=B41)/('[1]PURCHASE PRICE'!$A:$A=A41),'[1]PURCHASE PRICE'!$D:$D)</f>
        <v>36000</v>
      </c>
      <c r="G41" s="88">
        <v>36000</v>
      </c>
      <c r="H41" s="88">
        <f>36000*40+36000*0.25*304</f>
        <v>4176000</v>
      </c>
    </row>
    <row r="42" spans="1:8" x14ac:dyDescent="0.25">
      <c r="A42" s="85">
        <v>45640</v>
      </c>
      <c r="B42" s="86" t="s">
        <v>48</v>
      </c>
      <c r="C42" s="86" t="s">
        <v>168</v>
      </c>
      <c r="D42" s="87">
        <v>10</v>
      </c>
      <c r="E42" s="88">
        <f>LOOKUP(1,1/('[1]PURCHASE PRICE'!$B:$B=B42)/('[1]PURCHASE PRICE'!$A:$A=A42)/('[1]PURCHASE PRICE'!$C:$C=C42),'[1]PURCHASE PRICE'!$D:$D)</f>
        <v>49000</v>
      </c>
      <c r="F42" s="88">
        <f>LOOKUP(1,1/('[1]PURCHASE PRICE'!$B:$B=B42)/('[1]PURCHASE PRICE'!$A:$A=A42),'[1]PURCHASE PRICE'!$D:$D)</f>
        <v>49000</v>
      </c>
      <c r="G42" s="88">
        <v>49000</v>
      </c>
      <c r="H42" s="88">
        <f t="shared" si="0"/>
        <v>490000</v>
      </c>
    </row>
    <row r="43" spans="1:8" x14ac:dyDescent="0.25">
      <c r="A43" s="85">
        <v>45640</v>
      </c>
      <c r="B43" s="86" t="s">
        <v>50</v>
      </c>
      <c r="C43" s="86" t="s">
        <v>7</v>
      </c>
      <c r="D43" s="87">
        <v>100</v>
      </c>
      <c r="E43" s="88">
        <f>F43*0.25</f>
        <v>7500</v>
      </c>
      <c r="F43" s="88">
        <f>LOOKUP(1,1/('[1]PURCHASE PRICE'!$B:$B=B43)/('[1]PURCHASE PRICE'!$A:$A=A43),'[1]PURCHASE PRICE'!$D:$D)</f>
        <v>30000</v>
      </c>
      <c r="G43" s="88">
        <v>7500</v>
      </c>
      <c r="H43" s="88">
        <f t="shared" si="0"/>
        <v>750000</v>
      </c>
    </row>
    <row r="44" spans="1:8" x14ac:dyDescent="0.25">
      <c r="A44" s="85">
        <v>45640</v>
      </c>
      <c r="B44" s="86" t="s">
        <v>51</v>
      </c>
      <c r="C44" s="86" t="s">
        <v>168</v>
      </c>
      <c r="D44" s="87">
        <v>20</v>
      </c>
      <c r="E44" s="88">
        <f>LOOKUP(1,1/('[1]PURCHASE PRICE'!$B:$B=B44)/('[1]PURCHASE PRICE'!$A:$A=A44)/('[1]PURCHASE PRICE'!$C:$C=C44),'[1]PURCHASE PRICE'!$D:$D)</f>
        <v>20000</v>
      </c>
      <c r="F44" s="88">
        <f>LOOKUP(1,1/('[1]PURCHASE PRICE'!$B:$B=B44)/('[1]PURCHASE PRICE'!$A:$A=A44),'[1]PURCHASE PRICE'!$D:$D)</f>
        <v>20000</v>
      </c>
      <c r="G44" s="88">
        <v>20000</v>
      </c>
      <c r="H44" s="88">
        <f t="shared" si="0"/>
        <v>400000</v>
      </c>
    </row>
    <row r="45" spans="1:8" x14ac:dyDescent="0.25">
      <c r="A45" s="85">
        <v>45640</v>
      </c>
      <c r="B45" s="86" t="s">
        <v>52</v>
      </c>
      <c r="C45" s="86" t="s">
        <v>168</v>
      </c>
      <c r="D45" s="87">
        <v>80</v>
      </c>
      <c r="E45" s="88">
        <v>60000</v>
      </c>
      <c r="F45" s="88">
        <v>21000</v>
      </c>
      <c r="G45" s="88">
        <v>60000</v>
      </c>
      <c r="H45" s="88">
        <f t="shared" si="0"/>
        <v>4800000</v>
      </c>
    </row>
    <row r="46" spans="1:8" x14ac:dyDescent="0.25">
      <c r="A46" s="85">
        <v>45640</v>
      </c>
      <c r="B46" s="86" t="s">
        <v>52</v>
      </c>
      <c r="C46" s="86" t="s">
        <v>22</v>
      </c>
      <c r="D46" s="87">
        <v>100</v>
      </c>
      <c r="E46" s="88">
        <f>LOOKUP(1,1/('[1]PURCHASE PRICE'!$B:$B=B46)/('[1]PURCHASE PRICE'!$A:$A=A46)/('[1]PURCHASE PRICE'!$C:$C=C46),'[1]PURCHASE PRICE'!$D:$D)</f>
        <v>21000</v>
      </c>
      <c r="F46" s="88">
        <v>21000</v>
      </c>
      <c r="G46" s="88">
        <v>21000</v>
      </c>
      <c r="H46" s="88">
        <f t="shared" si="0"/>
        <v>2100000</v>
      </c>
    </row>
    <row r="47" spans="1:8" x14ac:dyDescent="0.25">
      <c r="A47" s="85">
        <v>45640</v>
      </c>
      <c r="B47" s="86" t="s">
        <v>53</v>
      </c>
      <c r="C47" s="86" t="s">
        <v>168</v>
      </c>
      <c r="D47" s="87">
        <v>10</v>
      </c>
      <c r="E47" s="88">
        <f>LOOKUP(1,1/('[1]PURCHASE PRICE'!$B:$B=B47)/('[1]PURCHASE PRICE'!$A:$A=A47)/('[1]PURCHASE PRICE'!$C:$C=C47),'[1]PURCHASE PRICE'!$D:$D)</f>
        <v>35000</v>
      </c>
      <c r="F47" s="88">
        <f>LOOKUP(1,1/('[1]PURCHASE PRICE'!$B:$B=B47)/('[1]PURCHASE PRICE'!$A:$A=A47),'[1]PURCHASE PRICE'!$D:$D)</f>
        <v>35000</v>
      </c>
      <c r="G47" s="88">
        <v>35000</v>
      </c>
      <c r="H47" s="88">
        <f t="shared" si="0"/>
        <v>350000</v>
      </c>
    </row>
    <row r="48" spans="1:8" x14ac:dyDescent="0.25">
      <c r="A48" s="85">
        <v>45640</v>
      </c>
      <c r="B48" s="86" t="s">
        <v>54</v>
      </c>
      <c r="C48" s="86" t="s">
        <v>168</v>
      </c>
      <c r="D48" s="87">
        <v>180</v>
      </c>
      <c r="E48" s="88">
        <v>12000</v>
      </c>
      <c r="F48" s="88">
        <v>12000</v>
      </c>
      <c r="G48" s="88">
        <v>12000</v>
      </c>
      <c r="H48" s="88">
        <f t="shared" si="0"/>
        <v>2160000</v>
      </c>
    </row>
    <row r="49" spans="1:8" x14ac:dyDescent="0.25">
      <c r="A49" s="85">
        <v>45640</v>
      </c>
      <c r="B49" s="86" t="s">
        <v>55</v>
      </c>
      <c r="C49" s="86" t="s">
        <v>25</v>
      </c>
      <c r="D49" s="87">
        <v>150</v>
      </c>
      <c r="E49" s="88">
        <f>LOOKUP(1,1/('[1]PURCHASE PRICE'!$B:$B=B49)/('[1]PURCHASE PRICE'!$A:$A=A49)/('[1]PURCHASE PRICE'!$C:$C=C49),'[1]PURCHASE PRICE'!$D:$D)</f>
        <v>6800</v>
      </c>
      <c r="F49" s="88">
        <f>LOOKUP(1,1/('[1]PURCHASE PRICE'!$B:$B=B49)/('[1]PURCHASE PRICE'!$A:$A=A49),'[1]PURCHASE PRICE'!$D:$D)</f>
        <v>6800</v>
      </c>
      <c r="G49" s="88">
        <v>6800</v>
      </c>
      <c r="H49" s="88">
        <f t="shared" si="0"/>
        <v>1020000</v>
      </c>
    </row>
    <row r="50" spans="1:8" x14ac:dyDescent="0.25">
      <c r="A50" s="85">
        <v>45640</v>
      </c>
      <c r="B50" s="86" t="s">
        <v>56</v>
      </c>
      <c r="C50" s="86" t="s">
        <v>168</v>
      </c>
      <c r="D50" s="87">
        <v>50</v>
      </c>
      <c r="E50" s="88">
        <f>LOOKUP(1,1/('[1]PURCHASE PRICE'!$B:$B=B50)/('[1]PURCHASE PRICE'!$A:$A=A50)/('[1]PURCHASE PRICE'!$C:$C=C50),'[1]PURCHASE PRICE'!$D:$D)</f>
        <v>28000</v>
      </c>
      <c r="F50" s="88">
        <f>LOOKUP(1,1/('[1]PURCHASE PRICE'!$B:$B=B50)/('[1]PURCHASE PRICE'!$A:$A=A50),'[1]PURCHASE PRICE'!$D:$D)</f>
        <v>28000</v>
      </c>
      <c r="G50" s="88">
        <v>28000</v>
      </c>
      <c r="H50" s="88">
        <f t="shared" si="0"/>
        <v>1400000</v>
      </c>
    </row>
    <row r="51" spans="1:8" x14ac:dyDescent="0.25">
      <c r="A51" s="85">
        <v>45640</v>
      </c>
      <c r="B51" s="86" t="s">
        <v>57</v>
      </c>
      <c r="C51" s="86" t="s">
        <v>25</v>
      </c>
      <c r="D51" s="87">
        <v>20</v>
      </c>
      <c r="E51" s="88">
        <f>LOOKUP(1,1/('[1]PURCHASE PRICE'!$B:$B=B51)/('[1]PURCHASE PRICE'!$A:$A=A51)/('[1]PURCHASE PRICE'!$C:$C=C51),'[1]PURCHASE PRICE'!$D:$D)</f>
        <v>6800</v>
      </c>
      <c r="F51" s="88">
        <f>LOOKUP(1,1/('[1]PURCHASE PRICE'!$B:$B=B51)/('[1]PURCHASE PRICE'!$A:$A=A51),'[1]PURCHASE PRICE'!$D:$D)</f>
        <v>6800</v>
      </c>
      <c r="G51" s="88">
        <v>6800</v>
      </c>
      <c r="H51" s="88">
        <f t="shared" si="0"/>
        <v>136000</v>
      </c>
    </row>
    <row r="52" spans="1:8" x14ac:dyDescent="0.25">
      <c r="A52" s="85">
        <v>45640</v>
      </c>
      <c r="B52" s="86" t="s">
        <v>58</v>
      </c>
      <c r="C52" s="86" t="s">
        <v>168</v>
      </c>
      <c r="D52" s="87">
        <v>30</v>
      </c>
      <c r="E52" s="88">
        <f>LOOKUP(1,1/('[1]PURCHASE PRICE'!$B:$B=B52)/('[1]PURCHASE PRICE'!$A:$A=A52)/('[1]PURCHASE PRICE'!$C:$C=C52),'[1]PURCHASE PRICE'!$D:$D)</f>
        <v>14000</v>
      </c>
      <c r="F52" s="88">
        <f>LOOKUP(1,1/('[1]PURCHASE PRICE'!$B:$B=B52)/('[1]PURCHASE PRICE'!$A:$A=A52),'[1]PURCHASE PRICE'!$D:$D)</f>
        <v>14000</v>
      </c>
      <c r="G52" s="88">
        <v>14000</v>
      </c>
      <c r="H52" s="88">
        <f t="shared" si="0"/>
        <v>420000</v>
      </c>
    </row>
    <row r="53" spans="1:8" x14ac:dyDescent="0.25">
      <c r="A53" s="85">
        <v>45640</v>
      </c>
      <c r="B53" s="86" t="s">
        <v>59</v>
      </c>
      <c r="C53" s="86" t="s">
        <v>168</v>
      </c>
      <c r="D53" s="87">
        <v>2</v>
      </c>
      <c r="E53" s="88">
        <f>LOOKUP(1,1/('[1]PURCHASE PRICE'!$B:$B=B53)/('[1]PURCHASE PRICE'!$A:$A=A53)/('[1]PURCHASE PRICE'!$C:$C=C53),'[1]PURCHASE PRICE'!$D:$D)</f>
        <v>140000</v>
      </c>
      <c r="F53" s="88">
        <f>LOOKUP(1,1/('[1]PURCHASE PRICE'!$B:$B=B53)/('[1]PURCHASE PRICE'!$A:$A=A53),'[1]PURCHASE PRICE'!$D:$D)</f>
        <v>140000</v>
      </c>
      <c r="G53" s="88">
        <v>140000</v>
      </c>
      <c r="H53" s="88">
        <f t="shared" si="0"/>
        <v>280000</v>
      </c>
    </row>
    <row r="54" spans="1:8" x14ac:dyDescent="0.25">
      <c r="A54" s="85">
        <v>45640</v>
      </c>
      <c r="B54" s="86" t="s">
        <v>60</v>
      </c>
      <c r="C54" s="86" t="s">
        <v>168</v>
      </c>
      <c r="D54" s="87">
        <v>15</v>
      </c>
      <c r="E54" s="88">
        <f>LOOKUP(1,1/('[1]PURCHASE PRICE'!$B:$B=B54)/('[1]PURCHASE PRICE'!$A:$A=A54)/('[1]PURCHASE PRICE'!$C:$C=C54),'[1]PURCHASE PRICE'!$D:$D)</f>
        <v>10000</v>
      </c>
      <c r="F54" s="88">
        <f>LOOKUP(1,1/('[1]PURCHASE PRICE'!$B:$B=B54)/('[1]PURCHASE PRICE'!$A:$A=A54),'[1]PURCHASE PRICE'!$D:$D)</f>
        <v>10000</v>
      </c>
      <c r="G54" s="88">
        <v>10000</v>
      </c>
      <c r="H54" s="88">
        <f t="shared" si="0"/>
        <v>150000</v>
      </c>
    </row>
    <row r="55" spans="1:8" x14ac:dyDescent="0.25">
      <c r="A55" s="85">
        <v>45640</v>
      </c>
      <c r="B55" s="86" t="s">
        <v>61</v>
      </c>
      <c r="C55" s="86" t="s">
        <v>25</v>
      </c>
      <c r="D55" s="87">
        <v>20</v>
      </c>
      <c r="E55" s="88">
        <f>LOOKUP(1,1/('[1]PURCHASE PRICE'!$B:$B=B55)/('[1]PURCHASE PRICE'!$A:$A=A55)/('[1]PURCHASE PRICE'!$C:$C=C55),'[1]PURCHASE PRICE'!$D:$D)</f>
        <v>6800</v>
      </c>
      <c r="F55" s="88">
        <f>LOOKUP(1,1/('[1]PURCHASE PRICE'!$B:$B=B55)/('[1]PURCHASE PRICE'!$A:$A=A55),'[1]PURCHASE PRICE'!$D:$D)</f>
        <v>6800</v>
      </c>
      <c r="G55" s="88">
        <v>6800</v>
      </c>
      <c r="H55" s="88">
        <f>G55*D55</f>
        <v>136000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6"/>
  <dimension ref="A1:I61"/>
  <sheetViews>
    <sheetView workbookViewId="0">
      <selection activeCell="L56" sqref="L56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1.5546875" style="21" bestFit="1" customWidth="1"/>
    <col min="8" max="8" width="15.44140625" style="21" bestFit="1" customWidth="1"/>
    <col min="9" max="16384" width="8.88671875" style="18"/>
  </cols>
  <sheetData>
    <row r="1" spans="1:8" ht="15.6" x14ac:dyDescent="0.3">
      <c r="B1" s="18" t="s">
        <v>205</v>
      </c>
      <c r="H1" s="35">
        <f>SUM(H3:H61)</f>
        <v>51734100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45639</v>
      </c>
      <c r="B3" s="9" t="s">
        <v>0</v>
      </c>
      <c r="C3" s="9" t="s">
        <v>168</v>
      </c>
      <c r="D3" s="10">
        <v>20</v>
      </c>
      <c r="E3" s="17">
        <v>32000</v>
      </c>
      <c r="F3" s="17">
        <v>32000</v>
      </c>
      <c r="G3" s="17">
        <v>32000</v>
      </c>
      <c r="H3" s="17">
        <f>G3*D3</f>
        <v>640000</v>
      </c>
    </row>
    <row r="4" spans="1:8" x14ac:dyDescent="0.3">
      <c r="A4" s="29">
        <v>45639</v>
      </c>
      <c r="B4" s="9" t="s">
        <v>72</v>
      </c>
      <c r="C4" s="9" t="s">
        <v>168</v>
      </c>
      <c r="D4" s="10">
        <v>20</v>
      </c>
      <c r="E4" s="17">
        <v>7000</v>
      </c>
      <c r="F4" s="17">
        <v>7000</v>
      </c>
      <c r="G4" s="17">
        <v>7000</v>
      </c>
      <c r="H4" s="17">
        <f t="shared" ref="H4:H60" si="0">G4*D4</f>
        <v>140000</v>
      </c>
    </row>
    <row r="5" spans="1:8" x14ac:dyDescent="0.3">
      <c r="A5" s="29">
        <v>45639</v>
      </c>
      <c r="B5" s="9" t="s">
        <v>65</v>
      </c>
      <c r="C5" s="9" t="s">
        <v>7</v>
      </c>
      <c r="D5" s="10">
        <v>40</v>
      </c>
      <c r="E5" s="17">
        <v>4500</v>
      </c>
      <c r="F5" s="17">
        <v>9000</v>
      </c>
      <c r="G5" s="62">
        <v>4500</v>
      </c>
      <c r="H5" s="17">
        <f t="shared" si="0"/>
        <v>180000</v>
      </c>
    </row>
    <row r="6" spans="1:8" x14ac:dyDescent="0.3">
      <c r="A6" s="29">
        <v>45639</v>
      </c>
      <c r="B6" s="9" t="s">
        <v>73</v>
      </c>
      <c r="C6" s="9" t="s">
        <v>168</v>
      </c>
      <c r="D6" s="10">
        <v>35</v>
      </c>
      <c r="E6" s="17">
        <v>8000</v>
      </c>
      <c r="F6" s="17">
        <v>8000</v>
      </c>
      <c r="G6" s="17">
        <v>8000</v>
      </c>
      <c r="H6" s="17">
        <f t="shared" si="0"/>
        <v>280000</v>
      </c>
    </row>
    <row r="7" spans="1:8" x14ac:dyDescent="0.3">
      <c r="A7" s="29">
        <v>45639</v>
      </c>
      <c r="B7" s="9" t="s">
        <v>2</v>
      </c>
      <c r="C7" s="9" t="s">
        <v>168</v>
      </c>
      <c r="D7" s="10">
        <v>0</v>
      </c>
      <c r="E7" s="17">
        <v>0</v>
      </c>
      <c r="F7" s="17">
        <v>0</v>
      </c>
      <c r="G7" s="17">
        <v>0</v>
      </c>
      <c r="H7" s="17">
        <f t="shared" si="0"/>
        <v>0</v>
      </c>
    </row>
    <row r="8" spans="1:8" x14ac:dyDescent="0.3">
      <c r="A8" s="29">
        <v>45639</v>
      </c>
      <c r="B8" s="9" t="s">
        <v>196</v>
      </c>
      <c r="C8" s="9" t="s">
        <v>168</v>
      </c>
      <c r="D8" s="10">
        <v>3</v>
      </c>
      <c r="E8" s="17">
        <v>30000</v>
      </c>
      <c r="F8" s="17">
        <v>30000</v>
      </c>
      <c r="G8" s="17">
        <v>30000</v>
      </c>
      <c r="H8" s="17">
        <f t="shared" si="0"/>
        <v>90000</v>
      </c>
    </row>
    <row r="9" spans="1:8" x14ac:dyDescent="0.3">
      <c r="A9" s="29">
        <v>45639</v>
      </c>
      <c r="B9" s="9" t="s">
        <v>3</v>
      </c>
      <c r="C9" s="9" t="s">
        <v>7</v>
      </c>
      <c r="D9" s="10">
        <v>179</v>
      </c>
      <c r="E9" s="17">
        <v>2400</v>
      </c>
      <c r="F9" s="17">
        <v>8000</v>
      </c>
      <c r="G9" s="62">
        <v>2400</v>
      </c>
      <c r="H9" s="17">
        <f t="shared" si="0"/>
        <v>429600</v>
      </c>
    </row>
    <row r="10" spans="1:8" x14ac:dyDescent="0.3">
      <c r="A10" s="29">
        <v>45639</v>
      </c>
      <c r="B10" s="9" t="s">
        <v>5</v>
      </c>
      <c r="C10" s="9" t="s">
        <v>7</v>
      </c>
      <c r="D10" s="10">
        <v>300</v>
      </c>
      <c r="E10" s="17">
        <v>3900</v>
      </c>
      <c r="F10" s="17">
        <v>13000</v>
      </c>
      <c r="G10" s="62">
        <v>3900</v>
      </c>
      <c r="H10" s="17">
        <f t="shared" si="0"/>
        <v>1170000</v>
      </c>
    </row>
    <row r="11" spans="1:8" x14ac:dyDescent="0.3">
      <c r="A11" s="29">
        <v>45639</v>
      </c>
      <c r="B11" s="9" t="s">
        <v>6</v>
      </c>
      <c r="C11" s="9" t="s">
        <v>168</v>
      </c>
      <c r="D11" s="10">
        <v>0</v>
      </c>
      <c r="E11" s="17">
        <v>60000</v>
      </c>
      <c r="F11" s="17">
        <v>60000</v>
      </c>
      <c r="G11" s="17">
        <v>60000</v>
      </c>
      <c r="H11" s="17">
        <f t="shared" si="0"/>
        <v>0</v>
      </c>
    </row>
    <row r="12" spans="1:8" x14ac:dyDescent="0.3">
      <c r="A12" s="29">
        <v>45639</v>
      </c>
      <c r="B12" s="9" t="s">
        <v>68</v>
      </c>
      <c r="C12" s="9" t="s">
        <v>168</v>
      </c>
      <c r="D12" s="10">
        <v>10</v>
      </c>
      <c r="E12" s="17">
        <v>26000</v>
      </c>
      <c r="F12" s="17">
        <v>26000</v>
      </c>
      <c r="G12" s="17">
        <v>26000</v>
      </c>
      <c r="H12" s="17">
        <f t="shared" si="0"/>
        <v>260000</v>
      </c>
    </row>
    <row r="13" spans="1:8" x14ac:dyDescent="0.3">
      <c r="A13" s="29">
        <v>45639</v>
      </c>
      <c r="B13" s="9" t="s">
        <v>8</v>
      </c>
      <c r="C13" s="9" t="s">
        <v>11</v>
      </c>
      <c r="D13" s="10">
        <v>50</v>
      </c>
      <c r="E13" s="17">
        <v>7600</v>
      </c>
      <c r="F13" s="17">
        <v>7600</v>
      </c>
      <c r="G13" s="17">
        <v>7600</v>
      </c>
      <c r="H13" s="17">
        <f t="shared" si="0"/>
        <v>380000</v>
      </c>
    </row>
    <row r="14" spans="1:8" x14ac:dyDescent="0.3">
      <c r="A14" s="29">
        <v>45639</v>
      </c>
      <c r="B14" s="9" t="s">
        <v>9</v>
      </c>
      <c r="C14" s="9" t="s">
        <v>168</v>
      </c>
      <c r="D14" s="10">
        <v>100</v>
      </c>
      <c r="E14" s="17">
        <v>23000</v>
      </c>
      <c r="F14" s="17">
        <v>16250</v>
      </c>
      <c r="G14" s="17">
        <v>23000</v>
      </c>
      <c r="H14" s="17">
        <f t="shared" si="0"/>
        <v>2300000</v>
      </c>
    </row>
    <row r="15" spans="1:8" x14ac:dyDescent="0.3">
      <c r="A15" s="29">
        <v>45639</v>
      </c>
      <c r="B15" s="9" t="s">
        <v>10</v>
      </c>
      <c r="C15" s="9" t="s">
        <v>168</v>
      </c>
      <c r="D15" s="10">
        <v>35</v>
      </c>
      <c r="E15" s="17">
        <v>20000</v>
      </c>
      <c r="F15" s="17">
        <v>10000</v>
      </c>
      <c r="G15" s="17">
        <v>20000</v>
      </c>
      <c r="H15" s="17">
        <f t="shared" si="0"/>
        <v>700000</v>
      </c>
    </row>
    <row r="16" spans="1:8" x14ac:dyDescent="0.3">
      <c r="A16" s="29">
        <v>45639</v>
      </c>
      <c r="B16" s="9" t="s">
        <v>10</v>
      </c>
      <c r="C16" s="9" t="s">
        <v>12</v>
      </c>
      <c r="D16" s="10">
        <v>138</v>
      </c>
      <c r="E16" s="17">
        <v>10000</v>
      </c>
      <c r="F16" s="17">
        <v>10000</v>
      </c>
      <c r="G16" s="17">
        <v>10000</v>
      </c>
      <c r="H16" s="17">
        <f t="shared" si="0"/>
        <v>1380000</v>
      </c>
    </row>
    <row r="17" spans="1:8" x14ac:dyDescent="0.3">
      <c r="A17" s="29">
        <v>45639</v>
      </c>
      <c r="B17" s="9" t="s">
        <v>13</v>
      </c>
      <c r="C17" s="9" t="s">
        <v>14</v>
      </c>
      <c r="D17" s="10">
        <v>200</v>
      </c>
      <c r="E17" s="17">
        <v>9000</v>
      </c>
      <c r="F17" s="17">
        <v>15000</v>
      </c>
      <c r="G17" s="17">
        <v>9000</v>
      </c>
      <c r="H17" s="17">
        <f t="shared" si="0"/>
        <v>1800000</v>
      </c>
    </row>
    <row r="18" spans="1:8" x14ac:dyDescent="0.3">
      <c r="A18" s="29">
        <v>45639</v>
      </c>
      <c r="B18" s="9" t="s">
        <v>17</v>
      </c>
      <c r="C18" s="9" t="s">
        <v>14</v>
      </c>
      <c r="D18" s="10">
        <v>250</v>
      </c>
      <c r="E18" s="17">
        <v>15600</v>
      </c>
      <c r="F18" s="17">
        <v>12000</v>
      </c>
      <c r="G18" s="17">
        <v>15600</v>
      </c>
      <c r="H18" s="17">
        <f t="shared" si="0"/>
        <v>3900000</v>
      </c>
    </row>
    <row r="19" spans="1:8" x14ac:dyDescent="0.3">
      <c r="A19" s="29">
        <v>45639</v>
      </c>
      <c r="B19" s="9" t="s">
        <v>18</v>
      </c>
      <c r="C19" s="9" t="s">
        <v>168</v>
      </c>
      <c r="D19" s="10">
        <v>140</v>
      </c>
      <c r="E19" s="17">
        <v>20000</v>
      </c>
      <c r="F19" s="17">
        <v>20000</v>
      </c>
      <c r="G19" s="17">
        <v>20000</v>
      </c>
      <c r="H19" s="17">
        <f t="shared" si="0"/>
        <v>2800000</v>
      </c>
    </row>
    <row r="20" spans="1:8" x14ac:dyDescent="0.3">
      <c r="A20" s="29">
        <v>45639</v>
      </c>
      <c r="B20" s="9" t="s">
        <v>19</v>
      </c>
      <c r="C20" s="9" t="s">
        <v>168</v>
      </c>
      <c r="D20" s="10">
        <v>20</v>
      </c>
      <c r="E20" s="17">
        <v>12000</v>
      </c>
      <c r="F20" s="17">
        <v>12000</v>
      </c>
      <c r="G20" s="17">
        <v>12000</v>
      </c>
      <c r="H20" s="17">
        <f t="shared" si="0"/>
        <v>240000</v>
      </c>
    </row>
    <row r="21" spans="1:8" x14ac:dyDescent="0.3">
      <c r="A21" s="29">
        <v>45639</v>
      </c>
      <c r="B21" s="9" t="s">
        <v>20</v>
      </c>
      <c r="C21" s="9" t="s">
        <v>11</v>
      </c>
      <c r="D21" s="10">
        <v>201</v>
      </c>
      <c r="E21" s="17">
        <v>9000</v>
      </c>
      <c r="F21" s="17">
        <v>9000</v>
      </c>
      <c r="G21" s="17">
        <v>9000</v>
      </c>
      <c r="H21" s="17">
        <f t="shared" si="0"/>
        <v>1809000</v>
      </c>
    </row>
    <row r="22" spans="1:8" x14ac:dyDescent="0.3">
      <c r="A22" s="29">
        <v>45639</v>
      </c>
      <c r="B22" s="9" t="s">
        <v>63</v>
      </c>
      <c r="C22" s="9" t="s">
        <v>168</v>
      </c>
      <c r="D22" s="10">
        <v>50</v>
      </c>
      <c r="E22" s="17">
        <v>15000</v>
      </c>
      <c r="F22" s="17">
        <v>6300</v>
      </c>
      <c r="G22" s="17">
        <v>15000</v>
      </c>
      <c r="H22" s="17">
        <f t="shared" si="0"/>
        <v>750000</v>
      </c>
    </row>
    <row r="23" spans="1:8" x14ac:dyDescent="0.3">
      <c r="A23" s="29">
        <v>45639</v>
      </c>
      <c r="B23" s="9" t="s">
        <v>21</v>
      </c>
      <c r="C23" s="9" t="s">
        <v>22</v>
      </c>
      <c r="D23" s="10">
        <v>150</v>
      </c>
      <c r="E23" s="17">
        <v>4500</v>
      </c>
      <c r="F23" s="17">
        <v>4500</v>
      </c>
      <c r="G23" s="17">
        <v>4500</v>
      </c>
      <c r="H23" s="17">
        <f t="shared" si="0"/>
        <v>675000</v>
      </c>
    </row>
    <row r="24" spans="1:8" x14ac:dyDescent="0.3">
      <c r="A24" s="29">
        <v>45639</v>
      </c>
      <c r="B24" s="9" t="s">
        <v>21</v>
      </c>
      <c r="C24" s="9" t="s">
        <v>23</v>
      </c>
      <c r="D24" s="10">
        <v>10</v>
      </c>
      <c r="E24" s="17">
        <v>2250</v>
      </c>
      <c r="F24" s="17">
        <v>4500</v>
      </c>
      <c r="G24" s="17">
        <v>2250</v>
      </c>
      <c r="H24" s="17">
        <f t="shared" si="0"/>
        <v>22500</v>
      </c>
    </row>
    <row r="25" spans="1:8" x14ac:dyDescent="0.3">
      <c r="A25" s="29">
        <v>45639</v>
      </c>
      <c r="B25" s="9" t="s">
        <v>24</v>
      </c>
      <c r="C25" s="9" t="s">
        <v>25</v>
      </c>
      <c r="D25" s="10">
        <v>200</v>
      </c>
      <c r="E25" s="17">
        <v>9500</v>
      </c>
      <c r="F25" s="17">
        <v>19000</v>
      </c>
      <c r="G25" s="62">
        <v>9500</v>
      </c>
      <c r="H25" s="17">
        <f t="shared" si="0"/>
        <v>1900000</v>
      </c>
    </row>
    <row r="26" spans="1:8" x14ac:dyDescent="0.3">
      <c r="A26" s="29">
        <v>45639</v>
      </c>
      <c r="B26" s="9" t="s">
        <v>28</v>
      </c>
      <c r="C26" s="9" t="s">
        <v>168</v>
      </c>
      <c r="D26" s="10">
        <v>20</v>
      </c>
      <c r="E26" s="17">
        <v>4500</v>
      </c>
      <c r="F26" s="17">
        <v>4500</v>
      </c>
      <c r="G26" s="17">
        <v>4500</v>
      </c>
      <c r="H26" s="17">
        <f t="shared" si="0"/>
        <v>90000</v>
      </c>
    </row>
    <row r="27" spans="1:8" x14ac:dyDescent="0.3">
      <c r="A27" s="29">
        <v>45639</v>
      </c>
      <c r="B27" s="9" t="s">
        <v>29</v>
      </c>
      <c r="C27" s="9" t="s">
        <v>168</v>
      </c>
      <c r="D27" s="10">
        <v>100</v>
      </c>
      <c r="E27" s="17">
        <v>19000</v>
      </c>
      <c r="F27" s="17">
        <v>19000</v>
      </c>
      <c r="G27" s="17">
        <v>19000</v>
      </c>
      <c r="H27" s="17">
        <f t="shared" si="0"/>
        <v>1900000</v>
      </c>
    </row>
    <row r="28" spans="1:8" x14ac:dyDescent="0.3">
      <c r="A28" s="29">
        <v>45639</v>
      </c>
      <c r="B28" s="9" t="s">
        <v>31</v>
      </c>
      <c r="C28" s="9" t="s">
        <v>168</v>
      </c>
      <c r="D28" s="10">
        <v>200</v>
      </c>
      <c r="E28" s="17">
        <v>16000</v>
      </c>
      <c r="F28" s="17">
        <v>16000</v>
      </c>
      <c r="G28" s="17">
        <v>16000</v>
      </c>
      <c r="H28" s="17">
        <f t="shared" si="0"/>
        <v>3200000</v>
      </c>
    </row>
    <row r="29" spans="1:8" x14ac:dyDescent="0.3">
      <c r="A29" s="29">
        <v>45639</v>
      </c>
      <c r="B29" s="9" t="s">
        <v>32</v>
      </c>
      <c r="C29" s="9" t="s">
        <v>168</v>
      </c>
      <c r="D29" s="10">
        <v>0</v>
      </c>
      <c r="E29" s="17">
        <v>25000</v>
      </c>
      <c r="F29" s="17">
        <v>25000</v>
      </c>
      <c r="G29" s="17">
        <v>25000</v>
      </c>
      <c r="H29" s="17">
        <f t="shared" si="0"/>
        <v>0</v>
      </c>
    </row>
    <row r="30" spans="1:8" x14ac:dyDescent="0.3">
      <c r="A30" s="29">
        <v>45639</v>
      </c>
      <c r="B30" s="9" t="s">
        <v>139</v>
      </c>
      <c r="C30" s="9" t="s">
        <v>168</v>
      </c>
      <c r="D30" s="10">
        <v>50</v>
      </c>
      <c r="E30" s="17">
        <v>18000</v>
      </c>
      <c r="F30" s="17">
        <v>18000</v>
      </c>
      <c r="G30" s="17">
        <v>18000</v>
      </c>
      <c r="H30" s="17">
        <f t="shared" si="0"/>
        <v>900000</v>
      </c>
    </row>
    <row r="31" spans="1:8" x14ac:dyDescent="0.3">
      <c r="A31" s="29">
        <v>45639</v>
      </c>
      <c r="B31" s="9" t="s">
        <v>194</v>
      </c>
      <c r="C31" s="9" t="s">
        <v>168</v>
      </c>
      <c r="D31" s="10">
        <v>10</v>
      </c>
      <c r="E31" s="17">
        <v>10000</v>
      </c>
      <c r="F31" s="17">
        <v>10000</v>
      </c>
      <c r="G31" s="17">
        <v>10000</v>
      </c>
      <c r="H31" s="17">
        <f t="shared" si="0"/>
        <v>100000</v>
      </c>
    </row>
    <row r="32" spans="1:8" x14ac:dyDescent="0.3">
      <c r="A32" s="29">
        <v>45639</v>
      </c>
      <c r="B32" s="9" t="s">
        <v>33</v>
      </c>
      <c r="C32" s="9" t="s">
        <v>22</v>
      </c>
      <c r="D32" s="10">
        <v>15</v>
      </c>
      <c r="E32" s="17">
        <v>8000</v>
      </c>
      <c r="F32" s="17">
        <v>8000</v>
      </c>
      <c r="G32" s="17">
        <v>8000</v>
      </c>
      <c r="H32" s="17">
        <f t="shared" si="0"/>
        <v>120000</v>
      </c>
    </row>
    <row r="33" spans="1:8" x14ac:dyDescent="0.3">
      <c r="A33" s="29">
        <v>45639</v>
      </c>
      <c r="B33" s="9" t="s">
        <v>34</v>
      </c>
      <c r="C33" s="9" t="s">
        <v>36</v>
      </c>
      <c r="D33" s="10">
        <v>20</v>
      </c>
      <c r="E33" s="17">
        <v>6500</v>
      </c>
      <c r="F33" s="17">
        <v>9000</v>
      </c>
      <c r="G33" s="17">
        <v>6500</v>
      </c>
      <c r="H33" s="17">
        <f t="shared" si="0"/>
        <v>130000</v>
      </c>
    </row>
    <row r="34" spans="1:8" x14ac:dyDescent="0.3">
      <c r="A34" s="29">
        <v>45639</v>
      </c>
      <c r="B34" s="9" t="s">
        <v>35</v>
      </c>
      <c r="C34" s="9" t="s">
        <v>168</v>
      </c>
      <c r="D34" s="10">
        <v>4.5</v>
      </c>
      <c r="E34" s="17">
        <v>60000</v>
      </c>
      <c r="F34" s="17">
        <v>60000</v>
      </c>
      <c r="G34" s="17">
        <v>60000</v>
      </c>
      <c r="H34" s="17">
        <f>G34*D34</f>
        <v>270000</v>
      </c>
    </row>
    <row r="35" spans="1:8" x14ac:dyDescent="0.3">
      <c r="A35" s="29">
        <v>45639</v>
      </c>
      <c r="B35" s="9" t="s">
        <v>37</v>
      </c>
      <c r="C35" s="9" t="s">
        <v>11</v>
      </c>
      <c r="D35" s="10">
        <v>340</v>
      </c>
      <c r="E35" s="17">
        <v>5000</v>
      </c>
      <c r="F35" s="17">
        <v>5000</v>
      </c>
      <c r="G35" s="17">
        <v>5000</v>
      </c>
      <c r="H35" s="17">
        <f t="shared" si="0"/>
        <v>1700000</v>
      </c>
    </row>
    <row r="36" spans="1:8" x14ac:dyDescent="0.3">
      <c r="A36" s="29">
        <v>45639</v>
      </c>
      <c r="B36" s="9" t="s">
        <v>39</v>
      </c>
      <c r="C36" s="9" t="s">
        <v>168</v>
      </c>
      <c r="D36" s="10">
        <v>60</v>
      </c>
      <c r="E36" s="17">
        <v>6000</v>
      </c>
      <c r="F36" s="17">
        <v>6000</v>
      </c>
      <c r="G36" s="17">
        <v>6000</v>
      </c>
      <c r="H36" s="17">
        <f t="shared" si="0"/>
        <v>360000</v>
      </c>
    </row>
    <row r="37" spans="1:8" x14ac:dyDescent="0.3">
      <c r="A37" s="29">
        <v>45639</v>
      </c>
      <c r="B37" s="9" t="s">
        <v>40</v>
      </c>
      <c r="C37" s="9" t="s">
        <v>25</v>
      </c>
      <c r="D37" s="10">
        <v>0</v>
      </c>
      <c r="E37" s="17">
        <v>3000</v>
      </c>
      <c r="F37" s="17">
        <v>20000</v>
      </c>
      <c r="G37" s="17">
        <v>3000</v>
      </c>
      <c r="H37" s="17">
        <f t="shared" si="0"/>
        <v>0</v>
      </c>
    </row>
    <row r="38" spans="1:8" x14ac:dyDescent="0.3">
      <c r="A38" s="29">
        <v>45639</v>
      </c>
      <c r="B38" s="9" t="s">
        <v>41</v>
      </c>
      <c r="C38" s="9" t="s">
        <v>16</v>
      </c>
      <c r="D38" s="10">
        <v>20</v>
      </c>
      <c r="E38" s="17">
        <v>100000</v>
      </c>
      <c r="F38" s="17">
        <v>200000</v>
      </c>
      <c r="G38" s="17">
        <v>100000</v>
      </c>
      <c r="H38" s="17">
        <f t="shared" si="0"/>
        <v>2000000</v>
      </c>
    </row>
    <row r="39" spans="1:8" x14ac:dyDescent="0.3">
      <c r="A39" s="29">
        <v>45639</v>
      </c>
      <c r="B39" s="9" t="s">
        <v>42</v>
      </c>
      <c r="C39" s="9" t="s">
        <v>168</v>
      </c>
      <c r="D39" s="10">
        <v>15</v>
      </c>
      <c r="E39" s="17">
        <v>25000</v>
      </c>
      <c r="F39" s="17">
        <v>25000</v>
      </c>
      <c r="G39" s="17">
        <v>25000</v>
      </c>
      <c r="H39" s="17">
        <f t="shared" si="0"/>
        <v>375000</v>
      </c>
    </row>
    <row r="40" spans="1:8" x14ac:dyDescent="0.3">
      <c r="A40" s="29">
        <v>45639</v>
      </c>
      <c r="B40" s="9" t="s">
        <v>43</v>
      </c>
      <c r="C40" s="9" t="s">
        <v>168</v>
      </c>
      <c r="D40" s="10">
        <v>1</v>
      </c>
      <c r="E40" s="17">
        <v>100000</v>
      </c>
      <c r="F40" s="17">
        <v>100000</v>
      </c>
      <c r="G40" s="17">
        <v>100000</v>
      </c>
      <c r="H40" s="17">
        <f t="shared" si="0"/>
        <v>100000</v>
      </c>
    </row>
    <row r="41" spans="1:8" x14ac:dyDescent="0.3">
      <c r="A41" s="29">
        <v>45639</v>
      </c>
      <c r="B41" s="9" t="s">
        <v>45</v>
      </c>
      <c r="C41" s="9" t="s">
        <v>22</v>
      </c>
      <c r="D41" s="10">
        <v>500</v>
      </c>
      <c r="E41" s="17">
        <v>1900</v>
      </c>
      <c r="F41" s="17">
        <v>1900</v>
      </c>
      <c r="G41" s="17">
        <v>1900</v>
      </c>
      <c r="H41" s="17">
        <f t="shared" si="0"/>
        <v>950000</v>
      </c>
    </row>
    <row r="42" spans="1:8" x14ac:dyDescent="0.3">
      <c r="A42" s="29">
        <v>45639</v>
      </c>
      <c r="B42" s="9" t="s">
        <v>78</v>
      </c>
      <c r="C42" s="9" t="s">
        <v>168</v>
      </c>
      <c r="D42" s="10">
        <v>1</v>
      </c>
      <c r="E42" s="17">
        <v>100000</v>
      </c>
      <c r="F42" s="17">
        <v>100000</v>
      </c>
      <c r="G42" s="17">
        <v>100000</v>
      </c>
      <c r="H42" s="17">
        <f t="shared" si="0"/>
        <v>100000</v>
      </c>
    </row>
    <row r="43" spans="1:8" x14ac:dyDescent="0.3">
      <c r="A43" s="29">
        <v>45639</v>
      </c>
      <c r="B43" s="9" t="s">
        <v>46</v>
      </c>
      <c r="C43" s="9" t="s">
        <v>168</v>
      </c>
      <c r="D43" s="10">
        <v>20</v>
      </c>
      <c r="E43" s="17">
        <v>58000</v>
      </c>
      <c r="F43" s="17">
        <v>58000</v>
      </c>
      <c r="G43" s="17">
        <v>58000</v>
      </c>
      <c r="H43" s="17">
        <f t="shared" si="0"/>
        <v>1160000</v>
      </c>
    </row>
    <row r="44" spans="1:8" x14ac:dyDescent="0.3">
      <c r="A44" s="29">
        <v>45639</v>
      </c>
      <c r="B44" s="9" t="s">
        <v>64</v>
      </c>
      <c r="C44" s="9" t="s">
        <v>168</v>
      </c>
      <c r="D44" s="10">
        <v>15</v>
      </c>
      <c r="E44" s="17">
        <v>50000</v>
      </c>
      <c r="F44" s="17">
        <v>50000</v>
      </c>
      <c r="G44" s="17">
        <v>50000</v>
      </c>
      <c r="H44" s="17">
        <f t="shared" si="0"/>
        <v>750000</v>
      </c>
    </row>
    <row r="45" spans="1:8" x14ac:dyDescent="0.3">
      <c r="A45" s="29">
        <v>45639</v>
      </c>
      <c r="B45" s="9" t="s">
        <v>47</v>
      </c>
      <c r="C45" s="9" t="s">
        <v>168</v>
      </c>
      <c r="D45" s="10">
        <v>60</v>
      </c>
      <c r="E45" s="17">
        <v>31000</v>
      </c>
      <c r="F45" s="17">
        <v>31000</v>
      </c>
      <c r="G45" s="17">
        <v>31000</v>
      </c>
      <c r="H45" s="17">
        <f t="shared" si="0"/>
        <v>1860000</v>
      </c>
    </row>
    <row r="46" spans="1:8" x14ac:dyDescent="0.3">
      <c r="A46" s="29">
        <v>45639</v>
      </c>
      <c r="B46" s="9" t="s">
        <v>48</v>
      </c>
      <c r="C46" s="9" t="s">
        <v>168</v>
      </c>
      <c r="D46" s="10">
        <v>20</v>
      </c>
      <c r="E46" s="17">
        <v>49000</v>
      </c>
      <c r="F46" s="17">
        <v>49000</v>
      </c>
      <c r="G46" s="17">
        <v>49000</v>
      </c>
      <c r="H46" s="17">
        <f t="shared" si="0"/>
        <v>980000</v>
      </c>
    </row>
    <row r="47" spans="1:8" x14ac:dyDescent="0.3">
      <c r="A47" s="29">
        <v>45639</v>
      </c>
      <c r="B47" s="9" t="s">
        <v>50</v>
      </c>
      <c r="C47" s="9" t="s">
        <v>168</v>
      </c>
      <c r="D47" s="10">
        <v>60</v>
      </c>
      <c r="E47" s="17">
        <v>25000</v>
      </c>
      <c r="F47" s="17">
        <v>25000</v>
      </c>
      <c r="G47" s="17">
        <v>25000</v>
      </c>
      <c r="H47" s="17">
        <f t="shared" si="0"/>
        <v>1500000</v>
      </c>
    </row>
    <row r="48" spans="1:8" x14ac:dyDescent="0.3">
      <c r="A48" s="29">
        <v>45639</v>
      </c>
      <c r="B48" s="9" t="s">
        <v>51</v>
      </c>
      <c r="C48" s="9" t="s">
        <v>168</v>
      </c>
      <c r="D48" s="10">
        <v>10</v>
      </c>
      <c r="E48" s="17">
        <v>17000</v>
      </c>
      <c r="F48" s="17">
        <v>17000</v>
      </c>
      <c r="G48" s="17">
        <v>17000</v>
      </c>
      <c r="H48" s="17">
        <f t="shared" si="0"/>
        <v>170000</v>
      </c>
    </row>
    <row r="49" spans="1:9" x14ac:dyDescent="0.3">
      <c r="A49" s="29">
        <v>45639</v>
      </c>
      <c r="B49" s="9" t="s">
        <v>52</v>
      </c>
      <c r="C49" s="9" t="s">
        <v>22</v>
      </c>
      <c r="D49" s="10">
        <v>190</v>
      </c>
      <c r="E49" s="17">
        <v>21000</v>
      </c>
      <c r="F49" s="17">
        <v>21000</v>
      </c>
      <c r="G49" s="17">
        <v>21000</v>
      </c>
      <c r="H49" s="17">
        <f t="shared" si="0"/>
        <v>3990000</v>
      </c>
    </row>
    <row r="50" spans="1:9" x14ac:dyDescent="0.3">
      <c r="A50" s="29">
        <v>45639</v>
      </c>
      <c r="B50" s="9" t="s">
        <v>53</v>
      </c>
      <c r="C50" s="9" t="s">
        <v>168</v>
      </c>
      <c r="D50" s="10">
        <v>15</v>
      </c>
      <c r="E50" s="17">
        <v>35000</v>
      </c>
      <c r="F50" s="17">
        <v>35000</v>
      </c>
      <c r="G50" s="17">
        <v>35000</v>
      </c>
      <c r="H50" s="17">
        <f t="shared" si="0"/>
        <v>525000</v>
      </c>
    </row>
    <row r="51" spans="1:9" x14ac:dyDescent="0.3">
      <c r="A51" s="29">
        <v>45639</v>
      </c>
      <c r="B51" s="9" t="s">
        <v>76</v>
      </c>
      <c r="C51" s="9" t="s">
        <v>168</v>
      </c>
      <c r="D51" s="10">
        <v>10</v>
      </c>
      <c r="E51" s="17">
        <v>30000</v>
      </c>
      <c r="F51" s="17">
        <v>30000</v>
      </c>
      <c r="G51" s="17">
        <v>30000</v>
      </c>
      <c r="H51" s="17">
        <f t="shared" si="0"/>
        <v>300000</v>
      </c>
    </row>
    <row r="52" spans="1:9" x14ac:dyDescent="0.3">
      <c r="A52" s="29">
        <v>45639</v>
      </c>
      <c r="B52" s="9" t="s">
        <v>54</v>
      </c>
      <c r="C52" s="9" t="s">
        <v>168</v>
      </c>
      <c r="D52" s="10">
        <v>150</v>
      </c>
      <c r="E52" s="17">
        <v>12000</v>
      </c>
      <c r="F52" s="17">
        <v>12000</v>
      </c>
      <c r="G52" s="17">
        <v>12000</v>
      </c>
      <c r="H52" s="17">
        <f t="shared" si="0"/>
        <v>1800000</v>
      </c>
    </row>
    <row r="53" spans="1:9" x14ac:dyDescent="0.3">
      <c r="A53" s="29">
        <v>45639</v>
      </c>
      <c r="B53" s="9" t="s">
        <v>55</v>
      </c>
      <c r="C53" s="9" t="s">
        <v>25</v>
      </c>
      <c r="D53" s="10">
        <v>120</v>
      </c>
      <c r="E53" s="17">
        <v>6800</v>
      </c>
      <c r="F53" s="17">
        <v>6800</v>
      </c>
      <c r="G53" s="17">
        <v>6800</v>
      </c>
      <c r="H53" s="17">
        <f t="shared" si="0"/>
        <v>816000</v>
      </c>
    </row>
    <row r="54" spans="1:9" x14ac:dyDescent="0.3">
      <c r="A54" s="29">
        <v>45639</v>
      </c>
      <c r="B54" s="9" t="s">
        <v>56</v>
      </c>
      <c r="C54" s="9" t="s">
        <v>168</v>
      </c>
      <c r="D54" s="10">
        <v>40</v>
      </c>
      <c r="E54" s="17">
        <v>26000</v>
      </c>
      <c r="F54" s="17">
        <v>26000</v>
      </c>
      <c r="G54" s="17">
        <v>26000</v>
      </c>
      <c r="H54" s="17">
        <f t="shared" si="0"/>
        <v>1040000</v>
      </c>
    </row>
    <row r="55" spans="1:9" x14ac:dyDescent="0.3">
      <c r="A55" s="29">
        <v>45639</v>
      </c>
      <c r="B55" s="9" t="s">
        <v>57</v>
      </c>
      <c r="C55" s="9" t="s">
        <v>25</v>
      </c>
      <c r="D55" s="10">
        <v>15</v>
      </c>
      <c r="E55" s="17">
        <v>6800</v>
      </c>
      <c r="F55" s="17">
        <v>6800</v>
      </c>
      <c r="G55" s="17">
        <v>6800</v>
      </c>
      <c r="H55" s="17">
        <f t="shared" si="0"/>
        <v>102000</v>
      </c>
    </row>
    <row r="56" spans="1:9" x14ac:dyDescent="0.3">
      <c r="A56" s="29">
        <v>45639</v>
      </c>
      <c r="B56" s="9" t="s">
        <v>58</v>
      </c>
      <c r="C56" s="9" t="s">
        <v>168</v>
      </c>
      <c r="D56" s="10">
        <v>23</v>
      </c>
      <c r="E56" s="17">
        <v>14000</v>
      </c>
      <c r="F56" s="17">
        <v>14000</v>
      </c>
      <c r="G56" s="17">
        <v>14000</v>
      </c>
      <c r="H56" s="17">
        <f t="shared" si="0"/>
        <v>322000</v>
      </c>
    </row>
    <row r="57" spans="1:9" x14ac:dyDescent="0.3">
      <c r="A57" s="29">
        <v>45639</v>
      </c>
      <c r="B57" s="9" t="s">
        <v>59</v>
      </c>
      <c r="C57" s="9" t="s">
        <v>168</v>
      </c>
      <c r="D57" s="10">
        <v>2</v>
      </c>
      <c r="E57" s="17">
        <v>140000</v>
      </c>
      <c r="F57" s="17">
        <v>140000</v>
      </c>
      <c r="G57" s="17">
        <v>140000</v>
      </c>
      <c r="H57" s="17">
        <f t="shared" si="0"/>
        <v>280000</v>
      </c>
    </row>
    <row r="58" spans="1:9" x14ac:dyDescent="0.3">
      <c r="A58" s="29">
        <v>45639</v>
      </c>
      <c r="B58" s="9" t="s">
        <v>60</v>
      </c>
      <c r="C58" s="9" t="s">
        <v>168</v>
      </c>
      <c r="D58" s="10">
        <v>5</v>
      </c>
      <c r="E58" s="17">
        <v>10000</v>
      </c>
      <c r="F58" s="17">
        <v>10000</v>
      </c>
      <c r="G58" s="17">
        <v>10000</v>
      </c>
      <c r="H58" s="17">
        <f t="shared" si="0"/>
        <v>50000</v>
      </c>
    </row>
    <row r="59" spans="1:9" x14ac:dyDescent="0.3">
      <c r="A59" s="29">
        <v>45639</v>
      </c>
      <c r="B59" s="9" t="s">
        <v>61</v>
      </c>
      <c r="C59" s="9" t="s">
        <v>25</v>
      </c>
      <c r="D59" s="10">
        <v>10</v>
      </c>
      <c r="E59" s="17">
        <v>6800</v>
      </c>
      <c r="F59" s="17">
        <v>6800</v>
      </c>
      <c r="G59" s="17">
        <v>6800</v>
      </c>
      <c r="H59" s="17">
        <f t="shared" si="0"/>
        <v>68000</v>
      </c>
    </row>
    <row r="60" spans="1:9" x14ac:dyDescent="0.3">
      <c r="A60" s="29">
        <v>45639</v>
      </c>
      <c r="B60" s="9" t="s">
        <v>197</v>
      </c>
      <c r="C60" s="9" t="s">
        <v>199</v>
      </c>
      <c r="D60" s="10">
        <v>20</v>
      </c>
      <c r="E60" s="17">
        <v>46000</v>
      </c>
      <c r="F60" s="17" t="e">
        <v>#N/A</v>
      </c>
      <c r="G60" s="17">
        <v>46000</v>
      </c>
      <c r="H60" s="17">
        <f t="shared" si="0"/>
        <v>920000</v>
      </c>
    </row>
    <row r="61" spans="1:9" s="34" customFormat="1" x14ac:dyDescent="0.3">
      <c r="A61" s="36">
        <v>45639</v>
      </c>
      <c r="B61" s="38" t="s">
        <v>198</v>
      </c>
      <c r="C61" s="38" t="s">
        <v>168</v>
      </c>
      <c r="D61" s="78">
        <v>40</v>
      </c>
      <c r="E61" s="63">
        <v>24000</v>
      </c>
      <c r="F61" s="63" t="e">
        <v>#N/A</v>
      </c>
      <c r="G61" s="63">
        <v>24000</v>
      </c>
      <c r="H61" s="63">
        <f>G61*D61</f>
        <v>960000</v>
      </c>
      <c r="I61" s="34" t="s">
        <v>207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7"/>
  <dimension ref="A1:H50"/>
  <sheetViews>
    <sheetView workbookViewId="0">
      <selection activeCell="E4" sqref="E4"/>
    </sheetView>
  </sheetViews>
  <sheetFormatPr defaultRowHeight="13.8" x14ac:dyDescent="0.25"/>
  <cols>
    <col min="1" max="1" width="11" style="79" bestFit="1" customWidth="1"/>
    <col min="2" max="2" width="27.77734375" style="1" customWidth="1"/>
    <col min="3" max="3" width="11" style="1" bestFit="1" customWidth="1"/>
    <col min="4" max="4" width="9" style="1" bestFit="1" customWidth="1"/>
    <col min="5" max="5" width="13" style="1" bestFit="1" customWidth="1"/>
    <col min="6" max="6" width="11.44140625" style="1" customWidth="1"/>
    <col min="7" max="7" width="11.5546875" style="4" bestFit="1" customWidth="1"/>
    <col min="8" max="8" width="15.44140625" style="4" bestFit="1" customWidth="1"/>
    <col min="9" max="16384" width="8.88671875" style="1"/>
  </cols>
  <sheetData>
    <row r="1" spans="1:8" ht="15.6" x14ac:dyDescent="0.3">
      <c r="B1" s="18" t="s">
        <v>195</v>
      </c>
      <c r="G1" s="77"/>
      <c r="H1" s="73">
        <f>SUM(H3:H50)</f>
        <v>50148550</v>
      </c>
    </row>
    <row r="2" spans="1:8" x14ac:dyDescent="0.25">
      <c r="A2" s="74" t="s">
        <v>83</v>
      </c>
      <c r="B2" s="74" t="s">
        <v>80</v>
      </c>
      <c r="C2" s="75" t="s">
        <v>81</v>
      </c>
      <c r="D2" s="74" t="s">
        <v>82</v>
      </c>
      <c r="E2" s="76" t="s">
        <v>143</v>
      </c>
      <c r="F2" s="76" t="s">
        <v>144</v>
      </c>
      <c r="G2" s="76" t="s">
        <v>85</v>
      </c>
      <c r="H2" s="32" t="s">
        <v>86</v>
      </c>
    </row>
    <row r="3" spans="1:8" x14ac:dyDescent="0.25">
      <c r="A3" s="85">
        <v>45638</v>
      </c>
      <c r="B3" s="9" t="s">
        <v>0</v>
      </c>
      <c r="C3" s="9" t="s">
        <v>168</v>
      </c>
      <c r="D3" s="10">
        <v>10</v>
      </c>
      <c r="E3" s="17">
        <v>32000</v>
      </c>
      <c r="F3" s="17">
        <v>32000</v>
      </c>
      <c r="G3" s="13">
        <v>32000</v>
      </c>
      <c r="H3" s="13">
        <f>G3*D3</f>
        <v>320000</v>
      </c>
    </row>
    <row r="4" spans="1:8" x14ac:dyDescent="0.25">
      <c r="A4" s="85">
        <v>45638</v>
      </c>
      <c r="B4" s="9" t="s">
        <v>65</v>
      </c>
      <c r="C4" s="9" t="s">
        <v>189</v>
      </c>
      <c r="D4" s="10">
        <v>25</v>
      </c>
      <c r="E4" s="17">
        <v>10000</v>
      </c>
      <c r="F4" s="17">
        <v>10000</v>
      </c>
      <c r="G4" s="13">
        <v>10000</v>
      </c>
      <c r="H4" s="13">
        <f t="shared" ref="H4:H50" si="0">G4*D4</f>
        <v>250000</v>
      </c>
    </row>
    <row r="5" spans="1:8" x14ac:dyDescent="0.25">
      <c r="A5" s="85">
        <v>45638</v>
      </c>
      <c r="B5" s="9" t="s">
        <v>3</v>
      </c>
      <c r="C5" s="9" t="s">
        <v>7</v>
      </c>
      <c r="D5" s="10">
        <v>300</v>
      </c>
      <c r="E5" s="17">
        <v>3600</v>
      </c>
      <c r="F5" s="17">
        <v>12000</v>
      </c>
      <c r="G5" s="15">
        <v>3600</v>
      </c>
      <c r="H5" s="13">
        <f t="shared" si="0"/>
        <v>1080000</v>
      </c>
    </row>
    <row r="6" spans="1:8" x14ac:dyDescent="0.25">
      <c r="A6" s="85">
        <v>45638</v>
      </c>
      <c r="B6" s="9" t="s">
        <v>5</v>
      </c>
      <c r="C6" s="9" t="s">
        <v>7</v>
      </c>
      <c r="D6" s="10">
        <v>210</v>
      </c>
      <c r="E6" s="17">
        <v>3900</v>
      </c>
      <c r="F6" s="17">
        <v>13000</v>
      </c>
      <c r="G6" s="15">
        <v>3900</v>
      </c>
      <c r="H6" s="13">
        <f t="shared" si="0"/>
        <v>819000</v>
      </c>
    </row>
    <row r="7" spans="1:8" x14ac:dyDescent="0.25">
      <c r="A7" s="85">
        <v>45638</v>
      </c>
      <c r="B7" s="9" t="s">
        <v>6</v>
      </c>
      <c r="C7" s="9" t="s">
        <v>168</v>
      </c>
      <c r="D7" s="10">
        <v>0</v>
      </c>
      <c r="E7" s="17">
        <v>60000</v>
      </c>
      <c r="F7" s="17" t="e">
        <v>#N/A</v>
      </c>
      <c r="G7" s="15">
        <v>60000</v>
      </c>
      <c r="H7" s="13">
        <f t="shared" si="0"/>
        <v>0</v>
      </c>
    </row>
    <row r="8" spans="1:8" x14ac:dyDescent="0.25">
      <c r="A8" s="85">
        <v>45638</v>
      </c>
      <c r="B8" s="9" t="s">
        <v>68</v>
      </c>
      <c r="C8" s="9" t="s">
        <v>168</v>
      </c>
      <c r="D8" s="10">
        <v>10</v>
      </c>
      <c r="E8" s="17">
        <v>26000</v>
      </c>
      <c r="F8" s="17">
        <v>26000</v>
      </c>
      <c r="G8" s="13">
        <v>26000</v>
      </c>
      <c r="H8" s="13">
        <f t="shared" si="0"/>
        <v>260000</v>
      </c>
    </row>
    <row r="9" spans="1:8" x14ac:dyDescent="0.25">
      <c r="A9" s="85">
        <v>45638</v>
      </c>
      <c r="B9" s="9" t="s">
        <v>8</v>
      </c>
      <c r="C9" s="9" t="s">
        <v>11</v>
      </c>
      <c r="D9" s="10">
        <v>70</v>
      </c>
      <c r="E9" s="17">
        <v>8000</v>
      </c>
      <c r="F9" s="17">
        <v>8000</v>
      </c>
      <c r="G9" s="13">
        <v>8000</v>
      </c>
      <c r="H9" s="13">
        <f t="shared" si="0"/>
        <v>560000</v>
      </c>
    </row>
    <row r="10" spans="1:8" x14ac:dyDescent="0.25">
      <c r="A10" s="85">
        <v>45638</v>
      </c>
      <c r="B10" s="9" t="s">
        <v>9</v>
      </c>
      <c r="C10" s="9" t="s">
        <v>168</v>
      </c>
      <c r="D10" s="10">
        <v>220</v>
      </c>
      <c r="E10" s="17">
        <v>24000</v>
      </c>
      <c r="F10" s="17">
        <v>24000</v>
      </c>
      <c r="G10" s="13">
        <v>24000</v>
      </c>
      <c r="H10" s="13">
        <f t="shared" si="0"/>
        <v>5280000</v>
      </c>
    </row>
    <row r="11" spans="1:8" x14ac:dyDescent="0.25">
      <c r="A11" s="85">
        <v>45638</v>
      </c>
      <c r="B11" s="9" t="s">
        <v>10</v>
      </c>
      <c r="C11" s="9" t="s">
        <v>168</v>
      </c>
      <c r="D11" s="10">
        <v>80</v>
      </c>
      <c r="E11" s="17">
        <v>20000</v>
      </c>
      <c r="F11" s="17">
        <v>20000</v>
      </c>
      <c r="G11" s="13">
        <v>20000</v>
      </c>
      <c r="H11" s="13">
        <f t="shared" si="0"/>
        <v>1600000</v>
      </c>
    </row>
    <row r="12" spans="1:8" x14ac:dyDescent="0.25">
      <c r="A12" s="85">
        <v>45638</v>
      </c>
      <c r="B12" s="9" t="s">
        <v>10</v>
      </c>
      <c r="C12" s="9" t="s">
        <v>12</v>
      </c>
      <c r="D12" s="10">
        <v>100</v>
      </c>
      <c r="E12" s="17">
        <v>10000</v>
      </c>
      <c r="F12" s="17">
        <v>20000</v>
      </c>
      <c r="G12" s="13">
        <v>10000</v>
      </c>
      <c r="H12" s="13">
        <f t="shared" si="0"/>
        <v>1000000</v>
      </c>
    </row>
    <row r="13" spans="1:8" x14ac:dyDescent="0.25">
      <c r="A13" s="85">
        <v>45638</v>
      </c>
      <c r="B13" s="9" t="s">
        <v>13</v>
      </c>
      <c r="C13" s="9" t="s">
        <v>14</v>
      </c>
      <c r="D13" s="10">
        <v>72</v>
      </c>
      <c r="E13" s="17">
        <v>9000</v>
      </c>
      <c r="F13" s="17">
        <v>9000</v>
      </c>
      <c r="G13" s="13">
        <v>9000</v>
      </c>
      <c r="H13" s="13">
        <f t="shared" si="0"/>
        <v>648000</v>
      </c>
    </row>
    <row r="14" spans="1:8" x14ac:dyDescent="0.25">
      <c r="A14" s="85">
        <v>45638</v>
      </c>
      <c r="B14" s="9" t="s">
        <v>15</v>
      </c>
      <c r="C14" s="9" t="s">
        <v>168</v>
      </c>
      <c r="D14" s="10">
        <v>60</v>
      </c>
      <c r="E14" s="17">
        <v>55000</v>
      </c>
      <c r="F14" s="17">
        <v>16500</v>
      </c>
      <c r="G14" s="15">
        <v>55000</v>
      </c>
      <c r="H14" s="13">
        <f t="shared" si="0"/>
        <v>3300000</v>
      </c>
    </row>
    <row r="15" spans="1:8" x14ac:dyDescent="0.25">
      <c r="A15" s="85">
        <v>45638</v>
      </c>
      <c r="B15" s="9" t="s">
        <v>17</v>
      </c>
      <c r="C15" s="9" t="s">
        <v>14</v>
      </c>
      <c r="D15" s="10">
        <v>60</v>
      </c>
      <c r="E15" s="17">
        <v>15600</v>
      </c>
      <c r="F15" s="17">
        <v>15600</v>
      </c>
      <c r="G15" s="13">
        <v>15600</v>
      </c>
      <c r="H15" s="13">
        <f t="shared" si="0"/>
        <v>936000</v>
      </c>
    </row>
    <row r="16" spans="1:8" x14ac:dyDescent="0.25">
      <c r="A16" s="85">
        <v>45638</v>
      </c>
      <c r="B16" s="9" t="s">
        <v>18</v>
      </c>
      <c r="C16" s="9" t="s">
        <v>168</v>
      </c>
      <c r="D16" s="10">
        <v>60</v>
      </c>
      <c r="E16" s="17">
        <v>22000</v>
      </c>
      <c r="F16" s="17">
        <v>22000</v>
      </c>
      <c r="G16" s="13">
        <v>22000</v>
      </c>
      <c r="H16" s="13">
        <f t="shared" si="0"/>
        <v>1320000</v>
      </c>
    </row>
    <row r="17" spans="1:8" x14ac:dyDescent="0.25">
      <c r="A17" s="85">
        <v>45638</v>
      </c>
      <c r="B17" s="9" t="s">
        <v>19</v>
      </c>
      <c r="C17" s="9" t="s">
        <v>168</v>
      </c>
      <c r="D17" s="10">
        <v>40</v>
      </c>
      <c r="E17" s="17">
        <v>12500</v>
      </c>
      <c r="F17" s="17">
        <v>12500</v>
      </c>
      <c r="G17" s="13">
        <v>12500</v>
      </c>
      <c r="H17" s="13">
        <f t="shared" si="0"/>
        <v>500000</v>
      </c>
    </row>
    <row r="18" spans="1:8" x14ac:dyDescent="0.25">
      <c r="A18" s="85">
        <v>45638</v>
      </c>
      <c r="B18" s="9" t="s">
        <v>20</v>
      </c>
      <c r="C18" s="9" t="s">
        <v>11</v>
      </c>
      <c r="D18" s="10">
        <v>70</v>
      </c>
      <c r="E18" s="17">
        <v>9000</v>
      </c>
      <c r="F18" s="17">
        <v>9000</v>
      </c>
      <c r="G18" s="13">
        <v>9000</v>
      </c>
      <c r="H18" s="13">
        <f t="shared" si="0"/>
        <v>630000</v>
      </c>
    </row>
    <row r="19" spans="1:8" x14ac:dyDescent="0.25">
      <c r="A19" s="85">
        <v>45638</v>
      </c>
      <c r="B19" s="9" t="s">
        <v>63</v>
      </c>
      <c r="C19" s="9" t="s">
        <v>189</v>
      </c>
      <c r="D19" s="10">
        <v>40</v>
      </c>
      <c r="E19" s="17">
        <v>14000</v>
      </c>
      <c r="F19" s="17">
        <v>14000</v>
      </c>
      <c r="G19" s="13">
        <v>14000</v>
      </c>
      <c r="H19" s="13">
        <f t="shared" si="0"/>
        <v>560000</v>
      </c>
    </row>
    <row r="20" spans="1:8" x14ac:dyDescent="0.25">
      <c r="A20" s="85">
        <v>45638</v>
      </c>
      <c r="B20" s="9" t="s">
        <v>21</v>
      </c>
      <c r="C20" s="9" t="s">
        <v>22</v>
      </c>
      <c r="D20" s="10">
        <v>112</v>
      </c>
      <c r="E20" s="17">
        <v>4500</v>
      </c>
      <c r="F20" s="17">
        <v>4500</v>
      </c>
      <c r="G20" s="13">
        <v>4500</v>
      </c>
      <c r="H20" s="13">
        <f t="shared" si="0"/>
        <v>504000</v>
      </c>
    </row>
    <row r="21" spans="1:8" x14ac:dyDescent="0.25">
      <c r="A21" s="85">
        <v>45638</v>
      </c>
      <c r="B21" s="9" t="s">
        <v>21</v>
      </c>
      <c r="C21" s="9" t="s">
        <v>23</v>
      </c>
      <c r="D21" s="10">
        <v>30</v>
      </c>
      <c r="E21" s="17">
        <v>2250</v>
      </c>
      <c r="F21" s="17">
        <v>4500</v>
      </c>
      <c r="G21" s="13">
        <v>2250</v>
      </c>
      <c r="H21" s="13">
        <f t="shared" si="0"/>
        <v>67500</v>
      </c>
    </row>
    <row r="22" spans="1:8" x14ac:dyDescent="0.25">
      <c r="A22" s="85">
        <v>45638</v>
      </c>
      <c r="B22" s="9" t="s">
        <v>26</v>
      </c>
      <c r="C22" s="9" t="s">
        <v>11</v>
      </c>
      <c r="D22" s="10">
        <v>28</v>
      </c>
      <c r="E22" s="17">
        <v>6750</v>
      </c>
      <c r="F22" s="17">
        <v>6750</v>
      </c>
      <c r="G22" s="13">
        <v>6750</v>
      </c>
      <c r="H22" s="13">
        <f t="shared" si="0"/>
        <v>189000</v>
      </c>
    </row>
    <row r="23" spans="1:8" x14ac:dyDescent="0.25">
      <c r="A23" s="85">
        <v>45638</v>
      </c>
      <c r="B23" s="9" t="s">
        <v>27</v>
      </c>
      <c r="C23" s="9" t="s">
        <v>16</v>
      </c>
      <c r="D23" s="10">
        <v>12</v>
      </c>
      <c r="E23" s="17">
        <v>6500</v>
      </c>
      <c r="F23" s="17">
        <v>6500</v>
      </c>
      <c r="G23" s="13">
        <v>6500</v>
      </c>
      <c r="H23" s="13">
        <f t="shared" si="0"/>
        <v>78000</v>
      </c>
    </row>
    <row r="24" spans="1:8" x14ac:dyDescent="0.25">
      <c r="A24" s="85">
        <v>45638</v>
      </c>
      <c r="B24" s="9" t="s">
        <v>29</v>
      </c>
      <c r="C24" s="9" t="s">
        <v>168</v>
      </c>
      <c r="D24" s="10">
        <v>80</v>
      </c>
      <c r="E24" s="17">
        <v>19000</v>
      </c>
      <c r="F24" s="17">
        <v>19000</v>
      </c>
      <c r="G24" s="13">
        <v>19000</v>
      </c>
      <c r="H24" s="13">
        <f t="shared" si="0"/>
        <v>1520000</v>
      </c>
    </row>
    <row r="25" spans="1:8" x14ac:dyDescent="0.25">
      <c r="A25" s="85">
        <v>45638</v>
      </c>
      <c r="B25" s="9" t="s">
        <v>30</v>
      </c>
      <c r="C25" s="9" t="s">
        <v>168</v>
      </c>
      <c r="D25" s="10">
        <v>200</v>
      </c>
      <c r="E25" s="17">
        <v>24000</v>
      </c>
      <c r="F25" s="17">
        <v>24000</v>
      </c>
      <c r="G25" s="13">
        <v>24000</v>
      </c>
      <c r="H25" s="13">
        <f t="shared" si="0"/>
        <v>4800000</v>
      </c>
    </row>
    <row r="26" spans="1:8" x14ac:dyDescent="0.25">
      <c r="A26" s="85">
        <v>45638</v>
      </c>
      <c r="B26" s="9" t="s">
        <v>31</v>
      </c>
      <c r="C26" s="9" t="s">
        <v>168</v>
      </c>
      <c r="D26" s="10">
        <v>200</v>
      </c>
      <c r="E26" s="17">
        <v>16000</v>
      </c>
      <c r="F26" s="17">
        <v>16000</v>
      </c>
      <c r="G26" s="13">
        <v>16000</v>
      </c>
      <c r="H26" s="13">
        <f t="shared" si="0"/>
        <v>3200000</v>
      </c>
    </row>
    <row r="27" spans="1:8" x14ac:dyDescent="0.25">
      <c r="A27" s="85">
        <v>45638</v>
      </c>
      <c r="B27" s="9" t="s">
        <v>194</v>
      </c>
      <c r="C27" s="9" t="s">
        <v>168</v>
      </c>
      <c r="D27" s="10">
        <v>5</v>
      </c>
      <c r="E27" s="17">
        <v>10000</v>
      </c>
      <c r="F27" s="17">
        <v>10000</v>
      </c>
      <c r="G27" s="13">
        <v>10000</v>
      </c>
      <c r="H27" s="13">
        <f t="shared" si="0"/>
        <v>50000</v>
      </c>
    </row>
    <row r="28" spans="1:8" x14ac:dyDescent="0.25">
      <c r="A28" s="85">
        <v>45638</v>
      </c>
      <c r="B28" s="9" t="s">
        <v>34</v>
      </c>
      <c r="C28" s="9" t="s">
        <v>36</v>
      </c>
      <c r="D28" s="10">
        <v>30</v>
      </c>
      <c r="E28" s="17">
        <v>6500</v>
      </c>
      <c r="F28" s="17">
        <v>9000</v>
      </c>
      <c r="G28" s="13">
        <v>6500</v>
      </c>
      <c r="H28" s="13">
        <f t="shared" si="0"/>
        <v>195000</v>
      </c>
    </row>
    <row r="29" spans="1:8" x14ac:dyDescent="0.25">
      <c r="A29" s="85">
        <v>45638</v>
      </c>
      <c r="B29" s="9" t="s">
        <v>37</v>
      </c>
      <c r="C29" s="9" t="s">
        <v>11</v>
      </c>
      <c r="D29" s="10">
        <v>400</v>
      </c>
      <c r="E29" s="17">
        <v>5800</v>
      </c>
      <c r="F29" s="17">
        <v>5800</v>
      </c>
      <c r="G29" s="13">
        <v>5800</v>
      </c>
      <c r="H29" s="13">
        <f t="shared" si="0"/>
        <v>2320000</v>
      </c>
    </row>
    <row r="30" spans="1:8" x14ac:dyDescent="0.25">
      <c r="A30" s="85">
        <v>45638</v>
      </c>
      <c r="B30" s="9" t="s">
        <v>38</v>
      </c>
      <c r="C30" s="9" t="s">
        <v>22</v>
      </c>
      <c r="D30" s="10">
        <v>20</v>
      </c>
      <c r="E30" s="17">
        <v>5400</v>
      </c>
      <c r="F30" s="17">
        <v>9000</v>
      </c>
      <c r="G30" s="15">
        <v>5400</v>
      </c>
      <c r="H30" s="13">
        <f t="shared" si="0"/>
        <v>108000</v>
      </c>
    </row>
    <row r="31" spans="1:8" x14ac:dyDescent="0.25">
      <c r="A31" s="85">
        <v>45638</v>
      </c>
      <c r="B31" s="9" t="s">
        <v>40</v>
      </c>
      <c r="C31" s="9" t="s">
        <v>25</v>
      </c>
      <c r="D31" s="10">
        <v>67</v>
      </c>
      <c r="E31" s="17">
        <v>3150</v>
      </c>
      <c r="F31" s="17">
        <v>21000</v>
      </c>
      <c r="G31" s="15">
        <v>3150</v>
      </c>
      <c r="H31" s="13">
        <f t="shared" si="0"/>
        <v>211050</v>
      </c>
    </row>
    <row r="32" spans="1:8" x14ac:dyDescent="0.25">
      <c r="A32" s="85">
        <v>45638</v>
      </c>
      <c r="B32" s="9" t="s">
        <v>42</v>
      </c>
      <c r="C32" s="9" t="s">
        <v>168</v>
      </c>
      <c r="D32" s="10">
        <v>20</v>
      </c>
      <c r="E32" s="17">
        <v>25000</v>
      </c>
      <c r="F32" s="17">
        <v>25000</v>
      </c>
      <c r="G32" s="13">
        <v>25000</v>
      </c>
      <c r="H32" s="13">
        <f t="shared" si="0"/>
        <v>500000</v>
      </c>
    </row>
    <row r="33" spans="1:8" x14ac:dyDescent="0.25">
      <c r="A33" s="85">
        <v>45638</v>
      </c>
      <c r="B33" s="9" t="s">
        <v>43</v>
      </c>
      <c r="C33" s="9" t="s">
        <v>168</v>
      </c>
      <c r="D33" s="10">
        <v>0</v>
      </c>
      <c r="E33" s="17">
        <v>100000</v>
      </c>
      <c r="F33" s="17" t="e">
        <v>#N/A</v>
      </c>
      <c r="G33" s="13">
        <v>100000</v>
      </c>
      <c r="H33" s="13">
        <f t="shared" si="0"/>
        <v>0</v>
      </c>
    </row>
    <row r="34" spans="1:8" x14ac:dyDescent="0.25">
      <c r="A34" s="85">
        <v>45638</v>
      </c>
      <c r="B34" s="9" t="s">
        <v>45</v>
      </c>
      <c r="C34" s="9" t="s">
        <v>22</v>
      </c>
      <c r="D34" s="10">
        <v>200</v>
      </c>
      <c r="E34" s="17">
        <v>1900</v>
      </c>
      <c r="F34" s="17">
        <v>1900</v>
      </c>
      <c r="G34" s="13">
        <v>1900</v>
      </c>
      <c r="H34" s="13">
        <f t="shared" si="0"/>
        <v>380000</v>
      </c>
    </row>
    <row r="35" spans="1:8" x14ac:dyDescent="0.25">
      <c r="A35" s="85">
        <v>45638</v>
      </c>
      <c r="B35" s="9" t="s">
        <v>141</v>
      </c>
      <c r="C35" s="9" t="s">
        <v>168</v>
      </c>
      <c r="D35" s="10">
        <v>5</v>
      </c>
      <c r="E35" s="17">
        <v>14000</v>
      </c>
      <c r="F35" s="17">
        <v>14000</v>
      </c>
      <c r="G35" s="13">
        <v>14000</v>
      </c>
      <c r="H35" s="13">
        <f t="shared" si="0"/>
        <v>70000</v>
      </c>
    </row>
    <row r="36" spans="1:8" x14ac:dyDescent="0.25">
      <c r="A36" s="85">
        <v>45638</v>
      </c>
      <c r="B36" s="9" t="s">
        <v>46</v>
      </c>
      <c r="C36" s="9" t="s">
        <v>168</v>
      </c>
      <c r="D36" s="10">
        <v>30</v>
      </c>
      <c r="E36" s="17">
        <v>59000</v>
      </c>
      <c r="F36" s="17">
        <v>59000</v>
      </c>
      <c r="G36" s="13">
        <v>59000</v>
      </c>
      <c r="H36" s="13">
        <f t="shared" si="0"/>
        <v>1770000</v>
      </c>
    </row>
    <row r="37" spans="1:8" x14ac:dyDescent="0.25">
      <c r="A37" s="85">
        <v>45638</v>
      </c>
      <c r="B37" s="9" t="s">
        <v>64</v>
      </c>
      <c r="C37" s="9" t="s">
        <v>168</v>
      </c>
      <c r="D37" s="10">
        <v>20</v>
      </c>
      <c r="E37" s="17">
        <v>44000</v>
      </c>
      <c r="F37" s="17">
        <v>44000</v>
      </c>
      <c r="G37" s="13">
        <v>44000</v>
      </c>
      <c r="H37" s="13">
        <f t="shared" si="0"/>
        <v>880000</v>
      </c>
    </row>
    <row r="38" spans="1:8" x14ac:dyDescent="0.25">
      <c r="A38" s="85">
        <v>45638</v>
      </c>
      <c r="B38" s="9" t="s">
        <v>47</v>
      </c>
      <c r="C38" s="9" t="s">
        <v>7</v>
      </c>
      <c r="D38" s="10">
        <v>400</v>
      </c>
      <c r="E38" s="17">
        <v>7500</v>
      </c>
      <c r="F38" s="17">
        <v>30000</v>
      </c>
      <c r="G38" s="15">
        <v>7500</v>
      </c>
      <c r="H38" s="13">
        <f t="shared" si="0"/>
        <v>3000000</v>
      </c>
    </row>
    <row r="39" spans="1:8" x14ac:dyDescent="0.25">
      <c r="A39" s="85">
        <v>45638</v>
      </c>
      <c r="B39" s="9" t="s">
        <v>50</v>
      </c>
      <c r="C39" s="9" t="s">
        <v>7</v>
      </c>
      <c r="D39" s="10">
        <v>240</v>
      </c>
      <c r="E39" s="17">
        <v>5500</v>
      </c>
      <c r="F39" s="17">
        <v>22000</v>
      </c>
      <c r="G39" s="15">
        <v>5500</v>
      </c>
      <c r="H39" s="13">
        <f t="shared" si="0"/>
        <v>1320000</v>
      </c>
    </row>
    <row r="40" spans="1:8" x14ac:dyDescent="0.25">
      <c r="A40" s="85">
        <v>45638</v>
      </c>
      <c r="B40" s="9" t="s">
        <v>51</v>
      </c>
      <c r="C40" s="9" t="s">
        <v>7</v>
      </c>
      <c r="D40" s="10">
        <v>40</v>
      </c>
      <c r="E40" s="17">
        <v>4250</v>
      </c>
      <c r="F40" s="17">
        <v>17000</v>
      </c>
      <c r="G40" s="15">
        <v>4250</v>
      </c>
      <c r="H40" s="13">
        <f t="shared" si="0"/>
        <v>170000</v>
      </c>
    </row>
    <row r="41" spans="1:8" x14ac:dyDescent="0.25">
      <c r="A41" s="85">
        <v>45638</v>
      </c>
      <c r="B41" s="9" t="s">
        <v>52</v>
      </c>
      <c r="C41" s="9" t="s">
        <v>22</v>
      </c>
      <c r="D41" s="10">
        <v>200</v>
      </c>
      <c r="E41" s="17">
        <v>20000</v>
      </c>
      <c r="F41" s="17">
        <v>21000</v>
      </c>
      <c r="G41" s="13">
        <v>21000</v>
      </c>
      <c r="H41" s="13">
        <f t="shared" si="0"/>
        <v>4200000</v>
      </c>
    </row>
    <row r="42" spans="1:8" x14ac:dyDescent="0.25">
      <c r="A42" s="85">
        <v>45638</v>
      </c>
      <c r="B42" s="9" t="s">
        <v>53</v>
      </c>
      <c r="C42" s="9" t="s">
        <v>168</v>
      </c>
      <c r="D42" s="10">
        <v>10</v>
      </c>
      <c r="E42" s="17">
        <v>35000</v>
      </c>
      <c r="F42" s="17">
        <v>35000</v>
      </c>
      <c r="G42" s="13">
        <v>35000</v>
      </c>
      <c r="H42" s="13">
        <f t="shared" si="0"/>
        <v>350000</v>
      </c>
    </row>
    <row r="43" spans="1:8" x14ac:dyDescent="0.25">
      <c r="A43" s="85">
        <v>45638</v>
      </c>
      <c r="B43" s="9" t="s">
        <v>75</v>
      </c>
      <c r="C43" s="9" t="s">
        <v>168</v>
      </c>
      <c r="D43" s="10">
        <v>10</v>
      </c>
      <c r="E43" s="17">
        <v>35000</v>
      </c>
      <c r="F43" s="17">
        <v>35000</v>
      </c>
      <c r="G43" s="13">
        <v>35000</v>
      </c>
      <c r="H43" s="13">
        <f t="shared" si="0"/>
        <v>350000</v>
      </c>
    </row>
    <row r="44" spans="1:8" x14ac:dyDescent="0.25">
      <c r="A44" s="85">
        <v>45638</v>
      </c>
      <c r="B44" s="9" t="s">
        <v>76</v>
      </c>
      <c r="C44" s="9" t="s">
        <v>168</v>
      </c>
      <c r="D44" s="10">
        <v>22</v>
      </c>
      <c r="E44" s="17">
        <v>35000</v>
      </c>
      <c r="F44" s="17">
        <v>35000</v>
      </c>
      <c r="G44" s="13">
        <v>35000</v>
      </c>
      <c r="H44" s="13">
        <f t="shared" si="0"/>
        <v>770000</v>
      </c>
    </row>
    <row r="45" spans="1:8" x14ac:dyDescent="0.25">
      <c r="A45" s="85">
        <v>45638</v>
      </c>
      <c r="B45" s="9" t="s">
        <v>54</v>
      </c>
      <c r="C45" s="9" t="s">
        <v>168</v>
      </c>
      <c r="D45" s="10">
        <v>46</v>
      </c>
      <c r="E45" s="17">
        <v>10000</v>
      </c>
      <c r="F45" s="17">
        <v>10000</v>
      </c>
      <c r="G45" s="13">
        <v>10000</v>
      </c>
      <c r="H45" s="13">
        <f t="shared" si="0"/>
        <v>460000</v>
      </c>
    </row>
    <row r="46" spans="1:8" x14ac:dyDescent="0.25">
      <c r="A46" s="85">
        <v>45638</v>
      </c>
      <c r="B46" s="9" t="s">
        <v>55</v>
      </c>
      <c r="C46" s="9" t="s">
        <v>25</v>
      </c>
      <c r="D46" s="10">
        <v>100</v>
      </c>
      <c r="E46" s="17">
        <v>6000</v>
      </c>
      <c r="F46" s="17">
        <v>6000</v>
      </c>
      <c r="G46" s="13">
        <v>6000</v>
      </c>
      <c r="H46" s="13">
        <f t="shared" si="0"/>
        <v>600000</v>
      </c>
    </row>
    <row r="47" spans="1:8" x14ac:dyDescent="0.25">
      <c r="A47" s="85">
        <v>45638</v>
      </c>
      <c r="B47" s="9" t="s">
        <v>66</v>
      </c>
      <c r="C47" s="9" t="s">
        <v>168</v>
      </c>
      <c r="D47" s="10">
        <v>90</v>
      </c>
      <c r="E47" s="17">
        <v>28000</v>
      </c>
      <c r="F47" s="17" t="e">
        <v>#N/A</v>
      </c>
      <c r="G47" s="15">
        <v>28000</v>
      </c>
      <c r="H47" s="13">
        <f t="shared" si="0"/>
        <v>2520000</v>
      </c>
    </row>
    <row r="48" spans="1:8" x14ac:dyDescent="0.25">
      <c r="A48" s="85">
        <v>45638</v>
      </c>
      <c r="B48" s="9" t="s">
        <v>57</v>
      </c>
      <c r="C48" s="9" t="s">
        <v>25</v>
      </c>
      <c r="D48" s="10">
        <v>10</v>
      </c>
      <c r="E48" s="17">
        <v>6800</v>
      </c>
      <c r="F48" s="17">
        <v>6800</v>
      </c>
      <c r="G48" s="13">
        <v>6800</v>
      </c>
      <c r="H48" s="13">
        <f t="shared" si="0"/>
        <v>68000</v>
      </c>
    </row>
    <row r="49" spans="1:8" x14ac:dyDescent="0.25">
      <c r="A49" s="85">
        <v>45638</v>
      </c>
      <c r="B49" s="9" t="s">
        <v>58</v>
      </c>
      <c r="C49" s="9" t="s">
        <v>168</v>
      </c>
      <c r="D49" s="10">
        <v>30</v>
      </c>
      <c r="E49" s="17">
        <v>14000</v>
      </c>
      <c r="F49" s="17">
        <v>14000</v>
      </c>
      <c r="G49" s="13">
        <v>14000</v>
      </c>
      <c r="H49" s="13">
        <f t="shared" si="0"/>
        <v>420000</v>
      </c>
    </row>
    <row r="50" spans="1:8" x14ac:dyDescent="0.25">
      <c r="A50" s="85">
        <v>45638</v>
      </c>
      <c r="B50" s="9" t="s">
        <v>60</v>
      </c>
      <c r="C50" s="9" t="s">
        <v>22</v>
      </c>
      <c r="D50" s="10">
        <v>5</v>
      </c>
      <c r="E50" s="17">
        <v>3000</v>
      </c>
      <c r="F50" s="17">
        <v>10000</v>
      </c>
      <c r="G50" s="15">
        <v>3000</v>
      </c>
      <c r="H50" s="13">
        <f t="shared" si="0"/>
        <v>15000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8"/>
  <dimension ref="A1:H39"/>
  <sheetViews>
    <sheetView workbookViewId="0">
      <selection activeCell="K10" sqref="K1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1.5546875" style="21" bestFit="1" customWidth="1"/>
    <col min="8" max="8" width="15.44140625" style="21" bestFit="1" customWidth="1"/>
    <col min="9" max="16384" width="8.88671875" style="18"/>
  </cols>
  <sheetData>
    <row r="1" spans="1:8" ht="15.6" x14ac:dyDescent="0.3">
      <c r="B1" s="18" t="s">
        <v>191</v>
      </c>
      <c r="H1" s="35">
        <f>SUM(H3:H39)</f>
        <v>37954000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45637</v>
      </c>
      <c r="B3" s="9" t="s">
        <v>73</v>
      </c>
      <c r="C3" s="9" t="s">
        <v>168</v>
      </c>
      <c r="D3" s="10">
        <v>30</v>
      </c>
      <c r="E3" s="17">
        <v>7000</v>
      </c>
      <c r="F3" s="17">
        <v>7000</v>
      </c>
      <c r="G3" s="17">
        <v>7000</v>
      </c>
      <c r="H3" s="17">
        <f>G3*D3</f>
        <v>210000</v>
      </c>
    </row>
    <row r="4" spans="1:8" x14ac:dyDescent="0.3">
      <c r="A4" s="29">
        <v>45637</v>
      </c>
      <c r="B4" s="9" t="s">
        <v>2</v>
      </c>
      <c r="C4" s="9" t="s">
        <v>168</v>
      </c>
      <c r="D4" s="10">
        <v>0</v>
      </c>
      <c r="E4" s="17"/>
      <c r="F4" s="17"/>
      <c r="G4" s="17"/>
      <c r="H4" s="17">
        <f t="shared" ref="H4:H38" si="0">G4*D4</f>
        <v>0</v>
      </c>
    </row>
    <row r="5" spans="1:8" x14ac:dyDescent="0.3">
      <c r="A5" s="29">
        <v>45637</v>
      </c>
      <c r="B5" s="9" t="s">
        <v>3</v>
      </c>
      <c r="C5" s="9" t="s">
        <v>7</v>
      </c>
      <c r="D5" s="10">
        <v>300</v>
      </c>
      <c r="E5" s="17">
        <v>2400</v>
      </c>
      <c r="F5" s="17">
        <v>8000</v>
      </c>
      <c r="G5" s="62">
        <v>2400</v>
      </c>
      <c r="H5" s="17">
        <f t="shared" si="0"/>
        <v>720000</v>
      </c>
    </row>
    <row r="6" spans="1:8" x14ac:dyDescent="0.3">
      <c r="A6" s="29">
        <v>45637</v>
      </c>
      <c r="B6" s="9" t="s">
        <v>6</v>
      </c>
      <c r="C6" s="9" t="s">
        <v>168</v>
      </c>
      <c r="D6" s="10">
        <v>50</v>
      </c>
      <c r="E6" s="17">
        <v>60000</v>
      </c>
      <c r="F6" s="17">
        <v>60000</v>
      </c>
      <c r="G6" s="17">
        <v>60000</v>
      </c>
      <c r="H6" s="17">
        <f t="shared" si="0"/>
        <v>3000000</v>
      </c>
    </row>
    <row r="7" spans="1:8" x14ac:dyDescent="0.3">
      <c r="A7" s="29">
        <v>45637</v>
      </c>
      <c r="B7" s="9" t="s">
        <v>8</v>
      </c>
      <c r="C7" s="9" t="s">
        <v>11</v>
      </c>
      <c r="D7" s="10">
        <v>0</v>
      </c>
      <c r="E7" s="17"/>
      <c r="F7" s="17"/>
      <c r="G7" s="17"/>
      <c r="H7" s="17">
        <f t="shared" si="0"/>
        <v>0</v>
      </c>
    </row>
    <row r="8" spans="1:8" x14ac:dyDescent="0.3">
      <c r="A8" s="29">
        <v>45637</v>
      </c>
      <c r="B8" s="9" t="s">
        <v>9</v>
      </c>
      <c r="C8" s="9" t="s">
        <v>168</v>
      </c>
      <c r="D8" s="10">
        <v>200</v>
      </c>
      <c r="E8" s="17">
        <v>24000</v>
      </c>
      <c r="F8" s="17">
        <v>16250</v>
      </c>
      <c r="G8" s="17">
        <v>24000</v>
      </c>
      <c r="H8" s="17">
        <f t="shared" si="0"/>
        <v>4800000</v>
      </c>
    </row>
    <row r="9" spans="1:8" x14ac:dyDescent="0.3">
      <c r="A9" s="29">
        <v>45637</v>
      </c>
      <c r="B9" s="9" t="s">
        <v>10</v>
      </c>
      <c r="C9" s="9" t="s">
        <v>12</v>
      </c>
      <c r="D9" s="10">
        <v>207</v>
      </c>
      <c r="E9" s="17">
        <v>10000</v>
      </c>
      <c r="F9" s="17">
        <v>10000</v>
      </c>
      <c r="G9" s="17">
        <v>10000</v>
      </c>
      <c r="H9" s="17">
        <f t="shared" si="0"/>
        <v>2070000</v>
      </c>
    </row>
    <row r="10" spans="1:8" x14ac:dyDescent="0.3">
      <c r="A10" s="29">
        <v>45637</v>
      </c>
      <c r="B10" s="9" t="s">
        <v>13</v>
      </c>
      <c r="C10" s="9" t="s">
        <v>14</v>
      </c>
      <c r="D10" s="10">
        <v>150</v>
      </c>
      <c r="E10" s="17">
        <v>9000</v>
      </c>
      <c r="F10" s="17">
        <v>9000</v>
      </c>
      <c r="G10" s="17">
        <v>9000</v>
      </c>
      <c r="H10" s="17">
        <f t="shared" si="0"/>
        <v>1350000</v>
      </c>
    </row>
    <row r="11" spans="1:8" x14ac:dyDescent="0.3">
      <c r="A11" s="29">
        <v>45637</v>
      </c>
      <c r="B11" s="9" t="s">
        <v>18</v>
      </c>
      <c r="C11" s="9" t="s">
        <v>168</v>
      </c>
      <c r="D11" s="10">
        <v>120</v>
      </c>
      <c r="E11" s="17">
        <v>24000</v>
      </c>
      <c r="F11" s="17">
        <v>24000</v>
      </c>
      <c r="G11" s="17">
        <v>24000</v>
      </c>
      <c r="H11" s="17">
        <f t="shared" si="0"/>
        <v>2880000</v>
      </c>
    </row>
    <row r="12" spans="1:8" x14ac:dyDescent="0.3">
      <c r="A12" s="29">
        <v>45637</v>
      </c>
      <c r="B12" s="9" t="s">
        <v>19</v>
      </c>
      <c r="C12" s="9" t="s">
        <v>168</v>
      </c>
      <c r="D12" s="10">
        <v>40</v>
      </c>
      <c r="E12" s="17">
        <v>13000</v>
      </c>
      <c r="F12" s="17">
        <v>13000</v>
      </c>
      <c r="G12" s="17">
        <v>13000</v>
      </c>
      <c r="H12" s="17">
        <f t="shared" si="0"/>
        <v>520000</v>
      </c>
    </row>
    <row r="13" spans="1:8" x14ac:dyDescent="0.3">
      <c r="A13" s="29">
        <v>45637</v>
      </c>
      <c r="B13" s="9" t="s">
        <v>20</v>
      </c>
      <c r="C13" s="9" t="s">
        <v>11</v>
      </c>
      <c r="D13" s="10">
        <v>0</v>
      </c>
      <c r="E13" s="17">
        <v>9000</v>
      </c>
      <c r="F13" s="17">
        <v>9000</v>
      </c>
      <c r="G13" s="17">
        <v>9000</v>
      </c>
      <c r="H13" s="17">
        <f t="shared" si="0"/>
        <v>0</v>
      </c>
    </row>
    <row r="14" spans="1:8" x14ac:dyDescent="0.3">
      <c r="A14" s="29">
        <v>45637</v>
      </c>
      <c r="B14" s="9" t="s">
        <v>63</v>
      </c>
      <c r="C14" s="9" t="s">
        <v>168</v>
      </c>
      <c r="D14" s="10">
        <v>50</v>
      </c>
      <c r="E14" s="17">
        <v>14000</v>
      </c>
      <c r="F14" s="17">
        <v>14000</v>
      </c>
      <c r="G14" s="17">
        <v>14000</v>
      </c>
      <c r="H14" s="17">
        <f t="shared" si="0"/>
        <v>700000</v>
      </c>
    </row>
    <row r="15" spans="1:8" x14ac:dyDescent="0.3">
      <c r="A15" s="29">
        <v>45637</v>
      </c>
      <c r="B15" s="9" t="s">
        <v>21</v>
      </c>
      <c r="C15" s="9" t="s">
        <v>23</v>
      </c>
      <c r="D15" s="10">
        <v>20</v>
      </c>
      <c r="E15" s="17">
        <v>2400</v>
      </c>
      <c r="F15" s="17">
        <v>5250</v>
      </c>
      <c r="G15" s="17">
        <v>2400</v>
      </c>
      <c r="H15" s="17">
        <f t="shared" si="0"/>
        <v>48000</v>
      </c>
    </row>
    <row r="16" spans="1:8" x14ac:dyDescent="0.3">
      <c r="A16" s="29">
        <v>45637</v>
      </c>
      <c r="B16" s="9" t="s">
        <v>24</v>
      </c>
      <c r="C16" s="9" t="s">
        <v>25</v>
      </c>
      <c r="D16" s="10">
        <v>80</v>
      </c>
      <c r="E16" s="17">
        <v>10000</v>
      </c>
      <c r="F16" s="17">
        <v>20000</v>
      </c>
      <c r="G16" s="62">
        <v>10000</v>
      </c>
      <c r="H16" s="17">
        <f t="shared" si="0"/>
        <v>800000</v>
      </c>
    </row>
    <row r="17" spans="1:8" x14ac:dyDescent="0.3">
      <c r="A17" s="29">
        <v>45637</v>
      </c>
      <c r="B17" s="9" t="s">
        <v>26</v>
      </c>
      <c r="C17" s="9" t="s">
        <v>11</v>
      </c>
      <c r="D17" s="10">
        <v>12</v>
      </c>
      <c r="E17" s="17">
        <v>6750</v>
      </c>
      <c r="F17" s="17">
        <v>6750</v>
      </c>
      <c r="G17" s="17">
        <v>6750</v>
      </c>
      <c r="H17" s="17">
        <f t="shared" si="0"/>
        <v>81000</v>
      </c>
    </row>
    <row r="18" spans="1:8" x14ac:dyDescent="0.3">
      <c r="A18" s="29">
        <v>45637</v>
      </c>
      <c r="B18" s="9" t="s">
        <v>74</v>
      </c>
      <c r="C18" s="9" t="s">
        <v>168</v>
      </c>
      <c r="D18" s="10">
        <v>30</v>
      </c>
      <c r="E18" s="17">
        <v>12000</v>
      </c>
      <c r="F18" s="17">
        <v>12000</v>
      </c>
      <c r="G18" s="17">
        <v>12000</v>
      </c>
      <c r="H18" s="17">
        <f t="shared" si="0"/>
        <v>360000</v>
      </c>
    </row>
    <row r="19" spans="1:8" x14ac:dyDescent="0.3">
      <c r="A19" s="29">
        <v>45637</v>
      </c>
      <c r="B19" s="9" t="s">
        <v>30</v>
      </c>
      <c r="C19" s="9" t="s">
        <v>168</v>
      </c>
      <c r="D19" s="10">
        <v>200</v>
      </c>
      <c r="E19" s="17">
        <v>24000</v>
      </c>
      <c r="F19" s="17" t="e">
        <v>#N/A</v>
      </c>
      <c r="G19" s="62">
        <v>24000</v>
      </c>
      <c r="H19" s="17">
        <f t="shared" si="0"/>
        <v>4800000</v>
      </c>
    </row>
    <row r="20" spans="1:8" x14ac:dyDescent="0.3">
      <c r="A20" s="29">
        <v>45637</v>
      </c>
      <c r="B20" s="9" t="s">
        <v>31</v>
      </c>
      <c r="C20" s="9" t="s">
        <v>168</v>
      </c>
      <c r="D20" s="10">
        <v>100</v>
      </c>
      <c r="E20" s="17">
        <v>16500</v>
      </c>
      <c r="F20" s="17">
        <v>16500</v>
      </c>
      <c r="G20" s="17">
        <v>16500</v>
      </c>
      <c r="H20" s="17">
        <f t="shared" si="0"/>
        <v>1650000</v>
      </c>
    </row>
    <row r="21" spans="1:8" x14ac:dyDescent="0.3">
      <c r="A21" s="29">
        <v>45637</v>
      </c>
      <c r="B21" s="9" t="s">
        <v>32</v>
      </c>
      <c r="C21" s="9" t="s">
        <v>168</v>
      </c>
      <c r="D21" s="10">
        <v>0</v>
      </c>
      <c r="E21" s="17">
        <v>27000</v>
      </c>
      <c r="F21" s="17">
        <v>27000</v>
      </c>
      <c r="G21" s="17">
        <v>27000</v>
      </c>
      <c r="H21" s="17">
        <f t="shared" si="0"/>
        <v>0</v>
      </c>
    </row>
    <row r="22" spans="1:8" x14ac:dyDescent="0.3">
      <c r="A22" s="29">
        <v>45637</v>
      </c>
      <c r="B22" s="9" t="s">
        <v>37</v>
      </c>
      <c r="C22" s="9" t="s">
        <v>11</v>
      </c>
      <c r="D22" s="10">
        <v>500</v>
      </c>
      <c r="E22" s="17">
        <v>5000</v>
      </c>
      <c r="F22" s="17">
        <v>5000</v>
      </c>
      <c r="G22" s="17">
        <v>5000</v>
      </c>
      <c r="H22" s="17">
        <f t="shared" si="0"/>
        <v>2500000</v>
      </c>
    </row>
    <row r="23" spans="1:8" x14ac:dyDescent="0.3">
      <c r="A23" s="29">
        <v>45637</v>
      </c>
      <c r="B23" s="9" t="s">
        <v>40</v>
      </c>
      <c r="C23" s="9" t="s">
        <v>25</v>
      </c>
      <c r="D23" s="10">
        <v>100</v>
      </c>
      <c r="E23" s="17">
        <v>3000</v>
      </c>
      <c r="F23" s="17">
        <v>20000</v>
      </c>
      <c r="G23" s="62">
        <v>3000</v>
      </c>
      <c r="H23" s="17">
        <f t="shared" si="0"/>
        <v>300000</v>
      </c>
    </row>
    <row r="24" spans="1:8" x14ac:dyDescent="0.3">
      <c r="A24" s="29">
        <v>45637</v>
      </c>
      <c r="B24" s="9" t="s">
        <v>42</v>
      </c>
      <c r="C24" s="9" t="s">
        <v>168</v>
      </c>
      <c r="D24" s="10">
        <v>10</v>
      </c>
      <c r="E24" s="17">
        <v>25000</v>
      </c>
      <c r="F24" s="17">
        <v>25000</v>
      </c>
      <c r="G24" s="17">
        <v>25000</v>
      </c>
      <c r="H24" s="17">
        <f t="shared" si="0"/>
        <v>250000</v>
      </c>
    </row>
    <row r="25" spans="1:8" x14ac:dyDescent="0.3">
      <c r="A25" s="29">
        <v>45637</v>
      </c>
      <c r="B25" s="9" t="s">
        <v>43</v>
      </c>
      <c r="C25" s="9" t="s">
        <v>168</v>
      </c>
      <c r="D25" s="10">
        <v>0</v>
      </c>
      <c r="E25" s="17"/>
      <c r="F25" s="17"/>
      <c r="G25" s="17"/>
      <c r="H25" s="17">
        <f t="shared" si="0"/>
        <v>0</v>
      </c>
    </row>
    <row r="26" spans="1:8" x14ac:dyDescent="0.3">
      <c r="A26" s="29">
        <v>45637</v>
      </c>
      <c r="B26" s="9" t="s">
        <v>45</v>
      </c>
      <c r="C26" s="9" t="s">
        <v>22</v>
      </c>
      <c r="D26" s="10">
        <v>300</v>
      </c>
      <c r="E26" s="17">
        <v>1900</v>
      </c>
      <c r="F26" s="17">
        <v>1900</v>
      </c>
      <c r="G26" s="17">
        <v>1900</v>
      </c>
      <c r="H26" s="17">
        <f t="shared" si="0"/>
        <v>570000</v>
      </c>
    </row>
    <row r="27" spans="1:8" x14ac:dyDescent="0.3">
      <c r="A27" s="29">
        <v>45637</v>
      </c>
      <c r="B27" s="9" t="s">
        <v>141</v>
      </c>
      <c r="C27" s="9" t="s">
        <v>168</v>
      </c>
      <c r="D27" s="10">
        <v>5</v>
      </c>
      <c r="E27" s="17">
        <v>14000</v>
      </c>
      <c r="F27" s="17" t="e">
        <v>#N/A</v>
      </c>
      <c r="G27" s="62">
        <v>14000</v>
      </c>
      <c r="H27" s="17">
        <f t="shared" si="0"/>
        <v>70000</v>
      </c>
    </row>
    <row r="28" spans="1:8" x14ac:dyDescent="0.3">
      <c r="A28" s="29">
        <v>45637</v>
      </c>
      <c r="B28" s="9" t="s">
        <v>46</v>
      </c>
      <c r="C28" s="9" t="s">
        <v>168</v>
      </c>
      <c r="D28" s="10">
        <v>20</v>
      </c>
      <c r="E28" s="17">
        <v>58000</v>
      </c>
      <c r="F28" s="17">
        <v>58000</v>
      </c>
      <c r="G28" s="17">
        <v>58000</v>
      </c>
      <c r="H28" s="17">
        <f t="shared" si="0"/>
        <v>1160000</v>
      </c>
    </row>
    <row r="29" spans="1:8" x14ac:dyDescent="0.3">
      <c r="A29" s="29">
        <v>45637</v>
      </c>
      <c r="B29" s="9" t="s">
        <v>64</v>
      </c>
      <c r="C29" s="9" t="s">
        <v>168</v>
      </c>
      <c r="D29" s="10">
        <v>10</v>
      </c>
      <c r="E29" s="17">
        <v>50000</v>
      </c>
      <c r="F29" s="17">
        <v>50000</v>
      </c>
      <c r="G29" s="17">
        <v>50000</v>
      </c>
      <c r="H29" s="17">
        <f t="shared" si="0"/>
        <v>500000</v>
      </c>
    </row>
    <row r="30" spans="1:8" x14ac:dyDescent="0.3">
      <c r="A30" s="29">
        <v>45637</v>
      </c>
      <c r="B30" s="9" t="s">
        <v>47</v>
      </c>
      <c r="C30" s="9" t="s">
        <v>7</v>
      </c>
      <c r="D30" s="10">
        <v>300</v>
      </c>
      <c r="E30" s="17">
        <v>7000</v>
      </c>
      <c r="F30" s="17">
        <v>28000</v>
      </c>
      <c r="G30" s="62">
        <v>7000</v>
      </c>
      <c r="H30" s="17">
        <f>G30*D30</f>
        <v>2100000</v>
      </c>
    </row>
    <row r="31" spans="1:8" x14ac:dyDescent="0.3">
      <c r="A31" s="29">
        <v>45637</v>
      </c>
      <c r="B31" s="9" t="s">
        <v>48</v>
      </c>
      <c r="C31" s="9" t="s">
        <v>168</v>
      </c>
      <c r="D31" s="10">
        <v>15</v>
      </c>
      <c r="E31" s="17">
        <v>49000</v>
      </c>
      <c r="F31" s="17">
        <v>49000</v>
      </c>
      <c r="G31" s="17">
        <v>49000</v>
      </c>
      <c r="H31" s="17">
        <f t="shared" si="0"/>
        <v>735000</v>
      </c>
    </row>
    <row r="32" spans="1:8" x14ac:dyDescent="0.3">
      <c r="A32" s="29">
        <v>45637</v>
      </c>
      <c r="B32" s="9" t="s">
        <v>50</v>
      </c>
      <c r="C32" s="9" t="s">
        <v>7</v>
      </c>
      <c r="D32" s="10">
        <v>200</v>
      </c>
      <c r="E32" s="17">
        <v>5000</v>
      </c>
      <c r="F32" s="17">
        <v>20000</v>
      </c>
      <c r="G32" s="62">
        <v>5000</v>
      </c>
      <c r="H32" s="17">
        <f t="shared" si="0"/>
        <v>1000000</v>
      </c>
    </row>
    <row r="33" spans="1:8" x14ac:dyDescent="0.3">
      <c r="A33" s="29">
        <v>45637</v>
      </c>
      <c r="B33" s="9" t="s">
        <v>51</v>
      </c>
      <c r="C33" s="9" t="s">
        <v>7</v>
      </c>
      <c r="D33" s="10">
        <v>80</v>
      </c>
      <c r="E33" s="17">
        <v>5000</v>
      </c>
      <c r="F33" s="17">
        <v>20000</v>
      </c>
      <c r="G33" s="62">
        <v>5000</v>
      </c>
      <c r="H33" s="17">
        <f t="shared" si="0"/>
        <v>400000</v>
      </c>
    </row>
    <row r="34" spans="1:8" x14ac:dyDescent="0.3">
      <c r="A34" s="29">
        <v>45637</v>
      </c>
      <c r="B34" s="9" t="s">
        <v>52</v>
      </c>
      <c r="C34" s="9" t="s">
        <v>22</v>
      </c>
      <c r="D34" s="10">
        <v>115</v>
      </c>
      <c r="E34" s="17">
        <v>20000</v>
      </c>
      <c r="F34" s="17">
        <v>20000</v>
      </c>
      <c r="G34" s="17">
        <v>20000</v>
      </c>
      <c r="H34" s="17">
        <f t="shared" si="0"/>
        <v>2300000</v>
      </c>
    </row>
    <row r="35" spans="1:8" x14ac:dyDescent="0.3">
      <c r="A35" s="29">
        <v>45637</v>
      </c>
      <c r="B35" s="9" t="s">
        <v>56</v>
      </c>
      <c r="C35" s="9" t="s">
        <v>168</v>
      </c>
      <c r="D35" s="10">
        <v>40</v>
      </c>
      <c r="E35" s="17">
        <v>27000</v>
      </c>
      <c r="F35" s="17">
        <v>27000</v>
      </c>
      <c r="G35" s="17">
        <v>27000</v>
      </c>
      <c r="H35" s="17">
        <f t="shared" si="0"/>
        <v>1080000</v>
      </c>
    </row>
    <row r="36" spans="1:8" x14ac:dyDescent="0.3">
      <c r="A36" s="29">
        <v>45637</v>
      </c>
      <c r="B36" s="9" t="s">
        <v>57</v>
      </c>
      <c r="C36" s="9" t="s">
        <v>25</v>
      </c>
      <c r="D36" s="10">
        <v>30</v>
      </c>
      <c r="E36" s="17">
        <v>6800</v>
      </c>
      <c r="F36" s="17">
        <v>6800</v>
      </c>
      <c r="G36" s="17">
        <v>6800</v>
      </c>
      <c r="H36" s="17">
        <f>G36*D36</f>
        <v>204000</v>
      </c>
    </row>
    <row r="37" spans="1:8" x14ac:dyDescent="0.3">
      <c r="A37" s="29">
        <v>45637</v>
      </c>
      <c r="B37" s="9" t="s">
        <v>58</v>
      </c>
      <c r="C37" s="9" t="s">
        <v>168</v>
      </c>
      <c r="D37" s="10">
        <v>30</v>
      </c>
      <c r="E37" s="17">
        <v>14000</v>
      </c>
      <c r="F37" s="17">
        <v>14000</v>
      </c>
      <c r="G37" s="17">
        <v>14000</v>
      </c>
      <c r="H37" s="17">
        <f t="shared" si="0"/>
        <v>420000</v>
      </c>
    </row>
    <row r="38" spans="1:8" x14ac:dyDescent="0.3">
      <c r="A38" s="29">
        <v>45637</v>
      </c>
      <c r="B38" s="9" t="s">
        <v>59</v>
      </c>
      <c r="C38" s="9" t="s">
        <v>168</v>
      </c>
      <c r="D38" s="10">
        <v>2</v>
      </c>
      <c r="E38" s="17">
        <v>120000</v>
      </c>
      <c r="F38" s="17">
        <v>120000</v>
      </c>
      <c r="G38" s="17">
        <v>120000</v>
      </c>
      <c r="H38" s="17">
        <f t="shared" si="0"/>
        <v>240000</v>
      </c>
    </row>
    <row r="39" spans="1:8" x14ac:dyDescent="0.3">
      <c r="A39" s="29">
        <v>45637</v>
      </c>
      <c r="B39" s="9" t="s">
        <v>61</v>
      </c>
      <c r="C39" s="9" t="s">
        <v>25</v>
      </c>
      <c r="D39" s="10">
        <v>20</v>
      </c>
      <c r="E39" s="17">
        <v>6800</v>
      </c>
      <c r="F39" s="17">
        <v>6800</v>
      </c>
      <c r="G39" s="17">
        <v>6800</v>
      </c>
      <c r="H39" s="17">
        <f>G39*D39</f>
        <v>136000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H46"/>
  <sheetViews>
    <sheetView topLeftCell="A30" workbookViewId="0">
      <selection activeCell="J8" sqref="J8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1.44140625" style="21" bestFit="1" customWidth="1"/>
    <col min="8" max="8" width="13.5546875" style="21" bestFit="1" customWidth="1"/>
    <col min="9" max="16384" width="8.88671875" style="18"/>
  </cols>
  <sheetData>
    <row r="1" spans="1:8" ht="15.6" x14ac:dyDescent="0.3">
      <c r="B1" s="18" t="s">
        <v>190</v>
      </c>
      <c r="H1" s="35">
        <f>SUM(H3:H46)</f>
        <v>47440666.666666664</v>
      </c>
    </row>
    <row r="2" spans="1:8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</row>
    <row r="3" spans="1:8" x14ac:dyDescent="0.3">
      <c r="A3" s="29">
        <v>45636</v>
      </c>
      <c r="B3" s="9" t="s">
        <v>67</v>
      </c>
      <c r="C3" s="9" t="s">
        <v>1</v>
      </c>
      <c r="D3" s="10">
        <v>40</v>
      </c>
      <c r="E3" s="17">
        <v>7500</v>
      </c>
      <c r="F3" s="17">
        <v>7500</v>
      </c>
      <c r="G3" s="17">
        <v>7500</v>
      </c>
      <c r="H3" s="17">
        <f>G3*D3</f>
        <v>300000</v>
      </c>
    </row>
    <row r="4" spans="1:8" x14ac:dyDescent="0.3">
      <c r="A4" s="29">
        <v>45636</v>
      </c>
      <c r="B4" s="9" t="s">
        <v>3</v>
      </c>
      <c r="C4" s="9" t="s">
        <v>7</v>
      </c>
      <c r="D4" s="10">
        <v>300</v>
      </c>
      <c r="E4" s="17">
        <v>3300</v>
      </c>
      <c r="F4" s="17">
        <v>11000</v>
      </c>
      <c r="G4" s="62">
        <v>3300</v>
      </c>
      <c r="H4" s="17">
        <f t="shared" ref="H4:H46" si="0">G4*D4</f>
        <v>990000</v>
      </c>
    </row>
    <row r="5" spans="1:8" x14ac:dyDescent="0.3">
      <c r="A5" s="29">
        <v>45636</v>
      </c>
      <c r="B5" s="9" t="s">
        <v>5</v>
      </c>
      <c r="C5" s="9" t="s">
        <v>7</v>
      </c>
      <c r="D5" s="10">
        <v>120</v>
      </c>
      <c r="E5" s="17">
        <v>3900</v>
      </c>
      <c r="F5" s="17">
        <v>13000</v>
      </c>
      <c r="G5" s="62">
        <v>3900</v>
      </c>
      <c r="H5" s="17">
        <f t="shared" si="0"/>
        <v>468000</v>
      </c>
    </row>
    <row r="6" spans="1:8" x14ac:dyDescent="0.3">
      <c r="A6" s="29">
        <v>45636</v>
      </c>
      <c r="B6" s="9" t="s">
        <v>6</v>
      </c>
      <c r="C6" s="9" t="s">
        <v>1</v>
      </c>
      <c r="D6" s="10">
        <v>50</v>
      </c>
      <c r="E6" s="17">
        <v>55000</v>
      </c>
      <c r="F6" s="17">
        <v>55000</v>
      </c>
      <c r="G6" s="17">
        <v>55000</v>
      </c>
      <c r="H6" s="17">
        <f t="shared" si="0"/>
        <v>2750000</v>
      </c>
    </row>
    <row r="7" spans="1:8" x14ac:dyDescent="0.3">
      <c r="A7" s="29">
        <v>45636</v>
      </c>
      <c r="B7" s="9" t="s">
        <v>68</v>
      </c>
      <c r="C7" s="9" t="s">
        <v>1</v>
      </c>
      <c r="D7" s="10">
        <v>65</v>
      </c>
      <c r="E7" s="17">
        <v>24000</v>
      </c>
      <c r="F7" s="17">
        <v>24000</v>
      </c>
      <c r="G7" s="17">
        <v>24000</v>
      </c>
      <c r="H7" s="17">
        <f t="shared" si="0"/>
        <v>1560000</v>
      </c>
    </row>
    <row r="8" spans="1:8" x14ac:dyDescent="0.3">
      <c r="A8" s="29">
        <v>45636</v>
      </c>
      <c r="B8" s="9" t="s">
        <v>8</v>
      </c>
      <c r="C8" s="9" t="s">
        <v>11</v>
      </c>
      <c r="D8" s="10">
        <v>10</v>
      </c>
      <c r="E8" s="17">
        <v>8000</v>
      </c>
      <c r="F8" s="17">
        <v>8000</v>
      </c>
      <c r="G8" s="17">
        <v>8000</v>
      </c>
      <c r="H8" s="17">
        <f t="shared" si="0"/>
        <v>80000</v>
      </c>
    </row>
    <row r="9" spans="1:8" x14ac:dyDescent="0.3">
      <c r="A9" s="29">
        <v>45636</v>
      </c>
      <c r="B9" s="9" t="s">
        <v>9</v>
      </c>
      <c r="C9" s="9" t="s">
        <v>1</v>
      </c>
      <c r="D9" s="10">
        <v>200</v>
      </c>
      <c r="E9" s="17">
        <v>24000</v>
      </c>
      <c r="F9" s="17">
        <v>24000</v>
      </c>
      <c r="G9" s="17">
        <v>24000</v>
      </c>
      <c r="H9" s="17">
        <f t="shared" si="0"/>
        <v>4800000</v>
      </c>
    </row>
    <row r="10" spans="1:8" x14ac:dyDescent="0.3">
      <c r="A10" s="29">
        <v>45636</v>
      </c>
      <c r="B10" s="9" t="s">
        <v>10</v>
      </c>
      <c r="C10" s="9" t="s">
        <v>12</v>
      </c>
      <c r="D10" s="10">
        <v>100</v>
      </c>
      <c r="E10" s="17">
        <v>10000</v>
      </c>
      <c r="F10" s="17">
        <v>10000</v>
      </c>
      <c r="G10" s="17">
        <v>10000</v>
      </c>
      <c r="H10" s="17">
        <f t="shared" si="0"/>
        <v>1000000</v>
      </c>
    </row>
    <row r="11" spans="1:8" x14ac:dyDescent="0.3">
      <c r="A11" s="29">
        <v>45636</v>
      </c>
      <c r="B11" s="9" t="s">
        <v>13</v>
      </c>
      <c r="C11" s="9" t="s">
        <v>14</v>
      </c>
      <c r="D11" s="10">
        <v>200</v>
      </c>
      <c r="E11" s="17">
        <v>9000</v>
      </c>
      <c r="F11" s="17">
        <v>9000</v>
      </c>
      <c r="G11" s="17">
        <v>9000</v>
      </c>
      <c r="H11" s="17">
        <f t="shared" si="0"/>
        <v>1800000</v>
      </c>
    </row>
    <row r="12" spans="1:8" x14ac:dyDescent="0.3">
      <c r="A12" s="29">
        <v>45636</v>
      </c>
      <c r="B12" s="9" t="s">
        <v>15</v>
      </c>
      <c r="C12" s="9" t="s">
        <v>16</v>
      </c>
      <c r="D12" s="10">
        <v>30</v>
      </c>
      <c r="E12" s="17">
        <v>16500</v>
      </c>
      <c r="F12" s="17">
        <v>16500</v>
      </c>
      <c r="G12" s="17">
        <v>16500</v>
      </c>
      <c r="H12" s="17">
        <f t="shared" si="0"/>
        <v>495000</v>
      </c>
    </row>
    <row r="13" spans="1:8" x14ac:dyDescent="0.3">
      <c r="A13" s="29">
        <v>45636</v>
      </c>
      <c r="B13" s="9" t="s">
        <v>17</v>
      </c>
      <c r="C13" s="9" t="s">
        <v>189</v>
      </c>
      <c r="D13" s="10">
        <v>55</v>
      </c>
      <c r="E13" s="17">
        <v>38000</v>
      </c>
      <c r="F13" s="17" t="e">
        <v>#N/A</v>
      </c>
      <c r="G13" s="17">
        <v>38000</v>
      </c>
      <c r="H13" s="17">
        <f t="shared" si="0"/>
        <v>2090000</v>
      </c>
    </row>
    <row r="14" spans="1:8" x14ac:dyDescent="0.3">
      <c r="A14" s="29">
        <v>45636</v>
      </c>
      <c r="B14" s="9" t="s">
        <v>18</v>
      </c>
      <c r="C14" s="9" t="s">
        <v>1</v>
      </c>
      <c r="D14" s="10">
        <v>40</v>
      </c>
      <c r="E14" s="17">
        <v>25000</v>
      </c>
      <c r="F14" s="17">
        <v>25000</v>
      </c>
      <c r="G14" s="17">
        <v>25000</v>
      </c>
      <c r="H14" s="17">
        <f t="shared" si="0"/>
        <v>1000000</v>
      </c>
    </row>
    <row r="15" spans="1:8" x14ac:dyDescent="0.3">
      <c r="A15" s="29">
        <v>45636</v>
      </c>
      <c r="B15" s="9" t="s">
        <v>19</v>
      </c>
      <c r="C15" s="9" t="s">
        <v>1</v>
      </c>
      <c r="D15" s="10">
        <v>20</v>
      </c>
      <c r="E15" s="17">
        <v>13000</v>
      </c>
      <c r="F15" s="17">
        <v>13000</v>
      </c>
      <c r="G15" s="17">
        <v>13000</v>
      </c>
      <c r="H15" s="17">
        <f t="shared" si="0"/>
        <v>260000</v>
      </c>
    </row>
    <row r="16" spans="1:8" x14ac:dyDescent="0.3">
      <c r="A16" s="29">
        <v>45636</v>
      </c>
      <c r="B16" s="9" t="s">
        <v>20</v>
      </c>
      <c r="C16" s="9" t="s">
        <v>11</v>
      </c>
      <c r="D16" s="10">
        <v>100</v>
      </c>
      <c r="E16" s="17">
        <v>9000</v>
      </c>
      <c r="F16" s="17">
        <v>9000</v>
      </c>
      <c r="G16" s="17">
        <v>9000</v>
      </c>
      <c r="H16" s="17">
        <f t="shared" si="0"/>
        <v>900000</v>
      </c>
    </row>
    <row r="17" spans="1:8" x14ac:dyDescent="0.3">
      <c r="A17" s="29">
        <v>45636</v>
      </c>
      <c r="B17" s="9" t="s">
        <v>71</v>
      </c>
      <c r="C17" s="9" t="s">
        <v>1</v>
      </c>
      <c r="D17" s="10">
        <v>40</v>
      </c>
      <c r="E17" s="17">
        <v>10000</v>
      </c>
      <c r="F17" s="17">
        <v>10000</v>
      </c>
      <c r="G17" s="17">
        <v>10000</v>
      </c>
      <c r="H17" s="17">
        <f t="shared" si="0"/>
        <v>400000</v>
      </c>
    </row>
    <row r="18" spans="1:8" x14ac:dyDescent="0.3">
      <c r="A18" s="29">
        <v>45636</v>
      </c>
      <c r="B18" s="9" t="s">
        <v>63</v>
      </c>
      <c r="C18" s="9" t="s">
        <v>1</v>
      </c>
      <c r="D18" s="10">
        <v>40</v>
      </c>
      <c r="E18" s="17">
        <v>14000</v>
      </c>
      <c r="F18" s="17">
        <v>14000</v>
      </c>
      <c r="G18" s="17">
        <v>14000</v>
      </c>
      <c r="H18" s="17">
        <f t="shared" si="0"/>
        <v>560000</v>
      </c>
    </row>
    <row r="19" spans="1:8" x14ac:dyDescent="0.3">
      <c r="A19" s="29">
        <v>45636</v>
      </c>
      <c r="B19" s="9" t="s">
        <v>21</v>
      </c>
      <c r="C19" s="9" t="s">
        <v>22</v>
      </c>
      <c r="D19" s="10">
        <v>20</v>
      </c>
      <c r="E19" s="17">
        <v>5250</v>
      </c>
      <c r="F19" s="17">
        <v>5250</v>
      </c>
      <c r="G19" s="17">
        <v>5250</v>
      </c>
      <c r="H19" s="17">
        <f t="shared" si="0"/>
        <v>105000</v>
      </c>
    </row>
    <row r="20" spans="1:8" x14ac:dyDescent="0.3">
      <c r="A20" s="29">
        <v>45636</v>
      </c>
      <c r="B20" s="9" t="s">
        <v>69</v>
      </c>
      <c r="C20" s="9" t="s">
        <v>1</v>
      </c>
      <c r="D20" s="10">
        <v>20</v>
      </c>
      <c r="E20" s="17">
        <v>5500</v>
      </c>
      <c r="F20" s="17">
        <v>5500</v>
      </c>
      <c r="G20" s="17">
        <v>5500</v>
      </c>
      <c r="H20" s="17">
        <f t="shared" si="0"/>
        <v>110000</v>
      </c>
    </row>
    <row r="21" spans="1:8" x14ac:dyDescent="0.3">
      <c r="A21" s="29">
        <v>45636</v>
      </c>
      <c r="B21" s="9" t="s">
        <v>24</v>
      </c>
      <c r="C21" s="9" t="s">
        <v>25</v>
      </c>
      <c r="D21" s="10">
        <v>100</v>
      </c>
      <c r="E21" s="17">
        <v>10000</v>
      </c>
      <c r="F21" s="17">
        <v>20000</v>
      </c>
      <c r="G21" s="62">
        <v>10000</v>
      </c>
      <c r="H21" s="17">
        <f t="shared" si="0"/>
        <v>1000000</v>
      </c>
    </row>
    <row r="22" spans="1:8" x14ac:dyDescent="0.3">
      <c r="A22" s="29">
        <v>45636</v>
      </c>
      <c r="B22" s="9" t="s">
        <v>26</v>
      </c>
      <c r="C22" s="9" t="s">
        <v>11</v>
      </c>
      <c r="D22" s="10">
        <v>40</v>
      </c>
      <c r="E22" s="17">
        <v>6750</v>
      </c>
      <c r="F22" s="17">
        <v>6750</v>
      </c>
      <c r="G22" s="17">
        <v>6750</v>
      </c>
      <c r="H22" s="17">
        <f t="shared" si="0"/>
        <v>270000</v>
      </c>
    </row>
    <row r="23" spans="1:8" x14ac:dyDescent="0.3">
      <c r="A23" s="29">
        <v>45636</v>
      </c>
      <c r="B23" s="9" t="s">
        <v>27</v>
      </c>
      <c r="C23" s="9" t="s">
        <v>16</v>
      </c>
      <c r="D23" s="10">
        <v>40</v>
      </c>
      <c r="E23" s="17">
        <v>6500</v>
      </c>
      <c r="F23" s="17">
        <v>6500</v>
      </c>
      <c r="G23" s="17">
        <v>6500</v>
      </c>
      <c r="H23" s="17">
        <f t="shared" si="0"/>
        <v>260000</v>
      </c>
    </row>
    <row r="24" spans="1:8" x14ac:dyDescent="0.3">
      <c r="A24" s="29">
        <v>45636</v>
      </c>
      <c r="B24" s="9" t="s">
        <v>28</v>
      </c>
      <c r="C24" s="9" t="s">
        <v>1</v>
      </c>
      <c r="D24" s="10">
        <v>10</v>
      </c>
      <c r="E24" s="17">
        <v>4500</v>
      </c>
      <c r="F24" s="17">
        <v>4500</v>
      </c>
      <c r="G24" s="17">
        <v>4500</v>
      </c>
      <c r="H24" s="17">
        <f t="shared" si="0"/>
        <v>45000</v>
      </c>
    </row>
    <row r="25" spans="1:8" x14ac:dyDescent="0.3">
      <c r="A25" s="29">
        <v>45636</v>
      </c>
      <c r="B25" s="9" t="s">
        <v>29</v>
      </c>
      <c r="C25" s="9" t="s">
        <v>1</v>
      </c>
      <c r="D25" s="10">
        <v>40</v>
      </c>
      <c r="E25" s="17">
        <v>20500</v>
      </c>
      <c r="F25" s="17" t="e">
        <v>#N/A</v>
      </c>
      <c r="G25" s="62">
        <v>20500</v>
      </c>
      <c r="H25" s="17">
        <f t="shared" si="0"/>
        <v>820000</v>
      </c>
    </row>
    <row r="26" spans="1:8" x14ac:dyDescent="0.3">
      <c r="A26" s="29">
        <v>45636</v>
      </c>
      <c r="B26" s="9" t="s">
        <v>139</v>
      </c>
      <c r="C26" s="9" t="s">
        <v>1</v>
      </c>
      <c r="D26" s="10">
        <v>40</v>
      </c>
      <c r="E26" s="17">
        <v>17000</v>
      </c>
      <c r="F26" s="17">
        <v>17000</v>
      </c>
      <c r="G26" s="17">
        <v>17000</v>
      </c>
      <c r="H26" s="17">
        <f t="shared" si="0"/>
        <v>680000</v>
      </c>
    </row>
    <row r="27" spans="1:8" x14ac:dyDescent="0.3">
      <c r="A27" s="29">
        <v>45636</v>
      </c>
      <c r="B27" s="9" t="s">
        <v>34</v>
      </c>
      <c r="C27" s="9" t="s">
        <v>36</v>
      </c>
      <c r="D27" s="10">
        <v>40</v>
      </c>
      <c r="E27" s="17">
        <v>6500</v>
      </c>
      <c r="F27" s="17">
        <v>6500</v>
      </c>
      <c r="G27" s="17">
        <v>6500</v>
      </c>
      <c r="H27" s="17">
        <f t="shared" si="0"/>
        <v>260000</v>
      </c>
    </row>
    <row r="28" spans="1:8" x14ac:dyDescent="0.3">
      <c r="A28" s="29">
        <v>45636</v>
      </c>
      <c r="B28" s="9" t="s">
        <v>35</v>
      </c>
      <c r="C28" s="9" t="s">
        <v>1</v>
      </c>
      <c r="D28" s="10">
        <v>6.9</v>
      </c>
      <c r="E28" s="17">
        <v>60000</v>
      </c>
      <c r="F28" s="17">
        <v>60000</v>
      </c>
      <c r="G28" s="17">
        <v>60000</v>
      </c>
      <c r="H28" s="17">
        <f t="shared" si="0"/>
        <v>414000</v>
      </c>
    </row>
    <row r="29" spans="1:8" x14ac:dyDescent="0.3">
      <c r="A29" s="29">
        <v>45636</v>
      </c>
      <c r="B29" s="9" t="s">
        <v>37</v>
      </c>
      <c r="C29" s="9" t="s">
        <v>11</v>
      </c>
      <c r="D29" s="10">
        <v>500</v>
      </c>
      <c r="E29" s="17">
        <v>6000</v>
      </c>
      <c r="F29" s="17">
        <v>6000</v>
      </c>
      <c r="G29" s="17">
        <v>6000</v>
      </c>
      <c r="H29" s="17">
        <f t="shared" si="0"/>
        <v>3000000</v>
      </c>
    </row>
    <row r="30" spans="1:8" x14ac:dyDescent="0.3">
      <c r="A30" s="29">
        <v>45636</v>
      </c>
      <c r="B30" s="9" t="s">
        <v>38</v>
      </c>
      <c r="C30" s="9" t="s">
        <v>22</v>
      </c>
      <c r="D30" s="10">
        <v>30</v>
      </c>
      <c r="E30" s="17">
        <v>5400</v>
      </c>
      <c r="F30" s="17">
        <v>9000</v>
      </c>
      <c r="G30" s="62">
        <v>5400</v>
      </c>
      <c r="H30" s="17">
        <f t="shared" si="0"/>
        <v>162000</v>
      </c>
    </row>
    <row r="31" spans="1:8" x14ac:dyDescent="0.3">
      <c r="A31" s="29">
        <v>45636</v>
      </c>
      <c r="B31" s="9" t="s">
        <v>40</v>
      </c>
      <c r="C31" s="9" t="s">
        <v>25</v>
      </c>
      <c r="D31" s="10">
        <v>50</v>
      </c>
      <c r="E31" s="17">
        <v>3000</v>
      </c>
      <c r="F31" s="17">
        <v>20000</v>
      </c>
      <c r="G31" s="62">
        <v>3000</v>
      </c>
      <c r="H31" s="17">
        <f t="shared" si="0"/>
        <v>150000</v>
      </c>
    </row>
    <row r="32" spans="1:8" x14ac:dyDescent="0.3">
      <c r="A32" s="29">
        <v>45636</v>
      </c>
      <c r="B32" s="9" t="s">
        <v>41</v>
      </c>
      <c r="C32" s="9" t="s">
        <v>16</v>
      </c>
      <c r="D32" s="10">
        <v>60</v>
      </c>
      <c r="E32" s="17">
        <v>100000</v>
      </c>
      <c r="F32" s="17">
        <v>200000</v>
      </c>
      <c r="G32" s="62">
        <v>100000</v>
      </c>
      <c r="H32" s="17">
        <f t="shared" si="0"/>
        <v>6000000</v>
      </c>
    </row>
    <row r="33" spans="1:8" x14ac:dyDescent="0.3">
      <c r="A33" s="29">
        <v>45636</v>
      </c>
      <c r="B33" s="9" t="s">
        <v>42</v>
      </c>
      <c r="C33" s="9" t="s">
        <v>1</v>
      </c>
      <c r="D33" s="10">
        <v>10</v>
      </c>
      <c r="E33" s="17">
        <v>25000</v>
      </c>
      <c r="F33" s="17">
        <v>25000</v>
      </c>
      <c r="G33" s="17">
        <v>25000</v>
      </c>
      <c r="H33" s="17">
        <f t="shared" si="0"/>
        <v>250000</v>
      </c>
    </row>
    <row r="34" spans="1:8" x14ac:dyDescent="0.3">
      <c r="A34" s="29">
        <v>45636</v>
      </c>
      <c r="B34" s="9" t="s">
        <v>45</v>
      </c>
      <c r="C34" s="9" t="s">
        <v>22</v>
      </c>
      <c r="D34" s="10">
        <v>400</v>
      </c>
      <c r="E34" s="17">
        <v>1900</v>
      </c>
      <c r="F34" s="17">
        <v>1900</v>
      </c>
      <c r="G34" s="17">
        <v>1900</v>
      </c>
      <c r="H34" s="17">
        <f t="shared" si="0"/>
        <v>760000</v>
      </c>
    </row>
    <row r="35" spans="1:8" x14ac:dyDescent="0.3">
      <c r="A35" s="29">
        <v>45636</v>
      </c>
      <c r="B35" s="9" t="s">
        <v>70</v>
      </c>
      <c r="C35" s="9" t="s">
        <v>1</v>
      </c>
      <c r="D35" s="10">
        <v>20</v>
      </c>
      <c r="E35" s="17">
        <v>20333.333333333332</v>
      </c>
      <c r="F35" s="17" t="e">
        <v>#N/A</v>
      </c>
      <c r="G35" s="62">
        <v>20333.333333333332</v>
      </c>
      <c r="H35" s="17">
        <f t="shared" si="0"/>
        <v>406666.66666666663</v>
      </c>
    </row>
    <row r="36" spans="1:8" x14ac:dyDescent="0.3">
      <c r="A36" s="29">
        <v>45636</v>
      </c>
      <c r="B36" s="9" t="s">
        <v>64</v>
      </c>
      <c r="C36" s="9" t="s">
        <v>1</v>
      </c>
      <c r="D36" s="10">
        <v>15</v>
      </c>
      <c r="E36" s="17">
        <v>44000</v>
      </c>
      <c r="F36" s="17">
        <v>44000</v>
      </c>
      <c r="G36" s="17">
        <v>44000</v>
      </c>
      <c r="H36" s="17">
        <f t="shared" si="0"/>
        <v>660000</v>
      </c>
    </row>
    <row r="37" spans="1:8" x14ac:dyDescent="0.3">
      <c r="A37" s="29">
        <v>45636</v>
      </c>
      <c r="B37" s="9" t="s">
        <v>47</v>
      </c>
      <c r="C37" s="9" t="s">
        <v>7</v>
      </c>
      <c r="D37" s="10">
        <v>400</v>
      </c>
      <c r="E37" s="17">
        <v>7000</v>
      </c>
      <c r="F37" s="17">
        <v>28000</v>
      </c>
      <c r="G37" s="62">
        <v>7000</v>
      </c>
      <c r="H37" s="17">
        <f t="shared" si="0"/>
        <v>2800000</v>
      </c>
    </row>
    <row r="38" spans="1:8" x14ac:dyDescent="0.3">
      <c r="A38" s="29">
        <v>45636</v>
      </c>
      <c r="B38" s="9" t="s">
        <v>48</v>
      </c>
      <c r="C38" s="9" t="s">
        <v>1</v>
      </c>
      <c r="D38" s="10">
        <v>12</v>
      </c>
      <c r="E38" s="17">
        <v>49000</v>
      </c>
      <c r="F38" s="17">
        <v>49000</v>
      </c>
      <c r="G38" s="17">
        <v>49000</v>
      </c>
      <c r="H38" s="17">
        <f t="shared" si="0"/>
        <v>588000</v>
      </c>
    </row>
    <row r="39" spans="1:8" x14ac:dyDescent="0.3">
      <c r="A39" s="29">
        <v>45636</v>
      </c>
      <c r="B39" s="9" t="s">
        <v>52</v>
      </c>
      <c r="C39" s="9" t="s">
        <v>22</v>
      </c>
      <c r="D39" s="10">
        <v>120</v>
      </c>
      <c r="E39" s="17">
        <v>20000</v>
      </c>
      <c r="F39" s="17">
        <v>20000</v>
      </c>
      <c r="G39" s="17">
        <v>20000</v>
      </c>
      <c r="H39" s="17">
        <f t="shared" si="0"/>
        <v>2400000</v>
      </c>
    </row>
    <row r="40" spans="1:8" x14ac:dyDescent="0.3">
      <c r="A40" s="29">
        <v>45636</v>
      </c>
      <c r="B40" s="9" t="s">
        <v>53</v>
      </c>
      <c r="C40" s="9" t="s">
        <v>1</v>
      </c>
      <c r="D40" s="10">
        <v>10</v>
      </c>
      <c r="E40" s="17">
        <v>35000</v>
      </c>
      <c r="F40" s="17">
        <v>35000</v>
      </c>
      <c r="G40" s="17">
        <v>35000</v>
      </c>
      <c r="H40" s="17">
        <f t="shared" si="0"/>
        <v>350000</v>
      </c>
    </row>
    <row r="41" spans="1:8" x14ac:dyDescent="0.3">
      <c r="A41" s="29">
        <v>45636</v>
      </c>
      <c r="B41" s="9" t="s">
        <v>76</v>
      </c>
      <c r="C41" s="9" t="s">
        <v>1</v>
      </c>
      <c r="D41" s="10">
        <v>10</v>
      </c>
      <c r="E41" s="17">
        <v>35000</v>
      </c>
      <c r="F41" s="17">
        <v>35000</v>
      </c>
      <c r="G41" s="17">
        <v>35000</v>
      </c>
      <c r="H41" s="17">
        <f t="shared" si="0"/>
        <v>350000</v>
      </c>
    </row>
    <row r="42" spans="1:8" x14ac:dyDescent="0.3">
      <c r="A42" s="29">
        <v>45636</v>
      </c>
      <c r="B42" s="9" t="s">
        <v>54</v>
      </c>
      <c r="C42" s="9" t="s">
        <v>1</v>
      </c>
      <c r="D42" s="10">
        <v>140</v>
      </c>
      <c r="E42" s="17">
        <v>10000</v>
      </c>
      <c r="F42" s="17">
        <v>10000</v>
      </c>
      <c r="G42" s="17">
        <v>10000</v>
      </c>
      <c r="H42" s="17">
        <f t="shared" si="0"/>
        <v>1400000</v>
      </c>
    </row>
    <row r="43" spans="1:8" x14ac:dyDescent="0.3">
      <c r="A43" s="29">
        <v>45636</v>
      </c>
      <c r="B43" s="9" t="s">
        <v>55</v>
      </c>
      <c r="C43" s="9" t="s">
        <v>25</v>
      </c>
      <c r="D43" s="10">
        <v>200</v>
      </c>
      <c r="E43" s="17">
        <v>6800</v>
      </c>
      <c r="F43" s="17">
        <v>6800</v>
      </c>
      <c r="G43" s="17">
        <v>6800</v>
      </c>
      <c r="H43" s="17">
        <f t="shared" si="0"/>
        <v>1360000</v>
      </c>
    </row>
    <row r="44" spans="1:8" x14ac:dyDescent="0.3">
      <c r="A44" s="29">
        <v>45636</v>
      </c>
      <c r="B44" s="9" t="s">
        <v>66</v>
      </c>
      <c r="C44" s="9" t="s">
        <v>1</v>
      </c>
      <c r="D44" s="10">
        <v>80</v>
      </c>
      <c r="E44" s="17">
        <v>28000</v>
      </c>
      <c r="F44" s="17" t="e">
        <v>#N/A</v>
      </c>
      <c r="G44" s="62">
        <v>28000</v>
      </c>
      <c r="H44" s="17">
        <f t="shared" si="0"/>
        <v>2240000</v>
      </c>
    </row>
    <row r="45" spans="1:8" x14ac:dyDescent="0.3">
      <c r="A45" s="29">
        <v>45636</v>
      </c>
      <c r="B45" s="9" t="s">
        <v>58</v>
      </c>
      <c r="C45" s="9" t="s">
        <v>1</v>
      </c>
      <c r="D45" s="10">
        <v>40</v>
      </c>
      <c r="E45" s="17">
        <v>18000</v>
      </c>
      <c r="F45" s="17">
        <v>18000</v>
      </c>
      <c r="G45" s="17">
        <v>18000</v>
      </c>
      <c r="H45" s="17">
        <f t="shared" si="0"/>
        <v>720000</v>
      </c>
    </row>
    <row r="46" spans="1:8" x14ac:dyDescent="0.3">
      <c r="A46" s="29">
        <v>45636</v>
      </c>
      <c r="B46" s="9" t="s">
        <v>46</v>
      </c>
      <c r="C46" s="9" t="s">
        <v>189</v>
      </c>
      <c r="D46" s="10">
        <v>7</v>
      </c>
      <c r="E46" s="17">
        <v>61000</v>
      </c>
      <c r="F46" s="17">
        <v>61000</v>
      </c>
      <c r="G46" s="17">
        <v>61000</v>
      </c>
      <c r="H46" s="17">
        <f t="shared" si="0"/>
        <v>427000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/>
  <dimension ref="A1:I54"/>
  <sheetViews>
    <sheetView topLeftCell="A31" workbookViewId="0">
      <selection activeCell="M10" sqref="M1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33" customWidth="1"/>
    <col min="7" max="7" width="11.44140625" style="18" bestFit="1" customWidth="1"/>
    <col min="8" max="8" width="13.5546875" style="18" bestFit="1" customWidth="1"/>
    <col min="9" max="16384" width="8.88671875" style="18"/>
  </cols>
  <sheetData>
    <row r="1" spans="1:9" ht="15.6" x14ac:dyDescent="0.3">
      <c r="B1" s="18" t="s">
        <v>142</v>
      </c>
      <c r="H1" s="43">
        <f>SUM(H3:H54)</f>
        <v>48992166.666666664</v>
      </c>
    </row>
    <row r="2" spans="1:9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</row>
    <row r="3" spans="1:9" x14ac:dyDescent="0.3">
      <c r="A3" s="29">
        <v>45635</v>
      </c>
      <c r="B3" s="9" t="s">
        <v>0</v>
      </c>
      <c r="C3" s="9" t="s">
        <v>1</v>
      </c>
      <c r="D3" s="10">
        <v>20</v>
      </c>
      <c r="E3" s="17">
        <v>32000</v>
      </c>
      <c r="F3" s="17">
        <v>32000</v>
      </c>
      <c r="G3" s="22">
        <v>32000</v>
      </c>
      <c r="H3" s="40">
        <f>G3*D3</f>
        <v>640000</v>
      </c>
    </row>
    <row r="4" spans="1:9" x14ac:dyDescent="0.3">
      <c r="A4" s="29">
        <v>45635</v>
      </c>
      <c r="B4" s="9" t="s">
        <v>67</v>
      </c>
      <c r="C4" s="9" t="s">
        <v>1</v>
      </c>
      <c r="D4" s="10">
        <v>20</v>
      </c>
      <c r="E4" s="17">
        <v>7500</v>
      </c>
      <c r="F4" s="17">
        <v>7500</v>
      </c>
      <c r="G4" s="22">
        <v>7500</v>
      </c>
      <c r="H4" s="40">
        <f t="shared" ref="H4:H54" si="0">G4*D4</f>
        <v>150000</v>
      </c>
    </row>
    <row r="5" spans="1:9" x14ac:dyDescent="0.3">
      <c r="A5" s="29">
        <v>45635</v>
      </c>
      <c r="B5" s="9" t="s">
        <v>65</v>
      </c>
      <c r="C5" s="9" t="s">
        <v>7</v>
      </c>
      <c r="D5" s="10">
        <v>40</v>
      </c>
      <c r="E5" s="17">
        <v>4000</v>
      </c>
      <c r="F5" s="17">
        <v>8000</v>
      </c>
      <c r="G5" s="45">
        <v>4000</v>
      </c>
      <c r="H5" s="40">
        <f t="shared" si="0"/>
        <v>160000</v>
      </c>
      <c r="I5" s="18">
        <v>0.5</v>
      </c>
    </row>
    <row r="6" spans="1:9" x14ac:dyDescent="0.3">
      <c r="A6" s="29">
        <v>45635</v>
      </c>
      <c r="B6" s="9" t="s">
        <v>3</v>
      </c>
      <c r="C6" s="9" t="s">
        <v>7</v>
      </c>
      <c r="D6" s="10">
        <v>250</v>
      </c>
      <c r="E6" s="17">
        <v>3300</v>
      </c>
      <c r="F6" s="17">
        <v>11000</v>
      </c>
      <c r="G6" s="45">
        <v>3300</v>
      </c>
      <c r="H6" s="40">
        <f t="shared" si="0"/>
        <v>825000</v>
      </c>
      <c r="I6" s="18">
        <v>0.3</v>
      </c>
    </row>
    <row r="7" spans="1:9" x14ac:dyDescent="0.3">
      <c r="A7" s="29">
        <v>45635</v>
      </c>
      <c r="B7" s="9" t="s">
        <v>5</v>
      </c>
      <c r="C7" s="9" t="s">
        <v>7</v>
      </c>
      <c r="D7" s="10">
        <v>250</v>
      </c>
      <c r="E7" s="17">
        <v>3000</v>
      </c>
      <c r="F7" s="17">
        <v>10000</v>
      </c>
      <c r="G7" s="45">
        <v>3000</v>
      </c>
      <c r="H7" s="40">
        <f t="shared" si="0"/>
        <v>750000</v>
      </c>
      <c r="I7" s="18">
        <v>0.3</v>
      </c>
    </row>
    <row r="8" spans="1:9" x14ac:dyDescent="0.3">
      <c r="A8" s="29">
        <v>45635</v>
      </c>
      <c r="B8" s="9" t="s">
        <v>6</v>
      </c>
      <c r="C8" s="9" t="s">
        <v>1</v>
      </c>
      <c r="D8" s="10">
        <v>15</v>
      </c>
      <c r="E8" s="17">
        <v>53000</v>
      </c>
      <c r="F8" s="17">
        <v>53000</v>
      </c>
      <c r="G8" s="22">
        <v>53000</v>
      </c>
      <c r="H8" s="40">
        <f t="shared" si="0"/>
        <v>795000</v>
      </c>
    </row>
    <row r="9" spans="1:9" x14ac:dyDescent="0.3">
      <c r="A9" s="29">
        <v>45635</v>
      </c>
      <c r="B9" s="9" t="s">
        <v>8</v>
      </c>
      <c r="C9" s="9" t="s">
        <v>11</v>
      </c>
      <c r="D9" s="10">
        <v>70</v>
      </c>
      <c r="E9" s="17">
        <v>8000</v>
      </c>
      <c r="F9" s="17">
        <v>8000</v>
      </c>
      <c r="G9" s="22">
        <v>8000</v>
      </c>
      <c r="H9" s="40">
        <f t="shared" si="0"/>
        <v>560000</v>
      </c>
    </row>
    <row r="10" spans="1:9" x14ac:dyDescent="0.3">
      <c r="A10" s="29">
        <v>45635</v>
      </c>
      <c r="B10" s="9" t="s">
        <v>9</v>
      </c>
      <c r="C10" s="9" t="s">
        <v>1</v>
      </c>
      <c r="D10" s="10">
        <v>75</v>
      </c>
      <c r="E10" s="17">
        <v>23000</v>
      </c>
      <c r="F10" s="17">
        <v>23000</v>
      </c>
      <c r="G10" s="22">
        <v>23000</v>
      </c>
      <c r="H10" s="40">
        <f t="shared" si="0"/>
        <v>1725000</v>
      </c>
    </row>
    <row r="11" spans="1:9" x14ac:dyDescent="0.3">
      <c r="A11" s="29">
        <v>45635</v>
      </c>
      <c r="B11" s="9" t="s">
        <v>10</v>
      </c>
      <c r="C11" s="9" t="s">
        <v>1</v>
      </c>
      <c r="D11" s="10">
        <v>65</v>
      </c>
      <c r="E11" s="17">
        <v>17000</v>
      </c>
      <c r="F11" s="17">
        <v>17000</v>
      </c>
      <c r="G11" s="22">
        <v>17000</v>
      </c>
      <c r="H11" s="40">
        <f t="shared" si="0"/>
        <v>1105000</v>
      </c>
    </row>
    <row r="12" spans="1:9" x14ac:dyDescent="0.3">
      <c r="A12" s="29">
        <v>45635</v>
      </c>
      <c r="B12" s="9" t="s">
        <v>10</v>
      </c>
      <c r="C12" s="9" t="s">
        <v>12</v>
      </c>
      <c r="D12" s="10">
        <v>100</v>
      </c>
      <c r="E12" s="17">
        <v>10000</v>
      </c>
      <c r="F12" s="17">
        <v>17000</v>
      </c>
      <c r="G12" s="22">
        <v>10000</v>
      </c>
      <c r="H12" s="40">
        <f t="shared" si="0"/>
        <v>1000000</v>
      </c>
    </row>
    <row r="13" spans="1:9" x14ac:dyDescent="0.3">
      <c r="A13" s="29">
        <v>45635</v>
      </c>
      <c r="B13" s="9" t="s">
        <v>15</v>
      </c>
      <c r="C13" s="9" t="s">
        <v>16</v>
      </c>
      <c r="D13" s="10">
        <v>80</v>
      </c>
      <c r="E13" s="17">
        <v>16500</v>
      </c>
      <c r="F13" s="17">
        <v>16500</v>
      </c>
      <c r="G13" s="22">
        <v>16500</v>
      </c>
      <c r="H13" s="40">
        <f t="shared" si="0"/>
        <v>1320000</v>
      </c>
    </row>
    <row r="14" spans="1:9" x14ac:dyDescent="0.3">
      <c r="A14" s="29">
        <v>45635</v>
      </c>
      <c r="B14" s="9" t="s">
        <v>17</v>
      </c>
      <c r="C14" s="9" t="s">
        <v>14</v>
      </c>
      <c r="D14" s="10">
        <v>50</v>
      </c>
      <c r="E14" s="17">
        <v>16500</v>
      </c>
      <c r="F14" s="17">
        <v>38000</v>
      </c>
      <c r="G14" s="22">
        <v>16500</v>
      </c>
      <c r="H14" s="40">
        <f t="shared" si="0"/>
        <v>825000</v>
      </c>
    </row>
    <row r="15" spans="1:9" x14ac:dyDescent="0.3">
      <c r="A15" s="29">
        <v>45635</v>
      </c>
      <c r="B15" s="9" t="s">
        <v>19</v>
      </c>
      <c r="C15" s="9" t="s">
        <v>1</v>
      </c>
      <c r="D15" s="10">
        <v>40</v>
      </c>
      <c r="E15" s="17">
        <v>13000</v>
      </c>
      <c r="F15" s="17">
        <v>13000</v>
      </c>
      <c r="G15" s="22">
        <v>13000</v>
      </c>
      <c r="H15" s="40">
        <f t="shared" si="0"/>
        <v>520000</v>
      </c>
    </row>
    <row r="16" spans="1:9" x14ac:dyDescent="0.3">
      <c r="A16" s="29">
        <v>45635</v>
      </c>
      <c r="B16" s="9" t="s">
        <v>20</v>
      </c>
      <c r="C16" s="9" t="s">
        <v>11</v>
      </c>
      <c r="D16" s="10">
        <v>80</v>
      </c>
      <c r="E16" s="17">
        <v>8000</v>
      </c>
      <c r="F16" s="17">
        <v>8000</v>
      </c>
      <c r="G16" s="22">
        <v>8000</v>
      </c>
      <c r="H16" s="40">
        <f t="shared" si="0"/>
        <v>640000</v>
      </c>
    </row>
    <row r="17" spans="1:9" x14ac:dyDescent="0.3">
      <c r="A17" s="29">
        <v>45635</v>
      </c>
      <c r="B17" s="9" t="s">
        <v>71</v>
      </c>
      <c r="C17" s="9" t="s">
        <v>1</v>
      </c>
      <c r="D17" s="10">
        <v>35</v>
      </c>
      <c r="E17" s="17">
        <v>10000</v>
      </c>
      <c r="F17" s="17">
        <v>10000</v>
      </c>
      <c r="G17" s="22">
        <v>10000</v>
      </c>
      <c r="H17" s="40">
        <f t="shared" si="0"/>
        <v>350000</v>
      </c>
    </row>
    <row r="18" spans="1:9" x14ac:dyDescent="0.3">
      <c r="A18" s="29">
        <v>45635</v>
      </c>
      <c r="B18" s="9" t="s">
        <v>63</v>
      </c>
      <c r="C18" s="9" t="s">
        <v>1</v>
      </c>
      <c r="D18" s="10">
        <v>20</v>
      </c>
      <c r="E18" s="17">
        <v>14000</v>
      </c>
      <c r="F18" s="17">
        <v>14000</v>
      </c>
      <c r="G18" s="22">
        <v>14000</v>
      </c>
      <c r="H18" s="40">
        <f t="shared" si="0"/>
        <v>280000</v>
      </c>
    </row>
    <row r="19" spans="1:9" x14ac:dyDescent="0.3">
      <c r="A19" s="29">
        <v>45635</v>
      </c>
      <c r="B19" s="9" t="s">
        <v>21</v>
      </c>
      <c r="C19" s="9" t="s">
        <v>22</v>
      </c>
      <c r="D19" s="10">
        <v>150</v>
      </c>
      <c r="E19" s="17">
        <v>5250</v>
      </c>
      <c r="F19" s="17">
        <v>5250</v>
      </c>
      <c r="G19" s="22">
        <v>5250</v>
      </c>
      <c r="H19" s="40">
        <f t="shared" si="0"/>
        <v>787500</v>
      </c>
    </row>
    <row r="20" spans="1:9" x14ac:dyDescent="0.3">
      <c r="A20" s="29">
        <v>45635</v>
      </c>
      <c r="B20" s="9" t="s">
        <v>21</v>
      </c>
      <c r="C20" s="9" t="s">
        <v>23</v>
      </c>
      <c r="D20" s="10">
        <v>20</v>
      </c>
      <c r="E20" s="17">
        <v>2250</v>
      </c>
      <c r="F20" s="17">
        <v>5250</v>
      </c>
      <c r="G20" s="22">
        <v>2250</v>
      </c>
      <c r="H20" s="40">
        <f t="shared" si="0"/>
        <v>45000</v>
      </c>
    </row>
    <row r="21" spans="1:9" x14ac:dyDescent="0.3">
      <c r="A21" s="29">
        <v>45635</v>
      </c>
      <c r="B21" s="9" t="s">
        <v>69</v>
      </c>
      <c r="C21" s="9" t="s">
        <v>1</v>
      </c>
      <c r="D21" s="10">
        <v>30</v>
      </c>
      <c r="E21" s="17">
        <v>5500</v>
      </c>
      <c r="F21" s="17">
        <v>5500</v>
      </c>
      <c r="G21" s="22">
        <v>5500</v>
      </c>
      <c r="H21" s="40">
        <f t="shared" si="0"/>
        <v>165000</v>
      </c>
    </row>
    <row r="22" spans="1:9" x14ac:dyDescent="0.3">
      <c r="A22" s="29">
        <v>45635</v>
      </c>
      <c r="B22" s="9" t="s">
        <v>24</v>
      </c>
      <c r="C22" s="9" t="s">
        <v>25</v>
      </c>
      <c r="D22" s="10">
        <v>300</v>
      </c>
      <c r="E22" s="17">
        <v>10000</v>
      </c>
      <c r="F22" s="17">
        <v>20000</v>
      </c>
      <c r="G22" s="45">
        <v>10000</v>
      </c>
      <c r="H22" s="40">
        <f t="shared" si="0"/>
        <v>3000000</v>
      </c>
      <c r="I22" s="18">
        <v>0.5</v>
      </c>
    </row>
    <row r="23" spans="1:9" x14ac:dyDescent="0.3">
      <c r="A23" s="29">
        <v>45635</v>
      </c>
      <c r="B23" s="9" t="s">
        <v>26</v>
      </c>
      <c r="C23" s="9" t="s">
        <v>11</v>
      </c>
      <c r="D23" s="10">
        <v>20</v>
      </c>
      <c r="E23" s="17">
        <v>6750</v>
      </c>
      <c r="F23" s="17">
        <v>6750</v>
      </c>
      <c r="G23" s="22">
        <v>6750</v>
      </c>
      <c r="H23" s="40">
        <f t="shared" si="0"/>
        <v>135000</v>
      </c>
    </row>
    <row r="24" spans="1:9" x14ac:dyDescent="0.3">
      <c r="A24" s="29">
        <v>45635</v>
      </c>
      <c r="B24" s="9" t="s">
        <v>74</v>
      </c>
      <c r="C24" s="9" t="s">
        <v>1</v>
      </c>
      <c r="D24" s="10">
        <v>30</v>
      </c>
      <c r="E24" s="17">
        <v>14000</v>
      </c>
      <c r="F24" s="17">
        <v>14000</v>
      </c>
      <c r="G24" s="22">
        <v>14000</v>
      </c>
      <c r="H24" s="40">
        <f t="shared" si="0"/>
        <v>420000</v>
      </c>
    </row>
    <row r="25" spans="1:9" x14ac:dyDescent="0.3">
      <c r="A25" s="29">
        <v>45635</v>
      </c>
      <c r="B25" s="9" t="s">
        <v>29</v>
      </c>
      <c r="C25" s="9" t="s">
        <v>1</v>
      </c>
      <c r="D25" s="10">
        <v>120</v>
      </c>
      <c r="E25" s="17">
        <v>20500</v>
      </c>
      <c r="F25" s="17" t="e">
        <v>#N/A</v>
      </c>
      <c r="G25" s="59">
        <v>20500</v>
      </c>
      <c r="H25" s="40">
        <f t="shared" si="0"/>
        <v>2460000</v>
      </c>
    </row>
    <row r="26" spans="1:9" x14ac:dyDescent="0.3">
      <c r="A26" s="29">
        <v>45635</v>
      </c>
      <c r="B26" s="9" t="s">
        <v>77</v>
      </c>
      <c r="C26" s="9" t="s">
        <v>1</v>
      </c>
      <c r="D26" s="10">
        <v>30</v>
      </c>
      <c r="E26" s="17">
        <v>20000</v>
      </c>
      <c r="F26" s="17">
        <v>20000</v>
      </c>
      <c r="G26" s="22">
        <v>20000</v>
      </c>
      <c r="H26" s="40">
        <f t="shared" si="0"/>
        <v>600000</v>
      </c>
    </row>
    <row r="27" spans="1:9" x14ac:dyDescent="0.3">
      <c r="A27" s="29">
        <v>45635</v>
      </c>
      <c r="B27" s="9" t="s">
        <v>30</v>
      </c>
      <c r="C27" s="9" t="s">
        <v>1</v>
      </c>
      <c r="D27" s="10">
        <v>100</v>
      </c>
      <c r="E27" s="17">
        <v>24000</v>
      </c>
      <c r="F27" s="17" t="e">
        <v>#N/A</v>
      </c>
      <c r="G27" s="45">
        <v>24000</v>
      </c>
      <c r="H27" s="40">
        <f t="shared" si="0"/>
        <v>2400000</v>
      </c>
    </row>
    <row r="28" spans="1:9" x14ac:dyDescent="0.3">
      <c r="A28" s="29">
        <v>45635</v>
      </c>
      <c r="B28" s="9" t="s">
        <v>31</v>
      </c>
      <c r="C28" s="9" t="s">
        <v>1</v>
      </c>
      <c r="D28" s="10">
        <v>100</v>
      </c>
      <c r="E28" s="17">
        <v>16500</v>
      </c>
      <c r="F28" s="17">
        <v>16500</v>
      </c>
      <c r="G28" s="22">
        <v>16500</v>
      </c>
      <c r="H28" s="40">
        <f t="shared" si="0"/>
        <v>1650000</v>
      </c>
    </row>
    <row r="29" spans="1:9" x14ac:dyDescent="0.3">
      <c r="A29" s="29">
        <v>45635</v>
      </c>
      <c r="B29" s="9" t="s">
        <v>32</v>
      </c>
      <c r="C29" s="9" t="s">
        <v>1</v>
      </c>
      <c r="D29" s="10">
        <v>18</v>
      </c>
      <c r="E29" s="17">
        <v>27000</v>
      </c>
      <c r="F29" s="17">
        <v>27000</v>
      </c>
      <c r="G29" s="22">
        <v>27000</v>
      </c>
      <c r="H29" s="40">
        <f t="shared" si="0"/>
        <v>486000</v>
      </c>
    </row>
    <row r="30" spans="1:9" x14ac:dyDescent="0.3">
      <c r="A30" s="29">
        <v>45635</v>
      </c>
      <c r="B30" s="9" t="s">
        <v>139</v>
      </c>
      <c r="C30" s="9" t="s">
        <v>1</v>
      </c>
      <c r="D30" s="10">
        <v>100</v>
      </c>
      <c r="E30" s="17">
        <v>18000</v>
      </c>
      <c r="F30" s="17">
        <v>18000</v>
      </c>
      <c r="G30" s="22">
        <v>18000</v>
      </c>
      <c r="H30" s="40">
        <f t="shared" si="0"/>
        <v>1800000</v>
      </c>
    </row>
    <row r="31" spans="1:9" x14ac:dyDescent="0.3">
      <c r="A31" s="29">
        <v>45635</v>
      </c>
      <c r="B31" s="9" t="s">
        <v>33</v>
      </c>
      <c r="C31" s="9" t="s">
        <v>22</v>
      </c>
      <c r="D31" s="10">
        <v>100</v>
      </c>
      <c r="E31" s="17">
        <v>6000</v>
      </c>
      <c r="F31" s="17">
        <v>6000</v>
      </c>
      <c r="G31" s="22">
        <v>6000</v>
      </c>
      <c r="H31" s="40">
        <f t="shared" si="0"/>
        <v>600000</v>
      </c>
    </row>
    <row r="32" spans="1:9" x14ac:dyDescent="0.3">
      <c r="A32" s="29">
        <v>45635</v>
      </c>
      <c r="B32" s="9" t="s">
        <v>37</v>
      </c>
      <c r="C32" s="9" t="s">
        <v>11</v>
      </c>
      <c r="D32" s="10">
        <v>415</v>
      </c>
      <c r="E32" s="17">
        <v>5000</v>
      </c>
      <c r="F32" s="17">
        <v>5000</v>
      </c>
      <c r="G32" s="22">
        <v>5000</v>
      </c>
      <c r="H32" s="40">
        <f t="shared" si="0"/>
        <v>2075000</v>
      </c>
    </row>
    <row r="33" spans="1:9" x14ac:dyDescent="0.3">
      <c r="A33" s="29">
        <v>45635</v>
      </c>
      <c r="B33" s="9" t="s">
        <v>38</v>
      </c>
      <c r="C33" s="9" t="s">
        <v>22</v>
      </c>
      <c r="D33" s="10">
        <v>30</v>
      </c>
      <c r="E33" s="17">
        <v>5400</v>
      </c>
      <c r="F33" s="17">
        <v>9000</v>
      </c>
      <c r="G33" s="45">
        <v>5400</v>
      </c>
      <c r="H33" s="40">
        <f t="shared" si="0"/>
        <v>162000</v>
      </c>
      <c r="I33" s="18">
        <v>0.6</v>
      </c>
    </row>
    <row r="34" spans="1:9" x14ac:dyDescent="0.3">
      <c r="A34" s="29">
        <v>45635</v>
      </c>
      <c r="B34" s="9" t="s">
        <v>39</v>
      </c>
      <c r="C34" s="9" t="s">
        <v>1</v>
      </c>
      <c r="D34" s="10">
        <v>20</v>
      </c>
      <c r="E34" s="17">
        <v>5000</v>
      </c>
      <c r="F34" s="17">
        <v>5000</v>
      </c>
      <c r="G34" s="22">
        <v>5000</v>
      </c>
      <c r="H34" s="40">
        <f t="shared" si="0"/>
        <v>100000</v>
      </c>
    </row>
    <row r="35" spans="1:9" x14ac:dyDescent="0.3">
      <c r="A35" s="29">
        <v>45635</v>
      </c>
      <c r="B35" s="9" t="s">
        <v>40</v>
      </c>
      <c r="C35" s="9" t="s">
        <v>25</v>
      </c>
      <c r="D35" s="10">
        <v>150</v>
      </c>
      <c r="E35" s="17">
        <v>3900</v>
      </c>
      <c r="F35" s="17">
        <v>26000</v>
      </c>
      <c r="G35" s="45">
        <v>3900</v>
      </c>
      <c r="H35" s="40">
        <f t="shared" si="0"/>
        <v>585000</v>
      </c>
      <c r="I35" s="18">
        <v>0.15</v>
      </c>
    </row>
    <row r="36" spans="1:9" x14ac:dyDescent="0.3">
      <c r="A36" s="29">
        <v>45635</v>
      </c>
      <c r="B36" s="9" t="s">
        <v>41</v>
      </c>
      <c r="C36" s="9" t="s">
        <v>16</v>
      </c>
      <c r="D36" s="10">
        <v>20</v>
      </c>
      <c r="E36" s="17">
        <v>100000</v>
      </c>
      <c r="F36" s="17">
        <v>200000</v>
      </c>
      <c r="G36" s="45">
        <v>100000</v>
      </c>
      <c r="H36" s="40">
        <f t="shared" si="0"/>
        <v>2000000</v>
      </c>
      <c r="I36" s="18">
        <v>0.5</v>
      </c>
    </row>
    <row r="37" spans="1:9" x14ac:dyDescent="0.3">
      <c r="A37" s="29">
        <v>45635</v>
      </c>
      <c r="B37" s="9" t="s">
        <v>42</v>
      </c>
      <c r="C37" s="9" t="s">
        <v>1</v>
      </c>
      <c r="D37" s="10">
        <v>10</v>
      </c>
      <c r="E37" s="17">
        <v>26000</v>
      </c>
      <c r="F37" s="17">
        <v>26000</v>
      </c>
      <c r="G37" s="22">
        <v>26000</v>
      </c>
      <c r="H37" s="40">
        <f t="shared" si="0"/>
        <v>260000</v>
      </c>
    </row>
    <row r="38" spans="1:9" x14ac:dyDescent="0.3">
      <c r="A38" s="29">
        <v>45635</v>
      </c>
      <c r="B38" s="9" t="s">
        <v>43</v>
      </c>
      <c r="C38" s="9" t="s">
        <v>1</v>
      </c>
      <c r="D38" s="10">
        <v>0</v>
      </c>
      <c r="E38" s="17">
        <v>0</v>
      </c>
      <c r="F38" s="17">
        <v>0</v>
      </c>
      <c r="G38" s="22">
        <v>0</v>
      </c>
      <c r="H38" s="40">
        <f t="shared" si="0"/>
        <v>0</v>
      </c>
    </row>
    <row r="39" spans="1:9" x14ac:dyDescent="0.3">
      <c r="A39" s="29">
        <v>45635</v>
      </c>
      <c r="B39" s="9" t="s">
        <v>45</v>
      </c>
      <c r="C39" s="9" t="s">
        <v>22</v>
      </c>
      <c r="D39" s="10">
        <v>600</v>
      </c>
      <c r="E39" s="17">
        <v>1900</v>
      </c>
      <c r="F39" s="17">
        <v>1900</v>
      </c>
      <c r="G39" s="22">
        <v>1900</v>
      </c>
      <c r="H39" s="40">
        <f t="shared" si="0"/>
        <v>1140000</v>
      </c>
    </row>
    <row r="40" spans="1:9" x14ac:dyDescent="0.3">
      <c r="A40" s="29">
        <v>45635</v>
      </c>
      <c r="B40" s="9" t="s">
        <v>141</v>
      </c>
      <c r="C40" s="9" t="s">
        <v>1</v>
      </c>
      <c r="D40" s="10">
        <v>5</v>
      </c>
      <c r="E40" s="17">
        <v>14000</v>
      </c>
      <c r="F40" s="17">
        <v>14000</v>
      </c>
      <c r="G40" s="22">
        <v>14000</v>
      </c>
      <c r="H40" s="40">
        <f t="shared" si="0"/>
        <v>70000</v>
      </c>
    </row>
    <row r="41" spans="1:9" x14ac:dyDescent="0.3">
      <c r="A41" s="29">
        <v>45635</v>
      </c>
      <c r="B41" s="9" t="s">
        <v>46</v>
      </c>
      <c r="C41" s="9" t="s">
        <v>1</v>
      </c>
      <c r="D41" s="10">
        <v>40</v>
      </c>
      <c r="E41" s="17">
        <v>52000</v>
      </c>
      <c r="F41" s="17">
        <v>52000</v>
      </c>
      <c r="G41" s="22">
        <v>52000</v>
      </c>
      <c r="H41" s="40">
        <f t="shared" si="0"/>
        <v>2080000</v>
      </c>
    </row>
    <row r="42" spans="1:9" x14ac:dyDescent="0.3">
      <c r="A42" s="29">
        <v>45635</v>
      </c>
      <c r="B42" s="9" t="s">
        <v>70</v>
      </c>
      <c r="C42" s="9" t="s">
        <v>1</v>
      </c>
      <c r="D42" s="10">
        <v>20</v>
      </c>
      <c r="E42" s="17">
        <v>21333.333333333332</v>
      </c>
      <c r="F42" s="17" t="e">
        <v>#N/A</v>
      </c>
      <c r="G42" s="45">
        <v>21333.333333333332</v>
      </c>
      <c r="H42" s="40">
        <f t="shared" si="0"/>
        <v>426666.66666666663</v>
      </c>
    </row>
    <row r="43" spans="1:9" x14ac:dyDescent="0.3">
      <c r="A43" s="29">
        <v>45635</v>
      </c>
      <c r="B43" s="9" t="s">
        <v>47</v>
      </c>
      <c r="C43" s="9" t="s">
        <v>7</v>
      </c>
      <c r="D43" s="10">
        <v>600</v>
      </c>
      <c r="E43" s="17">
        <v>7000</v>
      </c>
      <c r="F43" s="17">
        <v>28000</v>
      </c>
      <c r="G43" s="45">
        <v>7000</v>
      </c>
      <c r="H43" s="40">
        <f t="shared" si="0"/>
        <v>4200000</v>
      </c>
      <c r="I43" s="18">
        <v>0.25</v>
      </c>
    </row>
    <row r="44" spans="1:9" x14ac:dyDescent="0.3">
      <c r="A44" s="29">
        <v>45635</v>
      </c>
      <c r="B44" s="9" t="s">
        <v>50</v>
      </c>
      <c r="C44" s="9" t="s">
        <v>7</v>
      </c>
      <c r="D44" s="10">
        <v>250</v>
      </c>
      <c r="E44" s="17">
        <v>4500</v>
      </c>
      <c r="F44" s="17">
        <v>18000</v>
      </c>
      <c r="G44" s="45">
        <v>4500</v>
      </c>
      <c r="H44" s="40">
        <f>G44*D44</f>
        <v>1125000</v>
      </c>
      <c r="I44" s="18">
        <v>0.25</v>
      </c>
    </row>
    <row r="45" spans="1:9" x14ac:dyDescent="0.3">
      <c r="A45" s="29">
        <v>45635</v>
      </c>
      <c r="B45" s="9" t="s">
        <v>51</v>
      </c>
      <c r="C45" s="9" t="s">
        <v>7</v>
      </c>
      <c r="D45" s="10">
        <v>80</v>
      </c>
      <c r="E45" s="17">
        <v>4500</v>
      </c>
      <c r="F45" s="17">
        <v>18000</v>
      </c>
      <c r="G45" s="45">
        <v>4500</v>
      </c>
      <c r="H45" s="40">
        <f t="shared" si="0"/>
        <v>360000</v>
      </c>
      <c r="I45" s="18">
        <v>0.25</v>
      </c>
    </row>
    <row r="46" spans="1:9" x14ac:dyDescent="0.3">
      <c r="A46" s="29">
        <v>45635</v>
      </c>
      <c r="B46" s="9" t="s">
        <v>52</v>
      </c>
      <c r="C46" s="9" t="s">
        <v>22</v>
      </c>
      <c r="D46" s="10">
        <v>158</v>
      </c>
      <c r="E46" s="17">
        <v>20000</v>
      </c>
      <c r="F46" s="17">
        <v>18000</v>
      </c>
      <c r="G46" s="22">
        <v>20000</v>
      </c>
      <c r="H46" s="40">
        <f t="shared" si="0"/>
        <v>3160000</v>
      </c>
    </row>
    <row r="47" spans="1:9" x14ac:dyDescent="0.3">
      <c r="A47" s="29">
        <v>45635</v>
      </c>
      <c r="B47" s="9" t="s">
        <v>76</v>
      </c>
      <c r="C47" s="9" t="s">
        <v>1</v>
      </c>
      <c r="D47" s="10">
        <v>5</v>
      </c>
      <c r="E47" s="17">
        <v>35000</v>
      </c>
      <c r="F47" s="17">
        <v>35000</v>
      </c>
      <c r="G47" s="22">
        <v>35000</v>
      </c>
      <c r="H47" s="40">
        <f t="shared" si="0"/>
        <v>175000</v>
      </c>
    </row>
    <row r="48" spans="1:9" x14ac:dyDescent="0.3">
      <c r="A48" s="29">
        <v>45635</v>
      </c>
      <c r="B48" s="9" t="s">
        <v>54</v>
      </c>
      <c r="C48" s="9" t="s">
        <v>1</v>
      </c>
      <c r="D48" s="10">
        <v>150</v>
      </c>
      <c r="E48" s="17">
        <v>10000</v>
      </c>
      <c r="F48" s="17">
        <v>10000</v>
      </c>
      <c r="G48" s="22">
        <v>10000</v>
      </c>
      <c r="H48" s="40">
        <f t="shared" si="0"/>
        <v>1500000</v>
      </c>
    </row>
    <row r="49" spans="1:8" x14ac:dyDescent="0.3">
      <c r="A49" s="29">
        <v>45635</v>
      </c>
      <c r="B49" s="9" t="s">
        <v>55</v>
      </c>
      <c r="C49" s="9" t="s">
        <v>25</v>
      </c>
      <c r="D49" s="10">
        <v>150</v>
      </c>
      <c r="E49" s="17">
        <v>6800</v>
      </c>
      <c r="F49" s="17">
        <v>6800</v>
      </c>
      <c r="G49" s="22">
        <v>6800</v>
      </c>
      <c r="H49" s="40">
        <f t="shared" si="0"/>
        <v>1020000</v>
      </c>
    </row>
    <row r="50" spans="1:8" x14ac:dyDescent="0.3">
      <c r="A50" s="29">
        <v>45635</v>
      </c>
      <c r="B50" s="9" t="s">
        <v>56</v>
      </c>
      <c r="C50" s="9" t="s">
        <v>1</v>
      </c>
      <c r="D50" s="10">
        <v>60</v>
      </c>
      <c r="E50" s="17">
        <v>28000</v>
      </c>
      <c r="F50" s="17">
        <v>28000</v>
      </c>
      <c r="G50" s="22">
        <v>28000</v>
      </c>
      <c r="H50" s="40">
        <f t="shared" si="0"/>
        <v>1680000</v>
      </c>
    </row>
    <row r="51" spans="1:8" x14ac:dyDescent="0.3">
      <c r="A51" s="29">
        <v>45635</v>
      </c>
      <c r="B51" s="9" t="s">
        <v>57</v>
      </c>
      <c r="C51" s="9" t="s">
        <v>25</v>
      </c>
      <c r="D51" s="10">
        <v>0</v>
      </c>
      <c r="E51" s="17">
        <v>6800</v>
      </c>
      <c r="F51" s="17">
        <v>6800</v>
      </c>
      <c r="G51" s="22">
        <v>6800</v>
      </c>
      <c r="H51" s="40">
        <f t="shared" si="0"/>
        <v>0</v>
      </c>
    </row>
    <row r="52" spans="1:8" x14ac:dyDescent="0.3">
      <c r="A52" s="29">
        <v>45635</v>
      </c>
      <c r="B52" s="9" t="s">
        <v>58</v>
      </c>
      <c r="C52" s="9" t="s">
        <v>1</v>
      </c>
      <c r="D52" s="10">
        <v>20</v>
      </c>
      <c r="E52" s="17">
        <v>22000</v>
      </c>
      <c r="F52" s="17">
        <v>22000</v>
      </c>
      <c r="G52" s="22">
        <v>22000</v>
      </c>
      <c r="H52" s="40">
        <f t="shared" si="0"/>
        <v>440000</v>
      </c>
    </row>
    <row r="53" spans="1:8" x14ac:dyDescent="0.3">
      <c r="A53" s="29">
        <v>45635</v>
      </c>
      <c r="B53" s="9" t="s">
        <v>59</v>
      </c>
      <c r="C53" s="9" t="s">
        <v>168</v>
      </c>
      <c r="D53" s="10">
        <v>2</v>
      </c>
      <c r="E53" s="17">
        <v>120000</v>
      </c>
      <c r="F53" s="17">
        <v>120000</v>
      </c>
      <c r="G53" s="22">
        <v>120000</v>
      </c>
      <c r="H53" s="40">
        <f>G53*D53</f>
        <v>240000</v>
      </c>
    </row>
    <row r="54" spans="1:8" x14ac:dyDescent="0.3">
      <c r="A54" s="29">
        <v>45635</v>
      </c>
      <c r="B54" s="9" t="s">
        <v>61</v>
      </c>
      <c r="C54" s="9" t="s">
        <v>25</v>
      </c>
      <c r="D54" s="10">
        <v>0</v>
      </c>
      <c r="E54" s="17">
        <v>6800</v>
      </c>
      <c r="F54" s="17">
        <v>6800</v>
      </c>
      <c r="G54" s="22">
        <v>6800</v>
      </c>
      <c r="H54" s="40">
        <f t="shared" si="0"/>
        <v>0</v>
      </c>
    </row>
  </sheetData>
  <autoFilter ref="A2:I54" xr:uid="{00000000-0009-0000-0000-000016000000}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J50"/>
  <sheetViews>
    <sheetView topLeftCell="A24" workbookViewId="0">
      <selection activeCell="E44" sqref="E44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0.21875" style="33" bestFit="1" customWidth="1"/>
    <col min="8" max="8" width="13.5546875" style="18" bestFit="1" customWidth="1"/>
    <col min="9" max="9" width="22.21875" style="18" bestFit="1" customWidth="1"/>
    <col min="10" max="16384" width="8.88671875" style="18"/>
  </cols>
  <sheetData>
    <row r="1" spans="1:10" ht="15.6" x14ac:dyDescent="0.3">
      <c r="B1" s="18" t="s">
        <v>148</v>
      </c>
      <c r="C1" s="24">
        <v>45634</v>
      </c>
      <c r="H1" s="43">
        <f>SUM(H3:H50)</f>
        <v>56382080</v>
      </c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45634</v>
      </c>
      <c r="B3" s="9" t="s">
        <v>72</v>
      </c>
      <c r="C3" s="9" t="s">
        <v>1</v>
      </c>
      <c r="D3" s="10">
        <v>30</v>
      </c>
      <c r="E3" s="17">
        <v>7000</v>
      </c>
      <c r="F3" s="17">
        <v>7000</v>
      </c>
      <c r="G3" s="22">
        <v>7000</v>
      </c>
      <c r="H3" s="17">
        <f>G3*D3</f>
        <v>210000</v>
      </c>
    </row>
    <row r="4" spans="1:10" x14ac:dyDescent="0.3">
      <c r="A4" s="29">
        <v>45634</v>
      </c>
      <c r="B4" s="9" t="s">
        <v>2</v>
      </c>
      <c r="C4" s="9" t="s">
        <v>1</v>
      </c>
      <c r="D4" s="10">
        <v>0</v>
      </c>
      <c r="E4" s="17">
        <v>0</v>
      </c>
      <c r="F4" s="17">
        <v>0</v>
      </c>
      <c r="G4" s="22">
        <v>0</v>
      </c>
      <c r="H4" s="17">
        <f t="shared" ref="H4:H49" si="0">G4*D4</f>
        <v>0</v>
      </c>
    </row>
    <row r="5" spans="1:10" x14ac:dyDescent="0.3">
      <c r="A5" s="29">
        <v>45634</v>
      </c>
      <c r="B5" s="9" t="s">
        <v>3</v>
      </c>
      <c r="C5" s="9" t="s">
        <v>1</v>
      </c>
      <c r="D5" s="10">
        <v>50</v>
      </c>
      <c r="E5" s="17">
        <v>8000</v>
      </c>
      <c r="F5" s="17">
        <v>8000</v>
      </c>
      <c r="G5" s="22">
        <v>8000</v>
      </c>
      <c r="H5" s="17">
        <f t="shared" si="0"/>
        <v>400000</v>
      </c>
    </row>
    <row r="6" spans="1:10" x14ac:dyDescent="0.3">
      <c r="A6" s="29">
        <v>45634</v>
      </c>
      <c r="B6" s="9" t="s">
        <v>3</v>
      </c>
      <c r="C6" s="9" t="s">
        <v>7</v>
      </c>
      <c r="D6" s="10">
        <v>250</v>
      </c>
      <c r="E6" s="17">
        <v>2400</v>
      </c>
      <c r="F6" s="17">
        <v>8000</v>
      </c>
      <c r="G6" s="45">
        <v>2400</v>
      </c>
      <c r="H6" s="17">
        <f t="shared" si="0"/>
        <v>600000</v>
      </c>
      <c r="I6" s="18" t="s">
        <v>153</v>
      </c>
      <c r="J6" s="18">
        <v>0.3</v>
      </c>
    </row>
    <row r="7" spans="1:10" x14ac:dyDescent="0.3">
      <c r="A7" s="29">
        <v>45634</v>
      </c>
      <c r="B7" s="9" t="s">
        <v>5</v>
      </c>
      <c r="C7" s="9" t="s">
        <v>7</v>
      </c>
      <c r="D7" s="10">
        <v>200</v>
      </c>
      <c r="E7" s="17">
        <v>3000</v>
      </c>
      <c r="F7" s="17">
        <v>10000</v>
      </c>
      <c r="G7" s="45">
        <v>3000</v>
      </c>
      <c r="H7" s="17">
        <f t="shared" si="0"/>
        <v>600000</v>
      </c>
      <c r="I7" s="18" t="s">
        <v>151</v>
      </c>
      <c r="J7" s="18">
        <v>0.3</v>
      </c>
    </row>
    <row r="8" spans="1:10" x14ac:dyDescent="0.3">
      <c r="A8" s="29">
        <v>45634</v>
      </c>
      <c r="B8" s="9" t="s">
        <v>6</v>
      </c>
      <c r="C8" s="9" t="s">
        <v>1</v>
      </c>
      <c r="D8" s="10">
        <v>60</v>
      </c>
      <c r="E8" s="17">
        <v>53000</v>
      </c>
      <c r="F8" s="17">
        <v>53000</v>
      </c>
      <c r="G8" s="22">
        <v>53000</v>
      </c>
      <c r="H8" s="17">
        <f t="shared" si="0"/>
        <v>3180000</v>
      </c>
    </row>
    <row r="9" spans="1:10" x14ac:dyDescent="0.3">
      <c r="A9" s="29">
        <v>45634</v>
      </c>
      <c r="B9" s="9" t="s">
        <v>68</v>
      </c>
      <c r="C9" s="9" t="s">
        <v>1</v>
      </c>
      <c r="D9" s="10">
        <v>20</v>
      </c>
      <c r="E9" s="17">
        <v>28000</v>
      </c>
      <c r="F9" s="17">
        <v>28000</v>
      </c>
      <c r="G9" s="22">
        <v>28000</v>
      </c>
      <c r="H9" s="17">
        <f t="shared" si="0"/>
        <v>560000</v>
      </c>
    </row>
    <row r="10" spans="1:10" x14ac:dyDescent="0.3">
      <c r="A10" s="29">
        <v>45634</v>
      </c>
      <c r="B10" s="9" t="s">
        <v>8</v>
      </c>
      <c r="C10" s="9" t="s">
        <v>11</v>
      </c>
      <c r="D10" s="10">
        <v>40</v>
      </c>
      <c r="E10" s="17">
        <v>8000</v>
      </c>
      <c r="F10" s="17">
        <v>8000</v>
      </c>
      <c r="G10" s="22">
        <v>8000</v>
      </c>
      <c r="H10" s="17">
        <f t="shared" si="0"/>
        <v>320000</v>
      </c>
    </row>
    <row r="11" spans="1:10" x14ac:dyDescent="0.3">
      <c r="A11" s="29">
        <v>45634</v>
      </c>
      <c r="B11" s="9" t="s">
        <v>9</v>
      </c>
      <c r="C11" s="9" t="s">
        <v>1</v>
      </c>
      <c r="D11" s="10">
        <v>100</v>
      </c>
      <c r="E11" s="17">
        <v>23000</v>
      </c>
      <c r="F11" s="17">
        <v>23000</v>
      </c>
      <c r="G11" s="22">
        <v>23000</v>
      </c>
      <c r="H11" s="17">
        <f t="shared" si="0"/>
        <v>2300000</v>
      </c>
    </row>
    <row r="12" spans="1:10" x14ac:dyDescent="0.3">
      <c r="A12" s="29">
        <v>45634</v>
      </c>
      <c r="B12" s="9" t="s">
        <v>10</v>
      </c>
      <c r="C12" s="9" t="s">
        <v>1</v>
      </c>
      <c r="D12" s="10">
        <v>60</v>
      </c>
      <c r="E12" s="17">
        <v>18000</v>
      </c>
      <c r="F12" s="17">
        <v>18000</v>
      </c>
      <c r="G12" s="22">
        <v>18000</v>
      </c>
      <c r="H12" s="17">
        <f t="shared" si="0"/>
        <v>1080000</v>
      </c>
    </row>
    <row r="13" spans="1:10" x14ac:dyDescent="0.3">
      <c r="A13" s="29">
        <v>45634</v>
      </c>
      <c r="B13" s="9" t="s">
        <v>10</v>
      </c>
      <c r="C13" s="9" t="s">
        <v>12</v>
      </c>
      <c r="D13" s="10">
        <v>189</v>
      </c>
      <c r="E13" s="17">
        <v>10000</v>
      </c>
      <c r="F13" s="17">
        <v>18000</v>
      </c>
      <c r="G13" s="22">
        <v>10000</v>
      </c>
      <c r="H13" s="17">
        <f t="shared" si="0"/>
        <v>1890000</v>
      </c>
    </row>
    <row r="14" spans="1:10" x14ac:dyDescent="0.3">
      <c r="A14" s="29">
        <v>45634</v>
      </c>
      <c r="B14" s="9" t="s">
        <v>13</v>
      </c>
      <c r="C14" s="9" t="s">
        <v>14</v>
      </c>
      <c r="D14" s="10">
        <v>200</v>
      </c>
      <c r="E14" s="17">
        <v>9000</v>
      </c>
      <c r="F14" s="17">
        <v>9000</v>
      </c>
      <c r="G14" s="22">
        <v>9000</v>
      </c>
      <c r="H14" s="17">
        <f t="shared" si="0"/>
        <v>1800000</v>
      </c>
    </row>
    <row r="15" spans="1:10" x14ac:dyDescent="0.3">
      <c r="A15" s="29">
        <v>45634</v>
      </c>
      <c r="B15" s="9" t="s">
        <v>15</v>
      </c>
      <c r="C15" s="9" t="s">
        <v>16</v>
      </c>
      <c r="D15" s="10">
        <v>39</v>
      </c>
      <c r="E15" s="17">
        <v>13720</v>
      </c>
      <c r="F15" s="17">
        <v>13720</v>
      </c>
      <c r="G15" s="22">
        <v>13720</v>
      </c>
      <c r="H15" s="17">
        <f t="shared" si="0"/>
        <v>535080</v>
      </c>
    </row>
    <row r="16" spans="1:10" x14ac:dyDescent="0.3">
      <c r="A16" s="29">
        <v>45634</v>
      </c>
      <c r="B16" s="9" t="s">
        <v>17</v>
      </c>
      <c r="C16" s="9" t="s">
        <v>14</v>
      </c>
      <c r="D16" s="10">
        <v>200</v>
      </c>
      <c r="E16" s="17">
        <v>16800</v>
      </c>
      <c r="F16" s="17">
        <v>38000</v>
      </c>
      <c r="G16" s="22">
        <v>16800</v>
      </c>
      <c r="H16" s="17">
        <f t="shared" si="0"/>
        <v>3360000</v>
      </c>
    </row>
    <row r="17" spans="1:10" x14ac:dyDescent="0.3">
      <c r="A17" s="29">
        <v>45634</v>
      </c>
      <c r="B17" s="9" t="s">
        <v>18</v>
      </c>
      <c r="C17" s="9" t="s">
        <v>1</v>
      </c>
      <c r="D17" s="10">
        <v>75</v>
      </c>
      <c r="E17" s="17">
        <v>22000</v>
      </c>
      <c r="F17" s="17">
        <v>22000</v>
      </c>
      <c r="G17" s="22">
        <v>22000</v>
      </c>
      <c r="H17" s="17">
        <f t="shared" si="0"/>
        <v>1650000</v>
      </c>
    </row>
    <row r="18" spans="1:10" x14ac:dyDescent="0.3">
      <c r="A18" s="29">
        <v>45634</v>
      </c>
      <c r="B18" s="9" t="s">
        <v>19</v>
      </c>
      <c r="C18" s="9" t="s">
        <v>1</v>
      </c>
      <c r="D18" s="10">
        <v>50</v>
      </c>
      <c r="E18" s="17">
        <v>13000</v>
      </c>
      <c r="F18" s="17">
        <v>13000</v>
      </c>
      <c r="G18" s="22">
        <v>13000</v>
      </c>
      <c r="H18" s="17">
        <f t="shared" si="0"/>
        <v>650000</v>
      </c>
    </row>
    <row r="19" spans="1:10" x14ac:dyDescent="0.3">
      <c r="A19" s="29">
        <v>45634</v>
      </c>
      <c r="B19" s="9" t="s">
        <v>20</v>
      </c>
      <c r="C19" s="9" t="s">
        <v>11</v>
      </c>
      <c r="D19" s="10">
        <v>60</v>
      </c>
      <c r="E19" s="17">
        <v>8000</v>
      </c>
      <c r="F19" s="17">
        <v>8000</v>
      </c>
      <c r="G19" s="22">
        <v>8000</v>
      </c>
      <c r="H19" s="17">
        <f t="shared" si="0"/>
        <v>480000</v>
      </c>
    </row>
    <row r="20" spans="1:10" x14ac:dyDescent="0.3">
      <c r="A20" s="29">
        <v>45634</v>
      </c>
      <c r="B20" s="9" t="s">
        <v>63</v>
      </c>
      <c r="C20" s="9" t="s">
        <v>1</v>
      </c>
      <c r="D20" s="10">
        <v>80</v>
      </c>
      <c r="E20" s="17">
        <v>14000</v>
      </c>
      <c r="F20" s="17">
        <v>14000</v>
      </c>
      <c r="G20" s="22">
        <v>14000</v>
      </c>
      <c r="H20" s="17">
        <f t="shared" si="0"/>
        <v>1120000</v>
      </c>
    </row>
    <row r="21" spans="1:10" x14ac:dyDescent="0.3">
      <c r="A21" s="29">
        <v>45634</v>
      </c>
      <c r="B21" s="9" t="s">
        <v>21</v>
      </c>
      <c r="C21" s="9" t="s">
        <v>23</v>
      </c>
      <c r="D21" s="10">
        <v>20</v>
      </c>
      <c r="E21" s="17">
        <v>2250</v>
      </c>
      <c r="F21" s="17">
        <v>15000</v>
      </c>
      <c r="G21" s="45">
        <v>2250</v>
      </c>
      <c r="H21" s="17">
        <f t="shared" si="0"/>
        <v>45000</v>
      </c>
      <c r="J21" s="18">
        <v>0.15</v>
      </c>
    </row>
    <row r="22" spans="1:10" x14ac:dyDescent="0.3">
      <c r="A22" s="29">
        <v>45634</v>
      </c>
      <c r="B22" s="9" t="s">
        <v>24</v>
      </c>
      <c r="C22" s="9" t="s">
        <v>25</v>
      </c>
      <c r="D22" s="10">
        <v>100</v>
      </c>
      <c r="E22" s="17">
        <v>10000</v>
      </c>
      <c r="F22" s="17">
        <v>20000</v>
      </c>
      <c r="G22" s="45">
        <v>10000</v>
      </c>
      <c r="H22" s="17">
        <f t="shared" si="0"/>
        <v>1000000</v>
      </c>
      <c r="J22" s="18">
        <v>0.5</v>
      </c>
    </row>
    <row r="23" spans="1:10" x14ac:dyDescent="0.3">
      <c r="A23" s="29">
        <v>45634</v>
      </c>
      <c r="B23" s="9" t="s">
        <v>26</v>
      </c>
      <c r="C23" s="9" t="s">
        <v>11</v>
      </c>
      <c r="D23" s="10">
        <v>0</v>
      </c>
      <c r="E23" s="17">
        <v>6750</v>
      </c>
      <c r="F23" s="17">
        <v>6750</v>
      </c>
      <c r="G23" s="22">
        <v>6750</v>
      </c>
      <c r="H23" s="17">
        <f t="shared" si="0"/>
        <v>0</v>
      </c>
    </row>
    <row r="24" spans="1:10" x14ac:dyDescent="0.3">
      <c r="A24" s="29">
        <v>45634</v>
      </c>
      <c r="B24" s="9" t="s">
        <v>27</v>
      </c>
      <c r="C24" s="9" t="s">
        <v>16</v>
      </c>
      <c r="D24" s="10">
        <v>40</v>
      </c>
      <c r="E24" s="17">
        <v>7000</v>
      </c>
      <c r="F24" s="17">
        <v>7000</v>
      </c>
      <c r="G24" s="22">
        <v>7000</v>
      </c>
      <c r="H24" s="17">
        <f t="shared" si="0"/>
        <v>280000</v>
      </c>
    </row>
    <row r="25" spans="1:10" x14ac:dyDescent="0.3">
      <c r="A25" s="29">
        <v>45634</v>
      </c>
      <c r="B25" s="9" t="s">
        <v>28</v>
      </c>
      <c r="C25" s="9" t="s">
        <v>1</v>
      </c>
      <c r="D25" s="10">
        <v>10</v>
      </c>
      <c r="E25" s="17">
        <v>4500</v>
      </c>
      <c r="F25" s="17">
        <v>4500</v>
      </c>
      <c r="G25" s="22">
        <v>4500</v>
      </c>
      <c r="H25" s="17">
        <f t="shared" si="0"/>
        <v>45000</v>
      </c>
    </row>
    <row r="26" spans="1:10" x14ac:dyDescent="0.3">
      <c r="A26" s="29">
        <v>45634</v>
      </c>
      <c r="B26" s="9" t="s">
        <v>29</v>
      </c>
      <c r="C26" s="9" t="s">
        <v>1</v>
      </c>
      <c r="D26" s="10">
        <v>50</v>
      </c>
      <c r="E26" s="17">
        <v>20500</v>
      </c>
      <c r="F26" s="17">
        <v>20500</v>
      </c>
      <c r="G26" s="22">
        <v>20500</v>
      </c>
      <c r="H26" s="17">
        <f t="shared" si="0"/>
        <v>1025000</v>
      </c>
    </row>
    <row r="27" spans="1:10" x14ac:dyDescent="0.3">
      <c r="A27" s="29">
        <v>45634</v>
      </c>
      <c r="B27" s="9" t="s">
        <v>30</v>
      </c>
      <c r="C27" s="9" t="s">
        <v>1</v>
      </c>
      <c r="D27" s="10">
        <v>450</v>
      </c>
      <c r="E27" s="17">
        <v>24000</v>
      </c>
      <c r="F27" s="17">
        <v>24000</v>
      </c>
      <c r="G27" s="22">
        <v>24000</v>
      </c>
      <c r="H27" s="17">
        <f t="shared" si="0"/>
        <v>10800000</v>
      </c>
    </row>
    <row r="28" spans="1:10" x14ac:dyDescent="0.3">
      <c r="A28" s="29">
        <v>45634</v>
      </c>
      <c r="B28" s="9" t="s">
        <v>31</v>
      </c>
      <c r="C28" s="9" t="s">
        <v>1</v>
      </c>
      <c r="D28" s="10">
        <v>150</v>
      </c>
      <c r="E28" s="17">
        <v>16000</v>
      </c>
      <c r="F28" s="17">
        <v>16000</v>
      </c>
      <c r="G28" s="22">
        <v>16000</v>
      </c>
      <c r="H28" s="17">
        <f t="shared" si="0"/>
        <v>2400000</v>
      </c>
    </row>
    <row r="29" spans="1:10" x14ac:dyDescent="0.3">
      <c r="A29" s="29">
        <v>45634</v>
      </c>
      <c r="B29" s="9" t="s">
        <v>35</v>
      </c>
      <c r="C29" s="9" t="s">
        <v>1</v>
      </c>
      <c r="D29" s="10">
        <v>5</v>
      </c>
      <c r="E29" s="17">
        <v>80000</v>
      </c>
      <c r="F29" s="17">
        <v>80000</v>
      </c>
      <c r="G29" s="22">
        <v>80000</v>
      </c>
      <c r="H29" s="17">
        <f t="shared" si="0"/>
        <v>400000</v>
      </c>
    </row>
    <row r="30" spans="1:10" x14ac:dyDescent="0.3">
      <c r="A30" s="29">
        <v>45634</v>
      </c>
      <c r="B30" s="9" t="s">
        <v>37</v>
      </c>
      <c r="C30" s="9" t="s">
        <v>11</v>
      </c>
      <c r="D30" s="10">
        <v>800</v>
      </c>
      <c r="E30" s="17">
        <v>5000</v>
      </c>
      <c r="F30" s="17">
        <v>5000</v>
      </c>
      <c r="G30" s="22">
        <v>5000</v>
      </c>
      <c r="H30" s="17">
        <f t="shared" si="0"/>
        <v>4000000</v>
      </c>
    </row>
    <row r="31" spans="1:10" x14ac:dyDescent="0.3">
      <c r="A31" s="29">
        <v>45634</v>
      </c>
      <c r="B31" s="9" t="s">
        <v>38</v>
      </c>
      <c r="C31" s="9" t="s">
        <v>22</v>
      </c>
      <c r="D31" s="10">
        <v>20</v>
      </c>
      <c r="E31" s="17">
        <v>5400</v>
      </c>
      <c r="F31" s="17">
        <v>9000</v>
      </c>
      <c r="G31" s="45">
        <v>5400</v>
      </c>
      <c r="H31" s="17">
        <f t="shared" si="0"/>
        <v>108000</v>
      </c>
      <c r="I31" s="18" t="s">
        <v>164</v>
      </c>
      <c r="J31" s="18">
        <v>0.6</v>
      </c>
    </row>
    <row r="32" spans="1:10" x14ac:dyDescent="0.3">
      <c r="A32" s="29">
        <v>45634</v>
      </c>
      <c r="B32" s="9" t="s">
        <v>40</v>
      </c>
      <c r="C32" s="9" t="s">
        <v>25</v>
      </c>
      <c r="D32" s="10">
        <v>250</v>
      </c>
      <c r="E32" s="17">
        <v>3900</v>
      </c>
      <c r="F32" s="17">
        <v>26000</v>
      </c>
      <c r="G32" s="45">
        <v>3900</v>
      </c>
      <c r="H32" s="17">
        <f t="shared" si="0"/>
        <v>975000</v>
      </c>
      <c r="I32" s="18" t="s">
        <v>152</v>
      </c>
      <c r="J32" s="18">
        <v>0.15</v>
      </c>
    </row>
    <row r="33" spans="1:10" x14ac:dyDescent="0.3">
      <c r="A33" s="29">
        <v>45634</v>
      </c>
      <c r="B33" s="9" t="s">
        <v>42</v>
      </c>
      <c r="C33" s="9" t="s">
        <v>1</v>
      </c>
      <c r="D33" s="10">
        <v>10</v>
      </c>
      <c r="E33" s="17">
        <v>25000</v>
      </c>
      <c r="F33" s="17">
        <v>25000</v>
      </c>
      <c r="G33" s="22">
        <v>25000</v>
      </c>
      <c r="H33" s="17">
        <f t="shared" si="0"/>
        <v>250000</v>
      </c>
    </row>
    <row r="34" spans="1:10" x14ac:dyDescent="0.3">
      <c r="A34" s="29">
        <v>45634</v>
      </c>
      <c r="B34" s="9" t="s">
        <v>43</v>
      </c>
      <c r="C34" s="9" t="s">
        <v>1</v>
      </c>
      <c r="D34" s="10">
        <v>1</v>
      </c>
      <c r="E34" s="17">
        <v>100000</v>
      </c>
      <c r="F34" s="17">
        <v>100000</v>
      </c>
      <c r="G34" s="61">
        <v>100000</v>
      </c>
      <c r="H34" s="17">
        <f t="shared" si="0"/>
        <v>100000</v>
      </c>
    </row>
    <row r="35" spans="1:10" x14ac:dyDescent="0.3">
      <c r="A35" s="29">
        <v>45634</v>
      </c>
      <c r="B35" s="9" t="s">
        <v>45</v>
      </c>
      <c r="C35" s="9" t="s">
        <v>22</v>
      </c>
      <c r="D35" s="10">
        <v>600</v>
      </c>
      <c r="E35" s="17">
        <v>1900</v>
      </c>
      <c r="F35" s="17">
        <v>1900</v>
      </c>
      <c r="G35" s="22">
        <v>1900</v>
      </c>
      <c r="H35" s="17">
        <f t="shared" si="0"/>
        <v>1140000</v>
      </c>
    </row>
    <row r="36" spans="1:10" x14ac:dyDescent="0.3">
      <c r="A36" s="29">
        <v>45634</v>
      </c>
      <c r="B36" s="9" t="s">
        <v>46</v>
      </c>
      <c r="C36" s="9" t="s">
        <v>1</v>
      </c>
      <c r="D36" s="10">
        <v>10</v>
      </c>
      <c r="E36" s="17">
        <v>56000</v>
      </c>
      <c r="F36" s="17">
        <v>56000</v>
      </c>
      <c r="G36" s="22">
        <v>56000</v>
      </c>
      <c r="H36" s="17">
        <f t="shared" si="0"/>
        <v>560000</v>
      </c>
    </row>
    <row r="37" spans="1:10" x14ac:dyDescent="0.3">
      <c r="A37" s="29">
        <v>45634</v>
      </c>
      <c r="B37" s="9" t="s">
        <v>64</v>
      </c>
      <c r="C37" s="9" t="s">
        <v>1</v>
      </c>
      <c r="D37" s="10">
        <v>15</v>
      </c>
      <c r="E37" s="17">
        <v>44000</v>
      </c>
      <c r="F37" s="17">
        <v>44000</v>
      </c>
      <c r="G37" s="22">
        <v>44000</v>
      </c>
      <c r="H37" s="17">
        <f t="shared" si="0"/>
        <v>660000</v>
      </c>
    </row>
    <row r="38" spans="1:10" x14ac:dyDescent="0.3">
      <c r="A38" s="29">
        <v>45634</v>
      </c>
      <c r="B38" s="9" t="s">
        <v>47</v>
      </c>
      <c r="C38" s="9" t="s">
        <v>7</v>
      </c>
      <c r="D38" s="10">
        <v>400</v>
      </c>
      <c r="E38" s="17">
        <v>6000</v>
      </c>
      <c r="F38" s="17">
        <v>24000</v>
      </c>
      <c r="G38" s="45">
        <v>6000</v>
      </c>
      <c r="H38" s="17">
        <f t="shared" si="0"/>
        <v>2400000</v>
      </c>
      <c r="I38" s="18" t="s">
        <v>149</v>
      </c>
      <c r="J38" s="18">
        <v>0.25</v>
      </c>
    </row>
    <row r="39" spans="1:10" x14ac:dyDescent="0.3">
      <c r="A39" s="29">
        <v>45634</v>
      </c>
      <c r="B39" s="9" t="s">
        <v>48</v>
      </c>
      <c r="C39" s="9" t="s">
        <v>1</v>
      </c>
      <c r="D39" s="10">
        <v>10</v>
      </c>
      <c r="E39" s="17">
        <v>49000</v>
      </c>
      <c r="F39" s="17">
        <v>49000</v>
      </c>
      <c r="G39" s="22">
        <v>49000</v>
      </c>
      <c r="H39" s="17">
        <f t="shared" si="0"/>
        <v>490000</v>
      </c>
    </row>
    <row r="40" spans="1:10" x14ac:dyDescent="0.3">
      <c r="A40" s="29">
        <v>45634</v>
      </c>
      <c r="B40" s="9" t="s">
        <v>50</v>
      </c>
      <c r="C40" s="9" t="s">
        <v>7</v>
      </c>
      <c r="D40" s="10">
        <v>150</v>
      </c>
      <c r="E40" s="17">
        <v>3250</v>
      </c>
      <c r="F40" s="17">
        <v>13000</v>
      </c>
      <c r="G40" s="45">
        <v>3250</v>
      </c>
      <c r="H40" s="17">
        <f t="shared" si="0"/>
        <v>487500</v>
      </c>
      <c r="I40" s="18" t="s">
        <v>149</v>
      </c>
      <c r="J40" s="18">
        <v>0.25</v>
      </c>
    </row>
    <row r="41" spans="1:10" x14ac:dyDescent="0.3">
      <c r="A41" s="29">
        <v>45634</v>
      </c>
      <c r="B41" s="9" t="s">
        <v>51</v>
      </c>
      <c r="C41" s="9" t="s">
        <v>7</v>
      </c>
      <c r="D41" s="10">
        <v>150</v>
      </c>
      <c r="E41" s="17">
        <v>5250</v>
      </c>
      <c r="F41" s="17">
        <v>21000</v>
      </c>
      <c r="G41" s="45">
        <v>5250</v>
      </c>
      <c r="H41" s="17">
        <f t="shared" si="0"/>
        <v>787500</v>
      </c>
      <c r="I41" s="18" t="s">
        <v>149</v>
      </c>
      <c r="J41" s="18">
        <v>0.25</v>
      </c>
    </row>
    <row r="42" spans="1:10" x14ac:dyDescent="0.3">
      <c r="A42" s="29">
        <v>45634</v>
      </c>
      <c r="B42" s="9" t="s">
        <v>52</v>
      </c>
      <c r="C42" s="9" t="s">
        <v>22</v>
      </c>
      <c r="D42" s="10">
        <v>150</v>
      </c>
      <c r="E42" s="17">
        <v>18000</v>
      </c>
      <c r="F42" s="17">
        <v>18000</v>
      </c>
      <c r="G42" s="22">
        <v>18000</v>
      </c>
      <c r="H42" s="17">
        <f t="shared" si="0"/>
        <v>2700000</v>
      </c>
    </row>
    <row r="43" spans="1:10" x14ac:dyDescent="0.3">
      <c r="A43" s="29">
        <v>45634</v>
      </c>
      <c r="B43" s="9" t="s">
        <v>53</v>
      </c>
      <c r="C43" s="9" t="s">
        <v>1</v>
      </c>
      <c r="D43" s="10">
        <v>10</v>
      </c>
      <c r="E43" s="17">
        <v>35000</v>
      </c>
      <c r="F43" s="17">
        <v>35000</v>
      </c>
      <c r="G43" s="22">
        <v>35000</v>
      </c>
      <c r="H43" s="17">
        <f t="shared" si="0"/>
        <v>350000</v>
      </c>
    </row>
    <row r="44" spans="1:10" x14ac:dyDescent="0.3">
      <c r="A44" s="29">
        <v>45634</v>
      </c>
      <c r="B44" s="9" t="s">
        <v>54</v>
      </c>
      <c r="C44" s="9" t="s">
        <v>1</v>
      </c>
      <c r="D44" s="10">
        <v>160</v>
      </c>
      <c r="E44" s="17">
        <v>9000</v>
      </c>
      <c r="F44" s="17">
        <v>9000</v>
      </c>
      <c r="G44" s="61">
        <v>9000</v>
      </c>
      <c r="H44" s="17">
        <f t="shared" si="0"/>
        <v>1440000</v>
      </c>
    </row>
    <row r="45" spans="1:10" x14ac:dyDescent="0.3">
      <c r="A45" s="29">
        <v>45634</v>
      </c>
      <c r="B45" s="9" t="s">
        <v>55</v>
      </c>
      <c r="C45" s="9" t="s">
        <v>25</v>
      </c>
      <c r="D45" s="10">
        <v>100</v>
      </c>
      <c r="E45" s="17">
        <v>6800</v>
      </c>
      <c r="F45" s="17">
        <v>6800</v>
      </c>
      <c r="G45" s="22">
        <v>6800</v>
      </c>
      <c r="H45" s="17">
        <f t="shared" si="0"/>
        <v>680000</v>
      </c>
    </row>
    <row r="46" spans="1:10" x14ac:dyDescent="0.3">
      <c r="A46" s="29">
        <v>45634</v>
      </c>
      <c r="B46" s="9" t="s">
        <v>56</v>
      </c>
      <c r="C46" s="9" t="s">
        <v>1</v>
      </c>
      <c r="D46" s="10">
        <v>60</v>
      </c>
      <c r="E46" s="17">
        <v>28000</v>
      </c>
      <c r="F46" s="17">
        <v>28000</v>
      </c>
      <c r="G46" s="22">
        <v>28000</v>
      </c>
      <c r="H46" s="17">
        <f t="shared" si="0"/>
        <v>1680000</v>
      </c>
    </row>
    <row r="47" spans="1:10" x14ac:dyDescent="0.3">
      <c r="A47" s="29">
        <v>45634</v>
      </c>
      <c r="B47" s="9" t="s">
        <v>57</v>
      </c>
      <c r="C47" s="9" t="s">
        <v>25</v>
      </c>
      <c r="D47" s="10">
        <v>20</v>
      </c>
      <c r="E47" s="17">
        <v>6800</v>
      </c>
      <c r="F47" s="17">
        <v>6800</v>
      </c>
      <c r="G47" s="22">
        <v>6800</v>
      </c>
      <c r="H47" s="17">
        <f t="shared" si="0"/>
        <v>136000</v>
      </c>
    </row>
    <row r="48" spans="1:10" x14ac:dyDescent="0.3">
      <c r="A48" s="29">
        <v>45634</v>
      </c>
      <c r="B48" s="9" t="s">
        <v>58</v>
      </c>
      <c r="C48" s="9" t="s">
        <v>1</v>
      </c>
      <c r="D48" s="10">
        <v>20</v>
      </c>
      <c r="E48" s="17">
        <v>22000</v>
      </c>
      <c r="F48" s="17">
        <v>22000</v>
      </c>
      <c r="G48" s="22">
        <v>22000</v>
      </c>
      <c r="H48" s="17">
        <f t="shared" si="0"/>
        <v>440000</v>
      </c>
    </row>
    <row r="49" spans="1:8" x14ac:dyDescent="0.3">
      <c r="A49" s="29">
        <v>45634</v>
      </c>
      <c r="B49" s="9" t="s">
        <v>61</v>
      </c>
      <c r="C49" s="9" t="s">
        <v>25</v>
      </c>
      <c r="D49" s="10">
        <v>10</v>
      </c>
      <c r="E49" s="17">
        <v>6800</v>
      </c>
      <c r="F49" s="17">
        <v>6800</v>
      </c>
      <c r="G49" s="22">
        <v>6800</v>
      </c>
      <c r="H49" s="17">
        <f t="shared" si="0"/>
        <v>68000</v>
      </c>
    </row>
    <row r="50" spans="1:8" x14ac:dyDescent="0.3">
      <c r="A50" s="29">
        <v>45634</v>
      </c>
      <c r="B50" s="9" t="s">
        <v>147</v>
      </c>
      <c r="C50" s="9" t="s">
        <v>11</v>
      </c>
      <c r="D50" s="10">
        <v>40</v>
      </c>
      <c r="E50" s="17">
        <v>5000</v>
      </c>
      <c r="F50" s="17">
        <v>5000</v>
      </c>
      <c r="G50" s="22">
        <v>5000</v>
      </c>
      <c r="H50" s="17">
        <f>G50*D50</f>
        <v>200000</v>
      </c>
    </row>
  </sheetData>
  <autoFilter ref="A2:J50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2"/>
  <dimension ref="A1:J46"/>
  <sheetViews>
    <sheetView topLeftCell="A22" workbookViewId="0">
      <selection activeCell="F50" sqref="F5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18" bestFit="1" customWidth="1"/>
    <col min="6" max="6" width="11.44140625" style="18" customWidth="1"/>
    <col min="7" max="7" width="11.44140625" style="33" bestFit="1" customWidth="1"/>
    <col min="8" max="8" width="13.5546875" style="21" bestFit="1" customWidth="1"/>
    <col min="9" max="9" width="32.44140625" style="18" bestFit="1" customWidth="1"/>
    <col min="10" max="16384" width="8.88671875" style="18"/>
  </cols>
  <sheetData>
    <row r="1" spans="1:10" ht="15.6" x14ac:dyDescent="0.3">
      <c r="B1" s="18" t="s">
        <v>62</v>
      </c>
      <c r="C1" s="24">
        <v>45633</v>
      </c>
      <c r="H1" s="35">
        <f>SUM(H3:H46)</f>
        <v>50271000</v>
      </c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2" t="s">
        <v>86</v>
      </c>
      <c r="I2" s="28" t="s">
        <v>145</v>
      </c>
      <c r="J2" s="28" t="s">
        <v>146</v>
      </c>
    </row>
    <row r="3" spans="1:10" x14ac:dyDescent="0.3">
      <c r="A3" s="29">
        <v>45633</v>
      </c>
      <c r="B3" s="9" t="s">
        <v>72</v>
      </c>
      <c r="C3" s="9" t="s">
        <v>1</v>
      </c>
      <c r="D3" s="10">
        <v>20</v>
      </c>
      <c r="E3" s="17">
        <v>7000</v>
      </c>
      <c r="F3" s="17">
        <v>7000</v>
      </c>
      <c r="G3" s="22">
        <v>7000</v>
      </c>
      <c r="H3" s="17">
        <f>G3*D3</f>
        <v>140000</v>
      </c>
    </row>
    <row r="4" spans="1:10" x14ac:dyDescent="0.3">
      <c r="A4" s="29">
        <v>45633</v>
      </c>
      <c r="B4" s="9" t="s">
        <v>3</v>
      </c>
      <c r="C4" s="9" t="s">
        <v>7</v>
      </c>
      <c r="D4" s="10">
        <v>200</v>
      </c>
      <c r="E4" s="17">
        <v>3000</v>
      </c>
      <c r="F4" s="17">
        <v>10000</v>
      </c>
      <c r="G4" s="45">
        <v>3000</v>
      </c>
      <c r="H4" s="17">
        <f t="shared" ref="H4:H45" si="0">G4*D4</f>
        <v>600000</v>
      </c>
      <c r="J4" s="18">
        <v>0.3</v>
      </c>
    </row>
    <row r="5" spans="1:10" x14ac:dyDescent="0.3">
      <c r="A5" s="29">
        <v>45633</v>
      </c>
      <c r="B5" s="9" t="s">
        <v>5</v>
      </c>
      <c r="C5" s="9" t="s">
        <v>7</v>
      </c>
      <c r="D5" s="10">
        <v>150</v>
      </c>
      <c r="E5" s="17">
        <v>3900</v>
      </c>
      <c r="F5" s="17">
        <v>13000</v>
      </c>
      <c r="G5" s="45">
        <v>3900</v>
      </c>
      <c r="H5" s="17">
        <f t="shared" si="0"/>
        <v>585000</v>
      </c>
      <c r="J5" s="18">
        <v>0.3</v>
      </c>
    </row>
    <row r="6" spans="1:10" x14ac:dyDescent="0.3">
      <c r="A6" s="29">
        <v>45633</v>
      </c>
      <c r="B6" s="9" t="s">
        <v>6</v>
      </c>
      <c r="C6" s="9" t="s">
        <v>1</v>
      </c>
      <c r="D6" s="10">
        <v>100</v>
      </c>
      <c r="E6" s="17">
        <v>52000</v>
      </c>
      <c r="F6" s="17">
        <v>52000</v>
      </c>
      <c r="G6" s="22">
        <v>52000</v>
      </c>
      <c r="H6" s="17">
        <f t="shared" si="0"/>
        <v>5200000</v>
      </c>
    </row>
    <row r="7" spans="1:10" x14ac:dyDescent="0.3">
      <c r="A7" s="29">
        <v>45633</v>
      </c>
      <c r="B7" s="9" t="s">
        <v>8</v>
      </c>
      <c r="C7" s="9" t="s">
        <v>11</v>
      </c>
      <c r="D7" s="10">
        <v>60</v>
      </c>
      <c r="E7" s="17">
        <v>8000</v>
      </c>
      <c r="F7" s="17">
        <v>8000</v>
      </c>
      <c r="G7" s="22">
        <v>8000</v>
      </c>
      <c r="H7" s="17">
        <f t="shared" si="0"/>
        <v>480000</v>
      </c>
    </row>
    <row r="8" spans="1:10" x14ac:dyDescent="0.3">
      <c r="A8" s="29">
        <v>45633</v>
      </c>
      <c r="B8" s="9" t="s">
        <v>9</v>
      </c>
      <c r="C8" s="9" t="s">
        <v>1</v>
      </c>
      <c r="D8" s="10">
        <v>200</v>
      </c>
      <c r="E8" s="17">
        <v>24000</v>
      </c>
      <c r="F8" s="17">
        <v>24000</v>
      </c>
      <c r="G8" s="22">
        <v>24000</v>
      </c>
      <c r="H8" s="17">
        <f t="shared" si="0"/>
        <v>4800000</v>
      </c>
    </row>
    <row r="9" spans="1:10" x14ac:dyDescent="0.3">
      <c r="A9" s="29">
        <v>45633</v>
      </c>
      <c r="B9" s="9" t="s">
        <v>10</v>
      </c>
      <c r="C9" s="9" t="s">
        <v>1</v>
      </c>
      <c r="D9" s="10">
        <v>50</v>
      </c>
      <c r="E9" s="17">
        <v>17000</v>
      </c>
      <c r="F9" s="17">
        <v>17000</v>
      </c>
      <c r="G9" s="22">
        <v>17000</v>
      </c>
      <c r="H9" s="17">
        <f t="shared" si="0"/>
        <v>850000</v>
      </c>
    </row>
    <row r="10" spans="1:10" x14ac:dyDescent="0.3">
      <c r="A10" s="29">
        <v>45633</v>
      </c>
      <c r="B10" s="9" t="s">
        <v>10</v>
      </c>
      <c r="C10" s="9" t="s">
        <v>12</v>
      </c>
      <c r="D10" s="10">
        <v>200</v>
      </c>
      <c r="E10" s="17">
        <v>10000</v>
      </c>
      <c r="F10" s="17">
        <v>17000</v>
      </c>
      <c r="G10" s="22">
        <v>10000</v>
      </c>
      <c r="H10" s="17">
        <f t="shared" si="0"/>
        <v>2000000</v>
      </c>
    </row>
    <row r="11" spans="1:10" x14ac:dyDescent="0.3">
      <c r="A11" s="29">
        <v>45633</v>
      </c>
      <c r="B11" s="9" t="s">
        <v>13</v>
      </c>
      <c r="C11" s="9" t="s">
        <v>14</v>
      </c>
      <c r="D11" s="10">
        <v>150</v>
      </c>
      <c r="E11" s="17">
        <v>9000</v>
      </c>
      <c r="F11" s="17">
        <v>9000</v>
      </c>
      <c r="G11" s="22">
        <v>9000</v>
      </c>
      <c r="H11" s="17">
        <f t="shared" si="0"/>
        <v>1350000</v>
      </c>
    </row>
    <row r="12" spans="1:10" x14ac:dyDescent="0.3">
      <c r="A12" s="29">
        <v>45633</v>
      </c>
      <c r="B12" s="9" t="s">
        <v>15</v>
      </c>
      <c r="C12" s="9" t="s">
        <v>16</v>
      </c>
      <c r="D12" s="10">
        <v>50</v>
      </c>
      <c r="E12" s="17">
        <v>16800</v>
      </c>
      <c r="F12" s="17">
        <v>16800</v>
      </c>
      <c r="G12" s="22">
        <v>16800</v>
      </c>
      <c r="H12" s="17">
        <f t="shared" si="0"/>
        <v>840000</v>
      </c>
    </row>
    <row r="13" spans="1:10" x14ac:dyDescent="0.3">
      <c r="A13" s="29">
        <v>45633</v>
      </c>
      <c r="B13" s="9" t="s">
        <v>17</v>
      </c>
      <c r="C13" s="9" t="s">
        <v>14</v>
      </c>
      <c r="D13" s="10">
        <v>50</v>
      </c>
      <c r="E13" s="17">
        <v>16800</v>
      </c>
      <c r="F13" s="17">
        <v>40000</v>
      </c>
      <c r="G13" s="22">
        <v>16800</v>
      </c>
      <c r="H13" s="17">
        <f t="shared" si="0"/>
        <v>840000</v>
      </c>
    </row>
    <row r="14" spans="1:10" x14ac:dyDescent="0.3">
      <c r="A14" s="29">
        <v>45633</v>
      </c>
      <c r="B14" s="9" t="s">
        <v>18</v>
      </c>
      <c r="C14" s="9" t="s">
        <v>1</v>
      </c>
      <c r="D14" s="10">
        <v>100</v>
      </c>
      <c r="E14" s="17">
        <v>19000</v>
      </c>
      <c r="F14" s="17">
        <v>19000</v>
      </c>
      <c r="G14" s="22">
        <v>19000</v>
      </c>
      <c r="H14" s="17">
        <f t="shared" si="0"/>
        <v>1900000</v>
      </c>
    </row>
    <row r="15" spans="1:10" x14ac:dyDescent="0.3">
      <c r="A15" s="29">
        <v>45633</v>
      </c>
      <c r="B15" s="9" t="s">
        <v>19</v>
      </c>
      <c r="C15" s="9" t="s">
        <v>1</v>
      </c>
      <c r="D15" s="10">
        <v>20</v>
      </c>
      <c r="E15" s="17">
        <v>13000</v>
      </c>
      <c r="F15" s="17">
        <v>13000</v>
      </c>
      <c r="G15" s="22">
        <v>13000</v>
      </c>
      <c r="H15" s="17">
        <f t="shared" si="0"/>
        <v>260000</v>
      </c>
    </row>
    <row r="16" spans="1:10" x14ac:dyDescent="0.3">
      <c r="A16" s="29">
        <v>45633</v>
      </c>
      <c r="B16" s="9" t="s">
        <v>20</v>
      </c>
      <c r="C16" s="9" t="s">
        <v>11</v>
      </c>
      <c r="D16" s="10">
        <v>50</v>
      </c>
      <c r="E16" s="17">
        <v>8000</v>
      </c>
      <c r="F16" s="17">
        <v>8000</v>
      </c>
      <c r="G16" s="22">
        <v>8000</v>
      </c>
      <c r="H16" s="17">
        <f t="shared" si="0"/>
        <v>400000</v>
      </c>
    </row>
    <row r="17" spans="1:10" x14ac:dyDescent="0.3">
      <c r="A17" s="29">
        <v>45633</v>
      </c>
      <c r="B17" s="9" t="s">
        <v>63</v>
      </c>
      <c r="C17" s="9" t="s">
        <v>1</v>
      </c>
      <c r="D17" s="10">
        <v>30</v>
      </c>
      <c r="E17" s="17">
        <v>14000</v>
      </c>
      <c r="F17" s="17">
        <v>14000</v>
      </c>
      <c r="G17" s="22">
        <v>14000</v>
      </c>
      <c r="H17" s="17">
        <f t="shared" si="0"/>
        <v>420000</v>
      </c>
    </row>
    <row r="18" spans="1:10" x14ac:dyDescent="0.3">
      <c r="A18" s="29">
        <v>45633</v>
      </c>
      <c r="B18" s="9" t="s">
        <v>21</v>
      </c>
      <c r="C18" s="9" t="s">
        <v>22</v>
      </c>
      <c r="D18" s="10">
        <v>200</v>
      </c>
      <c r="E18" s="17">
        <v>4800</v>
      </c>
      <c r="F18" s="17">
        <v>4800</v>
      </c>
      <c r="G18" s="22">
        <v>4800</v>
      </c>
      <c r="H18" s="17">
        <f t="shared" si="0"/>
        <v>960000</v>
      </c>
    </row>
    <row r="19" spans="1:10" x14ac:dyDescent="0.3">
      <c r="A19" s="29">
        <v>45633</v>
      </c>
      <c r="B19" s="9" t="s">
        <v>21</v>
      </c>
      <c r="C19" s="9" t="s">
        <v>23</v>
      </c>
      <c r="D19" s="10">
        <v>25</v>
      </c>
      <c r="E19" s="17">
        <v>2700</v>
      </c>
      <c r="F19" s="17">
        <v>4800</v>
      </c>
      <c r="G19" s="22">
        <v>2700</v>
      </c>
      <c r="H19" s="17">
        <f t="shared" si="0"/>
        <v>67500</v>
      </c>
    </row>
    <row r="20" spans="1:10" x14ac:dyDescent="0.3">
      <c r="A20" s="29">
        <v>45633</v>
      </c>
      <c r="B20" s="9" t="s">
        <v>24</v>
      </c>
      <c r="C20" s="9" t="s">
        <v>25</v>
      </c>
      <c r="D20" s="10">
        <v>200</v>
      </c>
      <c r="E20" s="17">
        <v>10000</v>
      </c>
      <c r="F20" s="17">
        <v>20000</v>
      </c>
      <c r="G20" s="45">
        <v>10000</v>
      </c>
      <c r="H20" s="17">
        <f t="shared" si="0"/>
        <v>2000000</v>
      </c>
      <c r="I20" s="18" t="s">
        <v>156</v>
      </c>
      <c r="J20" s="18">
        <v>0.5</v>
      </c>
    </row>
    <row r="21" spans="1:10" x14ac:dyDescent="0.3">
      <c r="A21" s="29">
        <v>45633</v>
      </c>
      <c r="B21" s="9" t="s">
        <v>26</v>
      </c>
      <c r="C21" s="9" t="s">
        <v>11</v>
      </c>
      <c r="D21" s="10">
        <v>40</v>
      </c>
      <c r="E21" s="17">
        <v>6750</v>
      </c>
      <c r="F21" s="17">
        <v>6750</v>
      </c>
      <c r="G21" s="22">
        <v>6750</v>
      </c>
      <c r="H21" s="17">
        <f t="shared" si="0"/>
        <v>270000</v>
      </c>
    </row>
    <row r="22" spans="1:10" x14ac:dyDescent="0.3">
      <c r="A22" s="29">
        <v>45633</v>
      </c>
      <c r="B22" s="9" t="s">
        <v>29</v>
      </c>
      <c r="C22" s="9" t="s">
        <v>1</v>
      </c>
      <c r="D22" s="10">
        <v>50</v>
      </c>
      <c r="E22" s="17">
        <v>20500</v>
      </c>
      <c r="F22" s="17" t="e">
        <v>#N/A</v>
      </c>
      <c r="G22" s="45">
        <v>20500</v>
      </c>
      <c r="H22" s="17">
        <f t="shared" si="0"/>
        <v>1025000</v>
      </c>
      <c r="I22" s="18" t="s">
        <v>166</v>
      </c>
    </row>
    <row r="23" spans="1:10" x14ac:dyDescent="0.3">
      <c r="A23" s="29">
        <v>45633</v>
      </c>
      <c r="B23" s="9" t="s">
        <v>30</v>
      </c>
      <c r="C23" s="9" t="s">
        <v>1</v>
      </c>
      <c r="D23" s="10">
        <v>150</v>
      </c>
      <c r="E23" s="17">
        <v>24000</v>
      </c>
      <c r="F23" s="17" t="e">
        <v>#N/A</v>
      </c>
      <c r="G23" s="45">
        <v>24000</v>
      </c>
      <c r="H23" s="17">
        <f t="shared" si="0"/>
        <v>3600000</v>
      </c>
      <c r="I23" s="18" t="s">
        <v>166</v>
      </c>
    </row>
    <row r="24" spans="1:10" x14ac:dyDescent="0.3">
      <c r="A24" s="29">
        <v>45633</v>
      </c>
      <c r="B24" s="9" t="s">
        <v>32</v>
      </c>
      <c r="C24" s="9" t="s">
        <v>1</v>
      </c>
      <c r="D24" s="10">
        <v>20</v>
      </c>
      <c r="E24" s="17">
        <v>27000</v>
      </c>
      <c r="F24" s="17">
        <v>27000</v>
      </c>
      <c r="G24" s="22">
        <v>27000</v>
      </c>
      <c r="H24" s="17">
        <f t="shared" si="0"/>
        <v>540000</v>
      </c>
    </row>
    <row r="25" spans="1:10" x14ac:dyDescent="0.3">
      <c r="A25" s="29">
        <v>45633</v>
      </c>
      <c r="B25" s="9" t="s">
        <v>139</v>
      </c>
      <c r="C25" s="9" t="s">
        <v>1</v>
      </c>
      <c r="D25" s="10">
        <v>60</v>
      </c>
      <c r="E25" s="17">
        <v>18000</v>
      </c>
      <c r="F25" s="17">
        <v>18000</v>
      </c>
      <c r="G25" s="22">
        <v>18000</v>
      </c>
      <c r="H25" s="17">
        <f t="shared" si="0"/>
        <v>1080000</v>
      </c>
    </row>
    <row r="26" spans="1:10" x14ac:dyDescent="0.3">
      <c r="A26" s="29">
        <v>45633</v>
      </c>
      <c r="B26" s="9" t="s">
        <v>34</v>
      </c>
      <c r="C26" s="9" t="s">
        <v>36</v>
      </c>
      <c r="D26" s="10">
        <v>20</v>
      </c>
      <c r="E26" s="17">
        <v>6500</v>
      </c>
      <c r="F26" s="17">
        <v>6500</v>
      </c>
      <c r="G26" s="22">
        <v>6500</v>
      </c>
      <c r="H26" s="17">
        <f t="shared" si="0"/>
        <v>130000</v>
      </c>
    </row>
    <row r="27" spans="1:10" x14ac:dyDescent="0.3">
      <c r="A27" s="29">
        <v>45633</v>
      </c>
      <c r="B27" s="9" t="s">
        <v>37</v>
      </c>
      <c r="C27" s="9" t="s">
        <v>11</v>
      </c>
      <c r="D27" s="10">
        <v>600</v>
      </c>
      <c r="E27" s="17">
        <v>5000</v>
      </c>
      <c r="F27" s="17">
        <v>5000</v>
      </c>
      <c r="G27" s="22">
        <v>5000</v>
      </c>
      <c r="H27" s="17">
        <f t="shared" si="0"/>
        <v>3000000</v>
      </c>
    </row>
    <row r="28" spans="1:10" x14ac:dyDescent="0.3">
      <c r="A28" s="29">
        <v>45633</v>
      </c>
      <c r="B28" s="9" t="s">
        <v>39</v>
      </c>
      <c r="C28" s="9" t="s">
        <v>1</v>
      </c>
      <c r="D28" s="10">
        <v>40</v>
      </c>
      <c r="E28" s="17">
        <v>7000</v>
      </c>
      <c r="F28" s="17">
        <v>7000</v>
      </c>
      <c r="G28" s="22">
        <v>5000</v>
      </c>
      <c r="H28" s="17">
        <f t="shared" si="0"/>
        <v>200000</v>
      </c>
    </row>
    <row r="29" spans="1:10" x14ac:dyDescent="0.3">
      <c r="A29" s="29">
        <v>45633</v>
      </c>
      <c r="B29" s="9" t="s">
        <v>40</v>
      </c>
      <c r="C29" s="9" t="s">
        <v>25</v>
      </c>
      <c r="D29" s="10">
        <v>200</v>
      </c>
      <c r="E29" s="17">
        <v>3900</v>
      </c>
      <c r="F29" s="17">
        <v>26000</v>
      </c>
      <c r="G29" s="45">
        <v>3900</v>
      </c>
      <c r="H29" s="17">
        <f t="shared" si="0"/>
        <v>780000</v>
      </c>
      <c r="I29" s="18" t="s">
        <v>152</v>
      </c>
      <c r="J29" s="18">
        <v>0.15</v>
      </c>
    </row>
    <row r="30" spans="1:10" x14ac:dyDescent="0.3">
      <c r="A30" s="29">
        <v>45633</v>
      </c>
      <c r="B30" s="9" t="s">
        <v>42</v>
      </c>
      <c r="C30" s="9" t="s">
        <v>1</v>
      </c>
      <c r="D30" s="10">
        <v>5</v>
      </c>
      <c r="E30" s="17">
        <v>25000</v>
      </c>
      <c r="F30" s="17" t="e">
        <v>#N/A</v>
      </c>
      <c r="G30" s="45">
        <v>25000</v>
      </c>
      <c r="H30" s="17">
        <f t="shared" si="0"/>
        <v>125000</v>
      </c>
    </row>
    <row r="31" spans="1:10" x14ac:dyDescent="0.3">
      <c r="A31" s="29">
        <v>45633</v>
      </c>
      <c r="B31" s="9" t="s">
        <v>43</v>
      </c>
      <c r="C31" s="9" t="s">
        <v>1</v>
      </c>
      <c r="D31" s="10">
        <v>1</v>
      </c>
      <c r="E31" s="17">
        <v>100000</v>
      </c>
      <c r="F31" s="17">
        <v>100000</v>
      </c>
      <c r="G31" s="22">
        <v>100000</v>
      </c>
      <c r="H31" s="17">
        <f t="shared" si="0"/>
        <v>100000</v>
      </c>
    </row>
    <row r="32" spans="1:10" x14ac:dyDescent="0.3">
      <c r="A32" s="29">
        <v>45633</v>
      </c>
      <c r="B32" s="9" t="s">
        <v>45</v>
      </c>
      <c r="C32" s="9" t="s">
        <v>22</v>
      </c>
      <c r="D32" s="10">
        <v>600</v>
      </c>
      <c r="E32" s="17">
        <v>1900</v>
      </c>
      <c r="F32" s="17">
        <v>1900</v>
      </c>
      <c r="G32" s="22">
        <v>1900</v>
      </c>
      <c r="H32" s="17">
        <f t="shared" si="0"/>
        <v>1140000</v>
      </c>
    </row>
    <row r="33" spans="1:10" x14ac:dyDescent="0.3">
      <c r="A33" s="29">
        <v>45633</v>
      </c>
      <c r="B33" s="9" t="s">
        <v>46</v>
      </c>
      <c r="C33" s="9" t="s">
        <v>1</v>
      </c>
      <c r="D33" s="10">
        <v>80</v>
      </c>
      <c r="E33" s="17">
        <v>53000</v>
      </c>
      <c r="F33" s="17">
        <v>53000</v>
      </c>
      <c r="G33" s="22">
        <v>53000</v>
      </c>
      <c r="H33" s="17">
        <f t="shared" si="0"/>
        <v>4240000</v>
      </c>
    </row>
    <row r="34" spans="1:10" x14ac:dyDescent="0.3">
      <c r="A34" s="29">
        <v>45633</v>
      </c>
      <c r="B34" s="9" t="s">
        <v>64</v>
      </c>
      <c r="C34" s="9" t="s">
        <v>1</v>
      </c>
      <c r="D34" s="10">
        <v>15</v>
      </c>
      <c r="E34" s="17">
        <v>50000</v>
      </c>
      <c r="F34" s="17">
        <v>50000</v>
      </c>
      <c r="G34" s="22">
        <v>50000</v>
      </c>
      <c r="H34" s="17">
        <f t="shared" si="0"/>
        <v>750000</v>
      </c>
    </row>
    <row r="35" spans="1:10" x14ac:dyDescent="0.3">
      <c r="A35" s="29">
        <v>45633</v>
      </c>
      <c r="B35" s="9" t="s">
        <v>47</v>
      </c>
      <c r="C35" s="9" t="s">
        <v>7</v>
      </c>
      <c r="D35" s="10">
        <v>500</v>
      </c>
      <c r="E35" s="17">
        <v>6000</v>
      </c>
      <c r="F35" s="17">
        <v>24000</v>
      </c>
      <c r="G35" s="45">
        <v>6000</v>
      </c>
      <c r="H35" s="17">
        <f t="shared" si="0"/>
        <v>3000000</v>
      </c>
      <c r="I35" s="18" t="s">
        <v>149</v>
      </c>
      <c r="J35" s="18">
        <v>0.25</v>
      </c>
    </row>
    <row r="36" spans="1:10" x14ac:dyDescent="0.3">
      <c r="A36" s="29">
        <v>45633</v>
      </c>
      <c r="B36" s="9" t="s">
        <v>48</v>
      </c>
      <c r="C36" s="9" t="s">
        <v>1</v>
      </c>
      <c r="D36" s="10">
        <v>10</v>
      </c>
      <c r="E36" s="17">
        <v>49000</v>
      </c>
      <c r="F36" s="17">
        <v>49000</v>
      </c>
      <c r="G36" s="22">
        <v>49000</v>
      </c>
      <c r="H36" s="17">
        <f t="shared" si="0"/>
        <v>490000</v>
      </c>
    </row>
    <row r="37" spans="1:10" x14ac:dyDescent="0.3">
      <c r="A37" s="29">
        <v>45633</v>
      </c>
      <c r="B37" s="9" t="s">
        <v>50</v>
      </c>
      <c r="C37" s="9" t="s">
        <v>7</v>
      </c>
      <c r="D37" s="10">
        <v>80</v>
      </c>
      <c r="E37" s="17">
        <v>3250</v>
      </c>
      <c r="F37" s="17">
        <v>13000</v>
      </c>
      <c r="G37" s="45">
        <v>3250</v>
      </c>
      <c r="H37" s="17">
        <f t="shared" si="0"/>
        <v>260000</v>
      </c>
      <c r="I37" s="18" t="s">
        <v>149</v>
      </c>
      <c r="J37" s="18">
        <v>0.25</v>
      </c>
    </row>
    <row r="38" spans="1:10" x14ac:dyDescent="0.3">
      <c r="A38" s="29">
        <v>45633</v>
      </c>
      <c r="B38" s="9" t="s">
        <v>51</v>
      </c>
      <c r="C38" s="9" t="s">
        <v>7</v>
      </c>
      <c r="D38" s="10">
        <v>50</v>
      </c>
      <c r="E38" s="17">
        <v>5250</v>
      </c>
      <c r="F38" s="17">
        <v>21000</v>
      </c>
      <c r="G38" s="45">
        <v>5250</v>
      </c>
      <c r="H38" s="17">
        <f t="shared" si="0"/>
        <v>262500</v>
      </c>
      <c r="I38" s="18" t="s">
        <v>149</v>
      </c>
      <c r="J38" s="18">
        <v>0.25</v>
      </c>
    </row>
    <row r="39" spans="1:10" x14ac:dyDescent="0.3">
      <c r="A39" s="29">
        <v>45633</v>
      </c>
      <c r="B39" s="9" t="s">
        <v>52</v>
      </c>
      <c r="C39" s="9" t="s">
        <v>22</v>
      </c>
      <c r="D39" s="10">
        <v>100</v>
      </c>
      <c r="E39" s="17">
        <v>18000</v>
      </c>
      <c r="F39" s="17">
        <v>18000</v>
      </c>
      <c r="G39" s="22">
        <v>18000</v>
      </c>
      <c r="H39" s="17">
        <f t="shared" si="0"/>
        <v>1800000</v>
      </c>
    </row>
    <row r="40" spans="1:10" x14ac:dyDescent="0.3">
      <c r="A40" s="29">
        <v>45633</v>
      </c>
      <c r="B40" s="9" t="s">
        <v>53</v>
      </c>
      <c r="C40" s="9" t="s">
        <v>1</v>
      </c>
      <c r="D40" s="10">
        <v>10</v>
      </c>
      <c r="E40" s="17">
        <v>35000</v>
      </c>
      <c r="F40" s="17">
        <v>35000</v>
      </c>
      <c r="G40" s="22">
        <v>35000</v>
      </c>
      <c r="H40" s="17">
        <f t="shared" si="0"/>
        <v>350000</v>
      </c>
    </row>
    <row r="41" spans="1:10" x14ac:dyDescent="0.3">
      <c r="A41" s="29">
        <v>45633</v>
      </c>
      <c r="B41" s="9" t="s">
        <v>54</v>
      </c>
      <c r="C41" s="9" t="s">
        <v>1</v>
      </c>
      <c r="D41" s="10">
        <v>120</v>
      </c>
      <c r="E41" s="17">
        <v>10000</v>
      </c>
      <c r="F41" s="17">
        <v>10000</v>
      </c>
      <c r="G41" s="22">
        <v>10000</v>
      </c>
      <c r="H41" s="17">
        <f t="shared" si="0"/>
        <v>1200000</v>
      </c>
    </row>
    <row r="42" spans="1:10" x14ac:dyDescent="0.3">
      <c r="A42" s="29">
        <v>45633</v>
      </c>
      <c r="B42" s="9" t="s">
        <v>55</v>
      </c>
      <c r="C42" s="9" t="s">
        <v>25</v>
      </c>
      <c r="D42" s="10">
        <v>50</v>
      </c>
      <c r="E42" s="17">
        <v>6800</v>
      </c>
      <c r="F42" s="17">
        <v>6800</v>
      </c>
      <c r="G42" s="22">
        <v>6800</v>
      </c>
      <c r="H42" s="17">
        <f t="shared" si="0"/>
        <v>340000</v>
      </c>
    </row>
    <row r="43" spans="1:10" x14ac:dyDescent="0.3">
      <c r="A43" s="29">
        <v>45633</v>
      </c>
      <c r="B43" s="9" t="s">
        <v>56</v>
      </c>
      <c r="C43" s="9" t="s">
        <v>1</v>
      </c>
      <c r="D43" s="10">
        <v>40</v>
      </c>
      <c r="E43" s="17">
        <v>28000</v>
      </c>
      <c r="F43" s="17">
        <v>28000</v>
      </c>
      <c r="G43" s="22">
        <v>28000</v>
      </c>
      <c r="H43" s="17">
        <f t="shared" si="0"/>
        <v>1120000</v>
      </c>
    </row>
    <row r="44" spans="1:10" x14ac:dyDescent="0.3">
      <c r="A44" s="29">
        <v>45633</v>
      </c>
      <c r="B44" s="9" t="s">
        <v>58</v>
      </c>
      <c r="C44" s="9" t="s">
        <v>1</v>
      </c>
      <c r="D44" s="10">
        <v>30</v>
      </c>
      <c r="E44" s="17">
        <v>22000</v>
      </c>
      <c r="F44" s="17">
        <v>22000</v>
      </c>
      <c r="G44" s="22">
        <v>22000</v>
      </c>
      <c r="H44" s="17">
        <f t="shared" si="0"/>
        <v>660000</v>
      </c>
    </row>
    <row r="45" spans="1:10" x14ac:dyDescent="0.3">
      <c r="A45" s="29">
        <v>45633</v>
      </c>
      <c r="B45" s="9" t="s">
        <v>59</v>
      </c>
      <c r="C45" s="9" t="s">
        <v>22</v>
      </c>
      <c r="D45" s="10">
        <v>2</v>
      </c>
      <c r="E45" s="17">
        <v>24000</v>
      </c>
      <c r="F45" s="17">
        <v>120000</v>
      </c>
      <c r="G45" s="45">
        <v>24000</v>
      </c>
      <c r="H45" s="17">
        <f t="shared" si="0"/>
        <v>48000</v>
      </c>
      <c r="I45" s="18" t="s">
        <v>188</v>
      </c>
      <c r="J45" s="18">
        <v>0.2</v>
      </c>
    </row>
    <row r="46" spans="1:10" x14ac:dyDescent="0.3">
      <c r="A46" s="29">
        <v>45633</v>
      </c>
      <c r="B46" s="9" t="s">
        <v>61</v>
      </c>
      <c r="C46" s="9" t="s">
        <v>25</v>
      </c>
      <c r="D46" s="10">
        <v>10</v>
      </c>
      <c r="E46" s="17">
        <v>6800</v>
      </c>
      <c r="F46" s="17">
        <v>6800</v>
      </c>
      <c r="G46" s="22">
        <v>6800</v>
      </c>
      <c r="H46" s="17">
        <f>G46*D46</f>
        <v>68000</v>
      </c>
    </row>
  </sheetData>
  <autoFilter ref="A2:J46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3"/>
  <dimension ref="A1:J41"/>
  <sheetViews>
    <sheetView topLeftCell="A16" zoomScale="94" zoomScaleNormal="94" workbookViewId="0">
      <selection activeCell="J8" sqref="J8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3.5546875" style="21" bestFit="1" customWidth="1"/>
    <col min="9" max="9" width="12.5546875" style="21" customWidth="1"/>
    <col min="10" max="16384" width="8.88671875" style="18"/>
  </cols>
  <sheetData>
    <row r="1" spans="1:10" ht="15.6" x14ac:dyDescent="0.3">
      <c r="B1" s="18" t="s">
        <v>62</v>
      </c>
      <c r="C1" s="24">
        <v>45632</v>
      </c>
      <c r="H1" s="35">
        <f>SUM(H3:H41)</f>
        <v>59231466.666666664</v>
      </c>
      <c r="I1" s="44"/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45632</v>
      </c>
      <c r="B3" s="9" t="s">
        <v>0</v>
      </c>
      <c r="C3" s="9" t="s">
        <v>1</v>
      </c>
      <c r="D3" s="10">
        <v>20</v>
      </c>
      <c r="E3" s="17">
        <v>36000</v>
      </c>
      <c r="F3" s="17">
        <v>36000</v>
      </c>
      <c r="G3" s="22">
        <v>36000</v>
      </c>
      <c r="H3" s="17">
        <f>G3*D3</f>
        <v>720000</v>
      </c>
    </row>
    <row r="4" spans="1:10" x14ac:dyDescent="0.3">
      <c r="A4" s="29">
        <v>45632</v>
      </c>
      <c r="B4" s="9" t="s">
        <v>3</v>
      </c>
      <c r="C4" s="9" t="s">
        <v>7</v>
      </c>
      <c r="D4" s="10">
        <v>304</v>
      </c>
      <c r="E4" s="17">
        <v>2700</v>
      </c>
      <c r="F4" s="17">
        <v>9000</v>
      </c>
      <c r="G4" s="45">
        <v>2700</v>
      </c>
      <c r="H4" s="17">
        <f t="shared" ref="H4:H41" si="0">G4*D4</f>
        <v>820800</v>
      </c>
      <c r="J4" s="18">
        <v>0.3</v>
      </c>
    </row>
    <row r="5" spans="1:10" x14ac:dyDescent="0.3">
      <c r="A5" s="29">
        <v>45632</v>
      </c>
      <c r="B5" s="9" t="s">
        <v>5</v>
      </c>
      <c r="C5" s="9" t="s">
        <v>7</v>
      </c>
      <c r="D5" s="10">
        <v>130</v>
      </c>
      <c r="E5" s="17">
        <v>3000</v>
      </c>
      <c r="F5" s="17">
        <v>10000</v>
      </c>
      <c r="G5" s="45">
        <v>3000</v>
      </c>
      <c r="H5" s="17">
        <f t="shared" si="0"/>
        <v>390000</v>
      </c>
      <c r="J5" s="18">
        <v>0.3</v>
      </c>
    </row>
    <row r="6" spans="1:10" x14ac:dyDescent="0.3">
      <c r="A6" s="29">
        <v>45632</v>
      </c>
      <c r="B6" s="9" t="s">
        <v>8</v>
      </c>
      <c r="C6" s="9" t="s">
        <v>11</v>
      </c>
      <c r="D6" s="10">
        <v>15</v>
      </c>
      <c r="E6" s="17">
        <v>8000</v>
      </c>
      <c r="F6" s="17">
        <v>8000</v>
      </c>
      <c r="G6" s="22">
        <v>8000</v>
      </c>
      <c r="H6" s="17">
        <f t="shared" si="0"/>
        <v>120000</v>
      </c>
    </row>
    <row r="7" spans="1:10" x14ac:dyDescent="0.3">
      <c r="A7" s="29">
        <v>45632</v>
      </c>
      <c r="B7" s="9" t="s">
        <v>9</v>
      </c>
      <c r="C7" s="9" t="s">
        <v>1</v>
      </c>
      <c r="D7" s="10">
        <v>200</v>
      </c>
      <c r="E7" s="17">
        <v>24000</v>
      </c>
      <c r="F7" s="17">
        <v>24000</v>
      </c>
      <c r="G7" s="22">
        <v>24000</v>
      </c>
      <c r="H7" s="17">
        <f t="shared" si="0"/>
        <v>4800000</v>
      </c>
    </row>
    <row r="8" spans="1:10" x14ac:dyDescent="0.3">
      <c r="A8" s="29">
        <v>45632</v>
      </c>
      <c r="B8" s="9" t="s">
        <v>10</v>
      </c>
      <c r="C8" s="9" t="s">
        <v>12</v>
      </c>
      <c r="D8" s="10">
        <v>176</v>
      </c>
      <c r="E8" s="17">
        <v>10500</v>
      </c>
      <c r="F8" s="17">
        <v>10500</v>
      </c>
      <c r="G8" s="22">
        <v>10500</v>
      </c>
      <c r="H8" s="17">
        <f t="shared" si="0"/>
        <v>1848000</v>
      </c>
    </row>
    <row r="9" spans="1:10" x14ac:dyDescent="0.3">
      <c r="A9" s="29">
        <v>45632</v>
      </c>
      <c r="B9" s="9" t="s">
        <v>10</v>
      </c>
      <c r="C9" s="9" t="s">
        <v>1</v>
      </c>
      <c r="D9" s="10">
        <v>80</v>
      </c>
      <c r="E9" s="17">
        <v>17000</v>
      </c>
      <c r="F9" s="17">
        <v>10500</v>
      </c>
      <c r="G9" s="22">
        <v>17000</v>
      </c>
      <c r="H9" s="17">
        <f t="shared" si="0"/>
        <v>1360000</v>
      </c>
    </row>
    <row r="10" spans="1:10" x14ac:dyDescent="0.3">
      <c r="A10" s="29">
        <v>45632</v>
      </c>
      <c r="B10" s="9" t="s">
        <v>13</v>
      </c>
      <c r="C10" s="9" t="s">
        <v>14</v>
      </c>
      <c r="D10" s="10">
        <v>240</v>
      </c>
      <c r="E10" s="17">
        <v>9000</v>
      </c>
      <c r="F10" s="17">
        <v>15000</v>
      </c>
      <c r="G10" s="22">
        <v>9000</v>
      </c>
      <c r="H10" s="17">
        <f t="shared" si="0"/>
        <v>2160000</v>
      </c>
    </row>
    <row r="11" spans="1:10" x14ac:dyDescent="0.3">
      <c r="A11" s="29">
        <v>45632</v>
      </c>
      <c r="B11" s="9" t="s">
        <v>17</v>
      </c>
      <c r="C11" s="9" t="s">
        <v>14</v>
      </c>
      <c r="D11" s="10">
        <v>100</v>
      </c>
      <c r="E11" s="17">
        <v>12000</v>
      </c>
      <c r="F11" s="17">
        <v>40000</v>
      </c>
      <c r="G11" s="45">
        <v>12000</v>
      </c>
      <c r="H11" s="17">
        <f t="shared" si="0"/>
        <v>1200000</v>
      </c>
      <c r="J11" s="18">
        <v>0.3</v>
      </c>
    </row>
    <row r="12" spans="1:10" x14ac:dyDescent="0.3">
      <c r="A12" s="29">
        <v>45632</v>
      </c>
      <c r="B12" s="9" t="s">
        <v>18</v>
      </c>
      <c r="C12" s="9" t="s">
        <v>1</v>
      </c>
      <c r="D12" s="10">
        <v>60</v>
      </c>
      <c r="E12" s="17">
        <v>23000</v>
      </c>
      <c r="F12" s="17">
        <v>23000</v>
      </c>
      <c r="G12" s="22">
        <v>23000</v>
      </c>
      <c r="H12" s="17">
        <f t="shared" si="0"/>
        <v>1380000</v>
      </c>
    </row>
    <row r="13" spans="1:10" x14ac:dyDescent="0.3">
      <c r="A13" s="29">
        <v>45632</v>
      </c>
      <c r="B13" s="9" t="s">
        <v>19</v>
      </c>
      <c r="C13" s="9" t="s">
        <v>1</v>
      </c>
      <c r="D13" s="10">
        <v>20</v>
      </c>
      <c r="E13" s="17">
        <v>12000</v>
      </c>
      <c r="F13" s="17">
        <v>12000</v>
      </c>
      <c r="G13" s="22">
        <v>12000</v>
      </c>
      <c r="H13" s="17">
        <f t="shared" si="0"/>
        <v>240000</v>
      </c>
    </row>
    <row r="14" spans="1:10" x14ac:dyDescent="0.3">
      <c r="A14" s="29">
        <v>45632</v>
      </c>
      <c r="B14" s="9" t="s">
        <v>20</v>
      </c>
      <c r="C14" s="9" t="s">
        <v>11</v>
      </c>
      <c r="D14" s="10">
        <v>90</v>
      </c>
      <c r="E14" s="17">
        <v>8000</v>
      </c>
      <c r="F14" s="17">
        <v>8000</v>
      </c>
      <c r="G14" s="22">
        <v>8000</v>
      </c>
      <c r="H14" s="17">
        <f t="shared" si="0"/>
        <v>720000</v>
      </c>
    </row>
    <row r="15" spans="1:10" x14ac:dyDescent="0.3">
      <c r="A15" s="29">
        <v>45632</v>
      </c>
      <c r="B15" s="9" t="s">
        <v>63</v>
      </c>
      <c r="C15" s="9" t="s">
        <v>1</v>
      </c>
      <c r="D15" s="10">
        <v>60</v>
      </c>
      <c r="E15" s="17">
        <v>14000</v>
      </c>
      <c r="F15" s="17">
        <v>14000</v>
      </c>
      <c r="G15" s="22">
        <v>14000</v>
      </c>
      <c r="H15" s="17">
        <f t="shared" si="0"/>
        <v>840000</v>
      </c>
    </row>
    <row r="16" spans="1:10" x14ac:dyDescent="0.3">
      <c r="A16" s="29">
        <v>45632</v>
      </c>
      <c r="B16" s="9" t="s">
        <v>21</v>
      </c>
      <c r="C16" s="9" t="s">
        <v>22</v>
      </c>
      <c r="D16" s="10">
        <v>140</v>
      </c>
      <c r="E16" s="17">
        <v>4500</v>
      </c>
      <c r="F16" s="17">
        <v>2700</v>
      </c>
      <c r="G16" s="22">
        <v>4500</v>
      </c>
      <c r="H16" s="17">
        <f t="shared" si="0"/>
        <v>630000</v>
      </c>
    </row>
    <row r="17" spans="1:10" x14ac:dyDescent="0.3">
      <c r="A17" s="29">
        <v>45632</v>
      </c>
      <c r="B17" s="9" t="s">
        <v>21</v>
      </c>
      <c r="C17" s="9" t="s">
        <v>23</v>
      </c>
      <c r="D17" s="10">
        <v>20</v>
      </c>
      <c r="E17" s="17">
        <v>2700</v>
      </c>
      <c r="F17" s="17">
        <v>2700</v>
      </c>
      <c r="G17" s="22">
        <v>2700</v>
      </c>
      <c r="H17" s="17">
        <f t="shared" si="0"/>
        <v>54000</v>
      </c>
    </row>
    <row r="18" spans="1:10" x14ac:dyDescent="0.3">
      <c r="A18" s="29">
        <v>45632</v>
      </c>
      <c r="B18" s="9" t="s">
        <v>24</v>
      </c>
      <c r="C18" s="9" t="s">
        <v>25</v>
      </c>
      <c r="D18" s="10">
        <v>120</v>
      </c>
      <c r="E18" s="17">
        <v>10000</v>
      </c>
      <c r="F18" s="17">
        <v>20000</v>
      </c>
      <c r="G18" s="45">
        <v>10000</v>
      </c>
      <c r="H18" s="17">
        <f t="shared" si="0"/>
        <v>1200000</v>
      </c>
      <c r="J18" s="18">
        <v>0.5</v>
      </c>
    </row>
    <row r="19" spans="1:10" x14ac:dyDescent="0.3">
      <c r="A19" s="29">
        <v>45632</v>
      </c>
      <c r="B19" s="9" t="s">
        <v>27</v>
      </c>
      <c r="C19" s="9" t="s">
        <v>16</v>
      </c>
      <c r="D19" s="10">
        <v>60</v>
      </c>
      <c r="E19" s="17">
        <v>7000</v>
      </c>
      <c r="F19" s="17">
        <v>7000</v>
      </c>
      <c r="G19" s="22">
        <v>7000</v>
      </c>
      <c r="H19" s="17">
        <f t="shared" si="0"/>
        <v>420000</v>
      </c>
    </row>
    <row r="20" spans="1:10" x14ac:dyDescent="0.3">
      <c r="A20" s="29">
        <v>45632</v>
      </c>
      <c r="B20" s="9" t="s">
        <v>74</v>
      </c>
      <c r="C20" s="9" t="s">
        <v>1</v>
      </c>
      <c r="D20" s="10">
        <v>40</v>
      </c>
      <c r="E20" s="17">
        <v>16000</v>
      </c>
      <c r="F20" s="17">
        <v>16000</v>
      </c>
      <c r="G20" s="22">
        <v>16000</v>
      </c>
      <c r="H20" s="17">
        <f t="shared" si="0"/>
        <v>640000</v>
      </c>
    </row>
    <row r="21" spans="1:10" x14ac:dyDescent="0.3">
      <c r="A21" s="29">
        <v>45632</v>
      </c>
      <c r="B21" s="9" t="s">
        <v>29</v>
      </c>
      <c r="C21" s="9" t="s">
        <v>1</v>
      </c>
      <c r="D21" s="10">
        <v>120</v>
      </c>
      <c r="E21" s="17">
        <v>20500</v>
      </c>
      <c r="F21" s="17">
        <v>20500</v>
      </c>
      <c r="G21" s="22">
        <v>20500</v>
      </c>
      <c r="H21" s="17">
        <f t="shared" si="0"/>
        <v>2460000</v>
      </c>
    </row>
    <row r="22" spans="1:10" x14ac:dyDescent="0.3">
      <c r="A22" s="29">
        <v>45632</v>
      </c>
      <c r="B22" s="9" t="s">
        <v>30</v>
      </c>
      <c r="C22" s="9" t="s">
        <v>1</v>
      </c>
      <c r="D22" s="10">
        <v>500</v>
      </c>
      <c r="E22" s="17">
        <v>24000</v>
      </c>
      <c r="F22" s="17">
        <v>24000</v>
      </c>
      <c r="G22" s="22">
        <v>24000</v>
      </c>
      <c r="H22" s="17">
        <f t="shared" si="0"/>
        <v>12000000</v>
      </c>
    </row>
    <row r="23" spans="1:10" x14ac:dyDescent="0.3">
      <c r="A23" s="29">
        <v>45632</v>
      </c>
      <c r="B23" s="9" t="s">
        <v>31</v>
      </c>
      <c r="C23" s="9" t="s">
        <v>1</v>
      </c>
      <c r="D23" s="10">
        <v>160</v>
      </c>
      <c r="E23" s="17">
        <v>17000</v>
      </c>
      <c r="F23" s="17">
        <v>17000</v>
      </c>
      <c r="G23" s="22">
        <v>17000</v>
      </c>
      <c r="H23" s="17">
        <f t="shared" si="0"/>
        <v>2720000</v>
      </c>
    </row>
    <row r="24" spans="1:10" x14ac:dyDescent="0.3">
      <c r="A24" s="29">
        <v>45632</v>
      </c>
      <c r="B24" s="9" t="s">
        <v>37</v>
      </c>
      <c r="C24" s="9" t="s">
        <v>11</v>
      </c>
      <c r="D24" s="10">
        <v>800</v>
      </c>
      <c r="E24" s="17">
        <v>6000</v>
      </c>
      <c r="F24" s="17">
        <v>6000</v>
      </c>
      <c r="G24" s="22">
        <v>6000</v>
      </c>
      <c r="H24" s="17">
        <f t="shared" si="0"/>
        <v>4800000</v>
      </c>
    </row>
    <row r="25" spans="1:10" x14ac:dyDescent="0.3">
      <c r="A25" s="29">
        <v>45632</v>
      </c>
      <c r="B25" s="9" t="s">
        <v>38</v>
      </c>
      <c r="C25" s="9" t="s">
        <v>1</v>
      </c>
      <c r="D25" s="10">
        <v>30</v>
      </c>
      <c r="E25" s="17">
        <v>12000</v>
      </c>
      <c r="F25" s="17">
        <v>12000</v>
      </c>
      <c r="G25" s="22">
        <v>12000</v>
      </c>
      <c r="H25" s="17">
        <f t="shared" si="0"/>
        <v>360000</v>
      </c>
    </row>
    <row r="26" spans="1:10" x14ac:dyDescent="0.3">
      <c r="A26" s="29">
        <v>45632</v>
      </c>
      <c r="B26" s="9" t="s">
        <v>39</v>
      </c>
      <c r="C26" s="9" t="s">
        <v>1</v>
      </c>
      <c r="D26" s="10">
        <v>50</v>
      </c>
      <c r="E26" s="17">
        <v>3000</v>
      </c>
      <c r="F26" s="17">
        <v>3000</v>
      </c>
      <c r="G26" s="22">
        <v>3000</v>
      </c>
      <c r="H26" s="17">
        <f t="shared" si="0"/>
        <v>150000</v>
      </c>
    </row>
    <row r="27" spans="1:10" x14ac:dyDescent="0.3">
      <c r="A27" s="29">
        <v>45632</v>
      </c>
      <c r="B27" s="9" t="s">
        <v>40</v>
      </c>
      <c r="C27" s="9" t="s">
        <v>25</v>
      </c>
      <c r="D27" s="10">
        <v>60</v>
      </c>
      <c r="E27" s="17">
        <v>4050</v>
      </c>
      <c r="F27" s="17">
        <v>27000</v>
      </c>
      <c r="G27" s="45">
        <v>4050</v>
      </c>
      <c r="H27" s="17">
        <f t="shared" si="0"/>
        <v>243000</v>
      </c>
      <c r="J27" s="18">
        <v>0.15</v>
      </c>
    </row>
    <row r="28" spans="1:10" x14ac:dyDescent="0.3">
      <c r="A28" s="29">
        <v>45632</v>
      </c>
      <c r="B28" s="9" t="s">
        <v>42</v>
      </c>
      <c r="C28" s="9" t="s">
        <v>1</v>
      </c>
      <c r="D28" s="10">
        <v>10</v>
      </c>
      <c r="E28" s="17">
        <v>25000</v>
      </c>
      <c r="F28" s="17">
        <v>25000</v>
      </c>
      <c r="G28" s="22">
        <v>25000</v>
      </c>
      <c r="H28" s="17">
        <f t="shared" si="0"/>
        <v>250000</v>
      </c>
    </row>
    <row r="29" spans="1:10" x14ac:dyDescent="0.3">
      <c r="A29" s="29">
        <v>45632</v>
      </c>
      <c r="B29" s="9" t="s">
        <v>45</v>
      </c>
      <c r="C29" s="9" t="s">
        <v>22</v>
      </c>
      <c r="D29" s="10">
        <v>200</v>
      </c>
      <c r="E29" s="17">
        <v>1900</v>
      </c>
      <c r="F29" s="17">
        <v>1900</v>
      </c>
      <c r="G29" s="22">
        <v>1900</v>
      </c>
      <c r="H29" s="17">
        <f t="shared" si="0"/>
        <v>380000</v>
      </c>
    </row>
    <row r="30" spans="1:10" x14ac:dyDescent="0.3">
      <c r="A30" s="29">
        <v>45632</v>
      </c>
      <c r="B30" s="9" t="s">
        <v>46</v>
      </c>
      <c r="C30" s="9" t="s">
        <v>1</v>
      </c>
      <c r="D30" s="10">
        <v>20</v>
      </c>
      <c r="E30" s="17">
        <v>54000</v>
      </c>
      <c r="F30" s="17">
        <v>54000</v>
      </c>
      <c r="G30" s="22">
        <v>54000</v>
      </c>
      <c r="H30" s="17">
        <f t="shared" si="0"/>
        <v>1080000</v>
      </c>
    </row>
    <row r="31" spans="1:10" x14ac:dyDescent="0.3">
      <c r="A31" s="29">
        <v>45632</v>
      </c>
      <c r="B31" s="9" t="s">
        <v>70</v>
      </c>
      <c r="C31" s="9" t="s">
        <v>11</v>
      </c>
      <c r="D31" s="10">
        <v>20</v>
      </c>
      <c r="E31" s="17">
        <v>7233.333333333333</v>
      </c>
      <c r="F31" s="17" t="e">
        <v>#N/A</v>
      </c>
      <c r="G31" s="22">
        <f>20666.6666666667*0.35</f>
        <v>7233.3333333333449</v>
      </c>
      <c r="H31" s="17">
        <f t="shared" si="0"/>
        <v>144666.66666666689</v>
      </c>
    </row>
    <row r="32" spans="1:10" x14ac:dyDescent="0.3">
      <c r="A32" s="29">
        <v>45632</v>
      </c>
      <c r="B32" s="9" t="s">
        <v>64</v>
      </c>
      <c r="C32" s="9" t="s">
        <v>1</v>
      </c>
      <c r="D32" s="10">
        <v>40</v>
      </c>
      <c r="E32" s="17">
        <v>50000</v>
      </c>
      <c r="F32" s="17">
        <v>50000</v>
      </c>
      <c r="G32" s="22">
        <v>50000</v>
      </c>
      <c r="H32" s="17">
        <f t="shared" si="0"/>
        <v>2000000</v>
      </c>
    </row>
    <row r="33" spans="1:10" x14ac:dyDescent="0.3">
      <c r="A33" s="29">
        <v>45632</v>
      </c>
      <c r="B33" s="9" t="s">
        <v>47</v>
      </c>
      <c r="C33" s="9" t="s">
        <v>7</v>
      </c>
      <c r="D33" s="10">
        <v>400</v>
      </c>
      <c r="E33" s="17">
        <v>6000</v>
      </c>
      <c r="F33" s="17">
        <v>24000</v>
      </c>
      <c r="G33" s="45">
        <v>6000</v>
      </c>
      <c r="H33" s="17">
        <f t="shared" si="0"/>
        <v>2400000</v>
      </c>
      <c r="J33" s="18">
        <v>0.25</v>
      </c>
    </row>
    <row r="34" spans="1:10" x14ac:dyDescent="0.3">
      <c r="A34" s="29">
        <v>45632</v>
      </c>
      <c r="B34" s="9" t="s">
        <v>48</v>
      </c>
      <c r="C34" s="9" t="s">
        <v>1</v>
      </c>
      <c r="D34" s="10">
        <v>9</v>
      </c>
      <c r="E34" s="17">
        <v>49000</v>
      </c>
      <c r="F34" s="17">
        <v>49000</v>
      </c>
      <c r="G34" s="22">
        <v>49000</v>
      </c>
      <c r="H34" s="17">
        <f t="shared" si="0"/>
        <v>441000</v>
      </c>
    </row>
    <row r="35" spans="1:10" x14ac:dyDescent="0.3">
      <c r="A35" s="29">
        <v>45632</v>
      </c>
      <c r="B35" s="9" t="s">
        <v>50</v>
      </c>
      <c r="C35" s="9" t="s">
        <v>7</v>
      </c>
      <c r="D35" s="10">
        <v>160</v>
      </c>
      <c r="E35" s="17">
        <v>3250</v>
      </c>
      <c r="F35" s="17">
        <v>13000</v>
      </c>
      <c r="G35" s="45">
        <v>3250</v>
      </c>
      <c r="H35" s="17">
        <f t="shared" si="0"/>
        <v>520000</v>
      </c>
      <c r="J35" s="18">
        <v>0.25</v>
      </c>
    </row>
    <row r="36" spans="1:10" x14ac:dyDescent="0.3">
      <c r="A36" s="29">
        <v>45632</v>
      </c>
      <c r="B36" s="9" t="s">
        <v>52</v>
      </c>
      <c r="C36" s="9" t="s">
        <v>22</v>
      </c>
      <c r="D36" s="10">
        <v>325</v>
      </c>
      <c r="E36" s="17">
        <v>18000</v>
      </c>
      <c r="F36" s="17">
        <v>18000</v>
      </c>
      <c r="G36" s="22">
        <v>18000</v>
      </c>
      <c r="H36" s="17">
        <f t="shared" si="0"/>
        <v>5850000</v>
      </c>
    </row>
    <row r="37" spans="1:10" x14ac:dyDescent="0.3">
      <c r="A37" s="29">
        <v>45632</v>
      </c>
      <c r="B37" s="9" t="s">
        <v>53</v>
      </c>
      <c r="C37" s="9" t="s">
        <v>1</v>
      </c>
      <c r="D37" s="10">
        <v>10</v>
      </c>
      <c r="E37" s="17">
        <v>35000</v>
      </c>
      <c r="F37" s="17">
        <v>35000</v>
      </c>
      <c r="G37" s="22">
        <v>35000</v>
      </c>
      <c r="H37" s="17">
        <f t="shared" si="0"/>
        <v>350000</v>
      </c>
    </row>
    <row r="38" spans="1:10" x14ac:dyDescent="0.3">
      <c r="A38" s="29">
        <v>45632</v>
      </c>
      <c r="B38" s="9" t="s">
        <v>75</v>
      </c>
      <c r="C38" s="9" t="s">
        <v>1</v>
      </c>
      <c r="D38" s="10">
        <v>0</v>
      </c>
      <c r="E38" s="17">
        <v>58000</v>
      </c>
      <c r="F38" s="17" t="e">
        <v>#N/A</v>
      </c>
      <c r="G38" s="22">
        <v>58000</v>
      </c>
      <c r="H38" s="17">
        <f t="shared" si="0"/>
        <v>0</v>
      </c>
    </row>
    <row r="39" spans="1:10" x14ac:dyDescent="0.3">
      <c r="A39" s="29">
        <v>45632</v>
      </c>
      <c r="B39" s="9" t="s">
        <v>54</v>
      </c>
      <c r="C39" s="9" t="s">
        <v>1</v>
      </c>
      <c r="D39" s="10">
        <v>120</v>
      </c>
      <c r="E39" s="17">
        <v>10000</v>
      </c>
      <c r="F39" s="17">
        <v>10000</v>
      </c>
      <c r="G39" s="22">
        <v>10000</v>
      </c>
      <c r="H39" s="17">
        <f t="shared" si="0"/>
        <v>1200000</v>
      </c>
    </row>
    <row r="40" spans="1:10" x14ac:dyDescent="0.3">
      <c r="A40" s="29">
        <v>45632</v>
      </c>
      <c r="B40" s="9" t="s">
        <v>66</v>
      </c>
      <c r="C40" s="9" t="s">
        <v>1</v>
      </c>
      <c r="D40" s="10">
        <v>60</v>
      </c>
      <c r="E40" s="17">
        <v>28000</v>
      </c>
      <c r="F40" s="17" t="e">
        <v>#N/A</v>
      </c>
      <c r="G40" s="22">
        <v>28000</v>
      </c>
      <c r="H40" s="17">
        <f t="shared" si="0"/>
        <v>1680000</v>
      </c>
    </row>
    <row r="41" spans="1:10" x14ac:dyDescent="0.3">
      <c r="A41" s="29">
        <v>45632</v>
      </c>
      <c r="B41" s="9" t="s">
        <v>58</v>
      </c>
      <c r="C41" s="9" t="s">
        <v>1</v>
      </c>
      <c r="D41" s="10">
        <v>30</v>
      </c>
      <c r="E41" s="17">
        <v>22000</v>
      </c>
      <c r="F41" s="17">
        <v>22000</v>
      </c>
      <c r="G41" s="22">
        <v>22000</v>
      </c>
      <c r="H41" s="17">
        <f t="shared" si="0"/>
        <v>660000</v>
      </c>
    </row>
  </sheetData>
  <autoFilter ref="A2:F41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4"/>
  <dimension ref="A1:J47"/>
  <sheetViews>
    <sheetView topLeftCell="A25" workbookViewId="0">
      <selection activeCell="I12" sqref="I12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2.5546875" style="18" bestFit="1" customWidth="1"/>
    <col min="9" max="9" width="12.5546875" style="18" customWidth="1"/>
    <col min="10" max="16384" width="8.88671875" style="18"/>
  </cols>
  <sheetData>
    <row r="1" spans="1:10" ht="15.6" x14ac:dyDescent="0.3">
      <c r="B1" s="18" t="s">
        <v>62</v>
      </c>
      <c r="C1" s="24">
        <v>45631</v>
      </c>
      <c r="E1" s="25"/>
      <c r="F1" s="25"/>
      <c r="G1" s="26"/>
      <c r="H1" s="43">
        <f>SUM(H3:H47)</f>
        <v>54761333.333333328</v>
      </c>
      <c r="I1" s="41"/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45631</v>
      </c>
      <c r="B3" s="9" t="s">
        <v>65</v>
      </c>
      <c r="C3" s="9" t="s">
        <v>7</v>
      </c>
      <c r="D3" s="10">
        <v>50</v>
      </c>
      <c r="E3" s="17">
        <v>5000</v>
      </c>
      <c r="F3" s="17">
        <v>10000</v>
      </c>
      <c r="G3" s="45">
        <v>5000</v>
      </c>
      <c r="H3" s="40">
        <f>D3*G3</f>
        <v>250000</v>
      </c>
      <c r="I3" s="42"/>
      <c r="J3" s="18">
        <v>0.5</v>
      </c>
    </row>
    <row r="4" spans="1:10" x14ac:dyDescent="0.3">
      <c r="A4" s="29">
        <v>45631</v>
      </c>
      <c r="B4" s="9" t="s">
        <v>3</v>
      </c>
      <c r="C4" s="9" t="s">
        <v>7</v>
      </c>
      <c r="D4" s="10">
        <v>400</v>
      </c>
      <c r="E4" s="17">
        <v>3000</v>
      </c>
      <c r="F4" s="17">
        <v>10000</v>
      </c>
      <c r="G4" s="45">
        <v>3000</v>
      </c>
      <c r="H4" s="40">
        <f t="shared" ref="H4:H47" si="0">D4*G4</f>
        <v>1200000</v>
      </c>
      <c r="I4" s="42"/>
      <c r="J4" s="18">
        <v>0.3</v>
      </c>
    </row>
    <row r="5" spans="1:10" x14ac:dyDescent="0.3">
      <c r="A5" s="29">
        <v>45631</v>
      </c>
      <c r="B5" s="9" t="s">
        <v>6</v>
      </c>
      <c r="C5" s="9" t="s">
        <v>1</v>
      </c>
      <c r="D5" s="10">
        <v>60</v>
      </c>
      <c r="E5" s="17">
        <v>50000</v>
      </c>
      <c r="F5" s="17">
        <v>50000</v>
      </c>
      <c r="G5" s="22">
        <v>50000</v>
      </c>
      <c r="H5" s="40">
        <f t="shared" si="0"/>
        <v>3000000</v>
      </c>
      <c r="I5" s="42"/>
    </row>
    <row r="6" spans="1:10" x14ac:dyDescent="0.3">
      <c r="A6" s="29">
        <v>45631</v>
      </c>
      <c r="B6" s="9" t="s">
        <v>68</v>
      </c>
      <c r="C6" s="9" t="s">
        <v>1</v>
      </c>
      <c r="D6" s="10">
        <v>30</v>
      </c>
      <c r="E6" s="17">
        <v>28000</v>
      </c>
      <c r="F6" s="17">
        <v>28000</v>
      </c>
      <c r="G6" s="22">
        <v>28000</v>
      </c>
      <c r="H6" s="40">
        <f t="shared" si="0"/>
        <v>840000</v>
      </c>
      <c r="I6" s="42"/>
    </row>
    <row r="7" spans="1:10" x14ac:dyDescent="0.3">
      <c r="A7" s="29">
        <v>45631</v>
      </c>
      <c r="B7" s="9" t="s">
        <v>9</v>
      </c>
      <c r="C7" s="9" t="s">
        <v>1</v>
      </c>
      <c r="D7" s="10">
        <v>150</v>
      </c>
      <c r="E7" s="17">
        <v>24000</v>
      </c>
      <c r="F7" s="17">
        <v>24000</v>
      </c>
      <c r="G7" s="22">
        <v>24000</v>
      </c>
      <c r="H7" s="40">
        <f t="shared" si="0"/>
        <v>3600000</v>
      </c>
      <c r="I7" s="42"/>
    </row>
    <row r="8" spans="1:10" x14ac:dyDescent="0.3">
      <c r="A8" s="29">
        <v>45631</v>
      </c>
      <c r="B8" s="9" t="s">
        <v>10</v>
      </c>
      <c r="C8" s="9" t="s">
        <v>12</v>
      </c>
      <c r="D8" s="10">
        <v>200</v>
      </c>
      <c r="E8" s="17">
        <v>9000</v>
      </c>
      <c r="F8" s="17">
        <v>18000</v>
      </c>
      <c r="G8" s="45">
        <v>9000</v>
      </c>
      <c r="H8" s="40">
        <f t="shared" si="0"/>
        <v>1800000</v>
      </c>
      <c r="I8" s="42"/>
      <c r="J8" s="18">
        <v>0.5</v>
      </c>
    </row>
    <row r="9" spans="1:10" x14ac:dyDescent="0.3">
      <c r="A9" s="29">
        <v>45631</v>
      </c>
      <c r="B9" s="9" t="s">
        <v>15</v>
      </c>
      <c r="C9" s="9" t="s">
        <v>16</v>
      </c>
      <c r="D9" s="10">
        <v>60</v>
      </c>
      <c r="E9" s="17">
        <v>16650</v>
      </c>
      <c r="F9" s="17">
        <v>55500</v>
      </c>
      <c r="G9" s="45">
        <v>16650</v>
      </c>
      <c r="H9" s="40">
        <f t="shared" si="0"/>
        <v>999000</v>
      </c>
      <c r="I9" s="42"/>
      <c r="J9" s="18">
        <v>0.3</v>
      </c>
    </row>
    <row r="10" spans="1:10" x14ac:dyDescent="0.3">
      <c r="A10" s="29">
        <v>45631</v>
      </c>
      <c r="B10" s="9" t="s">
        <v>17</v>
      </c>
      <c r="C10" s="9" t="s">
        <v>14</v>
      </c>
      <c r="D10" s="10">
        <v>95</v>
      </c>
      <c r="E10" s="17">
        <v>12000</v>
      </c>
      <c r="F10" s="17">
        <v>12000</v>
      </c>
      <c r="G10" s="61">
        <v>12000</v>
      </c>
      <c r="H10" s="40">
        <f t="shared" si="0"/>
        <v>1140000</v>
      </c>
      <c r="I10" s="42"/>
      <c r="J10" s="18">
        <v>1</v>
      </c>
    </row>
    <row r="11" spans="1:10" x14ac:dyDescent="0.3">
      <c r="A11" s="29">
        <v>45631</v>
      </c>
      <c r="B11" s="9" t="s">
        <v>20</v>
      </c>
      <c r="C11" s="9" t="s">
        <v>11</v>
      </c>
      <c r="D11" s="10">
        <v>97</v>
      </c>
      <c r="E11" s="17">
        <v>8000</v>
      </c>
      <c r="F11" s="17">
        <v>40000</v>
      </c>
      <c r="G11" s="45">
        <v>8000</v>
      </c>
      <c r="H11" s="40">
        <f t="shared" si="0"/>
        <v>776000</v>
      </c>
      <c r="I11" s="42"/>
      <c r="J11" s="18">
        <v>0.2</v>
      </c>
    </row>
    <row r="12" spans="1:10" x14ac:dyDescent="0.3">
      <c r="A12" s="29">
        <v>45631</v>
      </c>
      <c r="B12" s="9" t="s">
        <v>21</v>
      </c>
      <c r="C12" s="9" t="s">
        <v>22</v>
      </c>
      <c r="D12" s="10">
        <v>100</v>
      </c>
      <c r="E12" s="17">
        <v>4800</v>
      </c>
      <c r="F12" s="17">
        <v>16000</v>
      </c>
      <c r="G12" s="45">
        <v>4800</v>
      </c>
      <c r="H12" s="40">
        <f t="shared" si="0"/>
        <v>480000</v>
      </c>
      <c r="I12" s="42"/>
      <c r="J12" s="18">
        <v>0.3</v>
      </c>
    </row>
    <row r="13" spans="1:10" x14ac:dyDescent="0.3">
      <c r="A13" s="29">
        <v>45631</v>
      </c>
      <c r="B13" s="9" t="s">
        <v>21</v>
      </c>
      <c r="C13" s="9" t="s">
        <v>23</v>
      </c>
      <c r="D13" s="10">
        <v>20</v>
      </c>
      <c r="E13" s="17">
        <v>2400</v>
      </c>
      <c r="F13" s="17">
        <v>16000</v>
      </c>
      <c r="G13" s="45">
        <v>2400</v>
      </c>
      <c r="H13" s="40">
        <f t="shared" si="0"/>
        <v>48000</v>
      </c>
      <c r="I13" s="42"/>
      <c r="J13" s="18">
        <v>0.15</v>
      </c>
    </row>
    <row r="14" spans="1:10" x14ac:dyDescent="0.3">
      <c r="A14" s="29">
        <v>45631</v>
      </c>
      <c r="B14" s="9" t="s">
        <v>24</v>
      </c>
      <c r="C14" s="9" t="s">
        <v>25</v>
      </c>
      <c r="D14" s="10">
        <v>200</v>
      </c>
      <c r="E14" s="17">
        <v>10000</v>
      </c>
      <c r="F14" s="17">
        <v>20000</v>
      </c>
      <c r="G14" s="45">
        <v>10000</v>
      </c>
      <c r="H14" s="40">
        <f t="shared" si="0"/>
        <v>2000000</v>
      </c>
      <c r="I14" s="42"/>
      <c r="J14" s="18">
        <v>0.5</v>
      </c>
    </row>
    <row r="15" spans="1:10" x14ac:dyDescent="0.3">
      <c r="A15" s="29">
        <v>45631</v>
      </c>
      <c r="B15" s="9" t="s">
        <v>27</v>
      </c>
      <c r="C15" s="9" t="s">
        <v>16</v>
      </c>
      <c r="D15" s="10">
        <v>20</v>
      </c>
      <c r="E15" s="17">
        <v>8500</v>
      </c>
      <c r="F15" s="17" t="e">
        <v>#N/A</v>
      </c>
      <c r="G15" s="22">
        <v>8500</v>
      </c>
      <c r="H15" s="40">
        <f t="shared" si="0"/>
        <v>170000</v>
      </c>
      <c r="I15" s="42"/>
    </row>
    <row r="16" spans="1:10" x14ac:dyDescent="0.3">
      <c r="A16" s="29">
        <v>45631</v>
      </c>
      <c r="B16" s="9" t="s">
        <v>74</v>
      </c>
      <c r="C16" s="9" t="s">
        <v>1</v>
      </c>
      <c r="D16" s="10">
        <v>30</v>
      </c>
      <c r="E16" s="17">
        <v>17000</v>
      </c>
      <c r="F16" s="17">
        <v>17000</v>
      </c>
      <c r="G16" s="22">
        <v>17000</v>
      </c>
      <c r="H16" s="40">
        <f t="shared" si="0"/>
        <v>510000</v>
      </c>
      <c r="I16" s="42"/>
    </row>
    <row r="17" spans="1:10" x14ac:dyDescent="0.3">
      <c r="A17" s="29">
        <v>45631</v>
      </c>
      <c r="B17" s="9" t="s">
        <v>29</v>
      </c>
      <c r="C17" s="9" t="s">
        <v>1</v>
      </c>
      <c r="D17" s="10">
        <v>50</v>
      </c>
      <c r="E17" s="17">
        <v>20500</v>
      </c>
      <c r="F17" s="17">
        <v>20500</v>
      </c>
      <c r="G17" s="22">
        <v>20500</v>
      </c>
      <c r="H17" s="40">
        <f t="shared" si="0"/>
        <v>1025000</v>
      </c>
      <c r="I17" s="42"/>
    </row>
    <row r="18" spans="1:10" x14ac:dyDescent="0.3">
      <c r="A18" s="29">
        <v>45631</v>
      </c>
      <c r="B18" s="9" t="s">
        <v>30</v>
      </c>
      <c r="C18" s="9" t="s">
        <v>1</v>
      </c>
      <c r="D18" s="10">
        <v>150</v>
      </c>
      <c r="E18" s="17">
        <v>27000</v>
      </c>
      <c r="F18" s="17">
        <v>27000</v>
      </c>
      <c r="G18" s="22">
        <v>27000</v>
      </c>
      <c r="H18" s="40">
        <f t="shared" si="0"/>
        <v>4050000</v>
      </c>
      <c r="I18" s="42"/>
    </row>
    <row r="19" spans="1:10" x14ac:dyDescent="0.3">
      <c r="A19" s="29">
        <v>45631</v>
      </c>
      <c r="B19" s="9" t="s">
        <v>31</v>
      </c>
      <c r="C19" s="9" t="s">
        <v>1</v>
      </c>
      <c r="D19" s="10">
        <v>80</v>
      </c>
      <c r="E19" s="17">
        <v>17000</v>
      </c>
      <c r="F19" s="17">
        <v>17000</v>
      </c>
      <c r="G19" s="22">
        <v>17000</v>
      </c>
      <c r="H19" s="40">
        <f t="shared" si="0"/>
        <v>1360000</v>
      </c>
      <c r="I19" s="42"/>
    </row>
    <row r="20" spans="1:10" x14ac:dyDescent="0.3">
      <c r="A20" s="29">
        <v>45631</v>
      </c>
      <c r="B20" s="9" t="s">
        <v>32</v>
      </c>
      <c r="C20" s="9" t="s">
        <v>1</v>
      </c>
      <c r="D20" s="10">
        <v>30</v>
      </c>
      <c r="E20" s="17">
        <v>25000</v>
      </c>
      <c r="F20" s="17" t="e">
        <v>#N/A</v>
      </c>
      <c r="G20" s="22">
        <v>25000</v>
      </c>
      <c r="H20" s="40">
        <f t="shared" si="0"/>
        <v>750000</v>
      </c>
      <c r="I20" s="42"/>
    </row>
    <row r="21" spans="1:10" x14ac:dyDescent="0.3">
      <c r="A21" s="29">
        <v>45631</v>
      </c>
      <c r="B21" s="9" t="s">
        <v>139</v>
      </c>
      <c r="C21" s="9" t="s">
        <v>1</v>
      </c>
      <c r="D21" s="10">
        <v>50</v>
      </c>
      <c r="E21" s="17">
        <v>18000</v>
      </c>
      <c r="F21" s="17">
        <v>18000</v>
      </c>
      <c r="G21" s="22">
        <v>18000</v>
      </c>
      <c r="H21" s="40">
        <f t="shared" si="0"/>
        <v>900000</v>
      </c>
      <c r="I21" s="42"/>
    </row>
    <row r="22" spans="1:10" x14ac:dyDescent="0.3">
      <c r="A22" s="29">
        <v>45631</v>
      </c>
      <c r="B22" s="9" t="s">
        <v>33</v>
      </c>
      <c r="C22" s="9" t="s">
        <v>22</v>
      </c>
      <c r="D22" s="10">
        <v>15</v>
      </c>
      <c r="E22" s="17">
        <v>6000</v>
      </c>
      <c r="F22" s="17">
        <v>6000</v>
      </c>
      <c r="G22" s="22">
        <v>6000</v>
      </c>
      <c r="H22" s="40">
        <f t="shared" si="0"/>
        <v>90000</v>
      </c>
      <c r="I22" s="42"/>
    </row>
    <row r="23" spans="1:10" x14ac:dyDescent="0.3">
      <c r="A23" s="29">
        <v>45631</v>
      </c>
      <c r="B23" s="9" t="s">
        <v>34</v>
      </c>
      <c r="C23" s="9" t="s">
        <v>36</v>
      </c>
      <c r="D23" s="10">
        <v>20</v>
      </c>
      <c r="E23" s="17">
        <v>7000</v>
      </c>
      <c r="F23" s="17">
        <v>7000</v>
      </c>
      <c r="G23" s="22">
        <v>7000</v>
      </c>
      <c r="H23" s="40">
        <f t="shared" si="0"/>
        <v>140000</v>
      </c>
      <c r="I23" s="42"/>
    </row>
    <row r="24" spans="1:10" x14ac:dyDescent="0.3">
      <c r="A24" s="29">
        <v>45631</v>
      </c>
      <c r="B24" s="9" t="s">
        <v>37</v>
      </c>
      <c r="C24" s="9" t="s">
        <v>11</v>
      </c>
      <c r="D24" s="10">
        <v>781</v>
      </c>
      <c r="E24" s="17">
        <v>5000</v>
      </c>
      <c r="F24" s="17">
        <v>5000</v>
      </c>
      <c r="G24" s="22">
        <v>5000</v>
      </c>
      <c r="H24" s="40">
        <f t="shared" si="0"/>
        <v>3905000</v>
      </c>
      <c r="I24" s="42"/>
    </row>
    <row r="25" spans="1:10" x14ac:dyDescent="0.3">
      <c r="A25" s="29">
        <v>45631</v>
      </c>
      <c r="B25" s="9" t="s">
        <v>39</v>
      </c>
      <c r="C25" s="9" t="s">
        <v>1</v>
      </c>
      <c r="D25" s="10">
        <v>40</v>
      </c>
      <c r="E25" s="17">
        <v>4000</v>
      </c>
      <c r="F25" s="17">
        <v>4000</v>
      </c>
      <c r="G25" s="22">
        <v>4000</v>
      </c>
      <c r="H25" s="40">
        <f t="shared" si="0"/>
        <v>160000</v>
      </c>
      <c r="I25" s="42"/>
    </row>
    <row r="26" spans="1:10" x14ac:dyDescent="0.3">
      <c r="A26" s="29">
        <v>45631</v>
      </c>
      <c r="B26" s="9" t="s">
        <v>42</v>
      </c>
      <c r="C26" s="9" t="s">
        <v>1</v>
      </c>
      <c r="D26" s="10">
        <v>15</v>
      </c>
      <c r="E26" s="17">
        <v>25000</v>
      </c>
      <c r="F26" s="17">
        <v>25000</v>
      </c>
      <c r="G26" s="22">
        <v>25000</v>
      </c>
      <c r="H26" s="40">
        <f t="shared" si="0"/>
        <v>375000</v>
      </c>
      <c r="I26" s="42"/>
    </row>
    <row r="27" spans="1:10" x14ac:dyDescent="0.3">
      <c r="A27" s="29">
        <v>45631</v>
      </c>
      <c r="B27" s="9" t="s">
        <v>43</v>
      </c>
      <c r="C27" s="9" t="s">
        <v>1</v>
      </c>
      <c r="D27" s="10">
        <v>1</v>
      </c>
      <c r="E27" s="17">
        <v>100000</v>
      </c>
      <c r="F27" s="17">
        <v>100000</v>
      </c>
      <c r="G27" s="22">
        <v>100000</v>
      </c>
      <c r="H27" s="40">
        <f t="shared" si="0"/>
        <v>100000</v>
      </c>
      <c r="I27" s="42"/>
    </row>
    <row r="28" spans="1:10" x14ac:dyDescent="0.3">
      <c r="A28" s="29">
        <v>45631</v>
      </c>
      <c r="B28" s="9" t="s">
        <v>45</v>
      </c>
      <c r="C28" s="9" t="s">
        <v>22</v>
      </c>
      <c r="D28" s="10">
        <v>360</v>
      </c>
      <c r="E28" s="17">
        <v>1800</v>
      </c>
      <c r="F28" s="17">
        <v>36000</v>
      </c>
      <c r="G28" s="45">
        <v>1800</v>
      </c>
      <c r="H28" s="40">
        <f t="shared" si="0"/>
        <v>648000</v>
      </c>
      <c r="I28" s="42"/>
      <c r="J28" s="18">
        <v>0.05</v>
      </c>
    </row>
    <row r="29" spans="1:10" x14ac:dyDescent="0.3">
      <c r="A29" s="29">
        <v>45631</v>
      </c>
      <c r="B29" s="9" t="s">
        <v>46</v>
      </c>
      <c r="C29" s="9" t="s">
        <v>1</v>
      </c>
      <c r="D29" s="10">
        <v>30</v>
      </c>
      <c r="E29" s="17">
        <v>56000</v>
      </c>
      <c r="F29" s="17">
        <v>56000</v>
      </c>
      <c r="G29" s="22">
        <v>56000</v>
      </c>
      <c r="H29" s="40">
        <f t="shared" si="0"/>
        <v>1680000</v>
      </c>
      <c r="I29" s="42"/>
    </row>
    <row r="30" spans="1:10" x14ac:dyDescent="0.3">
      <c r="A30" s="29">
        <v>45631</v>
      </c>
      <c r="B30" s="9" t="s">
        <v>70</v>
      </c>
      <c r="C30" s="9" t="s">
        <v>11</v>
      </c>
      <c r="D30" s="10">
        <v>20</v>
      </c>
      <c r="E30" s="17">
        <v>7816.6666666666661</v>
      </c>
      <c r="F30" s="17" t="e">
        <v>#N/A</v>
      </c>
      <c r="G30" s="45">
        <f>0.35*22333.3333333333</f>
        <v>7816.6666666666542</v>
      </c>
      <c r="H30" s="40">
        <f t="shared" si="0"/>
        <v>156333.33333333308</v>
      </c>
      <c r="I30" s="42"/>
    </row>
    <row r="31" spans="1:10" x14ac:dyDescent="0.3">
      <c r="A31" s="29">
        <v>45631</v>
      </c>
      <c r="B31" s="9" t="s">
        <v>64</v>
      </c>
      <c r="C31" s="9" t="s">
        <v>1</v>
      </c>
      <c r="D31" s="10">
        <v>20</v>
      </c>
      <c r="E31" s="17">
        <v>44000</v>
      </c>
      <c r="F31" s="17">
        <v>44000</v>
      </c>
      <c r="G31" s="22">
        <v>44000</v>
      </c>
      <c r="H31" s="40">
        <f t="shared" si="0"/>
        <v>880000</v>
      </c>
      <c r="I31" s="42"/>
    </row>
    <row r="32" spans="1:10" x14ac:dyDescent="0.3">
      <c r="A32" s="29">
        <v>45631</v>
      </c>
      <c r="B32" s="9" t="s">
        <v>47</v>
      </c>
      <c r="C32" s="9" t="s">
        <v>7</v>
      </c>
      <c r="D32" s="10">
        <v>600</v>
      </c>
      <c r="E32" s="17">
        <v>6750</v>
      </c>
      <c r="F32" s="17">
        <v>27000</v>
      </c>
      <c r="G32" s="45">
        <v>6750</v>
      </c>
      <c r="H32" s="40">
        <f t="shared" si="0"/>
        <v>4050000</v>
      </c>
      <c r="I32" s="42"/>
      <c r="J32" s="18">
        <v>0.25</v>
      </c>
    </row>
    <row r="33" spans="1:10" x14ac:dyDescent="0.3">
      <c r="A33" s="29">
        <v>45631</v>
      </c>
      <c r="B33" s="9" t="s">
        <v>48</v>
      </c>
      <c r="C33" s="9" t="s">
        <v>1</v>
      </c>
      <c r="D33" s="10">
        <v>25</v>
      </c>
      <c r="E33" s="17">
        <v>49000</v>
      </c>
      <c r="F33" s="17">
        <v>49000</v>
      </c>
      <c r="G33" s="22">
        <v>49000</v>
      </c>
      <c r="H33" s="40">
        <f t="shared" si="0"/>
        <v>1225000</v>
      </c>
      <c r="I33" s="42"/>
    </row>
    <row r="34" spans="1:10" x14ac:dyDescent="0.3">
      <c r="A34" s="29">
        <v>45631</v>
      </c>
      <c r="B34" s="9" t="s">
        <v>50</v>
      </c>
      <c r="C34" s="9" t="s">
        <v>7</v>
      </c>
      <c r="D34" s="10">
        <v>330</v>
      </c>
      <c r="E34" s="17">
        <v>3750</v>
      </c>
      <c r="F34" s="17">
        <v>15000</v>
      </c>
      <c r="G34" s="45">
        <v>3750</v>
      </c>
      <c r="H34" s="40">
        <f t="shared" si="0"/>
        <v>1237500</v>
      </c>
      <c r="I34" s="42"/>
      <c r="J34" s="18">
        <v>0.25</v>
      </c>
    </row>
    <row r="35" spans="1:10" x14ac:dyDescent="0.3">
      <c r="A35" s="29">
        <v>45631</v>
      </c>
      <c r="B35" s="9" t="s">
        <v>51</v>
      </c>
      <c r="C35" s="9" t="s">
        <v>7</v>
      </c>
      <c r="D35" s="10">
        <v>150</v>
      </c>
      <c r="E35" s="17">
        <v>6250</v>
      </c>
      <c r="F35" s="17">
        <v>25000</v>
      </c>
      <c r="G35" s="45">
        <v>6250</v>
      </c>
      <c r="H35" s="40">
        <f t="shared" si="0"/>
        <v>937500</v>
      </c>
      <c r="I35" s="42"/>
      <c r="J35" s="18">
        <v>0.25</v>
      </c>
    </row>
    <row r="36" spans="1:10" x14ac:dyDescent="0.3">
      <c r="A36" s="29">
        <v>45631</v>
      </c>
      <c r="B36" s="9" t="s">
        <v>52</v>
      </c>
      <c r="C36" s="9" t="s">
        <v>22</v>
      </c>
      <c r="D36" s="10">
        <v>250</v>
      </c>
      <c r="E36" s="17">
        <v>17500</v>
      </c>
      <c r="F36" s="17">
        <v>60000</v>
      </c>
      <c r="G36" s="22">
        <v>17500</v>
      </c>
      <c r="H36" s="40">
        <f t="shared" si="0"/>
        <v>4375000</v>
      </c>
      <c r="I36" s="42"/>
    </row>
    <row r="37" spans="1:10" x14ac:dyDescent="0.3">
      <c r="A37" s="29">
        <v>45631</v>
      </c>
      <c r="B37" s="9" t="s">
        <v>53</v>
      </c>
      <c r="C37" s="9" t="s">
        <v>1</v>
      </c>
      <c r="D37" s="10">
        <v>10</v>
      </c>
      <c r="E37" s="17">
        <v>35000</v>
      </c>
      <c r="F37" s="17">
        <v>35000</v>
      </c>
      <c r="G37" s="22">
        <v>35000</v>
      </c>
      <c r="H37" s="40">
        <f t="shared" si="0"/>
        <v>350000</v>
      </c>
      <c r="I37" s="42"/>
    </row>
    <row r="38" spans="1:10" x14ac:dyDescent="0.3">
      <c r="A38" s="29">
        <v>45631</v>
      </c>
      <c r="B38" s="9" t="s">
        <v>76</v>
      </c>
      <c r="C38" s="9" t="s">
        <v>1</v>
      </c>
      <c r="D38" s="10">
        <v>10</v>
      </c>
      <c r="E38" s="17">
        <v>35000</v>
      </c>
      <c r="F38" s="17">
        <v>35000</v>
      </c>
      <c r="G38" s="22">
        <v>35000</v>
      </c>
      <c r="H38" s="40">
        <f t="shared" si="0"/>
        <v>350000</v>
      </c>
      <c r="I38" s="42"/>
    </row>
    <row r="39" spans="1:10" x14ac:dyDescent="0.3">
      <c r="A39" s="29">
        <v>45631</v>
      </c>
      <c r="B39" s="9" t="s">
        <v>54</v>
      </c>
      <c r="C39" s="9" t="s">
        <v>1</v>
      </c>
      <c r="D39" s="10">
        <v>80</v>
      </c>
      <c r="E39" s="17">
        <v>10000</v>
      </c>
      <c r="F39" s="17">
        <v>10000</v>
      </c>
      <c r="G39" s="22">
        <v>10000</v>
      </c>
      <c r="H39" s="40">
        <f t="shared" si="0"/>
        <v>800000</v>
      </c>
      <c r="I39" s="42"/>
    </row>
    <row r="40" spans="1:10" x14ac:dyDescent="0.3">
      <c r="A40" s="29">
        <v>45631</v>
      </c>
      <c r="B40" s="9" t="s">
        <v>55</v>
      </c>
      <c r="C40" s="9" t="s">
        <v>25</v>
      </c>
      <c r="D40" s="10">
        <v>50</v>
      </c>
      <c r="E40" s="17">
        <v>6800</v>
      </c>
      <c r="F40" s="17">
        <v>6800</v>
      </c>
      <c r="G40" s="22">
        <v>6800</v>
      </c>
      <c r="H40" s="40">
        <f t="shared" si="0"/>
        <v>340000</v>
      </c>
      <c r="I40" s="42"/>
    </row>
    <row r="41" spans="1:10" x14ac:dyDescent="0.3">
      <c r="A41" s="29">
        <v>45631</v>
      </c>
      <c r="B41" s="9" t="s">
        <v>56</v>
      </c>
      <c r="C41" s="9" t="s">
        <v>1</v>
      </c>
      <c r="D41" s="10">
        <v>50</v>
      </c>
      <c r="E41" s="17">
        <v>28000</v>
      </c>
      <c r="F41" s="17">
        <v>28000</v>
      </c>
      <c r="G41" s="22">
        <v>28000</v>
      </c>
      <c r="H41" s="40">
        <f t="shared" si="0"/>
        <v>1400000</v>
      </c>
      <c r="I41" s="42"/>
    </row>
    <row r="42" spans="1:10" x14ac:dyDescent="0.3">
      <c r="A42" s="29">
        <v>45631</v>
      </c>
      <c r="B42" s="9" t="s">
        <v>57</v>
      </c>
      <c r="C42" s="9" t="s">
        <v>25</v>
      </c>
      <c r="D42" s="10">
        <v>50</v>
      </c>
      <c r="E42" s="17">
        <v>6800</v>
      </c>
      <c r="F42" s="17">
        <v>6800</v>
      </c>
      <c r="G42" s="22">
        <v>6800</v>
      </c>
      <c r="H42" s="40">
        <f t="shared" si="0"/>
        <v>340000</v>
      </c>
      <c r="I42" s="42"/>
    </row>
    <row r="43" spans="1:10" x14ac:dyDescent="0.3">
      <c r="A43" s="29">
        <v>45631</v>
      </c>
      <c r="B43" s="9" t="s">
        <v>58</v>
      </c>
      <c r="C43" s="9" t="s">
        <v>1</v>
      </c>
      <c r="D43" s="10">
        <v>20</v>
      </c>
      <c r="E43" s="17">
        <v>22000</v>
      </c>
      <c r="F43" s="17">
        <v>22000</v>
      </c>
      <c r="G43" s="22">
        <v>22000</v>
      </c>
      <c r="H43" s="40">
        <f t="shared" si="0"/>
        <v>440000</v>
      </c>
      <c r="I43" s="42"/>
    </row>
    <row r="44" spans="1:10" x14ac:dyDescent="0.3">
      <c r="A44" s="29">
        <v>45631</v>
      </c>
      <c r="B44" s="9" t="s">
        <v>60</v>
      </c>
      <c r="C44" s="9" t="s">
        <v>1</v>
      </c>
      <c r="D44" s="10">
        <v>5</v>
      </c>
      <c r="E44" s="17">
        <v>20000</v>
      </c>
      <c r="F44" s="17">
        <v>20000</v>
      </c>
      <c r="G44" s="22">
        <v>20000</v>
      </c>
      <c r="H44" s="40">
        <f t="shared" si="0"/>
        <v>100000</v>
      </c>
      <c r="I44" s="42"/>
    </row>
    <row r="45" spans="1:10" x14ac:dyDescent="0.3">
      <c r="A45" s="29">
        <v>45631</v>
      </c>
      <c r="B45" s="9" t="s">
        <v>61</v>
      </c>
      <c r="C45" s="9" t="s">
        <v>25</v>
      </c>
      <c r="D45" s="10">
        <v>5</v>
      </c>
      <c r="E45" s="17">
        <v>6800</v>
      </c>
      <c r="F45" s="17">
        <v>6800</v>
      </c>
      <c r="G45" s="22">
        <v>6800</v>
      </c>
      <c r="H45" s="40">
        <f t="shared" si="0"/>
        <v>34000</v>
      </c>
      <c r="I45" s="42"/>
    </row>
    <row r="46" spans="1:10" x14ac:dyDescent="0.3">
      <c r="A46" s="29">
        <v>45631</v>
      </c>
      <c r="B46" s="9" t="s">
        <v>41</v>
      </c>
      <c r="C46" s="9" t="s">
        <v>140</v>
      </c>
      <c r="D46" s="10">
        <v>50</v>
      </c>
      <c r="E46" s="17">
        <v>100000</v>
      </c>
      <c r="F46" s="17">
        <v>200000</v>
      </c>
      <c r="G46" s="45">
        <v>100000</v>
      </c>
      <c r="H46" s="40">
        <f t="shared" si="0"/>
        <v>5000000</v>
      </c>
      <c r="I46" s="42"/>
      <c r="J46" s="18">
        <v>0.5</v>
      </c>
    </row>
    <row r="47" spans="1:10" x14ac:dyDescent="0.3">
      <c r="A47" s="29">
        <v>45631</v>
      </c>
      <c r="B47" s="9" t="s">
        <v>37</v>
      </c>
      <c r="C47" s="9" t="s">
        <v>11</v>
      </c>
      <c r="D47" s="10">
        <v>150</v>
      </c>
      <c r="E47" s="17">
        <v>5000</v>
      </c>
      <c r="F47" s="17">
        <v>5000</v>
      </c>
      <c r="G47" s="22">
        <v>5000</v>
      </c>
      <c r="H47" s="40">
        <f t="shared" si="0"/>
        <v>750000</v>
      </c>
      <c r="I47" s="42"/>
    </row>
  </sheetData>
  <autoFilter ref="A2:F47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"/>
  <dimension ref="A1:J39"/>
  <sheetViews>
    <sheetView workbookViewId="0">
      <selection activeCell="I6" sqref="I6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3.5546875" style="21" bestFit="1" customWidth="1"/>
    <col min="9" max="9" width="26.21875" style="18" bestFit="1" customWidth="1"/>
    <col min="10" max="16384" width="8.88671875" style="18"/>
  </cols>
  <sheetData>
    <row r="1" spans="1:10" ht="15.6" x14ac:dyDescent="0.3">
      <c r="B1" s="18" t="s">
        <v>62</v>
      </c>
      <c r="C1" s="24">
        <v>45630</v>
      </c>
      <c r="E1" s="25"/>
      <c r="F1" s="25"/>
      <c r="G1" s="26"/>
      <c r="H1" s="39">
        <f>SUM(H3:H39)</f>
        <v>30078000</v>
      </c>
    </row>
    <row r="2" spans="1:10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45630</v>
      </c>
      <c r="B3" s="9" t="s">
        <v>3</v>
      </c>
      <c r="C3" s="9" t="s">
        <v>7</v>
      </c>
      <c r="D3" s="10">
        <v>200</v>
      </c>
      <c r="E3" s="17">
        <v>3000</v>
      </c>
      <c r="F3" s="17">
        <v>10000</v>
      </c>
      <c r="G3" s="45">
        <v>3000</v>
      </c>
      <c r="H3" s="17">
        <f>G3*D3</f>
        <v>600000</v>
      </c>
      <c r="J3" s="18">
        <v>0.3</v>
      </c>
    </row>
    <row r="4" spans="1:10" x14ac:dyDescent="0.3">
      <c r="A4" s="29">
        <v>45630</v>
      </c>
      <c r="B4" s="9" t="s">
        <v>6</v>
      </c>
      <c r="C4" s="9" t="s">
        <v>1</v>
      </c>
      <c r="D4" s="10">
        <v>80</v>
      </c>
      <c r="E4" s="17">
        <v>50000</v>
      </c>
      <c r="F4" s="17">
        <v>50000</v>
      </c>
      <c r="G4" s="22">
        <v>50000</v>
      </c>
      <c r="H4" s="17">
        <f t="shared" ref="H4:H39" si="0">G4*D4</f>
        <v>4000000</v>
      </c>
    </row>
    <row r="5" spans="1:10" x14ac:dyDescent="0.3">
      <c r="A5" s="29">
        <v>45630</v>
      </c>
      <c r="B5" s="9" t="s">
        <v>9</v>
      </c>
      <c r="C5" s="9" t="s">
        <v>1</v>
      </c>
      <c r="D5" s="10">
        <v>50</v>
      </c>
      <c r="E5" s="17">
        <v>23000</v>
      </c>
      <c r="F5" s="17">
        <v>23000</v>
      </c>
      <c r="G5" s="22">
        <v>23000</v>
      </c>
      <c r="H5" s="17">
        <f t="shared" si="0"/>
        <v>1150000</v>
      </c>
    </row>
    <row r="6" spans="1:10" x14ac:dyDescent="0.3">
      <c r="A6" s="29">
        <v>45630</v>
      </c>
      <c r="B6" s="9" t="s">
        <v>10</v>
      </c>
      <c r="C6" s="9" t="s">
        <v>12</v>
      </c>
      <c r="D6" s="10">
        <v>230</v>
      </c>
      <c r="E6" s="17">
        <v>10500</v>
      </c>
      <c r="F6" s="17">
        <v>21000</v>
      </c>
      <c r="G6" s="45">
        <v>10500</v>
      </c>
      <c r="H6" s="17">
        <f t="shared" si="0"/>
        <v>2415000</v>
      </c>
      <c r="J6" s="18">
        <v>0.5</v>
      </c>
    </row>
    <row r="7" spans="1:10" x14ac:dyDescent="0.3">
      <c r="A7" s="29">
        <v>45630</v>
      </c>
      <c r="B7" s="9" t="s">
        <v>13</v>
      </c>
      <c r="C7" s="9" t="s">
        <v>14</v>
      </c>
      <c r="D7" s="10">
        <v>200</v>
      </c>
      <c r="E7" s="17">
        <v>9000</v>
      </c>
      <c r="F7" s="17">
        <v>9000</v>
      </c>
      <c r="G7" s="22">
        <v>9000</v>
      </c>
      <c r="H7" s="17">
        <f t="shared" si="0"/>
        <v>1800000</v>
      </c>
    </row>
    <row r="8" spans="1:10" x14ac:dyDescent="0.3">
      <c r="A8" s="29">
        <v>45630</v>
      </c>
      <c r="B8" s="9" t="s">
        <v>18</v>
      </c>
      <c r="C8" s="9" t="s">
        <v>1</v>
      </c>
      <c r="D8" s="10">
        <v>100</v>
      </c>
      <c r="E8" s="17">
        <v>22000</v>
      </c>
      <c r="F8" s="17">
        <v>22000</v>
      </c>
      <c r="G8" s="22">
        <v>22000</v>
      </c>
      <c r="H8" s="17">
        <f t="shared" si="0"/>
        <v>2200000</v>
      </c>
    </row>
    <row r="9" spans="1:10" x14ac:dyDescent="0.3">
      <c r="A9" s="29">
        <v>45630</v>
      </c>
      <c r="B9" s="9" t="s">
        <v>19</v>
      </c>
      <c r="C9" s="9" t="s">
        <v>1</v>
      </c>
      <c r="D9" s="10">
        <v>30</v>
      </c>
      <c r="E9" s="17">
        <v>14000</v>
      </c>
      <c r="F9" s="17">
        <v>14000</v>
      </c>
      <c r="G9" s="22">
        <v>14000</v>
      </c>
      <c r="H9" s="17">
        <f t="shared" si="0"/>
        <v>420000</v>
      </c>
    </row>
    <row r="10" spans="1:10" x14ac:dyDescent="0.3">
      <c r="A10" s="29">
        <v>45630</v>
      </c>
      <c r="B10" s="9" t="s">
        <v>20</v>
      </c>
      <c r="C10" s="9" t="s">
        <v>1</v>
      </c>
      <c r="D10" s="10">
        <v>15</v>
      </c>
      <c r="E10" s="17">
        <v>40000</v>
      </c>
      <c r="F10" s="17">
        <v>40000</v>
      </c>
      <c r="G10" s="22">
        <v>40000</v>
      </c>
      <c r="H10" s="17">
        <f t="shared" si="0"/>
        <v>600000</v>
      </c>
    </row>
    <row r="11" spans="1:10" x14ac:dyDescent="0.3">
      <c r="A11" s="29">
        <v>45630</v>
      </c>
      <c r="B11" s="9" t="s">
        <v>20</v>
      </c>
      <c r="C11" s="9" t="s">
        <v>11</v>
      </c>
      <c r="D11" s="10">
        <v>80</v>
      </c>
      <c r="E11" s="17">
        <v>8000</v>
      </c>
      <c r="F11" s="17">
        <v>40000</v>
      </c>
      <c r="G11" s="45">
        <v>8000</v>
      </c>
      <c r="H11" s="17">
        <f t="shared" si="0"/>
        <v>640000</v>
      </c>
      <c r="J11" s="18">
        <v>0.2</v>
      </c>
    </row>
    <row r="12" spans="1:10" x14ac:dyDescent="0.3">
      <c r="A12" s="29">
        <v>45630</v>
      </c>
      <c r="B12" s="9" t="s">
        <v>63</v>
      </c>
      <c r="C12" s="9" t="s">
        <v>1</v>
      </c>
      <c r="D12" s="10">
        <v>20</v>
      </c>
      <c r="E12" s="17">
        <v>14000</v>
      </c>
      <c r="F12" s="17">
        <v>14000</v>
      </c>
      <c r="G12" s="22">
        <v>14000</v>
      </c>
      <c r="H12" s="17">
        <f t="shared" si="0"/>
        <v>280000</v>
      </c>
    </row>
    <row r="13" spans="1:10" ht="15.6" customHeight="1" x14ac:dyDescent="0.3">
      <c r="A13" s="29">
        <v>45630</v>
      </c>
      <c r="B13" s="9" t="s">
        <v>21</v>
      </c>
      <c r="C13" s="9" t="s">
        <v>22</v>
      </c>
      <c r="D13" s="10">
        <v>150</v>
      </c>
      <c r="E13" s="17">
        <v>4800</v>
      </c>
      <c r="F13" s="17">
        <v>16000</v>
      </c>
      <c r="G13" s="45">
        <v>4800</v>
      </c>
      <c r="H13" s="17">
        <f t="shared" si="0"/>
        <v>720000</v>
      </c>
      <c r="J13" s="18">
        <v>0.3</v>
      </c>
    </row>
    <row r="14" spans="1:10" x14ac:dyDescent="0.3">
      <c r="A14" s="29">
        <v>45630</v>
      </c>
      <c r="B14" s="9" t="s">
        <v>29</v>
      </c>
      <c r="C14" s="9" t="s">
        <v>1</v>
      </c>
      <c r="D14" s="10">
        <v>100</v>
      </c>
      <c r="E14" s="17">
        <v>20500</v>
      </c>
      <c r="F14" s="17">
        <v>20500</v>
      </c>
      <c r="G14" s="22">
        <v>20500</v>
      </c>
      <c r="H14" s="17">
        <f t="shared" si="0"/>
        <v>2050000</v>
      </c>
    </row>
    <row r="15" spans="1:10" x14ac:dyDescent="0.3">
      <c r="A15" s="29">
        <v>45630</v>
      </c>
      <c r="B15" s="9" t="s">
        <v>77</v>
      </c>
      <c r="C15" s="9" t="s">
        <v>1</v>
      </c>
      <c r="D15" s="10">
        <v>40</v>
      </c>
      <c r="E15" s="17">
        <v>20000</v>
      </c>
      <c r="F15" s="17">
        <v>20000</v>
      </c>
      <c r="G15" s="22">
        <v>20000</v>
      </c>
      <c r="H15" s="17">
        <f t="shared" si="0"/>
        <v>800000</v>
      </c>
    </row>
    <row r="16" spans="1:10" x14ac:dyDescent="0.3">
      <c r="A16" s="29">
        <v>45630</v>
      </c>
      <c r="B16" s="9" t="s">
        <v>31</v>
      </c>
      <c r="C16" s="9" t="s">
        <v>1</v>
      </c>
      <c r="D16" s="10">
        <v>60</v>
      </c>
      <c r="E16" s="17">
        <v>17000</v>
      </c>
      <c r="F16" s="17">
        <v>17000</v>
      </c>
      <c r="G16" s="22">
        <v>17000</v>
      </c>
      <c r="H16" s="17">
        <f t="shared" si="0"/>
        <v>1020000</v>
      </c>
    </row>
    <row r="17" spans="1:10" x14ac:dyDescent="0.3">
      <c r="A17" s="29">
        <v>45630</v>
      </c>
      <c r="B17" s="9" t="s">
        <v>32</v>
      </c>
      <c r="C17" s="9" t="s">
        <v>1</v>
      </c>
      <c r="D17" s="10">
        <v>30</v>
      </c>
      <c r="E17" s="17">
        <v>25000</v>
      </c>
      <c r="F17" s="17">
        <v>25000</v>
      </c>
      <c r="G17" s="22">
        <v>25000</v>
      </c>
      <c r="H17" s="17">
        <f t="shared" si="0"/>
        <v>750000</v>
      </c>
    </row>
    <row r="18" spans="1:10" x14ac:dyDescent="0.3">
      <c r="A18" s="29">
        <v>45630</v>
      </c>
      <c r="B18" s="9" t="s">
        <v>33</v>
      </c>
      <c r="C18" s="9" t="s">
        <v>22</v>
      </c>
      <c r="D18" s="10">
        <v>10</v>
      </c>
      <c r="E18" s="17">
        <v>6000</v>
      </c>
      <c r="F18" s="17">
        <v>6000</v>
      </c>
      <c r="G18" s="22">
        <v>6000</v>
      </c>
      <c r="H18" s="17">
        <f t="shared" si="0"/>
        <v>60000</v>
      </c>
    </row>
    <row r="19" spans="1:10" x14ac:dyDescent="0.3">
      <c r="A19" s="29">
        <v>45630</v>
      </c>
      <c r="B19" s="9" t="s">
        <v>35</v>
      </c>
      <c r="C19" s="9" t="s">
        <v>1</v>
      </c>
      <c r="D19" s="10">
        <v>4</v>
      </c>
      <c r="E19" s="17">
        <v>80000</v>
      </c>
      <c r="F19" s="17">
        <v>80000</v>
      </c>
      <c r="G19" s="22">
        <v>80000</v>
      </c>
      <c r="H19" s="17">
        <f t="shared" si="0"/>
        <v>320000</v>
      </c>
    </row>
    <row r="20" spans="1:10" x14ac:dyDescent="0.3">
      <c r="A20" s="29">
        <v>45630</v>
      </c>
      <c r="B20" s="9" t="s">
        <v>37</v>
      </c>
      <c r="C20" s="9" t="s">
        <v>11</v>
      </c>
      <c r="D20" s="10">
        <v>325</v>
      </c>
      <c r="E20" s="17">
        <v>5000</v>
      </c>
      <c r="F20" s="17">
        <v>5000</v>
      </c>
      <c r="G20" s="22">
        <v>5000</v>
      </c>
      <c r="H20" s="17">
        <f t="shared" si="0"/>
        <v>1625000</v>
      </c>
    </row>
    <row r="21" spans="1:10" x14ac:dyDescent="0.3">
      <c r="A21" s="29">
        <v>45630</v>
      </c>
      <c r="B21" s="9" t="s">
        <v>42</v>
      </c>
      <c r="C21" s="9" t="s">
        <v>1</v>
      </c>
      <c r="D21" s="10">
        <v>5</v>
      </c>
      <c r="E21" s="17">
        <v>25000</v>
      </c>
      <c r="F21" s="17">
        <v>25000</v>
      </c>
      <c r="G21" s="22">
        <v>25000</v>
      </c>
      <c r="H21" s="17">
        <f t="shared" si="0"/>
        <v>125000</v>
      </c>
    </row>
    <row r="22" spans="1:10" x14ac:dyDescent="0.3">
      <c r="A22" s="29">
        <v>45630</v>
      </c>
      <c r="B22" s="9" t="s">
        <v>45</v>
      </c>
      <c r="C22" s="9" t="s">
        <v>22</v>
      </c>
      <c r="D22" s="10">
        <v>500</v>
      </c>
      <c r="E22" s="17">
        <v>1800</v>
      </c>
      <c r="F22" s="17">
        <v>36000</v>
      </c>
      <c r="G22" s="45">
        <v>1800</v>
      </c>
      <c r="H22" s="17">
        <f t="shared" si="0"/>
        <v>900000</v>
      </c>
      <c r="J22" s="18">
        <v>0.05</v>
      </c>
    </row>
    <row r="23" spans="1:10" x14ac:dyDescent="0.3">
      <c r="A23" s="29">
        <v>45630</v>
      </c>
      <c r="B23" s="9" t="s">
        <v>78</v>
      </c>
      <c r="C23" s="9" t="s">
        <v>22</v>
      </c>
      <c r="D23" s="10">
        <v>0.5</v>
      </c>
      <c r="E23" s="17">
        <v>5000</v>
      </c>
      <c r="F23" s="17">
        <v>100000</v>
      </c>
      <c r="G23" s="45">
        <v>5000</v>
      </c>
      <c r="H23" s="17">
        <f t="shared" si="0"/>
        <v>2500</v>
      </c>
      <c r="J23" s="18">
        <v>0.05</v>
      </c>
    </row>
    <row r="24" spans="1:10" x14ac:dyDescent="0.3">
      <c r="A24" s="29">
        <v>45630</v>
      </c>
      <c r="B24" s="9" t="s">
        <v>46</v>
      </c>
      <c r="C24" s="9" t="s">
        <v>1</v>
      </c>
      <c r="D24" s="10">
        <v>20</v>
      </c>
      <c r="E24" s="17">
        <v>52000</v>
      </c>
      <c r="F24" s="17">
        <v>52000</v>
      </c>
      <c r="G24" s="22">
        <v>52000</v>
      </c>
      <c r="H24" s="17">
        <f t="shared" si="0"/>
        <v>1040000</v>
      </c>
    </row>
    <row r="25" spans="1:10" x14ac:dyDescent="0.3">
      <c r="A25" s="29">
        <v>45630</v>
      </c>
      <c r="B25" s="9" t="s">
        <v>64</v>
      </c>
      <c r="C25" s="9" t="s">
        <v>1</v>
      </c>
      <c r="D25" s="10">
        <v>10</v>
      </c>
      <c r="E25" s="17">
        <v>44000</v>
      </c>
      <c r="F25" s="17">
        <v>44000</v>
      </c>
      <c r="G25" s="22">
        <v>44000</v>
      </c>
      <c r="H25" s="17">
        <f t="shared" si="0"/>
        <v>440000</v>
      </c>
    </row>
    <row r="26" spans="1:10" x14ac:dyDescent="0.3">
      <c r="A26" s="29">
        <v>45630</v>
      </c>
      <c r="B26" s="9" t="s">
        <v>47</v>
      </c>
      <c r="C26" s="9" t="s">
        <v>7</v>
      </c>
      <c r="D26" s="10">
        <v>100</v>
      </c>
      <c r="E26" s="17">
        <v>6750</v>
      </c>
      <c r="F26" s="17">
        <v>27000</v>
      </c>
      <c r="G26" s="45">
        <v>6750</v>
      </c>
      <c r="H26" s="17">
        <f t="shared" si="0"/>
        <v>675000</v>
      </c>
      <c r="J26" s="18">
        <v>0.25</v>
      </c>
    </row>
    <row r="27" spans="1:10" x14ac:dyDescent="0.3">
      <c r="A27" s="29">
        <v>45630</v>
      </c>
      <c r="B27" s="9" t="s">
        <v>50</v>
      </c>
      <c r="C27" s="9" t="s">
        <v>7</v>
      </c>
      <c r="D27" s="10">
        <v>150</v>
      </c>
      <c r="E27" s="17">
        <v>3750</v>
      </c>
      <c r="F27" s="17">
        <v>15000</v>
      </c>
      <c r="G27" s="45">
        <v>3750</v>
      </c>
      <c r="H27" s="17">
        <f t="shared" si="0"/>
        <v>562500</v>
      </c>
      <c r="J27" s="18">
        <v>0.25</v>
      </c>
    </row>
    <row r="28" spans="1:10" x14ac:dyDescent="0.3">
      <c r="A28" s="29">
        <v>45630</v>
      </c>
      <c r="B28" s="9" t="s">
        <v>51</v>
      </c>
      <c r="C28" s="9" t="s">
        <v>7</v>
      </c>
      <c r="D28" s="10">
        <v>120</v>
      </c>
      <c r="E28" s="17">
        <v>6250</v>
      </c>
      <c r="F28" s="17">
        <v>25000</v>
      </c>
      <c r="G28" s="45">
        <v>6250</v>
      </c>
      <c r="H28" s="17">
        <f t="shared" si="0"/>
        <v>750000</v>
      </c>
      <c r="J28" s="18">
        <v>0.25</v>
      </c>
    </row>
    <row r="29" spans="1:10" x14ac:dyDescent="0.3">
      <c r="A29" s="29">
        <v>45630</v>
      </c>
      <c r="B29" s="9" t="s">
        <v>52</v>
      </c>
      <c r="C29" s="9" t="s">
        <v>22</v>
      </c>
      <c r="D29" s="10">
        <v>50</v>
      </c>
      <c r="E29" s="17">
        <v>18000</v>
      </c>
      <c r="F29" s="17">
        <v>18000</v>
      </c>
      <c r="G29" s="22">
        <v>18000</v>
      </c>
      <c r="H29" s="17">
        <f t="shared" si="0"/>
        <v>900000</v>
      </c>
    </row>
    <row r="30" spans="1:10" x14ac:dyDescent="0.3">
      <c r="A30" s="29">
        <v>45630</v>
      </c>
      <c r="B30" s="9" t="s">
        <v>53</v>
      </c>
      <c r="C30" s="9" t="s">
        <v>1</v>
      </c>
      <c r="D30" s="10">
        <v>10</v>
      </c>
      <c r="E30" s="17">
        <v>35000</v>
      </c>
      <c r="F30" s="17">
        <v>35000</v>
      </c>
      <c r="G30" s="22">
        <v>35000</v>
      </c>
      <c r="H30" s="17">
        <f t="shared" si="0"/>
        <v>350000</v>
      </c>
    </row>
    <row r="31" spans="1:10" x14ac:dyDescent="0.3">
      <c r="A31" s="29">
        <v>45630</v>
      </c>
      <c r="B31" s="9" t="s">
        <v>76</v>
      </c>
      <c r="C31" s="9" t="s">
        <v>1</v>
      </c>
      <c r="D31" s="10">
        <v>5</v>
      </c>
      <c r="E31" s="17">
        <v>35000</v>
      </c>
      <c r="F31" s="17">
        <v>35000</v>
      </c>
      <c r="G31" s="22">
        <v>35000</v>
      </c>
      <c r="H31" s="17">
        <f t="shared" si="0"/>
        <v>175000</v>
      </c>
    </row>
    <row r="32" spans="1:10" x14ac:dyDescent="0.3">
      <c r="A32" s="29">
        <v>45630</v>
      </c>
      <c r="B32" s="9" t="s">
        <v>55</v>
      </c>
      <c r="C32" s="9" t="s">
        <v>25</v>
      </c>
      <c r="D32" s="10">
        <v>50</v>
      </c>
      <c r="E32" s="17">
        <v>6800</v>
      </c>
      <c r="F32" s="17">
        <v>6800</v>
      </c>
      <c r="G32" s="22">
        <v>6800</v>
      </c>
      <c r="H32" s="17">
        <f t="shared" si="0"/>
        <v>340000</v>
      </c>
    </row>
    <row r="33" spans="1:10" x14ac:dyDescent="0.3">
      <c r="A33" s="29">
        <v>45630</v>
      </c>
      <c r="B33" s="9" t="s">
        <v>66</v>
      </c>
      <c r="C33" s="9" t="s">
        <v>1</v>
      </c>
      <c r="D33" s="10">
        <v>40</v>
      </c>
      <c r="E33" s="17">
        <v>28000</v>
      </c>
      <c r="F33" s="17" t="e">
        <v>#N/A</v>
      </c>
      <c r="G33" s="22">
        <v>28000</v>
      </c>
      <c r="H33" s="17">
        <f t="shared" si="0"/>
        <v>1120000</v>
      </c>
      <c r="I33" s="18" t="s">
        <v>137</v>
      </c>
    </row>
    <row r="34" spans="1:10" x14ac:dyDescent="0.3">
      <c r="A34" s="29">
        <v>45630</v>
      </c>
      <c r="B34" s="9" t="s">
        <v>58</v>
      </c>
      <c r="C34" s="9" t="s">
        <v>1</v>
      </c>
      <c r="D34" s="10">
        <v>30</v>
      </c>
      <c r="E34" s="17">
        <v>30000</v>
      </c>
      <c r="F34" s="17">
        <v>30000</v>
      </c>
      <c r="G34" s="22">
        <v>30000</v>
      </c>
      <c r="H34" s="17">
        <f t="shared" si="0"/>
        <v>900000</v>
      </c>
    </row>
    <row r="35" spans="1:10" s="53" customFormat="1" x14ac:dyDescent="0.3">
      <c r="A35" s="48">
        <v>45630</v>
      </c>
      <c r="B35" s="49" t="s">
        <v>59</v>
      </c>
      <c r="C35" s="49" t="s">
        <v>22</v>
      </c>
      <c r="D35" s="50">
        <v>1</v>
      </c>
      <c r="E35" s="51">
        <v>24000</v>
      </c>
      <c r="F35" s="51">
        <v>120000</v>
      </c>
      <c r="G35" s="59">
        <v>24000</v>
      </c>
      <c r="H35" s="17">
        <f t="shared" si="0"/>
        <v>24000</v>
      </c>
      <c r="J35" s="53">
        <v>0.2</v>
      </c>
    </row>
    <row r="36" spans="1:10" x14ac:dyDescent="0.3">
      <c r="A36" s="29">
        <v>45630</v>
      </c>
      <c r="B36" s="9" t="s">
        <v>61</v>
      </c>
      <c r="C36" s="9" t="s">
        <v>25</v>
      </c>
      <c r="D36" s="10">
        <v>5</v>
      </c>
      <c r="E36" s="17">
        <v>6800</v>
      </c>
      <c r="F36" s="17">
        <v>6800</v>
      </c>
      <c r="G36" s="22">
        <v>6800</v>
      </c>
      <c r="H36" s="17">
        <f t="shared" si="0"/>
        <v>34000</v>
      </c>
    </row>
    <row r="37" spans="1:10" s="34" customFormat="1" x14ac:dyDescent="0.3">
      <c r="A37" s="36">
        <v>45630</v>
      </c>
      <c r="B37" s="38" t="s">
        <v>192</v>
      </c>
      <c r="C37" s="38" t="s">
        <v>1</v>
      </c>
      <c r="D37" s="10">
        <v>27</v>
      </c>
      <c r="E37" s="17" t="e">
        <v>#N/A</v>
      </c>
      <c r="F37" s="17" t="e">
        <v>#N/A</v>
      </c>
      <c r="G37" s="37">
        <v>4000</v>
      </c>
      <c r="H37" s="17">
        <f t="shared" si="0"/>
        <v>108000</v>
      </c>
    </row>
    <row r="38" spans="1:10" x14ac:dyDescent="0.3">
      <c r="A38" s="29">
        <v>45630</v>
      </c>
      <c r="B38" s="9" t="s">
        <v>79</v>
      </c>
      <c r="C38" s="9" t="s">
        <v>1</v>
      </c>
      <c r="D38" s="10">
        <v>4</v>
      </c>
      <c r="E38" s="17">
        <v>8000</v>
      </c>
      <c r="F38" s="17">
        <v>8000</v>
      </c>
      <c r="G38" s="22">
        <v>8000</v>
      </c>
      <c r="H38" s="17">
        <f t="shared" si="0"/>
        <v>32000</v>
      </c>
    </row>
    <row r="39" spans="1:10" s="34" customFormat="1" x14ac:dyDescent="0.3">
      <c r="A39" s="36">
        <v>45630</v>
      </c>
      <c r="B39" s="38" t="s">
        <v>13</v>
      </c>
      <c r="C39" s="38" t="s">
        <v>1</v>
      </c>
      <c r="D39" s="10">
        <v>5</v>
      </c>
      <c r="E39" s="17">
        <v>30000</v>
      </c>
      <c r="F39" s="17">
        <v>9000</v>
      </c>
      <c r="G39" s="37">
        <v>30000</v>
      </c>
      <c r="H39" s="17">
        <f t="shared" si="0"/>
        <v>150000</v>
      </c>
      <c r="J39" s="53">
        <v>0.3</v>
      </c>
    </row>
  </sheetData>
  <autoFilter ref="A2:F39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6"/>
  <dimension ref="A1:K48"/>
  <sheetViews>
    <sheetView topLeftCell="A28" workbookViewId="0">
      <selection activeCell="F50" sqref="F50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3.5546875" style="21" bestFit="1" customWidth="1"/>
    <col min="9" max="9" width="26.21875" style="18" bestFit="1" customWidth="1"/>
    <col min="10" max="16384" width="8.88671875" style="18"/>
  </cols>
  <sheetData>
    <row r="1" spans="1:10" ht="15.6" x14ac:dyDescent="0.3">
      <c r="B1" s="18" t="s">
        <v>62</v>
      </c>
      <c r="C1" s="24">
        <v>45629</v>
      </c>
      <c r="H1" s="35">
        <f>SUM(H3:H48)</f>
        <v>44474500</v>
      </c>
    </row>
    <row r="2" spans="1:10" s="33" customFormat="1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45629</v>
      </c>
      <c r="B3" s="9" t="s">
        <v>72</v>
      </c>
      <c r="C3" s="9" t="s">
        <v>1</v>
      </c>
      <c r="D3" s="10">
        <v>20</v>
      </c>
      <c r="E3" s="17">
        <v>7000</v>
      </c>
      <c r="F3" s="17">
        <v>7000</v>
      </c>
      <c r="G3" s="17">
        <v>7000</v>
      </c>
      <c r="H3" s="17">
        <f>G3*D3</f>
        <v>140000</v>
      </c>
    </row>
    <row r="4" spans="1:10" x14ac:dyDescent="0.3">
      <c r="A4" s="29">
        <v>45629</v>
      </c>
      <c r="B4" s="9" t="s">
        <v>67</v>
      </c>
      <c r="C4" s="9" t="s">
        <v>1</v>
      </c>
      <c r="D4" s="10">
        <v>50</v>
      </c>
      <c r="E4" s="17">
        <v>10000</v>
      </c>
      <c r="F4" s="17">
        <v>10000</v>
      </c>
      <c r="G4" s="22">
        <v>10000</v>
      </c>
      <c r="H4" s="17">
        <f t="shared" ref="H4:H48" si="0">G4*D4</f>
        <v>500000</v>
      </c>
    </row>
    <row r="5" spans="1:10" x14ac:dyDescent="0.3">
      <c r="A5" s="29">
        <v>45629</v>
      </c>
      <c r="B5" s="9" t="s">
        <v>65</v>
      </c>
      <c r="C5" s="9" t="s">
        <v>7</v>
      </c>
      <c r="D5" s="10">
        <v>40</v>
      </c>
      <c r="E5" s="17">
        <v>2500</v>
      </c>
      <c r="F5" s="17">
        <v>5000</v>
      </c>
      <c r="G5" s="45">
        <v>2500</v>
      </c>
      <c r="H5" s="17">
        <f t="shared" si="0"/>
        <v>100000</v>
      </c>
      <c r="J5" s="18">
        <v>0.5</v>
      </c>
    </row>
    <row r="6" spans="1:10" x14ac:dyDescent="0.3">
      <c r="A6" s="29">
        <v>45629</v>
      </c>
      <c r="B6" s="9" t="s">
        <v>73</v>
      </c>
      <c r="C6" s="9" t="s">
        <v>1</v>
      </c>
      <c r="D6" s="10">
        <v>40</v>
      </c>
      <c r="E6" s="17">
        <v>5500</v>
      </c>
      <c r="F6" s="17">
        <v>5500</v>
      </c>
      <c r="G6" s="22">
        <v>5500</v>
      </c>
      <c r="H6" s="17">
        <f t="shared" si="0"/>
        <v>220000</v>
      </c>
    </row>
    <row r="7" spans="1:10" x14ac:dyDescent="0.3">
      <c r="A7" s="29">
        <v>45629</v>
      </c>
      <c r="B7" s="9" t="s">
        <v>3</v>
      </c>
      <c r="C7" s="9" t="s">
        <v>7</v>
      </c>
      <c r="D7" s="10">
        <v>180</v>
      </c>
      <c r="E7" s="17">
        <v>2700</v>
      </c>
      <c r="F7" s="17">
        <v>9000</v>
      </c>
      <c r="G7" s="45">
        <v>2700</v>
      </c>
      <c r="H7" s="17">
        <f t="shared" si="0"/>
        <v>486000</v>
      </c>
      <c r="J7" s="18">
        <v>0.3</v>
      </c>
    </row>
    <row r="8" spans="1:10" x14ac:dyDescent="0.3">
      <c r="A8" s="29">
        <v>45629</v>
      </c>
      <c r="B8" s="9" t="s">
        <v>5</v>
      </c>
      <c r="C8" s="9" t="s">
        <v>7</v>
      </c>
      <c r="D8" s="10">
        <v>40</v>
      </c>
      <c r="E8" s="17">
        <v>3000</v>
      </c>
      <c r="F8" s="17">
        <v>10000</v>
      </c>
      <c r="G8" s="45">
        <v>3000</v>
      </c>
      <c r="H8" s="17">
        <f t="shared" si="0"/>
        <v>120000</v>
      </c>
      <c r="J8" s="18">
        <v>0.3</v>
      </c>
    </row>
    <row r="9" spans="1:10" ht="13.8" customHeight="1" x14ac:dyDescent="0.3">
      <c r="A9" s="29">
        <v>45629</v>
      </c>
      <c r="B9" s="9" t="s">
        <v>6</v>
      </c>
      <c r="C9" s="9" t="s">
        <v>1</v>
      </c>
      <c r="D9" s="10">
        <v>80</v>
      </c>
      <c r="E9" s="17">
        <v>50000</v>
      </c>
      <c r="F9" s="17">
        <v>50000</v>
      </c>
      <c r="G9" s="22">
        <v>50000</v>
      </c>
      <c r="H9" s="17">
        <f t="shared" si="0"/>
        <v>4000000</v>
      </c>
    </row>
    <row r="10" spans="1:10" x14ac:dyDescent="0.3">
      <c r="A10" s="29">
        <v>45629</v>
      </c>
      <c r="B10" s="9" t="s">
        <v>68</v>
      </c>
      <c r="C10" s="9" t="s">
        <v>1</v>
      </c>
      <c r="D10" s="10">
        <v>65</v>
      </c>
      <c r="E10" s="17">
        <v>30000</v>
      </c>
      <c r="F10" s="17">
        <v>30000</v>
      </c>
      <c r="G10" s="22">
        <v>30000</v>
      </c>
      <c r="H10" s="17">
        <f t="shared" si="0"/>
        <v>1950000</v>
      </c>
    </row>
    <row r="11" spans="1:10" x14ac:dyDescent="0.3">
      <c r="A11" s="29">
        <v>45629</v>
      </c>
      <c r="B11" s="9" t="s">
        <v>8</v>
      </c>
      <c r="C11" s="9" t="s">
        <v>11</v>
      </c>
      <c r="D11" s="10">
        <v>10</v>
      </c>
      <c r="E11" s="17">
        <v>7000</v>
      </c>
      <c r="F11" s="17">
        <v>35000</v>
      </c>
      <c r="G11" s="45">
        <v>7000</v>
      </c>
      <c r="H11" s="17">
        <f t="shared" si="0"/>
        <v>70000</v>
      </c>
      <c r="J11" s="18">
        <v>0.2</v>
      </c>
    </row>
    <row r="12" spans="1:10" x14ac:dyDescent="0.3">
      <c r="A12" s="29">
        <v>45629</v>
      </c>
      <c r="B12" s="9" t="s">
        <v>9</v>
      </c>
      <c r="C12" s="9" t="s">
        <v>1</v>
      </c>
      <c r="D12" s="10">
        <v>150</v>
      </c>
      <c r="E12" s="17">
        <v>23000</v>
      </c>
      <c r="F12" s="17">
        <v>23000</v>
      </c>
      <c r="G12" s="22">
        <v>23000</v>
      </c>
      <c r="H12" s="17">
        <f t="shared" si="0"/>
        <v>3450000</v>
      </c>
    </row>
    <row r="13" spans="1:10" x14ac:dyDescent="0.3">
      <c r="A13" s="29">
        <v>45629</v>
      </c>
      <c r="B13" s="9" t="s">
        <v>10</v>
      </c>
      <c r="C13" s="9" t="s">
        <v>1</v>
      </c>
      <c r="D13" s="10">
        <v>235</v>
      </c>
      <c r="E13" s="17">
        <v>15000</v>
      </c>
      <c r="F13" s="17">
        <v>15000</v>
      </c>
      <c r="G13" s="22">
        <v>15000</v>
      </c>
      <c r="H13" s="17">
        <f t="shared" si="0"/>
        <v>3525000</v>
      </c>
    </row>
    <row r="14" spans="1:10" x14ac:dyDescent="0.3">
      <c r="A14" s="29">
        <v>45629</v>
      </c>
      <c r="B14" s="9" t="s">
        <v>13</v>
      </c>
      <c r="C14" s="9" t="s">
        <v>14</v>
      </c>
      <c r="D14" s="10">
        <v>100</v>
      </c>
      <c r="E14" s="17">
        <v>9000</v>
      </c>
      <c r="F14" s="17">
        <v>9000</v>
      </c>
      <c r="G14" s="22">
        <v>9000</v>
      </c>
      <c r="H14" s="17">
        <f t="shared" si="0"/>
        <v>900000</v>
      </c>
    </row>
    <row r="15" spans="1:10" x14ac:dyDescent="0.3">
      <c r="A15" s="29">
        <v>45629</v>
      </c>
      <c r="B15" s="9" t="s">
        <v>15</v>
      </c>
      <c r="C15" s="9" t="s">
        <v>16</v>
      </c>
      <c r="D15" s="10">
        <v>50</v>
      </c>
      <c r="E15" s="17">
        <v>16050</v>
      </c>
      <c r="F15" s="17">
        <v>53500</v>
      </c>
      <c r="G15" s="45">
        <v>16050</v>
      </c>
      <c r="H15" s="17">
        <f t="shared" si="0"/>
        <v>802500</v>
      </c>
      <c r="J15" s="18">
        <v>0.3</v>
      </c>
    </row>
    <row r="16" spans="1:10" x14ac:dyDescent="0.3">
      <c r="A16" s="29">
        <v>45629</v>
      </c>
      <c r="B16" s="9" t="s">
        <v>17</v>
      </c>
      <c r="C16" s="9" t="s">
        <v>14</v>
      </c>
      <c r="D16" s="10">
        <v>150</v>
      </c>
      <c r="E16" s="17">
        <v>14000</v>
      </c>
      <c r="F16" s="17">
        <v>34000</v>
      </c>
      <c r="G16" s="22">
        <v>14000</v>
      </c>
      <c r="H16" s="17">
        <f t="shared" si="0"/>
        <v>2100000</v>
      </c>
    </row>
    <row r="17" spans="1:10" x14ac:dyDescent="0.3">
      <c r="A17" s="29">
        <v>45629</v>
      </c>
      <c r="B17" s="9" t="s">
        <v>18</v>
      </c>
      <c r="C17" s="9" t="s">
        <v>1</v>
      </c>
      <c r="D17" s="10">
        <v>50</v>
      </c>
      <c r="E17" s="17">
        <v>19000</v>
      </c>
      <c r="F17" s="17">
        <v>19000</v>
      </c>
      <c r="G17" s="22">
        <v>19000</v>
      </c>
      <c r="H17" s="17">
        <f t="shared" si="0"/>
        <v>950000</v>
      </c>
    </row>
    <row r="18" spans="1:10" x14ac:dyDescent="0.3">
      <c r="A18" s="29">
        <v>45629</v>
      </c>
      <c r="B18" s="9" t="s">
        <v>19</v>
      </c>
      <c r="C18" s="9" t="s">
        <v>1</v>
      </c>
      <c r="D18" s="10">
        <v>50</v>
      </c>
      <c r="E18" s="17">
        <v>12000</v>
      </c>
      <c r="F18" s="17">
        <v>12000</v>
      </c>
      <c r="G18" s="22">
        <v>12000</v>
      </c>
      <c r="H18" s="17">
        <f t="shared" si="0"/>
        <v>600000</v>
      </c>
    </row>
    <row r="19" spans="1:10" x14ac:dyDescent="0.3">
      <c r="A19" s="29">
        <v>45629</v>
      </c>
      <c r="B19" s="9" t="s">
        <v>20</v>
      </c>
      <c r="C19" s="9" t="s">
        <v>11</v>
      </c>
      <c r="D19" s="10">
        <v>100</v>
      </c>
      <c r="E19" s="17">
        <v>8000</v>
      </c>
      <c r="F19" s="17">
        <v>40000</v>
      </c>
      <c r="G19" s="45">
        <v>8000</v>
      </c>
      <c r="H19" s="17">
        <f t="shared" si="0"/>
        <v>800000</v>
      </c>
      <c r="J19" s="18">
        <v>0.2</v>
      </c>
    </row>
    <row r="20" spans="1:10" x14ac:dyDescent="0.3">
      <c r="A20" s="29">
        <v>45629</v>
      </c>
      <c r="B20" s="9" t="s">
        <v>63</v>
      </c>
      <c r="C20" s="9" t="s">
        <v>1</v>
      </c>
      <c r="D20" s="10">
        <v>40</v>
      </c>
      <c r="E20" s="17">
        <v>14000</v>
      </c>
      <c r="F20" s="17">
        <v>14000</v>
      </c>
      <c r="G20" s="22">
        <v>14000</v>
      </c>
      <c r="H20" s="17">
        <f t="shared" si="0"/>
        <v>560000</v>
      </c>
    </row>
    <row r="21" spans="1:10" x14ac:dyDescent="0.3">
      <c r="A21" s="29">
        <v>45629</v>
      </c>
      <c r="B21" s="9" t="s">
        <v>21</v>
      </c>
      <c r="C21" s="9" t="s">
        <v>22</v>
      </c>
      <c r="D21" s="10">
        <v>165</v>
      </c>
      <c r="E21" s="17">
        <v>4800</v>
      </c>
      <c r="F21" s="17">
        <v>16000</v>
      </c>
      <c r="G21" s="45">
        <v>4800</v>
      </c>
      <c r="H21" s="17">
        <f t="shared" si="0"/>
        <v>792000</v>
      </c>
      <c r="J21" s="18">
        <v>0.3</v>
      </c>
    </row>
    <row r="22" spans="1:10" x14ac:dyDescent="0.3">
      <c r="A22" s="29">
        <v>45629</v>
      </c>
      <c r="B22" s="9" t="s">
        <v>21</v>
      </c>
      <c r="C22" s="9" t="s">
        <v>23</v>
      </c>
      <c r="D22" s="10">
        <v>20</v>
      </c>
      <c r="E22" s="17">
        <v>2400</v>
      </c>
      <c r="F22" s="17">
        <v>16000</v>
      </c>
      <c r="G22" s="45">
        <v>2400</v>
      </c>
      <c r="H22" s="17">
        <f t="shared" si="0"/>
        <v>48000</v>
      </c>
      <c r="J22" s="18">
        <v>0.15</v>
      </c>
    </row>
    <row r="23" spans="1:10" x14ac:dyDescent="0.3">
      <c r="A23" s="29">
        <v>45629</v>
      </c>
      <c r="B23" s="9" t="s">
        <v>24</v>
      </c>
      <c r="C23" s="9" t="s">
        <v>1</v>
      </c>
      <c r="D23" s="10">
        <v>45</v>
      </c>
      <c r="E23" s="17">
        <v>20000</v>
      </c>
      <c r="F23" s="17">
        <v>20000</v>
      </c>
      <c r="G23" s="22">
        <v>20000</v>
      </c>
      <c r="H23" s="17">
        <f t="shared" si="0"/>
        <v>900000</v>
      </c>
    </row>
    <row r="24" spans="1:10" x14ac:dyDescent="0.3">
      <c r="A24" s="29">
        <v>45629</v>
      </c>
      <c r="B24" s="9" t="s">
        <v>24</v>
      </c>
      <c r="C24" s="9" t="s">
        <v>25</v>
      </c>
      <c r="D24" s="10">
        <v>75</v>
      </c>
      <c r="E24" s="17">
        <v>10000</v>
      </c>
      <c r="F24" s="17">
        <v>20000</v>
      </c>
      <c r="G24" s="45">
        <v>10000</v>
      </c>
      <c r="H24" s="17">
        <f t="shared" si="0"/>
        <v>750000</v>
      </c>
      <c r="J24" s="18">
        <v>0.5</v>
      </c>
    </row>
    <row r="25" spans="1:10" x14ac:dyDescent="0.3">
      <c r="A25" s="29">
        <v>45629</v>
      </c>
      <c r="B25" s="9" t="s">
        <v>28</v>
      </c>
      <c r="C25" s="9" t="s">
        <v>1</v>
      </c>
      <c r="D25" s="10">
        <v>20</v>
      </c>
      <c r="E25" s="17">
        <v>4500</v>
      </c>
      <c r="F25" s="17">
        <v>4500</v>
      </c>
      <c r="G25" s="22">
        <v>4500</v>
      </c>
      <c r="H25" s="17">
        <f t="shared" si="0"/>
        <v>90000</v>
      </c>
    </row>
    <row r="26" spans="1:10" x14ac:dyDescent="0.3">
      <c r="A26" s="29">
        <v>45629</v>
      </c>
      <c r="B26" s="9" t="s">
        <v>74</v>
      </c>
      <c r="C26" s="9" t="s">
        <v>1</v>
      </c>
      <c r="D26" s="10">
        <v>40</v>
      </c>
      <c r="E26" s="17">
        <v>16000</v>
      </c>
      <c r="F26" s="17">
        <v>16000</v>
      </c>
      <c r="G26" s="22">
        <v>16000</v>
      </c>
      <c r="H26" s="17">
        <f t="shared" si="0"/>
        <v>640000</v>
      </c>
    </row>
    <row r="27" spans="1:10" x14ac:dyDescent="0.3">
      <c r="A27" s="29">
        <v>45629</v>
      </c>
      <c r="B27" s="9" t="s">
        <v>30</v>
      </c>
      <c r="C27" s="9" t="s">
        <v>1</v>
      </c>
      <c r="D27" s="10">
        <v>45</v>
      </c>
      <c r="E27" s="17">
        <v>27000</v>
      </c>
      <c r="F27" s="17">
        <v>27000</v>
      </c>
      <c r="G27" s="22">
        <v>27000</v>
      </c>
      <c r="H27" s="17">
        <f t="shared" si="0"/>
        <v>1215000</v>
      </c>
    </row>
    <row r="28" spans="1:10" x14ac:dyDescent="0.3">
      <c r="A28" s="29">
        <v>45629</v>
      </c>
      <c r="B28" s="9" t="s">
        <v>34</v>
      </c>
      <c r="C28" s="9" t="s">
        <v>36</v>
      </c>
      <c r="D28" s="10">
        <v>30</v>
      </c>
      <c r="E28" s="17">
        <v>6500</v>
      </c>
      <c r="F28" s="17">
        <v>9000</v>
      </c>
      <c r="G28" s="22">
        <v>6500</v>
      </c>
      <c r="H28" s="17">
        <f t="shared" si="0"/>
        <v>195000</v>
      </c>
    </row>
    <row r="29" spans="1:10" x14ac:dyDescent="0.3">
      <c r="A29" s="29">
        <v>45629</v>
      </c>
      <c r="B29" s="9" t="s">
        <v>37</v>
      </c>
      <c r="C29" s="9" t="s">
        <v>11</v>
      </c>
      <c r="D29" s="10">
        <v>400</v>
      </c>
      <c r="E29" s="17">
        <v>4000</v>
      </c>
      <c r="F29" s="17">
        <v>4000</v>
      </c>
      <c r="G29" s="22">
        <v>4000</v>
      </c>
      <c r="H29" s="17">
        <f t="shared" si="0"/>
        <v>1600000</v>
      </c>
    </row>
    <row r="30" spans="1:10" x14ac:dyDescent="0.3">
      <c r="A30" s="29">
        <v>45629</v>
      </c>
      <c r="B30" s="9" t="s">
        <v>38</v>
      </c>
      <c r="C30" s="9" t="s">
        <v>22</v>
      </c>
      <c r="D30" s="10">
        <v>40</v>
      </c>
      <c r="E30" s="17">
        <v>5400</v>
      </c>
      <c r="F30" s="17">
        <v>9000</v>
      </c>
      <c r="G30" s="45">
        <v>5400</v>
      </c>
      <c r="H30" s="17">
        <f t="shared" si="0"/>
        <v>216000</v>
      </c>
      <c r="J30" s="18">
        <v>0.6</v>
      </c>
    </row>
    <row r="31" spans="1:10" x14ac:dyDescent="0.3">
      <c r="A31" s="29">
        <v>45629</v>
      </c>
      <c r="B31" s="9" t="s">
        <v>39</v>
      </c>
      <c r="C31" s="9" t="s">
        <v>1</v>
      </c>
      <c r="D31" s="10">
        <v>20</v>
      </c>
      <c r="E31" s="17">
        <v>4000</v>
      </c>
      <c r="F31" s="17">
        <v>4000</v>
      </c>
      <c r="G31" s="22">
        <v>4000</v>
      </c>
      <c r="H31" s="17">
        <f t="shared" si="0"/>
        <v>80000</v>
      </c>
    </row>
    <row r="32" spans="1:10" x14ac:dyDescent="0.3">
      <c r="A32" s="29">
        <v>45629</v>
      </c>
      <c r="B32" s="9" t="s">
        <v>40</v>
      </c>
      <c r="C32" s="9" t="s">
        <v>1</v>
      </c>
      <c r="D32" s="10">
        <v>20</v>
      </c>
      <c r="E32" s="17">
        <v>27000</v>
      </c>
      <c r="F32" s="17">
        <v>27000</v>
      </c>
      <c r="G32" s="22">
        <v>27000</v>
      </c>
      <c r="H32" s="17">
        <f t="shared" si="0"/>
        <v>540000</v>
      </c>
    </row>
    <row r="33" spans="1:11" x14ac:dyDescent="0.3">
      <c r="A33" s="29">
        <v>45629</v>
      </c>
      <c r="B33" s="9" t="s">
        <v>40</v>
      </c>
      <c r="C33" s="9" t="s">
        <v>25</v>
      </c>
      <c r="D33" s="10">
        <v>40</v>
      </c>
      <c r="E33" s="17">
        <v>4050</v>
      </c>
      <c r="F33" s="17">
        <v>27000</v>
      </c>
      <c r="G33" s="45">
        <v>4050</v>
      </c>
      <c r="H33" s="17">
        <f t="shared" si="0"/>
        <v>162000</v>
      </c>
      <c r="J33" s="18">
        <v>0.15</v>
      </c>
    </row>
    <row r="34" spans="1:11" s="53" customFormat="1" x14ac:dyDescent="0.3">
      <c r="A34" s="48">
        <v>45629</v>
      </c>
      <c r="B34" s="49" t="s">
        <v>41</v>
      </c>
      <c r="C34" s="49" t="s">
        <v>16</v>
      </c>
      <c r="D34" s="50">
        <v>50</v>
      </c>
      <c r="E34" s="51">
        <v>100000</v>
      </c>
      <c r="F34" s="51">
        <v>200000</v>
      </c>
      <c r="G34" s="59">
        <v>100000</v>
      </c>
      <c r="H34" s="51">
        <f t="shared" si="0"/>
        <v>5000000</v>
      </c>
      <c r="J34" s="53">
        <v>0.5</v>
      </c>
      <c r="K34" s="18"/>
    </row>
    <row r="35" spans="1:11" x14ac:dyDescent="0.3">
      <c r="A35" s="29">
        <v>45629</v>
      </c>
      <c r="B35" s="9" t="s">
        <v>45</v>
      </c>
      <c r="C35" s="9" t="s">
        <v>22</v>
      </c>
      <c r="D35" s="10">
        <v>200</v>
      </c>
      <c r="E35" s="17">
        <v>1800</v>
      </c>
      <c r="F35" s="17">
        <v>36000</v>
      </c>
      <c r="G35" s="45">
        <v>1800</v>
      </c>
      <c r="H35" s="17">
        <f t="shared" si="0"/>
        <v>360000</v>
      </c>
      <c r="J35" s="18">
        <v>0.05</v>
      </c>
    </row>
    <row r="36" spans="1:11" x14ac:dyDescent="0.3">
      <c r="A36" s="29">
        <v>45629</v>
      </c>
      <c r="B36" s="9" t="s">
        <v>46</v>
      </c>
      <c r="C36" s="9" t="s">
        <v>1</v>
      </c>
      <c r="D36" s="10">
        <v>10</v>
      </c>
      <c r="E36" s="17">
        <v>63000</v>
      </c>
      <c r="F36" s="17">
        <v>63000</v>
      </c>
      <c r="G36" s="22">
        <v>63000</v>
      </c>
      <c r="H36" s="17">
        <f t="shared" si="0"/>
        <v>630000</v>
      </c>
    </row>
    <row r="37" spans="1:11" x14ac:dyDescent="0.3">
      <c r="A37" s="29">
        <v>45629</v>
      </c>
      <c r="B37" s="9" t="s">
        <v>70</v>
      </c>
      <c r="C37" s="9" t="s">
        <v>11</v>
      </c>
      <c r="D37" s="10">
        <v>20</v>
      </c>
      <c r="E37" s="17">
        <v>7349.9999999999991</v>
      </c>
      <c r="F37" s="17" t="e">
        <v>#N/A</v>
      </c>
      <c r="G37" s="45">
        <v>7349.9999999999991</v>
      </c>
      <c r="H37" s="17">
        <f t="shared" si="0"/>
        <v>146999.99999999997</v>
      </c>
    </row>
    <row r="38" spans="1:11" x14ac:dyDescent="0.3">
      <c r="A38" s="29">
        <v>45629</v>
      </c>
      <c r="B38" s="9" t="s">
        <v>47</v>
      </c>
      <c r="C38" s="9" t="s">
        <v>1</v>
      </c>
      <c r="D38" s="10">
        <v>101</v>
      </c>
      <c r="E38" s="17">
        <v>25000</v>
      </c>
      <c r="F38" s="17">
        <v>25000</v>
      </c>
      <c r="G38" s="22">
        <v>25000</v>
      </c>
      <c r="H38" s="17">
        <f t="shared" si="0"/>
        <v>2525000</v>
      </c>
    </row>
    <row r="39" spans="1:11" x14ac:dyDescent="0.3">
      <c r="A39" s="29">
        <v>45629</v>
      </c>
      <c r="B39" s="9" t="s">
        <v>47</v>
      </c>
      <c r="C39" s="9" t="s">
        <v>7</v>
      </c>
      <c r="D39" s="10">
        <v>150</v>
      </c>
      <c r="E39" s="17">
        <v>6250</v>
      </c>
      <c r="F39" s="17">
        <v>25000</v>
      </c>
      <c r="G39" s="45">
        <v>6250</v>
      </c>
      <c r="H39" s="17">
        <f t="shared" si="0"/>
        <v>937500</v>
      </c>
      <c r="J39" s="18">
        <v>0.25</v>
      </c>
    </row>
    <row r="40" spans="1:11" x14ac:dyDescent="0.3">
      <c r="A40" s="29">
        <v>45629</v>
      </c>
      <c r="B40" s="9" t="s">
        <v>50</v>
      </c>
      <c r="C40" s="9" t="s">
        <v>7</v>
      </c>
      <c r="D40" s="10">
        <v>240</v>
      </c>
      <c r="E40" s="17">
        <v>3250</v>
      </c>
      <c r="F40" s="17">
        <v>13000</v>
      </c>
      <c r="G40" s="45">
        <v>3250</v>
      </c>
      <c r="H40" s="17">
        <f t="shared" si="0"/>
        <v>780000</v>
      </c>
      <c r="J40" s="18">
        <v>0.25</v>
      </c>
    </row>
    <row r="41" spans="1:11" x14ac:dyDescent="0.3">
      <c r="A41" s="29">
        <v>45629</v>
      </c>
      <c r="B41" s="9" t="s">
        <v>51</v>
      </c>
      <c r="C41" s="9" t="s">
        <v>7</v>
      </c>
      <c r="D41" s="10">
        <v>70</v>
      </c>
      <c r="E41" s="17">
        <v>6250</v>
      </c>
      <c r="F41" s="17">
        <v>25000</v>
      </c>
      <c r="G41" s="45">
        <v>6250</v>
      </c>
      <c r="H41" s="17">
        <f t="shared" si="0"/>
        <v>437500</v>
      </c>
      <c r="J41" s="18">
        <v>0.25</v>
      </c>
    </row>
    <row r="42" spans="1:11" x14ac:dyDescent="0.3">
      <c r="A42" s="29">
        <v>45629</v>
      </c>
      <c r="B42" s="9" t="s">
        <v>52</v>
      </c>
      <c r="C42" s="9" t="s">
        <v>22</v>
      </c>
      <c r="D42" s="10">
        <v>75</v>
      </c>
      <c r="E42" s="17">
        <v>18000</v>
      </c>
      <c r="F42" s="17">
        <v>18000</v>
      </c>
      <c r="G42" s="22">
        <v>18000</v>
      </c>
      <c r="H42" s="17">
        <f t="shared" si="0"/>
        <v>1350000</v>
      </c>
    </row>
    <row r="43" spans="1:11" x14ac:dyDescent="0.3">
      <c r="A43" s="29">
        <v>45629</v>
      </c>
      <c r="B43" s="9" t="s">
        <v>75</v>
      </c>
      <c r="C43" s="9" t="s">
        <v>1</v>
      </c>
      <c r="D43" s="10">
        <v>15</v>
      </c>
      <c r="E43" s="17">
        <v>58000</v>
      </c>
      <c r="F43" s="17">
        <v>58000</v>
      </c>
      <c r="G43" s="22">
        <v>58000</v>
      </c>
      <c r="H43" s="17">
        <f t="shared" si="0"/>
        <v>870000</v>
      </c>
    </row>
    <row r="44" spans="1:11" s="53" customFormat="1" x14ac:dyDescent="0.3">
      <c r="A44" s="48">
        <v>45629</v>
      </c>
      <c r="B44" s="49" t="s">
        <v>76</v>
      </c>
      <c r="C44" s="49" t="s">
        <v>22</v>
      </c>
      <c r="D44" s="50">
        <v>10</v>
      </c>
      <c r="E44" s="51">
        <v>10500</v>
      </c>
      <c r="F44" s="51">
        <v>35000</v>
      </c>
      <c r="G44" s="59">
        <v>6000</v>
      </c>
      <c r="H44" s="51">
        <f t="shared" si="0"/>
        <v>60000</v>
      </c>
      <c r="J44" s="53">
        <v>0.3</v>
      </c>
      <c r="K44" s="18"/>
    </row>
    <row r="45" spans="1:11" x14ac:dyDescent="0.3">
      <c r="A45" s="29">
        <v>45629</v>
      </c>
      <c r="B45" s="9" t="s">
        <v>55</v>
      </c>
      <c r="C45" s="9" t="s">
        <v>25</v>
      </c>
      <c r="D45" s="10">
        <v>150</v>
      </c>
      <c r="E45" s="17">
        <v>6800</v>
      </c>
      <c r="F45" s="17">
        <v>6800</v>
      </c>
      <c r="G45" s="22">
        <v>6800</v>
      </c>
      <c r="H45" s="17">
        <f t="shared" si="0"/>
        <v>1020000</v>
      </c>
    </row>
    <row r="46" spans="1:11" x14ac:dyDescent="0.3">
      <c r="A46" s="29">
        <v>45629</v>
      </c>
      <c r="B46" s="9" t="s">
        <v>66</v>
      </c>
      <c r="C46" s="9" t="s">
        <v>1</v>
      </c>
      <c r="D46" s="10">
        <v>27</v>
      </c>
      <c r="E46" s="17">
        <v>28000</v>
      </c>
      <c r="F46" s="17" t="e">
        <v>#N/A</v>
      </c>
      <c r="G46" s="22">
        <v>28000</v>
      </c>
      <c r="H46" s="17">
        <f t="shared" si="0"/>
        <v>756000</v>
      </c>
      <c r="I46" s="18" t="s">
        <v>137</v>
      </c>
    </row>
    <row r="47" spans="1:11" x14ac:dyDescent="0.3">
      <c r="A47" s="29">
        <v>45629</v>
      </c>
      <c r="B47" s="9" t="s">
        <v>58</v>
      </c>
      <c r="C47" s="9" t="s">
        <v>1</v>
      </c>
      <c r="D47" s="10">
        <v>30</v>
      </c>
      <c r="E47" s="17">
        <v>30000</v>
      </c>
      <c r="F47" s="17">
        <v>30000</v>
      </c>
      <c r="G47" s="22">
        <v>30000</v>
      </c>
      <c r="H47" s="17">
        <f t="shared" si="0"/>
        <v>900000</v>
      </c>
    </row>
    <row r="48" spans="1:11" x14ac:dyDescent="0.3">
      <c r="A48" s="29">
        <v>45629</v>
      </c>
      <c r="B48" s="9" t="s">
        <v>60</v>
      </c>
      <c r="C48" s="9" t="s">
        <v>1</v>
      </c>
      <c r="D48" s="10">
        <v>10</v>
      </c>
      <c r="E48" s="17">
        <v>20000</v>
      </c>
      <c r="F48" s="17">
        <v>20000</v>
      </c>
      <c r="G48" s="22">
        <v>20000</v>
      </c>
      <c r="H48" s="17">
        <f t="shared" si="0"/>
        <v>200000</v>
      </c>
      <c r="I48" s="18" t="s">
        <v>138</v>
      </c>
    </row>
  </sheetData>
  <autoFilter ref="A2:K48" xr:uid="{00000000-0009-0000-0000-00001C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7"/>
  <dimension ref="A1:J51"/>
  <sheetViews>
    <sheetView workbookViewId="0">
      <selection activeCell="B14" sqref="B14"/>
    </sheetView>
  </sheetViews>
  <sheetFormatPr defaultRowHeight="13.8" x14ac:dyDescent="0.3"/>
  <cols>
    <col min="1" max="1" width="11" style="28" bestFit="1" customWidth="1"/>
    <col min="2" max="2" width="27.77734375" style="18" customWidth="1"/>
    <col min="3" max="3" width="11" style="18" bestFit="1" customWidth="1"/>
    <col min="4" max="4" width="9" style="18" bestFit="1" customWidth="1"/>
    <col min="5" max="5" width="13" style="21" bestFit="1" customWidth="1"/>
    <col min="6" max="6" width="11.44140625" style="21" customWidth="1"/>
    <col min="7" max="7" width="10.21875" style="23" bestFit="1" customWidth="1"/>
    <col min="8" max="8" width="13.5546875" style="18" bestFit="1" customWidth="1"/>
    <col min="9" max="9" width="30.88671875" style="18" customWidth="1"/>
    <col min="10" max="10" width="9" style="18" bestFit="1" customWidth="1"/>
    <col min="11" max="16384" width="8.88671875" style="18"/>
  </cols>
  <sheetData>
    <row r="1" spans="1:10" ht="15.6" x14ac:dyDescent="0.3">
      <c r="B1" s="18" t="s">
        <v>62</v>
      </c>
      <c r="C1" s="24">
        <v>45628</v>
      </c>
      <c r="E1" s="25"/>
      <c r="F1" s="25"/>
      <c r="G1" s="26"/>
      <c r="H1" s="27">
        <f>SUM(H3:H51)</f>
        <v>42897000</v>
      </c>
    </row>
    <row r="2" spans="1:10" s="19" customFormat="1" x14ac:dyDescent="0.3">
      <c r="A2" s="30" t="s">
        <v>83</v>
      </c>
      <c r="B2" s="30" t="s">
        <v>80</v>
      </c>
      <c r="C2" s="31" t="s">
        <v>81</v>
      </c>
      <c r="D2" s="30" t="s">
        <v>82</v>
      </c>
      <c r="E2" s="32" t="s">
        <v>143</v>
      </c>
      <c r="F2" s="32" t="s">
        <v>144</v>
      </c>
      <c r="G2" s="32" t="s">
        <v>85</v>
      </c>
      <c r="H2" s="30" t="s">
        <v>86</v>
      </c>
      <c r="I2" s="28" t="s">
        <v>145</v>
      </c>
      <c r="J2" s="28" t="s">
        <v>146</v>
      </c>
    </row>
    <row r="3" spans="1:10" x14ac:dyDescent="0.3">
      <c r="A3" s="29">
        <v>45628</v>
      </c>
      <c r="B3" s="9" t="s">
        <v>29</v>
      </c>
      <c r="C3" s="9" t="s">
        <v>1</v>
      </c>
      <c r="D3" s="10">
        <v>60</v>
      </c>
      <c r="E3" s="17">
        <v>22500</v>
      </c>
      <c r="F3" s="17">
        <v>22500</v>
      </c>
      <c r="G3" s="22">
        <v>22500</v>
      </c>
      <c r="H3" s="20">
        <f>G3*D3</f>
        <v>1350000</v>
      </c>
    </row>
    <row r="4" spans="1:10" x14ac:dyDescent="0.3">
      <c r="A4" s="29">
        <v>45628</v>
      </c>
      <c r="B4" s="9" t="s">
        <v>32</v>
      </c>
      <c r="C4" s="9" t="s">
        <v>1</v>
      </c>
      <c r="D4" s="10">
        <v>30</v>
      </c>
      <c r="E4" s="17">
        <v>25000</v>
      </c>
      <c r="F4" s="17">
        <v>25000</v>
      </c>
      <c r="G4" s="22">
        <v>25000</v>
      </c>
      <c r="H4" s="20">
        <f t="shared" ref="H4:H50" si="0">G4*D4</f>
        <v>750000</v>
      </c>
    </row>
    <row r="5" spans="1:10" x14ac:dyDescent="0.3">
      <c r="A5" s="29">
        <v>45628</v>
      </c>
      <c r="B5" s="9" t="s">
        <v>9</v>
      </c>
      <c r="C5" s="9" t="s">
        <v>1</v>
      </c>
      <c r="D5" s="10">
        <v>128</v>
      </c>
      <c r="E5" s="17">
        <v>21000</v>
      </c>
      <c r="F5" s="17">
        <v>21000</v>
      </c>
      <c r="G5" s="22">
        <v>21000</v>
      </c>
      <c r="H5" s="20">
        <f t="shared" si="0"/>
        <v>2688000</v>
      </c>
    </row>
    <row r="6" spans="1:10" x14ac:dyDescent="0.3">
      <c r="A6" s="29">
        <v>45628</v>
      </c>
      <c r="B6" s="9" t="s">
        <v>30</v>
      </c>
      <c r="C6" s="9" t="s">
        <v>1</v>
      </c>
      <c r="D6" s="10">
        <v>100</v>
      </c>
      <c r="E6" s="17">
        <v>31000</v>
      </c>
      <c r="F6" s="17">
        <v>31000</v>
      </c>
      <c r="G6" s="22">
        <v>31000</v>
      </c>
      <c r="H6" s="20">
        <f t="shared" si="0"/>
        <v>3100000</v>
      </c>
    </row>
    <row r="7" spans="1:10" x14ac:dyDescent="0.3">
      <c r="A7" s="29">
        <v>45628</v>
      </c>
      <c r="B7" s="9" t="s">
        <v>27</v>
      </c>
      <c r="C7" s="9" t="s">
        <v>16</v>
      </c>
      <c r="D7" s="10">
        <v>47</v>
      </c>
      <c r="E7" s="17">
        <v>9500</v>
      </c>
      <c r="F7" s="17">
        <v>9500</v>
      </c>
      <c r="G7" s="22">
        <v>9500</v>
      </c>
      <c r="H7" s="20">
        <f t="shared" si="0"/>
        <v>446500</v>
      </c>
    </row>
    <row r="8" spans="1:10" x14ac:dyDescent="0.3">
      <c r="A8" s="29">
        <v>45628</v>
      </c>
      <c r="B8" s="9" t="s">
        <v>34</v>
      </c>
      <c r="C8" s="9" t="s">
        <v>36</v>
      </c>
      <c r="D8" s="10">
        <v>20</v>
      </c>
      <c r="E8" s="17">
        <v>6500</v>
      </c>
      <c r="F8" s="17">
        <v>6500</v>
      </c>
      <c r="G8" s="22">
        <v>6500</v>
      </c>
      <c r="H8" s="20">
        <f t="shared" si="0"/>
        <v>130000</v>
      </c>
    </row>
    <row r="9" spans="1:10" x14ac:dyDescent="0.3">
      <c r="A9" s="29">
        <v>45628</v>
      </c>
      <c r="B9" s="9" t="s">
        <v>18</v>
      </c>
      <c r="C9" s="9" t="s">
        <v>1</v>
      </c>
      <c r="D9" s="10">
        <v>60</v>
      </c>
      <c r="E9" s="17">
        <v>21500</v>
      </c>
      <c r="F9" s="17">
        <v>21500</v>
      </c>
      <c r="G9" s="22">
        <v>21500</v>
      </c>
      <c r="H9" s="20">
        <f t="shared" si="0"/>
        <v>1290000</v>
      </c>
    </row>
    <row r="10" spans="1:10" x14ac:dyDescent="0.3">
      <c r="A10" s="29">
        <v>45628</v>
      </c>
      <c r="B10" s="9" t="s">
        <v>3</v>
      </c>
      <c r="C10" s="9" t="s">
        <v>4</v>
      </c>
      <c r="D10" s="10">
        <v>200</v>
      </c>
      <c r="E10" s="17">
        <v>2700</v>
      </c>
      <c r="F10" s="17">
        <v>9000</v>
      </c>
      <c r="G10" s="45">
        <v>2700</v>
      </c>
      <c r="H10" s="20">
        <f t="shared" si="0"/>
        <v>540000</v>
      </c>
      <c r="I10" s="18" t="s">
        <v>153</v>
      </c>
      <c r="J10" s="18">
        <v>0.3</v>
      </c>
    </row>
    <row r="11" spans="1:10" x14ac:dyDescent="0.3">
      <c r="A11" s="29">
        <v>45628</v>
      </c>
      <c r="B11" s="9" t="s">
        <v>40</v>
      </c>
      <c r="C11" s="9" t="s">
        <v>25</v>
      </c>
      <c r="D11" s="10">
        <v>40</v>
      </c>
      <c r="E11" s="17">
        <v>4050</v>
      </c>
      <c r="F11" s="17">
        <v>27000</v>
      </c>
      <c r="G11" s="45">
        <v>4050</v>
      </c>
      <c r="H11" s="20">
        <f t="shared" si="0"/>
        <v>162000</v>
      </c>
      <c r="I11" s="18" t="s">
        <v>152</v>
      </c>
      <c r="J11" s="18">
        <v>0.15</v>
      </c>
    </row>
    <row r="12" spans="1:10" x14ac:dyDescent="0.3">
      <c r="A12" s="29">
        <v>45628</v>
      </c>
      <c r="B12" s="9" t="s">
        <v>63</v>
      </c>
      <c r="C12" s="9" t="s">
        <v>1</v>
      </c>
      <c r="D12" s="10">
        <v>36</v>
      </c>
      <c r="E12" s="17">
        <v>14000</v>
      </c>
      <c r="F12" s="17">
        <v>14000</v>
      </c>
      <c r="G12" s="22">
        <v>14000</v>
      </c>
      <c r="H12" s="20">
        <f t="shared" si="0"/>
        <v>504000</v>
      </c>
    </row>
    <row r="13" spans="1:10" x14ac:dyDescent="0.3">
      <c r="A13" s="29">
        <v>45628</v>
      </c>
      <c r="B13" s="9" t="s">
        <v>47</v>
      </c>
      <c r="C13" s="9" t="s">
        <v>49</v>
      </c>
      <c r="D13" s="10">
        <v>300</v>
      </c>
      <c r="E13" s="17">
        <v>8250</v>
      </c>
      <c r="F13" s="17">
        <v>33000</v>
      </c>
      <c r="G13" s="45">
        <v>8250</v>
      </c>
      <c r="H13" s="20">
        <f t="shared" si="0"/>
        <v>2475000</v>
      </c>
      <c r="I13" s="18" t="s">
        <v>149</v>
      </c>
      <c r="J13" s="18">
        <v>0.25</v>
      </c>
    </row>
    <row r="14" spans="1:10" x14ac:dyDescent="0.3">
      <c r="A14" s="29">
        <v>45628</v>
      </c>
      <c r="B14" s="9" t="s">
        <v>64</v>
      </c>
      <c r="C14" s="9" t="s">
        <v>1</v>
      </c>
      <c r="D14" s="10">
        <v>24</v>
      </c>
      <c r="E14" s="17">
        <v>50000</v>
      </c>
      <c r="F14" s="17">
        <v>50000</v>
      </c>
      <c r="G14" s="22">
        <v>50000</v>
      </c>
      <c r="H14" s="20">
        <f t="shared" si="0"/>
        <v>1200000</v>
      </c>
    </row>
    <row r="15" spans="1:10" x14ac:dyDescent="0.3">
      <c r="A15" s="29">
        <v>45628</v>
      </c>
      <c r="B15" s="9" t="s">
        <v>15</v>
      </c>
      <c r="C15" s="9" t="s">
        <v>16</v>
      </c>
      <c r="D15" s="10">
        <v>20</v>
      </c>
      <c r="E15" s="17">
        <v>16050</v>
      </c>
      <c r="F15" s="17">
        <v>53500</v>
      </c>
      <c r="G15" s="45">
        <v>16050</v>
      </c>
      <c r="H15" s="20">
        <f t="shared" si="0"/>
        <v>321000</v>
      </c>
      <c r="I15" s="18" t="s">
        <v>150</v>
      </c>
      <c r="J15" s="18">
        <v>0.3</v>
      </c>
    </row>
    <row r="16" spans="1:10" x14ac:dyDescent="0.3">
      <c r="A16" s="29">
        <v>45628</v>
      </c>
      <c r="B16" s="9" t="s">
        <v>17</v>
      </c>
      <c r="C16" s="9" t="s">
        <v>14</v>
      </c>
      <c r="D16" s="10">
        <v>100</v>
      </c>
      <c r="E16" s="17">
        <v>14000</v>
      </c>
      <c r="F16" s="17">
        <v>49500</v>
      </c>
      <c r="G16" s="22">
        <v>14000</v>
      </c>
      <c r="H16" s="20">
        <f t="shared" si="0"/>
        <v>1400000</v>
      </c>
    </row>
    <row r="17" spans="1:10" x14ac:dyDescent="0.3">
      <c r="A17" s="29">
        <v>45628</v>
      </c>
      <c r="B17" s="9" t="s">
        <v>65</v>
      </c>
      <c r="C17" s="9" t="s">
        <v>7</v>
      </c>
      <c r="D17" s="10">
        <v>40</v>
      </c>
      <c r="E17" s="17">
        <v>2500</v>
      </c>
      <c r="F17" s="17">
        <v>5000</v>
      </c>
      <c r="G17" s="45">
        <v>2500</v>
      </c>
      <c r="H17" s="20">
        <f t="shared" si="0"/>
        <v>100000</v>
      </c>
      <c r="I17" s="18" t="s">
        <v>154</v>
      </c>
      <c r="J17" s="18">
        <v>0.5</v>
      </c>
    </row>
    <row r="18" spans="1:10" x14ac:dyDescent="0.3">
      <c r="A18" s="29">
        <v>45628</v>
      </c>
      <c r="B18" s="9" t="s">
        <v>5</v>
      </c>
      <c r="C18" s="9" t="s">
        <v>7</v>
      </c>
      <c r="D18" s="10">
        <v>120</v>
      </c>
      <c r="E18" s="17">
        <v>3000</v>
      </c>
      <c r="F18" s="17">
        <v>10000</v>
      </c>
      <c r="G18" s="45">
        <v>3000</v>
      </c>
      <c r="H18" s="20">
        <f t="shared" si="0"/>
        <v>360000</v>
      </c>
      <c r="I18" s="18" t="s">
        <v>151</v>
      </c>
      <c r="J18" s="18">
        <v>0.3</v>
      </c>
    </row>
    <row r="19" spans="1:10" x14ac:dyDescent="0.3">
      <c r="A19" s="29">
        <v>45628</v>
      </c>
      <c r="B19" s="9" t="s">
        <v>31</v>
      </c>
      <c r="C19" s="9" t="s">
        <v>1</v>
      </c>
      <c r="D19" s="10">
        <v>100</v>
      </c>
      <c r="E19" s="17">
        <v>17500</v>
      </c>
      <c r="F19" s="17">
        <v>17500</v>
      </c>
      <c r="G19" s="22">
        <v>17500</v>
      </c>
      <c r="H19" s="20">
        <f t="shared" si="0"/>
        <v>1750000</v>
      </c>
    </row>
    <row r="20" spans="1:10" x14ac:dyDescent="0.3">
      <c r="A20" s="29">
        <v>45628</v>
      </c>
      <c r="B20" s="9" t="s">
        <v>54</v>
      </c>
      <c r="C20" s="9" t="s">
        <v>1</v>
      </c>
      <c r="D20" s="10">
        <v>25</v>
      </c>
      <c r="E20" s="17">
        <v>15000</v>
      </c>
      <c r="F20" s="17">
        <v>15000</v>
      </c>
      <c r="G20" s="22">
        <v>15000</v>
      </c>
      <c r="H20" s="20">
        <f t="shared" si="0"/>
        <v>375000</v>
      </c>
    </row>
    <row r="21" spans="1:10" x14ac:dyDescent="0.3">
      <c r="A21" s="29">
        <v>45628</v>
      </c>
      <c r="B21" s="9" t="s">
        <v>66</v>
      </c>
      <c r="C21" s="9" t="s">
        <v>1</v>
      </c>
      <c r="D21" s="10">
        <v>50</v>
      </c>
      <c r="E21" s="17">
        <v>28000</v>
      </c>
      <c r="F21" s="17" t="e">
        <v>#N/A</v>
      </c>
      <c r="G21" s="45">
        <v>28000</v>
      </c>
      <c r="H21" s="20">
        <f t="shared" si="0"/>
        <v>1400000</v>
      </c>
      <c r="I21" s="18" t="s">
        <v>155</v>
      </c>
      <c r="J21" s="18">
        <v>1</v>
      </c>
    </row>
    <row r="22" spans="1:10" x14ac:dyDescent="0.3">
      <c r="A22" s="29">
        <v>45628</v>
      </c>
      <c r="B22" s="9" t="s">
        <v>46</v>
      </c>
      <c r="C22" s="9" t="s">
        <v>1</v>
      </c>
      <c r="D22" s="10">
        <v>30</v>
      </c>
      <c r="E22" s="17">
        <v>52000</v>
      </c>
      <c r="F22" s="17">
        <v>52000</v>
      </c>
      <c r="G22" s="22">
        <v>52000</v>
      </c>
      <c r="H22" s="20">
        <f t="shared" si="0"/>
        <v>1560000</v>
      </c>
    </row>
    <row r="23" spans="1:10" x14ac:dyDescent="0.3">
      <c r="A23" s="29">
        <v>45628</v>
      </c>
      <c r="B23" s="9" t="s">
        <v>37</v>
      </c>
      <c r="C23" s="9" t="s">
        <v>11</v>
      </c>
      <c r="D23" s="10">
        <v>610</v>
      </c>
      <c r="E23" s="17">
        <v>6000</v>
      </c>
      <c r="F23" s="17">
        <v>6000</v>
      </c>
      <c r="G23" s="22">
        <v>6000</v>
      </c>
      <c r="H23" s="20">
        <f t="shared" si="0"/>
        <v>3660000</v>
      </c>
    </row>
    <row r="24" spans="1:10" x14ac:dyDescent="0.3">
      <c r="A24" s="29">
        <v>45628</v>
      </c>
      <c r="B24" s="9" t="s">
        <v>39</v>
      </c>
      <c r="C24" s="9" t="s">
        <v>1</v>
      </c>
      <c r="D24" s="10">
        <v>40</v>
      </c>
      <c r="E24" s="17">
        <v>4000</v>
      </c>
      <c r="F24" s="17">
        <v>4000</v>
      </c>
      <c r="G24" s="22">
        <v>4000</v>
      </c>
      <c r="H24" s="20">
        <f t="shared" si="0"/>
        <v>160000</v>
      </c>
    </row>
    <row r="25" spans="1:10" x14ac:dyDescent="0.3">
      <c r="A25" s="29">
        <v>45628</v>
      </c>
      <c r="B25" s="9" t="s">
        <v>24</v>
      </c>
      <c r="C25" s="9" t="s">
        <v>25</v>
      </c>
      <c r="D25" s="10">
        <v>60</v>
      </c>
      <c r="E25" s="17">
        <v>10000</v>
      </c>
      <c r="F25" s="17">
        <v>20000</v>
      </c>
      <c r="G25" s="45">
        <v>10000</v>
      </c>
      <c r="H25" s="20">
        <f t="shared" si="0"/>
        <v>600000</v>
      </c>
      <c r="I25" s="18" t="s">
        <v>156</v>
      </c>
      <c r="J25" s="18">
        <v>0.5</v>
      </c>
    </row>
    <row r="26" spans="1:10" x14ac:dyDescent="0.3">
      <c r="A26" s="29">
        <v>45628</v>
      </c>
      <c r="B26" s="9" t="s">
        <v>50</v>
      </c>
      <c r="C26" s="9" t="s">
        <v>49</v>
      </c>
      <c r="D26" s="10">
        <v>100</v>
      </c>
      <c r="E26" s="17">
        <v>6250</v>
      </c>
      <c r="F26" s="17">
        <v>25000</v>
      </c>
      <c r="G26" s="22">
        <v>6250</v>
      </c>
      <c r="H26" s="20">
        <f t="shared" si="0"/>
        <v>625000</v>
      </c>
      <c r="I26" s="18" t="s">
        <v>149</v>
      </c>
      <c r="J26" s="18">
        <v>0.25</v>
      </c>
    </row>
    <row r="27" spans="1:10" x14ac:dyDescent="0.3">
      <c r="A27" s="29">
        <v>45628</v>
      </c>
      <c r="B27" s="9" t="s">
        <v>45</v>
      </c>
      <c r="C27" s="9" t="s">
        <v>22</v>
      </c>
      <c r="D27" s="10">
        <v>200</v>
      </c>
      <c r="E27" s="17">
        <v>1800</v>
      </c>
      <c r="F27" s="17">
        <v>36000</v>
      </c>
      <c r="G27" s="45">
        <v>1800</v>
      </c>
      <c r="H27" s="20">
        <f t="shared" si="0"/>
        <v>360000</v>
      </c>
      <c r="I27" s="18" t="s">
        <v>157</v>
      </c>
      <c r="J27" s="18">
        <v>0.05</v>
      </c>
    </row>
    <row r="28" spans="1:10" x14ac:dyDescent="0.3">
      <c r="A28" s="29">
        <v>45628</v>
      </c>
      <c r="B28" s="9" t="s">
        <v>57</v>
      </c>
      <c r="C28" s="9" t="s">
        <v>25</v>
      </c>
      <c r="D28" s="10">
        <v>20</v>
      </c>
      <c r="E28" s="17">
        <v>6800</v>
      </c>
      <c r="F28" s="17">
        <v>6800</v>
      </c>
      <c r="G28" s="22">
        <v>6800</v>
      </c>
      <c r="H28" s="20">
        <f t="shared" si="0"/>
        <v>136000</v>
      </c>
    </row>
    <row r="29" spans="1:10" x14ac:dyDescent="0.3">
      <c r="A29" s="29">
        <v>45628</v>
      </c>
      <c r="B29" s="9" t="s">
        <v>55</v>
      </c>
      <c r="C29" s="9" t="s">
        <v>25</v>
      </c>
      <c r="D29" s="10">
        <v>150</v>
      </c>
      <c r="E29" s="17">
        <v>6800</v>
      </c>
      <c r="F29" s="17">
        <v>6800</v>
      </c>
      <c r="G29" s="22">
        <v>6800</v>
      </c>
      <c r="H29" s="20">
        <f t="shared" si="0"/>
        <v>1020000</v>
      </c>
    </row>
    <row r="30" spans="1:10" x14ac:dyDescent="0.3">
      <c r="A30" s="29">
        <v>45628</v>
      </c>
      <c r="B30" s="9" t="s">
        <v>8</v>
      </c>
      <c r="C30" s="9" t="s">
        <v>11</v>
      </c>
      <c r="D30" s="10">
        <v>30</v>
      </c>
      <c r="E30" s="17">
        <v>7000</v>
      </c>
      <c r="F30" s="17">
        <v>35000</v>
      </c>
      <c r="G30" s="22">
        <v>7000</v>
      </c>
      <c r="H30" s="20">
        <f t="shared" si="0"/>
        <v>210000</v>
      </c>
      <c r="I30" s="18" t="s">
        <v>158</v>
      </c>
      <c r="J30" s="18">
        <v>0.2</v>
      </c>
    </row>
    <row r="31" spans="1:10" x14ac:dyDescent="0.3">
      <c r="A31" s="29">
        <v>45628</v>
      </c>
      <c r="B31" s="9" t="s">
        <v>21</v>
      </c>
      <c r="C31" s="9" t="s">
        <v>22</v>
      </c>
      <c r="D31" s="10">
        <v>120</v>
      </c>
      <c r="E31" s="17">
        <v>4800</v>
      </c>
      <c r="F31" s="17">
        <v>16000</v>
      </c>
      <c r="G31" s="45">
        <v>4800</v>
      </c>
      <c r="H31" s="20">
        <f t="shared" si="0"/>
        <v>576000</v>
      </c>
      <c r="I31" s="18" t="s">
        <v>160</v>
      </c>
      <c r="J31" s="18">
        <v>0.3</v>
      </c>
    </row>
    <row r="32" spans="1:10" x14ac:dyDescent="0.3">
      <c r="A32" s="29">
        <v>45628</v>
      </c>
      <c r="B32" s="9" t="s">
        <v>21</v>
      </c>
      <c r="C32" s="9" t="s">
        <v>23</v>
      </c>
      <c r="D32" s="10">
        <v>15</v>
      </c>
      <c r="E32" s="17">
        <v>2400</v>
      </c>
      <c r="F32" s="17">
        <v>16000</v>
      </c>
      <c r="G32" s="45">
        <v>2400</v>
      </c>
      <c r="H32" s="20">
        <f t="shared" si="0"/>
        <v>36000</v>
      </c>
      <c r="I32" s="18" t="s">
        <v>161</v>
      </c>
      <c r="J32" s="18">
        <v>0.15</v>
      </c>
    </row>
    <row r="33" spans="1:10" x14ac:dyDescent="0.3">
      <c r="A33" s="29">
        <v>45628</v>
      </c>
      <c r="B33" s="9" t="s">
        <v>19</v>
      </c>
      <c r="C33" s="9" t="s">
        <v>1</v>
      </c>
      <c r="D33" s="10">
        <v>40</v>
      </c>
      <c r="E33" s="17">
        <v>15000</v>
      </c>
      <c r="F33" s="17">
        <v>15000</v>
      </c>
      <c r="G33" s="22">
        <v>15000</v>
      </c>
      <c r="H33" s="20">
        <f t="shared" si="0"/>
        <v>600000</v>
      </c>
    </row>
    <row r="34" spans="1:10" x14ac:dyDescent="0.3">
      <c r="A34" s="29">
        <v>45628</v>
      </c>
      <c r="B34" s="9" t="s">
        <v>13</v>
      </c>
      <c r="C34" s="9" t="s">
        <v>14</v>
      </c>
      <c r="D34" s="10">
        <v>240</v>
      </c>
      <c r="E34" s="17">
        <v>9000</v>
      </c>
      <c r="F34" s="17">
        <v>9000</v>
      </c>
      <c r="G34" s="22">
        <v>9000</v>
      </c>
      <c r="H34" s="20">
        <f t="shared" si="0"/>
        <v>2160000</v>
      </c>
    </row>
    <row r="35" spans="1:10" s="53" customFormat="1" x14ac:dyDescent="0.3">
      <c r="A35" s="48">
        <v>45628</v>
      </c>
      <c r="B35" s="49" t="s">
        <v>10</v>
      </c>
      <c r="C35" s="49" t="s">
        <v>12</v>
      </c>
      <c r="D35" s="50">
        <v>133</v>
      </c>
      <c r="E35" s="51">
        <v>9500</v>
      </c>
      <c r="F35" s="51">
        <v>19000</v>
      </c>
      <c r="G35" s="59">
        <v>9500</v>
      </c>
      <c r="H35" s="60">
        <f t="shared" si="0"/>
        <v>1263500</v>
      </c>
      <c r="I35" s="53" t="s">
        <v>162</v>
      </c>
      <c r="J35" s="53">
        <v>0.5</v>
      </c>
    </row>
    <row r="36" spans="1:10" x14ac:dyDescent="0.3">
      <c r="A36" s="29">
        <v>45628</v>
      </c>
      <c r="B36" s="9" t="s">
        <v>20</v>
      </c>
      <c r="C36" s="9" t="s">
        <v>11</v>
      </c>
      <c r="D36" s="10">
        <v>80</v>
      </c>
      <c r="E36" s="17">
        <v>8000</v>
      </c>
      <c r="F36" s="17">
        <v>40000</v>
      </c>
      <c r="G36" s="45">
        <v>8000</v>
      </c>
      <c r="H36" s="20">
        <f t="shared" si="0"/>
        <v>640000</v>
      </c>
      <c r="I36" s="18" t="s">
        <v>159</v>
      </c>
      <c r="J36" s="18">
        <v>0.2</v>
      </c>
    </row>
    <row r="37" spans="1:10" x14ac:dyDescent="0.3">
      <c r="A37" s="29">
        <v>45628</v>
      </c>
      <c r="B37" s="9" t="s">
        <v>67</v>
      </c>
      <c r="C37" s="9" t="s">
        <v>1</v>
      </c>
      <c r="D37" s="10">
        <v>60</v>
      </c>
      <c r="E37" s="17">
        <v>10000</v>
      </c>
      <c r="F37" s="17">
        <v>10000</v>
      </c>
      <c r="G37" s="22">
        <v>10000</v>
      </c>
      <c r="H37" s="20">
        <f t="shared" si="0"/>
        <v>600000</v>
      </c>
    </row>
    <row r="38" spans="1:10" x14ac:dyDescent="0.3">
      <c r="A38" s="29">
        <v>45628</v>
      </c>
      <c r="B38" s="9" t="s">
        <v>6</v>
      </c>
      <c r="C38" s="9" t="s">
        <v>1</v>
      </c>
      <c r="D38" s="10">
        <v>100</v>
      </c>
      <c r="E38" s="17">
        <v>35000</v>
      </c>
      <c r="F38" s="17">
        <v>35000</v>
      </c>
      <c r="G38" s="22">
        <v>35000</v>
      </c>
      <c r="H38" s="20">
        <f t="shared" si="0"/>
        <v>3500000</v>
      </c>
    </row>
    <row r="39" spans="1:10" s="53" customFormat="1" x14ac:dyDescent="0.3">
      <c r="A39" s="48">
        <v>45628</v>
      </c>
      <c r="B39" s="49" t="s">
        <v>68</v>
      </c>
      <c r="C39" s="49" t="s">
        <v>1</v>
      </c>
      <c r="D39" s="50">
        <v>15</v>
      </c>
      <c r="E39" s="51">
        <v>32000</v>
      </c>
      <c r="F39" s="51">
        <v>32000</v>
      </c>
      <c r="G39" s="52">
        <v>32000</v>
      </c>
      <c r="H39" s="60">
        <f t="shared" si="0"/>
        <v>480000</v>
      </c>
    </row>
    <row r="40" spans="1:10" x14ac:dyDescent="0.3">
      <c r="A40" s="29">
        <v>45628</v>
      </c>
      <c r="B40" s="9" t="s">
        <v>69</v>
      </c>
      <c r="C40" s="9" t="s">
        <v>1</v>
      </c>
      <c r="D40" s="10">
        <v>20</v>
      </c>
      <c r="E40" s="17">
        <v>6000</v>
      </c>
      <c r="F40" s="17">
        <v>6000</v>
      </c>
      <c r="G40" s="22">
        <v>6000</v>
      </c>
      <c r="H40" s="20">
        <f t="shared" si="0"/>
        <v>120000</v>
      </c>
    </row>
    <row r="41" spans="1:10" x14ac:dyDescent="0.3">
      <c r="A41" s="29">
        <v>45628</v>
      </c>
      <c r="B41" s="9" t="s">
        <v>26</v>
      </c>
      <c r="C41" s="9" t="s">
        <v>11</v>
      </c>
      <c r="D41" s="10">
        <v>20</v>
      </c>
      <c r="E41" s="17">
        <v>6500</v>
      </c>
      <c r="F41" s="17">
        <v>26000</v>
      </c>
      <c r="G41" s="45">
        <v>6500</v>
      </c>
      <c r="H41" s="20">
        <f t="shared" si="0"/>
        <v>130000</v>
      </c>
      <c r="I41" s="18" t="s">
        <v>163</v>
      </c>
      <c r="J41" s="18">
        <v>0.25</v>
      </c>
    </row>
    <row r="42" spans="1:10" x14ac:dyDescent="0.3">
      <c r="A42" s="29">
        <v>45628</v>
      </c>
      <c r="B42" s="9" t="s">
        <v>28</v>
      </c>
      <c r="C42" s="9" t="s">
        <v>1</v>
      </c>
      <c r="D42" s="10">
        <v>20</v>
      </c>
      <c r="E42" s="17">
        <v>4500</v>
      </c>
      <c r="F42" s="17">
        <v>4500</v>
      </c>
      <c r="G42" s="22">
        <v>4500</v>
      </c>
      <c r="H42" s="20">
        <f t="shared" si="0"/>
        <v>90000</v>
      </c>
    </row>
    <row r="43" spans="1:10" x14ac:dyDescent="0.3">
      <c r="A43" s="29">
        <v>45628</v>
      </c>
      <c r="B43" s="9" t="s">
        <v>38</v>
      </c>
      <c r="C43" s="9" t="s">
        <v>22</v>
      </c>
      <c r="D43" s="10">
        <v>20</v>
      </c>
      <c r="E43" s="17">
        <v>5400</v>
      </c>
      <c r="F43" s="17">
        <v>9000</v>
      </c>
      <c r="G43" s="45">
        <v>5400</v>
      </c>
      <c r="H43" s="20">
        <f t="shared" si="0"/>
        <v>108000</v>
      </c>
      <c r="I43" s="18" t="s">
        <v>164</v>
      </c>
      <c r="J43" s="18">
        <v>0.6</v>
      </c>
    </row>
    <row r="44" spans="1:10" x14ac:dyDescent="0.3">
      <c r="A44" s="29">
        <v>45628</v>
      </c>
      <c r="B44" s="9" t="s">
        <v>70</v>
      </c>
      <c r="C44" s="9" t="s">
        <v>1</v>
      </c>
      <c r="D44" s="10">
        <v>21</v>
      </c>
      <c r="E44" s="17">
        <v>27666.666666666668</v>
      </c>
      <c r="F44" s="17" t="e">
        <v>#N/A</v>
      </c>
      <c r="G44" s="45">
        <v>27666.666666666668</v>
      </c>
      <c r="H44" s="20">
        <f t="shared" si="0"/>
        <v>581000</v>
      </c>
      <c r="I44" s="18" t="s">
        <v>136</v>
      </c>
      <c r="J44" s="18">
        <v>1</v>
      </c>
    </row>
    <row r="45" spans="1:10" x14ac:dyDescent="0.3">
      <c r="A45" s="29">
        <v>45628</v>
      </c>
      <c r="B45" s="9" t="s">
        <v>48</v>
      </c>
      <c r="C45" s="9" t="s">
        <v>1</v>
      </c>
      <c r="D45" s="10">
        <v>24</v>
      </c>
      <c r="E45" s="17">
        <v>49000</v>
      </c>
      <c r="F45" s="17">
        <v>49000</v>
      </c>
      <c r="G45" s="22">
        <v>49000</v>
      </c>
      <c r="H45" s="20">
        <f t="shared" si="0"/>
        <v>1176000</v>
      </c>
    </row>
    <row r="46" spans="1:10" x14ac:dyDescent="0.3">
      <c r="A46" s="29">
        <v>45628</v>
      </c>
      <c r="B46" s="9" t="s">
        <v>58</v>
      </c>
      <c r="C46" s="9" t="s">
        <v>1</v>
      </c>
      <c r="D46" s="10">
        <v>21</v>
      </c>
      <c r="E46" s="17">
        <v>30000</v>
      </c>
      <c r="F46" s="17">
        <v>30000</v>
      </c>
      <c r="G46" s="22">
        <v>30000</v>
      </c>
      <c r="H46" s="20">
        <f t="shared" si="0"/>
        <v>630000</v>
      </c>
    </row>
    <row r="47" spans="1:10" x14ac:dyDescent="0.3">
      <c r="A47" s="29">
        <v>45628</v>
      </c>
      <c r="B47" s="9" t="s">
        <v>61</v>
      </c>
      <c r="C47" s="9" t="s">
        <v>25</v>
      </c>
      <c r="D47" s="10">
        <v>10</v>
      </c>
      <c r="E47" s="17">
        <v>6800</v>
      </c>
      <c r="F47" s="17">
        <v>6800</v>
      </c>
      <c r="G47" s="22">
        <v>6800</v>
      </c>
      <c r="H47" s="20">
        <f t="shared" si="0"/>
        <v>68000</v>
      </c>
    </row>
    <row r="48" spans="1:10" x14ac:dyDescent="0.3">
      <c r="A48" s="29">
        <v>45628</v>
      </c>
      <c r="B48" s="9" t="s">
        <v>0</v>
      </c>
      <c r="C48" s="9" t="s">
        <v>1</v>
      </c>
      <c r="D48" s="10">
        <v>20</v>
      </c>
      <c r="E48" s="17">
        <v>30000</v>
      </c>
      <c r="F48" s="17">
        <v>30000</v>
      </c>
      <c r="G48" s="22">
        <v>30000</v>
      </c>
      <c r="H48" s="20">
        <f t="shared" si="0"/>
        <v>600000</v>
      </c>
    </row>
    <row r="49" spans="1:10" x14ac:dyDescent="0.3">
      <c r="A49" s="29">
        <v>45628</v>
      </c>
      <c r="B49" s="9" t="s">
        <v>42</v>
      </c>
      <c r="C49" s="9" t="s">
        <v>44</v>
      </c>
      <c r="D49" s="10">
        <v>15</v>
      </c>
      <c r="E49" s="17">
        <v>8400</v>
      </c>
      <c r="F49" s="17">
        <v>28000</v>
      </c>
      <c r="G49" s="45">
        <v>8400</v>
      </c>
      <c r="H49" s="20">
        <f t="shared" si="0"/>
        <v>126000</v>
      </c>
      <c r="I49" s="18" t="s">
        <v>165</v>
      </c>
      <c r="J49" s="18">
        <v>0.3</v>
      </c>
    </row>
    <row r="50" spans="1:10" x14ac:dyDescent="0.3">
      <c r="A50" s="29">
        <v>45628</v>
      </c>
      <c r="B50" s="9" t="s">
        <v>60</v>
      </c>
      <c r="C50" s="9" t="s">
        <v>1</v>
      </c>
      <c r="D50" s="10">
        <v>11</v>
      </c>
      <c r="E50" s="17">
        <v>20000</v>
      </c>
      <c r="F50" s="17">
        <v>20000</v>
      </c>
      <c r="G50" s="22">
        <v>20000</v>
      </c>
      <c r="H50" s="20">
        <f t="shared" si="0"/>
        <v>220000</v>
      </c>
    </row>
    <row r="51" spans="1:10" x14ac:dyDescent="0.3">
      <c r="A51" s="29">
        <v>45628</v>
      </c>
      <c r="B51" s="9" t="s">
        <v>71</v>
      </c>
      <c r="C51" s="9" t="s">
        <v>1</v>
      </c>
      <c r="D51" s="10">
        <v>40</v>
      </c>
      <c r="E51" s="17">
        <v>13000</v>
      </c>
      <c r="F51" s="17">
        <v>13000</v>
      </c>
      <c r="G51" s="22">
        <v>13000</v>
      </c>
      <c r="H51" s="20">
        <f>G51*D51</f>
        <v>520000</v>
      </c>
    </row>
  </sheetData>
  <autoFilter ref="A2:F51" xr:uid="{00000000-0009-0000-0000-00001D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8"/>
  <dimension ref="A1:H54"/>
  <sheetViews>
    <sheetView topLeftCell="A34" workbookViewId="0">
      <selection activeCell="M9" sqref="M9"/>
    </sheetView>
  </sheetViews>
  <sheetFormatPr defaultRowHeight="13.8" x14ac:dyDescent="0.25"/>
  <cols>
    <col min="1" max="1" width="25.44140625" style="1" customWidth="1"/>
    <col min="2" max="2" width="10.5546875" style="1" bestFit="1" customWidth="1"/>
    <col min="3" max="3" width="8.88671875" style="1"/>
    <col min="4" max="4" width="10.5546875" style="1" bestFit="1" customWidth="1"/>
    <col min="5" max="5" width="35" style="3" bestFit="1" customWidth="1"/>
    <col min="6" max="7" width="11.33203125" style="4" bestFit="1" customWidth="1"/>
    <col min="8" max="8" width="14.88671875" style="4" bestFit="1" customWidth="1"/>
    <col min="9" max="16384" width="8.88671875" style="1"/>
  </cols>
  <sheetData>
    <row r="1" spans="1:8" ht="15.6" x14ac:dyDescent="0.3">
      <c r="A1" s="1" t="s">
        <v>62</v>
      </c>
      <c r="B1" s="2">
        <v>45627</v>
      </c>
      <c r="H1" s="16">
        <f>SUM(H3:H54)</f>
        <v>50369925</v>
      </c>
    </row>
    <row r="2" spans="1:8" x14ac:dyDescent="0.25">
      <c r="A2" s="5" t="s">
        <v>80</v>
      </c>
      <c r="B2" s="6" t="s">
        <v>81</v>
      </c>
      <c r="C2" s="5" t="s">
        <v>82</v>
      </c>
      <c r="D2" s="5" t="s">
        <v>83</v>
      </c>
      <c r="E2" s="7" t="s">
        <v>84</v>
      </c>
      <c r="F2" s="8" t="s">
        <v>85</v>
      </c>
      <c r="G2" s="8" t="s">
        <v>85</v>
      </c>
      <c r="H2" s="8" t="s">
        <v>86</v>
      </c>
    </row>
    <row r="3" spans="1:8" x14ac:dyDescent="0.25">
      <c r="A3" s="9" t="s">
        <v>0</v>
      </c>
      <c r="B3" s="9" t="s">
        <v>1</v>
      </c>
      <c r="C3" s="10">
        <v>20</v>
      </c>
      <c r="D3" s="11">
        <v>45627</v>
      </c>
      <c r="E3" s="12" t="s">
        <v>87</v>
      </c>
      <c r="F3" s="13">
        <f>VLOOKUP(E3,'[1]CỘT MUA PHỤ'!$A:$B,2,0)</f>
        <v>30000</v>
      </c>
      <c r="G3" s="13">
        <v>30000</v>
      </c>
      <c r="H3" s="13">
        <f>C3*G3</f>
        <v>600000</v>
      </c>
    </row>
    <row r="4" spans="1:8" x14ac:dyDescent="0.25">
      <c r="A4" s="9" t="s">
        <v>2</v>
      </c>
      <c r="B4" s="9" t="s">
        <v>1</v>
      </c>
      <c r="C4" s="10">
        <v>0</v>
      </c>
      <c r="D4" s="11">
        <v>45627</v>
      </c>
      <c r="E4" s="14" t="s">
        <v>88</v>
      </c>
      <c r="F4" s="13">
        <v>0</v>
      </c>
      <c r="G4" s="13">
        <v>0</v>
      </c>
      <c r="H4" s="13">
        <f t="shared" ref="H4:H54" si="0">C4*G4</f>
        <v>0</v>
      </c>
    </row>
    <row r="5" spans="1:8" x14ac:dyDescent="0.25">
      <c r="A5" s="9" t="s">
        <v>3</v>
      </c>
      <c r="B5" s="9" t="s">
        <v>4</v>
      </c>
      <c r="C5" s="10">
        <v>300</v>
      </c>
      <c r="D5" s="11">
        <v>45627</v>
      </c>
      <c r="E5" s="14" t="s">
        <v>89</v>
      </c>
      <c r="F5" s="15">
        <f>VLOOKUP(E5,'[1]CỘT MUA PHỤ'!$A:$B,2,0)*0.3</f>
        <v>2400</v>
      </c>
      <c r="G5" s="15">
        <v>2400</v>
      </c>
      <c r="H5" s="13">
        <f t="shared" si="0"/>
        <v>720000</v>
      </c>
    </row>
    <row r="6" spans="1:8" x14ac:dyDescent="0.25">
      <c r="A6" s="9" t="s">
        <v>5</v>
      </c>
      <c r="B6" s="9" t="s">
        <v>7</v>
      </c>
      <c r="C6" s="10">
        <v>200</v>
      </c>
      <c r="D6" s="11">
        <v>45627</v>
      </c>
      <c r="E6" s="14" t="s">
        <v>90</v>
      </c>
      <c r="F6" s="15">
        <f>VLOOKUP(E6,'[1]CỘT MUA PHỤ'!$A:$B,2,0)*0.3</f>
        <v>3000</v>
      </c>
      <c r="G6" s="15">
        <v>3000</v>
      </c>
      <c r="H6" s="13">
        <f t="shared" si="0"/>
        <v>600000</v>
      </c>
    </row>
    <row r="7" spans="1:8" x14ac:dyDescent="0.25">
      <c r="A7" s="9" t="s">
        <v>6</v>
      </c>
      <c r="B7" s="9" t="s">
        <v>1</v>
      </c>
      <c r="C7" s="10">
        <v>70</v>
      </c>
      <c r="D7" s="11">
        <v>45627</v>
      </c>
      <c r="E7" s="12" t="s">
        <v>91</v>
      </c>
      <c r="F7" s="13">
        <f>VLOOKUP(E7,'[1]CỘT MUA PHỤ'!$A:$B,2,0)</f>
        <v>45000</v>
      </c>
      <c r="G7" s="13">
        <v>45000</v>
      </c>
      <c r="H7" s="13">
        <f t="shared" si="0"/>
        <v>3150000</v>
      </c>
    </row>
    <row r="8" spans="1:8" x14ac:dyDescent="0.25">
      <c r="A8" s="9" t="s">
        <v>8</v>
      </c>
      <c r="B8" s="9" t="s">
        <v>11</v>
      </c>
      <c r="C8" s="10">
        <v>40</v>
      </c>
      <c r="D8" s="11">
        <v>45627</v>
      </c>
      <c r="E8" s="14" t="s">
        <v>92</v>
      </c>
      <c r="F8" s="15">
        <f>VLOOKUP(E8,'[1]CỘT MUA PHỤ'!$A:$B,2,0)/5</f>
        <v>9400</v>
      </c>
      <c r="G8" s="15">
        <v>9400</v>
      </c>
      <c r="H8" s="13">
        <f t="shared" si="0"/>
        <v>376000</v>
      </c>
    </row>
    <row r="9" spans="1:8" x14ac:dyDescent="0.25">
      <c r="A9" s="9" t="s">
        <v>9</v>
      </c>
      <c r="B9" s="9" t="s">
        <v>1</v>
      </c>
      <c r="C9" s="10">
        <v>250</v>
      </c>
      <c r="D9" s="11">
        <v>45627</v>
      </c>
      <c r="E9" s="14" t="s">
        <v>93</v>
      </c>
      <c r="F9" s="13">
        <f>VLOOKUP(E9,'[1]CỘT MUA PHỤ'!$A:$B,2,0)</f>
        <v>26000</v>
      </c>
      <c r="G9" s="13">
        <v>26000</v>
      </c>
      <c r="H9" s="13">
        <f t="shared" si="0"/>
        <v>6500000</v>
      </c>
    </row>
    <row r="10" spans="1:8" x14ac:dyDescent="0.25">
      <c r="A10" s="9" t="s">
        <v>10</v>
      </c>
      <c r="B10" s="9" t="s">
        <v>1</v>
      </c>
      <c r="C10" s="10">
        <v>30</v>
      </c>
      <c r="D10" s="11">
        <v>45627</v>
      </c>
      <c r="E10" s="14" t="s">
        <v>94</v>
      </c>
      <c r="F10" s="13">
        <f>VLOOKUP(E10,'[1]CỘT MUA PHỤ'!$A:$B,2,0)</f>
        <v>19000</v>
      </c>
      <c r="G10" s="13">
        <v>19000</v>
      </c>
      <c r="H10" s="13">
        <f t="shared" si="0"/>
        <v>570000</v>
      </c>
    </row>
    <row r="11" spans="1:8" x14ac:dyDescent="0.25">
      <c r="A11" s="9" t="s">
        <v>10</v>
      </c>
      <c r="B11" s="9" t="s">
        <v>12</v>
      </c>
      <c r="C11" s="10">
        <v>160</v>
      </c>
      <c r="D11" s="11">
        <v>45627</v>
      </c>
      <c r="E11" s="14" t="s">
        <v>94</v>
      </c>
      <c r="F11" s="15">
        <f>VLOOKUP(E11,'[1]CỘT MUA PHỤ'!$A:$B,2,0)/2</f>
        <v>9500</v>
      </c>
      <c r="G11" s="15">
        <v>9500</v>
      </c>
      <c r="H11" s="13">
        <f t="shared" si="0"/>
        <v>1520000</v>
      </c>
    </row>
    <row r="12" spans="1:8" x14ac:dyDescent="0.25">
      <c r="A12" s="9" t="s">
        <v>13</v>
      </c>
      <c r="B12" s="9" t="s">
        <v>14</v>
      </c>
      <c r="C12" s="10">
        <v>150</v>
      </c>
      <c r="D12" s="11">
        <v>45627</v>
      </c>
      <c r="E12" s="14" t="s">
        <v>95</v>
      </c>
      <c r="F12" s="13">
        <f>VLOOKUP(E12,'[1]CỘT MUA PHỤ'!$A:$B,2,0)</f>
        <v>8700</v>
      </c>
      <c r="G12" s="13">
        <v>8700</v>
      </c>
      <c r="H12" s="13">
        <f t="shared" si="0"/>
        <v>1305000</v>
      </c>
    </row>
    <row r="13" spans="1:8" x14ac:dyDescent="0.25">
      <c r="A13" s="9" t="s">
        <v>15</v>
      </c>
      <c r="B13" s="9" t="s">
        <v>16</v>
      </c>
      <c r="C13" s="10">
        <v>74</v>
      </c>
      <c r="D13" s="11">
        <v>45627</v>
      </c>
      <c r="E13" s="14" t="s">
        <v>96</v>
      </c>
      <c r="F13" s="15">
        <f>VLOOKUP(E13,'[1]CỘT MUA PHỤ'!$A:$B,2,0)*0.3</f>
        <v>15450</v>
      </c>
      <c r="G13" s="15">
        <v>15450</v>
      </c>
      <c r="H13" s="13">
        <f t="shared" si="0"/>
        <v>1143300</v>
      </c>
    </row>
    <row r="14" spans="1:8" x14ac:dyDescent="0.25">
      <c r="A14" s="9" t="s">
        <v>17</v>
      </c>
      <c r="B14" s="9" t="s">
        <v>14</v>
      </c>
      <c r="C14" s="10">
        <v>85</v>
      </c>
      <c r="D14" s="11">
        <v>45627</v>
      </c>
      <c r="E14" s="14" t="s">
        <v>97</v>
      </c>
      <c r="F14" s="15">
        <f>VLOOKUP(E14,'[1]CỘT MUA PHỤ'!$A:$B,2,0)*0.3</f>
        <v>13950</v>
      </c>
      <c r="G14" s="15">
        <v>13950</v>
      </c>
      <c r="H14" s="13">
        <f t="shared" si="0"/>
        <v>1185750</v>
      </c>
    </row>
    <row r="15" spans="1:8" x14ac:dyDescent="0.25">
      <c r="A15" s="9" t="s">
        <v>18</v>
      </c>
      <c r="B15" s="9" t="s">
        <v>1</v>
      </c>
      <c r="C15" s="10">
        <v>75</v>
      </c>
      <c r="D15" s="11">
        <v>45627</v>
      </c>
      <c r="E15" s="14" t="s">
        <v>98</v>
      </c>
      <c r="F15" s="13">
        <f>VLOOKUP(E15,'[1]CỘT MUA PHỤ'!$A:$B,2,0)</f>
        <v>20000</v>
      </c>
      <c r="G15" s="13">
        <v>20000</v>
      </c>
      <c r="H15" s="13">
        <f t="shared" si="0"/>
        <v>1500000</v>
      </c>
    </row>
    <row r="16" spans="1:8" x14ac:dyDescent="0.25">
      <c r="A16" s="9" t="s">
        <v>19</v>
      </c>
      <c r="B16" s="9" t="s">
        <v>1</v>
      </c>
      <c r="C16" s="10">
        <v>60</v>
      </c>
      <c r="D16" s="11">
        <v>45627</v>
      </c>
      <c r="E16" s="14" t="s">
        <v>99</v>
      </c>
      <c r="F16" s="13">
        <f>VLOOKUP(E16,'[1]CỘT MUA PHỤ'!$A:$B,2,0)</f>
        <v>15000</v>
      </c>
      <c r="G16" s="13">
        <v>15000</v>
      </c>
      <c r="H16" s="13">
        <f t="shared" si="0"/>
        <v>900000</v>
      </c>
    </row>
    <row r="17" spans="1:8" x14ac:dyDescent="0.25">
      <c r="A17" s="9" t="s">
        <v>20</v>
      </c>
      <c r="B17" s="9" t="s">
        <v>11</v>
      </c>
      <c r="C17" s="10">
        <v>60</v>
      </c>
      <c r="D17" s="11">
        <v>45627</v>
      </c>
      <c r="E17" s="14" t="s">
        <v>100</v>
      </c>
      <c r="F17" s="15">
        <f>VLOOKUP(E17,'[1]CỘT MUA PHỤ'!$A:$B,2,0)/5</f>
        <v>7600</v>
      </c>
      <c r="G17" s="15">
        <v>7600</v>
      </c>
      <c r="H17" s="13">
        <f t="shared" si="0"/>
        <v>456000</v>
      </c>
    </row>
    <row r="18" spans="1:8" x14ac:dyDescent="0.25">
      <c r="A18" s="9" t="s">
        <v>21</v>
      </c>
      <c r="B18" s="9" t="s">
        <v>22</v>
      </c>
      <c r="C18" s="10">
        <v>50</v>
      </c>
      <c r="D18" s="11">
        <v>45627</v>
      </c>
      <c r="E18" s="14" t="s">
        <v>101</v>
      </c>
      <c r="F18" s="15">
        <f>VLOOKUP(E18,'[1]CỘT MUA PHỤ'!$A:$B,2,0)*0.3</f>
        <v>6750</v>
      </c>
      <c r="G18" s="15">
        <v>6750</v>
      </c>
      <c r="H18" s="13">
        <f t="shared" si="0"/>
        <v>337500</v>
      </c>
    </row>
    <row r="19" spans="1:8" x14ac:dyDescent="0.25">
      <c r="A19" s="9" t="s">
        <v>21</v>
      </c>
      <c r="B19" s="9" t="s">
        <v>23</v>
      </c>
      <c r="C19" s="10">
        <v>25</v>
      </c>
      <c r="D19" s="11">
        <v>45627</v>
      </c>
      <c r="E19" s="14" t="s">
        <v>101</v>
      </c>
      <c r="F19" s="15">
        <f>VLOOKUP(E19,'[1]CỘT MUA PHỤ'!$A:$B,2,0)*0.15</f>
        <v>3375</v>
      </c>
      <c r="G19" s="15">
        <v>3375</v>
      </c>
      <c r="H19" s="13">
        <f t="shared" si="0"/>
        <v>84375</v>
      </c>
    </row>
    <row r="20" spans="1:8" x14ac:dyDescent="0.25">
      <c r="A20" s="9" t="s">
        <v>24</v>
      </c>
      <c r="B20" s="9" t="s">
        <v>25</v>
      </c>
      <c r="C20" s="10">
        <v>300</v>
      </c>
      <c r="D20" s="11">
        <v>45627</v>
      </c>
      <c r="E20" s="14" t="s">
        <v>102</v>
      </c>
      <c r="F20" s="15">
        <f>VLOOKUP(E20,'[1]CỘT MUA PHỤ'!$A:$B,2,0)/2</f>
        <v>10000</v>
      </c>
      <c r="G20" s="15">
        <v>10000</v>
      </c>
      <c r="H20" s="13">
        <f t="shared" si="0"/>
        <v>3000000</v>
      </c>
    </row>
    <row r="21" spans="1:8" x14ac:dyDescent="0.25">
      <c r="A21" s="9" t="s">
        <v>26</v>
      </c>
      <c r="B21" s="9" t="s">
        <v>11</v>
      </c>
      <c r="C21" s="10">
        <v>50</v>
      </c>
      <c r="D21" s="11">
        <v>45627</v>
      </c>
      <c r="E21" s="14" t="s">
        <v>103</v>
      </c>
      <c r="F21" s="13">
        <f>VLOOKUP(E21,'[1]CỘT MUA PHỤ'!$A:$B,2,0)/4</f>
        <v>6500</v>
      </c>
      <c r="G21" s="13">
        <v>6500</v>
      </c>
      <c r="H21" s="13">
        <f t="shared" si="0"/>
        <v>325000</v>
      </c>
    </row>
    <row r="22" spans="1:8" x14ac:dyDescent="0.25">
      <c r="A22" s="9" t="s">
        <v>27</v>
      </c>
      <c r="B22" s="9" t="s">
        <v>16</v>
      </c>
      <c r="C22" s="10">
        <v>20</v>
      </c>
      <c r="D22" s="11">
        <v>45627</v>
      </c>
      <c r="E22" s="14" t="s">
        <v>104</v>
      </c>
      <c r="F22" s="13">
        <f>VLOOKUP(E22,'[1]CỘT MUA PHỤ'!$A:$B,2,0)</f>
        <v>9500</v>
      </c>
      <c r="G22" s="13">
        <v>9500</v>
      </c>
      <c r="H22" s="13">
        <f t="shared" si="0"/>
        <v>190000</v>
      </c>
    </row>
    <row r="23" spans="1:8" x14ac:dyDescent="0.25">
      <c r="A23" s="9" t="s">
        <v>28</v>
      </c>
      <c r="B23" s="9" t="s">
        <v>1</v>
      </c>
      <c r="C23" s="10">
        <v>20</v>
      </c>
      <c r="D23" s="11">
        <v>45627</v>
      </c>
      <c r="E23" s="14" t="s">
        <v>105</v>
      </c>
      <c r="F23" s="13">
        <f>VLOOKUP(E23,'[1]CỘT MUA PHỤ'!$A:$B,2,0)</f>
        <v>5000</v>
      </c>
      <c r="G23" s="13">
        <v>5000</v>
      </c>
      <c r="H23" s="13">
        <f t="shared" si="0"/>
        <v>100000</v>
      </c>
    </row>
    <row r="24" spans="1:8" x14ac:dyDescent="0.25">
      <c r="A24" s="9" t="s">
        <v>29</v>
      </c>
      <c r="B24" s="9" t="s">
        <v>1</v>
      </c>
      <c r="C24" s="10">
        <v>100</v>
      </c>
      <c r="D24" s="11">
        <v>45627</v>
      </c>
      <c r="E24" s="14" t="s">
        <v>106</v>
      </c>
      <c r="F24" s="13">
        <f>VLOOKUP(E24,'[1]CỘT MUA PHỤ'!$A:$B,2,0)</f>
        <v>29000</v>
      </c>
      <c r="G24" s="13">
        <v>29000</v>
      </c>
      <c r="H24" s="13">
        <f t="shared" si="0"/>
        <v>2900000</v>
      </c>
    </row>
    <row r="25" spans="1:8" x14ac:dyDescent="0.25">
      <c r="A25" s="9" t="s">
        <v>30</v>
      </c>
      <c r="B25" s="9" t="s">
        <v>1</v>
      </c>
      <c r="C25" s="10">
        <v>0</v>
      </c>
      <c r="D25" s="11">
        <v>45627</v>
      </c>
      <c r="E25" s="14" t="s">
        <v>107</v>
      </c>
      <c r="F25" s="13">
        <v>0</v>
      </c>
      <c r="G25" s="13">
        <v>0</v>
      </c>
      <c r="H25" s="13">
        <f t="shared" si="0"/>
        <v>0</v>
      </c>
    </row>
    <row r="26" spans="1:8" x14ac:dyDescent="0.25">
      <c r="A26" s="9" t="s">
        <v>31</v>
      </c>
      <c r="B26" s="9" t="s">
        <v>1</v>
      </c>
      <c r="C26" s="10">
        <v>100</v>
      </c>
      <c r="D26" s="11">
        <v>45627</v>
      </c>
      <c r="E26" s="14" t="s">
        <v>108</v>
      </c>
      <c r="F26" s="13">
        <f>VLOOKUP(E26,'[1]CỘT MUA PHỤ'!$A:$B,2,0)</f>
        <v>17500</v>
      </c>
      <c r="G26" s="13">
        <v>17500</v>
      </c>
      <c r="H26" s="13">
        <f t="shared" si="0"/>
        <v>1750000</v>
      </c>
    </row>
    <row r="27" spans="1:8" x14ac:dyDescent="0.25">
      <c r="A27" s="9" t="s">
        <v>32</v>
      </c>
      <c r="B27" s="9" t="s">
        <v>1</v>
      </c>
      <c r="C27" s="10">
        <v>30</v>
      </c>
      <c r="D27" s="11">
        <v>45627</v>
      </c>
      <c r="E27" s="14" t="s">
        <v>109</v>
      </c>
      <c r="F27" s="15">
        <v>25000</v>
      </c>
      <c r="G27" s="15">
        <v>25000</v>
      </c>
      <c r="H27" s="13">
        <f t="shared" si="0"/>
        <v>750000</v>
      </c>
    </row>
    <row r="28" spans="1:8" x14ac:dyDescent="0.25">
      <c r="A28" s="9" t="s">
        <v>33</v>
      </c>
      <c r="B28" s="9" t="s">
        <v>22</v>
      </c>
      <c r="C28" s="10">
        <v>70</v>
      </c>
      <c r="D28" s="11">
        <v>45627</v>
      </c>
      <c r="E28" s="14" t="s">
        <v>110</v>
      </c>
      <c r="F28" s="13">
        <f>VLOOKUP(E28,'[1]CỘT MUA PHỤ'!$A:$B,2,0)</f>
        <v>6000</v>
      </c>
      <c r="G28" s="13">
        <v>6000</v>
      </c>
      <c r="H28" s="13">
        <f t="shared" si="0"/>
        <v>420000</v>
      </c>
    </row>
    <row r="29" spans="1:8" x14ac:dyDescent="0.25">
      <c r="A29" s="9" t="s">
        <v>34</v>
      </c>
      <c r="B29" s="9" t="s">
        <v>36</v>
      </c>
      <c r="C29" s="10">
        <v>60</v>
      </c>
      <c r="D29" s="11">
        <v>45627</v>
      </c>
      <c r="E29" s="14" t="s">
        <v>111</v>
      </c>
      <c r="F29" s="13">
        <f>VLOOKUP(E29,'[1]CỘT MUA PHỤ'!$A:$B,2,0)</f>
        <v>6500</v>
      </c>
      <c r="G29" s="13">
        <v>6500</v>
      </c>
      <c r="H29" s="13">
        <f t="shared" si="0"/>
        <v>390000</v>
      </c>
    </row>
    <row r="30" spans="1:8" x14ac:dyDescent="0.25">
      <c r="A30" s="9" t="s">
        <v>35</v>
      </c>
      <c r="B30" s="9" t="s">
        <v>1</v>
      </c>
      <c r="C30" s="10">
        <v>0</v>
      </c>
      <c r="D30" s="11">
        <v>45627</v>
      </c>
      <c r="E30" s="14" t="s">
        <v>126</v>
      </c>
      <c r="F30" s="15">
        <v>80000</v>
      </c>
      <c r="G30" s="15">
        <v>80000</v>
      </c>
      <c r="H30" s="13">
        <f t="shared" si="0"/>
        <v>0</v>
      </c>
    </row>
    <row r="31" spans="1:8" x14ac:dyDescent="0.25">
      <c r="A31" s="9" t="s">
        <v>37</v>
      </c>
      <c r="B31" s="9" t="s">
        <v>11</v>
      </c>
      <c r="C31" s="10">
        <v>600</v>
      </c>
      <c r="D31" s="11">
        <v>45627</v>
      </c>
      <c r="E31" s="14" t="s">
        <v>112</v>
      </c>
      <c r="F31" s="13">
        <f>VLOOKUP(E31,'[1]CỘT MUA PHỤ'!$A:$B,2,0)</f>
        <v>4000</v>
      </c>
      <c r="G31" s="13">
        <v>4000</v>
      </c>
      <c r="H31" s="13">
        <f t="shared" si="0"/>
        <v>2400000</v>
      </c>
    </row>
    <row r="32" spans="1:8" x14ac:dyDescent="0.25">
      <c r="A32" s="9" t="s">
        <v>38</v>
      </c>
      <c r="B32" s="9" t="s">
        <v>22</v>
      </c>
      <c r="C32" s="10">
        <v>40</v>
      </c>
      <c r="D32" s="11">
        <v>45627</v>
      </c>
      <c r="E32" s="14" t="s">
        <v>113</v>
      </c>
      <c r="F32" s="15">
        <f>VLOOKUP(E32,'[1]CỘT MUA PHỤ'!$A:$B,2,0)*0.6</f>
        <v>5400</v>
      </c>
      <c r="G32" s="15">
        <v>5400</v>
      </c>
      <c r="H32" s="13">
        <f t="shared" si="0"/>
        <v>216000</v>
      </c>
    </row>
    <row r="33" spans="1:8" x14ac:dyDescent="0.25">
      <c r="A33" s="9" t="s">
        <v>39</v>
      </c>
      <c r="B33" s="9" t="s">
        <v>1</v>
      </c>
      <c r="C33" s="10">
        <v>20</v>
      </c>
      <c r="D33" s="11">
        <v>45627</v>
      </c>
      <c r="E33" s="14" t="s">
        <v>114</v>
      </c>
      <c r="F33" s="13">
        <f>VLOOKUP(E33,'[1]CỘT MUA PHỤ'!$A:$B,2,0)</f>
        <v>4000</v>
      </c>
      <c r="G33" s="13">
        <v>4000</v>
      </c>
      <c r="H33" s="13">
        <f t="shared" si="0"/>
        <v>80000</v>
      </c>
    </row>
    <row r="34" spans="1:8" s="58" customFormat="1" x14ac:dyDescent="0.25">
      <c r="A34" s="49" t="s">
        <v>40</v>
      </c>
      <c r="B34" s="49" t="s">
        <v>25</v>
      </c>
      <c r="C34" s="50">
        <v>50</v>
      </c>
      <c r="D34" s="54">
        <v>45627</v>
      </c>
      <c r="E34" s="55" t="s">
        <v>127</v>
      </c>
      <c r="F34" s="56">
        <f>VLOOKUP(E34,'[1]CỘT MUA PHỤ'!$A:$B,2,0)*0.15</f>
        <v>4200</v>
      </c>
      <c r="G34" s="56">
        <v>4200</v>
      </c>
      <c r="H34" s="57">
        <f t="shared" si="0"/>
        <v>210000</v>
      </c>
    </row>
    <row r="35" spans="1:8" x14ac:dyDescent="0.25">
      <c r="A35" s="9" t="s">
        <v>41</v>
      </c>
      <c r="B35" s="9" t="s">
        <v>16</v>
      </c>
      <c r="C35" s="10">
        <v>0</v>
      </c>
      <c r="D35" s="11">
        <v>45627</v>
      </c>
      <c r="E35" s="14" t="s">
        <v>115</v>
      </c>
      <c r="F35" s="13">
        <f>VLOOKUP(E35,'[1]CỘT MUA PHỤ'!$A:$B,2,0)/2</f>
        <v>100000</v>
      </c>
      <c r="G35" s="13">
        <v>100000</v>
      </c>
      <c r="H35" s="13">
        <f t="shared" si="0"/>
        <v>0</v>
      </c>
    </row>
    <row r="36" spans="1:8" x14ac:dyDescent="0.25">
      <c r="A36" s="9" t="s">
        <v>42</v>
      </c>
      <c r="B36" s="9" t="s">
        <v>44</v>
      </c>
      <c r="C36" s="10">
        <v>10</v>
      </c>
      <c r="D36" s="11">
        <v>45627</v>
      </c>
      <c r="E36" s="14" t="s">
        <v>128</v>
      </c>
      <c r="F36" s="13">
        <f>VLOOKUP(E36,'[1]CỘT MUA PHỤ'!$A:$B,2,0)*0.3</f>
        <v>8400</v>
      </c>
      <c r="G36" s="13">
        <v>8400</v>
      </c>
      <c r="H36" s="13">
        <f t="shared" si="0"/>
        <v>84000</v>
      </c>
    </row>
    <row r="37" spans="1:8" x14ac:dyDescent="0.25">
      <c r="A37" s="9" t="s">
        <v>43</v>
      </c>
      <c r="B37" s="9" t="s">
        <v>1</v>
      </c>
      <c r="C37" s="10">
        <v>0</v>
      </c>
      <c r="D37" s="11">
        <v>45627</v>
      </c>
      <c r="E37" s="14" t="s">
        <v>116</v>
      </c>
      <c r="F37" s="13">
        <v>0</v>
      </c>
      <c r="G37" s="13">
        <v>0</v>
      </c>
      <c r="H37" s="13">
        <f t="shared" si="0"/>
        <v>0</v>
      </c>
    </row>
    <row r="38" spans="1:8" x14ac:dyDescent="0.25">
      <c r="A38" s="9" t="s">
        <v>45</v>
      </c>
      <c r="B38" s="9" t="s">
        <v>1</v>
      </c>
      <c r="C38" s="10">
        <v>10</v>
      </c>
      <c r="D38" s="11">
        <v>45627</v>
      </c>
      <c r="E38" s="14" t="s">
        <v>129</v>
      </c>
      <c r="F38" s="13">
        <f>VLOOKUP(E38,'[1]CỘT MUA PHỤ'!$A:$B,2,0)</f>
        <v>36000</v>
      </c>
      <c r="G38" s="13">
        <v>36000</v>
      </c>
      <c r="H38" s="13">
        <f t="shared" si="0"/>
        <v>360000</v>
      </c>
    </row>
    <row r="39" spans="1:8" x14ac:dyDescent="0.25">
      <c r="A39" s="9" t="s">
        <v>45</v>
      </c>
      <c r="B39" s="9" t="s">
        <v>22</v>
      </c>
      <c r="C39" s="10">
        <v>400</v>
      </c>
      <c r="D39" s="11">
        <v>45627</v>
      </c>
      <c r="E39" s="14" t="s">
        <v>129</v>
      </c>
      <c r="F39" s="15">
        <f>VLOOKUP(E39,'[1]CỘT MUA PHỤ'!$A:$B,2,0)/20</f>
        <v>1800</v>
      </c>
      <c r="G39" s="15">
        <v>1800</v>
      </c>
      <c r="H39" s="13">
        <f t="shared" si="0"/>
        <v>720000</v>
      </c>
    </row>
    <row r="40" spans="1:8" x14ac:dyDescent="0.25">
      <c r="A40" s="9" t="s">
        <v>46</v>
      </c>
      <c r="B40" s="9" t="s">
        <v>1</v>
      </c>
      <c r="C40" s="10">
        <v>15</v>
      </c>
      <c r="D40" s="11">
        <v>45627</v>
      </c>
      <c r="E40" s="14" t="s">
        <v>130</v>
      </c>
      <c r="F40" s="13">
        <f>VLOOKUP(E40,'[1]CỘT MUA PHỤ'!$A:$B,2,0)</f>
        <v>63000</v>
      </c>
      <c r="G40" s="13">
        <v>63000</v>
      </c>
      <c r="H40" s="13">
        <f t="shared" si="0"/>
        <v>945000</v>
      </c>
    </row>
    <row r="41" spans="1:8" x14ac:dyDescent="0.25">
      <c r="A41" s="9" t="s">
        <v>47</v>
      </c>
      <c r="B41" s="9" t="s">
        <v>49</v>
      </c>
      <c r="C41" s="10">
        <v>100</v>
      </c>
      <c r="D41" s="11">
        <v>45627</v>
      </c>
      <c r="E41" s="14" t="s">
        <v>117</v>
      </c>
      <c r="F41" s="13">
        <f>VLOOKUP(E41,'[1]CỘT MUA PHỤ'!$A:$B,2,0)/4</f>
        <v>7500</v>
      </c>
      <c r="G41" s="13">
        <v>7500</v>
      </c>
      <c r="H41" s="13">
        <f t="shared" si="0"/>
        <v>750000</v>
      </c>
    </row>
    <row r="42" spans="1:8" x14ac:dyDescent="0.25">
      <c r="A42" s="9" t="s">
        <v>48</v>
      </c>
      <c r="B42" s="9" t="s">
        <v>1</v>
      </c>
      <c r="C42" s="10">
        <v>12</v>
      </c>
      <c r="D42" s="11">
        <v>45627</v>
      </c>
      <c r="E42" s="14" t="s">
        <v>118</v>
      </c>
      <c r="F42" s="13">
        <f>VLOOKUP(E42,'[1]CỘT MUA PHỤ'!$A:$B,2,0)</f>
        <v>49000</v>
      </c>
      <c r="G42" s="13">
        <v>49000</v>
      </c>
      <c r="H42" s="13">
        <f t="shared" si="0"/>
        <v>588000</v>
      </c>
    </row>
    <row r="43" spans="1:8" x14ac:dyDescent="0.25">
      <c r="A43" s="9" t="s">
        <v>50</v>
      </c>
      <c r="B43" s="9" t="s">
        <v>49</v>
      </c>
      <c r="C43" s="10">
        <v>200</v>
      </c>
      <c r="D43" s="11">
        <v>45627</v>
      </c>
      <c r="E43" s="14" t="s">
        <v>119</v>
      </c>
      <c r="F43" s="13">
        <f>VLOOKUP(E43,'[1]CỘT MUA PHỤ'!$A:$B,2,0)/4</f>
        <v>3750</v>
      </c>
      <c r="G43" s="13">
        <v>3750</v>
      </c>
      <c r="H43" s="13">
        <f t="shared" si="0"/>
        <v>750000</v>
      </c>
    </row>
    <row r="44" spans="1:8" x14ac:dyDescent="0.25">
      <c r="A44" s="9" t="s">
        <v>51</v>
      </c>
      <c r="B44" s="9" t="s">
        <v>49</v>
      </c>
      <c r="C44" s="10">
        <v>70</v>
      </c>
      <c r="D44" s="11">
        <v>45627</v>
      </c>
      <c r="E44" s="14" t="s">
        <v>120</v>
      </c>
      <c r="F44" s="13">
        <f>VLOOKUP(E44,'[1]CỘT MUA PHỤ'!$A:$B,2,0)/4</f>
        <v>7000</v>
      </c>
      <c r="G44" s="13">
        <v>7000</v>
      </c>
      <c r="H44" s="13">
        <f t="shared" si="0"/>
        <v>490000</v>
      </c>
    </row>
    <row r="45" spans="1:8" x14ac:dyDescent="0.25">
      <c r="A45" s="9" t="s">
        <v>52</v>
      </c>
      <c r="B45" s="9" t="s">
        <v>22</v>
      </c>
      <c r="C45" s="10">
        <v>200</v>
      </c>
      <c r="D45" s="11">
        <v>45627</v>
      </c>
      <c r="E45" s="14" t="s">
        <v>121</v>
      </c>
      <c r="F45" s="13">
        <f>VLOOKUP(E45,'[1]CỘT MUA PHỤ'!$A:$B,2,0)</f>
        <v>19000</v>
      </c>
      <c r="G45" s="13">
        <v>19000</v>
      </c>
      <c r="H45" s="13">
        <f t="shared" si="0"/>
        <v>3800000</v>
      </c>
    </row>
    <row r="46" spans="1:8" x14ac:dyDescent="0.25">
      <c r="A46" s="9" t="s">
        <v>53</v>
      </c>
      <c r="B46" s="9" t="s">
        <v>1</v>
      </c>
      <c r="C46" s="10">
        <v>10</v>
      </c>
      <c r="D46" s="11">
        <v>45627</v>
      </c>
      <c r="E46" s="14" t="s">
        <v>122</v>
      </c>
      <c r="F46" s="13">
        <f>VLOOKUP(E46,'[1]CỘT MUA PHỤ'!$A:$B,2,0)</f>
        <v>35000</v>
      </c>
      <c r="G46" s="13">
        <v>35000</v>
      </c>
      <c r="H46" s="13">
        <f t="shared" si="0"/>
        <v>350000</v>
      </c>
    </row>
    <row r="47" spans="1:8" x14ac:dyDescent="0.25">
      <c r="A47" s="9" t="s">
        <v>54</v>
      </c>
      <c r="B47" s="9" t="s">
        <v>1</v>
      </c>
      <c r="C47" s="10">
        <v>200</v>
      </c>
      <c r="D47" s="11">
        <v>45627</v>
      </c>
      <c r="E47" s="14" t="s">
        <v>131</v>
      </c>
      <c r="F47" s="13">
        <f>VLOOKUP(E47,'[1]CỘT MUA PHỤ'!$A:$B,2,0)</f>
        <v>15000</v>
      </c>
      <c r="G47" s="13">
        <v>15000</v>
      </c>
      <c r="H47" s="13">
        <f t="shared" si="0"/>
        <v>3000000</v>
      </c>
    </row>
    <row r="48" spans="1:8" x14ac:dyDescent="0.25">
      <c r="A48" s="9" t="s">
        <v>55</v>
      </c>
      <c r="B48" s="9" t="s">
        <v>25</v>
      </c>
      <c r="C48" s="10">
        <v>150</v>
      </c>
      <c r="D48" s="11">
        <v>45627</v>
      </c>
      <c r="E48" s="14" t="s">
        <v>132</v>
      </c>
      <c r="F48" s="13">
        <f>VLOOKUP(E48,'[1]CỘT MUA PHỤ'!$A:$B,2,0)</f>
        <v>6800</v>
      </c>
      <c r="G48" s="13">
        <v>6800</v>
      </c>
      <c r="H48" s="13">
        <f t="shared" si="0"/>
        <v>1020000</v>
      </c>
    </row>
    <row r="49" spans="1:8" x14ac:dyDescent="0.25">
      <c r="A49" s="9" t="s">
        <v>56</v>
      </c>
      <c r="B49" s="9" t="s">
        <v>1</v>
      </c>
      <c r="C49" s="10">
        <v>80</v>
      </c>
      <c r="D49" s="11">
        <v>45627</v>
      </c>
      <c r="E49" s="14" t="s">
        <v>133</v>
      </c>
      <c r="F49" s="13">
        <f>VLOOKUP(E49,'[1]CỘT MUA PHỤ'!$A:$B,2,0)</f>
        <v>28000</v>
      </c>
      <c r="G49" s="13">
        <v>28000</v>
      </c>
      <c r="H49" s="13">
        <f t="shared" si="0"/>
        <v>2240000</v>
      </c>
    </row>
    <row r="50" spans="1:8" x14ac:dyDescent="0.25">
      <c r="A50" s="9" t="s">
        <v>57</v>
      </c>
      <c r="B50" s="9" t="s">
        <v>25</v>
      </c>
      <c r="C50" s="10">
        <v>10</v>
      </c>
      <c r="D50" s="11">
        <v>45627</v>
      </c>
      <c r="E50" s="14" t="s">
        <v>134</v>
      </c>
      <c r="F50" s="13">
        <f>VLOOKUP(E50,'[1]CỘT MUA PHỤ'!$A:$B,2,0)</f>
        <v>6800</v>
      </c>
      <c r="G50" s="13">
        <v>6800</v>
      </c>
      <c r="H50" s="13">
        <f t="shared" si="0"/>
        <v>68000</v>
      </c>
    </row>
    <row r="51" spans="1:8" x14ac:dyDescent="0.25">
      <c r="A51" s="9" t="s">
        <v>58</v>
      </c>
      <c r="B51" s="9" t="s">
        <v>1</v>
      </c>
      <c r="C51" s="10">
        <v>31</v>
      </c>
      <c r="D51" s="11">
        <v>45627</v>
      </c>
      <c r="E51" s="14" t="s">
        <v>123</v>
      </c>
      <c r="F51" s="13">
        <f>VLOOKUP(E51,'[1]CỘT MUA PHỤ'!$A:$B,2,0)</f>
        <v>30000</v>
      </c>
      <c r="G51" s="13">
        <v>30000</v>
      </c>
      <c r="H51" s="13">
        <f>C51*G51</f>
        <v>930000</v>
      </c>
    </row>
    <row r="52" spans="1:8" x14ac:dyDescent="0.25">
      <c r="A52" s="9" t="s">
        <v>59</v>
      </c>
      <c r="B52" s="9" t="s">
        <v>1</v>
      </c>
      <c r="C52" s="10">
        <v>3</v>
      </c>
      <c r="D52" s="11">
        <v>45627</v>
      </c>
      <c r="E52" s="14" t="s">
        <v>124</v>
      </c>
      <c r="F52" s="13">
        <f>VLOOKUP(E52,'[1]CỘT MUA PHỤ'!$A:$B,2,0)</f>
        <v>120000</v>
      </c>
      <c r="G52" s="13">
        <v>120000</v>
      </c>
      <c r="H52" s="13">
        <f t="shared" si="0"/>
        <v>360000</v>
      </c>
    </row>
    <row r="53" spans="1:8" x14ac:dyDescent="0.25">
      <c r="A53" s="9" t="s">
        <v>60</v>
      </c>
      <c r="B53" s="9" t="s">
        <v>1</v>
      </c>
      <c r="C53" s="10">
        <v>5</v>
      </c>
      <c r="D53" s="11">
        <v>45627</v>
      </c>
      <c r="E53" s="14" t="s">
        <v>125</v>
      </c>
      <c r="F53" s="13">
        <f>VLOOKUP(E53,'[1]CỘT MUA PHỤ'!$A:$B,2,0)</f>
        <v>20000</v>
      </c>
      <c r="G53" s="13">
        <v>20000</v>
      </c>
      <c r="H53" s="13">
        <f t="shared" si="0"/>
        <v>100000</v>
      </c>
    </row>
    <row r="54" spans="1:8" x14ac:dyDescent="0.25">
      <c r="A54" s="9" t="s">
        <v>61</v>
      </c>
      <c r="B54" s="9" t="s">
        <v>25</v>
      </c>
      <c r="C54" s="10">
        <v>20</v>
      </c>
      <c r="D54" s="11">
        <v>45627</v>
      </c>
      <c r="E54" s="14" t="s">
        <v>135</v>
      </c>
      <c r="F54" s="13">
        <f>VLOOKUP(E54,'[1]CỘT MUA PHỤ'!$A:$B,2,0)</f>
        <v>6800</v>
      </c>
      <c r="G54" s="13">
        <v>6800</v>
      </c>
      <c r="H54" s="13">
        <f t="shared" si="0"/>
        <v>136000</v>
      </c>
    </row>
  </sheetData>
  <autoFilter ref="A2:H54" xr:uid="{00000000-0009-0000-0000-00001E000000}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9"/>
  <dimension ref="A1:E29"/>
  <sheetViews>
    <sheetView workbookViewId="0">
      <pane ySplit="1" topLeftCell="A17" activePane="bottomLeft" state="frozen"/>
      <selection pane="bottomLeft" activeCell="D35" sqref="D35"/>
    </sheetView>
  </sheetViews>
  <sheetFormatPr defaultRowHeight="13.8" x14ac:dyDescent="0.3"/>
  <cols>
    <col min="1" max="1" width="18.33203125" style="18" bestFit="1" customWidth="1"/>
    <col min="2" max="2" width="14" style="18" customWidth="1"/>
    <col min="3" max="3" width="14" style="28" customWidth="1"/>
    <col min="4" max="4" width="14.33203125" style="28" customWidth="1"/>
    <col min="5" max="5" width="12.109375" style="18" customWidth="1"/>
    <col min="6" max="16384" width="8.88671875" style="18"/>
  </cols>
  <sheetData>
    <row r="1" spans="1:5" s="28" customFormat="1" ht="19.2" customHeight="1" x14ac:dyDescent="0.3">
      <c r="A1" s="66" t="s">
        <v>183</v>
      </c>
      <c r="B1" s="67" t="s">
        <v>167</v>
      </c>
      <c r="C1" s="67" t="s">
        <v>184</v>
      </c>
      <c r="D1" s="67" t="s">
        <v>146</v>
      </c>
      <c r="E1" s="68" t="s">
        <v>145</v>
      </c>
    </row>
    <row r="2" spans="1:5" x14ac:dyDescent="0.3">
      <c r="A2" s="64" t="s">
        <v>65</v>
      </c>
      <c r="B2" s="46" t="s">
        <v>7</v>
      </c>
      <c r="C2" s="47" t="s">
        <v>168</v>
      </c>
      <c r="D2" s="47">
        <v>0.5</v>
      </c>
      <c r="E2" s="65" t="s">
        <v>185</v>
      </c>
    </row>
    <row r="3" spans="1:5" x14ac:dyDescent="0.3">
      <c r="A3" s="64" t="s">
        <v>5</v>
      </c>
      <c r="B3" s="46" t="s">
        <v>7</v>
      </c>
      <c r="C3" s="47" t="s">
        <v>168</v>
      </c>
      <c r="D3" s="47">
        <v>0.3</v>
      </c>
      <c r="E3" s="65" t="s">
        <v>169</v>
      </c>
    </row>
    <row r="4" spans="1:5" x14ac:dyDescent="0.3">
      <c r="A4" s="64" t="s">
        <v>3</v>
      </c>
      <c r="B4" s="46" t="s">
        <v>4</v>
      </c>
      <c r="C4" s="47" t="s">
        <v>168</v>
      </c>
      <c r="D4" s="47">
        <v>0.3</v>
      </c>
      <c r="E4" s="65" t="s">
        <v>169</v>
      </c>
    </row>
    <row r="5" spans="1:5" x14ac:dyDescent="0.3">
      <c r="A5" s="64" t="s">
        <v>8</v>
      </c>
      <c r="B5" s="46" t="s">
        <v>11</v>
      </c>
      <c r="C5" s="47" t="s">
        <v>168</v>
      </c>
      <c r="D5" s="47">
        <v>0.2</v>
      </c>
      <c r="E5" s="65" t="s">
        <v>170</v>
      </c>
    </row>
    <row r="6" spans="1:5" x14ac:dyDescent="0.3">
      <c r="A6" s="64" t="s">
        <v>10</v>
      </c>
      <c r="B6" s="46" t="s">
        <v>12</v>
      </c>
      <c r="C6" s="47" t="s">
        <v>168</v>
      </c>
      <c r="D6" s="47">
        <v>0.5</v>
      </c>
      <c r="E6" s="65" t="s">
        <v>171</v>
      </c>
    </row>
    <row r="7" spans="1:5" x14ac:dyDescent="0.3">
      <c r="A7" s="64" t="s">
        <v>13</v>
      </c>
      <c r="B7" s="46" t="s">
        <v>22</v>
      </c>
      <c r="C7" s="47" t="s">
        <v>168</v>
      </c>
      <c r="D7" s="47">
        <v>0.3</v>
      </c>
      <c r="E7" s="65" t="s">
        <v>173</v>
      </c>
    </row>
    <row r="8" spans="1:5" x14ac:dyDescent="0.3">
      <c r="A8" s="64" t="s">
        <v>15</v>
      </c>
      <c r="B8" s="46" t="s">
        <v>16</v>
      </c>
      <c r="C8" s="47" t="s">
        <v>168</v>
      </c>
      <c r="D8" s="47">
        <v>0.3</v>
      </c>
      <c r="E8" s="65" t="s">
        <v>172</v>
      </c>
    </row>
    <row r="9" spans="1:5" x14ac:dyDescent="0.3">
      <c r="A9" s="64" t="s">
        <v>17</v>
      </c>
      <c r="B9" s="46" t="s">
        <v>14</v>
      </c>
      <c r="C9" s="47" t="s">
        <v>168</v>
      </c>
      <c r="D9" s="47">
        <v>0.3</v>
      </c>
      <c r="E9" s="65" t="s">
        <v>172</v>
      </c>
    </row>
    <row r="10" spans="1:5" x14ac:dyDescent="0.3">
      <c r="A10" s="64" t="s">
        <v>20</v>
      </c>
      <c r="B10" s="46" t="s">
        <v>11</v>
      </c>
      <c r="C10" s="47" t="s">
        <v>168</v>
      </c>
      <c r="D10" s="47">
        <v>0.2</v>
      </c>
      <c r="E10" s="65" t="s">
        <v>170</v>
      </c>
    </row>
    <row r="11" spans="1:5" x14ac:dyDescent="0.3">
      <c r="A11" s="64" t="s">
        <v>21</v>
      </c>
      <c r="B11" s="46" t="s">
        <v>22</v>
      </c>
      <c r="C11" s="47" t="s">
        <v>168</v>
      </c>
      <c r="D11" s="47">
        <v>0.3</v>
      </c>
      <c r="E11" s="65" t="s">
        <v>173</v>
      </c>
    </row>
    <row r="12" spans="1:5" x14ac:dyDescent="0.3">
      <c r="A12" s="64" t="s">
        <v>21</v>
      </c>
      <c r="B12" s="46" t="s">
        <v>23</v>
      </c>
      <c r="C12" s="47" t="s">
        <v>168</v>
      </c>
      <c r="D12" s="47">
        <v>0.15</v>
      </c>
      <c r="E12" s="65" t="s">
        <v>174</v>
      </c>
    </row>
    <row r="13" spans="1:5" x14ac:dyDescent="0.3">
      <c r="A13" s="64" t="s">
        <v>24</v>
      </c>
      <c r="B13" s="46" t="s">
        <v>25</v>
      </c>
      <c r="C13" s="47" t="s">
        <v>168</v>
      </c>
      <c r="D13" s="47">
        <v>0.5</v>
      </c>
      <c r="E13" s="65" t="s">
        <v>175</v>
      </c>
    </row>
    <row r="14" spans="1:5" x14ac:dyDescent="0.3">
      <c r="A14" s="64" t="s">
        <v>27</v>
      </c>
      <c r="B14" s="46" t="s">
        <v>16</v>
      </c>
      <c r="C14" s="47" t="s">
        <v>168</v>
      </c>
      <c r="D14" s="47">
        <v>0.3</v>
      </c>
      <c r="E14" s="65" t="s">
        <v>172</v>
      </c>
    </row>
    <row r="15" spans="1:5" x14ac:dyDescent="0.3">
      <c r="A15" s="64" t="s">
        <v>26</v>
      </c>
      <c r="B15" s="46" t="s">
        <v>11</v>
      </c>
      <c r="C15" s="47" t="s">
        <v>168</v>
      </c>
      <c r="D15" s="47">
        <v>0.25</v>
      </c>
      <c r="E15" s="65" t="s">
        <v>176</v>
      </c>
    </row>
    <row r="16" spans="1:5" x14ac:dyDescent="0.3">
      <c r="A16" s="64" t="s">
        <v>38</v>
      </c>
      <c r="B16" s="46" t="s">
        <v>22</v>
      </c>
      <c r="C16" s="47" t="s">
        <v>168</v>
      </c>
      <c r="D16" s="47">
        <v>0.6</v>
      </c>
      <c r="E16" s="65" t="s">
        <v>177</v>
      </c>
    </row>
    <row r="17" spans="1:5" x14ac:dyDescent="0.3">
      <c r="A17" s="64" t="s">
        <v>40</v>
      </c>
      <c r="B17" s="46" t="s">
        <v>25</v>
      </c>
      <c r="C17" s="47" t="s">
        <v>168</v>
      </c>
      <c r="D17" s="47">
        <v>0.15</v>
      </c>
      <c r="E17" s="65" t="s">
        <v>178</v>
      </c>
    </row>
    <row r="18" spans="1:5" x14ac:dyDescent="0.3">
      <c r="A18" s="64" t="s">
        <v>41</v>
      </c>
      <c r="B18" s="46" t="s">
        <v>16</v>
      </c>
      <c r="C18" s="47" t="s">
        <v>168</v>
      </c>
      <c r="D18" s="47">
        <v>0.5</v>
      </c>
      <c r="E18" s="65" t="s">
        <v>179</v>
      </c>
    </row>
    <row r="19" spans="1:5" x14ac:dyDescent="0.3">
      <c r="A19" s="64" t="s">
        <v>42</v>
      </c>
      <c r="B19" s="46" t="s">
        <v>44</v>
      </c>
      <c r="C19" s="47" t="s">
        <v>168</v>
      </c>
      <c r="D19" s="47">
        <v>0.3</v>
      </c>
      <c r="E19" s="65" t="s">
        <v>180</v>
      </c>
    </row>
    <row r="20" spans="1:5" x14ac:dyDescent="0.3">
      <c r="A20" s="64" t="s">
        <v>45</v>
      </c>
      <c r="B20" s="46" t="s">
        <v>22</v>
      </c>
      <c r="C20" s="47" t="s">
        <v>168</v>
      </c>
      <c r="D20" s="47">
        <v>0.05</v>
      </c>
      <c r="E20" s="65" t="s">
        <v>181</v>
      </c>
    </row>
    <row r="21" spans="1:5" x14ac:dyDescent="0.3">
      <c r="A21" s="64" t="s">
        <v>78</v>
      </c>
      <c r="B21" s="46" t="s">
        <v>22</v>
      </c>
      <c r="C21" s="47" t="s">
        <v>168</v>
      </c>
      <c r="D21" s="47">
        <v>0.05</v>
      </c>
      <c r="E21" s="65" t="s">
        <v>186</v>
      </c>
    </row>
    <row r="22" spans="1:5" x14ac:dyDescent="0.3">
      <c r="A22" s="64" t="s">
        <v>70</v>
      </c>
      <c r="B22" s="46" t="s">
        <v>11</v>
      </c>
      <c r="C22" s="47" t="s">
        <v>168</v>
      </c>
      <c r="D22" s="47">
        <v>0.35</v>
      </c>
      <c r="E22" s="65" t="s">
        <v>193</v>
      </c>
    </row>
    <row r="23" spans="1:5" x14ac:dyDescent="0.3">
      <c r="A23" s="64" t="s">
        <v>47</v>
      </c>
      <c r="B23" s="46" t="s">
        <v>49</v>
      </c>
      <c r="C23" s="47" t="s">
        <v>168</v>
      </c>
      <c r="D23" s="47">
        <v>0.25</v>
      </c>
      <c r="E23" s="65" t="s">
        <v>182</v>
      </c>
    </row>
    <row r="24" spans="1:5" x14ac:dyDescent="0.3">
      <c r="A24" s="64" t="s">
        <v>50</v>
      </c>
      <c r="B24" s="46" t="s">
        <v>49</v>
      </c>
      <c r="C24" s="47" t="s">
        <v>168</v>
      </c>
      <c r="D24" s="47">
        <v>0.25</v>
      </c>
      <c r="E24" s="65" t="s">
        <v>182</v>
      </c>
    </row>
    <row r="25" spans="1:5" x14ac:dyDescent="0.3">
      <c r="A25" s="64" t="s">
        <v>51</v>
      </c>
      <c r="B25" s="46" t="s">
        <v>49</v>
      </c>
      <c r="C25" s="47" t="s">
        <v>168</v>
      </c>
      <c r="D25" s="47">
        <v>0.25</v>
      </c>
      <c r="E25" s="65" t="s">
        <v>182</v>
      </c>
    </row>
    <row r="26" spans="1:5" x14ac:dyDescent="0.3">
      <c r="A26" s="64" t="s">
        <v>52</v>
      </c>
      <c r="B26" s="46" t="s">
        <v>22</v>
      </c>
      <c r="C26" s="47" t="s">
        <v>168</v>
      </c>
      <c r="D26" s="47">
        <v>0.3</v>
      </c>
      <c r="E26" s="65" t="s">
        <v>173</v>
      </c>
    </row>
    <row r="27" spans="1:5" x14ac:dyDescent="0.3">
      <c r="A27" s="64" t="s">
        <v>76</v>
      </c>
      <c r="B27" s="46" t="s">
        <v>22</v>
      </c>
      <c r="C27" s="47" t="s">
        <v>168</v>
      </c>
      <c r="D27" s="47">
        <v>0.3</v>
      </c>
      <c r="E27" s="65" t="s">
        <v>173</v>
      </c>
    </row>
    <row r="28" spans="1:5" x14ac:dyDescent="0.3">
      <c r="A28" s="64" t="s">
        <v>59</v>
      </c>
      <c r="B28" s="46" t="s">
        <v>22</v>
      </c>
      <c r="C28" s="47" t="s">
        <v>168</v>
      </c>
      <c r="D28" s="47">
        <v>0.2</v>
      </c>
      <c r="E28" s="65" t="s">
        <v>187</v>
      </c>
    </row>
    <row r="29" spans="1:5" x14ac:dyDescent="0.3">
      <c r="A29" s="69" t="s">
        <v>60</v>
      </c>
      <c r="B29" s="70" t="s">
        <v>22</v>
      </c>
      <c r="C29" s="71" t="s">
        <v>168</v>
      </c>
      <c r="D29" s="71">
        <v>0.3</v>
      </c>
      <c r="E29" s="72" t="s">
        <v>173</v>
      </c>
    </row>
  </sheetData>
  <conditionalFormatting sqref="A1:A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</vt:i4>
      </vt:variant>
    </vt:vector>
  </HeadingPairs>
  <TitlesOfParts>
    <vt:vector size="33" baseType="lpstr">
      <vt:lpstr>31.12</vt:lpstr>
      <vt:lpstr>3012</vt:lpstr>
      <vt:lpstr>29.12</vt:lpstr>
      <vt:lpstr>28.12</vt:lpstr>
      <vt:lpstr>2712</vt:lpstr>
      <vt:lpstr>2612</vt:lpstr>
      <vt:lpstr>2512</vt:lpstr>
      <vt:lpstr>2412</vt:lpstr>
      <vt:lpstr>23.12</vt:lpstr>
      <vt:lpstr>2212</vt:lpstr>
      <vt:lpstr>2112</vt:lpstr>
      <vt:lpstr>2012</vt:lpstr>
      <vt:lpstr>1912</vt:lpstr>
      <vt:lpstr>1812</vt:lpstr>
      <vt:lpstr>1712</vt:lpstr>
      <vt:lpstr>1612</vt:lpstr>
      <vt:lpstr>1512</vt:lpstr>
      <vt:lpstr>1412</vt:lpstr>
      <vt:lpstr>1312</vt:lpstr>
      <vt:lpstr>1212</vt:lpstr>
      <vt:lpstr>1112</vt:lpstr>
      <vt:lpstr>1012</vt:lpstr>
      <vt:lpstr>0912</vt:lpstr>
      <vt:lpstr>0812</vt:lpstr>
      <vt:lpstr>0712</vt:lpstr>
      <vt:lpstr>0612</vt:lpstr>
      <vt:lpstr>0512</vt:lpstr>
      <vt:lpstr>0412</vt:lpstr>
      <vt:lpstr>0312</vt:lpstr>
      <vt:lpstr>0212</vt:lpstr>
      <vt:lpstr>0112</vt:lpstr>
      <vt:lpstr>Mã hàng</vt:lpstr>
      <vt:lpstr>'0512'!_FilterDatabase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Nguyren Nhat Linh</dc:creator>
  <cp:lastModifiedBy>Nguyren Nhat Linh</cp:lastModifiedBy>
  <dcterms:created xsi:type="dcterms:W3CDTF">2015-06-05T18:17:20Z</dcterms:created>
  <dcterms:modified xsi:type="dcterms:W3CDTF">2025-01-03T09:49:14Z</dcterms:modified>
</cp:coreProperties>
</file>